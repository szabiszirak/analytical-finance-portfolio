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Numpü\házi feladatok\"/>
    </mc:Choice>
  </mc:AlternateContent>
  <xr:revisionPtr revIDLastSave="0" documentId="13_ncr:1_{7EB0F4FD-64C4-41B2-9403-48D2A535793A}" xr6:coauthVersionLast="47" xr6:coauthVersionMax="47" xr10:uidLastSave="{00000000-0000-0000-0000-000000000000}"/>
  <bookViews>
    <workbookView xWindow="-108" yWindow="-108" windowWidth="23256" windowHeight="12456" activeTab="1" xr2:uid="{D9F54375-25CE-46A7-BF03-F68B6FAED712}"/>
  </bookViews>
  <sheets>
    <sheet name="Számolások" sheetId="1" r:id="rId1"/>
    <sheet name="Ábrázolá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1" l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201" i="1"/>
  <c r="O201" i="1"/>
  <c r="P201" i="1"/>
  <c r="N202" i="1"/>
  <c r="O202" i="1"/>
  <c r="P202" i="1"/>
  <c r="N203" i="1"/>
  <c r="O203" i="1"/>
  <c r="P203" i="1"/>
  <c r="N204" i="1"/>
  <c r="O204" i="1"/>
  <c r="P204" i="1"/>
  <c r="N205" i="1"/>
  <c r="O205" i="1"/>
  <c r="P205" i="1"/>
  <c r="N206" i="1"/>
  <c r="O206" i="1"/>
  <c r="P206" i="1"/>
  <c r="N207" i="1"/>
  <c r="O207" i="1"/>
  <c r="P207" i="1"/>
  <c r="N208" i="1"/>
  <c r="O208" i="1"/>
  <c r="P208" i="1"/>
  <c r="N209" i="1"/>
  <c r="O209" i="1"/>
  <c r="P209" i="1"/>
  <c r="N210" i="1"/>
  <c r="O210" i="1"/>
  <c r="P210" i="1"/>
  <c r="N211" i="1"/>
  <c r="O211" i="1"/>
  <c r="P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P221" i="1"/>
  <c r="N222" i="1"/>
  <c r="O222" i="1"/>
  <c r="P222" i="1"/>
  <c r="N223" i="1"/>
  <c r="O223" i="1"/>
  <c r="P223" i="1"/>
  <c r="N224" i="1"/>
  <c r="O224" i="1"/>
  <c r="P224" i="1"/>
  <c r="N225" i="1"/>
  <c r="O225" i="1"/>
  <c r="P225" i="1"/>
  <c r="N226" i="1"/>
  <c r="O226" i="1"/>
  <c r="P226" i="1"/>
  <c r="N227" i="1"/>
  <c r="O227" i="1"/>
  <c r="P227" i="1"/>
  <c r="N228" i="1"/>
  <c r="O228" i="1"/>
  <c r="P228" i="1"/>
  <c r="N229" i="1"/>
  <c r="O229" i="1"/>
  <c r="P229" i="1"/>
  <c r="N230" i="1"/>
  <c r="O230" i="1"/>
  <c r="P230" i="1"/>
  <c r="N231" i="1"/>
  <c r="O231" i="1"/>
  <c r="P231" i="1"/>
  <c r="N232" i="1"/>
  <c r="O232" i="1"/>
  <c r="P232" i="1"/>
  <c r="N233" i="1"/>
  <c r="O233" i="1"/>
  <c r="P233" i="1"/>
  <c r="N234" i="1"/>
  <c r="O234" i="1"/>
  <c r="P234" i="1"/>
  <c r="N235" i="1"/>
  <c r="O235" i="1"/>
  <c r="P235" i="1"/>
  <c r="N236" i="1"/>
  <c r="O236" i="1"/>
  <c r="P236" i="1"/>
  <c r="N237" i="1"/>
  <c r="O237" i="1"/>
  <c r="P237" i="1"/>
  <c r="N238" i="1"/>
  <c r="O238" i="1"/>
  <c r="P238" i="1"/>
  <c r="N239" i="1"/>
  <c r="O239" i="1"/>
  <c r="P239" i="1"/>
  <c r="N240" i="1"/>
  <c r="O240" i="1"/>
  <c r="P240" i="1"/>
  <c r="N241" i="1"/>
  <c r="O241" i="1"/>
  <c r="P241" i="1"/>
  <c r="N242" i="1"/>
  <c r="O242" i="1"/>
  <c r="P242" i="1"/>
  <c r="N243" i="1"/>
  <c r="O243" i="1"/>
  <c r="P243" i="1"/>
  <c r="N244" i="1"/>
  <c r="O244" i="1"/>
  <c r="P244" i="1"/>
  <c r="N245" i="1"/>
  <c r="O245" i="1"/>
  <c r="P245" i="1"/>
  <c r="N246" i="1"/>
  <c r="O246" i="1"/>
  <c r="P246" i="1"/>
  <c r="N247" i="1"/>
  <c r="O247" i="1"/>
  <c r="P247" i="1"/>
  <c r="N248" i="1"/>
  <c r="O248" i="1"/>
  <c r="P248" i="1"/>
  <c r="N249" i="1"/>
  <c r="O249" i="1"/>
  <c r="P249" i="1"/>
  <c r="N250" i="1"/>
  <c r="O250" i="1"/>
  <c r="P250" i="1"/>
  <c r="N251" i="1"/>
  <c r="O251" i="1"/>
  <c r="P251" i="1"/>
  <c r="N252" i="1"/>
  <c r="O252" i="1"/>
  <c r="P252" i="1"/>
  <c r="N253" i="1"/>
  <c r="O253" i="1"/>
  <c r="P253" i="1"/>
  <c r="N254" i="1"/>
  <c r="O254" i="1"/>
  <c r="P254" i="1"/>
  <c r="N255" i="1"/>
  <c r="O255" i="1"/>
  <c r="P255" i="1"/>
  <c r="N256" i="1"/>
  <c r="O256" i="1"/>
  <c r="P256" i="1"/>
  <c r="N257" i="1"/>
  <c r="O257" i="1"/>
  <c r="P257" i="1"/>
  <c r="N258" i="1"/>
  <c r="O258" i="1"/>
  <c r="P258" i="1"/>
  <c r="N259" i="1"/>
  <c r="O259" i="1"/>
  <c r="P259" i="1"/>
  <c r="N260" i="1"/>
  <c r="O260" i="1"/>
  <c r="P260" i="1"/>
  <c r="N261" i="1"/>
  <c r="O261" i="1"/>
  <c r="P261" i="1"/>
  <c r="N262" i="1"/>
  <c r="O262" i="1"/>
  <c r="P262" i="1"/>
  <c r="N263" i="1"/>
  <c r="O263" i="1"/>
  <c r="P263" i="1"/>
  <c r="N264" i="1"/>
  <c r="O264" i="1"/>
  <c r="P264" i="1"/>
  <c r="N265" i="1"/>
  <c r="O265" i="1"/>
  <c r="P265" i="1"/>
  <c r="N266" i="1"/>
  <c r="O266" i="1"/>
  <c r="P266" i="1"/>
  <c r="N267" i="1"/>
  <c r="O267" i="1"/>
  <c r="P267" i="1"/>
  <c r="N268" i="1"/>
  <c r="O268" i="1"/>
  <c r="P268" i="1"/>
  <c r="N269" i="1"/>
  <c r="O269" i="1"/>
  <c r="P269" i="1"/>
  <c r="N270" i="1"/>
  <c r="O270" i="1"/>
  <c r="P270" i="1"/>
  <c r="N271" i="1"/>
  <c r="O271" i="1"/>
  <c r="P271" i="1"/>
  <c r="N272" i="1"/>
  <c r="O272" i="1"/>
  <c r="P272" i="1"/>
  <c r="N273" i="1"/>
  <c r="O273" i="1"/>
  <c r="P273" i="1"/>
  <c r="N274" i="1"/>
  <c r="O274" i="1"/>
  <c r="P274" i="1"/>
  <c r="N275" i="1"/>
  <c r="O275" i="1"/>
  <c r="P275" i="1"/>
  <c r="N276" i="1"/>
  <c r="O276" i="1"/>
  <c r="P276" i="1"/>
  <c r="N277" i="1"/>
  <c r="O277" i="1"/>
  <c r="P277" i="1"/>
  <c r="N278" i="1"/>
  <c r="O278" i="1"/>
  <c r="P278" i="1"/>
  <c r="N279" i="1"/>
  <c r="O279" i="1"/>
  <c r="P279" i="1"/>
  <c r="N280" i="1"/>
  <c r="O280" i="1"/>
  <c r="P280" i="1"/>
  <c r="N281" i="1"/>
  <c r="O281" i="1"/>
  <c r="P281" i="1"/>
  <c r="N282" i="1"/>
  <c r="O282" i="1"/>
  <c r="P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N290" i="1"/>
  <c r="O290" i="1"/>
  <c r="P290" i="1"/>
  <c r="N291" i="1"/>
  <c r="O291" i="1"/>
  <c r="P291" i="1"/>
  <c r="N292" i="1"/>
  <c r="O292" i="1"/>
  <c r="P292" i="1"/>
  <c r="N293" i="1"/>
  <c r="O293" i="1"/>
  <c r="P293" i="1"/>
  <c r="N294" i="1"/>
  <c r="O294" i="1"/>
  <c r="P294" i="1"/>
  <c r="N295" i="1"/>
  <c r="O295" i="1"/>
  <c r="P295" i="1"/>
  <c r="N296" i="1"/>
  <c r="O296" i="1"/>
  <c r="P296" i="1"/>
  <c r="N297" i="1"/>
  <c r="O297" i="1"/>
  <c r="P297" i="1"/>
  <c r="N298" i="1"/>
  <c r="O298" i="1"/>
  <c r="P298" i="1"/>
  <c r="N299" i="1"/>
  <c r="O299" i="1"/>
  <c r="P299" i="1"/>
  <c r="N300" i="1"/>
  <c r="O300" i="1"/>
  <c r="P300" i="1"/>
  <c r="N301" i="1"/>
  <c r="O301" i="1"/>
  <c r="P301" i="1"/>
  <c r="N302" i="1"/>
  <c r="O302" i="1"/>
  <c r="P302" i="1"/>
  <c r="N303" i="1"/>
  <c r="O303" i="1"/>
  <c r="P303" i="1"/>
  <c r="N304" i="1"/>
  <c r="O304" i="1"/>
  <c r="P304" i="1"/>
  <c r="N305" i="1"/>
  <c r="O305" i="1"/>
  <c r="P305" i="1"/>
  <c r="N306" i="1"/>
  <c r="O306" i="1"/>
  <c r="P306" i="1"/>
  <c r="N307" i="1"/>
  <c r="O307" i="1"/>
  <c r="P307" i="1"/>
  <c r="N308" i="1"/>
  <c r="O308" i="1"/>
  <c r="P308" i="1"/>
  <c r="N309" i="1"/>
  <c r="O309" i="1"/>
  <c r="P309" i="1"/>
  <c r="N310" i="1"/>
  <c r="O310" i="1"/>
  <c r="P310" i="1"/>
  <c r="N311" i="1"/>
  <c r="O311" i="1"/>
  <c r="P311" i="1"/>
  <c r="N312" i="1"/>
  <c r="O312" i="1"/>
  <c r="P312" i="1"/>
  <c r="N313" i="1"/>
  <c r="O313" i="1"/>
  <c r="P313" i="1"/>
  <c r="N314" i="1"/>
  <c r="O314" i="1"/>
  <c r="P314" i="1"/>
  <c r="N315" i="1"/>
  <c r="O315" i="1"/>
  <c r="P315" i="1"/>
  <c r="N316" i="1"/>
  <c r="O316" i="1"/>
  <c r="P316" i="1"/>
  <c r="N317" i="1"/>
  <c r="O317" i="1"/>
  <c r="P317" i="1"/>
  <c r="N318" i="1"/>
  <c r="O318" i="1"/>
  <c r="P318" i="1"/>
  <c r="N319" i="1"/>
  <c r="O319" i="1"/>
  <c r="P319" i="1"/>
  <c r="N320" i="1"/>
  <c r="O320" i="1"/>
  <c r="P320" i="1"/>
  <c r="N321" i="1"/>
  <c r="O321" i="1"/>
  <c r="P321" i="1"/>
  <c r="N322" i="1"/>
  <c r="O322" i="1"/>
  <c r="P322" i="1"/>
  <c r="N323" i="1"/>
  <c r="O323" i="1"/>
  <c r="P323" i="1"/>
  <c r="N324" i="1"/>
  <c r="O324" i="1"/>
  <c r="P324" i="1"/>
  <c r="N325" i="1"/>
  <c r="O325" i="1"/>
  <c r="P325" i="1"/>
  <c r="N326" i="1"/>
  <c r="O326" i="1"/>
  <c r="P326" i="1"/>
  <c r="N327" i="1"/>
  <c r="O327" i="1"/>
  <c r="P327" i="1"/>
  <c r="N328" i="1"/>
  <c r="O328" i="1"/>
  <c r="P328" i="1"/>
  <c r="N329" i="1"/>
  <c r="O329" i="1"/>
  <c r="P329" i="1"/>
  <c r="N330" i="1"/>
  <c r="O330" i="1"/>
  <c r="P330" i="1"/>
  <c r="N331" i="1"/>
  <c r="O331" i="1"/>
  <c r="P331" i="1"/>
  <c r="N332" i="1"/>
  <c r="O332" i="1"/>
  <c r="P332" i="1"/>
  <c r="N333" i="1"/>
  <c r="O333" i="1"/>
  <c r="P333" i="1"/>
  <c r="N334" i="1"/>
  <c r="O334" i="1"/>
  <c r="P334" i="1"/>
  <c r="N335" i="1"/>
  <c r="O335" i="1"/>
  <c r="P335" i="1"/>
  <c r="N336" i="1"/>
  <c r="O336" i="1"/>
  <c r="P336" i="1"/>
  <c r="N337" i="1"/>
  <c r="O337" i="1"/>
  <c r="P337" i="1"/>
  <c r="N338" i="1"/>
  <c r="O338" i="1"/>
  <c r="P338" i="1"/>
  <c r="N339" i="1"/>
  <c r="O339" i="1"/>
  <c r="P339" i="1"/>
  <c r="N340" i="1"/>
  <c r="O340" i="1"/>
  <c r="P340" i="1"/>
  <c r="N341" i="1"/>
  <c r="O341" i="1"/>
  <c r="P341" i="1"/>
  <c r="N342" i="1"/>
  <c r="O342" i="1"/>
  <c r="P342" i="1"/>
  <c r="N343" i="1"/>
  <c r="O343" i="1"/>
  <c r="P343" i="1"/>
  <c r="N344" i="1"/>
  <c r="O344" i="1"/>
  <c r="P344" i="1"/>
  <c r="N345" i="1"/>
  <c r="O345" i="1"/>
  <c r="P345" i="1"/>
  <c r="N346" i="1"/>
  <c r="O346" i="1"/>
  <c r="P346" i="1"/>
  <c r="N347" i="1"/>
  <c r="O347" i="1"/>
  <c r="P347" i="1"/>
  <c r="N348" i="1"/>
  <c r="O348" i="1"/>
  <c r="P348" i="1"/>
  <c r="N349" i="1"/>
  <c r="O349" i="1"/>
  <c r="P349" i="1"/>
  <c r="N350" i="1"/>
  <c r="O350" i="1"/>
  <c r="P350" i="1"/>
  <c r="N351" i="1"/>
  <c r="O351" i="1"/>
  <c r="P351" i="1"/>
  <c r="N352" i="1"/>
  <c r="O352" i="1"/>
  <c r="P352" i="1"/>
  <c r="N353" i="1"/>
  <c r="O353" i="1"/>
  <c r="P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P363" i="1"/>
  <c r="N364" i="1"/>
  <c r="O364" i="1"/>
  <c r="P364" i="1"/>
  <c r="N365" i="1"/>
  <c r="O365" i="1"/>
  <c r="P365" i="1"/>
  <c r="N366" i="1"/>
  <c r="O366" i="1"/>
  <c r="P366" i="1"/>
  <c r="N367" i="1"/>
  <c r="O367" i="1"/>
  <c r="P367" i="1"/>
  <c r="N368" i="1"/>
  <c r="O368" i="1"/>
  <c r="P368" i="1"/>
  <c r="N369" i="1"/>
  <c r="O369" i="1"/>
  <c r="P369" i="1"/>
  <c r="N370" i="1"/>
  <c r="O370" i="1"/>
  <c r="P370" i="1"/>
  <c r="N371" i="1"/>
  <c r="O371" i="1"/>
  <c r="P371" i="1"/>
  <c r="N372" i="1"/>
  <c r="O372" i="1"/>
  <c r="P372" i="1"/>
  <c r="N373" i="1"/>
  <c r="O373" i="1"/>
  <c r="P373" i="1"/>
  <c r="N374" i="1"/>
  <c r="O374" i="1"/>
  <c r="P374" i="1"/>
  <c r="N375" i="1"/>
  <c r="O375" i="1"/>
  <c r="P375" i="1"/>
  <c r="N376" i="1"/>
  <c r="O376" i="1"/>
  <c r="P376" i="1"/>
  <c r="N377" i="1"/>
  <c r="O377" i="1"/>
  <c r="P377" i="1"/>
  <c r="N378" i="1"/>
  <c r="O378" i="1"/>
  <c r="P378" i="1"/>
  <c r="N379" i="1"/>
  <c r="O379" i="1"/>
  <c r="P379" i="1"/>
  <c r="N380" i="1"/>
  <c r="O380" i="1"/>
  <c r="P380" i="1"/>
  <c r="N381" i="1"/>
  <c r="O381" i="1"/>
  <c r="P381" i="1"/>
  <c r="N382" i="1"/>
  <c r="O382" i="1"/>
  <c r="P382" i="1"/>
  <c r="N383" i="1"/>
  <c r="O383" i="1"/>
  <c r="P383" i="1"/>
  <c r="N384" i="1"/>
  <c r="O384" i="1"/>
  <c r="P384" i="1"/>
  <c r="N385" i="1"/>
  <c r="O385" i="1"/>
  <c r="P385" i="1"/>
  <c r="N386" i="1"/>
  <c r="O386" i="1"/>
  <c r="P386" i="1"/>
  <c r="N387" i="1"/>
  <c r="O387" i="1"/>
  <c r="P387" i="1"/>
  <c r="N388" i="1"/>
  <c r="O388" i="1"/>
  <c r="P388" i="1"/>
  <c r="N389" i="1"/>
  <c r="O389" i="1"/>
  <c r="P389" i="1"/>
  <c r="N390" i="1"/>
  <c r="O390" i="1"/>
  <c r="P390" i="1"/>
  <c r="N391" i="1"/>
  <c r="O391" i="1"/>
  <c r="P391" i="1"/>
  <c r="N392" i="1"/>
  <c r="O392" i="1"/>
  <c r="P392" i="1"/>
  <c r="N393" i="1"/>
  <c r="O393" i="1"/>
  <c r="P393" i="1"/>
  <c r="N394" i="1"/>
  <c r="O394" i="1"/>
  <c r="P394" i="1"/>
  <c r="N395" i="1"/>
  <c r="O395" i="1"/>
  <c r="P395" i="1"/>
  <c r="N396" i="1"/>
  <c r="O396" i="1"/>
  <c r="P396" i="1"/>
  <c r="N397" i="1"/>
  <c r="O397" i="1"/>
  <c r="P397" i="1"/>
  <c r="N398" i="1"/>
  <c r="O398" i="1"/>
  <c r="P398" i="1"/>
  <c r="N399" i="1"/>
  <c r="O399" i="1"/>
  <c r="P399" i="1"/>
  <c r="N400" i="1"/>
  <c r="O400" i="1"/>
  <c r="P400" i="1"/>
  <c r="N401" i="1"/>
  <c r="O401" i="1"/>
  <c r="P401" i="1"/>
  <c r="N402" i="1"/>
  <c r="O402" i="1"/>
  <c r="P402" i="1"/>
  <c r="N403" i="1"/>
  <c r="O403" i="1"/>
  <c r="P403" i="1"/>
  <c r="N404" i="1"/>
  <c r="O404" i="1"/>
  <c r="P404" i="1"/>
  <c r="N405" i="1"/>
  <c r="O405" i="1"/>
  <c r="P405" i="1"/>
  <c r="N406" i="1"/>
  <c r="O406" i="1"/>
  <c r="P406" i="1"/>
  <c r="N407" i="1"/>
  <c r="O407" i="1"/>
  <c r="P407" i="1"/>
  <c r="N408" i="1"/>
  <c r="O408" i="1"/>
  <c r="P408" i="1"/>
  <c r="N409" i="1"/>
  <c r="O409" i="1"/>
  <c r="P409" i="1"/>
  <c r="N410" i="1"/>
  <c r="O410" i="1"/>
  <c r="P410" i="1"/>
  <c r="N411" i="1"/>
  <c r="O411" i="1"/>
  <c r="P411" i="1"/>
  <c r="N412" i="1"/>
  <c r="O412" i="1"/>
  <c r="P412" i="1"/>
  <c r="N413" i="1"/>
  <c r="O413" i="1"/>
  <c r="P413" i="1"/>
  <c r="N414" i="1"/>
  <c r="O414" i="1"/>
  <c r="P414" i="1"/>
  <c r="N415" i="1"/>
  <c r="O415" i="1"/>
  <c r="P415" i="1"/>
  <c r="N416" i="1"/>
  <c r="O416" i="1"/>
  <c r="P416" i="1"/>
  <c r="N417" i="1"/>
  <c r="O417" i="1"/>
  <c r="P417" i="1"/>
  <c r="N418" i="1"/>
  <c r="O418" i="1"/>
  <c r="P418" i="1"/>
  <c r="N419" i="1"/>
  <c r="O419" i="1"/>
  <c r="P419" i="1"/>
  <c r="N420" i="1"/>
  <c r="O420" i="1"/>
  <c r="P420" i="1"/>
  <c r="N421" i="1"/>
  <c r="O421" i="1"/>
  <c r="P421" i="1"/>
  <c r="N422" i="1"/>
  <c r="O422" i="1"/>
  <c r="P422" i="1"/>
  <c r="N423" i="1"/>
  <c r="O423" i="1"/>
  <c r="P423" i="1"/>
  <c r="N424" i="1"/>
  <c r="O424" i="1"/>
  <c r="P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P434" i="1"/>
  <c r="N435" i="1"/>
  <c r="O435" i="1"/>
  <c r="P435" i="1"/>
  <c r="N436" i="1"/>
  <c r="O436" i="1"/>
  <c r="P436" i="1"/>
  <c r="N437" i="1"/>
  <c r="O437" i="1"/>
  <c r="P437" i="1"/>
  <c r="N438" i="1"/>
  <c r="O438" i="1"/>
  <c r="P438" i="1"/>
  <c r="N439" i="1"/>
  <c r="O439" i="1"/>
  <c r="P439" i="1"/>
  <c r="N440" i="1"/>
  <c r="O440" i="1"/>
  <c r="P440" i="1"/>
  <c r="N441" i="1"/>
  <c r="O441" i="1"/>
  <c r="P441" i="1"/>
  <c r="N442" i="1"/>
  <c r="O442" i="1"/>
  <c r="P442" i="1"/>
  <c r="N443" i="1"/>
  <c r="O443" i="1"/>
  <c r="P443" i="1"/>
  <c r="N444" i="1"/>
  <c r="O444" i="1"/>
  <c r="P444" i="1"/>
  <c r="N445" i="1"/>
  <c r="O445" i="1"/>
  <c r="P445" i="1"/>
  <c r="N446" i="1"/>
  <c r="O446" i="1"/>
  <c r="P446" i="1"/>
  <c r="N447" i="1"/>
  <c r="O447" i="1"/>
  <c r="P447" i="1"/>
  <c r="N448" i="1"/>
  <c r="O448" i="1"/>
  <c r="P448" i="1"/>
  <c r="N449" i="1"/>
  <c r="O449" i="1"/>
  <c r="P449" i="1"/>
  <c r="N450" i="1"/>
  <c r="O450" i="1"/>
  <c r="P450" i="1"/>
  <c r="N451" i="1"/>
  <c r="O451" i="1"/>
  <c r="P451" i="1"/>
  <c r="N452" i="1"/>
  <c r="O452" i="1"/>
  <c r="P452" i="1"/>
  <c r="N453" i="1"/>
  <c r="O453" i="1"/>
  <c r="P453" i="1"/>
  <c r="N454" i="1"/>
  <c r="O454" i="1"/>
  <c r="P454" i="1"/>
  <c r="N455" i="1"/>
  <c r="O455" i="1"/>
  <c r="P455" i="1"/>
  <c r="N456" i="1"/>
  <c r="O456" i="1"/>
  <c r="P456" i="1"/>
  <c r="N457" i="1"/>
  <c r="O457" i="1"/>
  <c r="P457" i="1"/>
  <c r="N458" i="1"/>
  <c r="O458" i="1"/>
  <c r="P458" i="1"/>
  <c r="N459" i="1"/>
  <c r="O459" i="1"/>
  <c r="P459" i="1"/>
  <c r="N460" i="1"/>
  <c r="O460" i="1"/>
  <c r="P460" i="1"/>
  <c r="N461" i="1"/>
  <c r="O461" i="1"/>
  <c r="P461" i="1"/>
  <c r="N462" i="1"/>
  <c r="O462" i="1"/>
  <c r="P462" i="1"/>
  <c r="N463" i="1"/>
  <c r="O463" i="1"/>
  <c r="P463" i="1"/>
  <c r="N464" i="1"/>
  <c r="O464" i="1"/>
  <c r="P464" i="1"/>
  <c r="N465" i="1"/>
  <c r="O465" i="1"/>
  <c r="P465" i="1"/>
  <c r="N466" i="1"/>
  <c r="O466" i="1"/>
  <c r="P466" i="1"/>
  <c r="N467" i="1"/>
  <c r="O467" i="1"/>
  <c r="P467" i="1"/>
  <c r="N468" i="1"/>
  <c r="O468" i="1"/>
  <c r="P468" i="1"/>
  <c r="N469" i="1"/>
  <c r="O469" i="1"/>
  <c r="P469" i="1"/>
  <c r="N470" i="1"/>
  <c r="O470" i="1"/>
  <c r="P470" i="1"/>
  <c r="N471" i="1"/>
  <c r="O471" i="1"/>
  <c r="P471" i="1"/>
  <c r="N472" i="1"/>
  <c r="O472" i="1"/>
  <c r="P472" i="1"/>
  <c r="N473" i="1"/>
  <c r="O473" i="1"/>
  <c r="P473" i="1"/>
  <c r="N474" i="1"/>
  <c r="O474" i="1"/>
  <c r="P474" i="1"/>
  <c r="N475" i="1"/>
  <c r="O475" i="1"/>
  <c r="P475" i="1"/>
  <c r="N476" i="1"/>
  <c r="O476" i="1"/>
  <c r="P476" i="1"/>
  <c r="N477" i="1"/>
  <c r="O477" i="1"/>
  <c r="P477" i="1"/>
  <c r="N478" i="1"/>
  <c r="O478" i="1"/>
  <c r="P478" i="1"/>
  <c r="N479" i="1"/>
  <c r="O479" i="1"/>
  <c r="P479" i="1"/>
  <c r="N480" i="1"/>
  <c r="O480" i="1"/>
  <c r="P480" i="1"/>
  <c r="N481" i="1"/>
  <c r="O481" i="1"/>
  <c r="P481" i="1"/>
  <c r="N482" i="1"/>
  <c r="O482" i="1"/>
  <c r="P482" i="1"/>
  <c r="N483" i="1"/>
  <c r="O483" i="1"/>
  <c r="P483" i="1"/>
  <c r="N484" i="1"/>
  <c r="O484" i="1"/>
  <c r="P484" i="1"/>
  <c r="N485" i="1"/>
  <c r="O485" i="1"/>
  <c r="P485" i="1"/>
  <c r="N486" i="1"/>
  <c r="O486" i="1"/>
  <c r="P486" i="1"/>
  <c r="N487" i="1"/>
  <c r="O487" i="1"/>
  <c r="P487" i="1"/>
  <c r="N488" i="1"/>
  <c r="O488" i="1"/>
  <c r="P488" i="1"/>
  <c r="N489" i="1"/>
  <c r="O489" i="1"/>
  <c r="P489" i="1"/>
  <c r="N490" i="1"/>
  <c r="O490" i="1"/>
  <c r="P490" i="1"/>
  <c r="N491" i="1"/>
  <c r="O491" i="1"/>
  <c r="P491" i="1"/>
  <c r="N492" i="1"/>
  <c r="O492" i="1"/>
  <c r="P492" i="1"/>
  <c r="N493" i="1"/>
  <c r="O493" i="1"/>
  <c r="P493" i="1"/>
  <c r="N494" i="1"/>
  <c r="O494" i="1"/>
  <c r="P494" i="1"/>
  <c r="N495" i="1"/>
  <c r="O495" i="1"/>
  <c r="P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N500" i="1"/>
  <c r="O500" i="1"/>
  <c r="P500" i="1"/>
  <c r="N501" i="1"/>
  <c r="O501" i="1"/>
  <c r="P501" i="1"/>
  <c r="N502" i="1"/>
  <c r="O502" i="1"/>
  <c r="P502" i="1"/>
  <c r="N503" i="1"/>
  <c r="O503" i="1"/>
  <c r="P503" i="1"/>
  <c r="N504" i="1"/>
  <c r="O504" i="1"/>
  <c r="P504" i="1"/>
  <c r="N505" i="1"/>
  <c r="O505" i="1"/>
  <c r="P505" i="1"/>
  <c r="N506" i="1"/>
  <c r="O506" i="1"/>
  <c r="P506" i="1"/>
  <c r="N507" i="1"/>
  <c r="O507" i="1"/>
  <c r="P507" i="1"/>
  <c r="N508" i="1"/>
  <c r="O508" i="1"/>
  <c r="P508" i="1"/>
  <c r="N509" i="1"/>
  <c r="O509" i="1"/>
  <c r="P509" i="1"/>
  <c r="N510" i="1"/>
  <c r="O510" i="1"/>
  <c r="P510" i="1"/>
  <c r="N511" i="1"/>
  <c r="O511" i="1"/>
  <c r="P511" i="1"/>
  <c r="N512" i="1"/>
  <c r="O512" i="1"/>
  <c r="P512" i="1"/>
  <c r="N513" i="1"/>
  <c r="O513" i="1"/>
  <c r="P513" i="1"/>
  <c r="N514" i="1"/>
  <c r="O514" i="1"/>
  <c r="P514" i="1"/>
  <c r="N515" i="1"/>
  <c r="O515" i="1"/>
  <c r="P515" i="1"/>
  <c r="N516" i="1"/>
  <c r="O516" i="1"/>
  <c r="P516" i="1"/>
  <c r="N517" i="1"/>
  <c r="O517" i="1"/>
  <c r="P517" i="1"/>
  <c r="N518" i="1"/>
  <c r="O518" i="1"/>
  <c r="P518" i="1"/>
  <c r="N519" i="1"/>
  <c r="O519" i="1"/>
  <c r="P519" i="1"/>
  <c r="N520" i="1"/>
  <c r="O520" i="1"/>
  <c r="P520" i="1"/>
  <c r="N521" i="1"/>
  <c r="O521" i="1"/>
  <c r="P521" i="1"/>
  <c r="N522" i="1"/>
  <c r="O522" i="1"/>
  <c r="P522" i="1"/>
  <c r="N523" i="1"/>
  <c r="O523" i="1"/>
  <c r="P523" i="1"/>
  <c r="N524" i="1"/>
  <c r="O524" i="1"/>
  <c r="P524" i="1"/>
  <c r="N525" i="1"/>
  <c r="O525" i="1"/>
  <c r="P525" i="1"/>
  <c r="N526" i="1"/>
  <c r="O526" i="1"/>
  <c r="P526" i="1"/>
  <c r="N527" i="1"/>
  <c r="O527" i="1"/>
  <c r="P527" i="1"/>
  <c r="N528" i="1"/>
  <c r="O528" i="1"/>
  <c r="P528" i="1"/>
  <c r="N529" i="1"/>
  <c r="O529" i="1"/>
  <c r="P529" i="1"/>
  <c r="N530" i="1"/>
  <c r="O530" i="1"/>
  <c r="P530" i="1"/>
  <c r="N531" i="1"/>
  <c r="O531" i="1"/>
  <c r="P531" i="1"/>
  <c r="N532" i="1"/>
  <c r="O532" i="1"/>
  <c r="P532" i="1"/>
  <c r="N533" i="1"/>
  <c r="O533" i="1"/>
  <c r="P533" i="1"/>
  <c r="N534" i="1"/>
  <c r="O534" i="1"/>
  <c r="P534" i="1"/>
  <c r="N535" i="1"/>
  <c r="O535" i="1"/>
  <c r="P535" i="1"/>
  <c r="N536" i="1"/>
  <c r="O536" i="1"/>
  <c r="P536" i="1"/>
  <c r="N537" i="1"/>
  <c r="O537" i="1"/>
  <c r="P537" i="1"/>
  <c r="N538" i="1"/>
  <c r="O538" i="1"/>
  <c r="P538" i="1"/>
  <c r="N539" i="1"/>
  <c r="O539" i="1"/>
  <c r="P539" i="1"/>
  <c r="N540" i="1"/>
  <c r="O540" i="1"/>
  <c r="P540" i="1"/>
  <c r="N541" i="1"/>
  <c r="O541" i="1"/>
  <c r="P541" i="1"/>
  <c r="N542" i="1"/>
  <c r="O542" i="1"/>
  <c r="P542" i="1"/>
  <c r="N543" i="1"/>
  <c r="O543" i="1"/>
  <c r="P543" i="1"/>
  <c r="N544" i="1"/>
  <c r="O544" i="1"/>
  <c r="P544" i="1"/>
  <c r="N545" i="1"/>
  <c r="O545" i="1"/>
  <c r="P545" i="1"/>
  <c r="N546" i="1"/>
  <c r="O546" i="1"/>
  <c r="P546" i="1"/>
  <c r="N547" i="1"/>
  <c r="O547" i="1"/>
  <c r="P547" i="1"/>
  <c r="N548" i="1"/>
  <c r="O548" i="1"/>
  <c r="P548" i="1"/>
  <c r="N549" i="1"/>
  <c r="O549" i="1"/>
  <c r="P549" i="1"/>
  <c r="N550" i="1"/>
  <c r="O550" i="1"/>
  <c r="P550" i="1"/>
  <c r="N551" i="1"/>
  <c r="O551" i="1"/>
  <c r="P551" i="1"/>
  <c r="N552" i="1"/>
  <c r="O552" i="1"/>
  <c r="P552" i="1"/>
  <c r="N553" i="1"/>
  <c r="O553" i="1"/>
  <c r="P553" i="1"/>
  <c r="N554" i="1"/>
  <c r="O554" i="1"/>
  <c r="P554" i="1"/>
  <c r="N555" i="1"/>
  <c r="O555" i="1"/>
  <c r="P555" i="1"/>
  <c r="N556" i="1"/>
  <c r="O556" i="1"/>
  <c r="P556" i="1"/>
  <c r="N557" i="1"/>
  <c r="O557" i="1"/>
  <c r="P557" i="1"/>
  <c r="N558" i="1"/>
  <c r="O558" i="1"/>
  <c r="P558" i="1"/>
  <c r="N559" i="1"/>
  <c r="O559" i="1"/>
  <c r="P559" i="1"/>
  <c r="N560" i="1"/>
  <c r="O560" i="1"/>
  <c r="P560" i="1"/>
  <c r="N561" i="1"/>
  <c r="O561" i="1"/>
  <c r="P561" i="1"/>
  <c r="N562" i="1"/>
  <c r="O562" i="1"/>
  <c r="P562" i="1"/>
  <c r="N563" i="1"/>
  <c r="O563" i="1"/>
  <c r="P563" i="1"/>
  <c r="N564" i="1"/>
  <c r="O564" i="1"/>
  <c r="P564" i="1"/>
  <c r="N565" i="1"/>
  <c r="O565" i="1"/>
  <c r="P565" i="1"/>
  <c r="N566" i="1"/>
  <c r="O566" i="1"/>
  <c r="P566" i="1"/>
  <c r="N567" i="1"/>
  <c r="O567" i="1"/>
  <c r="P567" i="1"/>
  <c r="N568" i="1"/>
  <c r="O568" i="1"/>
  <c r="P568" i="1"/>
  <c r="N569" i="1"/>
  <c r="O569" i="1"/>
  <c r="P569" i="1"/>
  <c r="N570" i="1"/>
  <c r="O570" i="1"/>
  <c r="P570" i="1"/>
  <c r="N571" i="1"/>
  <c r="O571" i="1"/>
  <c r="P571" i="1"/>
  <c r="N572" i="1"/>
  <c r="O572" i="1"/>
  <c r="P572" i="1"/>
  <c r="N573" i="1"/>
  <c r="O573" i="1"/>
  <c r="P573" i="1"/>
  <c r="N574" i="1"/>
  <c r="O574" i="1"/>
  <c r="P574" i="1"/>
  <c r="N575" i="1"/>
  <c r="O575" i="1"/>
  <c r="P575" i="1"/>
  <c r="N576" i="1"/>
  <c r="O576" i="1"/>
  <c r="P576" i="1"/>
  <c r="N577" i="1"/>
  <c r="O577" i="1"/>
  <c r="P577" i="1"/>
  <c r="N578" i="1"/>
  <c r="O578" i="1"/>
  <c r="P578" i="1"/>
  <c r="N579" i="1"/>
  <c r="O579" i="1"/>
  <c r="P579" i="1"/>
  <c r="N580" i="1"/>
  <c r="O580" i="1"/>
  <c r="P580" i="1"/>
  <c r="N581" i="1"/>
  <c r="O581" i="1"/>
  <c r="P581" i="1"/>
  <c r="N582" i="1"/>
  <c r="O582" i="1"/>
  <c r="P582" i="1"/>
  <c r="N583" i="1"/>
  <c r="O583" i="1"/>
  <c r="P583" i="1"/>
  <c r="N584" i="1"/>
  <c r="O584" i="1"/>
  <c r="P584" i="1"/>
  <c r="N585" i="1"/>
  <c r="O585" i="1"/>
  <c r="P585" i="1"/>
  <c r="N586" i="1"/>
  <c r="O586" i="1"/>
  <c r="P586" i="1"/>
  <c r="N587" i="1"/>
  <c r="O587" i="1"/>
  <c r="P587" i="1"/>
  <c r="N588" i="1"/>
  <c r="O588" i="1"/>
  <c r="P588" i="1"/>
  <c r="N589" i="1"/>
  <c r="O589" i="1"/>
  <c r="P589" i="1"/>
  <c r="N590" i="1"/>
  <c r="O590" i="1"/>
  <c r="P590" i="1"/>
  <c r="N591" i="1"/>
  <c r="O591" i="1"/>
  <c r="P591" i="1"/>
  <c r="N592" i="1"/>
  <c r="O592" i="1"/>
  <c r="P592" i="1"/>
  <c r="N593" i="1"/>
  <c r="O593" i="1"/>
  <c r="P593" i="1"/>
  <c r="N594" i="1"/>
  <c r="O594" i="1"/>
  <c r="P594" i="1"/>
  <c r="N595" i="1"/>
  <c r="O595" i="1"/>
  <c r="P595" i="1"/>
  <c r="N596" i="1"/>
  <c r="O596" i="1"/>
  <c r="P596" i="1"/>
  <c r="N597" i="1"/>
  <c r="O597" i="1"/>
  <c r="P597" i="1"/>
  <c r="N598" i="1"/>
  <c r="O598" i="1"/>
  <c r="P598" i="1"/>
  <c r="N599" i="1"/>
  <c r="O599" i="1"/>
  <c r="P599" i="1"/>
  <c r="N600" i="1"/>
  <c r="O600" i="1"/>
  <c r="P600" i="1"/>
  <c r="N601" i="1"/>
  <c r="O601" i="1"/>
  <c r="P601" i="1"/>
  <c r="N602" i="1"/>
  <c r="O602" i="1"/>
  <c r="P602" i="1"/>
  <c r="N603" i="1"/>
  <c r="O603" i="1"/>
  <c r="P603" i="1"/>
  <c r="N604" i="1"/>
  <c r="O604" i="1"/>
  <c r="P604" i="1"/>
  <c r="N605" i="1"/>
  <c r="O605" i="1"/>
  <c r="P605" i="1"/>
  <c r="N606" i="1"/>
  <c r="O606" i="1"/>
  <c r="P606" i="1"/>
  <c r="N607" i="1"/>
  <c r="O607" i="1"/>
  <c r="P607" i="1"/>
  <c r="N608" i="1"/>
  <c r="O608" i="1"/>
  <c r="P608" i="1"/>
  <c r="N609" i="1"/>
  <c r="O609" i="1"/>
  <c r="P609" i="1"/>
  <c r="N610" i="1"/>
  <c r="O610" i="1"/>
  <c r="P610" i="1"/>
  <c r="N611" i="1"/>
  <c r="O611" i="1"/>
  <c r="P611" i="1"/>
  <c r="N612" i="1"/>
  <c r="O612" i="1"/>
  <c r="P612" i="1"/>
  <c r="N613" i="1"/>
  <c r="O613" i="1"/>
  <c r="P613" i="1"/>
  <c r="N614" i="1"/>
  <c r="O614" i="1"/>
  <c r="P614" i="1"/>
  <c r="N615" i="1"/>
  <c r="O615" i="1"/>
  <c r="P615" i="1"/>
  <c r="N616" i="1"/>
  <c r="O616" i="1"/>
  <c r="P616" i="1"/>
  <c r="N617" i="1"/>
  <c r="O617" i="1"/>
  <c r="P617" i="1"/>
  <c r="N618" i="1"/>
  <c r="O618" i="1"/>
  <c r="P618" i="1"/>
  <c r="N619" i="1"/>
  <c r="O619" i="1"/>
  <c r="P619" i="1"/>
  <c r="N620" i="1"/>
  <c r="O620" i="1"/>
  <c r="P620" i="1"/>
  <c r="N621" i="1"/>
  <c r="O621" i="1"/>
  <c r="P621" i="1"/>
  <c r="N622" i="1"/>
  <c r="O622" i="1"/>
  <c r="P622" i="1"/>
  <c r="N623" i="1"/>
  <c r="O623" i="1"/>
  <c r="P623" i="1"/>
  <c r="N624" i="1"/>
  <c r="O624" i="1"/>
  <c r="P624" i="1"/>
  <c r="N625" i="1"/>
  <c r="O625" i="1"/>
  <c r="P625" i="1"/>
  <c r="N626" i="1"/>
  <c r="O626" i="1"/>
  <c r="P626" i="1"/>
  <c r="N627" i="1"/>
  <c r="O627" i="1"/>
  <c r="P627" i="1"/>
  <c r="N628" i="1"/>
  <c r="O628" i="1"/>
  <c r="P628" i="1"/>
  <c r="N629" i="1"/>
  <c r="O629" i="1"/>
  <c r="P629" i="1"/>
  <c r="N630" i="1"/>
  <c r="O630" i="1"/>
  <c r="P630" i="1"/>
  <c r="N631" i="1"/>
  <c r="O631" i="1"/>
  <c r="P631" i="1"/>
  <c r="N632" i="1"/>
  <c r="O632" i="1"/>
  <c r="P632" i="1"/>
  <c r="N633" i="1"/>
  <c r="O633" i="1"/>
  <c r="P633" i="1"/>
  <c r="N634" i="1"/>
  <c r="O634" i="1"/>
  <c r="P634" i="1"/>
  <c r="N635" i="1"/>
  <c r="O635" i="1"/>
  <c r="P635" i="1"/>
  <c r="N636" i="1"/>
  <c r="O636" i="1"/>
  <c r="P636" i="1"/>
  <c r="N637" i="1"/>
  <c r="O637" i="1"/>
  <c r="P637" i="1"/>
  <c r="N638" i="1"/>
  <c r="O638" i="1"/>
  <c r="P638" i="1"/>
  <c r="N639" i="1"/>
  <c r="O639" i="1"/>
  <c r="P639" i="1"/>
  <c r="N640" i="1"/>
  <c r="O640" i="1"/>
  <c r="P640" i="1"/>
  <c r="N641" i="1"/>
  <c r="O641" i="1"/>
  <c r="P641" i="1"/>
  <c r="N642" i="1"/>
  <c r="O642" i="1"/>
  <c r="P642" i="1"/>
  <c r="N643" i="1"/>
  <c r="O643" i="1"/>
  <c r="P643" i="1"/>
  <c r="N644" i="1"/>
  <c r="O644" i="1"/>
  <c r="P644" i="1"/>
  <c r="N645" i="1"/>
  <c r="O645" i="1"/>
  <c r="P645" i="1"/>
  <c r="N646" i="1"/>
  <c r="O646" i="1"/>
  <c r="P646" i="1"/>
  <c r="N647" i="1"/>
  <c r="O647" i="1"/>
  <c r="P647" i="1"/>
  <c r="N648" i="1"/>
  <c r="O648" i="1"/>
  <c r="P648" i="1"/>
  <c r="N649" i="1"/>
  <c r="O649" i="1"/>
  <c r="P649" i="1"/>
  <c r="N650" i="1"/>
  <c r="O650" i="1"/>
  <c r="P650" i="1"/>
  <c r="N651" i="1"/>
  <c r="O651" i="1"/>
  <c r="P651" i="1"/>
  <c r="N652" i="1"/>
  <c r="O652" i="1"/>
  <c r="P652" i="1"/>
  <c r="N653" i="1"/>
  <c r="O653" i="1"/>
  <c r="P653" i="1"/>
  <c r="N654" i="1"/>
  <c r="O654" i="1"/>
  <c r="P654" i="1"/>
  <c r="N655" i="1"/>
  <c r="O655" i="1"/>
  <c r="P655" i="1"/>
  <c r="N656" i="1"/>
  <c r="O656" i="1"/>
  <c r="P656" i="1"/>
  <c r="N657" i="1"/>
  <c r="O657" i="1"/>
  <c r="P657" i="1"/>
  <c r="N658" i="1"/>
  <c r="O658" i="1"/>
  <c r="P658" i="1"/>
  <c r="N659" i="1"/>
  <c r="O659" i="1"/>
  <c r="P659" i="1"/>
  <c r="N660" i="1"/>
  <c r="O660" i="1"/>
  <c r="P660" i="1"/>
  <c r="N661" i="1"/>
  <c r="O661" i="1"/>
  <c r="P661" i="1"/>
  <c r="N662" i="1"/>
  <c r="O662" i="1"/>
  <c r="P662" i="1"/>
  <c r="N663" i="1"/>
  <c r="O663" i="1"/>
  <c r="P663" i="1"/>
  <c r="N664" i="1"/>
  <c r="O664" i="1"/>
  <c r="P664" i="1"/>
  <c r="N665" i="1"/>
  <c r="O665" i="1"/>
  <c r="P665" i="1"/>
  <c r="N666" i="1"/>
  <c r="O666" i="1"/>
  <c r="P666" i="1"/>
  <c r="N667" i="1"/>
  <c r="O667" i="1"/>
  <c r="P667" i="1"/>
  <c r="N668" i="1"/>
  <c r="O668" i="1"/>
  <c r="P668" i="1"/>
  <c r="N669" i="1"/>
  <c r="O669" i="1"/>
  <c r="P669" i="1"/>
  <c r="N670" i="1"/>
  <c r="O670" i="1"/>
  <c r="P670" i="1"/>
  <c r="N671" i="1"/>
  <c r="O671" i="1"/>
  <c r="P671" i="1"/>
  <c r="N672" i="1"/>
  <c r="O672" i="1"/>
  <c r="P672" i="1"/>
  <c r="N673" i="1"/>
  <c r="O673" i="1"/>
  <c r="P673" i="1"/>
  <c r="N674" i="1"/>
  <c r="O674" i="1"/>
  <c r="P674" i="1"/>
  <c r="N675" i="1"/>
  <c r="O675" i="1"/>
  <c r="P675" i="1"/>
  <c r="N676" i="1"/>
  <c r="O676" i="1"/>
  <c r="P676" i="1"/>
  <c r="N677" i="1"/>
  <c r="O677" i="1"/>
  <c r="P677" i="1"/>
  <c r="N678" i="1"/>
  <c r="O678" i="1"/>
  <c r="P678" i="1"/>
  <c r="N679" i="1"/>
  <c r="O679" i="1"/>
  <c r="P679" i="1"/>
  <c r="N680" i="1"/>
  <c r="O680" i="1"/>
  <c r="P680" i="1"/>
  <c r="N681" i="1"/>
  <c r="O681" i="1"/>
  <c r="P681" i="1"/>
  <c r="N682" i="1"/>
  <c r="O682" i="1"/>
  <c r="P682" i="1"/>
  <c r="N683" i="1"/>
  <c r="O683" i="1"/>
  <c r="P683" i="1"/>
  <c r="N684" i="1"/>
  <c r="O684" i="1"/>
  <c r="P684" i="1"/>
  <c r="N685" i="1"/>
  <c r="O685" i="1"/>
  <c r="P685" i="1"/>
  <c r="N686" i="1"/>
  <c r="O686" i="1"/>
  <c r="P686" i="1"/>
  <c r="N687" i="1"/>
  <c r="O687" i="1"/>
  <c r="P687" i="1"/>
  <c r="N688" i="1"/>
  <c r="O688" i="1"/>
  <c r="P688" i="1"/>
  <c r="N689" i="1"/>
  <c r="O689" i="1"/>
  <c r="P689" i="1"/>
  <c r="N690" i="1"/>
  <c r="O690" i="1"/>
  <c r="P690" i="1"/>
  <c r="N691" i="1"/>
  <c r="O691" i="1"/>
  <c r="P691" i="1"/>
  <c r="N692" i="1"/>
  <c r="O692" i="1"/>
  <c r="P692" i="1"/>
  <c r="N693" i="1"/>
  <c r="O693" i="1"/>
  <c r="P693" i="1"/>
  <c r="N694" i="1"/>
  <c r="O694" i="1"/>
  <c r="P694" i="1"/>
  <c r="N695" i="1"/>
  <c r="O695" i="1"/>
  <c r="P695" i="1"/>
  <c r="N696" i="1"/>
  <c r="O696" i="1"/>
  <c r="P696" i="1"/>
  <c r="N697" i="1"/>
  <c r="O697" i="1"/>
  <c r="P697" i="1"/>
  <c r="N698" i="1"/>
  <c r="O698" i="1"/>
  <c r="P698" i="1"/>
  <c r="N699" i="1"/>
  <c r="O699" i="1"/>
  <c r="P699" i="1"/>
  <c r="N700" i="1"/>
  <c r="O700" i="1"/>
  <c r="P700" i="1"/>
  <c r="N701" i="1"/>
  <c r="O701" i="1"/>
  <c r="P701" i="1"/>
  <c r="N702" i="1"/>
  <c r="O702" i="1"/>
  <c r="P702" i="1"/>
  <c r="N703" i="1"/>
  <c r="O703" i="1"/>
  <c r="P703" i="1"/>
  <c r="N704" i="1"/>
  <c r="O704" i="1"/>
  <c r="P704" i="1"/>
  <c r="N705" i="1"/>
  <c r="O705" i="1"/>
  <c r="P705" i="1"/>
  <c r="N706" i="1"/>
  <c r="O706" i="1"/>
  <c r="P706" i="1"/>
  <c r="N707" i="1"/>
  <c r="O707" i="1"/>
  <c r="P707" i="1"/>
  <c r="N708" i="1"/>
  <c r="O708" i="1"/>
  <c r="P708" i="1"/>
  <c r="N709" i="1"/>
  <c r="O709" i="1"/>
  <c r="P709" i="1"/>
  <c r="N710" i="1"/>
  <c r="O710" i="1"/>
  <c r="P710" i="1"/>
  <c r="N711" i="1"/>
  <c r="O711" i="1"/>
  <c r="P711" i="1"/>
  <c r="N712" i="1"/>
  <c r="O712" i="1"/>
  <c r="P712" i="1"/>
  <c r="N713" i="1"/>
  <c r="O713" i="1"/>
  <c r="P713" i="1"/>
  <c r="N714" i="1"/>
  <c r="O714" i="1"/>
  <c r="P714" i="1"/>
  <c r="N715" i="1"/>
  <c r="O715" i="1"/>
  <c r="P715" i="1"/>
  <c r="N716" i="1"/>
  <c r="O716" i="1"/>
  <c r="P716" i="1"/>
  <c r="N717" i="1"/>
  <c r="O717" i="1"/>
  <c r="P717" i="1"/>
  <c r="N718" i="1"/>
  <c r="O718" i="1"/>
  <c r="P718" i="1"/>
  <c r="N719" i="1"/>
  <c r="O719" i="1"/>
  <c r="P719" i="1"/>
  <c r="N720" i="1"/>
  <c r="O720" i="1"/>
  <c r="P720" i="1"/>
  <c r="N721" i="1"/>
  <c r="O721" i="1"/>
  <c r="P721" i="1"/>
  <c r="N722" i="1"/>
  <c r="O722" i="1"/>
  <c r="P722" i="1"/>
  <c r="N723" i="1"/>
  <c r="O723" i="1"/>
  <c r="P723" i="1"/>
  <c r="N724" i="1"/>
  <c r="O724" i="1"/>
  <c r="P724" i="1"/>
  <c r="N725" i="1"/>
  <c r="O725" i="1"/>
  <c r="P725" i="1"/>
  <c r="N726" i="1"/>
  <c r="O726" i="1"/>
  <c r="P726" i="1"/>
  <c r="N727" i="1"/>
  <c r="O727" i="1"/>
  <c r="P727" i="1"/>
  <c r="N728" i="1"/>
  <c r="O728" i="1"/>
  <c r="P728" i="1"/>
  <c r="N729" i="1"/>
  <c r="O729" i="1"/>
  <c r="P729" i="1"/>
  <c r="N730" i="1"/>
  <c r="O730" i="1"/>
  <c r="P730" i="1"/>
  <c r="N731" i="1"/>
  <c r="O731" i="1"/>
  <c r="P731" i="1"/>
  <c r="N732" i="1"/>
  <c r="O732" i="1"/>
  <c r="P732" i="1"/>
  <c r="N733" i="1"/>
  <c r="O733" i="1"/>
  <c r="P733" i="1"/>
  <c r="N734" i="1"/>
  <c r="O734" i="1"/>
  <c r="P734" i="1"/>
  <c r="N735" i="1"/>
  <c r="O735" i="1"/>
  <c r="P735" i="1"/>
  <c r="N736" i="1"/>
  <c r="O736" i="1"/>
  <c r="P736" i="1"/>
  <c r="N737" i="1"/>
  <c r="O737" i="1"/>
  <c r="P737" i="1"/>
  <c r="N738" i="1"/>
  <c r="O738" i="1"/>
  <c r="P738" i="1"/>
  <c r="N739" i="1"/>
  <c r="O739" i="1"/>
  <c r="P739" i="1"/>
  <c r="N740" i="1"/>
  <c r="O740" i="1"/>
  <c r="P740" i="1"/>
  <c r="N741" i="1"/>
  <c r="O741" i="1"/>
  <c r="P741" i="1"/>
  <c r="N742" i="1"/>
  <c r="O742" i="1"/>
  <c r="P742" i="1"/>
  <c r="N743" i="1"/>
  <c r="O743" i="1"/>
  <c r="P743" i="1"/>
  <c r="N744" i="1"/>
  <c r="O744" i="1"/>
  <c r="P744" i="1"/>
  <c r="N745" i="1"/>
  <c r="O745" i="1"/>
  <c r="P745" i="1"/>
  <c r="N746" i="1"/>
  <c r="O746" i="1"/>
  <c r="P746" i="1"/>
  <c r="N747" i="1"/>
  <c r="O747" i="1"/>
  <c r="P747" i="1"/>
  <c r="N748" i="1"/>
  <c r="O748" i="1"/>
  <c r="P748" i="1"/>
  <c r="N749" i="1"/>
  <c r="O749" i="1"/>
  <c r="P749" i="1"/>
  <c r="N750" i="1"/>
  <c r="O750" i="1"/>
  <c r="P750" i="1"/>
  <c r="N751" i="1"/>
  <c r="O751" i="1"/>
  <c r="P751" i="1"/>
  <c r="N752" i="1"/>
  <c r="O752" i="1"/>
  <c r="P752" i="1"/>
  <c r="N753" i="1"/>
  <c r="O753" i="1"/>
  <c r="P753" i="1"/>
  <c r="N754" i="1"/>
  <c r="O754" i="1"/>
  <c r="P754" i="1"/>
  <c r="N755" i="1"/>
  <c r="O755" i="1"/>
  <c r="P755" i="1"/>
  <c r="N756" i="1"/>
  <c r="O756" i="1"/>
  <c r="P756" i="1"/>
  <c r="N757" i="1"/>
  <c r="O757" i="1"/>
  <c r="P757" i="1"/>
  <c r="N758" i="1"/>
  <c r="O758" i="1"/>
  <c r="P758" i="1"/>
  <c r="N759" i="1"/>
  <c r="O759" i="1"/>
  <c r="P759" i="1"/>
  <c r="N760" i="1"/>
  <c r="O760" i="1"/>
  <c r="P760" i="1"/>
  <c r="N761" i="1"/>
  <c r="O761" i="1"/>
  <c r="P761" i="1"/>
  <c r="N762" i="1"/>
  <c r="O762" i="1"/>
  <c r="P762" i="1"/>
  <c r="N763" i="1"/>
  <c r="O763" i="1"/>
  <c r="P763" i="1"/>
  <c r="N764" i="1"/>
  <c r="O764" i="1"/>
  <c r="P764" i="1"/>
  <c r="N765" i="1"/>
  <c r="O765" i="1"/>
  <c r="P765" i="1"/>
  <c r="N766" i="1"/>
  <c r="O766" i="1"/>
  <c r="P766" i="1"/>
  <c r="N767" i="1"/>
  <c r="O767" i="1"/>
  <c r="P767" i="1"/>
  <c r="N768" i="1"/>
  <c r="O768" i="1"/>
  <c r="P768" i="1"/>
  <c r="N769" i="1"/>
  <c r="O769" i="1"/>
  <c r="P769" i="1"/>
  <c r="N770" i="1"/>
  <c r="O770" i="1"/>
  <c r="P770" i="1"/>
  <c r="N771" i="1"/>
  <c r="O771" i="1"/>
  <c r="P771" i="1"/>
  <c r="N772" i="1"/>
  <c r="O772" i="1"/>
  <c r="P772" i="1"/>
  <c r="N773" i="1"/>
  <c r="O773" i="1"/>
  <c r="P773" i="1"/>
  <c r="N774" i="1"/>
  <c r="O774" i="1"/>
  <c r="P774" i="1"/>
  <c r="N775" i="1"/>
  <c r="O775" i="1"/>
  <c r="P775" i="1"/>
  <c r="N776" i="1"/>
  <c r="O776" i="1"/>
  <c r="P776" i="1"/>
  <c r="N777" i="1"/>
  <c r="O777" i="1"/>
  <c r="P777" i="1"/>
  <c r="N778" i="1"/>
  <c r="O778" i="1"/>
  <c r="P778" i="1"/>
  <c r="N779" i="1"/>
  <c r="O779" i="1"/>
  <c r="P779" i="1"/>
  <c r="N780" i="1"/>
  <c r="O780" i="1"/>
  <c r="P780" i="1"/>
  <c r="N781" i="1"/>
  <c r="O781" i="1"/>
  <c r="P781" i="1"/>
  <c r="N782" i="1"/>
  <c r="O782" i="1"/>
  <c r="P782" i="1"/>
  <c r="N783" i="1"/>
  <c r="O783" i="1"/>
  <c r="P783" i="1"/>
  <c r="N784" i="1"/>
  <c r="O784" i="1"/>
  <c r="P784" i="1"/>
  <c r="N785" i="1"/>
  <c r="O785" i="1"/>
  <c r="P785" i="1"/>
  <c r="N786" i="1"/>
  <c r="O786" i="1"/>
  <c r="P786" i="1"/>
  <c r="N787" i="1"/>
  <c r="O787" i="1"/>
  <c r="P787" i="1"/>
  <c r="N788" i="1"/>
  <c r="O788" i="1"/>
  <c r="P788" i="1"/>
  <c r="N789" i="1"/>
  <c r="O789" i="1"/>
  <c r="P789" i="1"/>
  <c r="N790" i="1"/>
  <c r="O790" i="1"/>
  <c r="P790" i="1"/>
  <c r="N791" i="1"/>
  <c r="O791" i="1"/>
  <c r="P791" i="1"/>
  <c r="N792" i="1"/>
  <c r="O792" i="1"/>
  <c r="P792" i="1"/>
  <c r="N793" i="1"/>
  <c r="O793" i="1"/>
  <c r="P793" i="1"/>
  <c r="N794" i="1"/>
  <c r="O794" i="1"/>
  <c r="P794" i="1"/>
  <c r="N795" i="1"/>
  <c r="O795" i="1"/>
  <c r="P795" i="1"/>
  <c r="N796" i="1"/>
  <c r="O796" i="1"/>
  <c r="P796" i="1"/>
  <c r="N797" i="1"/>
  <c r="O797" i="1"/>
  <c r="P797" i="1"/>
  <c r="N798" i="1"/>
  <c r="O798" i="1"/>
  <c r="P798" i="1"/>
  <c r="N799" i="1"/>
  <c r="O799" i="1"/>
  <c r="P799" i="1"/>
  <c r="N800" i="1"/>
  <c r="O800" i="1"/>
  <c r="P800" i="1"/>
  <c r="N801" i="1"/>
  <c r="O801" i="1"/>
  <c r="P801" i="1"/>
  <c r="N802" i="1"/>
  <c r="O802" i="1"/>
  <c r="P802" i="1"/>
  <c r="N803" i="1"/>
  <c r="O803" i="1"/>
  <c r="P803" i="1"/>
  <c r="N804" i="1"/>
  <c r="O804" i="1"/>
  <c r="P804" i="1"/>
  <c r="N805" i="1"/>
  <c r="O805" i="1"/>
  <c r="P805" i="1"/>
  <c r="N806" i="1"/>
  <c r="O806" i="1"/>
  <c r="P806" i="1"/>
  <c r="N807" i="1"/>
  <c r="O807" i="1"/>
  <c r="P807" i="1"/>
  <c r="N808" i="1"/>
  <c r="O808" i="1"/>
  <c r="P808" i="1"/>
  <c r="N809" i="1"/>
  <c r="O809" i="1"/>
  <c r="P809" i="1"/>
  <c r="N810" i="1"/>
  <c r="O810" i="1"/>
  <c r="P810" i="1"/>
  <c r="N811" i="1"/>
  <c r="O811" i="1"/>
  <c r="P811" i="1"/>
  <c r="N812" i="1"/>
  <c r="O812" i="1"/>
  <c r="P812" i="1"/>
  <c r="N813" i="1"/>
  <c r="O813" i="1"/>
  <c r="P813" i="1"/>
  <c r="N814" i="1"/>
  <c r="O814" i="1"/>
  <c r="P814" i="1"/>
  <c r="N815" i="1"/>
  <c r="O815" i="1"/>
  <c r="P815" i="1"/>
  <c r="N816" i="1"/>
  <c r="O816" i="1"/>
  <c r="P816" i="1"/>
  <c r="N817" i="1"/>
  <c r="O817" i="1"/>
  <c r="P817" i="1"/>
  <c r="N818" i="1"/>
  <c r="O818" i="1"/>
  <c r="P818" i="1"/>
  <c r="N819" i="1"/>
  <c r="O819" i="1"/>
  <c r="P819" i="1"/>
  <c r="N820" i="1"/>
  <c r="O820" i="1"/>
  <c r="P820" i="1"/>
  <c r="N821" i="1"/>
  <c r="O821" i="1"/>
  <c r="P821" i="1"/>
  <c r="N822" i="1"/>
  <c r="O822" i="1"/>
  <c r="P822" i="1"/>
  <c r="N823" i="1"/>
  <c r="O823" i="1"/>
  <c r="P823" i="1"/>
  <c r="N824" i="1"/>
  <c r="O824" i="1"/>
  <c r="P824" i="1"/>
  <c r="N825" i="1"/>
  <c r="O825" i="1"/>
  <c r="P825" i="1"/>
  <c r="N826" i="1"/>
  <c r="O826" i="1"/>
  <c r="P826" i="1"/>
  <c r="N827" i="1"/>
  <c r="O827" i="1"/>
  <c r="P827" i="1"/>
  <c r="N828" i="1"/>
  <c r="O828" i="1"/>
  <c r="P828" i="1"/>
  <c r="N829" i="1"/>
  <c r="O829" i="1"/>
  <c r="P829" i="1"/>
  <c r="N830" i="1"/>
  <c r="O830" i="1"/>
  <c r="P830" i="1"/>
  <c r="N831" i="1"/>
  <c r="O831" i="1"/>
  <c r="P831" i="1"/>
  <c r="N832" i="1"/>
  <c r="O832" i="1"/>
  <c r="P832" i="1"/>
  <c r="N833" i="1"/>
  <c r="O833" i="1"/>
  <c r="P833" i="1"/>
  <c r="N834" i="1"/>
  <c r="O834" i="1"/>
  <c r="P834" i="1"/>
  <c r="N835" i="1"/>
  <c r="O835" i="1"/>
  <c r="P835" i="1"/>
  <c r="N836" i="1"/>
  <c r="O836" i="1"/>
  <c r="P836" i="1"/>
  <c r="N837" i="1"/>
  <c r="O837" i="1"/>
  <c r="P837" i="1"/>
  <c r="N838" i="1"/>
  <c r="O838" i="1"/>
  <c r="P838" i="1"/>
  <c r="N839" i="1"/>
  <c r="O839" i="1"/>
  <c r="P839" i="1"/>
  <c r="N840" i="1"/>
  <c r="O840" i="1"/>
  <c r="P840" i="1"/>
  <c r="N841" i="1"/>
  <c r="O841" i="1"/>
  <c r="P841" i="1"/>
  <c r="N842" i="1"/>
  <c r="O842" i="1"/>
  <c r="P842" i="1"/>
  <c r="N843" i="1"/>
  <c r="O843" i="1"/>
  <c r="P843" i="1"/>
  <c r="N844" i="1"/>
  <c r="O844" i="1"/>
  <c r="P844" i="1"/>
  <c r="N845" i="1"/>
  <c r="O845" i="1"/>
  <c r="P845" i="1"/>
  <c r="N846" i="1"/>
  <c r="O846" i="1"/>
  <c r="P846" i="1"/>
  <c r="N847" i="1"/>
  <c r="O847" i="1"/>
  <c r="P847" i="1"/>
  <c r="N848" i="1"/>
  <c r="O848" i="1"/>
  <c r="P848" i="1"/>
  <c r="N849" i="1"/>
  <c r="O849" i="1"/>
  <c r="P849" i="1"/>
  <c r="N850" i="1"/>
  <c r="O850" i="1"/>
  <c r="P850" i="1"/>
  <c r="N851" i="1"/>
  <c r="O851" i="1"/>
  <c r="P851" i="1"/>
  <c r="N852" i="1"/>
  <c r="O852" i="1"/>
  <c r="P852" i="1"/>
  <c r="N853" i="1"/>
  <c r="O853" i="1"/>
  <c r="P853" i="1"/>
  <c r="N854" i="1"/>
  <c r="O854" i="1"/>
  <c r="P854" i="1"/>
  <c r="N855" i="1"/>
  <c r="O855" i="1"/>
  <c r="P855" i="1"/>
  <c r="N856" i="1"/>
  <c r="O856" i="1"/>
  <c r="P856" i="1"/>
  <c r="N857" i="1"/>
  <c r="O857" i="1"/>
  <c r="P857" i="1"/>
  <c r="N858" i="1"/>
  <c r="O858" i="1"/>
  <c r="P858" i="1"/>
  <c r="N859" i="1"/>
  <c r="O859" i="1"/>
  <c r="P859" i="1"/>
  <c r="N860" i="1"/>
  <c r="O860" i="1"/>
  <c r="P860" i="1"/>
  <c r="N861" i="1"/>
  <c r="O861" i="1"/>
  <c r="P861" i="1"/>
  <c r="N862" i="1"/>
  <c r="O862" i="1"/>
  <c r="P862" i="1"/>
  <c r="N863" i="1"/>
  <c r="O863" i="1"/>
  <c r="P863" i="1"/>
  <c r="N864" i="1"/>
  <c r="O864" i="1"/>
  <c r="P864" i="1"/>
  <c r="N865" i="1"/>
  <c r="O865" i="1"/>
  <c r="P865" i="1"/>
  <c r="N866" i="1"/>
  <c r="O866" i="1"/>
  <c r="P866" i="1"/>
  <c r="N867" i="1"/>
  <c r="O867" i="1"/>
  <c r="P867" i="1"/>
  <c r="N868" i="1"/>
  <c r="O868" i="1"/>
  <c r="P868" i="1"/>
  <c r="N869" i="1"/>
  <c r="O869" i="1"/>
  <c r="P869" i="1"/>
  <c r="N870" i="1"/>
  <c r="O870" i="1"/>
  <c r="P870" i="1"/>
  <c r="N871" i="1"/>
  <c r="O871" i="1"/>
  <c r="P871" i="1"/>
  <c r="N872" i="1"/>
  <c r="O872" i="1"/>
  <c r="P872" i="1"/>
  <c r="N873" i="1"/>
  <c r="O873" i="1"/>
  <c r="P873" i="1"/>
  <c r="N874" i="1"/>
  <c r="O874" i="1"/>
  <c r="P874" i="1"/>
  <c r="N875" i="1"/>
  <c r="O875" i="1"/>
  <c r="P875" i="1"/>
  <c r="N876" i="1"/>
  <c r="O876" i="1"/>
  <c r="P876" i="1"/>
  <c r="N877" i="1"/>
  <c r="O877" i="1"/>
  <c r="P877" i="1"/>
  <c r="N878" i="1"/>
  <c r="O878" i="1"/>
  <c r="P878" i="1"/>
  <c r="N879" i="1"/>
  <c r="O879" i="1"/>
  <c r="P879" i="1"/>
  <c r="N880" i="1"/>
  <c r="O880" i="1"/>
  <c r="P880" i="1"/>
  <c r="N881" i="1"/>
  <c r="O881" i="1"/>
  <c r="P881" i="1"/>
  <c r="N882" i="1"/>
  <c r="O882" i="1"/>
  <c r="P882" i="1"/>
  <c r="N883" i="1"/>
  <c r="O883" i="1"/>
  <c r="P883" i="1"/>
  <c r="N884" i="1"/>
  <c r="O884" i="1"/>
  <c r="P884" i="1"/>
  <c r="N885" i="1"/>
  <c r="O885" i="1"/>
  <c r="P885" i="1"/>
  <c r="N886" i="1"/>
  <c r="O886" i="1"/>
  <c r="P886" i="1"/>
  <c r="N887" i="1"/>
  <c r="O887" i="1"/>
  <c r="P887" i="1"/>
  <c r="N888" i="1"/>
  <c r="O888" i="1"/>
  <c r="P888" i="1"/>
  <c r="N889" i="1"/>
  <c r="O889" i="1"/>
  <c r="P889" i="1"/>
  <c r="N890" i="1"/>
  <c r="O890" i="1"/>
  <c r="P890" i="1"/>
  <c r="N891" i="1"/>
  <c r="O891" i="1"/>
  <c r="P891" i="1"/>
  <c r="N892" i="1"/>
  <c r="O892" i="1"/>
  <c r="P892" i="1"/>
  <c r="N893" i="1"/>
  <c r="O893" i="1"/>
  <c r="P893" i="1"/>
  <c r="N894" i="1"/>
  <c r="O894" i="1"/>
  <c r="P894" i="1"/>
  <c r="N895" i="1"/>
  <c r="O895" i="1"/>
  <c r="P895" i="1"/>
  <c r="N896" i="1"/>
  <c r="O896" i="1"/>
  <c r="P896" i="1"/>
  <c r="N897" i="1"/>
  <c r="O897" i="1"/>
  <c r="P897" i="1"/>
  <c r="N898" i="1"/>
  <c r="O898" i="1"/>
  <c r="P898" i="1"/>
  <c r="N899" i="1"/>
  <c r="O899" i="1"/>
  <c r="P899" i="1"/>
  <c r="N900" i="1"/>
  <c r="O900" i="1"/>
  <c r="P900" i="1"/>
  <c r="N901" i="1"/>
  <c r="O901" i="1"/>
  <c r="P901" i="1"/>
  <c r="N902" i="1"/>
  <c r="O902" i="1"/>
  <c r="P902" i="1"/>
  <c r="N903" i="1"/>
  <c r="O903" i="1"/>
  <c r="P903" i="1"/>
  <c r="N904" i="1"/>
  <c r="O904" i="1"/>
  <c r="P904" i="1"/>
  <c r="N905" i="1"/>
  <c r="O905" i="1"/>
  <c r="P905" i="1"/>
  <c r="N906" i="1"/>
  <c r="O906" i="1"/>
  <c r="P906" i="1"/>
  <c r="N907" i="1"/>
  <c r="O907" i="1"/>
  <c r="P907" i="1"/>
  <c r="N908" i="1"/>
  <c r="O908" i="1"/>
  <c r="P908" i="1"/>
  <c r="N909" i="1"/>
  <c r="O909" i="1"/>
  <c r="P909" i="1"/>
  <c r="N910" i="1"/>
  <c r="O910" i="1"/>
  <c r="P910" i="1"/>
  <c r="N911" i="1"/>
  <c r="O911" i="1"/>
  <c r="P911" i="1"/>
  <c r="N912" i="1"/>
  <c r="O912" i="1"/>
  <c r="P912" i="1"/>
  <c r="N913" i="1"/>
  <c r="O913" i="1"/>
  <c r="P913" i="1"/>
  <c r="N914" i="1"/>
  <c r="O914" i="1"/>
  <c r="P914" i="1"/>
  <c r="N915" i="1"/>
  <c r="O915" i="1"/>
  <c r="P915" i="1"/>
  <c r="N916" i="1"/>
  <c r="O916" i="1"/>
  <c r="P916" i="1"/>
  <c r="N917" i="1"/>
  <c r="O917" i="1"/>
  <c r="P917" i="1"/>
  <c r="N918" i="1"/>
  <c r="O918" i="1"/>
  <c r="P918" i="1"/>
  <c r="N919" i="1"/>
  <c r="O919" i="1"/>
  <c r="P919" i="1"/>
  <c r="N920" i="1"/>
  <c r="O920" i="1"/>
  <c r="P920" i="1"/>
  <c r="N921" i="1"/>
  <c r="O921" i="1"/>
  <c r="P921" i="1"/>
  <c r="N922" i="1"/>
  <c r="O922" i="1"/>
  <c r="P922" i="1"/>
  <c r="N923" i="1"/>
  <c r="O923" i="1"/>
  <c r="P923" i="1"/>
  <c r="N924" i="1"/>
  <c r="O924" i="1"/>
  <c r="P924" i="1"/>
  <c r="N925" i="1"/>
  <c r="O925" i="1"/>
  <c r="P925" i="1"/>
  <c r="N926" i="1"/>
  <c r="O926" i="1"/>
  <c r="P926" i="1"/>
  <c r="N927" i="1"/>
  <c r="O927" i="1"/>
  <c r="P927" i="1"/>
  <c r="N928" i="1"/>
  <c r="O928" i="1"/>
  <c r="P928" i="1"/>
  <c r="N929" i="1"/>
  <c r="O929" i="1"/>
  <c r="P929" i="1"/>
  <c r="N930" i="1"/>
  <c r="O930" i="1"/>
  <c r="P930" i="1"/>
  <c r="N931" i="1"/>
  <c r="O931" i="1"/>
  <c r="P931" i="1"/>
  <c r="N932" i="1"/>
  <c r="O932" i="1"/>
  <c r="P932" i="1"/>
  <c r="N933" i="1"/>
  <c r="O933" i="1"/>
  <c r="P933" i="1"/>
  <c r="N934" i="1"/>
  <c r="O934" i="1"/>
  <c r="P934" i="1"/>
  <c r="N935" i="1"/>
  <c r="O935" i="1"/>
  <c r="P935" i="1"/>
  <c r="N936" i="1"/>
  <c r="O936" i="1"/>
  <c r="P936" i="1"/>
  <c r="N937" i="1"/>
  <c r="O937" i="1"/>
  <c r="P937" i="1"/>
  <c r="N938" i="1"/>
  <c r="O938" i="1"/>
  <c r="P938" i="1"/>
  <c r="N939" i="1"/>
  <c r="O939" i="1"/>
  <c r="P939" i="1"/>
  <c r="N940" i="1"/>
  <c r="O940" i="1"/>
  <c r="P940" i="1"/>
  <c r="N941" i="1"/>
  <c r="O941" i="1"/>
  <c r="P941" i="1"/>
  <c r="N942" i="1"/>
  <c r="O942" i="1"/>
  <c r="P942" i="1"/>
  <c r="N943" i="1"/>
  <c r="O943" i="1"/>
  <c r="P943" i="1"/>
  <c r="N944" i="1"/>
  <c r="O944" i="1"/>
  <c r="P944" i="1"/>
  <c r="N945" i="1"/>
  <c r="O945" i="1"/>
  <c r="P945" i="1"/>
  <c r="N946" i="1"/>
  <c r="O946" i="1"/>
  <c r="P946" i="1"/>
  <c r="N947" i="1"/>
  <c r="O947" i="1"/>
  <c r="P947" i="1"/>
  <c r="N948" i="1"/>
  <c r="O948" i="1"/>
  <c r="P948" i="1"/>
  <c r="N949" i="1"/>
  <c r="O949" i="1"/>
  <c r="P949" i="1"/>
  <c r="N950" i="1"/>
  <c r="O950" i="1"/>
  <c r="P950" i="1"/>
  <c r="N951" i="1"/>
  <c r="O951" i="1"/>
  <c r="P951" i="1"/>
  <c r="N952" i="1"/>
  <c r="O952" i="1"/>
  <c r="P952" i="1"/>
  <c r="N953" i="1"/>
  <c r="O953" i="1"/>
  <c r="P953" i="1"/>
  <c r="N954" i="1"/>
  <c r="O954" i="1"/>
  <c r="P954" i="1"/>
  <c r="N955" i="1"/>
  <c r="O955" i="1"/>
  <c r="P955" i="1"/>
  <c r="N956" i="1"/>
  <c r="O956" i="1"/>
  <c r="P956" i="1"/>
  <c r="N957" i="1"/>
  <c r="O957" i="1"/>
  <c r="P957" i="1"/>
  <c r="N958" i="1"/>
  <c r="O958" i="1"/>
  <c r="P958" i="1"/>
  <c r="N959" i="1"/>
  <c r="O959" i="1"/>
  <c r="P959" i="1"/>
  <c r="N960" i="1"/>
  <c r="O960" i="1"/>
  <c r="P960" i="1"/>
  <c r="N961" i="1"/>
  <c r="O961" i="1"/>
  <c r="P961" i="1"/>
  <c r="N962" i="1"/>
  <c r="O962" i="1"/>
  <c r="P962" i="1"/>
  <c r="N963" i="1"/>
  <c r="O963" i="1"/>
  <c r="P963" i="1"/>
  <c r="N964" i="1"/>
  <c r="O964" i="1"/>
  <c r="P964" i="1"/>
  <c r="N965" i="1"/>
  <c r="O965" i="1"/>
  <c r="P965" i="1"/>
  <c r="N966" i="1"/>
  <c r="O966" i="1"/>
  <c r="P966" i="1"/>
  <c r="N967" i="1"/>
  <c r="O967" i="1"/>
  <c r="P967" i="1"/>
  <c r="N968" i="1"/>
  <c r="O968" i="1"/>
  <c r="P968" i="1"/>
  <c r="N969" i="1"/>
  <c r="O969" i="1"/>
  <c r="P969" i="1"/>
  <c r="N970" i="1"/>
  <c r="O970" i="1"/>
  <c r="P970" i="1"/>
  <c r="N971" i="1"/>
  <c r="O971" i="1"/>
  <c r="P971" i="1"/>
  <c r="N972" i="1"/>
  <c r="O972" i="1"/>
  <c r="P972" i="1"/>
  <c r="N973" i="1"/>
  <c r="O973" i="1"/>
  <c r="P973" i="1"/>
  <c r="N974" i="1"/>
  <c r="O974" i="1"/>
  <c r="P974" i="1"/>
  <c r="N975" i="1"/>
  <c r="O975" i="1"/>
  <c r="P975" i="1"/>
  <c r="N976" i="1"/>
  <c r="O976" i="1"/>
  <c r="P976" i="1"/>
  <c r="N977" i="1"/>
  <c r="O977" i="1"/>
  <c r="P977" i="1"/>
  <c r="N978" i="1"/>
  <c r="O978" i="1"/>
  <c r="P978" i="1"/>
  <c r="N979" i="1"/>
  <c r="O979" i="1"/>
  <c r="P979" i="1"/>
  <c r="N980" i="1"/>
  <c r="O980" i="1"/>
  <c r="P980" i="1"/>
  <c r="N981" i="1"/>
  <c r="O981" i="1"/>
  <c r="P981" i="1"/>
  <c r="N982" i="1"/>
  <c r="O982" i="1"/>
  <c r="P982" i="1"/>
  <c r="N983" i="1"/>
  <c r="O983" i="1"/>
  <c r="P983" i="1"/>
  <c r="N984" i="1"/>
  <c r="O984" i="1"/>
  <c r="P984" i="1"/>
  <c r="N985" i="1"/>
  <c r="O985" i="1"/>
  <c r="P985" i="1"/>
  <c r="N986" i="1"/>
  <c r="O986" i="1"/>
  <c r="P986" i="1"/>
  <c r="N987" i="1"/>
  <c r="O987" i="1"/>
  <c r="P987" i="1"/>
  <c r="N988" i="1"/>
  <c r="O988" i="1"/>
  <c r="P988" i="1"/>
  <c r="N989" i="1"/>
  <c r="O989" i="1"/>
  <c r="P989" i="1"/>
  <c r="N990" i="1"/>
  <c r="O990" i="1"/>
  <c r="P990" i="1"/>
  <c r="N991" i="1"/>
  <c r="O991" i="1"/>
  <c r="P991" i="1"/>
  <c r="N992" i="1"/>
  <c r="O992" i="1"/>
  <c r="P992" i="1"/>
  <c r="N993" i="1"/>
  <c r="O993" i="1"/>
  <c r="P993" i="1"/>
  <c r="N994" i="1"/>
  <c r="O994" i="1"/>
  <c r="P994" i="1"/>
  <c r="N995" i="1"/>
  <c r="O995" i="1"/>
  <c r="P995" i="1"/>
  <c r="N996" i="1"/>
  <c r="O996" i="1"/>
  <c r="P996" i="1"/>
  <c r="N997" i="1"/>
  <c r="O997" i="1"/>
  <c r="P997" i="1"/>
  <c r="N998" i="1"/>
  <c r="O998" i="1"/>
  <c r="P998" i="1"/>
  <c r="N999" i="1"/>
  <c r="O999" i="1"/>
  <c r="P999" i="1"/>
  <c r="N1000" i="1"/>
  <c r="O1000" i="1"/>
  <c r="P1000" i="1"/>
  <c r="N1001" i="1"/>
  <c r="O1001" i="1"/>
  <c r="P1001" i="1"/>
  <c r="N1002" i="1"/>
  <c r="O1002" i="1"/>
  <c r="P1002" i="1"/>
  <c r="N1003" i="1"/>
  <c r="O1003" i="1"/>
  <c r="P1003" i="1"/>
  <c r="N1004" i="1"/>
  <c r="O1004" i="1"/>
  <c r="P1004" i="1"/>
  <c r="N1005" i="1"/>
  <c r="O1005" i="1"/>
  <c r="P1005" i="1"/>
  <c r="N1006" i="1"/>
  <c r="O1006" i="1"/>
  <c r="P1006" i="1"/>
  <c r="N1007" i="1"/>
  <c r="O1007" i="1"/>
  <c r="P1007" i="1"/>
  <c r="N1008" i="1"/>
  <c r="O1008" i="1"/>
  <c r="P1008" i="1"/>
  <c r="N1009" i="1"/>
  <c r="O1009" i="1"/>
  <c r="P1009" i="1"/>
  <c r="N1010" i="1"/>
  <c r="O1010" i="1"/>
  <c r="P1010" i="1"/>
  <c r="N1011" i="1"/>
  <c r="O1011" i="1"/>
  <c r="P1011" i="1"/>
  <c r="N1012" i="1"/>
  <c r="O1012" i="1"/>
  <c r="P1012" i="1"/>
  <c r="N1013" i="1"/>
  <c r="O1013" i="1"/>
  <c r="P1013" i="1"/>
  <c r="N1014" i="1"/>
  <c r="O1014" i="1"/>
  <c r="P1014" i="1"/>
  <c r="N1015" i="1"/>
  <c r="O1015" i="1"/>
  <c r="P1015" i="1"/>
  <c r="N1016" i="1"/>
  <c r="O1016" i="1"/>
  <c r="P1016" i="1"/>
  <c r="N1017" i="1"/>
  <c r="O1017" i="1"/>
  <c r="P1017" i="1"/>
  <c r="N1018" i="1"/>
  <c r="O1018" i="1"/>
  <c r="P1018" i="1"/>
  <c r="N1019" i="1"/>
  <c r="O1019" i="1"/>
  <c r="P1019" i="1"/>
  <c r="N1020" i="1"/>
  <c r="O1020" i="1"/>
  <c r="P1020" i="1"/>
  <c r="N1021" i="1"/>
  <c r="O1021" i="1"/>
  <c r="P1021" i="1"/>
  <c r="N1022" i="1"/>
  <c r="O1022" i="1"/>
  <c r="P1022" i="1"/>
  <c r="N1023" i="1"/>
  <c r="O1023" i="1"/>
  <c r="P1023" i="1"/>
  <c r="N1024" i="1"/>
  <c r="O1024" i="1"/>
  <c r="P1024" i="1"/>
  <c r="N1025" i="1"/>
  <c r="O1025" i="1"/>
  <c r="P1025" i="1"/>
  <c r="N1026" i="1"/>
  <c r="O1026" i="1"/>
  <c r="P1026" i="1"/>
  <c r="N1027" i="1"/>
  <c r="O1027" i="1"/>
  <c r="P1027" i="1"/>
  <c r="N1028" i="1"/>
  <c r="O1028" i="1"/>
  <c r="P1028" i="1"/>
  <c r="N1029" i="1"/>
  <c r="O1029" i="1"/>
  <c r="P1029" i="1"/>
  <c r="N1030" i="1"/>
  <c r="O1030" i="1"/>
  <c r="P1030" i="1"/>
  <c r="N1031" i="1"/>
  <c r="O1031" i="1"/>
  <c r="P1031" i="1"/>
  <c r="N1032" i="1"/>
  <c r="O1032" i="1"/>
  <c r="P1032" i="1"/>
  <c r="N1033" i="1"/>
  <c r="O1033" i="1"/>
  <c r="P1033" i="1"/>
  <c r="N1034" i="1"/>
  <c r="O1034" i="1"/>
  <c r="P1034" i="1"/>
  <c r="N1035" i="1"/>
  <c r="O1035" i="1"/>
  <c r="P1035" i="1"/>
  <c r="N1036" i="1"/>
  <c r="O1036" i="1"/>
  <c r="P1036" i="1"/>
  <c r="N1037" i="1"/>
  <c r="O1037" i="1"/>
  <c r="P1037" i="1"/>
  <c r="N1038" i="1"/>
  <c r="O1038" i="1"/>
  <c r="P1038" i="1"/>
  <c r="N1039" i="1"/>
  <c r="O1039" i="1"/>
  <c r="P1039" i="1"/>
  <c r="N1040" i="1"/>
  <c r="O1040" i="1"/>
  <c r="P1040" i="1"/>
  <c r="N1041" i="1"/>
  <c r="O1041" i="1"/>
  <c r="P1041" i="1"/>
  <c r="N1042" i="1"/>
  <c r="O1042" i="1"/>
  <c r="P1042" i="1"/>
  <c r="N1043" i="1"/>
  <c r="O1043" i="1"/>
  <c r="P1043" i="1"/>
  <c r="N1044" i="1"/>
  <c r="O1044" i="1"/>
  <c r="P1044" i="1"/>
  <c r="N1045" i="1"/>
  <c r="O1045" i="1"/>
  <c r="P1045" i="1"/>
  <c r="N1046" i="1"/>
  <c r="O1046" i="1"/>
  <c r="P1046" i="1"/>
  <c r="N1047" i="1"/>
  <c r="O1047" i="1"/>
  <c r="P1047" i="1"/>
  <c r="N1048" i="1"/>
  <c r="O1048" i="1"/>
  <c r="P1048" i="1"/>
  <c r="N1049" i="1"/>
  <c r="O1049" i="1"/>
  <c r="P1049" i="1"/>
  <c r="N1050" i="1"/>
  <c r="O1050" i="1"/>
  <c r="P1050" i="1"/>
  <c r="N1051" i="1"/>
  <c r="O1051" i="1"/>
  <c r="P1051" i="1"/>
  <c r="N1052" i="1"/>
  <c r="O1052" i="1"/>
  <c r="P1052" i="1"/>
  <c r="N1053" i="1"/>
  <c r="O1053" i="1"/>
  <c r="P1053" i="1"/>
  <c r="N1054" i="1"/>
  <c r="O1054" i="1"/>
  <c r="P1054" i="1"/>
  <c r="N1055" i="1"/>
  <c r="O1055" i="1"/>
  <c r="P1055" i="1"/>
  <c r="N1056" i="1"/>
  <c r="O1056" i="1"/>
  <c r="P1056" i="1"/>
  <c r="N1057" i="1"/>
  <c r="O1057" i="1"/>
  <c r="P1057" i="1"/>
  <c r="N1058" i="1"/>
  <c r="O1058" i="1"/>
  <c r="P1058" i="1"/>
  <c r="N1059" i="1"/>
  <c r="O1059" i="1"/>
  <c r="P1059" i="1"/>
  <c r="N1060" i="1"/>
  <c r="O1060" i="1"/>
  <c r="P1060" i="1"/>
  <c r="N1061" i="1"/>
  <c r="O1061" i="1"/>
  <c r="P1061" i="1"/>
  <c r="N1062" i="1"/>
  <c r="O1062" i="1"/>
  <c r="P1062" i="1"/>
  <c r="N1063" i="1"/>
  <c r="O1063" i="1"/>
  <c r="P1063" i="1"/>
  <c r="N1064" i="1"/>
  <c r="O1064" i="1"/>
  <c r="P1064" i="1"/>
  <c r="N1065" i="1"/>
  <c r="O1065" i="1"/>
  <c r="P1065" i="1"/>
  <c r="N1066" i="1"/>
  <c r="O1066" i="1"/>
  <c r="P1066" i="1"/>
  <c r="N1067" i="1"/>
  <c r="O1067" i="1"/>
  <c r="P1067" i="1"/>
  <c r="N1068" i="1"/>
  <c r="O1068" i="1"/>
  <c r="P1068" i="1"/>
  <c r="N1069" i="1"/>
  <c r="O1069" i="1"/>
  <c r="P1069" i="1"/>
  <c r="N1070" i="1"/>
  <c r="O1070" i="1"/>
  <c r="P1070" i="1"/>
  <c r="N1071" i="1"/>
  <c r="O1071" i="1"/>
  <c r="P1071" i="1"/>
  <c r="N1072" i="1"/>
  <c r="O1072" i="1"/>
  <c r="P1072" i="1"/>
  <c r="N1073" i="1"/>
  <c r="O1073" i="1"/>
  <c r="P1073" i="1"/>
  <c r="N1074" i="1"/>
  <c r="O1074" i="1"/>
  <c r="P1074" i="1"/>
  <c r="N1075" i="1"/>
  <c r="O1075" i="1"/>
  <c r="P1075" i="1"/>
  <c r="N1076" i="1"/>
  <c r="O1076" i="1"/>
  <c r="P1076" i="1"/>
  <c r="N1077" i="1"/>
  <c r="O1077" i="1"/>
  <c r="P1077" i="1"/>
  <c r="N1078" i="1"/>
  <c r="O1078" i="1"/>
  <c r="P1078" i="1"/>
  <c r="N1079" i="1"/>
  <c r="O1079" i="1"/>
  <c r="P1079" i="1"/>
  <c r="N1080" i="1"/>
  <c r="O1080" i="1"/>
  <c r="P1080" i="1"/>
  <c r="N1081" i="1"/>
  <c r="O1081" i="1"/>
  <c r="P1081" i="1"/>
  <c r="N1082" i="1"/>
  <c r="O1082" i="1"/>
  <c r="P1082" i="1"/>
  <c r="N1083" i="1"/>
  <c r="O1083" i="1"/>
  <c r="P1083" i="1"/>
  <c r="N1084" i="1"/>
  <c r="O1084" i="1"/>
  <c r="P1084" i="1"/>
  <c r="N1085" i="1"/>
  <c r="O1085" i="1"/>
  <c r="P1085" i="1"/>
  <c r="N1086" i="1"/>
  <c r="O1086" i="1"/>
  <c r="P1086" i="1"/>
  <c r="N1087" i="1"/>
  <c r="O1087" i="1"/>
  <c r="P1087" i="1"/>
  <c r="N1088" i="1"/>
  <c r="O1088" i="1"/>
  <c r="P1088" i="1"/>
  <c r="N1089" i="1"/>
  <c r="O1089" i="1"/>
  <c r="P1089" i="1"/>
  <c r="N1090" i="1"/>
  <c r="O1090" i="1"/>
  <c r="P1090" i="1"/>
  <c r="N1091" i="1"/>
  <c r="O1091" i="1"/>
  <c r="P1091" i="1"/>
  <c r="N1092" i="1"/>
  <c r="O1092" i="1"/>
  <c r="P1092" i="1"/>
  <c r="N1093" i="1"/>
  <c r="O1093" i="1"/>
  <c r="P1093" i="1"/>
  <c r="N1094" i="1"/>
  <c r="O1094" i="1"/>
  <c r="P1094" i="1"/>
  <c r="N1095" i="1"/>
  <c r="O1095" i="1"/>
  <c r="P1095" i="1"/>
  <c r="N1096" i="1"/>
  <c r="O1096" i="1"/>
  <c r="P1096" i="1"/>
  <c r="N1097" i="1"/>
  <c r="O1097" i="1"/>
  <c r="P1097" i="1"/>
  <c r="N1098" i="1"/>
  <c r="O1098" i="1"/>
  <c r="P1098" i="1"/>
  <c r="N1099" i="1"/>
  <c r="O1099" i="1"/>
  <c r="P1099" i="1"/>
  <c r="N1100" i="1"/>
  <c r="O1100" i="1"/>
  <c r="P1100" i="1"/>
  <c r="N1101" i="1"/>
  <c r="O1101" i="1"/>
  <c r="P1101" i="1"/>
  <c r="N1102" i="1"/>
  <c r="O1102" i="1"/>
  <c r="P1102" i="1"/>
  <c r="N1103" i="1"/>
  <c r="O1103" i="1"/>
  <c r="P1103" i="1"/>
  <c r="N1104" i="1"/>
  <c r="O1104" i="1"/>
  <c r="P1104" i="1"/>
  <c r="N1105" i="1"/>
  <c r="O1105" i="1"/>
  <c r="P1105" i="1"/>
  <c r="N1106" i="1"/>
  <c r="O1106" i="1"/>
  <c r="P1106" i="1"/>
  <c r="N1107" i="1"/>
  <c r="O1107" i="1"/>
  <c r="P1107" i="1"/>
  <c r="N1108" i="1"/>
  <c r="O1108" i="1"/>
  <c r="P1108" i="1"/>
  <c r="N1109" i="1"/>
  <c r="O1109" i="1"/>
  <c r="P1109" i="1"/>
  <c r="N1110" i="1"/>
  <c r="O1110" i="1"/>
  <c r="P1110" i="1"/>
  <c r="N1111" i="1"/>
  <c r="O1111" i="1"/>
  <c r="P1111" i="1"/>
  <c r="N1112" i="1"/>
  <c r="O1112" i="1"/>
  <c r="P1112" i="1"/>
  <c r="N1113" i="1"/>
  <c r="O1113" i="1"/>
  <c r="P1113" i="1"/>
  <c r="N1114" i="1"/>
  <c r="O1114" i="1"/>
  <c r="P1114" i="1"/>
  <c r="N1115" i="1"/>
  <c r="O1115" i="1"/>
  <c r="P1115" i="1"/>
  <c r="N1116" i="1"/>
  <c r="O1116" i="1"/>
  <c r="P1116" i="1"/>
  <c r="N1117" i="1"/>
  <c r="O1117" i="1"/>
  <c r="P1117" i="1"/>
  <c r="N1118" i="1"/>
  <c r="O1118" i="1"/>
  <c r="P1118" i="1"/>
  <c r="N1119" i="1"/>
  <c r="O1119" i="1"/>
  <c r="P1119" i="1"/>
  <c r="N1120" i="1"/>
  <c r="O1120" i="1"/>
  <c r="P1120" i="1"/>
  <c r="N1121" i="1"/>
  <c r="O1121" i="1"/>
  <c r="P1121" i="1"/>
  <c r="N1122" i="1"/>
  <c r="O1122" i="1"/>
  <c r="P1122" i="1"/>
  <c r="N1123" i="1"/>
  <c r="O1123" i="1"/>
  <c r="P1123" i="1"/>
  <c r="N1124" i="1"/>
  <c r="O1124" i="1"/>
  <c r="P1124" i="1"/>
  <c r="N1125" i="1"/>
  <c r="O1125" i="1"/>
  <c r="P1125" i="1"/>
  <c r="N1126" i="1"/>
  <c r="O1126" i="1"/>
  <c r="P1126" i="1"/>
  <c r="N1127" i="1"/>
  <c r="O1127" i="1"/>
  <c r="P1127" i="1"/>
  <c r="N1128" i="1"/>
  <c r="O1128" i="1"/>
  <c r="P1128" i="1"/>
  <c r="N1129" i="1"/>
  <c r="O1129" i="1"/>
  <c r="P1129" i="1"/>
  <c r="N1130" i="1"/>
  <c r="O1130" i="1"/>
  <c r="P1130" i="1"/>
  <c r="N1131" i="1"/>
  <c r="O1131" i="1"/>
  <c r="P1131" i="1"/>
  <c r="N1132" i="1"/>
  <c r="O1132" i="1"/>
  <c r="P1132" i="1"/>
  <c r="N1133" i="1"/>
  <c r="O1133" i="1"/>
  <c r="P1133" i="1"/>
  <c r="N1134" i="1"/>
  <c r="O1134" i="1"/>
  <c r="P1134" i="1"/>
  <c r="N1135" i="1"/>
  <c r="O1135" i="1"/>
  <c r="P1135" i="1"/>
  <c r="N1136" i="1"/>
  <c r="O1136" i="1"/>
  <c r="P1136" i="1"/>
  <c r="N1137" i="1"/>
  <c r="O1137" i="1"/>
  <c r="P1137" i="1"/>
  <c r="N1138" i="1"/>
  <c r="O1138" i="1"/>
  <c r="P1138" i="1"/>
  <c r="N1139" i="1"/>
  <c r="O1139" i="1"/>
  <c r="P1139" i="1"/>
  <c r="N1140" i="1"/>
  <c r="O1140" i="1"/>
  <c r="P1140" i="1"/>
  <c r="N1141" i="1"/>
  <c r="O1141" i="1"/>
  <c r="P1141" i="1"/>
  <c r="N1142" i="1"/>
  <c r="O1142" i="1"/>
  <c r="P1142" i="1"/>
  <c r="N1143" i="1"/>
  <c r="O1143" i="1"/>
  <c r="P1143" i="1"/>
  <c r="N1144" i="1"/>
  <c r="O1144" i="1"/>
  <c r="P1144" i="1"/>
  <c r="N1145" i="1"/>
  <c r="O1145" i="1"/>
  <c r="P1145" i="1"/>
  <c r="N1146" i="1"/>
  <c r="O1146" i="1"/>
  <c r="P1146" i="1"/>
  <c r="N1147" i="1"/>
  <c r="O1147" i="1"/>
  <c r="P1147" i="1"/>
  <c r="N1148" i="1"/>
  <c r="O1148" i="1"/>
  <c r="P1148" i="1"/>
  <c r="N1149" i="1"/>
  <c r="O1149" i="1"/>
  <c r="P1149" i="1"/>
  <c r="N1150" i="1"/>
  <c r="O1150" i="1"/>
  <c r="P1150" i="1"/>
  <c r="N1151" i="1"/>
  <c r="O1151" i="1"/>
  <c r="P1151" i="1"/>
  <c r="N1152" i="1"/>
  <c r="O1152" i="1"/>
  <c r="P1152" i="1"/>
  <c r="N1153" i="1"/>
  <c r="O1153" i="1"/>
  <c r="P1153" i="1"/>
  <c r="N1154" i="1"/>
  <c r="O1154" i="1"/>
  <c r="P1154" i="1"/>
  <c r="N1155" i="1"/>
  <c r="O1155" i="1"/>
  <c r="P1155" i="1"/>
  <c r="N1156" i="1"/>
  <c r="O1156" i="1"/>
  <c r="P1156" i="1"/>
  <c r="N1157" i="1"/>
  <c r="O1157" i="1"/>
  <c r="P1157" i="1"/>
  <c r="N1158" i="1"/>
  <c r="O1158" i="1"/>
  <c r="P1158" i="1"/>
  <c r="N1159" i="1"/>
  <c r="O1159" i="1"/>
  <c r="P1159" i="1"/>
  <c r="N1160" i="1"/>
  <c r="O1160" i="1"/>
  <c r="P1160" i="1"/>
  <c r="N1161" i="1"/>
  <c r="O1161" i="1"/>
  <c r="P1161" i="1"/>
  <c r="N1162" i="1"/>
  <c r="O1162" i="1"/>
  <c r="P1162" i="1"/>
  <c r="N1163" i="1"/>
  <c r="O1163" i="1"/>
  <c r="P1163" i="1"/>
  <c r="N1164" i="1"/>
  <c r="O1164" i="1"/>
  <c r="P1164" i="1"/>
  <c r="N1165" i="1"/>
  <c r="O1165" i="1"/>
  <c r="P1165" i="1"/>
  <c r="N1166" i="1"/>
  <c r="O1166" i="1"/>
  <c r="P1166" i="1"/>
  <c r="N1167" i="1"/>
  <c r="O1167" i="1"/>
  <c r="P1167" i="1"/>
  <c r="N1168" i="1"/>
  <c r="O1168" i="1"/>
  <c r="P1168" i="1"/>
  <c r="N1169" i="1"/>
  <c r="O1169" i="1"/>
  <c r="P1169" i="1"/>
  <c r="N1170" i="1"/>
  <c r="O1170" i="1"/>
  <c r="P1170" i="1"/>
  <c r="N1171" i="1"/>
  <c r="O1171" i="1"/>
  <c r="P1171" i="1"/>
  <c r="N1172" i="1"/>
  <c r="O1172" i="1"/>
  <c r="P1172" i="1"/>
  <c r="N1173" i="1"/>
  <c r="O1173" i="1"/>
  <c r="P1173" i="1"/>
  <c r="N1174" i="1"/>
  <c r="O1174" i="1"/>
  <c r="P1174" i="1"/>
  <c r="N1175" i="1"/>
  <c r="O1175" i="1"/>
  <c r="P1175" i="1"/>
  <c r="N1176" i="1"/>
  <c r="O1176" i="1"/>
  <c r="P1176" i="1"/>
  <c r="N1177" i="1"/>
  <c r="O1177" i="1"/>
  <c r="P1177" i="1"/>
  <c r="N1178" i="1"/>
  <c r="O1178" i="1"/>
  <c r="P1178" i="1"/>
  <c r="N1179" i="1"/>
  <c r="O1179" i="1"/>
  <c r="P1179" i="1"/>
  <c r="N1180" i="1"/>
  <c r="O1180" i="1"/>
  <c r="P1180" i="1"/>
  <c r="N1181" i="1"/>
  <c r="O1181" i="1"/>
  <c r="P1181" i="1"/>
  <c r="N1182" i="1"/>
  <c r="O1182" i="1"/>
  <c r="P1182" i="1"/>
  <c r="N1183" i="1"/>
  <c r="O1183" i="1"/>
  <c r="P1183" i="1"/>
  <c r="N1184" i="1"/>
  <c r="O1184" i="1"/>
  <c r="P1184" i="1"/>
  <c r="N1185" i="1"/>
  <c r="O1185" i="1"/>
  <c r="P1185" i="1"/>
  <c r="N1186" i="1"/>
  <c r="O1186" i="1"/>
  <c r="P1186" i="1"/>
  <c r="N1187" i="1"/>
  <c r="O1187" i="1"/>
  <c r="P1187" i="1"/>
  <c r="N1188" i="1"/>
  <c r="O1188" i="1"/>
  <c r="P1188" i="1"/>
  <c r="N1189" i="1"/>
  <c r="O1189" i="1"/>
  <c r="P1189" i="1"/>
  <c r="N1190" i="1"/>
  <c r="O1190" i="1"/>
  <c r="P1190" i="1"/>
  <c r="N1191" i="1"/>
  <c r="O1191" i="1"/>
  <c r="P1191" i="1"/>
  <c r="N1192" i="1"/>
  <c r="O1192" i="1"/>
  <c r="P1192" i="1"/>
  <c r="N1193" i="1"/>
  <c r="O1193" i="1"/>
  <c r="P1193" i="1"/>
  <c r="N1194" i="1"/>
  <c r="O1194" i="1"/>
  <c r="P1194" i="1"/>
  <c r="N1195" i="1"/>
  <c r="O1195" i="1"/>
  <c r="P1195" i="1"/>
  <c r="N1196" i="1"/>
  <c r="O1196" i="1"/>
  <c r="P1196" i="1"/>
  <c r="N1197" i="1"/>
  <c r="O1197" i="1"/>
  <c r="P1197" i="1"/>
  <c r="N1198" i="1"/>
  <c r="O1198" i="1"/>
  <c r="P1198" i="1"/>
  <c r="N1199" i="1"/>
  <c r="O1199" i="1"/>
  <c r="P1199" i="1"/>
  <c r="N1200" i="1"/>
  <c r="O1200" i="1"/>
  <c r="P1200" i="1"/>
  <c r="N1201" i="1"/>
  <c r="O1201" i="1"/>
  <c r="P1201" i="1"/>
  <c r="N1202" i="1"/>
  <c r="O1202" i="1"/>
  <c r="P1202" i="1"/>
  <c r="N1203" i="1"/>
  <c r="O1203" i="1"/>
  <c r="P1203" i="1"/>
  <c r="N1204" i="1"/>
  <c r="O1204" i="1"/>
  <c r="P1204" i="1"/>
  <c r="N1205" i="1"/>
  <c r="O1205" i="1"/>
  <c r="P1205" i="1"/>
  <c r="N1206" i="1"/>
  <c r="O1206" i="1"/>
  <c r="P1206" i="1"/>
  <c r="N1207" i="1"/>
  <c r="O1207" i="1"/>
  <c r="P1207" i="1"/>
  <c r="N1208" i="1"/>
  <c r="O1208" i="1"/>
  <c r="P1208" i="1"/>
  <c r="N1209" i="1"/>
  <c r="O1209" i="1"/>
  <c r="P1209" i="1"/>
  <c r="N1210" i="1"/>
  <c r="O1210" i="1"/>
  <c r="P1210" i="1"/>
  <c r="N1211" i="1"/>
  <c r="O1211" i="1"/>
  <c r="P1211" i="1"/>
  <c r="N1212" i="1"/>
  <c r="O1212" i="1"/>
  <c r="P1212" i="1"/>
  <c r="N1213" i="1"/>
  <c r="O1213" i="1"/>
  <c r="P1213" i="1"/>
  <c r="N1214" i="1"/>
  <c r="O1214" i="1"/>
  <c r="P1214" i="1"/>
  <c r="N1215" i="1"/>
  <c r="O1215" i="1"/>
  <c r="P1215" i="1"/>
  <c r="N1216" i="1"/>
  <c r="O1216" i="1"/>
  <c r="P1216" i="1"/>
  <c r="N1217" i="1"/>
  <c r="O1217" i="1"/>
  <c r="P1217" i="1"/>
  <c r="N1218" i="1"/>
  <c r="O1218" i="1"/>
  <c r="P1218" i="1"/>
  <c r="N1219" i="1"/>
  <c r="O1219" i="1"/>
  <c r="P1219" i="1"/>
  <c r="N1220" i="1"/>
  <c r="O1220" i="1"/>
  <c r="P1220" i="1"/>
  <c r="N1221" i="1"/>
  <c r="O1221" i="1"/>
  <c r="P1221" i="1"/>
  <c r="N1222" i="1"/>
  <c r="O1222" i="1"/>
  <c r="P1222" i="1"/>
  <c r="N1223" i="1"/>
  <c r="O1223" i="1"/>
  <c r="P1223" i="1"/>
  <c r="N1224" i="1"/>
  <c r="O1224" i="1"/>
  <c r="P1224" i="1"/>
  <c r="N1225" i="1"/>
  <c r="O1225" i="1"/>
  <c r="P1225" i="1"/>
  <c r="N1226" i="1"/>
  <c r="O1226" i="1"/>
  <c r="P1226" i="1"/>
  <c r="N1227" i="1"/>
  <c r="O1227" i="1"/>
  <c r="P1227" i="1"/>
  <c r="N1228" i="1"/>
  <c r="O1228" i="1"/>
  <c r="P1228" i="1"/>
  <c r="N1229" i="1"/>
  <c r="O1229" i="1"/>
  <c r="P1229" i="1"/>
  <c r="N1230" i="1"/>
  <c r="O1230" i="1"/>
  <c r="P1230" i="1"/>
  <c r="N1231" i="1"/>
  <c r="O1231" i="1"/>
  <c r="P1231" i="1"/>
  <c r="N1232" i="1"/>
  <c r="O1232" i="1"/>
  <c r="P1232" i="1"/>
  <c r="N1233" i="1"/>
  <c r="O1233" i="1"/>
  <c r="P1233" i="1"/>
  <c r="N1234" i="1"/>
  <c r="O1234" i="1"/>
  <c r="P1234" i="1"/>
  <c r="N1235" i="1"/>
  <c r="O1235" i="1"/>
  <c r="P1235" i="1"/>
  <c r="N1236" i="1"/>
  <c r="O1236" i="1"/>
  <c r="P1236" i="1"/>
  <c r="N1237" i="1"/>
  <c r="O1237" i="1"/>
  <c r="P1237" i="1"/>
  <c r="N1238" i="1"/>
  <c r="O1238" i="1"/>
  <c r="P1238" i="1"/>
  <c r="N1239" i="1"/>
  <c r="O1239" i="1"/>
  <c r="P1239" i="1"/>
  <c r="N1240" i="1"/>
  <c r="O1240" i="1"/>
  <c r="P1240" i="1"/>
  <c r="N1241" i="1"/>
  <c r="O1241" i="1"/>
  <c r="P1241" i="1"/>
  <c r="N1242" i="1"/>
  <c r="O1242" i="1"/>
  <c r="P1242" i="1"/>
  <c r="N1243" i="1"/>
  <c r="O1243" i="1"/>
  <c r="P1243" i="1"/>
  <c r="N1244" i="1"/>
  <c r="O1244" i="1"/>
  <c r="P1244" i="1"/>
  <c r="N1245" i="1"/>
  <c r="O1245" i="1"/>
  <c r="P1245" i="1"/>
  <c r="N1246" i="1"/>
  <c r="O1246" i="1"/>
  <c r="P1246" i="1"/>
  <c r="N1247" i="1"/>
  <c r="O1247" i="1"/>
  <c r="P1247" i="1"/>
  <c r="N1248" i="1"/>
  <c r="O1248" i="1"/>
  <c r="P1248" i="1"/>
  <c r="N1249" i="1"/>
  <c r="O1249" i="1"/>
  <c r="P1249" i="1"/>
  <c r="N1250" i="1"/>
  <c r="O1250" i="1"/>
  <c r="P1250" i="1"/>
  <c r="N1251" i="1"/>
  <c r="O1251" i="1"/>
  <c r="P1251" i="1"/>
  <c r="N1252" i="1"/>
  <c r="O1252" i="1"/>
  <c r="P1252" i="1"/>
  <c r="N1253" i="1"/>
  <c r="O1253" i="1"/>
  <c r="P1253" i="1"/>
  <c r="N1254" i="1"/>
  <c r="O1254" i="1"/>
  <c r="P1254" i="1"/>
  <c r="N1255" i="1"/>
  <c r="O1255" i="1"/>
  <c r="P1255" i="1"/>
  <c r="N1256" i="1"/>
  <c r="O1256" i="1"/>
  <c r="P1256" i="1"/>
  <c r="N1257" i="1"/>
  <c r="O1257" i="1"/>
  <c r="P1257" i="1"/>
  <c r="N1258" i="1"/>
  <c r="O1258" i="1"/>
  <c r="P1258" i="1"/>
  <c r="N1259" i="1"/>
  <c r="O1259" i="1"/>
  <c r="P1259" i="1"/>
  <c r="N1260" i="1"/>
  <c r="O1260" i="1"/>
  <c r="P1260" i="1"/>
  <c r="O3" i="1"/>
  <c r="P3" i="1"/>
  <c r="N3" i="1"/>
  <c r="AE1255" i="1" l="1"/>
  <c r="AF1255" i="1"/>
  <c r="AG1255" i="1"/>
  <c r="AE1256" i="1"/>
  <c r="AF1256" i="1"/>
  <c r="AG1256" i="1"/>
  <c r="AE1257" i="1"/>
  <c r="AF1257" i="1"/>
  <c r="AG1257" i="1"/>
  <c r="AE1258" i="1"/>
  <c r="AF1258" i="1"/>
  <c r="AG1258" i="1"/>
  <c r="AE1259" i="1"/>
  <c r="AF1259" i="1"/>
  <c r="AG1259" i="1"/>
  <c r="AE1260" i="1"/>
  <c r="AF1260" i="1"/>
  <c r="AG1260" i="1"/>
  <c r="AE1261" i="1"/>
  <c r="AF1261" i="1"/>
  <c r="AG1261" i="1"/>
  <c r="AE5" i="1"/>
  <c r="AF5" i="1"/>
  <c r="AG5" i="1"/>
  <c r="AE6" i="1"/>
  <c r="AF6" i="1"/>
  <c r="AG6" i="1"/>
  <c r="AE7" i="1"/>
  <c r="AF7" i="1"/>
  <c r="AG7" i="1"/>
  <c r="AE8" i="1"/>
  <c r="AF8" i="1"/>
  <c r="AG8" i="1"/>
  <c r="AE9" i="1"/>
  <c r="AF9" i="1"/>
  <c r="AG9" i="1"/>
  <c r="AE10" i="1"/>
  <c r="AF10" i="1"/>
  <c r="AG10" i="1"/>
  <c r="AE11" i="1"/>
  <c r="AF11" i="1"/>
  <c r="AG11" i="1"/>
  <c r="AE12" i="1"/>
  <c r="AF12" i="1"/>
  <c r="AG12" i="1"/>
  <c r="AE13" i="1"/>
  <c r="AF13" i="1"/>
  <c r="AG13" i="1"/>
  <c r="AE14" i="1"/>
  <c r="AF14" i="1"/>
  <c r="AG14" i="1"/>
  <c r="AE15" i="1"/>
  <c r="AF15" i="1"/>
  <c r="AG15" i="1"/>
  <c r="AE16" i="1"/>
  <c r="AF16" i="1"/>
  <c r="AG16" i="1"/>
  <c r="AE17" i="1"/>
  <c r="AF17" i="1"/>
  <c r="AG17" i="1"/>
  <c r="AE18" i="1"/>
  <c r="AF18" i="1"/>
  <c r="AG18" i="1"/>
  <c r="AE19" i="1"/>
  <c r="AF19" i="1"/>
  <c r="AG19" i="1"/>
  <c r="AE20" i="1"/>
  <c r="AF20" i="1"/>
  <c r="AG20" i="1"/>
  <c r="AE21" i="1"/>
  <c r="AF21" i="1"/>
  <c r="AG21" i="1"/>
  <c r="AE22" i="1"/>
  <c r="AF22" i="1"/>
  <c r="AG22" i="1"/>
  <c r="AE23" i="1"/>
  <c r="AF23" i="1"/>
  <c r="AG23" i="1"/>
  <c r="AE24" i="1"/>
  <c r="AF24" i="1"/>
  <c r="AG24" i="1"/>
  <c r="AE25" i="1"/>
  <c r="AF25" i="1"/>
  <c r="AG25" i="1"/>
  <c r="AE26" i="1"/>
  <c r="AF26" i="1"/>
  <c r="AG26" i="1"/>
  <c r="AE27" i="1"/>
  <c r="AF27" i="1"/>
  <c r="AG27" i="1"/>
  <c r="AE28" i="1"/>
  <c r="AF28" i="1"/>
  <c r="AG28" i="1"/>
  <c r="AE29" i="1"/>
  <c r="AF29" i="1"/>
  <c r="AG29" i="1"/>
  <c r="AE30" i="1"/>
  <c r="AF30" i="1"/>
  <c r="AG30" i="1"/>
  <c r="AE31" i="1"/>
  <c r="AF31" i="1"/>
  <c r="AG31" i="1"/>
  <c r="AE32" i="1"/>
  <c r="AF32" i="1"/>
  <c r="AG32" i="1"/>
  <c r="AE33" i="1"/>
  <c r="AF33" i="1"/>
  <c r="AG33" i="1"/>
  <c r="AE34" i="1"/>
  <c r="AF34" i="1"/>
  <c r="AG34" i="1"/>
  <c r="AE35" i="1"/>
  <c r="AF35" i="1"/>
  <c r="AG35" i="1"/>
  <c r="AE36" i="1"/>
  <c r="AF36" i="1"/>
  <c r="AG36" i="1"/>
  <c r="AE37" i="1"/>
  <c r="AF37" i="1"/>
  <c r="AG37" i="1"/>
  <c r="AE38" i="1"/>
  <c r="AF38" i="1"/>
  <c r="AG38" i="1"/>
  <c r="AE39" i="1"/>
  <c r="AF39" i="1"/>
  <c r="AG39" i="1"/>
  <c r="AE40" i="1"/>
  <c r="AF40" i="1"/>
  <c r="AG40" i="1"/>
  <c r="AE41" i="1"/>
  <c r="AF41" i="1"/>
  <c r="AG41" i="1"/>
  <c r="AE42" i="1"/>
  <c r="AF42" i="1"/>
  <c r="AG42" i="1"/>
  <c r="AE43" i="1"/>
  <c r="AF43" i="1"/>
  <c r="AG43" i="1"/>
  <c r="AE44" i="1"/>
  <c r="AF44" i="1"/>
  <c r="AG44" i="1"/>
  <c r="AE45" i="1"/>
  <c r="AF45" i="1"/>
  <c r="AG45" i="1"/>
  <c r="AE46" i="1"/>
  <c r="AF46" i="1"/>
  <c r="AG46" i="1"/>
  <c r="AE47" i="1"/>
  <c r="AF47" i="1"/>
  <c r="AG47" i="1"/>
  <c r="AE48" i="1"/>
  <c r="AF48" i="1"/>
  <c r="AG48" i="1"/>
  <c r="AE49" i="1"/>
  <c r="AF49" i="1"/>
  <c r="AG49" i="1"/>
  <c r="AE50" i="1"/>
  <c r="AF50" i="1"/>
  <c r="AG50" i="1"/>
  <c r="AE51" i="1"/>
  <c r="AF51" i="1"/>
  <c r="AG51" i="1"/>
  <c r="AE52" i="1"/>
  <c r="AF52" i="1"/>
  <c r="AG52" i="1"/>
  <c r="AE53" i="1"/>
  <c r="AF53" i="1"/>
  <c r="AG53" i="1"/>
  <c r="AE54" i="1"/>
  <c r="AF54" i="1"/>
  <c r="AG54" i="1"/>
  <c r="AE55" i="1"/>
  <c r="AF55" i="1"/>
  <c r="AG55" i="1"/>
  <c r="AE56" i="1"/>
  <c r="AF56" i="1"/>
  <c r="AG56" i="1"/>
  <c r="AE57" i="1"/>
  <c r="AF57" i="1"/>
  <c r="AG57" i="1"/>
  <c r="AE58" i="1"/>
  <c r="AF58" i="1"/>
  <c r="AG58" i="1"/>
  <c r="AE59" i="1"/>
  <c r="AF59" i="1"/>
  <c r="AG59" i="1"/>
  <c r="AE60" i="1"/>
  <c r="AF60" i="1"/>
  <c r="AG60" i="1"/>
  <c r="AE61" i="1"/>
  <c r="AF61" i="1"/>
  <c r="AG61" i="1"/>
  <c r="AE62" i="1"/>
  <c r="AF62" i="1"/>
  <c r="AG62" i="1"/>
  <c r="AE63" i="1"/>
  <c r="AF63" i="1"/>
  <c r="AG63" i="1"/>
  <c r="AE64" i="1"/>
  <c r="AF64" i="1"/>
  <c r="AG64" i="1"/>
  <c r="AE65" i="1"/>
  <c r="AF65" i="1"/>
  <c r="AG65" i="1"/>
  <c r="AE66" i="1"/>
  <c r="AF66" i="1"/>
  <c r="AG66" i="1"/>
  <c r="AE67" i="1"/>
  <c r="AF67" i="1"/>
  <c r="AG67" i="1"/>
  <c r="AE68" i="1"/>
  <c r="AF68" i="1"/>
  <c r="AG68" i="1"/>
  <c r="AE69" i="1"/>
  <c r="AF69" i="1"/>
  <c r="AG69" i="1"/>
  <c r="AE70" i="1"/>
  <c r="AF70" i="1"/>
  <c r="AG70" i="1"/>
  <c r="AE71" i="1"/>
  <c r="AF71" i="1"/>
  <c r="AG71" i="1"/>
  <c r="AE72" i="1"/>
  <c r="AF72" i="1"/>
  <c r="AG72" i="1"/>
  <c r="AE73" i="1"/>
  <c r="AF73" i="1"/>
  <c r="AG73" i="1"/>
  <c r="AE74" i="1"/>
  <c r="AF74" i="1"/>
  <c r="AG74" i="1"/>
  <c r="AE75" i="1"/>
  <c r="AF75" i="1"/>
  <c r="AG75" i="1"/>
  <c r="AE76" i="1"/>
  <c r="AF76" i="1"/>
  <c r="AG76" i="1"/>
  <c r="AE77" i="1"/>
  <c r="AF77" i="1"/>
  <c r="AG77" i="1"/>
  <c r="AE78" i="1"/>
  <c r="AF78" i="1"/>
  <c r="AG78" i="1"/>
  <c r="AE79" i="1"/>
  <c r="AF79" i="1"/>
  <c r="AG79" i="1"/>
  <c r="AE80" i="1"/>
  <c r="AF80" i="1"/>
  <c r="AG80" i="1"/>
  <c r="AE81" i="1"/>
  <c r="AF81" i="1"/>
  <c r="AG81" i="1"/>
  <c r="AE82" i="1"/>
  <c r="AF82" i="1"/>
  <c r="AG82" i="1"/>
  <c r="AE83" i="1"/>
  <c r="AF83" i="1"/>
  <c r="AG83" i="1"/>
  <c r="AE84" i="1"/>
  <c r="AF84" i="1"/>
  <c r="AG84" i="1"/>
  <c r="AE85" i="1"/>
  <c r="AF85" i="1"/>
  <c r="AG85" i="1"/>
  <c r="AE86" i="1"/>
  <c r="AF86" i="1"/>
  <c r="AG86" i="1"/>
  <c r="AE87" i="1"/>
  <c r="AF87" i="1"/>
  <c r="AG87" i="1"/>
  <c r="AE88" i="1"/>
  <c r="AF88" i="1"/>
  <c r="AG88" i="1"/>
  <c r="AE89" i="1"/>
  <c r="AF89" i="1"/>
  <c r="AG89" i="1"/>
  <c r="AE90" i="1"/>
  <c r="AF90" i="1"/>
  <c r="AG90" i="1"/>
  <c r="AE91" i="1"/>
  <c r="AF91" i="1"/>
  <c r="AG91" i="1"/>
  <c r="AE92" i="1"/>
  <c r="AF92" i="1"/>
  <c r="AG92" i="1"/>
  <c r="AE93" i="1"/>
  <c r="AF93" i="1"/>
  <c r="AG93" i="1"/>
  <c r="AE94" i="1"/>
  <c r="AF94" i="1"/>
  <c r="AG94" i="1"/>
  <c r="AE95" i="1"/>
  <c r="AF95" i="1"/>
  <c r="AG95" i="1"/>
  <c r="AE96" i="1"/>
  <c r="AF96" i="1"/>
  <c r="AG96" i="1"/>
  <c r="AE97" i="1"/>
  <c r="AF97" i="1"/>
  <c r="AG97" i="1"/>
  <c r="AE98" i="1"/>
  <c r="AF98" i="1"/>
  <c r="AG98" i="1"/>
  <c r="AE99" i="1"/>
  <c r="AF99" i="1"/>
  <c r="AG99" i="1"/>
  <c r="AE100" i="1"/>
  <c r="AF100" i="1"/>
  <c r="AG100" i="1"/>
  <c r="AE101" i="1"/>
  <c r="AF101" i="1"/>
  <c r="AG101" i="1"/>
  <c r="AE102" i="1"/>
  <c r="AF102" i="1"/>
  <c r="AG102" i="1"/>
  <c r="AE103" i="1"/>
  <c r="AF103" i="1"/>
  <c r="AG103" i="1"/>
  <c r="AE104" i="1"/>
  <c r="AF104" i="1"/>
  <c r="AG104" i="1"/>
  <c r="AE105" i="1"/>
  <c r="AF105" i="1"/>
  <c r="AG105" i="1"/>
  <c r="AE106" i="1"/>
  <c r="AF106" i="1"/>
  <c r="AG106" i="1"/>
  <c r="AE107" i="1"/>
  <c r="AF107" i="1"/>
  <c r="AG107" i="1"/>
  <c r="AE108" i="1"/>
  <c r="AF108" i="1"/>
  <c r="AG108" i="1"/>
  <c r="AE109" i="1"/>
  <c r="AF109" i="1"/>
  <c r="AG109" i="1"/>
  <c r="AE110" i="1"/>
  <c r="AF110" i="1"/>
  <c r="AG110" i="1"/>
  <c r="AE111" i="1"/>
  <c r="AF111" i="1"/>
  <c r="AG111" i="1"/>
  <c r="AE112" i="1"/>
  <c r="AF112" i="1"/>
  <c r="AG112" i="1"/>
  <c r="AE113" i="1"/>
  <c r="AF113" i="1"/>
  <c r="AG113" i="1"/>
  <c r="AE114" i="1"/>
  <c r="AF114" i="1"/>
  <c r="AG114" i="1"/>
  <c r="AE115" i="1"/>
  <c r="AF115" i="1"/>
  <c r="AG115" i="1"/>
  <c r="AE116" i="1"/>
  <c r="AF116" i="1"/>
  <c r="AG116" i="1"/>
  <c r="AE117" i="1"/>
  <c r="AF117" i="1"/>
  <c r="AG117" i="1"/>
  <c r="AE118" i="1"/>
  <c r="AF118" i="1"/>
  <c r="AG118" i="1"/>
  <c r="AE119" i="1"/>
  <c r="AF119" i="1"/>
  <c r="AG119" i="1"/>
  <c r="AE120" i="1"/>
  <c r="AF120" i="1"/>
  <c r="AG120" i="1"/>
  <c r="AE121" i="1"/>
  <c r="AF121" i="1"/>
  <c r="AG121" i="1"/>
  <c r="AE122" i="1"/>
  <c r="AF122" i="1"/>
  <c r="AG122" i="1"/>
  <c r="AE123" i="1"/>
  <c r="AF123" i="1"/>
  <c r="AG123" i="1"/>
  <c r="AE124" i="1"/>
  <c r="AF124" i="1"/>
  <c r="AG124" i="1"/>
  <c r="AE125" i="1"/>
  <c r="AF125" i="1"/>
  <c r="AG125" i="1"/>
  <c r="AE126" i="1"/>
  <c r="AF126" i="1"/>
  <c r="AG126" i="1"/>
  <c r="AE127" i="1"/>
  <c r="AF127" i="1"/>
  <c r="AG127" i="1"/>
  <c r="AE128" i="1"/>
  <c r="AF128" i="1"/>
  <c r="AG128" i="1"/>
  <c r="AE129" i="1"/>
  <c r="AF129" i="1"/>
  <c r="AG129" i="1"/>
  <c r="AE130" i="1"/>
  <c r="AF130" i="1"/>
  <c r="AG130" i="1"/>
  <c r="AE131" i="1"/>
  <c r="AF131" i="1"/>
  <c r="AG131" i="1"/>
  <c r="AE132" i="1"/>
  <c r="AF132" i="1"/>
  <c r="AG132" i="1"/>
  <c r="AE133" i="1"/>
  <c r="AF133" i="1"/>
  <c r="AG133" i="1"/>
  <c r="AE134" i="1"/>
  <c r="AF134" i="1"/>
  <c r="AG134" i="1"/>
  <c r="AE135" i="1"/>
  <c r="AF135" i="1"/>
  <c r="AG135" i="1"/>
  <c r="AE136" i="1"/>
  <c r="AF136" i="1"/>
  <c r="AG136" i="1"/>
  <c r="AE137" i="1"/>
  <c r="AF137" i="1"/>
  <c r="AG137" i="1"/>
  <c r="AE138" i="1"/>
  <c r="AF138" i="1"/>
  <c r="AG138" i="1"/>
  <c r="AE139" i="1"/>
  <c r="AF139" i="1"/>
  <c r="AG139" i="1"/>
  <c r="AE140" i="1"/>
  <c r="AF140" i="1"/>
  <c r="AG140" i="1"/>
  <c r="AE141" i="1"/>
  <c r="AF141" i="1"/>
  <c r="AG141" i="1"/>
  <c r="AE142" i="1"/>
  <c r="AF142" i="1"/>
  <c r="AG142" i="1"/>
  <c r="AE143" i="1"/>
  <c r="AF143" i="1"/>
  <c r="AG143" i="1"/>
  <c r="AE144" i="1"/>
  <c r="AF144" i="1"/>
  <c r="AG144" i="1"/>
  <c r="AE145" i="1"/>
  <c r="AF145" i="1"/>
  <c r="AG145" i="1"/>
  <c r="AE146" i="1"/>
  <c r="AF146" i="1"/>
  <c r="AG146" i="1"/>
  <c r="AE147" i="1"/>
  <c r="AF147" i="1"/>
  <c r="AG147" i="1"/>
  <c r="AE148" i="1"/>
  <c r="AF148" i="1"/>
  <c r="AG148" i="1"/>
  <c r="AE149" i="1"/>
  <c r="AF149" i="1"/>
  <c r="AG149" i="1"/>
  <c r="AE150" i="1"/>
  <c r="AF150" i="1"/>
  <c r="AG150" i="1"/>
  <c r="AE151" i="1"/>
  <c r="AF151" i="1"/>
  <c r="AG151" i="1"/>
  <c r="AE152" i="1"/>
  <c r="AF152" i="1"/>
  <c r="AG152" i="1"/>
  <c r="AE153" i="1"/>
  <c r="AF153" i="1"/>
  <c r="AG153" i="1"/>
  <c r="AE154" i="1"/>
  <c r="AF154" i="1"/>
  <c r="AG154" i="1"/>
  <c r="AE155" i="1"/>
  <c r="AF155" i="1"/>
  <c r="AG155" i="1"/>
  <c r="AE156" i="1"/>
  <c r="AF156" i="1"/>
  <c r="AG156" i="1"/>
  <c r="AE157" i="1"/>
  <c r="AF157" i="1"/>
  <c r="AG157" i="1"/>
  <c r="AE158" i="1"/>
  <c r="AF158" i="1"/>
  <c r="AG158" i="1"/>
  <c r="AE159" i="1"/>
  <c r="AF159" i="1"/>
  <c r="AG159" i="1"/>
  <c r="AE160" i="1"/>
  <c r="AF160" i="1"/>
  <c r="AG160" i="1"/>
  <c r="AE161" i="1"/>
  <c r="AF161" i="1"/>
  <c r="AG161" i="1"/>
  <c r="AE162" i="1"/>
  <c r="AF162" i="1"/>
  <c r="AG162" i="1"/>
  <c r="AE163" i="1"/>
  <c r="AF163" i="1"/>
  <c r="AG163" i="1"/>
  <c r="AE164" i="1"/>
  <c r="AF164" i="1"/>
  <c r="AG164" i="1"/>
  <c r="AE165" i="1"/>
  <c r="AF165" i="1"/>
  <c r="AG165" i="1"/>
  <c r="AE166" i="1"/>
  <c r="AF166" i="1"/>
  <c r="AG166" i="1"/>
  <c r="AE167" i="1"/>
  <c r="AF167" i="1"/>
  <c r="AG167" i="1"/>
  <c r="AE168" i="1"/>
  <c r="AF168" i="1"/>
  <c r="AG168" i="1"/>
  <c r="AE169" i="1"/>
  <c r="AF169" i="1"/>
  <c r="AG169" i="1"/>
  <c r="AE170" i="1"/>
  <c r="AF170" i="1"/>
  <c r="AG170" i="1"/>
  <c r="AE171" i="1"/>
  <c r="AF171" i="1"/>
  <c r="AG171" i="1"/>
  <c r="AE172" i="1"/>
  <c r="AF172" i="1"/>
  <c r="AG172" i="1"/>
  <c r="AE173" i="1"/>
  <c r="AF173" i="1"/>
  <c r="AG173" i="1"/>
  <c r="AE174" i="1"/>
  <c r="AF174" i="1"/>
  <c r="AG174" i="1"/>
  <c r="AE175" i="1"/>
  <c r="AF175" i="1"/>
  <c r="AG175" i="1"/>
  <c r="AE176" i="1"/>
  <c r="AF176" i="1"/>
  <c r="AG176" i="1"/>
  <c r="AE177" i="1"/>
  <c r="AF177" i="1"/>
  <c r="AG177" i="1"/>
  <c r="AE178" i="1"/>
  <c r="AF178" i="1"/>
  <c r="AG178" i="1"/>
  <c r="AE179" i="1"/>
  <c r="AF179" i="1"/>
  <c r="AG179" i="1"/>
  <c r="AE180" i="1"/>
  <c r="AF180" i="1"/>
  <c r="AG180" i="1"/>
  <c r="AE181" i="1"/>
  <c r="AF181" i="1"/>
  <c r="AG181" i="1"/>
  <c r="AE182" i="1"/>
  <c r="AF182" i="1"/>
  <c r="AG182" i="1"/>
  <c r="AE183" i="1"/>
  <c r="AF183" i="1"/>
  <c r="AG183" i="1"/>
  <c r="AE184" i="1"/>
  <c r="AF184" i="1"/>
  <c r="AG184" i="1"/>
  <c r="AE185" i="1"/>
  <c r="AF185" i="1"/>
  <c r="AG185" i="1"/>
  <c r="AE186" i="1"/>
  <c r="AF186" i="1"/>
  <c r="AG186" i="1"/>
  <c r="AE187" i="1"/>
  <c r="AF187" i="1"/>
  <c r="AG187" i="1"/>
  <c r="AE188" i="1"/>
  <c r="AF188" i="1"/>
  <c r="AG188" i="1"/>
  <c r="AE189" i="1"/>
  <c r="AF189" i="1"/>
  <c r="AG189" i="1"/>
  <c r="AE190" i="1"/>
  <c r="AF190" i="1"/>
  <c r="AG190" i="1"/>
  <c r="AE191" i="1"/>
  <c r="AF191" i="1"/>
  <c r="AG191" i="1"/>
  <c r="AE192" i="1"/>
  <c r="AF192" i="1"/>
  <c r="AG192" i="1"/>
  <c r="AE193" i="1"/>
  <c r="AF193" i="1"/>
  <c r="AG193" i="1"/>
  <c r="AE194" i="1"/>
  <c r="AF194" i="1"/>
  <c r="AG194" i="1"/>
  <c r="AE195" i="1"/>
  <c r="AF195" i="1"/>
  <c r="AG195" i="1"/>
  <c r="AE196" i="1"/>
  <c r="AF196" i="1"/>
  <c r="AG196" i="1"/>
  <c r="AE197" i="1"/>
  <c r="AF197" i="1"/>
  <c r="AG197" i="1"/>
  <c r="AE198" i="1"/>
  <c r="AF198" i="1"/>
  <c r="AG198" i="1"/>
  <c r="AE199" i="1"/>
  <c r="AF199" i="1"/>
  <c r="AG199" i="1"/>
  <c r="AE200" i="1"/>
  <c r="AF200" i="1"/>
  <c r="AG200" i="1"/>
  <c r="AE201" i="1"/>
  <c r="AF201" i="1"/>
  <c r="AG201" i="1"/>
  <c r="AE202" i="1"/>
  <c r="AF202" i="1"/>
  <c r="AG202" i="1"/>
  <c r="AE203" i="1"/>
  <c r="AF203" i="1"/>
  <c r="AG203" i="1"/>
  <c r="AE204" i="1"/>
  <c r="AF204" i="1"/>
  <c r="AG204" i="1"/>
  <c r="AE205" i="1"/>
  <c r="AF205" i="1"/>
  <c r="AG205" i="1"/>
  <c r="AE206" i="1"/>
  <c r="AF206" i="1"/>
  <c r="AG206" i="1"/>
  <c r="AE207" i="1"/>
  <c r="AF207" i="1"/>
  <c r="AG207" i="1"/>
  <c r="AE208" i="1"/>
  <c r="AF208" i="1"/>
  <c r="AG208" i="1"/>
  <c r="AE209" i="1"/>
  <c r="AF209" i="1"/>
  <c r="AG209" i="1"/>
  <c r="AE210" i="1"/>
  <c r="AF210" i="1"/>
  <c r="AG210" i="1"/>
  <c r="AE211" i="1"/>
  <c r="AF211" i="1"/>
  <c r="AG211" i="1"/>
  <c r="AE212" i="1"/>
  <c r="AF212" i="1"/>
  <c r="AG212" i="1"/>
  <c r="AE213" i="1"/>
  <c r="AF213" i="1"/>
  <c r="AG213" i="1"/>
  <c r="AE214" i="1"/>
  <c r="AF214" i="1"/>
  <c r="AG214" i="1"/>
  <c r="AE215" i="1"/>
  <c r="AF215" i="1"/>
  <c r="AG215" i="1"/>
  <c r="AE216" i="1"/>
  <c r="AF216" i="1"/>
  <c r="AG216" i="1"/>
  <c r="AE217" i="1"/>
  <c r="AF217" i="1"/>
  <c r="AG217" i="1"/>
  <c r="AE218" i="1"/>
  <c r="AF218" i="1"/>
  <c r="AG218" i="1"/>
  <c r="AE219" i="1"/>
  <c r="AF219" i="1"/>
  <c r="AG219" i="1"/>
  <c r="AE220" i="1"/>
  <c r="AF220" i="1"/>
  <c r="AG220" i="1"/>
  <c r="AE221" i="1"/>
  <c r="AF221" i="1"/>
  <c r="AG221" i="1"/>
  <c r="AE222" i="1"/>
  <c r="AF222" i="1"/>
  <c r="AG222" i="1"/>
  <c r="AE223" i="1"/>
  <c r="AF223" i="1"/>
  <c r="AG223" i="1"/>
  <c r="AE224" i="1"/>
  <c r="AF224" i="1"/>
  <c r="AG224" i="1"/>
  <c r="AE225" i="1"/>
  <c r="AF225" i="1"/>
  <c r="AG225" i="1"/>
  <c r="AE226" i="1"/>
  <c r="AF226" i="1"/>
  <c r="AG226" i="1"/>
  <c r="AE227" i="1"/>
  <c r="AF227" i="1"/>
  <c r="AG227" i="1"/>
  <c r="AE228" i="1"/>
  <c r="AF228" i="1"/>
  <c r="AG228" i="1"/>
  <c r="AE229" i="1"/>
  <c r="AF229" i="1"/>
  <c r="AG229" i="1"/>
  <c r="AE230" i="1"/>
  <c r="AF230" i="1"/>
  <c r="AG230" i="1"/>
  <c r="AE231" i="1"/>
  <c r="AF231" i="1"/>
  <c r="AG231" i="1"/>
  <c r="AE232" i="1"/>
  <c r="AF232" i="1"/>
  <c r="AG232" i="1"/>
  <c r="AE233" i="1"/>
  <c r="AF233" i="1"/>
  <c r="AG233" i="1"/>
  <c r="AE234" i="1"/>
  <c r="AF234" i="1"/>
  <c r="AG234" i="1"/>
  <c r="AE235" i="1"/>
  <c r="AF235" i="1"/>
  <c r="AG235" i="1"/>
  <c r="AE236" i="1"/>
  <c r="AF236" i="1"/>
  <c r="AG236" i="1"/>
  <c r="AE237" i="1"/>
  <c r="AF237" i="1"/>
  <c r="AG237" i="1"/>
  <c r="AE238" i="1"/>
  <c r="AF238" i="1"/>
  <c r="AG238" i="1"/>
  <c r="AE239" i="1"/>
  <c r="AF239" i="1"/>
  <c r="AG239" i="1"/>
  <c r="AE240" i="1"/>
  <c r="AF240" i="1"/>
  <c r="AG240" i="1"/>
  <c r="AE241" i="1"/>
  <c r="AF241" i="1"/>
  <c r="AG241" i="1"/>
  <c r="AE242" i="1"/>
  <c r="AF242" i="1"/>
  <c r="AG242" i="1"/>
  <c r="AE243" i="1"/>
  <c r="AF243" i="1"/>
  <c r="AG243" i="1"/>
  <c r="AE244" i="1"/>
  <c r="AF244" i="1"/>
  <c r="AG244" i="1"/>
  <c r="AE245" i="1"/>
  <c r="AF245" i="1"/>
  <c r="AG245" i="1"/>
  <c r="AE246" i="1"/>
  <c r="AF246" i="1"/>
  <c r="AG246" i="1"/>
  <c r="AE247" i="1"/>
  <c r="AF247" i="1"/>
  <c r="AG247" i="1"/>
  <c r="AE248" i="1"/>
  <c r="AF248" i="1"/>
  <c r="AG248" i="1"/>
  <c r="AE249" i="1"/>
  <c r="AF249" i="1"/>
  <c r="AG249" i="1"/>
  <c r="AE250" i="1"/>
  <c r="AF250" i="1"/>
  <c r="AG250" i="1"/>
  <c r="AE251" i="1"/>
  <c r="AF251" i="1"/>
  <c r="AG251" i="1"/>
  <c r="AE252" i="1"/>
  <c r="AF252" i="1"/>
  <c r="AG252" i="1"/>
  <c r="AE253" i="1"/>
  <c r="AF253" i="1"/>
  <c r="AG253" i="1"/>
  <c r="AE254" i="1"/>
  <c r="AF254" i="1"/>
  <c r="AG254" i="1"/>
  <c r="AE255" i="1"/>
  <c r="AF255" i="1"/>
  <c r="AG255" i="1"/>
  <c r="AE256" i="1"/>
  <c r="AF256" i="1"/>
  <c r="AG256" i="1"/>
  <c r="AE257" i="1"/>
  <c r="AF257" i="1"/>
  <c r="AG257" i="1"/>
  <c r="AE258" i="1"/>
  <c r="AF258" i="1"/>
  <c r="AG258" i="1"/>
  <c r="AE259" i="1"/>
  <c r="AF259" i="1"/>
  <c r="AG259" i="1"/>
  <c r="AE260" i="1"/>
  <c r="AF260" i="1"/>
  <c r="AG260" i="1"/>
  <c r="AE261" i="1"/>
  <c r="AF261" i="1"/>
  <c r="AG261" i="1"/>
  <c r="AE262" i="1"/>
  <c r="AF262" i="1"/>
  <c r="AG262" i="1"/>
  <c r="AE263" i="1"/>
  <c r="AF263" i="1"/>
  <c r="AG263" i="1"/>
  <c r="AE264" i="1"/>
  <c r="AF264" i="1"/>
  <c r="AG264" i="1"/>
  <c r="AE265" i="1"/>
  <c r="AF265" i="1"/>
  <c r="AG265" i="1"/>
  <c r="AE266" i="1"/>
  <c r="AF266" i="1"/>
  <c r="AG266" i="1"/>
  <c r="AE267" i="1"/>
  <c r="AF267" i="1"/>
  <c r="AG267" i="1"/>
  <c r="AE268" i="1"/>
  <c r="AF268" i="1"/>
  <c r="AG268" i="1"/>
  <c r="AE269" i="1"/>
  <c r="AF269" i="1"/>
  <c r="AG269" i="1"/>
  <c r="AE270" i="1"/>
  <c r="AF270" i="1"/>
  <c r="AG270" i="1"/>
  <c r="AE271" i="1"/>
  <c r="AF271" i="1"/>
  <c r="AG271" i="1"/>
  <c r="AE272" i="1"/>
  <c r="AF272" i="1"/>
  <c r="AG272" i="1"/>
  <c r="AE273" i="1"/>
  <c r="AF273" i="1"/>
  <c r="AG273" i="1"/>
  <c r="AE274" i="1"/>
  <c r="AF274" i="1"/>
  <c r="AG274" i="1"/>
  <c r="AE275" i="1"/>
  <c r="AF275" i="1"/>
  <c r="AG275" i="1"/>
  <c r="AE276" i="1"/>
  <c r="AF276" i="1"/>
  <c r="AG276" i="1"/>
  <c r="AE277" i="1"/>
  <c r="AF277" i="1"/>
  <c r="AG277" i="1"/>
  <c r="AE278" i="1"/>
  <c r="AF278" i="1"/>
  <c r="AG278" i="1"/>
  <c r="AE279" i="1"/>
  <c r="AF279" i="1"/>
  <c r="AG279" i="1"/>
  <c r="AE280" i="1"/>
  <c r="AF280" i="1"/>
  <c r="AG280" i="1"/>
  <c r="AE281" i="1"/>
  <c r="AF281" i="1"/>
  <c r="AG281" i="1"/>
  <c r="AE282" i="1"/>
  <c r="AF282" i="1"/>
  <c r="AG282" i="1"/>
  <c r="AE283" i="1"/>
  <c r="AF283" i="1"/>
  <c r="AG283" i="1"/>
  <c r="AE284" i="1"/>
  <c r="AF284" i="1"/>
  <c r="AG284" i="1"/>
  <c r="AE285" i="1"/>
  <c r="AF285" i="1"/>
  <c r="AG285" i="1"/>
  <c r="AE286" i="1"/>
  <c r="AF286" i="1"/>
  <c r="AG286" i="1"/>
  <c r="AE287" i="1"/>
  <c r="AF287" i="1"/>
  <c r="AG287" i="1"/>
  <c r="AE288" i="1"/>
  <c r="AF288" i="1"/>
  <c r="AG288" i="1"/>
  <c r="AE289" i="1"/>
  <c r="AF289" i="1"/>
  <c r="AG289" i="1"/>
  <c r="AE290" i="1"/>
  <c r="AF290" i="1"/>
  <c r="AG290" i="1"/>
  <c r="AE291" i="1"/>
  <c r="AF291" i="1"/>
  <c r="AG291" i="1"/>
  <c r="AE292" i="1"/>
  <c r="AF292" i="1"/>
  <c r="AG292" i="1"/>
  <c r="AE293" i="1"/>
  <c r="AF293" i="1"/>
  <c r="AG293" i="1"/>
  <c r="AE294" i="1"/>
  <c r="AF294" i="1"/>
  <c r="AG294" i="1"/>
  <c r="AE295" i="1"/>
  <c r="AF295" i="1"/>
  <c r="AG295" i="1"/>
  <c r="AE296" i="1"/>
  <c r="AF296" i="1"/>
  <c r="AG296" i="1"/>
  <c r="AE297" i="1"/>
  <c r="AF297" i="1"/>
  <c r="AG297" i="1"/>
  <c r="AE298" i="1"/>
  <c r="AF298" i="1"/>
  <c r="AG298" i="1"/>
  <c r="AE299" i="1"/>
  <c r="AF299" i="1"/>
  <c r="AG299" i="1"/>
  <c r="AE300" i="1"/>
  <c r="AF300" i="1"/>
  <c r="AG300" i="1"/>
  <c r="AE301" i="1"/>
  <c r="AF301" i="1"/>
  <c r="AG301" i="1"/>
  <c r="AE302" i="1"/>
  <c r="AF302" i="1"/>
  <c r="AG302" i="1"/>
  <c r="AE303" i="1"/>
  <c r="AF303" i="1"/>
  <c r="AG303" i="1"/>
  <c r="AE304" i="1"/>
  <c r="AF304" i="1"/>
  <c r="AG304" i="1"/>
  <c r="AE305" i="1"/>
  <c r="AF305" i="1"/>
  <c r="AG305" i="1"/>
  <c r="AE306" i="1"/>
  <c r="AF306" i="1"/>
  <c r="AG306" i="1"/>
  <c r="AE307" i="1"/>
  <c r="AF307" i="1"/>
  <c r="AG307" i="1"/>
  <c r="AE308" i="1"/>
  <c r="AF308" i="1"/>
  <c r="AG308" i="1"/>
  <c r="AE309" i="1"/>
  <c r="AF309" i="1"/>
  <c r="AG309" i="1"/>
  <c r="AE310" i="1"/>
  <c r="AF310" i="1"/>
  <c r="AG310" i="1"/>
  <c r="AE311" i="1"/>
  <c r="AF311" i="1"/>
  <c r="AG311" i="1"/>
  <c r="AE312" i="1"/>
  <c r="AF312" i="1"/>
  <c r="AG312" i="1"/>
  <c r="AE313" i="1"/>
  <c r="AF313" i="1"/>
  <c r="AG313" i="1"/>
  <c r="AE314" i="1"/>
  <c r="AF314" i="1"/>
  <c r="AG314" i="1"/>
  <c r="AE315" i="1"/>
  <c r="AF315" i="1"/>
  <c r="AG315" i="1"/>
  <c r="AE316" i="1"/>
  <c r="AF316" i="1"/>
  <c r="AG316" i="1"/>
  <c r="AE317" i="1"/>
  <c r="AF317" i="1"/>
  <c r="AG317" i="1"/>
  <c r="AE318" i="1"/>
  <c r="AF318" i="1"/>
  <c r="AG318" i="1"/>
  <c r="AE319" i="1"/>
  <c r="AF319" i="1"/>
  <c r="AG319" i="1"/>
  <c r="AE320" i="1"/>
  <c r="AF320" i="1"/>
  <c r="AG320" i="1"/>
  <c r="AE321" i="1"/>
  <c r="AF321" i="1"/>
  <c r="AG321" i="1"/>
  <c r="AE322" i="1"/>
  <c r="AF322" i="1"/>
  <c r="AG322" i="1"/>
  <c r="AE323" i="1"/>
  <c r="AF323" i="1"/>
  <c r="AG323" i="1"/>
  <c r="AE324" i="1"/>
  <c r="AF324" i="1"/>
  <c r="AG324" i="1"/>
  <c r="AE325" i="1"/>
  <c r="AF325" i="1"/>
  <c r="AG325" i="1"/>
  <c r="AE326" i="1"/>
  <c r="AF326" i="1"/>
  <c r="AG326" i="1"/>
  <c r="AE327" i="1"/>
  <c r="AF327" i="1"/>
  <c r="AG327" i="1"/>
  <c r="AE328" i="1"/>
  <c r="AF328" i="1"/>
  <c r="AG328" i="1"/>
  <c r="AE329" i="1"/>
  <c r="AF329" i="1"/>
  <c r="AG329" i="1"/>
  <c r="AE330" i="1"/>
  <c r="AF330" i="1"/>
  <c r="AG330" i="1"/>
  <c r="AE331" i="1"/>
  <c r="AF331" i="1"/>
  <c r="AG331" i="1"/>
  <c r="AE332" i="1"/>
  <c r="AF332" i="1"/>
  <c r="AG332" i="1"/>
  <c r="AE333" i="1"/>
  <c r="AF333" i="1"/>
  <c r="AG333" i="1"/>
  <c r="AE334" i="1"/>
  <c r="AF334" i="1"/>
  <c r="AG334" i="1"/>
  <c r="AE335" i="1"/>
  <c r="AF335" i="1"/>
  <c r="AG335" i="1"/>
  <c r="AE336" i="1"/>
  <c r="AF336" i="1"/>
  <c r="AG336" i="1"/>
  <c r="AE337" i="1"/>
  <c r="AF337" i="1"/>
  <c r="AG337" i="1"/>
  <c r="AE338" i="1"/>
  <c r="AF338" i="1"/>
  <c r="AG338" i="1"/>
  <c r="AE339" i="1"/>
  <c r="AF339" i="1"/>
  <c r="AG339" i="1"/>
  <c r="AE340" i="1"/>
  <c r="AF340" i="1"/>
  <c r="AG340" i="1"/>
  <c r="AE341" i="1"/>
  <c r="AF341" i="1"/>
  <c r="AG341" i="1"/>
  <c r="AE342" i="1"/>
  <c r="AF342" i="1"/>
  <c r="AG342" i="1"/>
  <c r="AE343" i="1"/>
  <c r="AF343" i="1"/>
  <c r="AG343" i="1"/>
  <c r="AE344" i="1"/>
  <c r="AF344" i="1"/>
  <c r="AG344" i="1"/>
  <c r="AE345" i="1"/>
  <c r="AF345" i="1"/>
  <c r="AG345" i="1"/>
  <c r="AE346" i="1"/>
  <c r="AF346" i="1"/>
  <c r="AG346" i="1"/>
  <c r="AE347" i="1"/>
  <c r="AF347" i="1"/>
  <c r="AG347" i="1"/>
  <c r="AE348" i="1"/>
  <c r="AF348" i="1"/>
  <c r="AG348" i="1"/>
  <c r="AE349" i="1"/>
  <c r="AF349" i="1"/>
  <c r="AG349" i="1"/>
  <c r="AE350" i="1"/>
  <c r="AF350" i="1"/>
  <c r="AG350" i="1"/>
  <c r="AE351" i="1"/>
  <c r="AF351" i="1"/>
  <c r="AG351" i="1"/>
  <c r="AE352" i="1"/>
  <c r="AF352" i="1"/>
  <c r="AG352" i="1"/>
  <c r="AE353" i="1"/>
  <c r="AF353" i="1"/>
  <c r="AG353" i="1"/>
  <c r="AE354" i="1"/>
  <c r="AF354" i="1"/>
  <c r="AG354" i="1"/>
  <c r="AE355" i="1"/>
  <c r="AF355" i="1"/>
  <c r="AG355" i="1"/>
  <c r="AE356" i="1"/>
  <c r="AF356" i="1"/>
  <c r="AG356" i="1"/>
  <c r="AE357" i="1"/>
  <c r="AF357" i="1"/>
  <c r="AG357" i="1"/>
  <c r="AE358" i="1"/>
  <c r="AF358" i="1"/>
  <c r="AG358" i="1"/>
  <c r="AE359" i="1"/>
  <c r="AF359" i="1"/>
  <c r="AG359" i="1"/>
  <c r="AE360" i="1"/>
  <c r="AF360" i="1"/>
  <c r="AG360" i="1"/>
  <c r="AE361" i="1"/>
  <c r="AF361" i="1"/>
  <c r="AG361" i="1"/>
  <c r="AE362" i="1"/>
  <c r="AF362" i="1"/>
  <c r="AG362" i="1"/>
  <c r="AE363" i="1"/>
  <c r="AF363" i="1"/>
  <c r="AG363" i="1"/>
  <c r="AE364" i="1"/>
  <c r="AF364" i="1"/>
  <c r="AG364" i="1"/>
  <c r="AE365" i="1"/>
  <c r="AF365" i="1"/>
  <c r="AG365" i="1"/>
  <c r="AE366" i="1"/>
  <c r="AF366" i="1"/>
  <c r="AG366" i="1"/>
  <c r="AE367" i="1"/>
  <c r="AF367" i="1"/>
  <c r="AG367" i="1"/>
  <c r="AE368" i="1"/>
  <c r="AF368" i="1"/>
  <c r="AG368" i="1"/>
  <c r="AE369" i="1"/>
  <c r="AF369" i="1"/>
  <c r="AG369" i="1"/>
  <c r="AE370" i="1"/>
  <c r="AF370" i="1"/>
  <c r="AG370" i="1"/>
  <c r="AE371" i="1"/>
  <c r="AF371" i="1"/>
  <c r="AG371" i="1"/>
  <c r="AE372" i="1"/>
  <c r="AF372" i="1"/>
  <c r="AG372" i="1"/>
  <c r="AE373" i="1"/>
  <c r="AF373" i="1"/>
  <c r="AG373" i="1"/>
  <c r="AE374" i="1"/>
  <c r="AF374" i="1"/>
  <c r="AG374" i="1"/>
  <c r="AE375" i="1"/>
  <c r="AF375" i="1"/>
  <c r="AG375" i="1"/>
  <c r="AE376" i="1"/>
  <c r="AF376" i="1"/>
  <c r="AG376" i="1"/>
  <c r="AE377" i="1"/>
  <c r="AF377" i="1"/>
  <c r="AG377" i="1"/>
  <c r="AE378" i="1"/>
  <c r="AF378" i="1"/>
  <c r="AG378" i="1"/>
  <c r="AE379" i="1"/>
  <c r="AF379" i="1"/>
  <c r="AG379" i="1"/>
  <c r="AE380" i="1"/>
  <c r="AF380" i="1"/>
  <c r="AG380" i="1"/>
  <c r="AE381" i="1"/>
  <c r="AF381" i="1"/>
  <c r="AG381" i="1"/>
  <c r="AE382" i="1"/>
  <c r="AF382" i="1"/>
  <c r="AG382" i="1"/>
  <c r="AE383" i="1"/>
  <c r="AF383" i="1"/>
  <c r="AG383" i="1"/>
  <c r="AE384" i="1"/>
  <c r="AF384" i="1"/>
  <c r="AG384" i="1"/>
  <c r="AE385" i="1"/>
  <c r="AF385" i="1"/>
  <c r="AG385" i="1"/>
  <c r="AE386" i="1"/>
  <c r="AF386" i="1"/>
  <c r="AG386" i="1"/>
  <c r="AE387" i="1"/>
  <c r="AF387" i="1"/>
  <c r="AG387" i="1"/>
  <c r="AE388" i="1"/>
  <c r="AF388" i="1"/>
  <c r="AG388" i="1"/>
  <c r="AE389" i="1"/>
  <c r="AF389" i="1"/>
  <c r="AG389" i="1"/>
  <c r="AE390" i="1"/>
  <c r="AF390" i="1"/>
  <c r="AG390" i="1"/>
  <c r="AE391" i="1"/>
  <c r="AF391" i="1"/>
  <c r="AG391" i="1"/>
  <c r="AE392" i="1"/>
  <c r="AF392" i="1"/>
  <c r="AG392" i="1"/>
  <c r="AE393" i="1"/>
  <c r="AF393" i="1"/>
  <c r="AG393" i="1"/>
  <c r="AE394" i="1"/>
  <c r="AF394" i="1"/>
  <c r="AG394" i="1"/>
  <c r="AE395" i="1"/>
  <c r="AF395" i="1"/>
  <c r="AG395" i="1"/>
  <c r="AE396" i="1"/>
  <c r="AF396" i="1"/>
  <c r="AG396" i="1"/>
  <c r="AE397" i="1"/>
  <c r="AF397" i="1"/>
  <c r="AG397" i="1"/>
  <c r="AE398" i="1"/>
  <c r="AF398" i="1"/>
  <c r="AG398" i="1"/>
  <c r="AE399" i="1"/>
  <c r="AF399" i="1"/>
  <c r="AG399" i="1"/>
  <c r="AE400" i="1"/>
  <c r="AF400" i="1"/>
  <c r="AG400" i="1"/>
  <c r="AE401" i="1"/>
  <c r="AF401" i="1"/>
  <c r="AG401" i="1"/>
  <c r="AE402" i="1"/>
  <c r="AF402" i="1"/>
  <c r="AG402" i="1"/>
  <c r="AE403" i="1"/>
  <c r="AF403" i="1"/>
  <c r="AG403" i="1"/>
  <c r="AE404" i="1"/>
  <c r="AF404" i="1"/>
  <c r="AG404" i="1"/>
  <c r="AE405" i="1"/>
  <c r="AF405" i="1"/>
  <c r="AG405" i="1"/>
  <c r="AE406" i="1"/>
  <c r="AF406" i="1"/>
  <c r="AG406" i="1"/>
  <c r="AE407" i="1"/>
  <c r="AF407" i="1"/>
  <c r="AG407" i="1"/>
  <c r="AE408" i="1"/>
  <c r="AF408" i="1"/>
  <c r="AG408" i="1"/>
  <c r="AE409" i="1"/>
  <c r="AF409" i="1"/>
  <c r="AG409" i="1"/>
  <c r="AE410" i="1"/>
  <c r="AF410" i="1"/>
  <c r="AG410" i="1"/>
  <c r="AE411" i="1"/>
  <c r="AF411" i="1"/>
  <c r="AG411" i="1"/>
  <c r="AE412" i="1"/>
  <c r="AF412" i="1"/>
  <c r="AG412" i="1"/>
  <c r="AE413" i="1"/>
  <c r="AF413" i="1"/>
  <c r="AG413" i="1"/>
  <c r="AE414" i="1"/>
  <c r="AF414" i="1"/>
  <c r="AG414" i="1"/>
  <c r="AE415" i="1"/>
  <c r="AF415" i="1"/>
  <c r="AG415" i="1"/>
  <c r="AE416" i="1"/>
  <c r="AF416" i="1"/>
  <c r="AG416" i="1"/>
  <c r="AE417" i="1"/>
  <c r="AF417" i="1"/>
  <c r="AG417" i="1"/>
  <c r="AE418" i="1"/>
  <c r="AF418" i="1"/>
  <c r="AG418" i="1"/>
  <c r="AE419" i="1"/>
  <c r="AF419" i="1"/>
  <c r="AG419" i="1"/>
  <c r="AE420" i="1"/>
  <c r="AF420" i="1"/>
  <c r="AG420" i="1"/>
  <c r="AE421" i="1"/>
  <c r="AF421" i="1"/>
  <c r="AG421" i="1"/>
  <c r="AE422" i="1"/>
  <c r="AF422" i="1"/>
  <c r="AG422" i="1"/>
  <c r="AE423" i="1"/>
  <c r="AF423" i="1"/>
  <c r="AG423" i="1"/>
  <c r="AE424" i="1"/>
  <c r="AF424" i="1"/>
  <c r="AG424" i="1"/>
  <c r="AE425" i="1"/>
  <c r="AF425" i="1"/>
  <c r="AG425" i="1"/>
  <c r="AE426" i="1"/>
  <c r="AF426" i="1"/>
  <c r="AG426" i="1"/>
  <c r="AE427" i="1"/>
  <c r="AF427" i="1"/>
  <c r="AG427" i="1"/>
  <c r="AE428" i="1"/>
  <c r="AF428" i="1"/>
  <c r="AG428" i="1"/>
  <c r="AE429" i="1"/>
  <c r="AF429" i="1"/>
  <c r="AG429" i="1"/>
  <c r="AE430" i="1"/>
  <c r="AF430" i="1"/>
  <c r="AG430" i="1"/>
  <c r="AE431" i="1"/>
  <c r="AF431" i="1"/>
  <c r="AG431" i="1"/>
  <c r="AE432" i="1"/>
  <c r="AF432" i="1"/>
  <c r="AG432" i="1"/>
  <c r="AE433" i="1"/>
  <c r="AF433" i="1"/>
  <c r="AG433" i="1"/>
  <c r="AE434" i="1"/>
  <c r="AF434" i="1"/>
  <c r="AG434" i="1"/>
  <c r="AE435" i="1"/>
  <c r="AF435" i="1"/>
  <c r="AG435" i="1"/>
  <c r="AE436" i="1"/>
  <c r="AF436" i="1"/>
  <c r="AG436" i="1"/>
  <c r="AE437" i="1"/>
  <c r="AF437" i="1"/>
  <c r="AG437" i="1"/>
  <c r="AE438" i="1"/>
  <c r="AF438" i="1"/>
  <c r="AG438" i="1"/>
  <c r="AE439" i="1"/>
  <c r="AF439" i="1"/>
  <c r="AG439" i="1"/>
  <c r="AE440" i="1"/>
  <c r="AF440" i="1"/>
  <c r="AG440" i="1"/>
  <c r="AE441" i="1"/>
  <c r="AF441" i="1"/>
  <c r="AG441" i="1"/>
  <c r="AE442" i="1"/>
  <c r="AF442" i="1"/>
  <c r="AG442" i="1"/>
  <c r="AE443" i="1"/>
  <c r="AF443" i="1"/>
  <c r="AG443" i="1"/>
  <c r="AE444" i="1"/>
  <c r="AF444" i="1"/>
  <c r="AG444" i="1"/>
  <c r="AE445" i="1"/>
  <c r="AF445" i="1"/>
  <c r="AG445" i="1"/>
  <c r="AE446" i="1"/>
  <c r="AF446" i="1"/>
  <c r="AG446" i="1"/>
  <c r="AE447" i="1"/>
  <c r="AF447" i="1"/>
  <c r="AG447" i="1"/>
  <c r="AE448" i="1"/>
  <c r="AF448" i="1"/>
  <c r="AG448" i="1"/>
  <c r="AE449" i="1"/>
  <c r="AF449" i="1"/>
  <c r="AG449" i="1"/>
  <c r="AE450" i="1"/>
  <c r="AF450" i="1"/>
  <c r="AG450" i="1"/>
  <c r="AE451" i="1"/>
  <c r="AF451" i="1"/>
  <c r="AG451" i="1"/>
  <c r="AE452" i="1"/>
  <c r="AF452" i="1"/>
  <c r="AG452" i="1"/>
  <c r="AE453" i="1"/>
  <c r="AF453" i="1"/>
  <c r="AG453" i="1"/>
  <c r="AE454" i="1"/>
  <c r="AF454" i="1"/>
  <c r="AG454" i="1"/>
  <c r="AE455" i="1"/>
  <c r="AF455" i="1"/>
  <c r="AG455" i="1"/>
  <c r="AE456" i="1"/>
  <c r="AF456" i="1"/>
  <c r="AG456" i="1"/>
  <c r="AE457" i="1"/>
  <c r="AF457" i="1"/>
  <c r="AG457" i="1"/>
  <c r="AE458" i="1"/>
  <c r="AF458" i="1"/>
  <c r="AG458" i="1"/>
  <c r="AE459" i="1"/>
  <c r="AF459" i="1"/>
  <c r="AG459" i="1"/>
  <c r="AE460" i="1"/>
  <c r="AF460" i="1"/>
  <c r="AG460" i="1"/>
  <c r="AE461" i="1"/>
  <c r="AF461" i="1"/>
  <c r="AG461" i="1"/>
  <c r="AE462" i="1"/>
  <c r="AF462" i="1"/>
  <c r="AG462" i="1"/>
  <c r="AE463" i="1"/>
  <c r="AF463" i="1"/>
  <c r="AG463" i="1"/>
  <c r="AE464" i="1"/>
  <c r="AF464" i="1"/>
  <c r="AG464" i="1"/>
  <c r="AE465" i="1"/>
  <c r="AF465" i="1"/>
  <c r="AG465" i="1"/>
  <c r="AE466" i="1"/>
  <c r="AF466" i="1"/>
  <c r="AG466" i="1"/>
  <c r="AE467" i="1"/>
  <c r="AF467" i="1"/>
  <c r="AG467" i="1"/>
  <c r="AE468" i="1"/>
  <c r="AF468" i="1"/>
  <c r="AG468" i="1"/>
  <c r="AE469" i="1"/>
  <c r="AF469" i="1"/>
  <c r="AG469" i="1"/>
  <c r="AE470" i="1"/>
  <c r="AF470" i="1"/>
  <c r="AG470" i="1"/>
  <c r="AE471" i="1"/>
  <c r="AF471" i="1"/>
  <c r="AG471" i="1"/>
  <c r="AE472" i="1"/>
  <c r="AF472" i="1"/>
  <c r="AG472" i="1"/>
  <c r="AE473" i="1"/>
  <c r="AF473" i="1"/>
  <c r="AG473" i="1"/>
  <c r="AE474" i="1"/>
  <c r="AF474" i="1"/>
  <c r="AG474" i="1"/>
  <c r="AE475" i="1"/>
  <c r="AF475" i="1"/>
  <c r="AG475" i="1"/>
  <c r="AE476" i="1"/>
  <c r="AF476" i="1"/>
  <c r="AG476" i="1"/>
  <c r="AE477" i="1"/>
  <c r="AF477" i="1"/>
  <c r="AG477" i="1"/>
  <c r="AE478" i="1"/>
  <c r="AF478" i="1"/>
  <c r="AG478" i="1"/>
  <c r="AE479" i="1"/>
  <c r="AF479" i="1"/>
  <c r="AG479" i="1"/>
  <c r="AE480" i="1"/>
  <c r="AF480" i="1"/>
  <c r="AG480" i="1"/>
  <c r="AE481" i="1"/>
  <c r="AF481" i="1"/>
  <c r="AG481" i="1"/>
  <c r="AE482" i="1"/>
  <c r="AF482" i="1"/>
  <c r="AG482" i="1"/>
  <c r="AE483" i="1"/>
  <c r="AF483" i="1"/>
  <c r="AG483" i="1"/>
  <c r="AE484" i="1"/>
  <c r="AF484" i="1"/>
  <c r="AG484" i="1"/>
  <c r="AE485" i="1"/>
  <c r="AF485" i="1"/>
  <c r="AG485" i="1"/>
  <c r="AE486" i="1"/>
  <c r="AF486" i="1"/>
  <c r="AG486" i="1"/>
  <c r="AE487" i="1"/>
  <c r="AF487" i="1"/>
  <c r="AG487" i="1"/>
  <c r="AE488" i="1"/>
  <c r="AF488" i="1"/>
  <c r="AG488" i="1"/>
  <c r="AE489" i="1"/>
  <c r="AF489" i="1"/>
  <c r="AG489" i="1"/>
  <c r="AE490" i="1"/>
  <c r="AF490" i="1"/>
  <c r="AG490" i="1"/>
  <c r="AE491" i="1"/>
  <c r="AF491" i="1"/>
  <c r="AG491" i="1"/>
  <c r="AE492" i="1"/>
  <c r="AF492" i="1"/>
  <c r="AG492" i="1"/>
  <c r="AE493" i="1"/>
  <c r="AF493" i="1"/>
  <c r="AG493" i="1"/>
  <c r="AE494" i="1"/>
  <c r="AF494" i="1"/>
  <c r="AG494" i="1"/>
  <c r="AE495" i="1"/>
  <c r="AF495" i="1"/>
  <c r="AG495" i="1"/>
  <c r="AE496" i="1"/>
  <c r="AF496" i="1"/>
  <c r="AG496" i="1"/>
  <c r="AE497" i="1"/>
  <c r="AF497" i="1"/>
  <c r="AG497" i="1"/>
  <c r="AE498" i="1"/>
  <c r="AF498" i="1"/>
  <c r="AG498" i="1"/>
  <c r="AE499" i="1"/>
  <c r="AF499" i="1"/>
  <c r="AG499" i="1"/>
  <c r="AE500" i="1"/>
  <c r="AF500" i="1"/>
  <c r="AG500" i="1"/>
  <c r="AE501" i="1"/>
  <c r="AF501" i="1"/>
  <c r="AG501" i="1"/>
  <c r="AE502" i="1"/>
  <c r="AF502" i="1"/>
  <c r="AG502" i="1"/>
  <c r="AE503" i="1"/>
  <c r="AF503" i="1"/>
  <c r="AG503" i="1"/>
  <c r="AE504" i="1"/>
  <c r="AF504" i="1"/>
  <c r="AG504" i="1"/>
  <c r="AE505" i="1"/>
  <c r="AF505" i="1"/>
  <c r="AG505" i="1"/>
  <c r="AE506" i="1"/>
  <c r="AF506" i="1"/>
  <c r="AG506" i="1"/>
  <c r="AE507" i="1"/>
  <c r="AF507" i="1"/>
  <c r="AG507" i="1"/>
  <c r="AE508" i="1"/>
  <c r="AF508" i="1"/>
  <c r="AG508" i="1"/>
  <c r="AE509" i="1"/>
  <c r="AF509" i="1"/>
  <c r="AG509" i="1"/>
  <c r="AE510" i="1"/>
  <c r="AF510" i="1"/>
  <c r="AG510" i="1"/>
  <c r="AE511" i="1"/>
  <c r="AF511" i="1"/>
  <c r="AG511" i="1"/>
  <c r="AE512" i="1"/>
  <c r="AF512" i="1"/>
  <c r="AG512" i="1"/>
  <c r="AE513" i="1"/>
  <c r="AF513" i="1"/>
  <c r="AG513" i="1"/>
  <c r="AE514" i="1"/>
  <c r="AF514" i="1"/>
  <c r="AG514" i="1"/>
  <c r="AE515" i="1"/>
  <c r="AF515" i="1"/>
  <c r="AG515" i="1"/>
  <c r="AE516" i="1"/>
  <c r="AF516" i="1"/>
  <c r="AG516" i="1"/>
  <c r="AE517" i="1"/>
  <c r="AF517" i="1"/>
  <c r="AG517" i="1"/>
  <c r="AE518" i="1"/>
  <c r="AF518" i="1"/>
  <c r="AG518" i="1"/>
  <c r="AE519" i="1"/>
  <c r="AF519" i="1"/>
  <c r="AG519" i="1"/>
  <c r="AE520" i="1"/>
  <c r="AF520" i="1"/>
  <c r="AG520" i="1"/>
  <c r="AE521" i="1"/>
  <c r="AF521" i="1"/>
  <c r="AG521" i="1"/>
  <c r="AE522" i="1"/>
  <c r="AF522" i="1"/>
  <c r="AG522" i="1"/>
  <c r="AE523" i="1"/>
  <c r="AF523" i="1"/>
  <c r="AG523" i="1"/>
  <c r="AE524" i="1"/>
  <c r="AF524" i="1"/>
  <c r="AG524" i="1"/>
  <c r="AE525" i="1"/>
  <c r="AF525" i="1"/>
  <c r="AG525" i="1"/>
  <c r="AE526" i="1"/>
  <c r="AF526" i="1"/>
  <c r="AG526" i="1"/>
  <c r="AE527" i="1"/>
  <c r="AF527" i="1"/>
  <c r="AG527" i="1"/>
  <c r="AE528" i="1"/>
  <c r="AF528" i="1"/>
  <c r="AG528" i="1"/>
  <c r="AE529" i="1"/>
  <c r="AF529" i="1"/>
  <c r="AG529" i="1"/>
  <c r="AE530" i="1"/>
  <c r="AF530" i="1"/>
  <c r="AG530" i="1"/>
  <c r="AE531" i="1"/>
  <c r="AF531" i="1"/>
  <c r="AG531" i="1"/>
  <c r="AE532" i="1"/>
  <c r="AF532" i="1"/>
  <c r="AG532" i="1"/>
  <c r="AE533" i="1"/>
  <c r="AF533" i="1"/>
  <c r="AG533" i="1"/>
  <c r="AE534" i="1"/>
  <c r="AF534" i="1"/>
  <c r="AG534" i="1"/>
  <c r="AE535" i="1"/>
  <c r="AF535" i="1"/>
  <c r="AG535" i="1"/>
  <c r="AE536" i="1"/>
  <c r="AF536" i="1"/>
  <c r="AG536" i="1"/>
  <c r="AE537" i="1"/>
  <c r="AF537" i="1"/>
  <c r="AG537" i="1"/>
  <c r="AE538" i="1"/>
  <c r="AF538" i="1"/>
  <c r="AG538" i="1"/>
  <c r="AE539" i="1"/>
  <c r="AF539" i="1"/>
  <c r="AG539" i="1"/>
  <c r="AE540" i="1"/>
  <c r="AF540" i="1"/>
  <c r="AG540" i="1"/>
  <c r="AE541" i="1"/>
  <c r="AF541" i="1"/>
  <c r="AG541" i="1"/>
  <c r="AE542" i="1"/>
  <c r="AF542" i="1"/>
  <c r="AG542" i="1"/>
  <c r="AE543" i="1"/>
  <c r="AF543" i="1"/>
  <c r="AG543" i="1"/>
  <c r="AE544" i="1"/>
  <c r="AF544" i="1"/>
  <c r="AG544" i="1"/>
  <c r="AE545" i="1"/>
  <c r="AF545" i="1"/>
  <c r="AG545" i="1"/>
  <c r="AE546" i="1"/>
  <c r="AF546" i="1"/>
  <c r="AG546" i="1"/>
  <c r="AE547" i="1"/>
  <c r="AF547" i="1"/>
  <c r="AG547" i="1"/>
  <c r="AE548" i="1"/>
  <c r="AF548" i="1"/>
  <c r="AG548" i="1"/>
  <c r="AE549" i="1"/>
  <c r="AF549" i="1"/>
  <c r="AG549" i="1"/>
  <c r="AE550" i="1"/>
  <c r="AF550" i="1"/>
  <c r="AG550" i="1"/>
  <c r="AE551" i="1"/>
  <c r="AF551" i="1"/>
  <c r="AG551" i="1"/>
  <c r="AE552" i="1"/>
  <c r="AF552" i="1"/>
  <c r="AG552" i="1"/>
  <c r="AE553" i="1"/>
  <c r="AF553" i="1"/>
  <c r="AG553" i="1"/>
  <c r="AE554" i="1"/>
  <c r="AF554" i="1"/>
  <c r="AG554" i="1"/>
  <c r="AE555" i="1"/>
  <c r="AF555" i="1"/>
  <c r="AG555" i="1"/>
  <c r="AE556" i="1"/>
  <c r="AF556" i="1"/>
  <c r="AG556" i="1"/>
  <c r="AE557" i="1"/>
  <c r="AF557" i="1"/>
  <c r="AG557" i="1"/>
  <c r="AE558" i="1"/>
  <c r="AF558" i="1"/>
  <c r="AG558" i="1"/>
  <c r="AE559" i="1"/>
  <c r="AF559" i="1"/>
  <c r="AG559" i="1"/>
  <c r="AE560" i="1"/>
  <c r="AF560" i="1"/>
  <c r="AG560" i="1"/>
  <c r="AE561" i="1"/>
  <c r="AF561" i="1"/>
  <c r="AG561" i="1"/>
  <c r="AE562" i="1"/>
  <c r="AF562" i="1"/>
  <c r="AG562" i="1"/>
  <c r="AE563" i="1"/>
  <c r="AF563" i="1"/>
  <c r="AG563" i="1"/>
  <c r="AE564" i="1"/>
  <c r="AF564" i="1"/>
  <c r="AG564" i="1"/>
  <c r="AE565" i="1"/>
  <c r="AF565" i="1"/>
  <c r="AG565" i="1"/>
  <c r="AE566" i="1"/>
  <c r="AF566" i="1"/>
  <c r="AG566" i="1"/>
  <c r="AE567" i="1"/>
  <c r="AF567" i="1"/>
  <c r="AG567" i="1"/>
  <c r="AE568" i="1"/>
  <c r="AF568" i="1"/>
  <c r="AG568" i="1"/>
  <c r="AE569" i="1"/>
  <c r="AF569" i="1"/>
  <c r="AG569" i="1"/>
  <c r="AE570" i="1"/>
  <c r="AF570" i="1"/>
  <c r="AG570" i="1"/>
  <c r="AE571" i="1"/>
  <c r="AF571" i="1"/>
  <c r="AG571" i="1"/>
  <c r="AE572" i="1"/>
  <c r="AF572" i="1"/>
  <c r="AG572" i="1"/>
  <c r="AE573" i="1"/>
  <c r="AF573" i="1"/>
  <c r="AG573" i="1"/>
  <c r="AE574" i="1"/>
  <c r="AF574" i="1"/>
  <c r="AG574" i="1"/>
  <c r="AE575" i="1"/>
  <c r="AF575" i="1"/>
  <c r="AG575" i="1"/>
  <c r="AE576" i="1"/>
  <c r="AF576" i="1"/>
  <c r="AG576" i="1"/>
  <c r="AE577" i="1"/>
  <c r="AF577" i="1"/>
  <c r="AG577" i="1"/>
  <c r="AE578" i="1"/>
  <c r="AF578" i="1"/>
  <c r="AG578" i="1"/>
  <c r="AE579" i="1"/>
  <c r="AF579" i="1"/>
  <c r="AG579" i="1"/>
  <c r="AE580" i="1"/>
  <c r="AF580" i="1"/>
  <c r="AG580" i="1"/>
  <c r="AE581" i="1"/>
  <c r="AF581" i="1"/>
  <c r="AG581" i="1"/>
  <c r="AE582" i="1"/>
  <c r="AF582" i="1"/>
  <c r="AG582" i="1"/>
  <c r="AE583" i="1"/>
  <c r="AF583" i="1"/>
  <c r="AG583" i="1"/>
  <c r="AE584" i="1"/>
  <c r="AF584" i="1"/>
  <c r="AG584" i="1"/>
  <c r="AE585" i="1"/>
  <c r="AF585" i="1"/>
  <c r="AG585" i="1"/>
  <c r="AE586" i="1"/>
  <c r="AF586" i="1"/>
  <c r="AG586" i="1"/>
  <c r="AE587" i="1"/>
  <c r="AF587" i="1"/>
  <c r="AG587" i="1"/>
  <c r="AE588" i="1"/>
  <c r="AF588" i="1"/>
  <c r="AG588" i="1"/>
  <c r="AE589" i="1"/>
  <c r="AF589" i="1"/>
  <c r="AG589" i="1"/>
  <c r="AE590" i="1"/>
  <c r="AF590" i="1"/>
  <c r="AG590" i="1"/>
  <c r="AE591" i="1"/>
  <c r="AF591" i="1"/>
  <c r="AG591" i="1"/>
  <c r="AE592" i="1"/>
  <c r="AF592" i="1"/>
  <c r="AG592" i="1"/>
  <c r="AE593" i="1"/>
  <c r="AF593" i="1"/>
  <c r="AG593" i="1"/>
  <c r="AE594" i="1"/>
  <c r="AF594" i="1"/>
  <c r="AG594" i="1"/>
  <c r="AE595" i="1"/>
  <c r="AF595" i="1"/>
  <c r="AG595" i="1"/>
  <c r="AE596" i="1"/>
  <c r="AF596" i="1"/>
  <c r="AG596" i="1"/>
  <c r="AE597" i="1"/>
  <c r="AF597" i="1"/>
  <c r="AG597" i="1"/>
  <c r="AE598" i="1"/>
  <c r="AF598" i="1"/>
  <c r="AG598" i="1"/>
  <c r="AE599" i="1"/>
  <c r="AF599" i="1"/>
  <c r="AG599" i="1"/>
  <c r="AE600" i="1"/>
  <c r="AF600" i="1"/>
  <c r="AG600" i="1"/>
  <c r="AE601" i="1"/>
  <c r="AF601" i="1"/>
  <c r="AG601" i="1"/>
  <c r="AE602" i="1"/>
  <c r="AF602" i="1"/>
  <c r="AG602" i="1"/>
  <c r="AE603" i="1"/>
  <c r="AF603" i="1"/>
  <c r="AG603" i="1"/>
  <c r="AE604" i="1"/>
  <c r="AF604" i="1"/>
  <c r="AG604" i="1"/>
  <c r="AE605" i="1"/>
  <c r="AF605" i="1"/>
  <c r="AG605" i="1"/>
  <c r="AE606" i="1"/>
  <c r="AF606" i="1"/>
  <c r="AG606" i="1"/>
  <c r="AE607" i="1"/>
  <c r="AF607" i="1"/>
  <c r="AG607" i="1"/>
  <c r="AE608" i="1"/>
  <c r="AF608" i="1"/>
  <c r="AG608" i="1"/>
  <c r="AE609" i="1"/>
  <c r="AF609" i="1"/>
  <c r="AG609" i="1"/>
  <c r="AE610" i="1"/>
  <c r="AF610" i="1"/>
  <c r="AG610" i="1"/>
  <c r="AE611" i="1"/>
  <c r="AF611" i="1"/>
  <c r="AG611" i="1"/>
  <c r="AE612" i="1"/>
  <c r="AF612" i="1"/>
  <c r="AG612" i="1"/>
  <c r="AE613" i="1"/>
  <c r="AF613" i="1"/>
  <c r="AG613" i="1"/>
  <c r="AE614" i="1"/>
  <c r="AF614" i="1"/>
  <c r="AG614" i="1"/>
  <c r="AE615" i="1"/>
  <c r="AF615" i="1"/>
  <c r="AG615" i="1"/>
  <c r="AE616" i="1"/>
  <c r="AF616" i="1"/>
  <c r="AG616" i="1"/>
  <c r="AE617" i="1"/>
  <c r="AF617" i="1"/>
  <c r="AG617" i="1"/>
  <c r="AE618" i="1"/>
  <c r="AF618" i="1"/>
  <c r="AG618" i="1"/>
  <c r="AE619" i="1"/>
  <c r="AF619" i="1"/>
  <c r="AG619" i="1"/>
  <c r="AE620" i="1"/>
  <c r="AF620" i="1"/>
  <c r="AG620" i="1"/>
  <c r="AE621" i="1"/>
  <c r="AF621" i="1"/>
  <c r="AG621" i="1"/>
  <c r="AE622" i="1"/>
  <c r="AF622" i="1"/>
  <c r="AG622" i="1"/>
  <c r="AE623" i="1"/>
  <c r="AF623" i="1"/>
  <c r="AG623" i="1"/>
  <c r="AE624" i="1"/>
  <c r="AF624" i="1"/>
  <c r="AG624" i="1"/>
  <c r="AE625" i="1"/>
  <c r="AF625" i="1"/>
  <c r="AG625" i="1"/>
  <c r="AE626" i="1"/>
  <c r="AF626" i="1"/>
  <c r="AG626" i="1"/>
  <c r="AE627" i="1"/>
  <c r="AF627" i="1"/>
  <c r="AG627" i="1"/>
  <c r="AE628" i="1"/>
  <c r="AF628" i="1"/>
  <c r="AG628" i="1"/>
  <c r="AE629" i="1"/>
  <c r="AF629" i="1"/>
  <c r="AG629" i="1"/>
  <c r="AE630" i="1"/>
  <c r="AF630" i="1"/>
  <c r="AG630" i="1"/>
  <c r="AE631" i="1"/>
  <c r="AF631" i="1"/>
  <c r="AG631" i="1"/>
  <c r="AE632" i="1"/>
  <c r="AF632" i="1"/>
  <c r="AG632" i="1"/>
  <c r="AE633" i="1"/>
  <c r="AF633" i="1"/>
  <c r="AG633" i="1"/>
  <c r="AE634" i="1"/>
  <c r="AF634" i="1"/>
  <c r="AG634" i="1"/>
  <c r="AE635" i="1"/>
  <c r="AF635" i="1"/>
  <c r="AG635" i="1"/>
  <c r="AE636" i="1"/>
  <c r="AF636" i="1"/>
  <c r="AG636" i="1"/>
  <c r="AE637" i="1"/>
  <c r="AF637" i="1"/>
  <c r="AG637" i="1"/>
  <c r="AE638" i="1"/>
  <c r="AF638" i="1"/>
  <c r="AG638" i="1"/>
  <c r="AE639" i="1"/>
  <c r="AF639" i="1"/>
  <c r="AG639" i="1"/>
  <c r="AE640" i="1"/>
  <c r="AF640" i="1"/>
  <c r="AG640" i="1"/>
  <c r="AE641" i="1"/>
  <c r="AF641" i="1"/>
  <c r="AG641" i="1"/>
  <c r="AE642" i="1"/>
  <c r="AF642" i="1"/>
  <c r="AG642" i="1"/>
  <c r="AE643" i="1"/>
  <c r="AF643" i="1"/>
  <c r="AG643" i="1"/>
  <c r="AE644" i="1"/>
  <c r="AF644" i="1"/>
  <c r="AG644" i="1"/>
  <c r="AE645" i="1"/>
  <c r="AF645" i="1"/>
  <c r="AG645" i="1"/>
  <c r="AE646" i="1"/>
  <c r="AF646" i="1"/>
  <c r="AG646" i="1"/>
  <c r="AE647" i="1"/>
  <c r="AF647" i="1"/>
  <c r="AG647" i="1"/>
  <c r="AE648" i="1"/>
  <c r="AF648" i="1"/>
  <c r="AG648" i="1"/>
  <c r="AE649" i="1"/>
  <c r="AF649" i="1"/>
  <c r="AG649" i="1"/>
  <c r="AE650" i="1"/>
  <c r="AF650" i="1"/>
  <c r="AG650" i="1"/>
  <c r="AE651" i="1"/>
  <c r="AF651" i="1"/>
  <c r="AG651" i="1"/>
  <c r="AE652" i="1"/>
  <c r="AF652" i="1"/>
  <c r="AG652" i="1"/>
  <c r="AE653" i="1"/>
  <c r="AF653" i="1"/>
  <c r="AG653" i="1"/>
  <c r="AE654" i="1"/>
  <c r="AF654" i="1"/>
  <c r="AG654" i="1"/>
  <c r="AE655" i="1"/>
  <c r="AF655" i="1"/>
  <c r="AG655" i="1"/>
  <c r="AE656" i="1"/>
  <c r="AF656" i="1"/>
  <c r="AG656" i="1"/>
  <c r="AE657" i="1"/>
  <c r="AF657" i="1"/>
  <c r="AG657" i="1"/>
  <c r="AE658" i="1"/>
  <c r="AF658" i="1"/>
  <c r="AG658" i="1"/>
  <c r="AE659" i="1"/>
  <c r="AF659" i="1"/>
  <c r="AG659" i="1"/>
  <c r="AE660" i="1"/>
  <c r="AF660" i="1"/>
  <c r="AG660" i="1"/>
  <c r="AE661" i="1"/>
  <c r="AF661" i="1"/>
  <c r="AG661" i="1"/>
  <c r="AE662" i="1"/>
  <c r="AF662" i="1"/>
  <c r="AG662" i="1"/>
  <c r="AE663" i="1"/>
  <c r="AF663" i="1"/>
  <c r="AG663" i="1"/>
  <c r="AE664" i="1"/>
  <c r="AF664" i="1"/>
  <c r="AG664" i="1"/>
  <c r="AE665" i="1"/>
  <c r="AF665" i="1"/>
  <c r="AG665" i="1"/>
  <c r="AE666" i="1"/>
  <c r="AF666" i="1"/>
  <c r="AG666" i="1"/>
  <c r="AE667" i="1"/>
  <c r="AF667" i="1"/>
  <c r="AG667" i="1"/>
  <c r="AE668" i="1"/>
  <c r="AF668" i="1"/>
  <c r="AG668" i="1"/>
  <c r="AE669" i="1"/>
  <c r="AF669" i="1"/>
  <c r="AG669" i="1"/>
  <c r="AE670" i="1"/>
  <c r="AF670" i="1"/>
  <c r="AG670" i="1"/>
  <c r="AE671" i="1"/>
  <c r="AF671" i="1"/>
  <c r="AG671" i="1"/>
  <c r="AE672" i="1"/>
  <c r="AF672" i="1"/>
  <c r="AG672" i="1"/>
  <c r="AE673" i="1"/>
  <c r="AF673" i="1"/>
  <c r="AG673" i="1"/>
  <c r="AE674" i="1"/>
  <c r="AF674" i="1"/>
  <c r="AG674" i="1"/>
  <c r="AE675" i="1"/>
  <c r="AF675" i="1"/>
  <c r="AG675" i="1"/>
  <c r="AE676" i="1"/>
  <c r="AF676" i="1"/>
  <c r="AG676" i="1"/>
  <c r="AE677" i="1"/>
  <c r="AF677" i="1"/>
  <c r="AG677" i="1"/>
  <c r="AE678" i="1"/>
  <c r="AF678" i="1"/>
  <c r="AG678" i="1"/>
  <c r="AE679" i="1"/>
  <c r="AF679" i="1"/>
  <c r="AG679" i="1"/>
  <c r="AE680" i="1"/>
  <c r="AF680" i="1"/>
  <c r="AG680" i="1"/>
  <c r="AE681" i="1"/>
  <c r="AF681" i="1"/>
  <c r="AG681" i="1"/>
  <c r="AE682" i="1"/>
  <c r="AF682" i="1"/>
  <c r="AG682" i="1"/>
  <c r="AE683" i="1"/>
  <c r="AF683" i="1"/>
  <c r="AG683" i="1"/>
  <c r="AE684" i="1"/>
  <c r="AF684" i="1"/>
  <c r="AG684" i="1"/>
  <c r="AE685" i="1"/>
  <c r="AF685" i="1"/>
  <c r="AG685" i="1"/>
  <c r="AE686" i="1"/>
  <c r="AF686" i="1"/>
  <c r="AG686" i="1"/>
  <c r="AE687" i="1"/>
  <c r="AF687" i="1"/>
  <c r="AG687" i="1"/>
  <c r="AE688" i="1"/>
  <c r="AF688" i="1"/>
  <c r="AG688" i="1"/>
  <c r="AE689" i="1"/>
  <c r="AF689" i="1"/>
  <c r="AG689" i="1"/>
  <c r="AE690" i="1"/>
  <c r="AF690" i="1"/>
  <c r="AG690" i="1"/>
  <c r="AE691" i="1"/>
  <c r="AF691" i="1"/>
  <c r="AG691" i="1"/>
  <c r="AE692" i="1"/>
  <c r="AF692" i="1"/>
  <c r="AG692" i="1"/>
  <c r="AE693" i="1"/>
  <c r="AF693" i="1"/>
  <c r="AG693" i="1"/>
  <c r="AE694" i="1"/>
  <c r="AF694" i="1"/>
  <c r="AG694" i="1"/>
  <c r="AE695" i="1"/>
  <c r="AF695" i="1"/>
  <c r="AG695" i="1"/>
  <c r="AE696" i="1"/>
  <c r="AF696" i="1"/>
  <c r="AG696" i="1"/>
  <c r="AE697" i="1"/>
  <c r="AF697" i="1"/>
  <c r="AG697" i="1"/>
  <c r="AE698" i="1"/>
  <c r="AF698" i="1"/>
  <c r="AG698" i="1"/>
  <c r="AE699" i="1"/>
  <c r="AF699" i="1"/>
  <c r="AG699" i="1"/>
  <c r="AE700" i="1"/>
  <c r="AF700" i="1"/>
  <c r="AG700" i="1"/>
  <c r="AE701" i="1"/>
  <c r="AF701" i="1"/>
  <c r="AG701" i="1"/>
  <c r="AE702" i="1"/>
  <c r="AF702" i="1"/>
  <c r="AG702" i="1"/>
  <c r="AE703" i="1"/>
  <c r="AF703" i="1"/>
  <c r="AG703" i="1"/>
  <c r="AE704" i="1"/>
  <c r="AF704" i="1"/>
  <c r="AG704" i="1"/>
  <c r="AE705" i="1"/>
  <c r="AF705" i="1"/>
  <c r="AG705" i="1"/>
  <c r="AE706" i="1"/>
  <c r="AF706" i="1"/>
  <c r="AG706" i="1"/>
  <c r="AE707" i="1"/>
  <c r="AF707" i="1"/>
  <c r="AG707" i="1"/>
  <c r="AE708" i="1"/>
  <c r="AF708" i="1"/>
  <c r="AG708" i="1"/>
  <c r="AE709" i="1"/>
  <c r="AF709" i="1"/>
  <c r="AG709" i="1"/>
  <c r="AE710" i="1"/>
  <c r="AF710" i="1"/>
  <c r="AG710" i="1"/>
  <c r="AE711" i="1"/>
  <c r="AF711" i="1"/>
  <c r="AG711" i="1"/>
  <c r="AE712" i="1"/>
  <c r="AF712" i="1"/>
  <c r="AG712" i="1"/>
  <c r="AE713" i="1"/>
  <c r="AF713" i="1"/>
  <c r="AG713" i="1"/>
  <c r="AE714" i="1"/>
  <c r="AF714" i="1"/>
  <c r="AG714" i="1"/>
  <c r="AE715" i="1"/>
  <c r="AF715" i="1"/>
  <c r="AG715" i="1"/>
  <c r="AE716" i="1"/>
  <c r="AF716" i="1"/>
  <c r="AG716" i="1"/>
  <c r="AE717" i="1"/>
  <c r="AF717" i="1"/>
  <c r="AG717" i="1"/>
  <c r="AE718" i="1"/>
  <c r="AF718" i="1"/>
  <c r="AG718" i="1"/>
  <c r="AE719" i="1"/>
  <c r="AF719" i="1"/>
  <c r="AG719" i="1"/>
  <c r="AE720" i="1"/>
  <c r="AF720" i="1"/>
  <c r="AG720" i="1"/>
  <c r="AE721" i="1"/>
  <c r="AF721" i="1"/>
  <c r="AG721" i="1"/>
  <c r="AE722" i="1"/>
  <c r="AF722" i="1"/>
  <c r="AG722" i="1"/>
  <c r="AE723" i="1"/>
  <c r="AF723" i="1"/>
  <c r="AG723" i="1"/>
  <c r="AE724" i="1"/>
  <c r="AF724" i="1"/>
  <c r="AG724" i="1"/>
  <c r="AE725" i="1"/>
  <c r="AF725" i="1"/>
  <c r="AG725" i="1"/>
  <c r="AE726" i="1"/>
  <c r="AF726" i="1"/>
  <c r="AG726" i="1"/>
  <c r="AE727" i="1"/>
  <c r="AF727" i="1"/>
  <c r="AG727" i="1"/>
  <c r="AE728" i="1"/>
  <c r="AF728" i="1"/>
  <c r="AG728" i="1"/>
  <c r="AE729" i="1"/>
  <c r="AF729" i="1"/>
  <c r="AG729" i="1"/>
  <c r="AE730" i="1"/>
  <c r="AF730" i="1"/>
  <c r="AG730" i="1"/>
  <c r="AE731" i="1"/>
  <c r="AF731" i="1"/>
  <c r="AG731" i="1"/>
  <c r="AE732" i="1"/>
  <c r="AF732" i="1"/>
  <c r="AG732" i="1"/>
  <c r="AE733" i="1"/>
  <c r="AF733" i="1"/>
  <c r="AG733" i="1"/>
  <c r="AE734" i="1"/>
  <c r="AF734" i="1"/>
  <c r="AG734" i="1"/>
  <c r="AE735" i="1"/>
  <c r="AF735" i="1"/>
  <c r="AG735" i="1"/>
  <c r="AE736" i="1"/>
  <c r="AF736" i="1"/>
  <c r="AG736" i="1"/>
  <c r="AE737" i="1"/>
  <c r="AF737" i="1"/>
  <c r="AG737" i="1"/>
  <c r="AE738" i="1"/>
  <c r="AF738" i="1"/>
  <c r="AG738" i="1"/>
  <c r="AE739" i="1"/>
  <c r="AF739" i="1"/>
  <c r="AG739" i="1"/>
  <c r="AE740" i="1"/>
  <c r="AF740" i="1"/>
  <c r="AG740" i="1"/>
  <c r="AE741" i="1"/>
  <c r="AF741" i="1"/>
  <c r="AG741" i="1"/>
  <c r="AE742" i="1"/>
  <c r="AF742" i="1"/>
  <c r="AG742" i="1"/>
  <c r="AE743" i="1"/>
  <c r="AF743" i="1"/>
  <c r="AG743" i="1"/>
  <c r="AE744" i="1"/>
  <c r="AF744" i="1"/>
  <c r="AG744" i="1"/>
  <c r="AE745" i="1"/>
  <c r="AF745" i="1"/>
  <c r="AG745" i="1"/>
  <c r="AE746" i="1"/>
  <c r="AF746" i="1"/>
  <c r="AG746" i="1"/>
  <c r="AE747" i="1"/>
  <c r="AF747" i="1"/>
  <c r="AG747" i="1"/>
  <c r="AE748" i="1"/>
  <c r="AF748" i="1"/>
  <c r="AG748" i="1"/>
  <c r="AE749" i="1"/>
  <c r="AF749" i="1"/>
  <c r="AG749" i="1"/>
  <c r="AE750" i="1"/>
  <c r="AF750" i="1"/>
  <c r="AG750" i="1"/>
  <c r="AE751" i="1"/>
  <c r="AF751" i="1"/>
  <c r="AG751" i="1"/>
  <c r="AE752" i="1"/>
  <c r="AF752" i="1"/>
  <c r="AG752" i="1"/>
  <c r="AE753" i="1"/>
  <c r="AF753" i="1"/>
  <c r="AG753" i="1"/>
  <c r="AE754" i="1"/>
  <c r="AF754" i="1"/>
  <c r="AG754" i="1"/>
  <c r="AE755" i="1"/>
  <c r="AF755" i="1"/>
  <c r="AG755" i="1"/>
  <c r="AE756" i="1"/>
  <c r="AF756" i="1"/>
  <c r="AG756" i="1"/>
  <c r="AE757" i="1"/>
  <c r="AF757" i="1"/>
  <c r="AG757" i="1"/>
  <c r="AE758" i="1"/>
  <c r="AF758" i="1"/>
  <c r="AG758" i="1"/>
  <c r="AE759" i="1"/>
  <c r="AF759" i="1"/>
  <c r="AG759" i="1"/>
  <c r="AE760" i="1"/>
  <c r="AF760" i="1"/>
  <c r="AG760" i="1"/>
  <c r="AE761" i="1"/>
  <c r="AF761" i="1"/>
  <c r="AG761" i="1"/>
  <c r="AE762" i="1"/>
  <c r="AF762" i="1"/>
  <c r="AG762" i="1"/>
  <c r="AE763" i="1"/>
  <c r="AF763" i="1"/>
  <c r="AG763" i="1"/>
  <c r="AE764" i="1"/>
  <c r="AF764" i="1"/>
  <c r="AG764" i="1"/>
  <c r="AE765" i="1"/>
  <c r="AF765" i="1"/>
  <c r="AG765" i="1"/>
  <c r="AE766" i="1"/>
  <c r="AF766" i="1"/>
  <c r="AG766" i="1"/>
  <c r="AE767" i="1"/>
  <c r="AF767" i="1"/>
  <c r="AG767" i="1"/>
  <c r="AE768" i="1"/>
  <c r="AF768" i="1"/>
  <c r="AG768" i="1"/>
  <c r="AE769" i="1"/>
  <c r="AF769" i="1"/>
  <c r="AG769" i="1"/>
  <c r="AE770" i="1"/>
  <c r="AF770" i="1"/>
  <c r="AG770" i="1"/>
  <c r="AE771" i="1"/>
  <c r="AF771" i="1"/>
  <c r="AG771" i="1"/>
  <c r="AE772" i="1"/>
  <c r="AF772" i="1"/>
  <c r="AG772" i="1"/>
  <c r="AE773" i="1"/>
  <c r="AF773" i="1"/>
  <c r="AG773" i="1"/>
  <c r="AE774" i="1"/>
  <c r="AF774" i="1"/>
  <c r="AG774" i="1"/>
  <c r="AE775" i="1"/>
  <c r="AF775" i="1"/>
  <c r="AG775" i="1"/>
  <c r="AE776" i="1"/>
  <c r="AF776" i="1"/>
  <c r="AG776" i="1"/>
  <c r="AE777" i="1"/>
  <c r="AF777" i="1"/>
  <c r="AG777" i="1"/>
  <c r="AE778" i="1"/>
  <c r="AF778" i="1"/>
  <c r="AG778" i="1"/>
  <c r="AE779" i="1"/>
  <c r="AF779" i="1"/>
  <c r="AG779" i="1"/>
  <c r="AE780" i="1"/>
  <c r="AF780" i="1"/>
  <c r="AG780" i="1"/>
  <c r="AE781" i="1"/>
  <c r="AF781" i="1"/>
  <c r="AG781" i="1"/>
  <c r="AE782" i="1"/>
  <c r="AF782" i="1"/>
  <c r="AG782" i="1"/>
  <c r="AE783" i="1"/>
  <c r="AF783" i="1"/>
  <c r="AG783" i="1"/>
  <c r="AE784" i="1"/>
  <c r="AF784" i="1"/>
  <c r="AG784" i="1"/>
  <c r="AE785" i="1"/>
  <c r="AF785" i="1"/>
  <c r="AG785" i="1"/>
  <c r="AE786" i="1"/>
  <c r="AF786" i="1"/>
  <c r="AG786" i="1"/>
  <c r="AE787" i="1"/>
  <c r="AF787" i="1"/>
  <c r="AG787" i="1"/>
  <c r="AE788" i="1"/>
  <c r="AF788" i="1"/>
  <c r="AG788" i="1"/>
  <c r="AE789" i="1"/>
  <c r="AF789" i="1"/>
  <c r="AG789" i="1"/>
  <c r="AE790" i="1"/>
  <c r="AF790" i="1"/>
  <c r="AG790" i="1"/>
  <c r="AE791" i="1"/>
  <c r="AF791" i="1"/>
  <c r="AG791" i="1"/>
  <c r="AE792" i="1"/>
  <c r="AF792" i="1"/>
  <c r="AG792" i="1"/>
  <c r="AE793" i="1"/>
  <c r="AF793" i="1"/>
  <c r="AG793" i="1"/>
  <c r="AE794" i="1"/>
  <c r="AF794" i="1"/>
  <c r="AG794" i="1"/>
  <c r="AE795" i="1"/>
  <c r="AF795" i="1"/>
  <c r="AG795" i="1"/>
  <c r="AE796" i="1"/>
  <c r="AF796" i="1"/>
  <c r="AG796" i="1"/>
  <c r="AE797" i="1"/>
  <c r="AF797" i="1"/>
  <c r="AG797" i="1"/>
  <c r="AE798" i="1"/>
  <c r="AF798" i="1"/>
  <c r="AG798" i="1"/>
  <c r="AE799" i="1"/>
  <c r="AF799" i="1"/>
  <c r="AG799" i="1"/>
  <c r="AE800" i="1"/>
  <c r="AF800" i="1"/>
  <c r="AG800" i="1"/>
  <c r="AE801" i="1"/>
  <c r="AF801" i="1"/>
  <c r="AG801" i="1"/>
  <c r="AE802" i="1"/>
  <c r="AF802" i="1"/>
  <c r="AG802" i="1"/>
  <c r="AE803" i="1"/>
  <c r="AF803" i="1"/>
  <c r="AG803" i="1"/>
  <c r="AE804" i="1"/>
  <c r="AF804" i="1"/>
  <c r="AG804" i="1"/>
  <c r="AE805" i="1"/>
  <c r="AF805" i="1"/>
  <c r="AG805" i="1"/>
  <c r="AE806" i="1"/>
  <c r="AF806" i="1"/>
  <c r="AG806" i="1"/>
  <c r="AE807" i="1"/>
  <c r="AF807" i="1"/>
  <c r="AG807" i="1"/>
  <c r="AE808" i="1"/>
  <c r="AF808" i="1"/>
  <c r="AG808" i="1"/>
  <c r="AE809" i="1"/>
  <c r="AF809" i="1"/>
  <c r="AG809" i="1"/>
  <c r="AE810" i="1"/>
  <c r="AF810" i="1"/>
  <c r="AG810" i="1"/>
  <c r="AE811" i="1"/>
  <c r="AF811" i="1"/>
  <c r="AG811" i="1"/>
  <c r="AE812" i="1"/>
  <c r="AF812" i="1"/>
  <c r="AG812" i="1"/>
  <c r="AE813" i="1"/>
  <c r="AF813" i="1"/>
  <c r="AG813" i="1"/>
  <c r="AE814" i="1"/>
  <c r="AF814" i="1"/>
  <c r="AG814" i="1"/>
  <c r="AE815" i="1"/>
  <c r="AF815" i="1"/>
  <c r="AG815" i="1"/>
  <c r="AE816" i="1"/>
  <c r="AF816" i="1"/>
  <c r="AG816" i="1"/>
  <c r="AE817" i="1"/>
  <c r="AF817" i="1"/>
  <c r="AG817" i="1"/>
  <c r="AE818" i="1"/>
  <c r="AF818" i="1"/>
  <c r="AG818" i="1"/>
  <c r="AE819" i="1"/>
  <c r="AF819" i="1"/>
  <c r="AG819" i="1"/>
  <c r="AE820" i="1"/>
  <c r="AF820" i="1"/>
  <c r="AG820" i="1"/>
  <c r="AE821" i="1"/>
  <c r="AF821" i="1"/>
  <c r="AG821" i="1"/>
  <c r="AE822" i="1"/>
  <c r="AF822" i="1"/>
  <c r="AG822" i="1"/>
  <c r="AE823" i="1"/>
  <c r="AF823" i="1"/>
  <c r="AG823" i="1"/>
  <c r="AE824" i="1"/>
  <c r="AF824" i="1"/>
  <c r="AG824" i="1"/>
  <c r="AE825" i="1"/>
  <c r="AF825" i="1"/>
  <c r="AG825" i="1"/>
  <c r="AE826" i="1"/>
  <c r="AF826" i="1"/>
  <c r="AG826" i="1"/>
  <c r="AE827" i="1"/>
  <c r="AF827" i="1"/>
  <c r="AG827" i="1"/>
  <c r="AE828" i="1"/>
  <c r="AF828" i="1"/>
  <c r="AG828" i="1"/>
  <c r="AE829" i="1"/>
  <c r="AF829" i="1"/>
  <c r="AG829" i="1"/>
  <c r="AE830" i="1"/>
  <c r="AF830" i="1"/>
  <c r="AG830" i="1"/>
  <c r="AE831" i="1"/>
  <c r="AF831" i="1"/>
  <c r="AG831" i="1"/>
  <c r="AE832" i="1"/>
  <c r="AF832" i="1"/>
  <c r="AG832" i="1"/>
  <c r="AE833" i="1"/>
  <c r="AF833" i="1"/>
  <c r="AG833" i="1"/>
  <c r="AE834" i="1"/>
  <c r="AF834" i="1"/>
  <c r="AG834" i="1"/>
  <c r="AE835" i="1"/>
  <c r="AF835" i="1"/>
  <c r="AG835" i="1"/>
  <c r="AE836" i="1"/>
  <c r="AF836" i="1"/>
  <c r="AG836" i="1"/>
  <c r="AE837" i="1"/>
  <c r="AF837" i="1"/>
  <c r="AG837" i="1"/>
  <c r="AE838" i="1"/>
  <c r="AF838" i="1"/>
  <c r="AG838" i="1"/>
  <c r="AE839" i="1"/>
  <c r="AF839" i="1"/>
  <c r="AG839" i="1"/>
  <c r="AE840" i="1"/>
  <c r="AF840" i="1"/>
  <c r="AG840" i="1"/>
  <c r="AE841" i="1"/>
  <c r="AF841" i="1"/>
  <c r="AG841" i="1"/>
  <c r="AE842" i="1"/>
  <c r="AF842" i="1"/>
  <c r="AG842" i="1"/>
  <c r="AE843" i="1"/>
  <c r="AF843" i="1"/>
  <c r="AG843" i="1"/>
  <c r="AE844" i="1"/>
  <c r="AF844" i="1"/>
  <c r="AG844" i="1"/>
  <c r="AE845" i="1"/>
  <c r="AF845" i="1"/>
  <c r="AG845" i="1"/>
  <c r="AE846" i="1"/>
  <c r="AF846" i="1"/>
  <c r="AG846" i="1"/>
  <c r="AE847" i="1"/>
  <c r="AF847" i="1"/>
  <c r="AG847" i="1"/>
  <c r="AE848" i="1"/>
  <c r="AF848" i="1"/>
  <c r="AG848" i="1"/>
  <c r="AE849" i="1"/>
  <c r="AF849" i="1"/>
  <c r="AG849" i="1"/>
  <c r="AE850" i="1"/>
  <c r="AF850" i="1"/>
  <c r="AG850" i="1"/>
  <c r="AE851" i="1"/>
  <c r="AF851" i="1"/>
  <c r="AG851" i="1"/>
  <c r="AE852" i="1"/>
  <c r="AF852" i="1"/>
  <c r="AG852" i="1"/>
  <c r="AE853" i="1"/>
  <c r="AF853" i="1"/>
  <c r="AG853" i="1"/>
  <c r="AE854" i="1"/>
  <c r="AF854" i="1"/>
  <c r="AG854" i="1"/>
  <c r="AE855" i="1"/>
  <c r="AF855" i="1"/>
  <c r="AG855" i="1"/>
  <c r="AE856" i="1"/>
  <c r="AF856" i="1"/>
  <c r="AG856" i="1"/>
  <c r="AE857" i="1"/>
  <c r="AF857" i="1"/>
  <c r="AG857" i="1"/>
  <c r="AE858" i="1"/>
  <c r="AF858" i="1"/>
  <c r="AG858" i="1"/>
  <c r="AE859" i="1"/>
  <c r="AF859" i="1"/>
  <c r="AG859" i="1"/>
  <c r="AE860" i="1"/>
  <c r="AF860" i="1"/>
  <c r="AG860" i="1"/>
  <c r="AE861" i="1"/>
  <c r="AF861" i="1"/>
  <c r="AG861" i="1"/>
  <c r="AE862" i="1"/>
  <c r="AF862" i="1"/>
  <c r="AG862" i="1"/>
  <c r="AE863" i="1"/>
  <c r="AF863" i="1"/>
  <c r="AG863" i="1"/>
  <c r="AE864" i="1"/>
  <c r="AF864" i="1"/>
  <c r="AG864" i="1"/>
  <c r="AE865" i="1"/>
  <c r="AF865" i="1"/>
  <c r="AG865" i="1"/>
  <c r="AE866" i="1"/>
  <c r="AF866" i="1"/>
  <c r="AG866" i="1"/>
  <c r="AE867" i="1"/>
  <c r="AF867" i="1"/>
  <c r="AG867" i="1"/>
  <c r="AE868" i="1"/>
  <c r="AF868" i="1"/>
  <c r="AG868" i="1"/>
  <c r="AE869" i="1"/>
  <c r="AF869" i="1"/>
  <c r="AG869" i="1"/>
  <c r="AE870" i="1"/>
  <c r="AF870" i="1"/>
  <c r="AG870" i="1"/>
  <c r="AE871" i="1"/>
  <c r="AF871" i="1"/>
  <c r="AG871" i="1"/>
  <c r="AE872" i="1"/>
  <c r="AF872" i="1"/>
  <c r="AG872" i="1"/>
  <c r="AE873" i="1"/>
  <c r="AF873" i="1"/>
  <c r="AG873" i="1"/>
  <c r="AE874" i="1"/>
  <c r="AF874" i="1"/>
  <c r="AG874" i="1"/>
  <c r="AE875" i="1"/>
  <c r="AF875" i="1"/>
  <c r="AG875" i="1"/>
  <c r="AE876" i="1"/>
  <c r="AF876" i="1"/>
  <c r="AG876" i="1"/>
  <c r="AE877" i="1"/>
  <c r="AF877" i="1"/>
  <c r="AG877" i="1"/>
  <c r="AE878" i="1"/>
  <c r="AF878" i="1"/>
  <c r="AG878" i="1"/>
  <c r="AE879" i="1"/>
  <c r="AF879" i="1"/>
  <c r="AG879" i="1"/>
  <c r="AE880" i="1"/>
  <c r="AF880" i="1"/>
  <c r="AG880" i="1"/>
  <c r="AE881" i="1"/>
  <c r="AF881" i="1"/>
  <c r="AG881" i="1"/>
  <c r="AE882" i="1"/>
  <c r="AF882" i="1"/>
  <c r="AG882" i="1"/>
  <c r="AE883" i="1"/>
  <c r="AF883" i="1"/>
  <c r="AG883" i="1"/>
  <c r="AE884" i="1"/>
  <c r="AF884" i="1"/>
  <c r="AG884" i="1"/>
  <c r="AE885" i="1"/>
  <c r="AF885" i="1"/>
  <c r="AG885" i="1"/>
  <c r="AE886" i="1"/>
  <c r="AF886" i="1"/>
  <c r="AG886" i="1"/>
  <c r="AE887" i="1"/>
  <c r="AF887" i="1"/>
  <c r="AG887" i="1"/>
  <c r="AE888" i="1"/>
  <c r="AF888" i="1"/>
  <c r="AG888" i="1"/>
  <c r="AE889" i="1"/>
  <c r="AF889" i="1"/>
  <c r="AG889" i="1"/>
  <c r="AE890" i="1"/>
  <c r="AF890" i="1"/>
  <c r="AG890" i="1"/>
  <c r="AE891" i="1"/>
  <c r="AF891" i="1"/>
  <c r="AG891" i="1"/>
  <c r="AE892" i="1"/>
  <c r="AF892" i="1"/>
  <c r="AG892" i="1"/>
  <c r="AE893" i="1"/>
  <c r="AF893" i="1"/>
  <c r="AG893" i="1"/>
  <c r="AE894" i="1"/>
  <c r="AF894" i="1"/>
  <c r="AG894" i="1"/>
  <c r="AE895" i="1"/>
  <c r="AF895" i="1"/>
  <c r="AG895" i="1"/>
  <c r="AE896" i="1"/>
  <c r="AF896" i="1"/>
  <c r="AG896" i="1"/>
  <c r="AE897" i="1"/>
  <c r="AF897" i="1"/>
  <c r="AG897" i="1"/>
  <c r="AE898" i="1"/>
  <c r="AF898" i="1"/>
  <c r="AG898" i="1"/>
  <c r="AE899" i="1"/>
  <c r="AF899" i="1"/>
  <c r="AG899" i="1"/>
  <c r="AE900" i="1"/>
  <c r="AF900" i="1"/>
  <c r="AG900" i="1"/>
  <c r="AE901" i="1"/>
  <c r="AF901" i="1"/>
  <c r="AG901" i="1"/>
  <c r="AE902" i="1"/>
  <c r="AF902" i="1"/>
  <c r="AG902" i="1"/>
  <c r="AE903" i="1"/>
  <c r="AF903" i="1"/>
  <c r="AG903" i="1"/>
  <c r="AE904" i="1"/>
  <c r="AF904" i="1"/>
  <c r="AG904" i="1"/>
  <c r="AE905" i="1"/>
  <c r="AF905" i="1"/>
  <c r="AG905" i="1"/>
  <c r="AE906" i="1"/>
  <c r="AF906" i="1"/>
  <c r="AG906" i="1"/>
  <c r="AE907" i="1"/>
  <c r="AF907" i="1"/>
  <c r="AG907" i="1"/>
  <c r="AE908" i="1"/>
  <c r="AF908" i="1"/>
  <c r="AG908" i="1"/>
  <c r="AE909" i="1"/>
  <c r="AF909" i="1"/>
  <c r="AG909" i="1"/>
  <c r="AE910" i="1"/>
  <c r="AF910" i="1"/>
  <c r="AG910" i="1"/>
  <c r="AE911" i="1"/>
  <c r="AF911" i="1"/>
  <c r="AG911" i="1"/>
  <c r="AE912" i="1"/>
  <c r="AF912" i="1"/>
  <c r="AG912" i="1"/>
  <c r="AE913" i="1"/>
  <c r="AF913" i="1"/>
  <c r="AG913" i="1"/>
  <c r="AE914" i="1"/>
  <c r="AF914" i="1"/>
  <c r="AG914" i="1"/>
  <c r="AE915" i="1"/>
  <c r="AF915" i="1"/>
  <c r="AG915" i="1"/>
  <c r="AE916" i="1"/>
  <c r="AF916" i="1"/>
  <c r="AG916" i="1"/>
  <c r="AE917" i="1"/>
  <c r="AF917" i="1"/>
  <c r="AG917" i="1"/>
  <c r="AE918" i="1"/>
  <c r="AF918" i="1"/>
  <c r="AG918" i="1"/>
  <c r="AE919" i="1"/>
  <c r="AF919" i="1"/>
  <c r="AG919" i="1"/>
  <c r="AE920" i="1"/>
  <c r="AF920" i="1"/>
  <c r="AG920" i="1"/>
  <c r="AE921" i="1"/>
  <c r="AF921" i="1"/>
  <c r="AG921" i="1"/>
  <c r="AE922" i="1"/>
  <c r="AF922" i="1"/>
  <c r="AG922" i="1"/>
  <c r="AE923" i="1"/>
  <c r="AF923" i="1"/>
  <c r="AG923" i="1"/>
  <c r="AE924" i="1"/>
  <c r="AF924" i="1"/>
  <c r="AG924" i="1"/>
  <c r="AE925" i="1"/>
  <c r="AF925" i="1"/>
  <c r="AG925" i="1"/>
  <c r="AE926" i="1"/>
  <c r="AF926" i="1"/>
  <c r="AG926" i="1"/>
  <c r="AE927" i="1"/>
  <c r="AF927" i="1"/>
  <c r="AG927" i="1"/>
  <c r="AE928" i="1"/>
  <c r="AF928" i="1"/>
  <c r="AG928" i="1"/>
  <c r="AE929" i="1"/>
  <c r="AF929" i="1"/>
  <c r="AG929" i="1"/>
  <c r="AE930" i="1"/>
  <c r="AF930" i="1"/>
  <c r="AG930" i="1"/>
  <c r="AE931" i="1"/>
  <c r="AF931" i="1"/>
  <c r="AG931" i="1"/>
  <c r="AE932" i="1"/>
  <c r="AF932" i="1"/>
  <c r="AG932" i="1"/>
  <c r="AE933" i="1"/>
  <c r="AF933" i="1"/>
  <c r="AG933" i="1"/>
  <c r="AE934" i="1"/>
  <c r="AF934" i="1"/>
  <c r="AG934" i="1"/>
  <c r="AE935" i="1"/>
  <c r="AF935" i="1"/>
  <c r="AG935" i="1"/>
  <c r="AE936" i="1"/>
  <c r="AF936" i="1"/>
  <c r="AG936" i="1"/>
  <c r="AE937" i="1"/>
  <c r="AF937" i="1"/>
  <c r="AG937" i="1"/>
  <c r="AE938" i="1"/>
  <c r="AF938" i="1"/>
  <c r="AG938" i="1"/>
  <c r="AE939" i="1"/>
  <c r="AF939" i="1"/>
  <c r="AG939" i="1"/>
  <c r="AE940" i="1"/>
  <c r="AF940" i="1"/>
  <c r="AG940" i="1"/>
  <c r="AE941" i="1"/>
  <c r="AF941" i="1"/>
  <c r="AG941" i="1"/>
  <c r="AE942" i="1"/>
  <c r="AF942" i="1"/>
  <c r="AG942" i="1"/>
  <c r="AE943" i="1"/>
  <c r="AF943" i="1"/>
  <c r="AG943" i="1"/>
  <c r="AE944" i="1"/>
  <c r="AF944" i="1"/>
  <c r="AG944" i="1"/>
  <c r="AE945" i="1"/>
  <c r="AF945" i="1"/>
  <c r="AG945" i="1"/>
  <c r="AE946" i="1"/>
  <c r="AF946" i="1"/>
  <c r="AG946" i="1"/>
  <c r="AE947" i="1"/>
  <c r="AF947" i="1"/>
  <c r="AG947" i="1"/>
  <c r="AE948" i="1"/>
  <c r="AF948" i="1"/>
  <c r="AG948" i="1"/>
  <c r="AE949" i="1"/>
  <c r="AF949" i="1"/>
  <c r="AG949" i="1"/>
  <c r="AE950" i="1"/>
  <c r="AF950" i="1"/>
  <c r="AG950" i="1"/>
  <c r="AE951" i="1"/>
  <c r="AF951" i="1"/>
  <c r="AG951" i="1"/>
  <c r="AE952" i="1"/>
  <c r="AF952" i="1"/>
  <c r="AG952" i="1"/>
  <c r="AE953" i="1"/>
  <c r="AF953" i="1"/>
  <c r="AG953" i="1"/>
  <c r="AE954" i="1"/>
  <c r="AF954" i="1"/>
  <c r="AG954" i="1"/>
  <c r="AE955" i="1"/>
  <c r="AF955" i="1"/>
  <c r="AG955" i="1"/>
  <c r="AE956" i="1"/>
  <c r="AF956" i="1"/>
  <c r="AG956" i="1"/>
  <c r="AE957" i="1"/>
  <c r="AF957" i="1"/>
  <c r="AG957" i="1"/>
  <c r="AE958" i="1"/>
  <c r="AF958" i="1"/>
  <c r="AG958" i="1"/>
  <c r="AE959" i="1"/>
  <c r="AF959" i="1"/>
  <c r="AG959" i="1"/>
  <c r="AE960" i="1"/>
  <c r="AF960" i="1"/>
  <c r="AG960" i="1"/>
  <c r="AE961" i="1"/>
  <c r="AF961" i="1"/>
  <c r="AG961" i="1"/>
  <c r="AE962" i="1"/>
  <c r="AF962" i="1"/>
  <c r="AG962" i="1"/>
  <c r="AE963" i="1"/>
  <c r="AF963" i="1"/>
  <c r="AG963" i="1"/>
  <c r="AE964" i="1"/>
  <c r="AF964" i="1"/>
  <c r="AG964" i="1"/>
  <c r="AE965" i="1"/>
  <c r="AF965" i="1"/>
  <c r="AG965" i="1"/>
  <c r="AE966" i="1"/>
  <c r="AF966" i="1"/>
  <c r="AG966" i="1"/>
  <c r="AE967" i="1"/>
  <c r="AF967" i="1"/>
  <c r="AG967" i="1"/>
  <c r="AE968" i="1"/>
  <c r="AF968" i="1"/>
  <c r="AG968" i="1"/>
  <c r="AE969" i="1"/>
  <c r="AF969" i="1"/>
  <c r="AG969" i="1"/>
  <c r="AE970" i="1"/>
  <c r="AF970" i="1"/>
  <c r="AG970" i="1"/>
  <c r="AE971" i="1"/>
  <c r="AF971" i="1"/>
  <c r="AG971" i="1"/>
  <c r="AE972" i="1"/>
  <c r="AF972" i="1"/>
  <c r="AG972" i="1"/>
  <c r="AE973" i="1"/>
  <c r="AF973" i="1"/>
  <c r="AG973" i="1"/>
  <c r="AE974" i="1"/>
  <c r="AF974" i="1"/>
  <c r="AG974" i="1"/>
  <c r="AE975" i="1"/>
  <c r="AF975" i="1"/>
  <c r="AG975" i="1"/>
  <c r="AE976" i="1"/>
  <c r="AF976" i="1"/>
  <c r="AG976" i="1"/>
  <c r="AE977" i="1"/>
  <c r="AF977" i="1"/>
  <c r="AG977" i="1"/>
  <c r="AE978" i="1"/>
  <c r="AF978" i="1"/>
  <c r="AG978" i="1"/>
  <c r="AE979" i="1"/>
  <c r="AF979" i="1"/>
  <c r="AG979" i="1"/>
  <c r="AE980" i="1"/>
  <c r="AF980" i="1"/>
  <c r="AG980" i="1"/>
  <c r="AE981" i="1"/>
  <c r="AF981" i="1"/>
  <c r="AG981" i="1"/>
  <c r="AE982" i="1"/>
  <c r="AF982" i="1"/>
  <c r="AG982" i="1"/>
  <c r="AE983" i="1"/>
  <c r="AF983" i="1"/>
  <c r="AG983" i="1"/>
  <c r="AE984" i="1"/>
  <c r="AF984" i="1"/>
  <c r="AG984" i="1"/>
  <c r="AE985" i="1"/>
  <c r="AF985" i="1"/>
  <c r="AG985" i="1"/>
  <c r="AE986" i="1"/>
  <c r="AF986" i="1"/>
  <c r="AG986" i="1"/>
  <c r="AE987" i="1"/>
  <c r="AF987" i="1"/>
  <c r="AG987" i="1"/>
  <c r="AE988" i="1"/>
  <c r="AF988" i="1"/>
  <c r="AG988" i="1"/>
  <c r="AE989" i="1"/>
  <c r="AF989" i="1"/>
  <c r="AG989" i="1"/>
  <c r="AE990" i="1"/>
  <c r="AF990" i="1"/>
  <c r="AG990" i="1"/>
  <c r="AE991" i="1"/>
  <c r="AF991" i="1"/>
  <c r="AG991" i="1"/>
  <c r="AE992" i="1"/>
  <c r="AF992" i="1"/>
  <c r="AG992" i="1"/>
  <c r="AE993" i="1"/>
  <c r="AF993" i="1"/>
  <c r="AG993" i="1"/>
  <c r="AE994" i="1"/>
  <c r="AF994" i="1"/>
  <c r="AG994" i="1"/>
  <c r="AE995" i="1"/>
  <c r="AF995" i="1"/>
  <c r="AG995" i="1"/>
  <c r="AE996" i="1"/>
  <c r="AF996" i="1"/>
  <c r="AG996" i="1"/>
  <c r="AE997" i="1"/>
  <c r="AF997" i="1"/>
  <c r="AG997" i="1"/>
  <c r="AE998" i="1"/>
  <c r="AF998" i="1"/>
  <c r="AG998" i="1"/>
  <c r="AE999" i="1"/>
  <c r="AF999" i="1"/>
  <c r="AG999" i="1"/>
  <c r="AE1000" i="1"/>
  <c r="AF1000" i="1"/>
  <c r="AG1000" i="1"/>
  <c r="AE1001" i="1"/>
  <c r="AF1001" i="1"/>
  <c r="AG1001" i="1"/>
  <c r="AE1002" i="1"/>
  <c r="AF1002" i="1"/>
  <c r="AG1002" i="1"/>
  <c r="AE1003" i="1"/>
  <c r="AF1003" i="1"/>
  <c r="AG1003" i="1"/>
  <c r="AE1004" i="1"/>
  <c r="AF1004" i="1"/>
  <c r="AG1004" i="1"/>
  <c r="AE1005" i="1"/>
  <c r="AF1005" i="1"/>
  <c r="AG1005" i="1"/>
  <c r="AE1006" i="1"/>
  <c r="AF1006" i="1"/>
  <c r="AG1006" i="1"/>
  <c r="AE1007" i="1"/>
  <c r="AF1007" i="1"/>
  <c r="AG1007" i="1"/>
  <c r="AE1008" i="1"/>
  <c r="AF1008" i="1"/>
  <c r="AG1008" i="1"/>
  <c r="AE1009" i="1"/>
  <c r="AF1009" i="1"/>
  <c r="AG1009" i="1"/>
  <c r="AE1010" i="1"/>
  <c r="AF1010" i="1"/>
  <c r="AG1010" i="1"/>
  <c r="AE1011" i="1"/>
  <c r="AF1011" i="1"/>
  <c r="AG1011" i="1"/>
  <c r="AE1012" i="1"/>
  <c r="AF1012" i="1"/>
  <c r="AG1012" i="1"/>
  <c r="AE1013" i="1"/>
  <c r="AF1013" i="1"/>
  <c r="AG1013" i="1"/>
  <c r="AE1014" i="1"/>
  <c r="AF1014" i="1"/>
  <c r="AG1014" i="1"/>
  <c r="AE1015" i="1"/>
  <c r="AF1015" i="1"/>
  <c r="AG1015" i="1"/>
  <c r="AE1016" i="1"/>
  <c r="AF1016" i="1"/>
  <c r="AG1016" i="1"/>
  <c r="AE1017" i="1"/>
  <c r="AF1017" i="1"/>
  <c r="AG1017" i="1"/>
  <c r="AE1018" i="1"/>
  <c r="AF1018" i="1"/>
  <c r="AG1018" i="1"/>
  <c r="AE1019" i="1"/>
  <c r="AF1019" i="1"/>
  <c r="AG1019" i="1"/>
  <c r="AE1020" i="1"/>
  <c r="AF1020" i="1"/>
  <c r="AG1020" i="1"/>
  <c r="AE1021" i="1"/>
  <c r="AF1021" i="1"/>
  <c r="AG1021" i="1"/>
  <c r="AE1022" i="1"/>
  <c r="AF1022" i="1"/>
  <c r="AG1022" i="1"/>
  <c r="AE1023" i="1"/>
  <c r="AF1023" i="1"/>
  <c r="AG1023" i="1"/>
  <c r="AE1024" i="1"/>
  <c r="AF1024" i="1"/>
  <c r="AG1024" i="1"/>
  <c r="AE1025" i="1"/>
  <c r="AF1025" i="1"/>
  <c r="AG1025" i="1"/>
  <c r="AE1026" i="1"/>
  <c r="AF1026" i="1"/>
  <c r="AG1026" i="1"/>
  <c r="AE1027" i="1"/>
  <c r="AF1027" i="1"/>
  <c r="AG1027" i="1"/>
  <c r="AE1028" i="1"/>
  <c r="AF1028" i="1"/>
  <c r="AG1028" i="1"/>
  <c r="AE1029" i="1"/>
  <c r="AF1029" i="1"/>
  <c r="AG1029" i="1"/>
  <c r="AE1030" i="1"/>
  <c r="AF1030" i="1"/>
  <c r="AG1030" i="1"/>
  <c r="AE1031" i="1"/>
  <c r="AF1031" i="1"/>
  <c r="AG1031" i="1"/>
  <c r="AE1032" i="1"/>
  <c r="AF1032" i="1"/>
  <c r="AG1032" i="1"/>
  <c r="AE1033" i="1"/>
  <c r="AF1033" i="1"/>
  <c r="AG1033" i="1"/>
  <c r="AE1034" i="1"/>
  <c r="AF1034" i="1"/>
  <c r="AG1034" i="1"/>
  <c r="AE1035" i="1"/>
  <c r="AF1035" i="1"/>
  <c r="AG1035" i="1"/>
  <c r="AE1036" i="1"/>
  <c r="AF1036" i="1"/>
  <c r="AG1036" i="1"/>
  <c r="AE1037" i="1"/>
  <c r="AF1037" i="1"/>
  <c r="AG1037" i="1"/>
  <c r="AE1038" i="1"/>
  <c r="AF1038" i="1"/>
  <c r="AG1038" i="1"/>
  <c r="AE1039" i="1"/>
  <c r="AF1039" i="1"/>
  <c r="AG1039" i="1"/>
  <c r="AE1040" i="1"/>
  <c r="AF1040" i="1"/>
  <c r="AG1040" i="1"/>
  <c r="AE1041" i="1"/>
  <c r="AF1041" i="1"/>
  <c r="AG1041" i="1"/>
  <c r="AE1042" i="1"/>
  <c r="AF1042" i="1"/>
  <c r="AG1042" i="1"/>
  <c r="AE1043" i="1"/>
  <c r="AF1043" i="1"/>
  <c r="AG1043" i="1"/>
  <c r="AE1044" i="1"/>
  <c r="AF1044" i="1"/>
  <c r="AG1044" i="1"/>
  <c r="AE1045" i="1"/>
  <c r="AF1045" i="1"/>
  <c r="AG1045" i="1"/>
  <c r="AE1046" i="1"/>
  <c r="AF1046" i="1"/>
  <c r="AG1046" i="1"/>
  <c r="AE1047" i="1"/>
  <c r="AF1047" i="1"/>
  <c r="AG1047" i="1"/>
  <c r="AE1048" i="1"/>
  <c r="AF1048" i="1"/>
  <c r="AG1048" i="1"/>
  <c r="AE1049" i="1"/>
  <c r="AF1049" i="1"/>
  <c r="AG1049" i="1"/>
  <c r="AE1050" i="1"/>
  <c r="AF1050" i="1"/>
  <c r="AG1050" i="1"/>
  <c r="AE1051" i="1"/>
  <c r="AF1051" i="1"/>
  <c r="AG1051" i="1"/>
  <c r="AE1052" i="1"/>
  <c r="AF1052" i="1"/>
  <c r="AG1052" i="1"/>
  <c r="AE1053" i="1"/>
  <c r="AF1053" i="1"/>
  <c r="AG1053" i="1"/>
  <c r="AE1054" i="1"/>
  <c r="AF1054" i="1"/>
  <c r="AG1054" i="1"/>
  <c r="AE1055" i="1"/>
  <c r="AF1055" i="1"/>
  <c r="AG1055" i="1"/>
  <c r="AE1056" i="1"/>
  <c r="AF1056" i="1"/>
  <c r="AG1056" i="1"/>
  <c r="AE1057" i="1"/>
  <c r="AF1057" i="1"/>
  <c r="AG1057" i="1"/>
  <c r="AE1058" i="1"/>
  <c r="AF1058" i="1"/>
  <c r="AG1058" i="1"/>
  <c r="AE1059" i="1"/>
  <c r="AF1059" i="1"/>
  <c r="AG1059" i="1"/>
  <c r="AE1060" i="1"/>
  <c r="AF1060" i="1"/>
  <c r="AG1060" i="1"/>
  <c r="AE1061" i="1"/>
  <c r="AF1061" i="1"/>
  <c r="AG1061" i="1"/>
  <c r="AE1062" i="1"/>
  <c r="AF1062" i="1"/>
  <c r="AG1062" i="1"/>
  <c r="AE1063" i="1"/>
  <c r="AF1063" i="1"/>
  <c r="AG1063" i="1"/>
  <c r="AE1064" i="1"/>
  <c r="AF1064" i="1"/>
  <c r="AG1064" i="1"/>
  <c r="AE1065" i="1"/>
  <c r="AF1065" i="1"/>
  <c r="AG1065" i="1"/>
  <c r="AE1066" i="1"/>
  <c r="AF1066" i="1"/>
  <c r="AG1066" i="1"/>
  <c r="AE1067" i="1"/>
  <c r="AF1067" i="1"/>
  <c r="AG1067" i="1"/>
  <c r="AE1068" i="1"/>
  <c r="AF1068" i="1"/>
  <c r="AG1068" i="1"/>
  <c r="AE1069" i="1"/>
  <c r="AF1069" i="1"/>
  <c r="AG1069" i="1"/>
  <c r="AE1070" i="1"/>
  <c r="AF1070" i="1"/>
  <c r="AG1070" i="1"/>
  <c r="AE1071" i="1"/>
  <c r="AF1071" i="1"/>
  <c r="AG1071" i="1"/>
  <c r="AE1072" i="1"/>
  <c r="AF1072" i="1"/>
  <c r="AG1072" i="1"/>
  <c r="AE1073" i="1"/>
  <c r="AF1073" i="1"/>
  <c r="AG1073" i="1"/>
  <c r="AE1074" i="1"/>
  <c r="AF1074" i="1"/>
  <c r="AG1074" i="1"/>
  <c r="AE1075" i="1"/>
  <c r="AF1075" i="1"/>
  <c r="AG1075" i="1"/>
  <c r="AE1076" i="1"/>
  <c r="AF1076" i="1"/>
  <c r="AG1076" i="1"/>
  <c r="AE1077" i="1"/>
  <c r="AF1077" i="1"/>
  <c r="AG1077" i="1"/>
  <c r="AE1078" i="1"/>
  <c r="AF1078" i="1"/>
  <c r="AG1078" i="1"/>
  <c r="AE1079" i="1"/>
  <c r="AF1079" i="1"/>
  <c r="AG1079" i="1"/>
  <c r="AE1080" i="1"/>
  <c r="AF1080" i="1"/>
  <c r="AG1080" i="1"/>
  <c r="AE1081" i="1"/>
  <c r="AF1081" i="1"/>
  <c r="AG1081" i="1"/>
  <c r="AE1082" i="1"/>
  <c r="AF1082" i="1"/>
  <c r="AG1082" i="1"/>
  <c r="AE1083" i="1"/>
  <c r="AF1083" i="1"/>
  <c r="AG1083" i="1"/>
  <c r="AE1084" i="1"/>
  <c r="AF1084" i="1"/>
  <c r="AG1084" i="1"/>
  <c r="AE1085" i="1"/>
  <c r="AF1085" i="1"/>
  <c r="AG1085" i="1"/>
  <c r="AE1086" i="1"/>
  <c r="AF1086" i="1"/>
  <c r="AG1086" i="1"/>
  <c r="AE1087" i="1"/>
  <c r="AF1087" i="1"/>
  <c r="AG1087" i="1"/>
  <c r="AE1088" i="1"/>
  <c r="AF1088" i="1"/>
  <c r="AG1088" i="1"/>
  <c r="AE1089" i="1"/>
  <c r="AF1089" i="1"/>
  <c r="AG1089" i="1"/>
  <c r="AE1090" i="1"/>
  <c r="AF1090" i="1"/>
  <c r="AG1090" i="1"/>
  <c r="AE1091" i="1"/>
  <c r="AF1091" i="1"/>
  <c r="AG1091" i="1"/>
  <c r="AE1092" i="1"/>
  <c r="AF1092" i="1"/>
  <c r="AG1092" i="1"/>
  <c r="AE1093" i="1"/>
  <c r="AF1093" i="1"/>
  <c r="AG1093" i="1"/>
  <c r="AE1094" i="1"/>
  <c r="AF1094" i="1"/>
  <c r="AG1094" i="1"/>
  <c r="AE1095" i="1"/>
  <c r="AF1095" i="1"/>
  <c r="AG1095" i="1"/>
  <c r="AE1096" i="1"/>
  <c r="AF1096" i="1"/>
  <c r="AG1096" i="1"/>
  <c r="AE1097" i="1"/>
  <c r="AF1097" i="1"/>
  <c r="AG1097" i="1"/>
  <c r="AE1098" i="1"/>
  <c r="AF1098" i="1"/>
  <c r="AG1098" i="1"/>
  <c r="AE1099" i="1"/>
  <c r="AF1099" i="1"/>
  <c r="AG1099" i="1"/>
  <c r="AE1100" i="1"/>
  <c r="AF1100" i="1"/>
  <c r="AG1100" i="1"/>
  <c r="AE1101" i="1"/>
  <c r="AF1101" i="1"/>
  <c r="AG1101" i="1"/>
  <c r="AE1102" i="1"/>
  <c r="AF1102" i="1"/>
  <c r="AG1102" i="1"/>
  <c r="AE1103" i="1"/>
  <c r="AF1103" i="1"/>
  <c r="AG1103" i="1"/>
  <c r="AE1104" i="1"/>
  <c r="AF1104" i="1"/>
  <c r="AG1104" i="1"/>
  <c r="AE1105" i="1"/>
  <c r="AF1105" i="1"/>
  <c r="AG1105" i="1"/>
  <c r="AE1106" i="1"/>
  <c r="AF1106" i="1"/>
  <c r="AG1106" i="1"/>
  <c r="AE1107" i="1"/>
  <c r="AF1107" i="1"/>
  <c r="AG1107" i="1"/>
  <c r="AE1108" i="1"/>
  <c r="AF1108" i="1"/>
  <c r="AG1108" i="1"/>
  <c r="AE1109" i="1"/>
  <c r="AF1109" i="1"/>
  <c r="AG1109" i="1"/>
  <c r="AE1110" i="1"/>
  <c r="AF1110" i="1"/>
  <c r="AG1110" i="1"/>
  <c r="AE1111" i="1"/>
  <c r="AF1111" i="1"/>
  <c r="AG1111" i="1"/>
  <c r="AE1112" i="1"/>
  <c r="AF1112" i="1"/>
  <c r="AG1112" i="1"/>
  <c r="AE1113" i="1"/>
  <c r="AF1113" i="1"/>
  <c r="AG1113" i="1"/>
  <c r="AE1114" i="1"/>
  <c r="AF1114" i="1"/>
  <c r="AG1114" i="1"/>
  <c r="AE1115" i="1"/>
  <c r="AF1115" i="1"/>
  <c r="AG1115" i="1"/>
  <c r="AE1116" i="1"/>
  <c r="AF1116" i="1"/>
  <c r="AG1116" i="1"/>
  <c r="AE1117" i="1"/>
  <c r="AF1117" i="1"/>
  <c r="AG1117" i="1"/>
  <c r="AE1118" i="1"/>
  <c r="AF1118" i="1"/>
  <c r="AG1118" i="1"/>
  <c r="AE1119" i="1"/>
  <c r="AF1119" i="1"/>
  <c r="AG1119" i="1"/>
  <c r="AE1120" i="1"/>
  <c r="AF1120" i="1"/>
  <c r="AG1120" i="1"/>
  <c r="AE1121" i="1"/>
  <c r="AF1121" i="1"/>
  <c r="AG1121" i="1"/>
  <c r="AE1122" i="1"/>
  <c r="AF1122" i="1"/>
  <c r="AG1122" i="1"/>
  <c r="AE1123" i="1"/>
  <c r="AF1123" i="1"/>
  <c r="AG1123" i="1"/>
  <c r="AE1124" i="1"/>
  <c r="AF1124" i="1"/>
  <c r="AG1124" i="1"/>
  <c r="AE1125" i="1"/>
  <c r="AF1125" i="1"/>
  <c r="AG1125" i="1"/>
  <c r="AE1126" i="1"/>
  <c r="AF1126" i="1"/>
  <c r="AG1126" i="1"/>
  <c r="AE1127" i="1"/>
  <c r="AF1127" i="1"/>
  <c r="AG1127" i="1"/>
  <c r="AE1128" i="1"/>
  <c r="AF1128" i="1"/>
  <c r="AG1128" i="1"/>
  <c r="AE1129" i="1"/>
  <c r="AF1129" i="1"/>
  <c r="AG1129" i="1"/>
  <c r="AE1130" i="1"/>
  <c r="AF1130" i="1"/>
  <c r="AG1130" i="1"/>
  <c r="AE1131" i="1"/>
  <c r="AF1131" i="1"/>
  <c r="AG1131" i="1"/>
  <c r="AE1132" i="1"/>
  <c r="AF1132" i="1"/>
  <c r="AG1132" i="1"/>
  <c r="AE1133" i="1"/>
  <c r="AF1133" i="1"/>
  <c r="AG1133" i="1"/>
  <c r="AE1134" i="1"/>
  <c r="AF1134" i="1"/>
  <c r="AG1134" i="1"/>
  <c r="AE1135" i="1"/>
  <c r="AF1135" i="1"/>
  <c r="AG1135" i="1"/>
  <c r="AE1136" i="1"/>
  <c r="AF1136" i="1"/>
  <c r="AG1136" i="1"/>
  <c r="AE1137" i="1"/>
  <c r="AF1137" i="1"/>
  <c r="AG1137" i="1"/>
  <c r="AE1138" i="1"/>
  <c r="AF1138" i="1"/>
  <c r="AG1138" i="1"/>
  <c r="AE1139" i="1"/>
  <c r="AF1139" i="1"/>
  <c r="AG1139" i="1"/>
  <c r="AE1140" i="1"/>
  <c r="AF1140" i="1"/>
  <c r="AG1140" i="1"/>
  <c r="AE1141" i="1"/>
  <c r="AF1141" i="1"/>
  <c r="AG1141" i="1"/>
  <c r="AE1142" i="1"/>
  <c r="AF1142" i="1"/>
  <c r="AG1142" i="1"/>
  <c r="AE1143" i="1"/>
  <c r="AF1143" i="1"/>
  <c r="AG1143" i="1"/>
  <c r="AE1144" i="1"/>
  <c r="AF1144" i="1"/>
  <c r="AG1144" i="1"/>
  <c r="AE1145" i="1"/>
  <c r="AF1145" i="1"/>
  <c r="AG1145" i="1"/>
  <c r="AE1146" i="1"/>
  <c r="AF1146" i="1"/>
  <c r="AG1146" i="1"/>
  <c r="AE1147" i="1"/>
  <c r="AF1147" i="1"/>
  <c r="AG1147" i="1"/>
  <c r="AE1148" i="1"/>
  <c r="AF1148" i="1"/>
  <c r="AG1148" i="1"/>
  <c r="AE1149" i="1"/>
  <c r="AF1149" i="1"/>
  <c r="AG1149" i="1"/>
  <c r="AE1150" i="1"/>
  <c r="AF1150" i="1"/>
  <c r="AG1150" i="1"/>
  <c r="AE1151" i="1"/>
  <c r="AF1151" i="1"/>
  <c r="AG1151" i="1"/>
  <c r="AE1152" i="1"/>
  <c r="AF1152" i="1"/>
  <c r="AG1152" i="1"/>
  <c r="AE1153" i="1"/>
  <c r="AF1153" i="1"/>
  <c r="AG1153" i="1"/>
  <c r="AE1154" i="1"/>
  <c r="AF1154" i="1"/>
  <c r="AG1154" i="1"/>
  <c r="AE1155" i="1"/>
  <c r="AF1155" i="1"/>
  <c r="AG1155" i="1"/>
  <c r="AE1156" i="1"/>
  <c r="AF1156" i="1"/>
  <c r="AG1156" i="1"/>
  <c r="AE1157" i="1"/>
  <c r="AF1157" i="1"/>
  <c r="AG1157" i="1"/>
  <c r="AE1158" i="1"/>
  <c r="AF1158" i="1"/>
  <c r="AG1158" i="1"/>
  <c r="AE1159" i="1"/>
  <c r="AF1159" i="1"/>
  <c r="AG1159" i="1"/>
  <c r="AE1160" i="1"/>
  <c r="AF1160" i="1"/>
  <c r="AG1160" i="1"/>
  <c r="AE1161" i="1"/>
  <c r="AF1161" i="1"/>
  <c r="AG1161" i="1"/>
  <c r="AE1162" i="1"/>
  <c r="AF1162" i="1"/>
  <c r="AG1162" i="1"/>
  <c r="AE1163" i="1"/>
  <c r="AF1163" i="1"/>
  <c r="AG1163" i="1"/>
  <c r="AE1164" i="1"/>
  <c r="AF1164" i="1"/>
  <c r="AG1164" i="1"/>
  <c r="AE1165" i="1"/>
  <c r="AF1165" i="1"/>
  <c r="AG1165" i="1"/>
  <c r="AE1166" i="1"/>
  <c r="AF1166" i="1"/>
  <c r="AG1166" i="1"/>
  <c r="AE1167" i="1"/>
  <c r="AF1167" i="1"/>
  <c r="AG1167" i="1"/>
  <c r="AE1168" i="1"/>
  <c r="AF1168" i="1"/>
  <c r="AG1168" i="1"/>
  <c r="AE1169" i="1"/>
  <c r="AF1169" i="1"/>
  <c r="AG1169" i="1"/>
  <c r="AE1170" i="1"/>
  <c r="AF1170" i="1"/>
  <c r="AG1170" i="1"/>
  <c r="AE1171" i="1"/>
  <c r="AF1171" i="1"/>
  <c r="AG1171" i="1"/>
  <c r="AE1172" i="1"/>
  <c r="AF1172" i="1"/>
  <c r="AG1172" i="1"/>
  <c r="AE1173" i="1"/>
  <c r="AF1173" i="1"/>
  <c r="AG1173" i="1"/>
  <c r="AE1174" i="1"/>
  <c r="AF1174" i="1"/>
  <c r="AG1174" i="1"/>
  <c r="AE1175" i="1"/>
  <c r="AF1175" i="1"/>
  <c r="AG1175" i="1"/>
  <c r="AE1176" i="1"/>
  <c r="AF1176" i="1"/>
  <c r="AG1176" i="1"/>
  <c r="AE1177" i="1"/>
  <c r="AF1177" i="1"/>
  <c r="AG1177" i="1"/>
  <c r="AE1178" i="1"/>
  <c r="AF1178" i="1"/>
  <c r="AG1178" i="1"/>
  <c r="AE1179" i="1"/>
  <c r="AF1179" i="1"/>
  <c r="AG1179" i="1"/>
  <c r="AE1180" i="1"/>
  <c r="AF1180" i="1"/>
  <c r="AG1180" i="1"/>
  <c r="AE1181" i="1"/>
  <c r="AF1181" i="1"/>
  <c r="AG1181" i="1"/>
  <c r="AE1182" i="1"/>
  <c r="AF1182" i="1"/>
  <c r="AG1182" i="1"/>
  <c r="AE1183" i="1"/>
  <c r="AF1183" i="1"/>
  <c r="AG1183" i="1"/>
  <c r="AE1184" i="1"/>
  <c r="AF1184" i="1"/>
  <c r="AG1184" i="1"/>
  <c r="AE1185" i="1"/>
  <c r="AF1185" i="1"/>
  <c r="AG1185" i="1"/>
  <c r="AE1186" i="1"/>
  <c r="AF1186" i="1"/>
  <c r="AG1186" i="1"/>
  <c r="AE1187" i="1"/>
  <c r="AF1187" i="1"/>
  <c r="AG1187" i="1"/>
  <c r="AE1188" i="1"/>
  <c r="AF1188" i="1"/>
  <c r="AG1188" i="1"/>
  <c r="AE1189" i="1"/>
  <c r="AF1189" i="1"/>
  <c r="AG1189" i="1"/>
  <c r="AE1190" i="1"/>
  <c r="AF1190" i="1"/>
  <c r="AG1190" i="1"/>
  <c r="AE1191" i="1"/>
  <c r="AF1191" i="1"/>
  <c r="AG1191" i="1"/>
  <c r="AE1192" i="1"/>
  <c r="AF1192" i="1"/>
  <c r="AG1192" i="1"/>
  <c r="AE1193" i="1"/>
  <c r="AF1193" i="1"/>
  <c r="AG1193" i="1"/>
  <c r="AE1194" i="1"/>
  <c r="AF1194" i="1"/>
  <c r="AG1194" i="1"/>
  <c r="AE1195" i="1"/>
  <c r="AF1195" i="1"/>
  <c r="AG1195" i="1"/>
  <c r="AE1196" i="1"/>
  <c r="AF1196" i="1"/>
  <c r="AG1196" i="1"/>
  <c r="AE1197" i="1"/>
  <c r="AF1197" i="1"/>
  <c r="AG1197" i="1"/>
  <c r="AE1198" i="1"/>
  <c r="AF1198" i="1"/>
  <c r="AG1198" i="1"/>
  <c r="AE1199" i="1"/>
  <c r="AF1199" i="1"/>
  <c r="AG1199" i="1"/>
  <c r="AE1200" i="1"/>
  <c r="AF1200" i="1"/>
  <c r="AG1200" i="1"/>
  <c r="AE1201" i="1"/>
  <c r="AF1201" i="1"/>
  <c r="AG1201" i="1"/>
  <c r="AE1202" i="1"/>
  <c r="AF1202" i="1"/>
  <c r="AG1202" i="1"/>
  <c r="AE1203" i="1"/>
  <c r="AF1203" i="1"/>
  <c r="AG1203" i="1"/>
  <c r="AE1204" i="1"/>
  <c r="AF1204" i="1"/>
  <c r="AG1204" i="1"/>
  <c r="AE1205" i="1"/>
  <c r="AF1205" i="1"/>
  <c r="AG1205" i="1"/>
  <c r="AE1206" i="1"/>
  <c r="AF1206" i="1"/>
  <c r="AG1206" i="1"/>
  <c r="AE1207" i="1"/>
  <c r="AF1207" i="1"/>
  <c r="AG1207" i="1"/>
  <c r="AE1208" i="1"/>
  <c r="AF1208" i="1"/>
  <c r="AG1208" i="1"/>
  <c r="AE1209" i="1"/>
  <c r="AF1209" i="1"/>
  <c r="AG1209" i="1"/>
  <c r="AE1210" i="1"/>
  <c r="AF1210" i="1"/>
  <c r="AG1210" i="1"/>
  <c r="AE1211" i="1"/>
  <c r="AF1211" i="1"/>
  <c r="AG1211" i="1"/>
  <c r="AE1212" i="1"/>
  <c r="AF1212" i="1"/>
  <c r="AG1212" i="1"/>
  <c r="AE1213" i="1"/>
  <c r="AF1213" i="1"/>
  <c r="AG1213" i="1"/>
  <c r="AE1214" i="1"/>
  <c r="AF1214" i="1"/>
  <c r="AG1214" i="1"/>
  <c r="AE1215" i="1"/>
  <c r="AF1215" i="1"/>
  <c r="AG1215" i="1"/>
  <c r="AE1216" i="1"/>
  <c r="AF1216" i="1"/>
  <c r="AG1216" i="1"/>
  <c r="AE1217" i="1"/>
  <c r="AF1217" i="1"/>
  <c r="AG1217" i="1"/>
  <c r="AE1218" i="1"/>
  <c r="AF1218" i="1"/>
  <c r="AG1218" i="1"/>
  <c r="AE1219" i="1"/>
  <c r="AF1219" i="1"/>
  <c r="AG1219" i="1"/>
  <c r="AE1220" i="1"/>
  <c r="AF1220" i="1"/>
  <c r="AG1220" i="1"/>
  <c r="AE1221" i="1"/>
  <c r="AF1221" i="1"/>
  <c r="AG1221" i="1"/>
  <c r="AE1222" i="1"/>
  <c r="AF1222" i="1"/>
  <c r="AG1222" i="1"/>
  <c r="AE1223" i="1"/>
  <c r="AF1223" i="1"/>
  <c r="AG1223" i="1"/>
  <c r="AE1224" i="1"/>
  <c r="AF1224" i="1"/>
  <c r="AG1224" i="1"/>
  <c r="AE1225" i="1"/>
  <c r="AF1225" i="1"/>
  <c r="AG1225" i="1"/>
  <c r="AE1226" i="1"/>
  <c r="AF1226" i="1"/>
  <c r="AG1226" i="1"/>
  <c r="AE1227" i="1"/>
  <c r="AF1227" i="1"/>
  <c r="AG1227" i="1"/>
  <c r="AE1228" i="1"/>
  <c r="AF1228" i="1"/>
  <c r="AG1228" i="1"/>
  <c r="AE1229" i="1"/>
  <c r="AF1229" i="1"/>
  <c r="AG1229" i="1"/>
  <c r="AE1230" i="1"/>
  <c r="AF1230" i="1"/>
  <c r="AG1230" i="1"/>
  <c r="AE1231" i="1"/>
  <c r="AF1231" i="1"/>
  <c r="AG1231" i="1"/>
  <c r="AE1232" i="1"/>
  <c r="AF1232" i="1"/>
  <c r="AG1232" i="1"/>
  <c r="AE1233" i="1"/>
  <c r="AF1233" i="1"/>
  <c r="AG1233" i="1"/>
  <c r="AE1234" i="1"/>
  <c r="AF1234" i="1"/>
  <c r="AG1234" i="1"/>
  <c r="AE1235" i="1"/>
  <c r="AF1235" i="1"/>
  <c r="AG1235" i="1"/>
  <c r="AE1236" i="1"/>
  <c r="AF1236" i="1"/>
  <c r="AG1236" i="1"/>
  <c r="AE1237" i="1"/>
  <c r="AF1237" i="1"/>
  <c r="AG1237" i="1"/>
  <c r="AE1238" i="1"/>
  <c r="AF1238" i="1"/>
  <c r="AG1238" i="1"/>
  <c r="AE1239" i="1"/>
  <c r="AF1239" i="1"/>
  <c r="AG1239" i="1"/>
  <c r="AE1240" i="1"/>
  <c r="AF1240" i="1"/>
  <c r="AG1240" i="1"/>
  <c r="AE1241" i="1"/>
  <c r="AF1241" i="1"/>
  <c r="AG1241" i="1"/>
  <c r="AE1242" i="1"/>
  <c r="AF1242" i="1"/>
  <c r="AG1242" i="1"/>
  <c r="AE1243" i="1"/>
  <c r="AF1243" i="1"/>
  <c r="AG1243" i="1"/>
  <c r="AE1244" i="1"/>
  <c r="AF1244" i="1"/>
  <c r="AG1244" i="1"/>
  <c r="AE1245" i="1"/>
  <c r="AF1245" i="1"/>
  <c r="AG1245" i="1"/>
  <c r="AE1246" i="1"/>
  <c r="AF1246" i="1"/>
  <c r="AG1246" i="1"/>
  <c r="AE1247" i="1"/>
  <c r="AF1247" i="1"/>
  <c r="AG1247" i="1"/>
  <c r="AE1248" i="1"/>
  <c r="AF1248" i="1"/>
  <c r="AG1248" i="1"/>
  <c r="AE1249" i="1"/>
  <c r="AF1249" i="1"/>
  <c r="AG1249" i="1"/>
  <c r="AE1250" i="1"/>
  <c r="AF1250" i="1"/>
  <c r="AG1250" i="1"/>
  <c r="AE1251" i="1"/>
  <c r="AF1251" i="1"/>
  <c r="AG1251" i="1"/>
  <c r="AE1252" i="1"/>
  <c r="AF1252" i="1"/>
  <c r="AG1252" i="1"/>
  <c r="AE1253" i="1"/>
  <c r="AF1253" i="1"/>
  <c r="AG1253" i="1"/>
  <c r="AE1254" i="1"/>
  <c r="AF1254" i="1"/>
  <c r="AG1254" i="1"/>
  <c r="J1260" i="1" l="1"/>
  <c r="I1260" i="1"/>
  <c r="H1260" i="1"/>
  <c r="J1259" i="1"/>
  <c r="I1259" i="1"/>
  <c r="H1259" i="1"/>
  <c r="J1258" i="1"/>
  <c r="I1258" i="1"/>
  <c r="H1258" i="1"/>
  <c r="J1257" i="1"/>
  <c r="I1257" i="1"/>
  <c r="H1257" i="1"/>
  <c r="J1256" i="1"/>
  <c r="I1256" i="1"/>
  <c r="H1256" i="1"/>
  <c r="J1255" i="1"/>
  <c r="I1255" i="1"/>
  <c r="H1255" i="1"/>
  <c r="J1254" i="1"/>
  <c r="I1254" i="1"/>
  <c r="H1254" i="1"/>
  <c r="J1253" i="1"/>
  <c r="I1253" i="1"/>
  <c r="H1253" i="1"/>
  <c r="J1252" i="1"/>
  <c r="I1252" i="1"/>
  <c r="H1252" i="1"/>
  <c r="J1251" i="1"/>
  <c r="I1251" i="1"/>
  <c r="H1251" i="1"/>
  <c r="J1250" i="1"/>
  <c r="I1250" i="1"/>
  <c r="H1250" i="1"/>
  <c r="J1249" i="1"/>
  <c r="I1249" i="1"/>
  <c r="H1249" i="1"/>
  <c r="J1248" i="1"/>
  <c r="I1248" i="1"/>
  <c r="H1248" i="1"/>
  <c r="J1247" i="1"/>
  <c r="I1247" i="1"/>
  <c r="H1247" i="1"/>
  <c r="J1246" i="1"/>
  <c r="I1246" i="1"/>
  <c r="H1246" i="1"/>
  <c r="J1245" i="1"/>
  <c r="I1245" i="1"/>
  <c r="H1245" i="1"/>
  <c r="J1244" i="1"/>
  <c r="I1244" i="1"/>
  <c r="H1244" i="1"/>
  <c r="J1243" i="1"/>
  <c r="I1243" i="1"/>
  <c r="H1243" i="1"/>
  <c r="J1242" i="1"/>
  <c r="I1242" i="1"/>
  <c r="H1242" i="1"/>
  <c r="J1241" i="1"/>
  <c r="I1241" i="1"/>
  <c r="H1241" i="1"/>
  <c r="J1240" i="1"/>
  <c r="I1240" i="1"/>
  <c r="H1240" i="1"/>
  <c r="J1239" i="1"/>
  <c r="I1239" i="1"/>
  <c r="H1239" i="1"/>
  <c r="J1238" i="1"/>
  <c r="I1238" i="1"/>
  <c r="H1238" i="1"/>
  <c r="J1237" i="1"/>
  <c r="I1237" i="1"/>
  <c r="H1237" i="1"/>
  <c r="J1236" i="1"/>
  <c r="I1236" i="1"/>
  <c r="H1236" i="1"/>
  <c r="J1235" i="1"/>
  <c r="I1235" i="1"/>
  <c r="H1235" i="1"/>
  <c r="J1234" i="1"/>
  <c r="I1234" i="1"/>
  <c r="H1234" i="1"/>
  <c r="J1233" i="1"/>
  <c r="I1233" i="1"/>
  <c r="H1233" i="1"/>
  <c r="J1232" i="1"/>
  <c r="I1232" i="1"/>
  <c r="H1232" i="1"/>
  <c r="J1231" i="1"/>
  <c r="I1231" i="1"/>
  <c r="H1231" i="1"/>
  <c r="J1230" i="1"/>
  <c r="I1230" i="1"/>
  <c r="H1230" i="1"/>
  <c r="J1229" i="1"/>
  <c r="I1229" i="1"/>
  <c r="H1229" i="1"/>
  <c r="J1228" i="1"/>
  <c r="I1228" i="1"/>
  <c r="H1228" i="1"/>
  <c r="J1227" i="1"/>
  <c r="I1227" i="1"/>
  <c r="H1227" i="1"/>
  <c r="J1226" i="1"/>
  <c r="I1226" i="1"/>
  <c r="H1226" i="1"/>
  <c r="J1225" i="1"/>
  <c r="I1225" i="1"/>
  <c r="H1225" i="1"/>
  <c r="J1224" i="1"/>
  <c r="I1224" i="1"/>
  <c r="H1224" i="1"/>
  <c r="J1223" i="1"/>
  <c r="I1223" i="1"/>
  <c r="H1223" i="1"/>
  <c r="J1222" i="1"/>
  <c r="I1222" i="1"/>
  <c r="H1222" i="1"/>
  <c r="J1221" i="1"/>
  <c r="I1221" i="1"/>
  <c r="H1221" i="1"/>
  <c r="J1220" i="1"/>
  <c r="I1220" i="1"/>
  <c r="H1220" i="1"/>
  <c r="J1219" i="1"/>
  <c r="I1219" i="1"/>
  <c r="H1219" i="1"/>
  <c r="J1218" i="1"/>
  <c r="I1218" i="1"/>
  <c r="H1218" i="1"/>
  <c r="J1217" i="1"/>
  <c r="I1217" i="1"/>
  <c r="H1217" i="1"/>
  <c r="J1216" i="1"/>
  <c r="I1216" i="1"/>
  <c r="H1216" i="1"/>
  <c r="J1215" i="1"/>
  <c r="I1215" i="1"/>
  <c r="H1215" i="1"/>
  <c r="J1214" i="1"/>
  <c r="I1214" i="1"/>
  <c r="H1214" i="1"/>
  <c r="J1213" i="1"/>
  <c r="I1213" i="1"/>
  <c r="H1213" i="1"/>
  <c r="J1212" i="1"/>
  <c r="I1212" i="1"/>
  <c r="H1212" i="1"/>
  <c r="J1211" i="1"/>
  <c r="I1211" i="1"/>
  <c r="H1211" i="1"/>
  <c r="J1210" i="1"/>
  <c r="I1210" i="1"/>
  <c r="H1210" i="1"/>
  <c r="J1209" i="1"/>
  <c r="I1209" i="1"/>
  <c r="H1209" i="1"/>
  <c r="J1208" i="1"/>
  <c r="I1208" i="1"/>
  <c r="H1208" i="1"/>
  <c r="J1207" i="1"/>
  <c r="I1207" i="1"/>
  <c r="H1207" i="1"/>
  <c r="J1206" i="1"/>
  <c r="I1206" i="1"/>
  <c r="H1206" i="1"/>
  <c r="J1205" i="1"/>
  <c r="I1205" i="1"/>
  <c r="H1205" i="1"/>
  <c r="J1204" i="1"/>
  <c r="I1204" i="1"/>
  <c r="H1204" i="1"/>
  <c r="J1203" i="1"/>
  <c r="I1203" i="1"/>
  <c r="H1203" i="1"/>
  <c r="J1202" i="1"/>
  <c r="I1202" i="1"/>
  <c r="H1202" i="1"/>
  <c r="J1201" i="1"/>
  <c r="I1201" i="1"/>
  <c r="H1201" i="1"/>
  <c r="J1200" i="1"/>
  <c r="I1200" i="1"/>
  <c r="H1200" i="1"/>
  <c r="J1199" i="1"/>
  <c r="I1199" i="1"/>
  <c r="H1199" i="1"/>
  <c r="J1198" i="1"/>
  <c r="I1198" i="1"/>
  <c r="H1198" i="1"/>
  <c r="J1197" i="1"/>
  <c r="I1197" i="1"/>
  <c r="H1197" i="1"/>
  <c r="J1196" i="1"/>
  <c r="I1196" i="1"/>
  <c r="H1196" i="1"/>
  <c r="J1195" i="1"/>
  <c r="I1195" i="1"/>
  <c r="H1195" i="1"/>
  <c r="J1194" i="1"/>
  <c r="I1194" i="1"/>
  <c r="H1194" i="1"/>
  <c r="J1193" i="1"/>
  <c r="I1193" i="1"/>
  <c r="H1193" i="1"/>
  <c r="J1192" i="1"/>
  <c r="I1192" i="1"/>
  <c r="H1192" i="1"/>
  <c r="J1191" i="1"/>
  <c r="I1191" i="1"/>
  <c r="H1191" i="1"/>
  <c r="J1190" i="1"/>
  <c r="I1190" i="1"/>
  <c r="H1190" i="1"/>
  <c r="J1189" i="1"/>
  <c r="I1189" i="1"/>
  <c r="H1189" i="1"/>
  <c r="J1188" i="1"/>
  <c r="I1188" i="1"/>
  <c r="H1188" i="1"/>
  <c r="J1187" i="1"/>
  <c r="I1187" i="1"/>
  <c r="H1187" i="1"/>
  <c r="J1186" i="1"/>
  <c r="I1186" i="1"/>
  <c r="H1186" i="1"/>
  <c r="J1185" i="1"/>
  <c r="I1185" i="1"/>
  <c r="H1185" i="1"/>
  <c r="J1184" i="1"/>
  <c r="I1184" i="1"/>
  <c r="H1184" i="1"/>
  <c r="J1183" i="1"/>
  <c r="I1183" i="1"/>
  <c r="H1183" i="1"/>
  <c r="J1182" i="1"/>
  <c r="I1182" i="1"/>
  <c r="H1182" i="1"/>
  <c r="J1181" i="1"/>
  <c r="I1181" i="1"/>
  <c r="H1181" i="1"/>
  <c r="J1180" i="1"/>
  <c r="I1180" i="1"/>
  <c r="H1180" i="1"/>
  <c r="J1179" i="1"/>
  <c r="I1179" i="1"/>
  <c r="H1179" i="1"/>
  <c r="J1178" i="1"/>
  <c r="I1178" i="1"/>
  <c r="H1178" i="1"/>
  <c r="J1177" i="1"/>
  <c r="I1177" i="1"/>
  <c r="H1177" i="1"/>
  <c r="J1176" i="1"/>
  <c r="I1176" i="1"/>
  <c r="H1176" i="1"/>
  <c r="J1175" i="1"/>
  <c r="I1175" i="1"/>
  <c r="H1175" i="1"/>
  <c r="J1174" i="1"/>
  <c r="I1174" i="1"/>
  <c r="H1174" i="1"/>
  <c r="J1173" i="1"/>
  <c r="I1173" i="1"/>
  <c r="H1173" i="1"/>
  <c r="J1172" i="1"/>
  <c r="I1172" i="1"/>
  <c r="H1172" i="1"/>
  <c r="J1171" i="1"/>
  <c r="I1171" i="1"/>
  <c r="H1171" i="1"/>
  <c r="J1170" i="1"/>
  <c r="I1170" i="1"/>
  <c r="H1170" i="1"/>
  <c r="J1169" i="1"/>
  <c r="I1169" i="1"/>
  <c r="H1169" i="1"/>
  <c r="J1168" i="1"/>
  <c r="I1168" i="1"/>
  <c r="H1168" i="1"/>
  <c r="J1167" i="1"/>
  <c r="I1167" i="1"/>
  <c r="H1167" i="1"/>
  <c r="J1166" i="1"/>
  <c r="I1166" i="1"/>
  <c r="H1166" i="1"/>
  <c r="J1165" i="1"/>
  <c r="I1165" i="1"/>
  <c r="H1165" i="1"/>
  <c r="J1164" i="1"/>
  <c r="I1164" i="1"/>
  <c r="H1164" i="1"/>
  <c r="J1163" i="1"/>
  <c r="I1163" i="1"/>
  <c r="H1163" i="1"/>
  <c r="J1162" i="1"/>
  <c r="I1162" i="1"/>
  <c r="H1162" i="1"/>
  <c r="J1161" i="1"/>
  <c r="I1161" i="1"/>
  <c r="H1161" i="1"/>
  <c r="J1160" i="1"/>
  <c r="I1160" i="1"/>
  <c r="H1160" i="1"/>
  <c r="J1159" i="1"/>
  <c r="I1159" i="1"/>
  <c r="H1159" i="1"/>
  <c r="J1158" i="1"/>
  <c r="I1158" i="1"/>
  <c r="H1158" i="1"/>
  <c r="J1157" i="1"/>
  <c r="I1157" i="1"/>
  <c r="H1157" i="1"/>
  <c r="J1156" i="1"/>
  <c r="I1156" i="1"/>
  <c r="H1156" i="1"/>
  <c r="J1155" i="1"/>
  <c r="I1155" i="1"/>
  <c r="H1155" i="1"/>
  <c r="J1154" i="1"/>
  <c r="I1154" i="1"/>
  <c r="H1154" i="1"/>
  <c r="J1153" i="1"/>
  <c r="I1153" i="1"/>
  <c r="H1153" i="1"/>
  <c r="J1152" i="1"/>
  <c r="I1152" i="1"/>
  <c r="H1152" i="1"/>
  <c r="J1151" i="1"/>
  <c r="I1151" i="1"/>
  <c r="H1151" i="1"/>
  <c r="J1150" i="1"/>
  <c r="I1150" i="1"/>
  <c r="H1150" i="1"/>
  <c r="J1149" i="1"/>
  <c r="I1149" i="1"/>
  <c r="H1149" i="1"/>
  <c r="J1148" i="1"/>
  <c r="I1148" i="1"/>
  <c r="H1148" i="1"/>
  <c r="J1147" i="1"/>
  <c r="I1147" i="1"/>
  <c r="H1147" i="1"/>
  <c r="J1146" i="1"/>
  <c r="I1146" i="1"/>
  <c r="H1146" i="1"/>
  <c r="J1145" i="1"/>
  <c r="I1145" i="1"/>
  <c r="H1145" i="1"/>
  <c r="J1144" i="1"/>
  <c r="I1144" i="1"/>
  <c r="H1144" i="1"/>
  <c r="J1143" i="1"/>
  <c r="I1143" i="1"/>
  <c r="H1143" i="1"/>
  <c r="J1142" i="1"/>
  <c r="I1142" i="1"/>
  <c r="H1142" i="1"/>
  <c r="J1141" i="1"/>
  <c r="I1141" i="1"/>
  <c r="H1141" i="1"/>
  <c r="J1140" i="1"/>
  <c r="I1140" i="1"/>
  <c r="H1140" i="1"/>
  <c r="J1139" i="1"/>
  <c r="I1139" i="1"/>
  <c r="H1139" i="1"/>
  <c r="J1138" i="1"/>
  <c r="I1138" i="1"/>
  <c r="H1138" i="1"/>
  <c r="J1137" i="1"/>
  <c r="I1137" i="1"/>
  <c r="H1137" i="1"/>
  <c r="J1136" i="1"/>
  <c r="I1136" i="1"/>
  <c r="H1136" i="1"/>
  <c r="J1135" i="1"/>
  <c r="I1135" i="1"/>
  <c r="H1135" i="1"/>
  <c r="J1134" i="1"/>
  <c r="I1134" i="1"/>
  <c r="H1134" i="1"/>
  <c r="J1133" i="1"/>
  <c r="I1133" i="1"/>
  <c r="H1133" i="1"/>
  <c r="J1132" i="1"/>
  <c r="I1132" i="1"/>
  <c r="H1132" i="1"/>
  <c r="J1131" i="1"/>
  <c r="I1131" i="1"/>
  <c r="H1131" i="1"/>
  <c r="J1130" i="1"/>
  <c r="I1130" i="1"/>
  <c r="H1130" i="1"/>
  <c r="J1129" i="1"/>
  <c r="I1129" i="1"/>
  <c r="H1129" i="1"/>
  <c r="J1128" i="1"/>
  <c r="I1128" i="1"/>
  <c r="H1128" i="1"/>
  <c r="J1127" i="1"/>
  <c r="I1127" i="1"/>
  <c r="H1127" i="1"/>
  <c r="J1126" i="1"/>
  <c r="I1126" i="1"/>
  <c r="H1126" i="1"/>
  <c r="J1125" i="1"/>
  <c r="I1125" i="1"/>
  <c r="H1125" i="1"/>
  <c r="J1124" i="1"/>
  <c r="I1124" i="1"/>
  <c r="H1124" i="1"/>
  <c r="J1123" i="1"/>
  <c r="I1123" i="1"/>
  <c r="H1123" i="1"/>
  <c r="J1122" i="1"/>
  <c r="I1122" i="1"/>
  <c r="H1122" i="1"/>
  <c r="J1121" i="1"/>
  <c r="I1121" i="1"/>
  <c r="H1121" i="1"/>
  <c r="J1120" i="1"/>
  <c r="I1120" i="1"/>
  <c r="H1120" i="1"/>
  <c r="J1119" i="1"/>
  <c r="I1119" i="1"/>
  <c r="H1119" i="1"/>
  <c r="J1118" i="1"/>
  <c r="I1118" i="1"/>
  <c r="H1118" i="1"/>
  <c r="J1117" i="1"/>
  <c r="I1117" i="1"/>
  <c r="H1117" i="1"/>
  <c r="J1116" i="1"/>
  <c r="I1116" i="1"/>
  <c r="H1116" i="1"/>
  <c r="J1115" i="1"/>
  <c r="I1115" i="1"/>
  <c r="H1115" i="1"/>
  <c r="J1114" i="1"/>
  <c r="I1114" i="1"/>
  <c r="H1114" i="1"/>
  <c r="J1113" i="1"/>
  <c r="I1113" i="1"/>
  <c r="H1113" i="1"/>
  <c r="J1112" i="1"/>
  <c r="I1112" i="1"/>
  <c r="H1112" i="1"/>
  <c r="J1111" i="1"/>
  <c r="I1111" i="1"/>
  <c r="H1111" i="1"/>
  <c r="J1110" i="1"/>
  <c r="I1110" i="1"/>
  <c r="H1110" i="1"/>
  <c r="J1109" i="1"/>
  <c r="I1109" i="1"/>
  <c r="H1109" i="1"/>
  <c r="J1108" i="1"/>
  <c r="I1108" i="1"/>
  <c r="H1108" i="1"/>
  <c r="J1107" i="1"/>
  <c r="I1107" i="1"/>
  <c r="H1107" i="1"/>
  <c r="J1106" i="1"/>
  <c r="I1106" i="1"/>
  <c r="H1106" i="1"/>
  <c r="J1105" i="1"/>
  <c r="I1105" i="1"/>
  <c r="H1105" i="1"/>
  <c r="J1104" i="1"/>
  <c r="I1104" i="1"/>
  <c r="H1104" i="1"/>
  <c r="J1103" i="1"/>
  <c r="I1103" i="1"/>
  <c r="H1103" i="1"/>
  <c r="J1102" i="1"/>
  <c r="I1102" i="1"/>
  <c r="H1102" i="1"/>
  <c r="J1101" i="1"/>
  <c r="I1101" i="1"/>
  <c r="H1101" i="1"/>
  <c r="J1100" i="1"/>
  <c r="I1100" i="1"/>
  <c r="H1100" i="1"/>
  <c r="J1099" i="1"/>
  <c r="I1099" i="1"/>
  <c r="H1099" i="1"/>
  <c r="J1098" i="1"/>
  <c r="I1098" i="1"/>
  <c r="H1098" i="1"/>
  <c r="J1097" i="1"/>
  <c r="I1097" i="1"/>
  <c r="H1097" i="1"/>
  <c r="J1096" i="1"/>
  <c r="I1096" i="1"/>
  <c r="H1096" i="1"/>
  <c r="J1095" i="1"/>
  <c r="I1095" i="1"/>
  <c r="H1095" i="1"/>
  <c r="J1094" i="1"/>
  <c r="I1094" i="1"/>
  <c r="H1094" i="1"/>
  <c r="J1093" i="1"/>
  <c r="I1093" i="1"/>
  <c r="H1093" i="1"/>
  <c r="J1092" i="1"/>
  <c r="I1092" i="1"/>
  <c r="H1092" i="1"/>
  <c r="J1091" i="1"/>
  <c r="I1091" i="1"/>
  <c r="H1091" i="1"/>
  <c r="J1090" i="1"/>
  <c r="I1090" i="1"/>
  <c r="H1090" i="1"/>
  <c r="J1089" i="1"/>
  <c r="I1089" i="1"/>
  <c r="H1089" i="1"/>
  <c r="J1088" i="1"/>
  <c r="I1088" i="1"/>
  <c r="H1088" i="1"/>
  <c r="J1087" i="1"/>
  <c r="I1087" i="1"/>
  <c r="H1087" i="1"/>
  <c r="J1086" i="1"/>
  <c r="I1086" i="1"/>
  <c r="H1086" i="1"/>
  <c r="J1085" i="1"/>
  <c r="I1085" i="1"/>
  <c r="H1085" i="1"/>
  <c r="J1084" i="1"/>
  <c r="I1084" i="1"/>
  <c r="H1084" i="1"/>
  <c r="J1083" i="1"/>
  <c r="I1083" i="1"/>
  <c r="H1083" i="1"/>
  <c r="J1082" i="1"/>
  <c r="I1082" i="1"/>
  <c r="H1082" i="1"/>
  <c r="J1081" i="1"/>
  <c r="I1081" i="1"/>
  <c r="H1081" i="1"/>
  <c r="J1080" i="1"/>
  <c r="I1080" i="1"/>
  <c r="H1080" i="1"/>
  <c r="J1079" i="1"/>
  <c r="I1079" i="1"/>
  <c r="H1079" i="1"/>
  <c r="J1078" i="1"/>
  <c r="I1078" i="1"/>
  <c r="H1078" i="1"/>
  <c r="J1077" i="1"/>
  <c r="I1077" i="1"/>
  <c r="H1077" i="1"/>
  <c r="J1076" i="1"/>
  <c r="I1076" i="1"/>
  <c r="H1076" i="1"/>
  <c r="J1075" i="1"/>
  <c r="I1075" i="1"/>
  <c r="H1075" i="1"/>
  <c r="J1074" i="1"/>
  <c r="I1074" i="1"/>
  <c r="H1074" i="1"/>
  <c r="J1073" i="1"/>
  <c r="I1073" i="1"/>
  <c r="H1073" i="1"/>
  <c r="J1072" i="1"/>
  <c r="I1072" i="1"/>
  <c r="H1072" i="1"/>
  <c r="J1071" i="1"/>
  <c r="I1071" i="1"/>
  <c r="H1071" i="1"/>
  <c r="J1070" i="1"/>
  <c r="I1070" i="1"/>
  <c r="H1070" i="1"/>
  <c r="J1069" i="1"/>
  <c r="I1069" i="1"/>
  <c r="H1069" i="1"/>
  <c r="J1068" i="1"/>
  <c r="I1068" i="1"/>
  <c r="H1068" i="1"/>
  <c r="J1067" i="1"/>
  <c r="I1067" i="1"/>
  <c r="H1067" i="1"/>
  <c r="J1066" i="1"/>
  <c r="I1066" i="1"/>
  <c r="H1066" i="1"/>
  <c r="J1065" i="1"/>
  <c r="I1065" i="1"/>
  <c r="H1065" i="1"/>
  <c r="J1064" i="1"/>
  <c r="I1064" i="1"/>
  <c r="H1064" i="1"/>
  <c r="J1063" i="1"/>
  <c r="I1063" i="1"/>
  <c r="H1063" i="1"/>
  <c r="J1062" i="1"/>
  <c r="I1062" i="1"/>
  <c r="H1062" i="1"/>
  <c r="J1061" i="1"/>
  <c r="I1061" i="1"/>
  <c r="H1061" i="1"/>
  <c r="J1060" i="1"/>
  <c r="I1060" i="1"/>
  <c r="H1060" i="1"/>
  <c r="J1059" i="1"/>
  <c r="I1059" i="1"/>
  <c r="H1059" i="1"/>
  <c r="J1058" i="1"/>
  <c r="I1058" i="1"/>
  <c r="H1058" i="1"/>
  <c r="J1057" i="1"/>
  <c r="I1057" i="1"/>
  <c r="H1057" i="1"/>
  <c r="J1056" i="1"/>
  <c r="I1056" i="1"/>
  <c r="H1056" i="1"/>
  <c r="J1055" i="1"/>
  <c r="I1055" i="1"/>
  <c r="H1055" i="1"/>
  <c r="J1054" i="1"/>
  <c r="I1054" i="1"/>
  <c r="H1054" i="1"/>
  <c r="J1053" i="1"/>
  <c r="I1053" i="1"/>
  <c r="H1053" i="1"/>
  <c r="J1052" i="1"/>
  <c r="I1052" i="1"/>
  <c r="H1052" i="1"/>
  <c r="J1051" i="1"/>
  <c r="I1051" i="1"/>
  <c r="H1051" i="1"/>
  <c r="J1050" i="1"/>
  <c r="I1050" i="1"/>
  <c r="H1050" i="1"/>
  <c r="J1049" i="1"/>
  <c r="I1049" i="1"/>
  <c r="H1049" i="1"/>
  <c r="J1048" i="1"/>
  <c r="I1048" i="1"/>
  <c r="H1048" i="1"/>
  <c r="J1047" i="1"/>
  <c r="I1047" i="1"/>
  <c r="H1047" i="1"/>
  <c r="J1046" i="1"/>
  <c r="I1046" i="1"/>
  <c r="H1046" i="1"/>
  <c r="J1045" i="1"/>
  <c r="I1045" i="1"/>
  <c r="H1045" i="1"/>
  <c r="J1044" i="1"/>
  <c r="I1044" i="1"/>
  <c r="H1044" i="1"/>
  <c r="J1043" i="1"/>
  <c r="I1043" i="1"/>
  <c r="H1043" i="1"/>
  <c r="J1042" i="1"/>
  <c r="I1042" i="1"/>
  <c r="H1042" i="1"/>
  <c r="J1041" i="1"/>
  <c r="I1041" i="1"/>
  <c r="H1041" i="1"/>
  <c r="J1040" i="1"/>
  <c r="I1040" i="1"/>
  <c r="H1040" i="1"/>
  <c r="J1039" i="1"/>
  <c r="I1039" i="1"/>
  <c r="H1039" i="1"/>
  <c r="J1038" i="1"/>
  <c r="I1038" i="1"/>
  <c r="H1038" i="1"/>
  <c r="J1037" i="1"/>
  <c r="I1037" i="1"/>
  <c r="H1037" i="1"/>
  <c r="J1036" i="1"/>
  <c r="I1036" i="1"/>
  <c r="H1036" i="1"/>
  <c r="J1035" i="1"/>
  <c r="I1035" i="1"/>
  <c r="H1035" i="1"/>
  <c r="J1034" i="1"/>
  <c r="I1034" i="1"/>
  <c r="H1034" i="1"/>
  <c r="J1033" i="1"/>
  <c r="I1033" i="1"/>
  <c r="H1033" i="1"/>
  <c r="J1032" i="1"/>
  <c r="I1032" i="1"/>
  <c r="H1032" i="1"/>
  <c r="J1031" i="1"/>
  <c r="I1031" i="1"/>
  <c r="H1031" i="1"/>
  <c r="J1030" i="1"/>
  <c r="I1030" i="1"/>
  <c r="H1030" i="1"/>
  <c r="J1029" i="1"/>
  <c r="I1029" i="1"/>
  <c r="H1029" i="1"/>
  <c r="J1028" i="1"/>
  <c r="I1028" i="1"/>
  <c r="H1028" i="1"/>
  <c r="J1027" i="1"/>
  <c r="I1027" i="1"/>
  <c r="H1027" i="1"/>
  <c r="J1026" i="1"/>
  <c r="I1026" i="1"/>
  <c r="H1026" i="1"/>
  <c r="J1025" i="1"/>
  <c r="I1025" i="1"/>
  <c r="H1025" i="1"/>
  <c r="J1024" i="1"/>
  <c r="I1024" i="1"/>
  <c r="H1024" i="1"/>
  <c r="J1023" i="1"/>
  <c r="I1023" i="1"/>
  <c r="H1023" i="1"/>
  <c r="J1022" i="1"/>
  <c r="I1022" i="1"/>
  <c r="H1022" i="1"/>
  <c r="J1021" i="1"/>
  <c r="I1021" i="1"/>
  <c r="H1021" i="1"/>
  <c r="J1020" i="1"/>
  <c r="I1020" i="1"/>
  <c r="H1020" i="1"/>
  <c r="J1019" i="1"/>
  <c r="I1019" i="1"/>
  <c r="H1019" i="1"/>
  <c r="J1018" i="1"/>
  <c r="I1018" i="1"/>
  <c r="H1018" i="1"/>
  <c r="J1017" i="1"/>
  <c r="I1017" i="1"/>
  <c r="H1017" i="1"/>
  <c r="J1016" i="1"/>
  <c r="I1016" i="1"/>
  <c r="H1016" i="1"/>
  <c r="J1015" i="1"/>
  <c r="I1015" i="1"/>
  <c r="H1015" i="1"/>
  <c r="J1014" i="1"/>
  <c r="I1014" i="1"/>
  <c r="H1014" i="1"/>
  <c r="J1013" i="1"/>
  <c r="I1013" i="1"/>
  <c r="H1013" i="1"/>
  <c r="J1012" i="1"/>
  <c r="I1012" i="1"/>
  <c r="H1012" i="1"/>
  <c r="J1011" i="1"/>
  <c r="I1011" i="1"/>
  <c r="H1011" i="1"/>
  <c r="J1010" i="1"/>
  <c r="I1010" i="1"/>
  <c r="H1010" i="1"/>
  <c r="J1009" i="1"/>
  <c r="I1009" i="1"/>
  <c r="H1009" i="1"/>
  <c r="J1008" i="1"/>
  <c r="I1008" i="1"/>
  <c r="H1008" i="1"/>
  <c r="J1007" i="1"/>
  <c r="I1007" i="1"/>
  <c r="H1007" i="1"/>
  <c r="J1006" i="1"/>
  <c r="I1006" i="1"/>
  <c r="H1006" i="1"/>
  <c r="J1005" i="1"/>
  <c r="I1005" i="1"/>
  <c r="H1005" i="1"/>
  <c r="J1004" i="1"/>
  <c r="I1004" i="1"/>
  <c r="H1004" i="1"/>
  <c r="J1003" i="1"/>
  <c r="I1003" i="1"/>
  <c r="H1003" i="1"/>
  <c r="J1002" i="1"/>
  <c r="I1002" i="1"/>
  <c r="H1002" i="1"/>
  <c r="J1001" i="1"/>
  <c r="I1001" i="1"/>
  <c r="H1001" i="1"/>
  <c r="J1000" i="1"/>
  <c r="I1000" i="1"/>
  <c r="H1000" i="1"/>
  <c r="J999" i="1"/>
  <c r="I999" i="1"/>
  <c r="H999" i="1"/>
  <c r="J998" i="1"/>
  <c r="I998" i="1"/>
  <c r="H998" i="1"/>
  <c r="J997" i="1"/>
  <c r="I997" i="1"/>
  <c r="H997" i="1"/>
  <c r="J996" i="1"/>
  <c r="I996" i="1"/>
  <c r="H996" i="1"/>
  <c r="J995" i="1"/>
  <c r="I995" i="1"/>
  <c r="H995" i="1"/>
  <c r="J994" i="1"/>
  <c r="I994" i="1"/>
  <c r="H994" i="1"/>
  <c r="J993" i="1"/>
  <c r="I993" i="1"/>
  <c r="H993" i="1"/>
  <c r="J992" i="1"/>
  <c r="I992" i="1"/>
  <c r="H992" i="1"/>
  <c r="J991" i="1"/>
  <c r="I991" i="1"/>
  <c r="H991" i="1"/>
  <c r="J990" i="1"/>
  <c r="I990" i="1"/>
  <c r="H990" i="1"/>
  <c r="J989" i="1"/>
  <c r="I989" i="1"/>
  <c r="H989" i="1"/>
  <c r="J988" i="1"/>
  <c r="I988" i="1"/>
  <c r="H988" i="1"/>
  <c r="J987" i="1"/>
  <c r="I987" i="1"/>
  <c r="H987" i="1"/>
  <c r="J986" i="1"/>
  <c r="I986" i="1"/>
  <c r="H986" i="1"/>
  <c r="J985" i="1"/>
  <c r="I985" i="1"/>
  <c r="H985" i="1"/>
  <c r="J984" i="1"/>
  <c r="I984" i="1"/>
  <c r="H984" i="1"/>
  <c r="J983" i="1"/>
  <c r="I983" i="1"/>
  <c r="H983" i="1"/>
  <c r="J982" i="1"/>
  <c r="I982" i="1"/>
  <c r="H982" i="1"/>
  <c r="J981" i="1"/>
  <c r="I981" i="1"/>
  <c r="H981" i="1"/>
  <c r="J980" i="1"/>
  <c r="I980" i="1"/>
  <c r="H980" i="1"/>
  <c r="J979" i="1"/>
  <c r="I979" i="1"/>
  <c r="H979" i="1"/>
  <c r="J978" i="1"/>
  <c r="I978" i="1"/>
  <c r="H978" i="1"/>
  <c r="J977" i="1"/>
  <c r="I977" i="1"/>
  <c r="H977" i="1"/>
  <c r="J976" i="1"/>
  <c r="I976" i="1"/>
  <c r="H976" i="1"/>
  <c r="J975" i="1"/>
  <c r="I975" i="1"/>
  <c r="H975" i="1"/>
  <c r="J974" i="1"/>
  <c r="I974" i="1"/>
  <c r="H974" i="1"/>
  <c r="J973" i="1"/>
  <c r="I973" i="1"/>
  <c r="H973" i="1"/>
  <c r="J972" i="1"/>
  <c r="I972" i="1"/>
  <c r="H972" i="1"/>
  <c r="J971" i="1"/>
  <c r="I971" i="1"/>
  <c r="H971" i="1"/>
  <c r="J970" i="1"/>
  <c r="I970" i="1"/>
  <c r="H970" i="1"/>
  <c r="J969" i="1"/>
  <c r="I969" i="1"/>
  <c r="H969" i="1"/>
  <c r="J968" i="1"/>
  <c r="I968" i="1"/>
  <c r="H968" i="1"/>
  <c r="J967" i="1"/>
  <c r="I967" i="1"/>
  <c r="H967" i="1"/>
  <c r="J966" i="1"/>
  <c r="I966" i="1"/>
  <c r="H966" i="1"/>
  <c r="J965" i="1"/>
  <c r="I965" i="1"/>
  <c r="H965" i="1"/>
  <c r="J964" i="1"/>
  <c r="I964" i="1"/>
  <c r="H964" i="1"/>
  <c r="J963" i="1"/>
  <c r="I963" i="1"/>
  <c r="H963" i="1"/>
  <c r="J962" i="1"/>
  <c r="I962" i="1"/>
  <c r="H962" i="1"/>
  <c r="J961" i="1"/>
  <c r="I961" i="1"/>
  <c r="H961" i="1"/>
  <c r="J960" i="1"/>
  <c r="I960" i="1"/>
  <c r="H960" i="1"/>
  <c r="J959" i="1"/>
  <c r="I959" i="1"/>
  <c r="H959" i="1"/>
  <c r="J958" i="1"/>
  <c r="I958" i="1"/>
  <c r="H958" i="1"/>
  <c r="J957" i="1"/>
  <c r="I957" i="1"/>
  <c r="H957" i="1"/>
  <c r="J956" i="1"/>
  <c r="I956" i="1"/>
  <c r="H956" i="1"/>
  <c r="J955" i="1"/>
  <c r="I955" i="1"/>
  <c r="H955" i="1"/>
  <c r="J954" i="1"/>
  <c r="I954" i="1"/>
  <c r="H954" i="1"/>
  <c r="J953" i="1"/>
  <c r="I953" i="1"/>
  <c r="H953" i="1"/>
  <c r="J952" i="1"/>
  <c r="I952" i="1"/>
  <c r="H952" i="1"/>
  <c r="J951" i="1"/>
  <c r="I951" i="1"/>
  <c r="H951" i="1"/>
  <c r="J950" i="1"/>
  <c r="I950" i="1"/>
  <c r="H950" i="1"/>
  <c r="J949" i="1"/>
  <c r="I949" i="1"/>
  <c r="H949" i="1"/>
  <c r="J948" i="1"/>
  <c r="I948" i="1"/>
  <c r="H948" i="1"/>
  <c r="J947" i="1"/>
  <c r="I947" i="1"/>
  <c r="H947" i="1"/>
  <c r="J946" i="1"/>
  <c r="I946" i="1"/>
  <c r="H946" i="1"/>
  <c r="J945" i="1"/>
  <c r="I945" i="1"/>
  <c r="H945" i="1"/>
  <c r="J944" i="1"/>
  <c r="I944" i="1"/>
  <c r="H944" i="1"/>
  <c r="J943" i="1"/>
  <c r="I943" i="1"/>
  <c r="H943" i="1"/>
  <c r="J942" i="1"/>
  <c r="I942" i="1"/>
  <c r="H942" i="1"/>
  <c r="J941" i="1"/>
  <c r="I941" i="1"/>
  <c r="H941" i="1"/>
  <c r="J940" i="1"/>
  <c r="I940" i="1"/>
  <c r="H940" i="1"/>
  <c r="J939" i="1"/>
  <c r="I939" i="1"/>
  <c r="H939" i="1"/>
  <c r="J938" i="1"/>
  <c r="I938" i="1"/>
  <c r="H938" i="1"/>
  <c r="J937" i="1"/>
  <c r="I937" i="1"/>
  <c r="H937" i="1"/>
  <c r="J936" i="1"/>
  <c r="I936" i="1"/>
  <c r="H936" i="1"/>
  <c r="J935" i="1"/>
  <c r="I935" i="1"/>
  <c r="H935" i="1"/>
  <c r="J934" i="1"/>
  <c r="I934" i="1"/>
  <c r="H934" i="1"/>
  <c r="J933" i="1"/>
  <c r="I933" i="1"/>
  <c r="H933" i="1"/>
  <c r="J932" i="1"/>
  <c r="I932" i="1"/>
  <c r="H932" i="1"/>
  <c r="J931" i="1"/>
  <c r="I931" i="1"/>
  <c r="H931" i="1"/>
  <c r="J930" i="1"/>
  <c r="I930" i="1"/>
  <c r="H930" i="1"/>
  <c r="J929" i="1"/>
  <c r="I929" i="1"/>
  <c r="H929" i="1"/>
  <c r="J928" i="1"/>
  <c r="I928" i="1"/>
  <c r="H928" i="1"/>
  <c r="J927" i="1"/>
  <c r="I927" i="1"/>
  <c r="H927" i="1"/>
  <c r="J926" i="1"/>
  <c r="I926" i="1"/>
  <c r="H926" i="1"/>
  <c r="J925" i="1"/>
  <c r="I925" i="1"/>
  <c r="H925" i="1"/>
  <c r="J924" i="1"/>
  <c r="I924" i="1"/>
  <c r="H924" i="1"/>
  <c r="J923" i="1"/>
  <c r="I923" i="1"/>
  <c r="H923" i="1"/>
  <c r="J922" i="1"/>
  <c r="I922" i="1"/>
  <c r="H922" i="1"/>
  <c r="J921" i="1"/>
  <c r="I921" i="1"/>
  <c r="H921" i="1"/>
  <c r="J920" i="1"/>
  <c r="I920" i="1"/>
  <c r="H920" i="1"/>
  <c r="J919" i="1"/>
  <c r="I919" i="1"/>
  <c r="H919" i="1"/>
  <c r="J918" i="1"/>
  <c r="I918" i="1"/>
  <c r="H918" i="1"/>
  <c r="J917" i="1"/>
  <c r="I917" i="1"/>
  <c r="H917" i="1"/>
  <c r="J916" i="1"/>
  <c r="I916" i="1"/>
  <c r="H916" i="1"/>
  <c r="J915" i="1"/>
  <c r="I915" i="1"/>
  <c r="H915" i="1"/>
  <c r="J914" i="1"/>
  <c r="I914" i="1"/>
  <c r="H914" i="1"/>
  <c r="J913" i="1"/>
  <c r="I913" i="1"/>
  <c r="H913" i="1"/>
  <c r="J912" i="1"/>
  <c r="I912" i="1"/>
  <c r="H912" i="1"/>
  <c r="J911" i="1"/>
  <c r="I911" i="1"/>
  <c r="H911" i="1"/>
  <c r="J910" i="1"/>
  <c r="I910" i="1"/>
  <c r="H910" i="1"/>
  <c r="J909" i="1"/>
  <c r="I909" i="1"/>
  <c r="H909" i="1"/>
  <c r="J908" i="1"/>
  <c r="I908" i="1"/>
  <c r="H908" i="1"/>
  <c r="J907" i="1"/>
  <c r="I907" i="1"/>
  <c r="H907" i="1"/>
  <c r="J906" i="1"/>
  <c r="I906" i="1"/>
  <c r="H906" i="1"/>
  <c r="J905" i="1"/>
  <c r="I905" i="1"/>
  <c r="H905" i="1"/>
  <c r="J904" i="1"/>
  <c r="I904" i="1"/>
  <c r="H904" i="1"/>
  <c r="J903" i="1"/>
  <c r="I903" i="1"/>
  <c r="H903" i="1"/>
  <c r="J902" i="1"/>
  <c r="I902" i="1"/>
  <c r="H902" i="1"/>
  <c r="J901" i="1"/>
  <c r="I901" i="1"/>
  <c r="H901" i="1"/>
  <c r="J900" i="1"/>
  <c r="I900" i="1"/>
  <c r="H900" i="1"/>
  <c r="J899" i="1"/>
  <c r="I899" i="1"/>
  <c r="H899" i="1"/>
  <c r="J898" i="1"/>
  <c r="I898" i="1"/>
  <c r="H898" i="1"/>
  <c r="J897" i="1"/>
  <c r="I897" i="1"/>
  <c r="H897" i="1"/>
  <c r="J896" i="1"/>
  <c r="I896" i="1"/>
  <c r="H896" i="1"/>
  <c r="J895" i="1"/>
  <c r="I895" i="1"/>
  <c r="H895" i="1"/>
  <c r="J894" i="1"/>
  <c r="I894" i="1"/>
  <c r="H894" i="1"/>
  <c r="J893" i="1"/>
  <c r="I893" i="1"/>
  <c r="H893" i="1"/>
  <c r="J892" i="1"/>
  <c r="I892" i="1"/>
  <c r="H892" i="1"/>
  <c r="J891" i="1"/>
  <c r="I891" i="1"/>
  <c r="H891" i="1"/>
  <c r="J890" i="1"/>
  <c r="I890" i="1"/>
  <c r="H890" i="1"/>
  <c r="J889" i="1"/>
  <c r="I889" i="1"/>
  <c r="H889" i="1"/>
  <c r="J888" i="1"/>
  <c r="I888" i="1"/>
  <c r="H888" i="1"/>
  <c r="J887" i="1"/>
  <c r="I887" i="1"/>
  <c r="H887" i="1"/>
  <c r="J886" i="1"/>
  <c r="I886" i="1"/>
  <c r="H886" i="1"/>
  <c r="J885" i="1"/>
  <c r="I885" i="1"/>
  <c r="H885" i="1"/>
  <c r="J884" i="1"/>
  <c r="I884" i="1"/>
  <c r="H884" i="1"/>
  <c r="J883" i="1"/>
  <c r="I883" i="1"/>
  <c r="H883" i="1"/>
  <c r="J882" i="1"/>
  <c r="I882" i="1"/>
  <c r="H882" i="1"/>
  <c r="J881" i="1"/>
  <c r="I881" i="1"/>
  <c r="H881" i="1"/>
  <c r="J880" i="1"/>
  <c r="I880" i="1"/>
  <c r="H880" i="1"/>
  <c r="J879" i="1"/>
  <c r="I879" i="1"/>
  <c r="H879" i="1"/>
  <c r="J878" i="1"/>
  <c r="I878" i="1"/>
  <c r="H878" i="1"/>
  <c r="J877" i="1"/>
  <c r="I877" i="1"/>
  <c r="H877" i="1"/>
  <c r="J876" i="1"/>
  <c r="I876" i="1"/>
  <c r="H876" i="1"/>
  <c r="J875" i="1"/>
  <c r="I875" i="1"/>
  <c r="H875" i="1"/>
  <c r="J874" i="1"/>
  <c r="I874" i="1"/>
  <c r="H874" i="1"/>
  <c r="J873" i="1"/>
  <c r="I873" i="1"/>
  <c r="H873" i="1"/>
  <c r="J872" i="1"/>
  <c r="I872" i="1"/>
  <c r="H872" i="1"/>
  <c r="J871" i="1"/>
  <c r="I871" i="1"/>
  <c r="H871" i="1"/>
  <c r="J870" i="1"/>
  <c r="I870" i="1"/>
  <c r="H870" i="1"/>
  <c r="J869" i="1"/>
  <c r="I869" i="1"/>
  <c r="H869" i="1"/>
  <c r="J868" i="1"/>
  <c r="I868" i="1"/>
  <c r="H868" i="1"/>
  <c r="J867" i="1"/>
  <c r="I867" i="1"/>
  <c r="H867" i="1"/>
  <c r="J866" i="1"/>
  <c r="I866" i="1"/>
  <c r="H866" i="1"/>
  <c r="J865" i="1"/>
  <c r="I865" i="1"/>
  <c r="H865" i="1"/>
  <c r="J864" i="1"/>
  <c r="I864" i="1"/>
  <c r="H864" i="1"/>
  <c r="J863" i="1"/>
  <c r="I863" i="1"/>
  <c r="H863" i="1"/>
  <c r="J862" i="1"/>
  <c r="I862" i="1"/>
  <c r="H862" i="1"/>
  <c r="J861" i="1"/>
  <c r="I861" i="1"/>
  <c r="H861" i="1"/>
  <c r="J860" i="1"/>
  <c r="I860" i="1"/>
  <c r="H860" i="1"/>
  <c r="J859" i="1"/>
  <c r="I859" i="1"/>
  <c r="H859" i="1"/>
  <c r="J858" i="1"/>
  <c r="I858" i="1"/>
  <c r="H858" i="1"/>
  <c r="J857" i="1"/>
  <c r="I857" i="1"/>
  <c r="H857" i="1"/>
  <c r="J856" i="1"/>
  <c r="I856" i="1"/>
  <c r="H856" i="1"/>
  <c r="J855" i="1"/>
  <c r="I855" i="1"/>
  <c r="H855" i="1"/>
  <c r="J854" i="1"/>
  <c r="I854" i="1"/>
  <c r="H854" i="1"/>
  <c r="J853" i="1"/>
  <c r="I853" i="1"/>
  <c r="H853" i="1"/>
  <c r="J852" i="1"/>
  <c r="I852" i="1"/>
  <c r="H852" i="1"/>
  <c r="J851" i="1"/>
  <c r="I851" i="1"/>
  <c r="H851" i="1"/>
  <c r="J850" i="1"/>
  <c r="I850" i="1"/>
  <c r="H850" i="1"/>
  <c r="J849" i="1"/>
  <c r="I849" i="1"/>
  <c r="H849" i="1"/>
  <c r="J848" i="1"/>
  <c r="I848" i="1"/>
  <c r="H848" i="1"/>
  <c r="J847" i="1"/>
  <c r="I847" i="1"/>
  <c r="H847" i="1"/>
  <c r="J846" i="1"/>
  <c r="I846" i="1"/>
  <c r="H846" i="1"/>
  <c r="J845" i="1"/>
  <c r="I845" i="1"/>
  <c r="H845" i="1"/>
  <c r="J844" i="1"/>
  <c r="I844" i="1"/>
  <c r="H844" i="1"/>
  <c r="J843" i="1"/>
  <c r="I843" i="1"/>
  <c r="H843" i="1"/>
  <c r="J842" i="1"/>
  <c r="I842" i="1"/>
  <c r="H842" i="1"/>
  <c r="J841" i="1"/>
  <c r="I841" i="1"/>
  <c r="H841" i="1"/>
  <c r="J840" i="1"/>
  <c r="I840" i="1"/>
  <c r="H840" i="1"/>
  <c r="J839" i="1"/>
  <c r="I839" i="1"/>
  <c r="H839" i="1"/>
  <c r="J838" i="1"/>
  <c r="I838" i="1"/>
  <c r="H838" i="1"/>
  <c r="J837" i="1"/>
  <c r="I837" i="1"/>
  <c r="H837" i="1"/>
  <c r="J836" i="1"/>
  <c r="I836" i="1"/>
  <c r="H836" i="1"/>
  <c r="J835" i="1"/>
  <c r="I835" i="1"/>
  <c r="H835" i="1"/>
  <c r="J834" i="1"/>
  <c r="I834" i="1"/>
  <c r="H834" i="1"/>
  <c r="J833" i="1"/>
  <c r="I833" i="1"/>
  <c r="H833" i="1"/>
  <c r="J832" i="1"/>
  <c r="I832" i="1"/>
  <c r="H832" i="1"/>
  <c r="J831" i="1"/>
  <c r="I831" i="1"/>
  <c r="H831" i="1"/>
  <c r="J830" i="1"/>
  <c r="I830" i="1"/>
  <c r="H830" i="1"/>
  <c r="J829" i="1"/>
  <c r="I829" i="1"/>
  <c r="H829" i="1"/>
  <c r="J828" i="1"/>
  <c r="I828" i="1"/>
  <c r="H828" i="1"/>
  <c r="J827" i="1"/>
  <c r="I827" i="1"/>
  <c r="H827" i="1"/>
  <c r="J826" i="1"/>
  <c r="I826" i="1"/>
  <c r="H826" i="1"/>
  <c r="J825" i="1"/>
  <c r="I825" i="1"/>
  <c r="H825" i="1"/>
  <c r="J824" i="1"/>
  <c r="I824" i="1"/>
  <c r="H824" i="1"/>
  <c r="J823" i="1"/>
  <c r="I823" i="1"/>
  <c r="H823" i="1"/>
  <c r="J822" i="1"/>
  <c r="I822" i="1"/>
  <c r="H822" i="1"/>
  <c r="J821" i="1"/>
  <c r="I821" i="1"/>
  <c r="H821" i="1"/>
  <c r="J820" i="1"/>
  <c r="I820" i="1"/>
  <c r="H820" i="1"/>
  <c r="J819" i="1"/>
  <c r="I819" i="1"/>
  <c r="H819" i="1"/>
  <c r="J818" i="1"/>
  <c r="I818" i="1"/>
  <c r="H818" i="1"/>
  <c r="J817" i="1"/>
  <c r="I817" i="1"/>
  <c r="H817" i="1"/>
  <c r="J816" i="1"/>
  <c r="I816" i="1"/>
  <c r="H816" i="1"/>
  <c r="J815" i="1"/>
  <c r="I815" i="1"/>
  <c r="H815" i="1"/>
  <c r="J814" i="1"/>
  <c r="I814" i="1"/>
  <c r="H814" i="1"/>
  <c r="J813" i="1"/>
  <c r="I813" i="1"/>
  <c r="H813" i="1"/>
  <c r="J812" i="1"/>
  <c r="I812" i="1"/>
  <c r="H812" i="1"/>
  <c r="J811" i="1"/>
  <c r="I811" i="1"/>
  <c r="H811" i="1"/>
  <c r="J810" i="1"/>
  <c r="I810" i="1"/>
  <c r="H810" i="1"/>
  <c r="J809" i="1"/>
  <c r="I809" i="1"/>
  <c r="H809" i="1"/>
  <c r="J808" i="1"/>
  <c r="I808" i="1"/>
  <c r="H808" i="1"/>
  <c r="J807" i="1"/>
  <c r="I807" i="1"/>
  <c r="H807" i="1"/>
  <c r="J806" i="1"/>
  <c r="I806" i="1"/>
  <c r="H806" i="1"/>
  <c r="J805" i="1"/>
  <c r="I805" i="1"/>
  <c r="H805" i="1"/>
  <c r="J804" i="1"/>
  <c r="I804" i="1"/>
  <c r="H804" i="1"/>
  <c r="J803" i="1"/>
  <c r="I803" i="1"/>
  <c r="H803" i="1"/>
  <c r="J802" i="1"/>
  <c r="I802" i="1"/>
  <c r="H802" i="1"/>
  <c r="J801" i="1"/>
  <c r="I801" i="1"/>
  <c r="H801" i="1"/>
  <c r="J800" i="1"/>
  <c r="I800" i="1"/>
  <c r="H800" i="1"/>
  <c r="J799" i="1"/>
  <c r="I799" i="1"/>
  <c r="H799" i="1"/>
  <c r="J798" i="1"/>
  <c r="I798" i="1"/>
  <c r="H798" i="1"/>
  <c r="J797" i="1"/>
  <c r="I797" i="1"/>
  <c r="H797" i="1"/>
  <c r="J796" i="1"/>
  <c r="I796" i="1"/>
  <c r="H796" i="1"/>
  <c r="J795" i="1"/>
  <c r="I795" i="1"/>
  <c r="H795" i="1"/>
  <c r="J794" i="1"/>
  <c r="I794" i="1"/>
  <c r="H794" i="1"/>
  <c r="J793" i="1"/>
  <c r="I793" i="1"/>
  <c r="H793" i="1"/>
  <c r="J792" i="1"/>
  <c r="I792" i="1"/>
  <c r="H792" i="1"/>
  <c r="J791" i="1"/>
  <c r="I791" i="1"/>
  <c r="H791" i="1"/>
  <c r="J790" i="1"/>
  <c r="I790" i="1"/>
  <c r="H790" i="1"/>
  <c r="J789" i="1"/>
  <c r="I789" i="1"/>
  <c r="H789" i="1"/>
  <c r="J788" i="1"/>
  <c r="I788" i="1"/>
  <c r="H788" i="1"/>
  <c r="J787" i="1"/>
  <c r="I787" i="1"/>
  <c r="H787" i="1"/>
  <c r="J786" i="1"/>
  <c r="I786" i="1"/>
  <c r="H786" i="1"/>
  <c r="J785" i="1"/>
  <c r="I785" i="1"/>
  <c r="H785" i="1"/>
  <c r="J784" i="1"/>
  <c r="I784" i="1"/>
  <c r="H784" i="1"/>
  <c r="J783" i="1"/>
  <c r="I783" i="1"/>
  <c r="H783" i="1"/>
  <c r="J782" i="1"/>
  <c r="I782" i="1"/>
  <c r="H782" i="1"/>
  <c r="J781" i="1"/>
  <c r="I781" i="1"/>
  <c r="H781" i="1"/>
  <c r="J780" i="1"/>
  <c r="I780" i="1"/>
  <c r="H780" i="1"/>
  <c r="J779" i="1"/>
  <c r="I779" i="1"/>
  <c r="H779" i="1"/>
  <c r="J778" i="1"/>
  <c r="I778" i="1"/>
  <c r="H778" i="1"/>
  <c r="J777" i="1"/>
  <c r="I777" i="1"/>
  <c r="H777" i="1"/>
  <c r="J776" i="1"/>
  <c r="I776" i="1"/>
  <c r="H776" i="1"/>
  <c r="J775" i="1"/>
  <c r="I775" i="1"/>
  <c r="H775" i="1"/>
  <c r="J774" i="1"/>
  <c r="I774" i="1"/>
  <c r="H774" i="1"/>
  <c r="J773" i="1"/>
  <c r="I773" i="1"/>
  <c r="H773" i="1"/>
  <c r="J772" i="1"/>
  <c r="I772" i="1"/>
  <c r="H772" i="1"/>
  <c r="J771" i="1"/>
  <c r="I771" i="1"/>
  <c r="H771" i="1"/>
  <c r="J770" i="1"/>
  <c r="I770" i="1"/>
  <c r="H770" i="1"/>
  <c r="J769" i="1"/>
  <c r="I769" i="1"/>
  <c r="H769" i="1"/>
  <c r="J768" i="1"/>
  <c r="I768" i="1"/>
  <c r="H768" i="1"/>
  <c r="J767" i="1"/>
  <c r="I767" i="1"/>
  <c r="H767" i="1"/>
  <c r="J766" i="1"/>
  <c r="I766" i="1"/>
  <c r="H766" i="1"/>
  <c r="J765" i="1"/>
  <c r="I765" i="1"/>
  <c r="H765" i="1"/>
  <c r="J764" i="1"/>
  <c r="I764" i="1"/>
  <c r="H764" i="1"/>
  <c r="J763" i="1"/>
  <c r="I763" i="1"/>
  <c r="H763" i="1"/>
  <c r="J762" i="1"/>
  <c r="I762" i="1"/>
  <c r="H762" i="1"/>
  <c r="J761" i="1"/>
  <c r="I761" i="1"/>
  <c r="H761" i="1"/>
  <c r="J760" i="1"/>
  <c r="I760" i="1"/>
  <c r="H760" i="1"/>
  <c r="J759" i="1"/>
  <c r="I759" i="1"/>
  <c r="H759" i="1"/>
  <c r="J758" i="1"/>
  <c r="I758" i="1"/>
  <c r="H758" i="1"/>
  <c r="J757" i="1"/>
  <c r="I757" i="1"/>
  <c r="H757" i="1"/>
  <c r="J756" i="1"/>
  <c r="I756" i="1"/>
  <c r="H756" i="1"/>
  <c r="J755" i="1"/>
  <c r="I755" i="1"/>
  <c r="H755" i="1"/>
  <c r="J754" i="1"/>
  <c r="I754" i="1"/>
  <c r="H754" i="1"/>
  <c r="J753" i="1"/>
  <c r="I753" i="1"/>
  <c r="H753" i="1"/>
  <c r="J752" i="1"/>
  <c r="I752" i="1"/>
  <c r="H752" i="1"/>
  <c r="J751" i="1"/>
  <c r="I751" i="1"/>
  <c r="H751" i="1"/>
  <c r="J750" i="1"/>
  <c r="I750" i="1"/>
  <c r="H750" i="1"/>
  <c r="J749" i="1"/>
  <c r="I749" i="1"/>
  <c r="H749" i="1"/>
  <c r="J748" i="1"/>
  <c r="I748" i="1"/>
  <c r="H748" i="1"/>
  <c r="J747" i="1"/>
  <c r="I747" i="1"/>
  <c r="H747" i="1"/>
  <c r="J746" i="1"/>
  <c r="I746" i="1"/>
  <c r="H746" i="1"/>
  <c r="J745" i="1"/>
  <c r="I745" i="1"/>
  <c r="H745" i="1"/>
  <c r="J744" i="1"/>
  <c r="I744" i="1"/>
  <c r="H744" i="1"/>
  <c r="J743" i="1"/>
  <c r="I743" i="1"/>
  <c r="H743" i="1"/>
  <c r="J742" i="1"/>
  <c r="I742" i="1"/>
  <c r="H742" i="1"/>
  <c r="J741" i="1"/>
  <c r="I741" i="1"/>
  <c r="H741" i="1"/>
  <c r="J740" i="1"/>
  <c r="I740" i="1"/>
  <c r="H740" i="1"/>
  <c r="J739" i="1"/>
  <c r="I739" i="1"/>
  <c r="H739" i="1"/>
  <c r="J738" i="1"/>
  <c r="I738" i="1"/>
  <c r="H738" i="1"/>
  <c r="J737" i="1"/>
  <c r="I737" i="1"/>
  <c r="H737" i="1"/>
  <c r="J736" i="1"/>
  <c r="I736" i="1"/>
  <c r="H736" i="1"/>
  <c r="J735" i="1"/>
  <c r="I735" i="1"/>
  <c r="H735" i="1"/>
  <c r="J734" i="1"/>
  <c r="I734" i="1"/>
  <c r="H734" i="1"/>
  <c r="J733" i="1"/>
  <c r="I733" i="1"/>
  <c r="H733" i="1"/>
  <c r="J732" i="1"/>
  <c r="I732" i="1"/>
  <c r="H732" i="1"/>
  <c r="J731" i="1"/>
  <c r="I731" i="1"/>
  <c r="H731" i="1"/>
  <c r="J730" i="1"/>
  <c r="I730" i="1"/>
  <c r="H730" i="1"/>
  <c r="J729" i="1"/>
  <c r="I729" i="1"/>
  <c r="H729" i="1"/>
  <c r="J728" i="1"/>
  <c r="I728" i="1"/>
  <c r="H728" i="1"/>
  <c r="J727" i="1"/>
  <c r="I727" i="1"/>
  <c r="H727" i="1"/>
  <c r="J726" i="1"/>
  <c r="I726" i="1"/>
  <c r="H726" i="1"/>
  <c r="J725" i="1"/>
  <c r="I725" i="1"/>
  <c r="H725" i="1"/>
  <c r="J724" i="1"/>
  <c r="I724" i="1"/>
  <c r="H724" i="1"/>
  <c r="J723" i="1"/>
  <c r="I723" i="1"/>
  <c r="H723" i="1"/>
  <c r="J722" i="1"/>
  <c r="I722" i="1"/>
  <c r="H722" i="1"/>
  <c r="J721" i="1"/>
  <c r="I721" i="1"/>
  <c r="H721" i="1"/>
  <c r="J720" i="1"/>
  <c r="I720" i="1"/>
  <c r="H720" i="1"/>
  <c r="J719" i="1"/>
  <c r="I719" i="1"/>
  <c r="H719" i="1"/>
  <c r="J718" i="1"/>
  <c r="I718" i="1"/>
  <c r="H718" i="1"/>
  <c r="J717" i="1"/>
  <c r="I717" i="1"/>
  <c r="H717" i="1"/>
  <c r="J716" i="1"/>
  <c r="I716" i="1"/>
  <c r="H716" i="1"/>
  <c r="J715" i="1"/>
  <c r="I715" i="1"/>
  <c r="H715" i="1"/>
  <c r="J714" i="1"/>
  <c r="I714" i="1"/>
  <c r="H714" i="1"/>
  <c r="J713" i="1"/>
  <c r="I713" i="1"/>
  <c r="H713" i="1"/>
  <c r="J712" i="1"/>
  <c r="I712" i="1"/>
  <c r="H712" i="1"/>
  <c r="J711" i="1"/>
  <c r="I711" i="1"/>
  <c r="H711" i="1"/>
  <c r="J710" i="1"/>
  <c r="I710" i="1"/>
  <c r="H710" i="1"/>
  <c r="J709" i="1"/>
  <c r="I709" i="1"/>
  <c r="H709" i="1"/>
  <c r="J708" i="1"/>
  <c r="I708" i="1"/>
  <c r="H708" i="1"/>
  <c r="J707" i="1"/>
  <c r="I707" i="1"/>
  <c r="H707" i="1"/>
  <c r="J706" i="1"/>
  <c r="I706" i="1"/>
  <c r="H706" i="1"/>
  <c r="J705" i="1"/>
  <c r="I705" i="1"/>
  <c r="H705" i="1"/>
  <c r="J704" i="1"/>
  <c r="I704" i="1"/>
  <c r="H704" i="1"/>
  <c r="J703" i="1"/>
  <c r="I703" i="1"/>
  <c r="H703" i="1"/>
  <c r="J702" i="1"/>
  <c r="I702" i="1"/>
  <c r="H702" i="1"/>
  <c r="J701" i="1"/>
  <c r="I701" i="1"/>
  <c r="H701" i="1"/>
  <c r="J700" i="1"/>
  <c r="I700" i="1"/>
  <c r="H700" i="1"/>
  <c r="J699" i="1"/>
  <c r="I699" i="1"/>
  <c r="H699" i="1"/>
  <c r="J698" i="1"/>
  <c r="I698" i="1"/>
  <c r="H698" i="1"/>
  <c r="J697" i="1"/>
  <c r="I697" i="1"/>
  <c r="H697" i="1"/>
  <c r="J696" i="1"/>
  <c r="I696" i="1"/>
  <c r="H696" i="1"/>
  <c r="J695" i="1"/>
  <c r="I695" i="1"/>
  <c r="H695" i="1"/>
  <c r="J694" i="1"/>
  <c r="I694" i="1"/>
  <c r="H694" i="1"/>
  <c r="J693" i="1"/>
  <c r="I693" i="1"/>
  <c r="H693" i="1"/>
  <c r="J692" i="1"/>
  <c r="I692" i="1"/>
  <c r="H692" i="1"/>
  <c r="J691" i="1"/>
  <c r="I691" i="1"/>
  <c r="H691" i="1"/>
  <c r="J690" i="1"/>
  <c r="I690" i="1"/>
  <c r="H690" i="1"/>
  <c r="J689" i="1"/>
  <c r="I689" i="1"/>
  <c r="H689" i="1"/>
  <c r="J688" i="1"/>
  <c r="I688" i="1"/>
  <c r="H688" i="1"/>
  <c r="J687" i="1"/>
  <c r="I687" i="1"/>
  <c r="H687" i="1"/>
  <c r="J686" i="1"/>
  <c r="I686" i="1"/>
  <c r="H686" i="1"/>
  <c r="J685" i="1"/>
  <c r="I685" i="1"/>
  <c r="H685" i="1"/>
  <c r="J684" i="1"/>
  <c r="I684" i="1"/>
  <c r="H684" i="1"/>
  <c r="J683" i="1"/>
  <c r="I683" i="1"/>
  <c r="H683" i="1"/>
  <c r="J682" i="1"/>
  <c r="I682" i="1"/>
  <c r="H682" i="1"/>
  <c r="J681" i="1"/>
  <c r="I681" i="1"/>
  <c r="H681" i="1"/>
  <c r="J680" i="1"/>
  <c r="I680" i="1"/>
  <c r="H680" i="1"/>
  <c r="J679" i="1"/>
  <c r="I679" i="1"/>
  <c r="H679" i="1"/>
  <c r="J678" i="1"/>
  <c r="I678" i="1"/>
  <c r="H678" i="1"/>
  <c r="J677" i="1"/>
  <c r="I677" i="1"/>
  <c r="H677" i="1"/>
  <c r="J676" i="1"/>
  <c r="I676" i="1"/>
  <c r="H676" i="1"/>
  <c r="J675" i="1"/>
  <c r="I675" i="1"/>
  <c r="H675" i="1"/>
  <c r="J674" i="1"/>
  <c r="I674" i="1"/>
  <c r="H674" i="1"/>
  <c r="J673" i="1"/>
  <c r="I673" i="1"/>
  <c r="H673" i="1"/>
  <c r="J672" i="1"/>
  <c r="I672" i="1"/>
  <c r="H672" i="1"/>
  <c r="J671" i="1"/>
  <c r="I671" i="1"/>
  <c r="H671" i="1"/>
  <c r="J670" i="1"/>
  <c r="I670" i="1"/>
  <c r="H670" i="1"/>
  <c r="J669" i="1"/>
  <c r="I669" i="1"/>
  <c r="H669" i="1"/>
  <c r="J668" i="1"/>
  <c r="I668" i="1"/>
  <c r="H668" i="1"/>
  <c r="J667" i="1"/>
  <c r="I667" i="1"/>
  <c r="H667" i="1"/>
  <c r="J666" i="1"/>
  <c r="I666" i="1"/>
  <c r="H666" i="1"/>
  <c r="J665" i="1"/>
  <c r="I665" i="1"/>
  <c r="H665" i="1"/>
  <c r="J664" i="1"/>
  <c r="I664" i="1"/>
  <c r="H664" i="1"/>
  <c r="J663" i="1"/>
  <c r="I663" i="1"/>
  <c r="H663" i="1"/>
  <c r="J662" i="1"/>
  <c r="I662" i="1"/>
  <c r="H662" i="1"/>
  <c r="J661" i="1"/>
  <c r="I661" i="1"/>
  <c r="H661" i="1"/>
  <c r="J660" i="1"/>
  <c r="I660" i="1"/>
  <c r="H660" i="1"/>
  <c r="J659" i="1"/>
  <c r="I659" i="1"/>
  <c r="H659" i="1"/>
  <c r="J658" i="1"/>
  <c r="I658" i="1"/>
  <c r="H658" i="1"/>
  <c r="J657" i="1"/>
  <c r="I657" i="1"/>
  <c r="H657" i="1"/>
  <c r="J656" i="1"/>
  <c r="I656" i="1"/>
  <c r="H656" i="1"/>
  <c r="J655" i="1"/>
  <c r="I655" i="1"/>
  <c r="H655" i="1"/>
  <c r="J654" i="1"/>
  <c r="I654" i="1"/>
  <c r="H654" i="1"/>
  <c r="J653" i="1"/>
  <c r="I653" i="1"/>
  <c r="H653" i="1"/>
  <c r="J652" i="1"/>
  <c r="I652" i="1"/>
  <c r="H652" i="1"/>
  <c r="J651" i="1"/>
  <c r="I651" i="1"/>
  <c r="H651" i="1"/>
  <c r="J650" i="1"/>
  <c r="I650" i="1"/>
  <c r="H650" i="1"/>
  <c r="J649" i="1"/>
  <c r="I649" i="1"/>
  <c r="H649" i="1"/>
  <c r="J648" i="1"/>
  <c r="I648" i="1"/>
  <c r="H648" i="1"/>
  <c r="J647" i="1"/>
  <c r="I647" i="1"/>
  <c r="H647" i="1"/>
  <c r="J646" i="1"/>
  <c r="I646" i="1"/>
  <c r="H646" i="1"/>
  <c r="J645" i="1"/>
  <c r="I645" i="1"/>
  <c r="H645" i="1"/>
  <c r="J644" i="1"/>
  <c r="I644" i="1"/>
  <c r="H644" i="1"/>
  <c r="J643" i="1"/>
  <c r="I643" i="1"/>
  <c r="H643" i="1"/>
  <c r="J642" i="1"/>
  <c r="I642" i="1"/>
  <c r="H642" i="1"/>
  <c r="J641" i="1"/>
  <c r="I641" i="1"/>
  <c r="H641" i="1"/>
  <c r="J640" i="1"/>
  <c r="I640" i="1"/>
  <c r="H640" i="1"/>
  <c r="J639" i="1"/>
  <c r="I639" i="1"/>
  <c r="H639" i="1"/>
  <c r="J638" i="1"/>
  <c r="I638" i="1"/>
  <c r="H638" i="1"/>
  <c r="J637" i="1"/>
  <c r="I637" i="1"/>
  <c r="H637" i="1"/>
  <c r="J636" i="1"/>
  <c r="I636" i="1"/>
  <c r="H636" i="1"/>
  <c r="J635" i="1"/>
  <c r="I635" i="1"/>
  <c r="H635" i="1"/>
  <c r="J634" i="1"/>
  <c r="I634" i="1"/>
  <c r="H634" i="1"/>
  <c r="J633" i="1"/>
  <c r="I633" i="1"/>
  <c r="H633" i="1"/>
  <c r="J632" i="1"/>
  <c r="I632" i="1"/>
  <c r="H632" i="1"/>
  <c r="J631" i="1"/>
  <c r="I631" i="1"/>
  <c r="H631" i="1"/>
  <c r="J630" i="1"/>
  <c r="I630" i="1"/>
  <c r="H630" i="1"/>
  <c r="J629" i="1"/>
  <c r="I629" i="1"/>
  <c r="H629" i="1"/>
  <c r="J628" i="1"/>
  <c r="I628" i="1"/>
  <c r="H628" i="1"/>
  <c r="J627" i="1"/>
  <c r="I627" i="1"/>
  <c r="H627" i="1"/>
  <c r="J626" i="1"/>
  <c r="I626" i="1"/>
  <c r="H626" i="1"/>
  <c r="J625" i="1"/>
  <c r="I625" i="1"/>
  <c r="H625" i="1"/>
  <c r="J624" i="1"/>
  <c r="I624" i="1"/>
  <c r="H624" i="1"/>
  <c r="J623" i="1"/>
  <c r="I623" i="1"/>
  <c r="H623" i="1"/>
  <c r="J622" i="1"/>
  <c r="I622" i="1"/>
  <c r="H622" i="1"/>
  <c r="J621" i="1"/>
  <c r="I621" i="1"/>
  <c r="H621" i="1"/>
  <c r="J620" i="1"/>
  <c r="I620" i="1"/>
  <c r="H620" i="1"/>
  <c r="J619" i="1"/>
  <c r="I619" i="1"/>
  <c r="H619" i="1"/>
  <c r="J618" i="1"/>
  <c r="I618" i="1"/>
  <c r="H618" i="1"/>
  <c r="J617" i="1"/>
  <c r="I617" i="1"/>
  <c r="H617" i="1"/>
  <c r="J616" i="1"/>
  <c r="I616" i="1"/>
  <c r="H616" i="1"/>
  <c r="J615" i="1"/>
  <c r="I615" i="1"/>
  <c r="H615" i="1"/>
  <c r="J614" i="1"/>
  <c r="I614" i="1"/>
  <c r="H614" i="1"/>
  <c r="J613" i="1"/>
  <c r="I613" i="1"/>
  <c r="H613" i="1"/>
  <c r="J612" i="1"/>
  <c r="I612" i="1"/>
  <c r="H612" i="1"/>
  <c r="J611" i="1"/>
  <c r="I611" i="1"/>
  <c r="H611" i="1"/>
  <c r="J610" i="1"/>
  <c r="I610" i="1"/>
  <c r="H610" i="1"/>
  <c r="J609" i="1"/>
  <c r="I609" i="1"/>
  <c r="H609" i="1"/>
  <c r="J608" i="1"/>
  <c r="I608" i="1"/>
  <c r="H608" i="1"/>
  <c r="J607" i="1"/>
  <c r="I607" i="1"/>
  <c r="H607" i="1"/>
  <c r="J606" i="1"/>
  <c r="I606" i="1"/>
  <c r="H606" i="1"/>
  <c r="J605" i="1"/>
  <c r="I605" i="1"/>
  <c r="H605" i="1"/>
  <c r="J604" i="1"/>
  <c r="I604" i="1"/>
  <c r="H604" i="1"/>
  <c r="J603" i="1"/>
  <c r="I603" i="1"/>
  <c r="H603" i="1"/>
  <c r="J602" i="1"/>
  <c r="I602" i="1"/>
  <c r="H602" i="1"/>
  <c r="J601" i="1"/>
  <c r="I601" i="1"/>
  <c r="H601" i="1"/>
  <c r="J600" i="1"/>
  <c r="I600" i="1"/>
  <c r="H600" i="1"/>
  <c r="J599" i="1"/>
  <c r="I599" i="1"/>
  <c r="H599" i="1"/>
  <c r="J598" i="1"/>
  <c r="I598" i="1"/>
  <c r="H598" i="1"/>
  <c r="J597" i="1"/>
  <c r="I597" i="1"/>
  <c r="H597" i="1"/>
  <c r="J596" i="1"/>
  <c r="I596" i="1"/>
  <c r="H596" i="1"/>
  <c r="J595" i="1"/>
  <c r="I595" i="1"/>
  <c r="H595" i="1"/>
  <c r="J594" i="1"/>
  <c r="I594" i="1"/>
  <c r="H594" i="1"/>
  <c r="J593" i="1"/>
  <c r="I593" i="1"/>
  <c r="H593" i="1"/>
  <c r="J592" i="1"/>
  <c r="I592" i="1"/>
  <c r="H592" i="1"/>
  <c r="J591" i="1"/>
  <c r="I591" i="1"/>
  <c r="H591" i="1"/>
  <c r="J590" i="1"/>
  <c r="I590" i="1"/>
  <c r="H590" i="1"/>
  <c r="J589" i="1"/>
  <c r="I589" i="1"/>
  <c r="H589" i="1"/>
  <c r="J588" i="1"/>
  <c r="I588" i="1"/>
  <c r="H588" i="1"/>
  <c r="J587" i="1"/>
  <c r="I587" i="1"/>
  <c r="H587" i="1"/>
  <c r="J586" i="1"/>
  <c r="I586" i="1"/>
  <c r="H586" i="1"/>
  <c r="J585" i="1"/>
  <c r="I585" i="1"/>
  <c r="H585" i="1"/>
  <c r="J584" i="1"/>
  <c r="I584" i="1"/>
  <c r="H584" i="1"/>
  <c r="J583" i="1"/>
  <c r="I583" i="1"/>
  <c r="H583" i="1"/>
  <c r="J582" i="1"/>
  <c r="I582" i="1"/>
  <c r="H582" i="1"/>
  <c r="J581" i="1"/>
  <c r="I581" i="1"/>
  <c r="H581" i="1"/>
  <c r="J580" i="1"/>
  <c r="I580" i="1"/>
  <c r="H580" i="1"/>
  <c r="J579" i="1"/>
  <c r="I579" i="1"/>
  <c r="H579" i="1"/>
  <c r="J578" i="1"/>
  <c r="I578" i="1"/>
  <c r="H578" i="1"/>
  <c r="J577" i="1"/>
  <c r="I577" i="1"/>
  <c r="H577" i="1"/>
  <c r="J576" i="1"/>
  <c r="I576" i="1"/>
  <c r="H576" i="1"/>
  <c r="J575" i="1"/>
  <c r="I575" i="1"/>
  <c r="H575" i="1"/>
  <c r="J574" i="1"/>
  <c r="I574" i="1"/>
  <c r="H574" i="1"/>
  <c r="J573" i="1"/>
  <c r="I573" i="1"/>
  <c r="H573" i="1"/>
  <c r="J572" i="1"/>
  <c r="I572" i="1"/>
  <c r="H572" i="1"/>
  <c r="J571" i="1"/>
  <c r="I571" i="1"/>
  <c r="H571" i="1"/>
  <c r="J570" i="1"/>
  <c r="I570" i="1"/>
  <c r="H570" i="1"/>
  <c r="J569" i="1"/>
  <c r="I569" i="1"/>
  <c r="H569" i="1"/>
  <c r="J568" i="1"/>
  <c r="I568" i="1"/>
  <c r="H568" i="1"/>
  <c r="J567" i="1"/>
  <c r="I567" i="1"/>
  <c r="H567" i="1"/>
  <c r="J566" i="1"/>
  <c r="I566" i="1"/>
  <c r="H566" i="1"/>
  <c r="J565" i="1"/>
  <c r="I565" i="1"/>
  <c r="H565" i="1"/>
  <c r="J564" i="1"/>
  <c r="I564" i="1"/>
  <c r="H564" i="1"/>
  <c r="J563" i="1"/>
  <c r="I563" i="1"/>
  <c r="H563" i="1"/>
  <c r="J562" i="1"/>
  <c r="I562" i="1"/>
  <c r="H562" i="1"/>
  <c r="J561" i="1"/>
  <c r="I561" i="1"/>
  <c r="H561" i="1"/>
  <c r="J560" i="1"/>
  <c r="I560" i="1"/>
  <c r="H560" i="1"/>
  <c r="J559" i="1"/>
  <c r="I559" i="1"/>
  <c r="H559" i="1"/>
  <c r="J558" i="1"/>
  <c r="I558" i="1"/>
  <c r="H558" i="1"/>
  <c r="J557" i="1"/>
  <c r="I557" i="1"/>
  <c r="H557" i="1"/>
  <c r="J556" i="1"/>
  <c r="I556" i="1"/>
  <c r="H556" i="1"/>
  <c r="J555" i="1"/>
  <c r="I555" i="1"/>
  <c r="H555" i="1"/>
  <c r="J554" i="1"/>
  <c r="I554" i="1"/>
  <c r="H554" i="1"/>
  <c r="J553" i="1"/>
  <c r="I553" i="1"/>
  <c r="H553" i="1"/>
  <c r="J552" i="1"/>
  <c r="I552" i="1"/>
  <c r="H552" i="1"/>
  <c r="J551" i="1"/>
  <c r="I551" i="1"/>
  <c r="H551" i="1"/>
  <c r="J550" i="1"/>
  <c r="I550" i="1"/>
  <c r="H550" i="1"/>
  <c r="J549" i="1"/>
  <c r="I549" i="1"/>
  <c r="H549" i="1"/>
  <c r="J548" i="1"/>
  <c r="I548" i="1"/>
  <c r="H548" i="1"/>
  <c r="J547" i="1"/>
  <c r="I547" i="1"/>
  <c r="H547" i="1"/>
  <c r="J546" i="1"/>
  <c r="I546" i="1"/>
  <c r="H546" i="1"/>
  <c r="J545" i="1"/>
  <c r="I545" i="1"/>
  <c r="H545" i="1"/>
  <c r="J544" i="1"/>
  <c r="I544" i="1"/>
  <c r="H544" i="1"/>
  <c r="J543" i="1"/>
  <c r="I543" i="1"/>
  <c r="H543" i="1"/>
  <c r="J542" i="1"/>
  <c r="I542" i="1"/>
  <c r="H542" i="1"/>
  <c r="J541" i="1"/>
  <c r="I541" i="1"/>
  <c r="H541" i="1"/>
  <c r="J540" i="1"/>
  <c r="I540" i="1"/>
  <c r="H540" i="1"/>
  <c r="J539" i="1"/>
  <c r="I539" i="1"/>
  <c r="H539" i="1"/>
  <c r="J538" i="1"/>
  <c r="I538" i="1"/>
  <c r="H538" i="1"/>
  <c r="J537" i="1"/>
  <c r="I537" i="1"/>
  <c r="H537" i="1"/>
  <c r="J536" i="1"/>
  <c r="I536" i="1"/>
  <c r="H536" i="1"/>
  <c r="J535" i="1"/>
  <c r="I535" i="1"/>
  <c r="H535" i="1"/>
  <c r="J534" i="1"/>
  <c r="I534" i="1"/>
  <c r="H534" i="1"/>
  <c r="J533" i="1"/>
  <c r="I533" i="1"/>
  <c r="H533" i="1"/>
  <c r="J532" i="1"/>
  <c r="I532" i="1"/>
  <c r="H532" i="1"/>
  <c r="J531" i="1"/>
  <c r="I531" i="1"/>
  <c r="H531" i="1"/>
  <c r="J530" i="1"/>
  <c r="I530" i="1"/>
  <c r="H530" i="1"/>
  <c r="J529" i="1"/>
  <c r="I529" i="1"/>
  <c r="H529" i="1"/>
  <c r="J528" i="1"/>
  <c r="I528" i="1"/>
  <c r="H528" i="1"/>
  <c r="J527" i="1"/>
  <c r="I527" i="1"/>
  <c r="H527" i="1"/>
  <c r="J526" i="1"/>
  <c r="I526" i="1"/>
  <c r="H526" i="1"/>
  <c r="J525" i="1"/>
  <c r="I525" i="1"/>
  <c r="H525" i="1"/>
  <c r="J524" i="1"/>
  <c r="I524" i="1"/>
  <c r="H524" i="1"/>
  <c r="J523" i="1"/>
  <c r="I523" i="1"/>
  <c r="H523" i="1"/>
  <c r="J522" i="1"/>
  <c r="I522" i="1"/>
  <c r="H522" i="1"/>
  <c r="J521" i="1"/>
  <c r="I521" i="1"/>
  <c r="H521" i="1"/>
  <c r="J520" i="1"/>
  <c r="I520" i="1"/>
  <c r="H520" i="1"/>
  <c r="J519" i="1"/>
  <c r="I519" i="1"/>
  <c r="H519" i="1"/>
  <c r="J518" i="1"/>
  <c r="I518" i="1"/>
  <c r="H518" i="1"/>
  <c r="J517" i="1"/>
  <c r="I517" i="1"/>
  <c r="H517" i="1"/>
  <c r="J516" i="1"/>
  <c r="I516" i="1"/>
  <c r="H516" i="1"/>
  <c r="J515" i="1"/>
  <c r="I515" i="1"/>
  <c r="H515" i="1"/>
  <c r="J514" i="1"/>
  <c r="I514" i="1"/>
  <c r="H514" i="1"/>
  <c r="J513" i="1"/>
  <c r="I513" i="1"/>
  <c r="H513" i="1"/>
  <c r="J512" i="1"/>
  <c r="I512" i="1"/>
  <c r="H512" i="1"/>
  <c r="J511" i="1"/>
  <c r="I511" i="1"/>
  <c r="H511" i="1"/>
  <c r="J510" i="1"/>
  <c r="I510" i="1"/>
  <c r="H510" i="1"/>
  <c r="J509" i="1"/>
  <c r="I509" i="1"/>
  <c r="H509" i="1"/>
  <c r="J508" i="1"/>
  <c r="I508" i="1"/>
  <c r="H508" i="1"/>
  <c r="J507" i="1"/>
  <c r="I507" i="1"/>
  <c r="H507" i="1"/>
  <c r="J506" i="1"/>
  <c r="I506" i="1"/>
  <c r="H506" i="1"/>
  <c r="J505" i="1"/>
  <c r="I505" i="1"/>
  <c r="H505" i="1"/>
  <c r="J504" i="1"/>
  <c r="I504" i="1"/>
  <c r="H504" i="1"/>
  <c r="J503" i="1"/>
  <c r="I503" i="1"/>
  <c r="H503" i="1"/>
  <c r="J502" i="1"/>
  <c r="I502" i="1"/>
  <c r="H502" i="1"/>
  <c r="J501" i="1"/>
  <c r="I501" i="1"/>
  <c r="H501" i="1"/>
  <c r="J500" i="1"/>
  <c r="I500" i="1"/>
  <c r="H500" i="1"/>
  <c r="J499" i="1"/>
  <c r="I499" i="1"/>
  <c r="H499" i="1"/>
  <c r="J498" i="1"/>
  <c r="I498" i="1"/>
  <c r="H498" i="1"/>
  <c r="J497" i="1"/>
  <c r="I497" i="1"/>
  <c r="H497" i="1"/>
  <c r="J496" i="1"/>
  <c r="I496" i="1"/>
  <c r="H496" i="1"/>
  <c r="J495" i="1"/>
  <c r="I495" i="1"/>
  <c r="H495" i="1"/>
  <c r="J494" i="1"/>
  <c r="I494" i="1"/>
  <c r="H494" i="1"/>
  <c r="J493" i="1"/>
  <c r="I493" i="1"/>
  <c r="H493" i="1"/>
  <c r="J492" i="1"/>
  <c r="I492" i="1"/>
  <c r="H492" i="1"/>
  <c r="J491" i="1"/>
  <c r="I491" i="1"/>
  <c r="H491" i="1"/>
  <c r="J490" i="1"/>
  <c r="I490" i="1"/>
  <c r="H490" i="1"/>
  <c r="J489" i="1"/>
  <c r="I489" i="1"/>
  <c r="H489" i="1"/>
  <c r="J488" i="1"/>
  <c r="I488" i="1"/>
  <c r="H488" i="1"/>
  <c r="J487" i="1"/>
  <c r="I487" i="1"/>
  <c r="H487" i="1"/>
  <c r="J486" i="1"/>
  <c r="I486" i="1"/>
  <c r="H486" i="1"/>
  <c r="J485" i="1"/>
  <c r="I485" i="1"/>
  <c r="H485" i="1"/>
  <c r="J484" i="1"/>
  <c r="I484" i="1"/>
  <c r="H484" i="1"/>
  <c r="J483" i="1"/>
  <c r="I483" i="1"/>
  <c r="H483" i="1"/>
  <c r="J482" i="1"/>
  <c r="I482" i="1"/>
  <c r="H482" i="1"/>
  <c r="J481" i="1"/>
  <c r="I481" i="1"/>
  <c r="H481" i="1"/>
  <c r="J480" i="1"/>
  <c r="I480" i="1"/>
  <c r="H480" i="1"/>
  <c r="J479" i="1"/>
  <c r="I479" i="1"/>
  <c r="H479" i="1"/>
  <c r="J478" i="1"/>
  <c r="I478" i="1"/>
  <c r="H478" i="1"/>
  <c r="J477" i="1"/>
  <c r="I477" i="1"/>
  <c r="H477" i="1"/>
  <c r="J476" i="1"/>
  <c r="I476" i="1"/>
  <c r="H476" i="1"/>
  <c r="J475" i="1"/>
  <c r="I475" i="1"/>
  <c r="H475" i="1"/>
  <c r="J474" i="1"/>
  <c r="I474" i="1"/>
  <c r="H474" i="1"/>
  <c r="J473" i="1"/>
  <c r="I473" i="1"/>
  <c r="H473" i="1"/>
  <c r="J472" i="1"/>
  <c r="I472" i="1"/>
  <c r="H472" i="1"/>
  <c r="J471" i="1"/>
  <c r="I471" i="1"/>
  <c r="H471" i="1"/>
  <c r="J470" i="1"/>
  <c r="I470" i="1"/>
  <c r="H470" i="1"/>
  <c r="J469" i="1"/>
  <c r="I469" i="1"/>
  <c r="H469" i="1"/>
  <c r="J468" i="1"/>
  <c r="I468" i="1"/>
  <c r="H468" i="1"/>
  <c r="J467" i="1"/>
  <c r="I467" i="1"/>
  <c r="H467" i="1"/>
  <c r="J466" i="1"/>
  <c r="I466" i="1"/>
  <c r="H466" i="1"/>
  <c r="J465" i="1"/>
  <c r="I465" i="1"/>
  <c r="H465" i="1"/>
  <c r="J464" i="1"/>
  <c r="I464" i="1"/>
  <c r="H464" i="1"/>
  <c r="J463" i="1"/>
  <c r="I463" i="1"/>
  <c r="H463" i="1"/>
  <c r="J462" i="1"/>
  <c r="I462" i="1"/>
  <c r="H462" i="1"/>
  <c r="J461" i="1"/>
  <c r="I461" i="1"/>
  <c r="H461" i="1"/>
  <c r="J460" i="1"/>
  <c r="I460" i="1"/>
  <c r="H460" i="1"/>
  <c r="J459" i="1"/>
  <c r="I459" i="1"/>
  <c r="H459" i="1"/>
  <c r="J458" i="1"/>
  <c r="I458" i="1"/>
  <c r="H458" i="1"/>
  <c r="J457" i="1"/>
  <c r="I457" i="1"/>
  <c r="H457" i="1"/>
  <c r="J456" i="1"/>
  <c r="I456" i="1"/>
  <c r="H456" i="1"/>
  <c r="J455" i="1"/>
  <c r="I455" i="1"/>
  <c r="H455" i="1"/>
  <c r="J454" i="1"/>
  <c r="I454" i="1"/>
  <c r="H454" i="1"/>
  <c r="J453" i="1"/>
  <c r="I453" i="1"/>
  <c r="H453" i="1"/>
  <c r="J452" i="1"/>
  <c r="I452" i="1"/>
  <c r="H452" i="1"/>
  <c r="J451" i="1"/>
  <c r="I451" i="1"/>
  <c r="H451" i="1"/>
  <c r="J450" i="1"/>
  <c r="I450" i="1"/>
  <c r="H450" i="1"/>
  <c r="J449" i="1"/>
  <c r="I449" i="1"/>
  <c r="H449" i="1"/>
  <c r="J448" i="1"/>
  <c r="I448" i="1"/>
  <c r="H448" i="1"/>
  <c r="J447" i="1"/>
  <c r="I447" i="1"/>
  <c r="H447" i="1"/>
  <c r="J446" i="1"/>
  <c r="I446" i="1"/>
  <c r="H446" i="1"/>
  <c r="J445" i="1"/>
  <c r="I445" i="1"/>
  <c r="H445" i="1"/>
  <c r="J444" i="1"/>
  <c r="I444" i="1"/>
  <c r="H444" i="1"/>
  <c r="J443" i="1"/>
  <c r="I443" i="1"/>
  <c r="H443" i="1"/>
  <c r="J442" i="1"/>
  <c r="I442" i="1"/>
  <c r="H442" i="1"/>
  <c r="J441" i="1"/>
  <c r="I441" i="1"/>
  <c r="H441" i="1"/>
  <c r="J440" i="1"/>
  <c r="I440" i="1"/>
  <c r="H440" i="1"/>
  <c r="J439" i="1"/>
  <c r="I439" i="1"/>
  <c r="H439" i="1"/>
  <c r="J438" i="1"/>
  <c r="I438" i="1"/>
  <c r="H438" i="1"/>
  <c r="J437" i="1"/>
  <c r="I437" i="1"/>
  <c r="H437" i="1"/>
  <c r="J436" i="1"/>
  <c r="I436" i="1"/>
  <c r="H436" i="1"/>
  <c r="J435" i="1"/>
  <c r="I435" i="1"/>
  <c r="H435" i="1"/>
  <c r="J434" i="1"/>
  <c r="I434" i="1"/>
  <c r="H434" i="1"/>
  <c r="J433" i="1"/>
  <c r="I433" i="1"/>
  <c r="H433" i="1"/>
  <c r="J432" i="1"/>
  <c r="I432" i="1"/>
  <c r="H432" i="1"/>
  <c r="J431" i="1"/>
  <c r="I431" i="1"/>
  <c r="H431" i="1"/>
  <c r="J430" i="1"/>
  <c r="I430" i="1"/>
  <c r="H430" i="1"/>
  <c r="J429" i="1"/>
  <c r="I429" i="1"/>
  <c r="H429" i="1"/>
  <c r="J428" i="1"/>
  <c r="I428" i="1"/>
  <c r="H428" i="1"/>
  <c r="J427" i="1"/>
  <c r="I427" i="1"/>
  <c r="H427" i="1"/>
  <c r="J426" i="1"/>
  <c r="I426" i="1"/>
  <c r="H426" i="1"/>
  <c r="J425" i="1"/>
  <c r="I425" i="1"/>
  <c r="H425" i="1"/>
  <c r="J424" i="1"/>
  <c r="I424" i="1"/>
  <c r="H424" i="1"/>
  <c r="J423" i="1"/>
  <c r="I423" i="1"/>
  <c r="H423" i="1"/>
  <c r="J422" i="1"/>
  <c r="I422" i="1"/>
  <c r="H422" i="1"/>
  <c r="J421" i="1"/>
  <c r="I421" i="1"/>
  <c r="H421" i="1"/>
  <c r="J420" i="1"/>
  <c r="I420" i="1"/>
  <c r="H420" i="1"/>
  <c r="J419" i="1"/>
  <c r="I419" i="1"/>
  <c r="H419" i="1"/>
  <c r="J418" i="1"/>
  <c r="I418" i="1"/>
  <c r="H418" i="1"/>
  <c r="J417" i="1"/>
  <c r="I417" i="1"/>
  <c r="H417" i="1"/>
  <c r="J416" i="1"/>
  <c r="I416" i="1"/>
  <c r="H416" i="1"/>
  <c r="J415" i="1"/>
  <c r="I415" i="1"/>
  <c r="H415" i="1"/>
  <c r="J414" i="1"/>
  <c r="I414" i="1"/>
  <c r="H414" i="1"/>
  <c r="J413" i="1"/>
  <c r="I413" i="1"/>
  <c r="H413" i="1"/>
  <c r="J412" i="1"/>
  <c r="I412" i="1"/>
  <c r="H412" i="1"/>
  <c r="J411" i="1"/>
  <c r="I411" i="1"/>
  <c r="H411" i="1"/>
  <c r="J410" i="1"/>
  <c r="I410" i="1"/>
  <c r="H410" i="1"/>
  <c r="J409" i="1"/>
  <c r="I409" i="1"/>
  <c r="H409" i="1"/>
  <c r="J408" i="1"/>
  <c r="I408" i="1"/>
  <c r="H408" i="1"/>
  <c r="J407" i="1"/>
  <c r="I407" i="1"/>
  <c r="H407" i="1"/>
  <c r="J406" i="1"/>
  <c r="I406" i="1"/>
  <c r="H406" i="1"/>
  <c r="J405" i="1"/>
  <c r="I405" i="1"/>
  <c r="H405" i="1"/>
  <c r="J404" i="1"/>
  <c r="I404" i="1"/>
  <c r="H404" i="1"/>
  <c r="J403" i="1"/>
  <c r="I403" i="1"/>
  <c r="H403" i="1"/>
  <c r="J402" i="1"/>
  <c r="I402" i="1"/>
  <c r="H402" i="1"/>
  <c r="J401" i="1"/>
  <c r="I401" i="1"/>
  <c r="H401" i="1"/>
  <c r="J400" i="1"/>
  <c r="I400" i="1"/>
  <c r="H400" i="1"/>
  <c r="J399" i="1"/>
  <c r="I399" i="1"/>
  <c r="H399" i="1"/>
  <c r="J398" i="1"/>
  <c r="I398" i="1"/>
  <c r="H398" i="1"/>
  <c r="J397" i="1"/>
  <c r="I397" i="1"/>
  <c r="H397" i="1"/>
  <c r="J396" i="1"/>
  <c r="I396" i="1"/>
  <c r="H396" i="1"/>
  <c r="J395" i="1"/>
  <c r="I395" i="1"/>
  <c r="H395" i="1"/>
  <c r="J394" i="1"/>
  <c r="I394" i="1"/>
  <c r="H394" i="1"/>
  <c r="J393" i="1"/>
  <c r="I393" i="1"/>
  <c r="H393" i="1"/>
  <c r="J392" i="1"/>
  <c r="I392" i="1"/>
  <c r="H392" i="1"/>
  <c r="J391" i="1"/>
  <c r="I391" i="1"/>
  <c r="H391" i="1"/>
  <c r="J390" i="1"/>
  <c r="I390" i="1"/>
  <c r="H390" i="1"/>
  <c r="J389" i="1"/>
  <c r="I389" i="1"/>
  <c r="H389" i="1"/>
  <c r="J388" i="1"/>
  <c r="I388" i="1"/>
  <c r="H388" i="1"/>
  <c r="J387" i="1"/>
  <c r="I387" i="1"/>
  <c r="H387" i="1"/>
  <c r="J386" i="1"/>
  <c r="I386" i="1"/>
  <c r="H386" i="1"/>
  <c r="J385" i="1"/>
  <c r="I385" i="1"/>
  <c r="H385" i="1"/>
  <c r="J384" i="1"/>
  <c r="I384" i="1"/>
  <c r="H384" i="1"/>
  <c r="J383" i="1"/>
  <c r="I383" i="1"/>
  <c r="H383" i="1"/>
  <c r="J382" i="1"/>
  <c r="I382" i="1"/>
  <c r="H382" i="1"/>
  <c r="J381" i="1"/>
  <c r="I381" i="1"/>
  <c r="H381" i="1"/>
  <c r="J380" i="1"/>
  <c r="I380" i="1"/>
  <c r="H380" i="1"/>
  <c r="J379" i="1"/>
  <c r="I379" i="1"/>
  <c r="H379" i="1"/>
  <c r="J378" i="1"/>
  <c r="I378" i="1"/>
  <c r="H378" i="1"/>
  <c r="J377" i="1"/>
  <c r="I377" i="1"/>
  <c r="H377" i="1"/>
  <c r="J376" i="1"/>
  <c r="I376" i="1"/>
  <c r="H376" i="1"/>
  <c r="J375" i="1"/>
  <c r="I375" i="1"/>
  <c r="H375" i="1"/>
  <c r="J374" i="1"/>
  <c r="I374" i="1"/>
  <c r="H374" i="1"/>
  <c r="J373" i="1"/>
  <c r="I373" i="1"/>
  <c r="H373" i="1"/>
  <c r="J372" i="1"/>
  <c r="I372" i="1"/>
  <c r="H372" i="1"/>
  <c r="J371" i="1"/>
  <c r="I371" i="1"/>
  <c r="H371" i="1"/>
  <c r="J370" i="1"/>
  <c r="I370" i="1"/>
  <c r="H370" i="1"/>
  <c r="J369" i="1"/>
  <c r="I369" i="1"/>
  <c r="H369" i="1"/>
  <c r="J368" i="1"/>
  <c r="I368" i="1"/>
  <c r="H368" i="1"/>
  <c r="J367" i="1"/>
  <c r="I367" i="1"/>
  <c r="H367" i="1"/>
  <c r="J366" i="1"/>
  <c r="I366" i="1"/>
  <c r="H366" i="1"/>
  <c r="J365" i="1"/>
  <c r="I365" i="1"/>
  <c r="H365" i="1"/>
  <c r="J364" i="1"/>
  <c r="I364" i="1"/>
  <c r="H364" i="1"/>
  <c r="J363" i="1"/>
  <c r="I363" i="1"/>
  <c r="H363" i="1"/>
  <c r="J362" i="1"/>
  <c r="I362" i="1"/>
  <c r="H362" i="1"/>
  <c r="J361" i="1"/>
  <c r="I361" i="1"/>
  <c r="H361" i="1"/>
  <c r="J360" i="1"/>
  <c r="I360" i="1"/>
  <c r="H360" i="1"/>
  <c r="J359" i="1"/>
  <c r="I359" i="1"/>
  <c r="H359" i="1"/>
  <c r="J358" i="1"/>
  <c r="I358" i="1"/>
  <c r="H358" i="1"/>
  <c r="J357" i="1"/>
  <c r="I357" i="1"/>
  <c r="H357" i="1"/>
  <c r="J356" i="1"/>
  <c r="I356" i="1"/>
  <c r="H356" i="1"/>
  <c r="J355" i="1"/>
  <c r="I355" i="1"/>
  <c r="H355" i="1"/>
  <c r="J354" i="1"/>
  <c r="I354" i="1"/>
  <c r="H354" i="1"/>
  <c r="J353" i="1"/>
  <c r="I353" i="1"/>
  <c r="H353" i="1"/>
  <c r="J352" i="1"/>
  <c r="I352" i="1"/>
  <c r="H352" i="1"/>
  <c r="J351" i="1"/>
  <c r="I351" i="1"/>
  <c r="H351" i="1"/>
  <c r="J350" i="1"/>
  <c r="I350" i="1"/>
  <c r="H350" i="1"/>
  <c r="J349" i="1"/>
  <c r="I349" i="1"/>
  <c r="H349" i="1"/>
  <c r="J348" i="1"/>
  <c r="I348" i="1"/>
  <c r="H348" i="1"/>
  <c r="J347" i="1"/>
  <c r="I347" i="1"/>
  <c r="H347" i="1"/>
  <c r="J346" i="1"/>
  <c r="I346" i="1"/>
  <c r="H346" i="1"/>
  <c r="J345" i="1"/>
  <c r="I345" i="1"/>
  <c r="H345" i="1"/>
  <c r="J344" i="1"/>
  <c r="I344" i="1"/>
  <c r="H344" i="1"/>
  <c r="J343" i="1"/>
  <c r="I343" i="1"/>
  <c r="H343" i="1"/>
  <c r="J342" i="1"/>
  <c r="I342" i="1"/>
  <c r="H342" i="1"/>
  <c r="J341" i="1"/>
  <c r="I341" i="1"/>
  <c r="H341" i="1"/>
  <c r="J340" i="1"/>
  <c r="I340" i="1"/>
  <c r="H340" i="1"/>
  <c r="J339" i="1"/>
  <c r="I339" i="1"/>
  <c r="H339" i="1"/>
  <c r="J338" i="1"/>
  <c r="I338" i="1"/>
  <c r="H338" i="1"/>
  <c r="J337" i="1"/>
  <c r="I337" i="1"/>
  <c r="H337" i="1"/>
  <c r="J336" i="1"/>
  <c r="I336" i="1"/>
  <c r="H336" i="1"/>
  <c r="J335" i="1"/>
  <c r="I335" i="1"/>
  <c r="H335" i="1"/>
  <c r="J334" i="1"/>
  <c r="I334" i="1"/>
  <c r="H334" i="1"/>
  <c r="J333" i="1"/>
  <c r="I333" i="1"/>
  <c r="H333" i="1"/>
  <c r="J332" i="1"/>
  <c r="I332" i="1"/>
  <c r="H332" i="1"/>
  <c r="J331" i="1"/>
  <c r="I331" i="1"/>
  <c r="H331" i="1"/>
  <c r="J330" i="1"/>
  <c r="I330" i="1"/>
  <c r="H330" i="1"/>
  <c r="J329" i="1"/>
  <c r="I329" i="1"/>
  <c r="H329" i="1"/>
  <c r="J328" i="1"/>
  <c r="I328" i="1"/>
  <c r="H328" i="1"/>
  <c r="J327" i="1"/>
  <c r="I327" i="1"/>
  <c r="H327" i="1"/>
  <c r="J326" i="1"/>
  <c r="I326" i="1"/>
  <c r="H326" i="1"/>
  <c r="J325" i="1"/>
  <c r="I325" i="1"/>
  <c r="H325" i="1"/>
  <c r="J324" i="1"/>
  <c r="I324" i="1"/>
  <c r="H324" i="1"/>
  <c r="J323" i="1"/>
  <c r="I323" i="1"/>
  <c r="H323" i="1"/>
  <c r="J322" i="1"/>
  <c r="I322" i="1"/>
  <c r="H322" i="1"/>
  <c r="J321" i="1"/>
  <c r="I321" i="1"/>
  <c r="H321" i="1"/>
  <c r="J320" i="1"/>
  <c r="I320" i="1"/>
  <c r="H320" i="1"/>
  <c r="J319" i="1"/>
  <c r="I319" i="1"/>
  <c r="H319" i="1"/>
  <c r="J318" i="1"/>
  <c r="I318" i="1"/>
  <c r="H318" i="1"/>
  <c r="J317" i="1"/>
  <c r="I317" i="1"/>
  <c r="H317" i="1"/>
  <c r="J316" i="1"/>
  <c r="I316" i="1"/>
  <c r="H316" i="1"/>
  <c r="J315" i="1"/>
  <c r="I315" i="1"/>
  <c r="H315" i="1"/>
  <c r="J314" i="1"/>
  <c r="I314" i="1"/>
  <c r="H314" i="1"/>
  <c r="J313" i="1"/>
  <c r="I313" i="1"/>
  <c r="H313" i="1"/>
  <c r="J312" i="1"/>
  <c r="I312" i="1"/>
  <c r="H312" i="1"/>
  <c r="J311" i="1"/>
  <c r="I311" i="1"/>
  <c r="H311" i="1"/>
  <c r="J310" i="1"/>
  <c r="I310" i="1"/>
  <c r="H310" i="1"/>
  <c r="J309" i="1"/>
  <c r="I309" i="1"/>
  <c r="H309" i="1"/>
  <c r="J308" i="1"/>
  <c r="I308" i="1"/>
  <c r="H308" i="1"/>
  <c r="J307" i="1"/>
  <c r="I307" i="1"/>
  <c r="H307" i="1"/>
  <c r="J306" i="1"/>
  <c r="I306" i="1"/>
  <c r="H306" i="1"/>
  <c r="J305" i="1"/>
  <c r="I305" i="1"/>
  <c r="H305" i="1"/>
  <c r="J304" i="1"/>
  <c r="I304" i="1"/>
  <c r="H304" i="1"/>
  <c r="J303" i="1"/>
  <c r="I303" i="1"/>
  <c r="H303" i="1"/>
  <c r="J302" i="1"/>
  <c r="I302" i="1"/>
  <c r="H302" i="1"/>
  <c r="J301" i="1"/>
  <c r="I301" i="1"/>
  <c r="H301" i="1"/>
  <c r="J300" i="1"/>
  <c r="I300" i="1"/>
  <c r="H300" i="1"/>
  <c r="J299" i="1"/>
  <c r="I299" i="1"/>
  <c r="H299" i="1"/>
  <c r="J298" i="1"/>
  <c r="I298" i="1"/>
  <c r="H298" i="1"/>
  <c r="J297" i="1"/>
  <c r="I297" i="1"/>
  <c r="H297" i="1"/>
  <c r="J296" i="1"/>
  <c r="I296" i="1"/>
  <c r="H296" i="1"/>
  <c r="J295" i="1"/>
  <c r="I295" i="1"/>
  <c r="H295" i="1"/>
  <c r="J294" i="1"/>
  <c r="I294" i="1"/>
  <c r="H294" i="1"/>
  <c r="J293" i="1"/>
  <c r="I293" i="1"/>
  <c r="H293" i="1"/>
  <c r="J292" i="1"/>
  <c r="I292" i="1"/>
  <c r="H292" i="1"/>
  <c r="J291" i="1"/>
  <c r="I291" i="1"/>
  <c r="H291" i="1"/>
  <c r="J290" i="1"/>
  <c r="I290" i="1"/>
  <c r="H290" i="1"/>
  <c r="J289" i="1"/>
  <c r="I289" i="1"/>
  <c r="H289" i="1"/>
  <c r="J288" i="1"/>
  <c r="I288" i="1"/>
  <c r="H288" i="1"/>
  <c r="J287" i="1"/>
  <c r="I287" i="1"/>
  <c r="H287" i="1"/>
  <c r="J286" i="1"/>
  <c r="I286" i="1"/>
  <c r="H286" i="1"/>
  <c r="J285" i="1"/>
  <c r="I285" i="1"/>
  <c r="H285" i="1"/>
  <c r="J284" i="1"/>
  <c r="I284" i="1"/>
  <c r="H284" i="1"/>
  <c r="J283" i="1"/>
  <c r="I283" i="1"/>
  <c r="H283" i="1"/>
  <c r="J282" i="1"/>
  <c r="I282" i="1"/>
  <c r="H282" i="1"/>
  <c r="J281" i="1"/>
  <c r="I281" i="1"/>
  <c r="H281" i="1"/>
  <c r="J280" i="1"/>
  <c r="I280" i="1"/>
  <c r="H280" i="1"/>
  <c r="J279" i="1"/>
  <c r="I279" i="1"/>
  <c r="H279" i="1"/>
  <c r="J278" i="1"/>
  <c r="I278" i="1"/>
  <c r="H278" i="1"/>
  <c r="J277" i="1"/>
  <c r="I277" i="1"/>
  <c r="H277" i="1"/>
  <c r="J276" i="1"/>
  <c r="I276" i="1"/>
  <c r="H276" i="1"/>
  <c r="J275" i="1"/>
  <c r="I275" i="1"/>
  <c r="H275" i="1"/>
  <c r="J274" i="1"/>
  <c r="I274" i="1"/>
  <c r="H274" i="1"/>
  <c r="J273" i="1"/>
  <c r="I273" i="1"/>
  <c r="H273" i="1"/>
  <c r="J272" i="1"/>
  <c r="I272" i="1"/>
  <c r="H272" i="1"/>
  <c r="J271" i="1"/>
  <c r="I271" i="1"/>
  <c r="H271" i="1"/>
  <c r="J270" i="1"/>
  <c r="I270" i="1"/>
  <c r="H270" i="1"/>
  <c r="J269" i="1"/>
  <c r="I269" i="1"/>
  <c r="H269" i="1"/>
  <c r="J268" i="1"/>
  <c r="I268" i="1"/>
  <c r="H268" i="1"/>
  <c r="J267" i="1"/>
  <c r="I267" i="1"/>
  <c r="H267" i="1"/>
  <c r="J266" i="1"/>
  <c r="I266" i="1"/>
  <c r="H266" i="1"/>
  <c r="J265" i="1"/>
  <c r="I265" i="1"/>
  <c r="H265" i="1"/>
  <c r="J264" i="1"/>
  <c r="I264" i="1"/>
  <c r="H264" i="1"/>
  <c r="J263" i="1"/>
  <c r="I263" i="1"/>
  <c r="H263" i="1"/>
  <c r="J262" i="1"/>
  <c r="I262" i="1"/>
  <c r="H262" i="1"/>
  <c r="J261" i="1"/>
  <c r="I261" i="1"/>
  <c r="H261" i="1"/>
  <c r="J260" i="1"/>
  <c r="I260" i="1"/>
  <c r="H260" i="1"/>
  <c r="J259" i="1"/>
  <c r="I259" i="1"/>
  <c r="H259" i="1"/>
  <c r="J258" i="1"/>
  <c r="I258" i="1"/>
  <c r="H258" i="1"/>
  <c r="J257" i="1"/>
  <c r="I257" i="1"/>
  <c r="H257" i="1"/>
  <c r="J256" i="1"/>
  <c r="I256" i="1"/>
  <c r="H256" i="1"/>
  <c r="J255" i="1"/>
  <c r="I255" i="1"/>
  <c r="H255" i="1"/>
  <c r="J254" i="1"/>
  <c r="I254" i="1"/>
  <c r="H254" i="1"/>
  <c r="J253" i="1"/>
  <c r="I253" i="1"/>
  <c r="H253" i="1"/>
  <c r="J252" i="1"/>
  <c r="I252" i="1"/>
  <c r="H252" i="1"/>
  <c r="J251" i="1"/>
  <c r="I251" i="1"/>
  <c r="H251" i="1"/>
  <c r="J250" i="1"/>
  <c r="I250" i="1"/>
  <c r="H250" i="1"/>
  <c r="J249" i="1"/>
  <c r="I249" i="1"/>
  <c r="H249" i="1"/>
  <c r="J248" i="1"/>
  <c r="I248" i="1"/>
  <c r="H248" i="1"/>
  <c r="J247" i="1"/>
  <c r="I247" i="1"/>
  <c r="H247" i="1"/>
  <c r="J246" i="1"/>
  <c r="I246" i="1"/>
  <c r="H246" i="1"/>
  <c r="J245" i="1"/>
  <c r="I245" i="1"/>
  <c r="H245" i="1"/>
  <c r="J244" i="1"/>
  <c r="I244" i="1"/>
  <c r="H244" i="1"/>
  <c r="J243" i="1"/>
  <c r="I243" i="1"/>
  <c r="H243" i="1"/>
  <c r="J242" i="1"/>
  <c r="I242" i="1"/>
  <c r="H242" i="1"/>
  <c r="J241" i="1"/>
  <c r="I241" i="1"/>
  <c r="H241" i="1"/>
  <c r="J240" i="1"/>
  <c r="I240" i="1"/>
  <c r="H240" i="1"/>
  <c r="J239" i="1"/>
  <c r="I239" i="1"/>
  <c r="H239" i="1"/>
  <c r="J238" i="1"/>
  <c r="I238" i="1"/>
  <c r="H238" i="1"/>
  <c r="J237" i="1"/>
  <c r="I237" i="1"/>
  <c r="H237" i="1"/>
  <c r="J236" i="1"/>
  <c r="I236" i="1"/>
  <c r="H236" i="1"/>
  <c r="J235" i="1"/>
  <c r="I235" i="1"/>
  <c r="H235" i="1"/>
  <c r="J234" i="1"/>
  <c r="I234" i="1"/>
  <c r="H234" i="1"/>
  <c r="J233" i="1"/>
  <c r="I233" i="1"/>
  <c r="H233" i="1"/>
  <c r="J232" i="1"/>
  <c r="I232" i="1"/>
  <c r="H232" i="1"/>
  <c r="J231" i="1"/>
  <c r="I231" i="1"/>
  <c r="H231" i="1"/>
  <c r="J230" i="1"/>
  <c r="I230" i="1"/>
  <c r="H230" i="1"/>
  <c r="J229" i="1"/>
  <c r="I229" i="1"/>
  <c r="H229" i="1"/>
  <c r="J228" i="1"/>
  <c r="I228" i="1"/>
  <c r="H228" i="1"/>
  <c r="J227" i="1"/>
  <c r="I227" i="1"/>
  <c r="H227" i="1"/>
  <c r="J226" i="1"/>
  <c r="I226" i="1"/>
  <c r="H226" i="1"/>
  <c r="J225" i="1"/>
  <c r="I225" i="1"/>
  <c r="H225" i="1"/>
  <c r="J224" i="1"/>
  <c r="I224" i="1"/>
  <c r="H224" i="1"/>
  <c r="J223" i="1"/>
  <c r="I223" i="1"/>
  <c r="H223" i="1"/>
  <c r="J222" i="1"/>
  <c r="I222" i="1"/>
  <c r="H222" i="1"/>
  <c r="J221" i="1"/>
  <c r="I221" i="1"/>
  <c r="H221" i="1"/>
  <c r="J220" i="1"/>
  <c r="I220" i="1"/>
  <c r="H220" i="1"/>
  <c r="J219" i="1"/>
  <c r="I219" i="1"/>
  <c r="H219" i="1"/>
  <c r="J218" i="1"/>
  <c r="I218" i="1"/>
  <c r="H218" i="1"/>
  <c r="J217" i="1"/>
  <c r="I217" i="1"/>
  <c r="H217" i="1"/>
  <c r="J216" i="1"/>
  <c r="I216" i="1"/>
  <c r="H216" i="1"/>
  <c r="J215" i="1"/>
  <c r="I215" i="1"/>
  <c r="H215" i="1"/>
  <c r="J214" i="1"/>
  <c r="I214" i="1"/>
  <c r="H214" i="1"/>
  <c r="J213" i="1"/>
  <c r="I213" i="1"/>
  <c r="H213" i="1"/>
  <c r="J212" i="1"/>
  <c r="I212" i="1"/>
  <c r="H212" i="1"/>
  <c r="J211" i="1"/>
  <c r="I211" i="1"/>
  <c r="H211" i="1"/>
  <c r="J210" i="1"/>
  <c r="I210" i="1"/>
  <c r="H210" i="1"/>
  <c r="J209" i="1"/>
  <c r="I209" i="1"/>
  <c r="H209" i="1"/>
  <c r="J208" i="1"/>
  <c r="I208" i="1"/>
  <c r="H208" i="1"/>
  <c r="J207" i="1"/>
  <c r="I207" i="1"/>
  <c r="H207" i="1"/>
  <c r="J206" i="1"/>
  <c r="I206" i="1"/>
  <c r="H206" i="1"/>
  <c r="J205" i="1"/>
  <c r="I205" i="1"/>
  <c r="H205" i="1"/>
  <c r="J204" i="1"/>
  <c r="I204" i="1"/>
  <c r="H204" i="1"/>
  <c r="J203" i="1"/>
  <c r="I203" i="1"/>
  <c r="H203" i="1"/>
  <c r="J202" i="1"/>
  <c r="I202" i="1"/>
  <c r="H202" i="1"/>
  <c r="J201" i="1"/>
  <c r="I201" i="1"/>
  <c r="H201" i="1"/>
  <c r="J200" i="1"/>
  <c r="I200" i="1"/>
  <c r="H200" i="1"/>
  <c r="J199" i="1"/>
  <c r="I199" i="1"/>
  <c r="H199" i="1"/>
  <c r="J198" i="1"/>
  <c r="I198" i="1"/>
  <c r="H198" i="1"/>
  <c r="J197" i="1"/>
  <c r="I197" i="1"/>
  <c r="H197" i="1"/>
  <c r="J196" i="1"/>
  <c r="I196" i="1"/>
  <c r="H196" i="1"/>
  <c r="J195" i="1"/>
  <c r="I195" i="1"/>
  <c r="H195" i="1"/>
  <c r="J194" i="1"/>
  <c r="I194" i="1"/>
  <c r="H194" i="1"/>
  <c r="J193" i="1"/>
  <c r="I193" i="1"/>
  <c r="H193" i="1"/>
  <c r="J192" i="1"/>
  <c r="I192" i="1"/>
  <c r="H192" i="1"/>
  <c r="J191" i="1"/>
  <c r="I191" i="1"/>
  <c r="H191" i="1"/>
  <c r="J190" i="1"/>
  <c r="I190" i="1"/>
  <c r="H190" i="1"/>
  <c r="J189" i="1"/>
  <c r="I189" i="1"/>
  <c r="H189" i="1"/>
  <c r="J188" i="1"/>
  <c r="I188" i="1"/>
  <c r="H188" i="1"/>
  <c r="J187" i="1"/>
  <c r="I187" i="1"/>
  <c r="H187" i="1"/>
  <c r="J186" i="1"/>
  <c r="I186" i="1"/>
  <c r="H186" i="1"/>
  <c r="J185" i="1"/>
  <c r="I185" i="1"/>
  <c r="H185" i="1"/>
  <c r="J184" i="1"/>
  <c r="I184" i="1"/>
  <c r="H184" i="1"/>
  <c r="J183" i="1"/>
  <c r="I183" i="1"/>
  <c r="H183" i="1"/>
  <c r="J182" i="1"/>
  <c r="I182" i="1"/>
  <c r="H182" i="1"/>
  <c r="J181" i="1"/>
  <c r="I181" i="1"/>
  <c r="H181" i="1"/>
  <c r="J180" i="1"/>
  <c r="I180" i="1"/>
  <c r="H180" i="1"/>
  <c r="J179" i="1"/>
  <c r="I179" i="1"/>
  <c r="H179" i="1"/>
  <c r="J178" i="1"/>
  <c r="I178" i="1"/>
  <c r="H178" i="1"/>
  <c r="J177" i="1"/>
  <c r="I177" i="1"/>
  <c r="H177" i="1"/>
  <c r="J176" i="1"/>
  <c r="I176" i="1"/>
  <c r="H176" i="1"/>
  <c r="J175" i="1"/>
  <c r="I175" i="1"/>
  <c r="H175" i="1"/>
  <c r="J174" i="1"/>
  <c r="I174" i="1"/>
  <c r="H174" i="1"/>
  <c r="J173" i="1"/>
  <c r="I173" i="1"/>
  <c r="H173" i="1"/>
  <c r="J172" i="1"/>
  <c r="I172" i="1"/>
  <c r="H172" i="1"/>
  <c r="J171" i="1"/>
  <c r="I171" i="1"/>
  <c r="H171" i="1"/>
  <c r="J170" i="1"/>
  <c r="I170" i="1"/>
  <c r="H170" i="1"/>
  <c r="J169" i="1"/>
  <c r="I169" i="1"/>
  <c r="H169" i="1"/>
  <c r="J168" i="1"/>
  <c r="I168" i="1"/>
  <c r="H168" i="1"/>
  <c r="J167" i="1"/>
  <c r="I167" i="1"/>
  <c r="H167" i="1"/>
  <c r="J166" i="1"/>
  <c r="I166" i="1"/>
  <c r="H166" i="1"/>
  <c r="J165" i="1"/>
  <c r="I165" i="1"/>
  <c r="H165" i="1"/>
  <c r="J164" i="1"/>
  <c r="I164" i="1"/>
  <c r="H164" i="1"/>
  <c r="J163" i="1"/>
  <c r="I163" i="1"/>
  <c r="H163" i="1"/>
  <c r="J162" i="1"/>
  <c r="I162" i="1"/>
  <c r="H162" i="1"/>
  <c r="J161" i="1"/>
  <c r="I161" i="1"/>
  <c r="H161" i="1"/>
  <c r="J160" i="1"/>
  <c r="I160" i="1"/>
  <c r="H160" i="1"/>
  <c r="J159" i="1"/>
  <c r="I159" i="1"/>
  <c r="H159" i="1"/>
  <c r="J158" i="1"/>
  <c r="I158" i="1"/>
  <c r="H158" i="1"/>
  <c r="J157" i="1"/>
  <c r="I157" i="1"/>
  <c r="H157" i="1"/>
  <c r="J156" i="1"/>
  <c r="I156" i="1"/>
  <c r="H156" i="1"/>
  <c r="J155" i="1"/>
  <c r="I155" i="1"/>
  <c r="H155" i="1"/>
  <c r="J154" i="1"/>
  <c r="I154" i="1"/>
  <c r="H154" i="1"/>
  <c r="J153" i="1"/>
  <c r="I153" i="1"/>
  <c r="H153" i="1"/>
  <c r="J152" i="1"/>
  <c r="I152" i="1"/>
  <c r="H152" i="1"/>
  <c r="J151" i="1"/>
  <c r="I151" i="1"/>
  <c r="H151" i="1"/>
  <c r="J150" i="1"/>
  <c r="I150" i="1"/>
  <c r="H150" i="1"/>
  <c r="J149" i="1"/>
  <c r="I149" i="1"/>
  <c r="H149" i="1"/>
  <c r="J148" i="1"/>
  <c r="I148" i="1"/>
  <c r="H148" i="1"/>
  <c r="J147" i="1"/>
  <c r="I147" i="1"/>
  <c r="H147" i="1"/>
  <c r="J146" i="1"/>
  <c r="I146" i="1"/>
  <c r="H146" i="1"/>
  <c r="J145" i="1"/>
  <c r="I145" i="1"/>
  <c r="H145" i="1"/>
  <c r="J144" i="1"/>
  <c r="I144" i="1"/>
  <c r="H144" i="1"/>
  <c r="J143" i="1"/>
  <c r="I143" i="1"/>
  <c r="H143" i="1"/>
  <c r="J142" i="1"/>
  <c r="I142" i="1"/>
  <c r="H142" i="1"/>
  <c r="J141" i="1"/>
  <c r="I141" i="1"/>
  <c r="H141" i="1"/>
  <c r="J140" i="1"/>
  <c r="I140" i="1"/>
  <c r="H140" i="1"/>
  <c r="J139" i="1"/>
  <c r="I139" i="1"/>
  <c r="H139" i="1"/>
  <c r="J138" i="1"/>
  <c r="I138" i="1"/>
  <c r="H138" i="1"/>
  <c r="J137" i="1"/>
  <c r="I137" i="1"/>
  <c r="H137" i="1"/>
  <c r="J136" i="1"/>
  <c r="I136" i="1"/>
  <c r="H136" i="1"/>
  <c r="J135" i="1"/>
  <c r="I135" i="1"/>
  <c r="H135" i="1"/>
  <c r="J134" i="1"/>
  <c r="I134" i="1"/>
  <c r="H134" i="1"/>
  <c r="J133" i="1"/>
  <c r="I133" i="1"/>
  <c r="H133" i="1"/>
  <c r="J132" i="1"/>
  <c r="I132" i="1"/>
  <c r="H132" i="1"/>
  <c r="J131" i="1"/>
  <c r="I131" i="1"/>
  <c r="H131" i="1"/>
  <c r="J130" i="1"/>
  <c r="I130" i="1"/>
  <c r="H130" i="1"/>
  <c r="J129" i="1"/>
  <c r="I129" i="1"/>
  <c r="H129" i="1"/>
  <c r="J128" i="1"/>
  <c r="I128" i="1"/>
  <c r="H128" i="1"/>
  <c r="J127" i="1"/>
  <c r="I127" i="1"/>
  <c r="H127" i="1"/>
  <c r="J126" i="1"/>
  <c r="I126" i="1"/>
  <c r="H126" i="1"/>
  <c r="J125" i="1"/>
  <c r="I125" i="1"/>
  <c r="H125" i="1"/>
  <c r="J124" i="1"/>
  <c r="I124" i="1"/>
  <c r="H124" i="1"/>
  <c r="J123" i="1"/>
  <c r="I123" i="1"/>
  <c r="H123" i="1"/>
  <c r="J122" i="1"/>
  <c r="I122" i="1"/>
  <c r="H122" i="1"/>
  <c r="J121" i="1"/>
  <c r="I121" i="1"/>
  <c r="H121" i="1"/>
  <c r="J120" i="1"/>
  <c r="I120" i="1"/>
  <c r="H120" i="1"/>
  <c r="J119" i="1"/>
  <c r="I119" i="1"/>
  <c r="H119" i="1"/>
  <c r="J118" i="1"/>
  <c r="I118" i="1"/>
  <c r="H118" i="1"/>
  <c r="J117" i="1"/>
  <c r="I117" i="1"/>
  <c r="H117" i="1"/>
  <c r="J116" i="1"/>
  <c r="I116" i="1"/>
  <c r="H116" i="1"/>
  <c r="J115" i="1"/>
  <c r="I115" i="1"/>
  <c r="H115" i="1"/>
  <c r="J114" i="1"/>
  <c r="I114" i="1"/>
  <c r="H114" i="1"/>
  <c r="J113" i="1"/>
  <c r="I113" i="1"/>
  <c r="H113" i="1"/>
  <c r="J112" i="1"/>
  <c r="I112" i="1"/>
  <c r="H112" i="1"/>
  <c r="J111" i="1"/>
  <c r="I111" i="1"/>
  <c r="H111" i="1"/>
  <c r="J110" i="1"/>
  <c r="I110" i="1"/>
  <c r="H110" i="1"/>
  <c r="J109" i="1"/>
  <c r="I109" i="1"/>
  <c r="H109" i="1"/>
  <c r="J108" i="1"/>
  <c r="I108" i="1"/>
  <c r="H108" i="1"/>
  <c r="J107" i="1"/>
  <c r="I107" i="1"/>
  <c r="H107" i="1"/>
  <c r="J106" i="1"/>
  <c r="I106" i="1"/>
  <c r="H106" i="1"/>
  <c r="J105" i="1"/>
  <c r="I105" i="1"/>
  <c r="H105" i="1"/>
  <c r="J104" i="1"/>
  <c r="I104" i="1"/>
  <c r="H104" i="1"/>
  <c r="J103" i="1"/>
  <c r="I103" i="1"/>
  <c r="H103" i="1"/>
  <c r="J102" i="1"/>
  <c r="I102" i="1"/>
  <c r="H102" i="1"/>
  <c r="J101" i="1"/>
  <c r="I101" i="1"/>
  <c r="H101" i="1"/>
  <c r="J100" i="1"/>
  <c r="I100" i="1"/>
  <c r="H100" i="1"/>
  <c r="J99" i="1"/>
  <c r="I99" i="1"/>
  <c r="H99" i="1"/>
  <c r="J98" i="1"/>
  <c r="I98" i="1"/>
  <c r="H98" i="1"/>
  <c r="J97" i="1"/>
  <c r="I97" i="1"/>
  <c r="H97" i="1"/>
  <c r="J96" i="1"/>
  <c r="I96" i="1"/>
  <c r="H96" i="1"/>
  <c r="J95" i="1"/>
  <c r="I95" i="1"/>
  <c r="H95" i="1"/>
  <c r="J94" i="1"/>
  <c r="I94" i="1"/>
  <c r="H94" i="1"/>
  <c r="J93" i="1"/>
  <c r="I93" i="1"/>
  <c r="H93" i="1"/>
  <c r="J92" i="1"/>
  <c r="I92" i="1"/>
  <c r="H92" i="1"/>
  <c r="J91" i="1"/>
  <c r="I91" i="1"/>
  <c r="H91" i="1"/>
  <c r="J90" i="1"/>
  <c r="I90" i="1"/>
  <c r="H90" i="1"/>
  <c r="J89" i="1"/>
  <c r="I89" i="1"/>
  <c r="H89" i="1"/>
  <c r="J88" i="1"/>
  <c r="I88" i="1"/>
  <c r="H88" i="1"/>
  <c r="J87" i="1"/>
  <c r="I87" i="1"/>
  <c r="H87" i="1"/>
  <c r="J86" i="1"/>
  <c r="I86" i="1"/>
  <c r="H86" i="1"/>
  <c r="J85" i="1"/>
  <c r="I85" i="1"/>
  <c r="H85" i="1"/>
  <c r="J84" i="1"/>
  <c r="I84" i="1"/>
  <c r="H84" i="1"/>
  <c r="J83" i="1"/>
  <c r="I83" i="1"/>
  <c r="H83" i="1"/>
  <c r="J82" i="1"/>
  <c r="I82" i="1"/>
  <c r="H82" i="1"/>
  <c r="J81" i="1"/>
  <c r="I81" i="1"/>
  <c r="H81" i="1"/>
  <c r="J80" i="1"/>
  <c r="I80" i="1"/>
  <c r="H80" i="1"/>
  <c r="J79" i="1"/>
  <c r="I79" i="1"/>
  <c r="H79" i="1"/>
  <c r="J78" i="1"/>
  <c r="I78" i="1"/>
  <c r="H78" i="1"/>
  <c r="J77" i="1"/>
  <c r="I77" i="1"/>
  <c r="H77" i="1"/>
  <c r="J76" i="1"/>
  <c r="I76" i="1"/>
  <c r="H76" i="1"/>
  <c r="J75" i="1"/>
  <c r="I75" i="1"/>
  <c r="H75" i="1"/>
  <c r="J74" i="1"/>
  <c r="I74" i="1"/>
  <c r="H74" i="1"/>
  <c r="J73" i="1"/>
  <c r="I73" i="1"/>
  <c r="H73" i="1"/>
  <c r="J72" i="1"/>
  <c r="I72" i="1"/>
  <c r="H72" i="1"/>
  <c r="J71" i="1"/>
  <c r="I71" i="1"/>
  <c r="H71" i="1"/>
  <c r="J70" i="1"/>
  <c r="I70" i="1"/>
  <c r="H70" i="1"/>
  <c r="J69" i="1"/>
  <c r="I69" i="1"/>
  <c r="H69" i="1"/>
  <c r="J68" i="1"/>
  <c r="I68" i="1"/>
  <c r="H68" i="1"/>
  <c r="J67" i="1"/>
  <c r="I67" i="1"/>
  <c r="H67" i="1"/>
  <c r="J66" i="1"/>
  <c r="I66" i="1"/>
  <c r="H66" i="1"/>
  <c r="J65" i="1"/>
  <c r="I65" i="1"/>
  <c r="H65" i="1"/>
  <c r="J64" i="1"/>
  <c r="I64" i="1"/>
  <c r="H64" i="1"/>
  <c r="J63" i="1"/>
  <c r="I63" i="1"/>
  <c r="H63" i="1"/>
  <c r="J62" i="1"/>
  <c r="I62" i="1"/>
  <c r="H62" i="1"/>
  <c r="J61" i="1"/>
  <c r="I61" i="1"/>
  <c r="H61" i="1"/>
  <c r="J60" i="1"/>
  <c r="I60" i="1"/>
  <c r="H60" i="1"/>
  <c r="J59" i="1"/>
  <c r="I59" i="1"/>
  <c r="H59" i="1"/>
  <c r="J58" i="1"/>
  <c r="I58" i="1"/>
  <c r="H58" i="1"/>
  <c r="J57" i="1"/>
  <c r="I57" i="1"/>
  <c r="H57" i="1"/>
  <c r="J56" i="1"/>
  <c r="I56" i="1"/>
  <c r="H56" i="1"/>
  <c r="J55" i="1"/>
  <c r="I55" i="1"/>
  <c r="H55" i="1"/>
  <c r="J54" i="1"/>
  <c r="I54" i="1"/>
  <c r="H54" i="1"/>
  <c r="J53" i="1"/>
  <c r="I53" i="1"/>
  <c r="H53" i="1"/>
  <c r="J52" i="1"/>
  <c r="I52" i="1"/>
  <c r="H52" i="1"/>
  <c r="J51" i="1"/>
  <c r="I51" i="1"/>
  <c r="H51" i="1"/>
  <c r="J50" i="1"/>
  <c r="I50" i="1"/>
  <c r="H50" i="1"/>
  <c r="J49" i="1"/>
  <c r="I49" i="1"/>
  <c r="H49" i="1"/>
  <c r="J48" i="1"/>
  <c r="I48" i="1"/>
  <c r="H48" i="1"/>
  <c r="J47" i="1"/>
  <c r="I47" i="1"/>
  <c r="H47" i="1"/>
  <c r="J46" i="1"/>
  <c r="I46" i="1"/>
  <c r="H46" i="1"/>
  <c r="J45" i="1"/>
  <c r="I45" i="1"/>
  <c r="H45" i="1"/>
  <c r="J44" i="1"/>
  <c r="I44" i="1"/>
  <c r="H44" i="1"/>
  <c r="J43" i="1"/>
  <c r="I43" i="1"/>
  <c r="H43" i="1"/>
  <c r="J42" i="1"/>
  <c r="I42" i="1"/>
  <c r="H42" i="1"/>
  <c r="J41" i="1"/>
  <c r="I41" i="1"/>
  <c r="H41" i="1"/>
  <c r="J40" i="1"/>
  <c r="I40" i="1"/>
  <c r="H40" i="1"/>
  <c r="J39" i="1"/>
  <c r="I39" i="1"/>
  <c r="H39" i="1"/>
  <c r="J38" i="1"/>
  <c r="I38" i="1"/>
  <c r="H38" i="1"/>
  <c r="J37" i="1"/>
  <c r="I37" i="1"/>
  <c r="H37" i="1"/>
  <c r="J36" i="1"/>
  <c r="I36" i="1"/>
  <c r="H36" i="1"/>
  <c r="J35" i="1"/>
  <c r="I35" i="1"/>
  <c r="H35" i="1"/>
  <c r="J34" i="1"/>
  <c r="I34" i="1"/>
  <c r="H34" i="1"/>
  <c r="J33" i="1"/>
  <c r="I33" i="1"/>
  <c r="H33" i="1"/>
  <c r="J32" i="1"/>
  <c r="I32" i="1"/>
  <c r="H32" i="1"/>
  <c r="J31" i="1"/>
  <c r="I31" i="1"/>
  <c r="H31" i="1"/>
  <c r="J30" i="1"/>
  <c r="I30" i="1"/>
  <c r="H30" i="1"/>
  <c r="J29" i="1"/>
  <c r="I29" i="1"/>
  <c r="H29" i="1"/>
  <c r="J28" i="1"/>
  <c r="I28" i="1"/>
  <c r="H28" i="1"/>
  <c r="J27" i="1"/>
  <c r="I27" i="1"/>
  <c r="H27" i="1"/>
  <c r="J26" i="1"/>
  <c r="I26" i="1"/>
  <c r="H26" i="1"/>
  <c r="J25" i="1"/>
  <c r="I25" i="1"/>
  <c r="H25" i="1"/>
  <c r="J24" i="1"/>
  <c r="I24" i="1"/>
  <c r="H24" i="1"/>
  <c r="J23" i="1"/>
  <c r="I23" i="1"/>
  <c r="H23" i="1"/>
  <c r="J22" i="1"/>
  <c r="I22" i="1"/>
  <c r="H22" i="1"/>
  <c r="J21" i="1"/>
  <c r="I21" i="1"/>
  <c r="H21" i="1"/>
  <c r="J20" i="1"/>
  <c r="I20" i="1"/>
  <c r="H20" i="1"/>
  <c r="J19" i="1"/>
  <c r="I19" i="1"/>
  <c r="H19" i="1"/>
  <c r="J18" i="1"/>
  <c r="I18" i="1"/>
  <c r="H18" i="1"/>
  <c r="J17" i="1"/>
  <c r="I17" i="1"/>
  <c r="H17" i="1"/>
  <c r="J16" i="1"/>
  <c r="I16" i="1"/>
  <c r="H16" i="1"/>
  <c r="J15" i="1"/>
  <c r="I15" i="1"/>
  <c r="H15" i="1"/>
  <c r="J14" i="1"/>
  <c r="I14" i="1"/>
  <c r="H14" i="1"/>
  <c r="J13" i="1"/>
  <c r="I13" i="1"/>
  <c r="H13" i="1"/>
  <c r="J12" i="1"/>
  <c r="I12" i="1"/>
  <c r="H12" i="1"/>
  <c r="J11" i="1"/>
  <c r="I11" i="1"/>
  <c r="H11" i="1"/>
  <c r="J10" i="1"/>
  <c r="I10" i="1"/>
  <c r="H10" i="1"/>
  <c r="J9" i="1"/>
  <c r="I9" i="1"/>
  <c r="H9" i="1"/>
  <c r="J8" i="1"/>
  <c r="I8" i="1"/>
  <c r="H8" i="1"/>
  <c r="J7" i="1"/>
  <c r="I7" i="1"/>
  <c r="H7" i="1"/>
  <c r="J6" i="1"/>
  <c r="I6" i="1"/>
  <c r="H6" i="1"/>
  <c r="J5" i="1"/>
  <c r="I5" i="1"/>
  <c r="H5" i="1"/>
  <c r="J4" i="1"/>
  <c r="I4" i="1"/>
  <c r="H4" i="1"/>
  <c r="U5" i="1" l="1"/>
  <c r="U6" i="1" s="1"/>
  <c r="V5" i="1"/>
  <c r="V6" i="1" s="1"/>
  <c r="T3" i="1"/>
  <c r="T5" i="1"/>
  <c r="T6" i="1" s="1"/>
  <c r="T4" i="1"/>
  <c r="U4" i="1"/>
  <c r="V4" i="1"/>
  <c r="V3" i="1"/>
  <c r="BL4" i="1" s="1"/>
  <c r="U3" i="1"/>
  <c r="BD4" i="1" s="1"/>
  <c r="BH4" i="1" l="1"/>
  <c r="BE4" i="1"/>
  <c r="BF4" i="1" s="1"/>
  <c r="V7" i="1"/>
  <c r="BP4" i="1"/>
  <c r="BM4" i="1"/>
  <c r="BN4" i="1" s="1"/>
  <c r="BL5" i="1"/>
  <c r="AV4" i="1"/>
  <c r="U7" i="1"/>
  <c r="BD5" i="1" s="1"/>
  <c r="T7" i="1"/>
  <c r="Y3" i="1" a="1"/>
  <c r="Y3" i="1" s="1"/>
  <c r="T13" i="1" a="1"/>
  <c r="BD6" i="1" l="1"/>
  <c r="BE5" i="1"/>
  <c r="BF5" i="1" s="1"/>
  <c r="BH5" i="1"/>
  <c r="BM5" i="1"/>
  <c r="BN5" i="1" s="1"/>
  <c r="BL6" i="1"/>
  <c r="BP5" i="1"/>
  <c r="AZ4" i="1"/>
  <c r="AV5" i="1"/>
  <c r="AW4" i="1"/>
  <c r="AX4" i="1" s="1"/>
  <c r="T13" i="1"/>
  <c r="Y13" i="1"/>
  <c r="N29" i="3" s="1"/>
  <c r="AA15" i="1"/>
  <c r="P31" i="3" s="1"/>
  <c r="Z15" i="1"/>
  <c r="O31" i="3" s="1"/>
  <c r="Z14" i="1"/>
  <c r="O30" i="3" s="1"/>
  <c r="AA14" i="1"/>
  <c r="P30" i="3" s="1"/>
  <c r="Z13" i="1"/>
  <c r="O29" i="3" s="1"/>
  <c r="Y15" i="1"/>
  <c r="N31" i="3" s="1"/>
  <c r="AA13" i="1"/>
  <c r="P29" i="3" s="1"/>
  <c r="Y14" i="1"/>
  <c r="N30" i="3" s="1"/>
  <c r="AI5" i="1" a="1"/>
  <c r="BL7" i="1" l="1"/>
  <c r="BM6" i="1"/>
  <c r="BP6" i="1"/>
  <c r="BD7" i="1"/>
  <c r="BE6" i="1"/>
  <c r="BF6" i="1" s="1"/>
  <c r="BH6" i="1"/>
  <c r="AV6" i="1"/>
  <c r="AW5" i="1"/>
  <c r="AX5" i="1" s="1"/>
  <c r="AZ5" i="1"/>
  <c r="AN1255" i="1"/>
  <c r="AO1259" i="1"/>
  <c r="AM1254" i="1"/>
  <c r="AN1261" i="1"/>
  <c r="AO1254" i="1"/>
  <c r="AM1258" i="1"/>
  <c r="AN1257" i="1"/>
  <c r="AM1259" i="1"/>
  <c r="AM1255" i="1"/>
  <c r="AO1260" i="1"/>
  <c r="AM1256" i="1"/>
  <c r="AO1257" i="1"/>
  <c r="AO1258" i="1"/>
  <c r="AN1260" i="1"/>
  <c r="AO1256" i="1"/>
  <c r="AO1261" i="1"/>
  <c r="AO1255" i="1"/>
  <c r="AN1256" i="1"/>
  <c r="AM1257" i="1"/>
  <c r="AN1258" i="1"/>
  <c r="AN1259" i="1"/>
  <c r="AM1260" i="1"/>
  <c r="AM1261" i="1"/>
  <c r="AI5" i="1"/>
  <c r="AM5" i="1" s="1"/>
  <c r="AO1218" i="1"/>
  <c r="AO6" i="1"/>
  <c r="AO25" i="1"/>
  <c r="AM47" i="1"/>
  <c r="AN68" i="1"/>
  <c r="AO89" i="1"/>
  <c r="AM111" i="1"/>
  <c r="AN132" i="1"/>
  <c r="AO153" i="1"/>
  <c r="AM175" i="1"/>
  <c r="AN196" i="1"/>
  <c r="AO217" i="1"/>
  <c r="AO12" i="1"/>
  <c r="AM34" i="1"/>
  <c r="AN55" i="1"/>
  <c r="AO76" i="1"/>
  <c r="AM98" i="1"/>
  <c r="AN119" i="1"/>
  <c r="AO140" i="1"/>
  <c r="AM162" i="1"/>
  <c r="AN183" i="1"/>
  <c r="AO204" i="1"/>
  <c r="AM226" i="1"/>
  <c r="AM21" i="1"/>
  <c r="AN42" i="1"/>
  <c r="AO63" i="1"/>
  <c r="AM85" i="1"/>
  <c r="AN106" i="1"/>
  <c r="AO127" i="1"/>
  <c r="AM149" i="1"/>
  <c r="AN170" i="1"/>
  <c r="AO191" i="1"/>
  <c r="AM213" i="1"/>
  <c r="AM8" i="1"/>
  <c r="AN29" i="1"/>
  <c r="AO50" i="1"/>
  <c r="AM72" i="1"/>
  <c r="AN93" i="1"/>
  <c r="AO114" i="1"/>
  <c r="AM136" i="1"/>
  <c r="AN157" i="1"/>
  <c r="AO178" i="1"/>
  <c r="AM200" i="1"/>
  <c r="AN221" i="1"/>
  <c r="AO16" i="1"/>
  <c r="AM38" i="1"/>
  <c r="AN59" i="1"/>
  <c r="AO80" i="1"/>
  <c r="AM102" i="1"/>
  <c r="AN123" i="1"/>
  <c r="AO144" i="1"/>
  <c r="AM166" i="1"/>
  <c r="AN187" i="1"/>
  <c r="AO208" i="1"/>
  <c r="AM230" i="1"/>
  <c r="AM51" i="1"/>
  <c r="AO107" i="1"/>
  <c r="AM164" i="1"/>
  <c r="AO221" i="1"/>
  <c r="AM250" i="1"/>
  <c r="AN271" i="1"/>
  <c r="AO292" i="1"/>
  <c r="AM314" i="1"/>
  <c r="AN335" i="1"/>
  <c r="AO356" i="1"/>
  <c r="AM378" i="1"/>
  <c r="AN399" i="1"/>
  <c r="AN16" i="1"/>
  <c r="AM73" i="1"/>
  <c r="AN129" i="1"/>
  <c r="AM187" i="1"/>
  <c r="AM237" i="1"/>
  <c r="AN258" i="1"/>
  <c r="AO279" i="1"/>
  <c r="AM301" i="1"/>
  <c r="AN322" i="1"/>
  <c r="AO343" i="1"/>
  <c r="AM365" i="1"/>
  <c r="AN386" i="1"/>
  <c r="AO407" i="1"/>
  <c r="AN38" i="1"/>
  <c r="AO94" i="1"/>
  <c r="AN152" i="1"/>
  <c r="AM209" i="1"/>
  <c r="AN245" i="1"/>
  <c r="AO266" i="1"/>
  <c r="AM7" i="1"/>
  <c r="AN28" i="1"/>
  <c r="AO49" i="1"/>
  <c r="AM71" i="1"/>
  <c r="AN92" i="1"/>
  <c r="AO113" i="1"/>
  <c r="AM135" i="1"/>
  <c r="AN156" i="1"/>
  <c r="AO177" i="1"/>
  <c r="AM199" i="1"/>
  <c r="AN220" i="1"/>
  <c r="AN15" i="1"/>
  <c r="AO36" i="1"/>
  <c r="AM58" i="1"/>
  <c r="AN79" i="1"/>
  <c r="AO100" i="1"/>
  <c r="AM122" i="1"/>
  <c r="AN143" i="1"/>
  <c r="AO164" i="1"/>
  <c r="AM186" i="1"/>
  <c r="AN207" i="1"/>
  <c r="AO228" i="1"/>
  <c r="AO23" i="1"/>
  <c r="AM45" i="1"/>
  <c r="AN66" i="1"/>
  <c r="AO87" i="1"/>
  <c r="AM109" i="1"/>
  <c r="AN130" i="1"/>
  <c r="AO151" i="1"/>
  <c r="AM173" i="1"/>
  <c r="AN194" i="1"/>
  <c r="AO215" i="1"/>
  <c r="AO10" i="1"/>
  <c r="AM32" i="1"/>
  <c r="AN53" i="1"/>
  <c r="AO74" i="1"/>
  <c r="AM96" i="1"/>
  <c r="AN117" i="1"/>
  <c r="AO138" i="1"/>
  <c r="AM160" i="1"/>
  <c r="AN181" i="1"/>
  <c r="AO202" i="1"/>
  <c r="AM224" i="1"/>
  <c r="AN19" i="1"/>
  <c r="AO40" i="1"/>
  <c r="AM62" i="1"/>
  <c r="AN83" i="1"/>
  <c r="AO104" i="1"/>
  <c r="AM126" i="1"/>
  <c r="AN147" i="1"/>
  <c r="AO168" i="1"/>
  <c r="AM190" i="1"/>
  <c r="AN211" i="1"/>
  <c r="AO232" i="1"/>
  <c r="AN57" i="1"/>
  <c r="AM115" i="1"/>
  <c r="AO171" i="1"/>
  <c r="AM228" i="1"/>
  <c r="AO252" i="1"/>
  <c r="AM274" i="1"/>
  <c r="AN295" i="1"/>
  <c r="AO316" i="1"/>
  <c r="AM338" i="1"/>
  <c r="AN359" i="1"/>
  <c r="AO380" i="1"/>
  <c r="AM402" i="1"/>
  <c r="AO22" i="1"/>
  <c r="AN80" i="1"/>
  <c r="AM137" i="1"/>
  <c r="AN193" i="1"/>
  <c r="AO239" i="1"/>
  <c r="AM261" i="1"/>
  <c r="AN282" i="1"/>
  <c r="AO303" i="1"/>
  <c r="AM325" i="1"/>
  <c r="AN346" i="1"/>
  <c r="AO367" i="1"/>
  <c r="AM389" i="1"/>
  <c r="AN410" i="1"/>
  <c r="AO45" i="1"/>
  <c r="AN102" i="1"/>
  <c r="AO158" i="1"/>
  <c r="AN216" i="1"/>
  <c r="AM248" i="1"/>
  <c r="AN269" i="1"/>
  <c r="AO9" i="1"/>
  <c r="AM31" i="1"/>
  <c r="AN52" i="1"/>
  <c r="AO73" i="1"/>
  <c r="AM95" i="1"/>
  <c r="AN116" i="1"/>
  <c r="AO137" i="1"/>
  <c r="AM159" i="1"/>
  <c r="AN180" i="1"/>
  <c r="AO201" i="1"/>
  <c r="AM223" i="1"/>
  <c r="AM18" i="1"/>
  <c r="AN39" i="1"/>
  <c r="AO60" i="1"/>
  <c r="AM82" i="1"/>
  <c r="AN103" i="1"/>
  <c r="AO124" i="1"/>
  <c r="AM146" i="1"/>
  <c r="AN167" i="1"/>
  <c r="AO188" i="1"/>
  <c r="AM210" i="1"/>
  <c r="AN231" i="1"/>
  <c r="AN26" i="1"/>
  <c r="AO47" i="1"/>
  <c r="AM69" i="1"/>
  <c r="AN90" i="1"/>
  <c r="AO111" i="1"/>
  <c r="AM133" i="1"/>
  <c r="AN154" i="1"/>
  <c r="AO175" i="1"/>
  <c r="AM197" i="1"/>
  <c r="AN218" i="1"/>
  <c r="AN13" i="1"/>
  <c r="AO34" i="1"/>
  <c r="AM56" i="1"/>
  <c r="AN77" i="1"/>
  <c r="AO98" i="1"/>
  <c r="AM120" i="1"/>
  <c r="AN141" i="1"/>
  <c r="AO162" i="1"/>
  <c r="AM184" i="1"/>
  <c r="AN205" i="1"/>
  <c r="AO226" i="1"/>
  <c r="AM22" i="1"/>
  <c r="AN43" i="1"/>
  <c r="AO64" i="1"/>
  <c r="AM86" i="1"/>
  <c r="AN107" i="1"/>
  <c r="AO128" i="1"/>
  <c r="AM150" i="1"/>
  <c r="AN171" i="1"/>
  <c r="AO192" i="1"/>
  <c r="AM214" i="1"/>
  <c r="AN8" i="1"/>
  <c r="AM65" i="1"/>
  <c r="AN121" i="1"/>
  <c r="AM179" i="1"/>
  <c r="AM234" i="1"/>
  <c r="AN255" i="1"/>
  <c r="AO276" i="1"/>
  <c r="AM298" i="1"/>
  <c r="AN319" i="1"/>
  <c r="AO340" i="1"/>
  <c r="AM362" i="1"/>
  <c r="AN383" i="1"/>
  <c r="AO404" i="1"/>
  <c r="AN30" i="1"/>
  <c r="AO86" i="1"/>
  <c r="AN144" i="1"/>
  <c r="AM201" i="1"/>
  <c r="AN242" i="1"/>
  <c r="AO263" i="1"/>
  <c r="AM285" i="1"/>
  <c r="AN306" i="1"/>
  <c r="AO327" i="1"/>
  <c r="AM349" i="1"/>
  <c r="AN370" i="1"/>
  <c r="AO391" i="1"/>
  <c r="AM413" i="1"/>
  <c r="AM52" i="1"/>
  <c r="AO109" i="1"/>
  <c r="AN166" i="1"/>
  <c r="AO222" i="1"/>
  <c r="AO250" i="1"/>
  <c r="AM272" i="1"/>
  <c r="AN12" i="1"/>
  <c r="AO33" i="1"/>
  <c r="AM55" i="1"/>
  <c r="AN76" i="1"/>
  <c r="AO97" i="1"/>
  <c r="AM119" i="1"/>
  <c r="AN140" i="1"/>
  <c r="AO161" i="1"/>
  <c r="AM183" i="1"/>
  <c r="AN204" i="1"/>
  <c r="AO225" i="1"/>
  <c r="AO20" i="1"/>
  <c r="AM42" i="1"/>
  <c r="AN63" i="1"/>
  <c r="AO84" i="1"/>
  <c r="AM106" i="1"/>
  <c r="AN127" i="1"/>
  <c r="AO148" i="1"/>
  <c r="AM170" i="1"/>
  <c r="AN191" i="1"/>
  <c r="AO212" i="1"/>
  <c r="AO7" i="1"/>
  <c r="AM29" i="1"/>
  <c r="AN50" i="1"/>
  <c r="AO71" i="1"/>
  <c r="AM93" i="1"/>
  <c r="AN114" i="1"/>
  <c r="AO135" i="1"/>
  <c r="AM157" i="1"/>
  <c r="AN178" i="1"/>
  <c r="AO199" i="1"/>
  <c r="AM221" i="1"/>
  <c r="AM16" i="1"/>
  <c r="AN37" i="1"/>
  <c r="AO58" i="1"/>
  <c r="AM80" i="1"/>
  <c r="AN101" i="1"/>
  <c r="AO122" i="1"/>
  <c r="AM144" i="1"/>
  <c r="AN165" i="1"/>
  <c r="AO186" i="1"/>
  <c r="AM208" i="1"/>
  <c r="AN229" i="1"/>
  <c r="AO24" i="1"/>
  <c r="AM46" i="1"/>
  <c r="AN67" i="1"/>
  <c r="AO88" i="1"/>
  <c r="AM110" i="1"/>
  <c r="AN131" i="1"/>
  <c r="AO152" i="1"/>
  <c r="AM174" i="1"/>
  <c r="AN195" i="1"/>
  <c r="AO216" i="1"/>
  <c r="AO14" i="1"/>
  <c r="AN72" i="1"/>
  <c r="AM129" i="1"/>
  <c r="AN185" i="1"/>
  <c r="AO236" i="1"/>
  <c r="AM258" i="1"/>
  <c r="AN279" i="1"/>
  <c r="AO300" i="1"/>
  <c r="AM322" i="1"/>
  <c r="AN343" i="1"/>
  <c r="AO364" i="1"/>
  <c r="AM386" i="1"/>
  <c r="AN407" i="1"/>
  <c r="AO37" i="1"/>
  <c r="AN94" i="1"/>
  <c r="AO150" i="1"/>
  <c r="AN208" i="1"/>
  <c r="AM245" i="1"/>
  <c r="AN266" i="1"/>
  <c r="AO287" i="1"/>
  <c r="AM309" i="1"/>
  <c r="AN330" i="1"/>
  <c r="AO351" i="1"/>
  <c r="AM373" i="1"/>
  <c r="AN394" i="1"/>
  <c r="AO415" i="1"/>
  <c r="AO59" i="1"/>
  <c r="AM116" i="1"/>
  <c r="AO173" i="1"/>
  <c r="AN230" i="1"/>
  <c r="AN253" i="1"/>
  <c r="AO274" i="1"/>
  <c r="AM15" i="1"/>
  <c r="AN36" i="1"/>
  <c r="AO57" i="1"/>
  <c r="AM79" i="1"/>
  <c r="AN100" i="1"/>
  <c r="AO121" i="1"/>
  <c r="AM143" i="1"/>
  <c r="AN164" i="1"/>
  <c r="AO185" i="1"/>
  <c r="AM207" i="1"/>
  <c r="AN228" i="1"/>
  <c r="AN23" i="1"/>
  <c r="AO44" i="1"/>
  <c r="AM66" i="1"/>
  <c r="AN87" i="1"/>
  <c r="AO108" i="1"/>
  <c r="AM130" i="1"/>
  <c r="AN151" i="1"/>
  <c r="AO172" i="1"/>
  <c r="AM194" i="1"/>
  <c r="AN215" i="1"/>
  <c r="AN10" i="1"/>
  <c r="AO31" i="1"/>
  <c r="AM53" i="1"/>
  <c r="AN74" i="1"/>
  <c r="AO95" i="1"/>
  <c r="AM117" i="1"/>
  <c r="AN138" i="1"/>
  <c r="AO159" i="1"/>
  <c r="AM181" i="1"/>
  <c r="AN202" i="1"/>
  <c r="AO223" i="1"/>
  <c r="AO18" i="1"/>
  <c r="AM40" i="1"/>
  <c r="AN61" i="1"/>
  <c r="AO82" i="1"/>
  <c r="AM104" i="1"/>
  <c r="AN125" i="1"/>
  <c r="AO146" i="1"/>
  <c r="AM168" i="1"/>
  <c r="AN189" i="1"/>
  <c r="AO210" i="1"/>
  <c r="AM232" i="1"/>
  <c r="AN27" i="1"/>
  <c r="AO48" i="1"/>
  <c r="AM70" i="1"/>
  <c r="AN91" i="1"/>
  <c r="AO112" i="1"/>
  <c r="AM134" i="1"/>
  <c r="AN155" i="1"/>
  <c r="AO176" i="1"/>
  <c r="AM198" i="1"/>
  <c r="AN219" i="1"/>
  <c r="AN22" i="1"/>
  <c r="AO78" i="1"/>
  <c r="AN136" i="1"/>
  <c r="AM193" i="1"/>
  <c r="AN239" i="1"/>
  <c r="AO260" i="1"/>
  <c r="AM282" i="1"/>
  <c r="AN303" i="1"/>
  <c r="AO324" i="1"/>
  <c r="AM346" i="1"/>
  <c r="AN367" i="1"/>
  <c r="AO388" i="1"/>
  <c r="AM410" i="1"/>
  <c r="AM44" i="1"/>
  <c r="AO101" i="1"/>
  <c r="AN158" i="1"/>
  <c r="AO214" i="1"/>
  <c r="AO247" i="1"/>
  <c r="AM269" i="1"/>
  <c r="AN290" i="1"/>
  <c r="AO311" i="1"/>
  <c r="AM333" i="1"/>
  <c r="AN354" i="1"/>
  <c r="AO375" i="1"/>
  <c r="AM397" i="1"/>
  <c r="AN9" i="1"/>
  <c r="AM67" i="1"/>
  <c r="AO123" i="1"/>
  <c r="AM180" i="1"/>
  <c r="AO234" i="1"/>
  <c r="AM256" i="1"/>
  <c r="AN277" i="1"/>
  <c r="AN20" i="1"/>
  <c r="AO41" i="1"/>
  <c r="AM63" i="1"/>
  <c r="AN84" i="1"/>
  <c r="AO105" i="1"/>
  <c r="AM127" i="1"/>
  <c r="AN148" i="1"/>
  <c r="AO169" i="1"/>
  <c r="AM191" i="1"/>
  <c r="AN212" i="1"/>
  <c r="AN7" i="1"/>
  <c r="AO28" i="1"/>
  <c r="AM50" i="1"/>
  <c r="AN71" i="1"/>
  <c r="AO92" i="1"/>
  <c r="AM114" i="1"/>
  <c r="AN135" i="1"/>
  <c r="AO156" i="1"/>
  <c r="AM178" i="1"/>
  <c r="AN199" i="1"/>
  <c r="AO220" i="1"/>
  <c r="AO15" i="1"/>
  <c r="AM37" i="1"/>
  <c r="AN58" i="1"/>
  <c r="AO79" i="1"/>
  <c r="AM101" i="1"/>
  <c r="AN122" i="1"/>
  <c r="AO143" i="1"/>
  <c r="AM165" i="1"/>
  <c r="AN186" i="1"/>
  <c r="AO207" i="1"/>
  <c r="AM229" i="1"/>
  <c r="AM24" i="1"/>
  <c r="AN45" i="1"/>
  <c r="AO66" i="1"/>
  <c r="AM88" i="1"/>
  <c r="AN109" i="1"/>
  <c r="AO130" i="1"/>
  <c r="AM152" i="1"/>
  <c r="AN173" i="1"/>
  <c r="AO194" i="1"/>
  <c r="AM216" i="1"/>
  <c r="AN11" i="1"/>
  <c r="AO32" i="1"/>
  <c r="AM54" i="1"/>
  <c r="AN75" i="1"/>
  <c r="AO96" i="1"/>
  <c r="AM118" i="1"/>
  <c r="AN139" i="1"/>
  <c r="AO160" i="1"/>
  <c r="AM182" i="1"/>
  <c r="AN203" i="1"/>
  <c r="AO224" i="1"/>
  <c r="AM36" i="1"/>
  <c r="AO93" i="1"/>
  <c r="AN150" i="1"/>
  <c r="AO206" i="1"/>
  <c r="AO244" i="1"/>
  <c r="AM266" i="1"/>
  <c r="AN287" i="1"/>
  <c r="AO308" i="1"/>
  <c r="AM330" i="1"/>
  <c r="AN351" i="1"/>
  <c r="AO372" i="1"/>
  <c r="AM394" i="1"/>
  <c r="AN415" i="1"/>
  <c r="AM59" i="1"/>
  <c r="AO115" i="1"/>
  <c r="AM172" i="1"/>
  <c r="AO229" i="1"/>
  <c r="AM253" i="1"/>
  <c r="AN274" i="1"/>
  <c r="AO295" i="1"/>
  <c r="AM317" i="1"/>
  <c r="AN338" i="1"/>
  <c r="AO359" i="1"/>
  <c r="AM381" i="1"/>
  <c r="AN402" i="1"/>
  <c r="AN24" i="1"/>
  <c r="AM81" i="1"/>
  <c r="AN137" i="1"/>
  <c r="AM195" i="1"/>
  <c r="AM240" i="1"/>
  <c r="AN261" i="1"/>
  <c r="AO282" i="1"/>
  <c r="AM23" i="1"/>
  <c r="AN44" i="1"/>
  <c r="AO65" i="1"/>
  <c r="AM87" i="1"/>
  <c r="AN108" i="1"/>
  <c r="AO129" i="1"/>
  <c r="AM151" i="1"/>
  <c r="AN172" i="1"/>
  <c r="AO193" i="1"/>
  <c r="AM215" i="1"/>
  <c r="AM10" i="1"/>
  <c r="AN31" i="1"/>
  <c r="AO52" i="1"/>
  <c r="AM74" i="1"/>
  <c r="AN95" i="1"/>
  <c r="AO116" i="1"/>
  <c r="AM138" i="1"/>
  <c r="AN159" i="1"/>
  <c r="AO180" i="1"/>
  <c r="AM202" i="1"/>
  <c r="AN223" i="1"/>
  <c r="AN18" i="1"/>
  <c r="AO39" i="1"/>
  <c r="AM61" i="1"/>
  <c r="AN82" i="1"/>
  <c r="AO103" i="1"/>
  <c r="AM125" i="1"/>
  <c r="AN146" i="1"/>
  <c r="AO167" i="1"/>
  <c r="AM189" i="1"/>
  <c r="AN210" i="1"/>
  <c r="AO231" i="1"/>
  <c r="AO26" i="1"/>
  <c r="AM48" i="1"/>
  <c r="AN69" i="1"/>
  <c r="AO90" i="1"/>
  <c r="AM112" i="1"/>
  <c r="AN133" i="1"/>
  <c r="AO154" i="1"/>
  <c r="AM176" i="1"/>
  <c r="AN197" i="1"/>
  <c r="AO218" i="1"/>
  <c r="AM14" i="1"/>
  <c r="AN35" i="1"/>
  <c r="AO56" i="1"/>
  <c r="AM78" i="1"/>
  <c r="AN99" i="1"/>
  <c r="AO120" i="1"/>
  <c r="AM142" i="1"/>
  <c r="AN163" i="1"/>
  <c r="AO184" i="1"/>
  <c r="AM206" i="1"/>
  <c r="AN227" i="1"/>
  <c r="AO43" i="1"/>
  <c r="AM100" i="1"/>
  <c r="AO157" i="1"/>
  <c r="AN214" i="1"/>
  <c r="AN247" i="1"/>
  <c r="AO268" i="1"/>
  <c r="AM290" i="1"/>
  <c r="AN311" i="1"/>
  <c r="AO332" i="1"/>
  <c r="AM354" i="1"/>
  <c r="AN375" i="1"/>
  <c r="AO396" i="1"/>
  <c r="AM9" i="1"/>
  <c r="AN65" i="1"/>
  <c r="AM123" i="1"/>
  <c r="AO179" i="1"/>
  <c r="AN234" i="1"/>
  <c r="AO255" i="1"/>
  <c r="AM277" i="1"/>
  <c r="AN298" i="1"/>
  <c r="AO319" i="1"/>
  <c r="AM341" i="1"/>
  <c r="AN362" i="1"/>
  <c r="AO383" i="1"/>
  <c r="AM405" i="1"/>
  <c r="AO30" i="1"/>
  <c r="AN88" i="1"/>
  <c r="AM145" i="1"/>
  <c r="AN201" i="1"/>
  <c r="AO242" i="1"/>
  <c r="AM264" i="1"/>
  <c r="AN285" i="1"/>
  <c r="AO17" i="1"/>
  <c r="AN188" i="1"/>
  <c r="AO132" i="1"/>
  <c r="AM77" i="1"/>
  <c r="AN21" i="1"/>
  <c r="AM192" i="1"/>
  <c r="AO136" i="1"/>
  <c r="AN200" i="1"/>
  <c r="AN391" i="1"/>
  <c r="AM293" i="1"/>
  <c r="AM131" i="1"/>
  <c r="AM296" i="1"/>
  <c r="AN317" i="1"/>
  <c r="AO338" i="1"/>
  <c r="AM360" i="1"/>
  <c r="AN381" i="1"/>
  <c r="AO402" i="1"/>
  <c r="AN25" i="1"/>
  <c r="AM83" i="1"/>
  <c r="AO139" i="1"/>
  <c r="AM196" i="1"/>
  <c r="AO240" i="1"/>
  <c r="AM262" i="1"/>
  <c r="AN283" i="1"/>
  <c r="AO304" i="1"/>
  <c r="AM326" i="1"/>
  <c r="AN347" i="1"/>
  <c r="AO368" i="1"/>
  <c r="AN81" i="1"/>
  <c r="AO195" i="1"/>
  <c r="AO261" i="1"/>
  <c r="AN304" i="1"/>
  <c r="AM347" i="1"/>
  <c r="AM387" i="1"/>
  <c r="AN419" i="1"/>
  <c r="AO440" i="1"/>
  <c r="AM462" i="1"/>
  <c r="AN483" i="1"/>
  <c r="AO504" i="1"/>
  <c r="AM526" i="1"/>
  <c r="AN547" i="1"/>
  <c r="AO568" i="1"/>
  <c r="AM590" i="1"/>
  <c r="AN611" i="1"/>
  <c r="AO632" i="1"/>
  <c r="AM654" i="1"/>
  <c r="AN675" i="1"/>
  <c r="AO696" i="1"/>
  <c r="AM718" i="1"/>
  <c r="AO54" i="1"/>
  <c r="AM169" i="1"/>
  <c r="AO251" i="1"/>
  <c r="AN294" i="1"/>
  <c r="AM337" i="1"/>
  <c r="AM379" i="1"/>
  <c r="AN412" i="1"/>
  <c r="AO435" i="1"/>
  <c r="AM457" i="1"/>
  <c r="AN478" i="1"/>
  <c r="AO499" i="1"/>
  <c r="AM521" i="1"/>
  <c r="AN542" i="1"/>
  <c r="AO563" i="1"/>
  <c r="AM585" i="1"/>
  <c r="AN606" i="1"/>
  <c r="AN41" i="1"/>
  <c r="AO155" i="1"/>
  <c r="AO246" i="1"/>
  <c r="AN289" i="1"/>
  <c r="AM332" i="1"/>
  <c r="AO374" i="1"/>
  <c r="AM409" i="1"/>
  <c r="AN433" i="1"/>
  <c r="AO454" i="1"/>
  <c r="AM476" i="1"/>
  <c r="AN497" i="1"/>
  <c r="AO518" i="1"/>
  <c r="AM540" i="1"/>
  <c r="AN561" i="1"/>
  <c r="AO582" i="1"/>
  <c r="AM604" i="1"/>
  <c r="AN625" i="1"/>
  <c r="AO646" i="1"/>
  <c r="AM668" i="1"/>
  <c r="AN689" i="1"/>
  <c r="AO710" i="1"/>
  <c r="AN14" i="1"/>
  <c r="AN128" i="1"/>
  <c r="AN236" i="1"/>
  <c r="AM279" i="1"/>
  <c r="AO321" i="1"/>
  <c r="AN364" i="1"/>
  <c r="AM401" i="1"/>
  <c r="AN428" i="1"/>
  <c r="AO449" i="1"/>
  <c r="AM471" i="1"/>
  <c r="AN492" i="1"/>
  <c r="AO513" i="1"/>
  <c r="AM535" i="1"/>
  <c r="AN556" i="1"/>
  <c r="AO577" i="1"/>
  <c r="AM599" i="1"/>
  <c r="AN620" i="1"/>
  <c r="AO641" i="1"/>
  <c r="AM663" i="1"/>
  <c r="AN684" i="1"/>
  <c r="AO705" i="1"/>
  <c r="AM727" i="1"/>
  <c r="AM105" i="1"/>
  <c r="AM219" i="1"/>
  <c r="AN270" i="1"/>
  <c r="AM313" i="1"/>
  <c r="AO355" i="1"/>
  <c r="AN393" i="1"/>
  <c r="AO423" i="1"/>
  <c r="AM445" i="1"/>
  <c r="AN466" i="1"/>
  <c r="AO487" i="1"/>
  <c r="AM509" i="1"/>
  <c r="AN530" i="1"/>
  <c r="AO551" i="1"/>
  <c r="AM573" i="1"/>
  <c r="AN594" i="1"/>
  <c r="AO615" i="1"/>
  <c r="AO237" i="1"/>
  <c r="AO350" i="1"/>
  <c r="AM435" i="1"/>
  <c r="AO492" i="1"/>
  <c r="AN549" i="1"/>
  <c r="AO605" i="1"/>
  <c r="AO645" i="1"/>
  <c r="AM680" i="1"/>
  <c r="AN714" i="1"/>
  <c r="AO741" i="1"/>
  <c r="AM763" i="1"/>
  <c r="AN784" i="1"/>
  <c r="AO805" i="1"/>
  <c r="AM827" i="1"/>
  <c r="AN848" i="1"/>
  <c r="AO869" i="1"/>
  <c r="AM891" i="1"/>
  <c r="AN912" i="1"/>
  <c r="AO933" i="1"/>
  <c r="AM955" i="1"/>
  <c r="AN976" i="1"/>
  <c r="AM92" i="1"/>
  <c r="AN296" i="1"/>
  <c r="AM403" i="1"/>
  <c r="AN464" i="1"/>
  <c r="AM522" i="1"/>
  <c r="AO578" i="1"/>
  <c r="AN629" i="1"/>
  <c r="AO663" i="1"/>
  <c r="AM698" i="1"/>
  <c r="AN731" i="1"/>
  <c r="AO752" i="1"/>
  <c r="AM774" i="1"/>
  <c r="AN795" i="1"/>
  <c r="AO816" i="1"/>
  <c r="AM838" i="1"/>
  <c r="AN859" i="1"/>
  <c r="AO880" i="1"/>
  <c r="AM902" i="1"/>
  <c r="AN923" i="1"/>
  <c r="AO944" i="1"/>
  <c r="AM966" i="1"/>
  <c r="AO21" i="1"/>
  <c r="AO269" i="1"/>
  <c r="AO381" i="1"/>
  <c r="AM451" i="1"/>
  <c r="AM39" i="1"/>
  <c r="AO209" i="1"/>
  <c r="AM154" i="1"/>
  <c r="AN98" i="1"/>
  <c r="AO42" i="1"/>
  <c r="AN213" i="1"/>
  <c r="AM158" i="1"/>
  <c r="AM242" i="1"/>
  <c r="AO412" i="1"/>
  <c r="AN314" i="1"/>
  <c r="AO187" i="1"/>
  <c r="AO298" i="1"/>
  <c r="AM320" i="1"/>
  <c r="AN341" i="1"/>
  <c r="AO362" i="1"/>
  <c r="AM384" i="1"/>
  <c r="AN405" i="1"/>
  <c r="AM33" i="1"/>
  <c r="AN89" i="1"/>
  <c r="AM147" i="1"/>
  <c r="AO203" i="1"/>
  <c r="AN243" i="1"/>
  <c r="AO264" i="1"/>
  <c r="AM286" i="1"/>
  <c r="AN307" i="1"/>
  <c r="AO328" i="1"/>
  <c r="AM350" i="1"/>
  <c r="AN371" i="1"/>
  <c r="AN96" i="1"/>
  <c r="AN209" i="1"/>
  <c r="AM267" i="1"/>
  <c r="AO309" i="1"/>
  <c r="AN352" i="1"/>
  <c r="AO390" i="1"/>
  <c r="AM422" i="1"/>
  <c r="AN443" i="1"/>
  <c r="AO464" i="1"/>
  <c r="AM486" i="1"/>
  <c r="AN507" i="1"/>
  <c r="AO528" i="1"/>
  <c r="AM550" i="1"/>
  <c r="AN571" i="1"/>
  <c r="AO592" i="1"/>
  <c r="AM614" i="1"/>
  <c r="AN635" i="1"/>
  <c r="AO656" i="1"/>
  <c r="AM678" i="1"/>
  <c r="AN699" i="1"/>
  <c r="AO720" i="1"/>
  <c r="AO69" i="1"/>
  <c r="AO182" i="1"/>
  <c r="AM257" i="1"/>
  <c r="AO299" i="1"/>
  <c r="AN342" i="1"/>
  <c r="AO382" i="1"/>
  <c r="AM417" i="1"/>
  <c r="AN438" i="1"/>
  <c r="AO459" i="1"/>
  <c r="AM481" i="1"/>
  <c r="AN502" i="1"/>
  <c r="AO523" i="1"/>
  <c r="AM545" i="1"/>
  <c r="AN566" i="1"/>
  <c r="AO587" i="1"/>
  <c r="AM609" i="1"/>
  <c r="AN56" i="1"/>
  <c r="AN169" i="1"/>
  <c r="AM252" i="1"/>
  <c r="AO294" i="1"/>
  <c r="AN337" i="1"/>
  <c r="AN379" i="1"/>
  <c r="AO413" i="1"/>
  <c r="AM436" i="1"/>
  <c r="AN457" i="1"/>
  <c r="AO478" i="1"/>
  <c r="AM500" i="1"/>
  <c r="AN521" i="1"/>
  <c r="AO542" i="1"/>
  <c r="AM564" i="1"/>
  <c r="AN585" i="1"/>
  <c r="AO606" i="1"/>
  <c r="AM628" i="1"/>
  <c r="AN649" i="1"/>
  <c r="AO670" i="1"/>
  <c r="AM692" i="1"/>
  <c r="AN713" i="1"/>
  <c r="AM28" i="1"/>
  <c r="AN142" i="1"/>
  <c r="AO241" i="1"/>
  <c r="AN284" i="1"/>
  <c r="AM327" i="1"/>
  <c r="AO369" i="1"/>
  <c r="AO405" i="1"/>
  <c r="AM431" i="1"/>
  <c r="AN452" i="1"/>
  <c r="AO473" i="1"/>
  <c r="AM495" i="1"/>
  <c r="AN516" i="1"/>
  <c r="AO537" i="1"/>
  <c r="AM559" i="1"/>
  <c r="AN580" i="1"/>
  <c r="AO601" i="1"/>
  <c r="AM623" i="1"/>
  <c r="AN644" i="1"/>
  <c r="AO665" i="1"/>
  <c r="AM687" i="1"/>
  <c r="AN708" i="1"/>
  <c r="AO729" i="1"/>
  <c r="AO118" i="1"/>
  <c r="AM233" i="1"/>
  <c r="AO275" i="1"/>
  <c r="AN318" i="1"/>
  <c r="AM361" i="1"/>
  <c r="AM398" i="1"/>
  <c r="AN426" i="1"/>
  <c r="AO447" i="1"/>
  <c r="AM469" i="1"/>
  <c r="AN490" i="1"/>
  <c r="AO511" i="1"/>
  <c r="AM533" i="1"/>
  <c r="AN554" i="1"/>
  <c r="AO575" i="1"/>
  <c r="AM597" i="1"/>
  <c r="AN618" i="1"/>
  <c r="AO249" i="1"/>
  <c r="AO365" i="1"/>
  <c r="AO442" i="1"/>
  <c r="AM499" i="1"/>
  <c r="AO556" i="1"/>
  <c r="AN613" i="1"/>
  <c r="AN650" i="1"/>
  <c r="AO684" i="1"/>
  <c r="AN718" i="1"/>
  <c r="AN744" i="1"/>
  <c r="AO765" i="1"/>
  <c r="AM787" i="1"/>
  <c r="AN808" i="1"/>
  <c r="AO829" i="1"/>
  <c r="AM851" i="1"/>
  <c r="AN872" i="1"/>
  <c r="AO893" i="1"/>
  <c r="AM915" i="1"/>
  <c r="AN936" i="1"/>
  <c r="AO957" i="1"/>
  <c r="AM979" i="1"/>
  <c r="AN134" i="1"/>
  <c r="AN308" i="1"/>
  <c r="AN414" i="1"/>
  <c r="AM472" i="1"/>
  <c r="AN528" i="1"/>
  <c r="AM586" i="1"/>
  <c r="AM634" i="1"/>
  <c r="AO667" i="1"/>
  <c r="AO701" i="1"/>
  <c r="AM734" i="1"/>
  <c r="AN755" i="1"/>
  <c r="AO776" i="1"/>
  <c r="AM798" i="1"/>
  <c r="AN819" i="1"/>
  <c r="AO840" i="1"/>
  <c r="AM862" i="1"/>
  <c r="AN883" i="1"/>
  <c r="AO904" i="1"/>
  <c r="AM926" i="1"/>
  <c r="AN947" i="1"/>
  <c r="AO968" i="1"/>
  <c r="AO62" i="1"/>
  <c r="AO281" i="1"/>
  <c r="AN60" i="1"/>
  <c r="AM231" i="1"/>
  <c r="AN175" i="1"/>
  <c r="AO119" i="1"/>
  <c r="AM64" i="1"/>
  <c r="AO8" i="1"/>
  <c r="AN179" i="1"/>
  <c r="AN263" i="1"/>
  <c r="AO51" i="1"/>
  <c r="AO335" i="1"/>
  <c r="AN237" i="1"/>
  <c r="AN301" i="1"/>
  <c r="AO322" i="1"/>
  <c r="AM344" i="1"/>
  <c r="AN365" i="1"/>
  <c r="AO386" i="1"/>
  <c r="AM408" i="1"/>
  <c r="AN40" i="1"/>
  <c r="AM97" i="1"/>
  <c r="AN153" i="1"/>
  <c r="AM211" i="1"/>
  <c r="AM246" i="1"/>
  <c r="AN267" i="1"/>
  <c r="AO288" i="1"/>
  <c r="AM310" i="1"/>
  <c r="AN331" i="1"/>
  <c r="AO352" i="1"/>
  <c r="AM374" i="1"/>
  <c r="AN110" i="1"/>
  <c r="AN224" i="1"/>
  <c r="AN272" i="1"/>
  <c r="AM315" i="1"/>
  <c r="AO357" i="1"/>
  <c r="AN395" i="1"/>
  <c r="AO424" i="1"/>
  <c r="AM446" i="1"/>
  <c r="AN467" i="1"/>
  <c r="AO488" i="1"/>
  <c r="AM510" i="1"/>
  <c r="AN531" i="1"/>
  <c r="AO552" i="1"/>
  <c r="AM574" i="1"/>
  <c r="AN595" i="1"/>
  <c r="AO616" i="1"/>
  <c r="AM638" i="1"/>
  <c r="AN659" i="1"/>
  <c r="AO680" i="1"/>
  <c r="AM702" i="1"/>
  <c r="AN723" i="1"/>
  <c r="AO83" i="1"/>
  <c r="AO197" i="1"/>
  <c r="AN262" i="1"/>
  <c r="AM305" i="1"/>
  <c r="AO347" i="1"/>
  <c r="AN387" i="1"/>
  <c r="AO419" i="1"/>
  <c r="AM441" i="1"/>
  <c r="AN462" i="1"/>
  <c r="AO483" i="1"/>
  <c r="AM505" i="1"/>
  <c r="AN526" i="1"/>
  <c r="AO547" i="1"/>
  <c r="AM569" i="1"/>
  <c r="AN590" i="1"/>
  <c r="AO611" i="1"/>
  <c r="AN70" i="1"/>
  <c r="AN184" i="1"/>
  <c r="AN257" i="1"/>
  <c r="AM300" i="1"/>
  <c r="AO342" i="1"/>
  <c r="AM383" i="1"/>
  <c r="AN417" i="1"/>
  <c r="AO438" i="1"/>
  <c r="AM460" i="1"/>
  <c r="AN481" i="1"/>
  <c r="AO502" i="1"/>
  <c r="AM524" i="1"/>
  <c r="AN545" i="1"/>
  <c r="AO566" i="1"/>
  <c r="AM588" i="1"/>
  <c r="AN609" i="1"/>
  <c r="AO630" i="1"/>
  <c r="AM652" i="1"/>
  <c r="AN673" i="1"/>
  <c r="AO694" i="1"/>
  <c r="AM716" i="1"/>
  <c r="AM43" i="1"/>
  <c r="AM156" i="1"/>
  <c r="AM247" i="1"/>
  <c r="AO289" i="1"/>
  <c r="AN332" i="1"/>
  <c r="AM375" i="1"/>
  <c r="AN409" i="1"/>
  <c r="AO433" i="1"/>
  <c r="AM455" i="1"/>
  <c r="AN476" i="1"/>
  <c r="AO497" i="1"/>
  <c r="AM519" i="1"/>
  <c r="AN540" i="1"/>
  <c r="AO561" i="1"/>
  <c r="AM583" i="1"/>
  <c r="AN604" i="1"/>
  <c r="AO625" i="1"/>
  <c r="AM647" i="1"/>
  <c r="AN668" i="1"/>
  <c r="AO689" i="1"/>
  <c r="AM711" i="1"/>
  <c r="AO19" i="1"/>
  <c r="AO133" i="1"/>
  <c r="AN238" i="1"/>
  <c r="AM281" i="1"/>
  <c r="AO323" i="1"/>
  <c r="AN366" i="1"/>
  <c r="AO401" i="1"/>
  <c r="AM429" i="1"/>
  <c r="AN450" i="1"/>
  <c r="AO471" i="1"/>
  <c r="AM493" i="1"/>
  <c r="AN514" i="1"/>
  <c r="AO535" i="1"/>
  <c r="AM557" i="1"/>
  <c r="AN578" i="1"/>
  <c r="AO599" i="1"/>
  <c r="AN17" i="1"/>
  <c r="AN265" i="1"/>
  <c r="AN377" i="1"/>
  <c r="AM450" i="1"/>
  <c r="AO506" i="1"/>
  <c r="AM563" i="1"/>
  <c r="AO620" i="1"/>
  <c r="AN654" i="1"/>
  <c r="AN688" i="1"/>
  <c r="AO722" i="1"/>
  <c r="AM747" i="1"/>
  <c r="AN768" i="1"/>
  <c r="AO789" i="1"/>
  <c r="AM811" i="1"/>
  <c r="AN832" i="1"/>
  <c r="AO853" i="1"/>
  <c r="AM875" i="1"/>
  <c r="AN896" i="1"/>
  <c r="AO917" i="1"/>
  <c r="AM939" i="1"/>
  <c r="AN960" i="1"/>
  <c r="AO981" i="1"/>
  <c r="AN174" i="1"/>
  <c r="AM324" i="1"/>
  <c r="AO421" i="1"/>
  <c r="AN479" i="1"/>
  <c r="AM536" i="1"/>
  <c r="AN592" i="1"/>
  <c r="AO637" i="1"/>
  <c r="AM672" i="1"/>
  <c r="AN706" i="1"/>
  <c r="AO736" i="1"/>
  <c r="AM758" i="1"/>
  <c r="AN779" i="1"/>
  <c r="AO800" i="1"/>
  <c r="AM822" i="1"/>
  <c r="AN843" i="1"/>
  <c r="AO864" i="1"/>
  <c r="AM886" i="1"/>
  <c r="AN907" i="1"/>
  <c r="AO928" i="1"/>
  <c r="AM950" i="1"/>
  <c r="AN971" i="1"/>
  <c r="AO102" i="1"/>
  <c r="AN297" i="1"/>
  <c r="AO81" i="1"/>
  <c r="AM26" i="1"/>
  <c r="AO196" i="1"/>
  <c r="AM141" i="1"/>
  <c r="AN85" i="1"/>
  <c r="AM30" i="1"/>
  <c r="AO200" i="1"/>
  <c r="AO284" i="1"/>
  <c r="AM108" i="1"/>
  <c r="AM357" i="1"/>
  <c r="AO258" i="1"/>
  <c r="AM304" i="1"/>
  <c r="AN325" i="1"/>
  <c r="AO346" i="1"/>
  <c r="AM368" i="1"/>
  <c r="AN389" i="1"/>
  <c r="AO410" i="1"/>
  <c r="AO46" i="1"/>
  <c r="AN104" i="1"/>
  <c r="AM161" i="1"/>
  <c r="AN217" i="1"/>
  <c r="AO248" i="1"/>
  <c r="AM270" i="1"/>
  <c r="AN291" i="1"/>
  <c r="AO312" i="1"/>
  <c r="AM334" i="1"/>
  <c r="AN355" i="1"/>
  <c r="AM11" i="1"/>
  <c r="AM124" i="1"/>
  <c r="AM235" i="1"/>
  <c r="AO277" i="1"/>
  <c r="AN320" i="1"/>
  <c r="AM363" i="1"/>
  <c r="AM399" i="1"/>
  <c r="AN427" i="1"/>
  <c r="AO448" i="1"/>
  <c r="AM470" i="1"/>
  <c r="AN491" i="1"/>
  <c r="AO512" i="1"/>
  <c r="AM534" i="1"/>
  <c r="AN555" i="1"/>
  <c r="AO576" i="1"/>
  <c r="AM598" i="1"/>
  <c r="AN619" i="1"/>
  <c r="AO640" i="1"/>
  <c r="AM662" i="1"/>
  <c r="AN683" i="1"/>
  <c r="AO704" i="1"/>
  <c r="AM726" i="1"/>
  <c r="AN97" i="1"/>
  <c r="AO211" i="1"/>
  <c r="AO267" i="1"/>
  <c r="AN310" i="1"/>
  <c r="AM353" i="1"/>
  <c r="AM391" i="1"/>
  <c r="AN422" i="1"/>
  <c r="AO443" i="1"/>
  <c r="AM465" i="1"/>
  <c r="AN486" i="1"/>
  <c r="AO507" i="1"/>
  <c r="AM529" i="1"/>
  <c r="AN550" i="1"/>
  <c r="AO571" i="1"/>
  <c r="AM593" i="1"/>
  <c r="AN614" i="1"/>
  <c r="AM84" i="1"/>
  <c r="AN198" i="1"/>
  <c r="AO262" i="1"/>
  <c r="AN305" i="1"/>
  <c r="AM348" i="1"/>
  <c r="AO387" i="1"/>
  <c r="AM420" i="1"/>
  <c r="AN441" i="1"/>
  <c r="AO462" i="1"/>
  <c r="AM484" i="1"/>
  <c r="AN505" i="1"/>
  <c r="AO526" i="1"/>
  <c r="AM548" i="1"/>
  <c r="AN569" i="1"/>
  <c r="AO590" i="1"/>
  <c r="AM612" i="1"/>
  <c r="AN633" i="1"/>
  <c r="AO654" i="1"/>
  <c r="AM676" i="1"/>
  <c r="AN697" i="1"/>
  <c r="AO718" i="1"/>
  <c r="AM57" i="1"/>
  <c r="AM171" i="1"/>
  <c r="AN252" i="1"/>
  <c r="AM295" i="1"/>
  <c r="AO337" i="1"/>
  <c r="AO379" i="1"/>
  <c r="AM414" i="1"/>
  <c r="AN436" i="1"/>
  <c r="AO457" i="1"/>
  <c r="AM479" i="1"/>
  <c r="AN500" i="1"/>
  <c r="AO521" i="1"/>
  <c r="AM543" i="1"/>
  <c r="AN564" i="1"/>
  <c r="AO585" i="1"/>
  <c r="AM607" i="1"/>
  <c r="AN628" i="1"/>
  <c r="AO649" i="1"/>
  <c r="AM671" i="1"/>
  <c r="AN692" i="1"/>
  <c r="AO713" i="1"/>
  <c r="AN33" i="1"/>
  <c r="AO147" i="1"/>
  <c r="AO243" i="1"/>
  <c r="AN286" i="1"/>
  <c r="AM329" i="1"/>
  <c r="AO371" i="1"/>
  <c r="AN406" i="1"/>
  <c r="AO431" i="1"/>
  <c r="AM453" i="1"/>
  <c r="AN474" i="1"/>
  <c r="AO495" i="1"/>
  <c r="AM517" i="1"/>
  <c r="AN538" i="1"/>
  <c r="AO559" i="1"/>
  <c r="AM581" i="1"/>
  <c r="AN602" i="1"/>
  <c r="AN49" i="1"/>
  <c r="AN280" i="1"/>
  <c r="AM390" i="1"/>
  <c r="AN456" i="1"/>
  <c r="AM514" i="1"/>
  <c r="AO570" i="1"/>
  <c r="AN624" i="1"/>
  <c r="AO658" i="1"/>
  <c r="AM693" i="1"/>
  <c r="AN727" i="1"/>
  <c r="AO749" i="1"/>
  <c r="AM771" i="1"/>
  <c r="AN792" i="1"/>
  <c r="AO813" i="1"/>
  <c r="AM835" i="1"/>
  <c r="AN856" i="1"/>
  <c r="AO877" i="1"/>
  <c r="AM899" i="1"/>
  <c r="AN920" i="1"/>
  <c r="AO941" i="1"/>
  <c r="AM963" i="1"/>
  <c r="AN984" i="1"/>
  <c r="AN206" i="1"/>
  <c r="AM339" i="1"/>
  <c r="AN429" i="1"/>
  <c r="AO485" i="1"/>
  <c r="AN543" i="1"/>
  <c r="AM600" i="1"/>
  <c r="AN642" i="1"/>
  <c r="AO676" i="1"/>
  <c r="AN710" i="1"/>
  <c r="AN739" i="1"/>
  <c r="AO760" i="1"/>
  <c r="AM782" i="1"/>
  <c r="AN803" i="1"/>
  <c r="AO824" i="1"/>
  <c r="AM846" i="1"/>
  <c r="AN867" i="1"/>
  <c r="AO888" i="1"/>
  <c r="AM910" i="1"/>
  <c r="AN931" i="1"/>
  <c r="AO952" i="1"/>
  <c r="AM974" i="1"/>
  <c r="AO134" i="1"/>
  <c r="AN312" i="1"/>
  <c r="AM103" i="1"/>
  <c r="AN47" i="1"/>
  <c r="AM218" i="1"/>
  <c r="AN162" i="1"/>
  <c r="AO106" i="1"/>
  <c r="AN51" i="1"/>
  <c r="AM222" i="1"/>
  <c r="AM306" i="1"/>
  <c r="AO165" i="1"/>
  <c r="AN378" i="1"/>
  <c r="AM280" i="1"/>
  <c r="AO306" i="1"/>
  <c r="AM328" i="1"/>
  <c r="AN349" i="1"/>
  <c r="AO370" i="1"/>
  <c r="AM392" i="1"/>
  <c r="AN413" i="1"/>
  <c r="AN54" i="1"/>
  <c r="AO110" i="1"/>
  <c r="AN168" i="1"/>
  <c r="AM225" i="1"/>
  <c r="AN251" i="1"/>
  <c r="AO272" i="1"/>
  <c r="AM294" i="1"/>
  <c r="AN315" i="1"/>
  <c r="AO336" i="1"/>
  <c r="AM358" i="1"/>
  <c r="AM25" i="1"/>
  <c r="AM139" i="1"/>
  <c r="AN240" i="1"/>
  <c r="AM283" i="1"/>
  <c r="AO325" i="1"/>
  <c r="AN368" i="1"/>
  <c r="AO403" i="1"/>
  <c r="AM430" i="1"/>
  <c r="AN451" i="1"/>
  <c r="AO472" i="1"/>
  <c r="AM494" i="1"/>
  <c r="AN515" i="1"/>
  <c r="AO536" i="1"/>
  <c r="AM558" i="1"/>
  <c r="AN579" i="1"/>
  <c r="AO600" i="1"/>
  <c r="AM622" i="1"/>
  <c r="AN643" i="1"/>
  <c r="AO664" i="1"/>
  <c r="AM686" i="1"/>
  <c r="AN707" i="1"/>
  <c r="AO728" i="1"/>
  <c r="AN112" i="1"/>
  <c r="AN225" i="1"/>
  <c r="AM273" i="1"/>
  <c r="AO315" i="1"/>
  <c r="AN358" i="1"/>
  <c r="AO395" i="1"/>
  <c r="AM425" i="1"/>
  <c r="AN446" i="1"/>
  <c r="AO467" i="1"/>
  <c r="AM489" i="1"/>
  <c r="AN510" i="1"/>
  <c r="AO531" i="1"/>
  <c r="AM553" i="1"/>
  <c r="AN574" i="1"/>
  <c r="AO595" i="1"/>
  <c r="AM617" i="1"/>
  <c r="AM99" i="1"/>
  <c r="AM212" i="1"/>
  <c r="AM268" i="1"/>
  <c r="AO310" i="1"/>
  <c r="AN353" i="1"/>
  <c r="AN392" i="1"/>
  <c r="AO422" i="1"/>
  <c r="AM444" i="1"/>
  <c r="AN465" i="1"/>
  <c r="AO486" i="1"/>
  <c r="AM508" i="1"/>
  <c r="AN529" i="1"/>
  <c r="AO550" i="1"/>
  <c r="AM572" i="1"/>
  <c r="AN593" i="1"/>
  <c r="AO614" i="1"/>
  <c r="AM636" i="1"/>
  <c r="AN657" i="1"/>
  <c r="AO678" i="1"/>
  <c r="AM700" i="1"/>
  <c r="AN721" i="1"/>
  <c r="AO70" i="1"/>
  <c r="AM185" i="1"/>
  <c r="AO257" i="1"/>
  <c r="AN300" i="1"/>
  <c r="AM343" i="1"/>
  <c r="AN384" i="1"/>
  <c r="AO417" i="1"/>
  <c r="AM439" i="1"/>
  <c r="AN460" i="1"/>
  <c r="AO481" i="1"/>
  <c r="AM503" i="1"/>
  <c r="AN524" i="1"/>
  <c r="AO545" i="1"/>
  <c r="AM567" i="1"/>
  <c r="AN588" i="1"/>
  <c r="AO609" i="1"/>
  <c r="AM631" i="1"/>
  <c r="AN652" i="1"/>
  <c r="AO673" i="1"/>
  <c r="AM695" i="1"/>
  <c r="AN716" i="1"/>
  <c r="AN48" i="1"/>
  <c r="AN161" i="1"/>
  <c r="AM249" i="1"/>
  <c r="AO291" i="1"/>
  <c r="AN334" i="1"/>
  <c r="AO376" i="1"/>
  <c r="AM411" i="1"/>
  <c r="AN434" i="1"/>
  <c r="AO455" i="1"/>
  <c r="AM477" i="1"/>
  <c r="AN498" i="1"/>
  <c r="AO519" i="1"/>
  <c r="AM541" i="1"/>
  <c r="AN562" i="1"/>
  <c r="AO583" i="1"/>
  <c r="AM605" i="1"/>
  <c r="AO91" i="1"/>
  <c r="AN292" i="1"/>
  <c r="AN401" i="1"/>
  <c r="AM464" i="1"/>
  <c r="AN520" i="1"/>
  <c r="AM578" i="1"/>
  <c r="AM629" i="1"/>
  <c r="AN663" i="1"/>
  <c r="AM697" i="1"/>
  <c r="AM731" i="1"/>
  <c r="AN752" i="1"/>
  <c r="AO773" i="1"/>
  <c r="AM795" i="1"/>
  <c r="AN816" i="1"/>
  <c r="AO837" i="1"/>
  <c r="AM859" i="1"/>
  <c r="AN880" i="1"/>
  <c r="AO901" i="1"/>
  <c r="AM923" i="1"/>
  <c r="AN944" i="1"/>
  <c r="AO965" i="1"/>
  <c r="AM987" i="1"/>
  <c r="AO238" i="1"/>
  <c r="AM351" i="1"/>
  <c r="AO436" i="1"/>
  <c r="AN493" i="1"/>
  <c r="AO549" i="1"/>
  <c r="AN607" i="1"/>
  <c r="AN646" i="1"/>
  <c r="AN680" i="1"/>
  <c r="AO714" i="1"/>
  <c r="AM742" i="1"/>
  <c r="AN763" i="1"/>
  <c r="AO784" i="1"/>
  <c r="AM806" i="1"/>
  <c r="AN827" i="1"/>
  <c r="AO848" i="1"/>
  <c r="AM870" i="1"/>
  <c r="AN891" i="1"/>
  <c r="AO912" i="1"/>
  <c r="AM934" i="1"/>
  <c r="AN955" i="1"/>
  <c r="AO976" i="1"/>
  <c r="AM177" i="1"/>
  <c r="AN324" i="1"/>
  <c r="AN423" i="1"/>
  <c r="AM480" i="1"/>
  <c r="AO145" i="1"/>
  <c r="AM90" i="1"/>
  <c r="AN34" i="1"/>
  <c r="AM205" i="1"/>
  <c r="AN149" i="1"/>
  <c r="AM94" i="1"/>
  <c r="AN86" i="1"/>
  <c r="AO348" i="1"/>
  <c r="AN250" i="1"/>
  <c r="AM17" i="1"/>
  <c r="AO290" i="1"/>
  <c r="AM312" i="1"/>
  <c r="AN333" i="1"/>
  <c r="AO354" i="1"/>
  <c r="AM376" i="1"/>
  <c r="AN397" i="1"/>
  <c r="AO11" i="1"/>
  <c r="AM68" i="1"/>
  <c r="AO125" i="1"/>
  <c r="AN182" i="1"/>
  <c r="AN235" i="1"/>
  <c r="AO256" i="1"/>
  <c r="AM278" i="1"/>
  <c r="AN299" i="1"/>
  <c r="AO320" i="1"/>
  <c r="AM342" i="1"/>
  <c r="AN363" i="1"/>
  <c r="AO53" i="1"/>
  <c r="AO166" i="1"/>
  <c r="AM251" i="1"/>
  <c r="AO293" i="1"/>
  <c r="AN336" i="1"/>
  <c r="AO377" i="1"/>
  <c r="AM412" i="1"/>
  <c r="AN435" i="1"/>
  <c r="AO456" i="1"/>
  <c r="AM478" i="1"/>
  <c r="AN499" i="1"/>
  <c r="AO520" i="1"/>
  <c r="AM542" i="1"/>
  <c r="AN563" i="1"/>
  <c r="AO584" i="1"/>
  <c r="AM606" i="1"/>
  <c r="AN627" i="1"/>
  <c r="AO648" i="1"/>
  <c r="AM670" i="1"/>
  <c r="AN691" i="1"/>
  <c r="AO712" i="1"/>
  <c r="AM27" i="1"/>
  <c r="AM140" i="1"/>
  <c r="AM241" i="1"/>
  <c r="AO283" i="1"/>
  <c r="AN326" i="1"/>
  <c r="AM369" i="1"/>
  <c r="AM404" i="1"/>
  <c r="AN430" i="1"/>
  <c r="AO451" i="1"/>
  <c r="AM473" i="1"/>
  <c r="AN494" i="1"/>
  <c r="AO515" i="1"/>
  <c r="AM537" i="1"/>
  <c r="AN558" i="1"/>
  <c r="AO579" i="1"/>
  <c r="AM601" i="1"/>
  <c r="AO13" i="1"/>
  <c r="AO126" i="1"/>
  <c r="AM236" i="1"/>
  <c r="AO278" i="1"/>
  <c r="AN321" i="1"/>
  <c r="AM364" i="1"/>
  <c r="AO400" i="1"/>
  <c r="AM428" i="1"/>
  <c r="AN449" i="1"/>
  <c r="AO470" i="1"/>
  <c r="AM492" i="1"/>
  <c r="AN513" i="1"/>
  <c r="AO534" i="1"/>
  <c r="AM556" i="1"/>
  <c r="AN577" i="1"/>
  <c r="AO598" i="1"/>
  <c r="AM620" i="1"/>
  <c r="AN641" i="1"/>
  <c r="AO662" i="1"/>
  <c r="AM684" i="1"/>
  <c r="AN705" i="1"/>
  <c r="AO726" i="1"/>
  <c r="AO99" i="1"/>
  <c r="AO213" i="1"/>
  <c r="AN268" i="1"/>
  <c r="AM311" i="1"/>
  <c r="AO353" i="1"/>
  <c r="AO392" i="1"/>
  <c r="AM423" i="1"/>
  <c r="AN444" i="1"/>
  <c r="AO465" i="1"/>
  <c r="AM487" i="1"/>
  <c r="AN508" i="1"/>
  <c r="AO529" i="1"/>
  <c r="AM551" i="1"/>
  <c r="AN572" i="1"/>
  <c r="AO593" i="1"/>
  <c r="AM615" i="1"/>
  <c r="AN636" i="1"/>
  <c r="AO657" i="1"/>
  <c r="AM679" i="1"/>
  <c r="AN700" i="1"/>
  <c r="AO721" i="1"/>
  <c r="AM76" i="1"/>
  <c r="AN190" i="1"/>
  <c r="AO259" i="1"/>
  <c r="AN302" i="1"/>
  <c r="AM345" i="1"/>
  <c r="AM385" i="1"/>
  <c r="AN418" i="1"/>
  <c r="AO439" i="1"/>
  <c r="AM461" i="1"/>
  <c r="AN482" i="1"/>
  <c r="AO503" i="1"/>
  <c r="AM525" i="1"/>
  <c r="AN546" i="1"/>
  <c r="AO567" i="1"/>
  <c r="AM589" i="1"/>
  <c r="AN610" i="1"/>
  <c r="AO163" i="1"/>
  <c r="AM323" i="1"/>
  <c r="AN421" i="1"/>
  <c r="AO477" i="1"/>
  <c r="AN535" i="1"/>
  <c r="AM592" i="1"/>
  <c r="AN637" i="1"/>
  <c r="AO671" i="1"/>
  <c r="AM706" i="1"/>
  <c r="AN736" i="1"/>
  <c r="AO757" i="1"/>
  <c r="AM779" i="1"/>
  <c r="AN800" i="1"/>
  <c r="AO821" i="1"/>
  <c r="AM843" i="1"/>
  <c r="AN864" i="1"/>
  <c r="AO885" i="1"/>
  <c r="AM907" i="1"/>
  <c r="AN928" i="1"/>
  <c r="AO949" i="1"/>
  <c r="AM971" i="1"/>
  <c r="AM20" i="1"/>
  <c r="AO265" i="1"/>
  <c r="AM380" i="1"/>
  <c r="AO450" i="1"/>
  <c r="AM507" i="1"/>
  <c r="AO564" i="1"/>
  <c r="AM621" i="1"/>
  <c r="AN655" i="1"/>
  <c r="AM689" i="1"/>
  <c r="AM723" i="1"/>
  <c r="AN747" i="1"/>
  <c r="AO768" i="1"/>
  <c r="AM790" i="1"/>
  <c r="AN811" i="1"/>
  <c r="AO832" i="1"/>
  <c r="AM854" i="1"/>
  <c r="AN875" i="1"/>
  <c r="AO896" i="1"/>
  <c r="AM918" i="1"/>
  <c r="AN939" i="1"/>
  <c r="AO960" i="1"/>
  <c r="AM982" i="1"/>
  <c r="AM239" i="1"/>
  <c r="AM355" i="1"/>
  <c r="AM167" i="1"/>
  <c r="AN111" i="1"/>
  <c r="AO55" i="1"/>
  <c r="AN226" i="1"/>
  <c r="AO170" i="1"/>
  <c r="AN115" i="1"/>
  <c r="AO142" i="1"/>
  <c r="AM370" i="1"/>
  <c r="AO271" i="1"/>
  <c r="AN73" i="1"/>
  <c r="AN293" i="1"/>
  <c r="AO314" i="1"/>
  <c r="AM336" i="1"/>
  <c r="AN357" i="1"/>
  <c r="AO378" i="1"/>
  <c r="AM400" i="1"/>
  <c r="AM19" i="1"/>
  <c r="AO75" i="1"/>
  <c r="AM132" i="1"/>
  <c r="AO189" i="1"/>
  <c r="AM238" i="1"/>
  <c r="AN259" i="1"/>
  <c r="AO280" i="1"/>
  <c r="AM302" i="1"/>
  <c r="AN323" i="1"/>
  <c r="AO344" i="1"/>
  <c r="AM366" i="1"/>
  <c r="AO67" i="1"/>
  <c r="AO181" i="1"/>
  <c r="AN256" i="1"/>
  <c r="AM299" i="1"/>
  <c r="AO341" i="1"/>
  <c r="AN382" i="1"/>
  <c r="AO416" i="1"/>
  <c r="AM438" i="1"/>
  <c r="AN459" i="1"/>
  <c r="AO480" i="1"/>
  <c r="AM502" i="1"/>
  <c r="AN523" i="1"/>
  <c r="AO544" i="1"/>
  <c r="AM566" i="1"/>
  <c r="AN587" i="1"/>
  <c r="AO608" i="1"/>
  <c r="AM630" i="1"/>
  <c r="AN651" i="1"/>
  <c r="AO672" i="1"/>
  <c r="AM694" i="1"/>
  <c r="AN715" i="1"/>
  <c r="AM41" i="1"/>
  <c r="AM155" i="1"/>
  <c r="AN246" i="1"/>
  <c r="AM289" i="1"/>
  <c r="AO331" i="1"/>
  <c r="AN374" i="1"/>
  <c r="AO408" i="1"/>
  <c r="AM433" i="1"/>
  <c r="AN454" i="1"/>
  <c r="AO475" i="1"/>
  <c r="AM497" i="1"/>
  <c r="AN518" i="1"/>
  <c r="AO539" i="1"/>
  <c r="AM561" i="1"/>
  <c r="AN582" i="1"/>
  <c r="AO603" i="1"/>
  <c r="AO27" i="1"/>
  <c r="AO141" i="1"/>
  <c r="AN241" i="1"/>
  <c r="AM284" i="1"/>
  <c r="AO326" i="1"/>
  <c r="AN369" i="1"/>
  <c r="AN404" i="1"/>
  <c r="AO430" i="1"/>
  <c r="AM452" i="1"/>
  <c r="AN473" i="1"/>
  <c r="AO494" i="1"/>
  <c r="AM516" i="1"/>
  <c r="AN537" i="1"/>
  <c r="AO558" i="1"/>
  <c r="AM580" i="1"/>
  <c r="AN601" i="1"/>
  <c r="AO622" i="1"/>
  <c r="AM644" i="1"/>
  <c r="AN665" i="1"/>
  <c r="AO686" i="1"/>
  <c r="AM708" i="1"/>
  <c r="AN729" i="1"/>
  <c r="AN113" i="1"/>
  <c r="AO227" i="1"/>
  <c r="AO273" i="1"/>
  <c r="AN316" i="1"/>
  <c r="AM359" i="1"/>
  <c r="AN396" i="1"/>
  <c r="AO425" i="1"/>
  <c r="AM447" i="1"/>
  <c r="AN468" i="1"/>
  <c r="AO489" i="1"/>
  <c r="AM511" i="1"/>
  <c r="AN532" i="1"/>
  <c r="AO553" i="1"/>
  <c r="AM575" i="1"/>
  <c r="AN596" i="1"/>
  <c r="AO617" i="1"/>
  <c r="AM639" i="1"/>
  <c r="AN660" i="1"/>
  <c r="AO681" i="1"/>
  <c r="AM703" i="1"/>
  <c r="AN724" i="1"/>
  <c r="AM91" i="1"/>
  <c r="AM204" i="1"/>
  <c r="AM265" i="1"/>
  <c r="AO307" i="1"/>
  <c r="AN350" i="1"/>
  <c r="AO389" i="1"/>
  <c r="AM421" i="1"/>
  <c r="AN442" i="1"/>
  <c r="AO463" i="1"/>
  <c r="AM485" i="1"/>
  <c r="AN506" i="1"/>
  <c r="AO527" i="1"/>
  <c r="AM549" i="1"/>
  <c r="AN570" i="1"/>
  <c r="AO591" i="1"/>
  <c r="AM613" i="1"/>
  <c r="AO205" i="1"/>
  <c r="AM335" i="1"/>
  <c r="AO428" i="1"/>
  <c r="AN485" i="1"/>
  <c r="AO541" i="1"/>
  <c r="AN599" i="1"/>
  <c r="AM642" i="1"/>
  <c r="AO675" i="1"/>
  <c r="AO709" i="1"/>
  <c r="AM739" i="1"/>
  <c r="AN760" i="1"/>
  <c r="AO781" i="1"/>
  <c r="AM803" i="1"/>
  <c r="AN824" i="1"/>
  <c r="AO845" i="1"/>
  <c r="AM867" i="1"/>
  <c r="AN888" i="1"/>
  <c r="AO909" i="1"/>
  <c r="AM931" i="1"/>
  <c r="AN952" i="1"/>
  <c r="AO973" i="1"/>
  <c r="AM60" i="1"/>
  <c r="AN281" i="1"/>
  <c r="AN390" i="1"/>
  <c r="AM458" i="1"/>
  <c r="AO514" i="1"/>
  <c r="AM571" i="1"/>
  <c r="AM625" i="1"/>
  <c r="AM659" i="1"/>
  <c r="AN693" i="1"/>
  <c r="AO727" i="1"/>
  <c r="AM750" i="1"/>
  <c r="AN771" i="1"/>
  <c r="AO792" i="1"/>
  <c r="AM814" i="1"/>
  <c r="AN835" i="1"/>
  <c r="AO856" i="1"/>
  <c r="AM878" i="1"/>
  <c r="AN899" i="1"/>
  <c r="AO920" i="1"/>
  <c r="AM942" i="1"/>
  <c r="AN963" i="1"/>
  <c r="AO984" i="1"/>
  <c r="AO254" i="1"/>
  <c r="AM367" i="1"/>
  <c r="AO444" i="1"/>
  <c r="AN501" i="1"/>
  <c r="AN124" i="1"/>
  <c r="AN222" i="1"/>
  <c r="AM416" i="1"/>
  <c r="AM318" i="1"/>
  <c r="AO373" i="1"/>
  <c r="AO560" i="1"/>
  <c r="AM12" i="1"/>
  <c r="AM449" i="1"/>
  <c r="AO619" i="1"/>
  <c r="AO446" i="1"/>
  <c r="AN617" i="1"/>
  <c r="AM263" i="1"/>
  <c r="AO505" i="1"/>
  <c r="AN676" i="1"/>
  <c r="AN380" i="1"/>
  <c r="AM565" i="1"/>
  <c r="AN584" i="1"/>
  <c r="AM819" i="1"/>
  <c r="AO989" i="1"/>
  <c r="AM685" i="1"/>
  <c r="AO872" i="1"/>
  <c r="AM393" i="1"/>
  <c r="AN487" i="1"/>
  <c r="AN551" i="1"/>
  <c r="AM608" i="1"/>
  <c r="AN647" i="1"/>
  <c r="AM681" i="1"/>
  <c r="AM715" i="1"/>
  <c r="AN742" i="1"/>
  <c r="AO763" i="1"/>
  <c r="AM785" i="1"/>
  <c r="AN806" i="1"/>
  <c r="AO827" i="1"/>
  <c r="AM849" i="1"/>
  <c r="AN870" i="1"/>
  <c r="AO891" i="1"/>
  <c r="AM913" i="1"/>
  <c r="AN934" i="1"/>
  <c r="AO955" i="1"/>
  <c r="AM977" i="1"/>
  <c r="AN145" i="1"/>
  <c r="AN313" i="1"/>
  <c r="AN416" i="1"/>
  <c r="AM474" i="1"/>
  <c r="AO530" i="1"/>
  <c r="AM587" i="1"/>
  <c r="AO634" i="1"/>
  <c r="AM669" i="1"/>
  <c r="AN703" i="1"/>
  <c r="AO734" i="1"/>
  <c r="AM260" i="1"/>
  <c r="AM307" i="1"/>
  <c r="AO469" i="1"/>
  <c r="AM584" i="1"/>
  <c r="AO666" i="1"/>
  <c r="AN733" i="1"/>
  <c r="AM768" i="1"/>
  <c r="AN802" i="1"/>
  <c r="AO836" i="1"/>
  <c r="AM871" i="1"/>
  <c r="AN905" i="1"/>
  <c r="AO938" i="1"/>
  <c r="AM973" i="1"/>
  <c r="AN1000" i="1"/>
  <c r="AO1021" i="1"/>
  <c r="AM1043" i="1"/>
  <c r="AN1064" i="1"/>
  <c r="AO1085" i="1"/>
  <c r="AM1107" i="1"/>
  <c r="AN1128" i="1"/>
  <c r="AO1149" i="1"/>
  <c r="AM1171" i="1"/>
  <c r="AN1192" i="1"/>
  <c r="AO1213" i="1"/>
  <c r="AM1235" i="1"/>
  <c r="AN911" i="1"/>
  <c r="AM259" i="1"/>
  <c r="AM780" i="1"/>
  <c r="AN929" i="1"/>
  <c r="AM1034" i="1"/>
  <c r="AN1135" i="1"/>
  <c r="AM1202" i="1"/>
  <c r="AM276" i="1"/>
  <c r="AO460" i="1"/>
  <c r="AO573" i="1"/>
  <c r="AM661" i="1"/>
  <c r="AM729" i="1"/>
  <c r="AO68" i="1"/>
  <c r="AO399" i="1"/>
  <c r="AO61" i="1"/>
  <c r="AN339" i="1"/>
  <c r="AN408" i="1"/>
  <c r="AM582" i="1"/>
  <c r="AN126" i="1"/>
  <c r="AN470" i="1"/>
  <c r="AM113" i="1"/>
  <c r="AM468" i="1"/>
  <c r="AO638" i="1"/>
  <c r="AO305" i="1"/>
  <c r="AM527" i="1"/>
  <c r="AO697" i="1"/>
  <c r="AO414" i="1"/>
  <c r="AN586" i="1"/>
  <c r="AM633" i="1"/>
  <c r="AN840" i="1"/>
  <c r="AO253" i="1"/>
  <c r="AN719" i="1"/>
  <c r="AM894" i="1"/>
  <c r="AN403" i="1"/>
  <c r="AO493" i="1"/>
  <c r="AO557" i="1"/>
  <c r="AN615" i="1"/>
  <c r="AM651" i="1"/>
  <c r="AN685" i="1"/>
  <c r="AO719" i="1"/>
  <c r="AM745" i="1"/>
  <c r="AN766" i="1"/>
  <c r="AO787" i="1"/>
  <c r="AM809" i="1"/>
  <c r="AN830" i="1"/>
  <c r="AO851" i="1"/>
  <c r="AM873" i="1"/>
  <c r="AN894" i="1"/>
  <c r="AO915" i="1"/>
  <c r="AM937" i="1"/>
  <c r="AN958" i="1"/>
  <c r="AO979" i="1"/>
  <c r="AN177" i="1"/>
  <c r="AN328" i="1"/>
  <c r="AM424" i="1"/>
  <c r="AN480" i="1"/>
  <c r="AM538" i="1"/>
  <c r="AO594" i="1"/>
  <c r="AN639" i="1"/>
  <c r="AM673" i="1"/>
  <c r="AM707" i="1"/>
  <c r="AO35" i="1"/>
  <c r="AM275" i="1"/>
  <c r="AO334" i="1"/>
  <c r="AO484" i="1"/>
  <c r="AO597" i="1"/>
  <c r="AM675" i="1"/>
  <c r="AN738" i="1"/>
  <c r="AO772" i="1"/>
  <c r="AM807" i="1"/>
  <c r="AN841" i="1"/>
  <c r="AO874" i="1"/>
  <c r="AM909" i="1"/>
  <c r="AN943" i="1"/>
  <c r="AO977" i="1"/>
  <c r="AM1003" i="1"/>
  <c r="AN1024" i="1"/>
  <c r="AO1045" i="1"/>
  <c r="AM1067" i="1"/>
  <c r="AN1088" i="1"/>
  <c r="AO1109" i="1"/>
  <c r="AM1131" i="1"/>
  <c r="AN1152" i="1"/>
  <c r="AO1173" i="1"/>
  <c r="AM1195" i="1"/>
  <c r="AN1216" i="1"/>
  <c r="AO1237" i="1"/>
  <c r="AN1156" i="1"/>
  <c r="AO524" i="1"/>
  <c r="AN801" i="1"/>
  <c r="AM946" i="1"/>
  <c r="AM1050" i="1"/>
  <c r="AN1143" i="1"/>
  <c r="AO1212" i="1"/>
  <c r="AO313" i="1"/>
  <c r="AO474" i="1"/>
  <c r="AO588" i="1"/>
  <c r="AN669" i="1"/>
  <c r="AM735" i="1"/>
  <c r="AM13" i="1"/>
  <c r="AM288" i="1"/>
  <c r="AN118" i="1"/>
  <c r="AO360" i="1"/>
  <c r="AO432" i="1"/>
  <c r="AN603" i="1"/>
  <c r="AO235" i="1"/>
  <c r="AO491" i="1"/>
  <c r="AM227" i="1"/>
  <c r="AN489" i="1"/>
  <c r="AM660" i="1"/>
  <c r="AN348" i="1"/>
  <c r="AN548" i="1"/>
  <c r="AM719" i="1"/>
  <c r="AM437" i="1"/>
  <c r="AO607" i="1"/>
  <c r="AM667" i="1"/>
  <c r="AO861" i="1"/>
  <c r="AO366" i="1"/>
  <c r="AO744" i="1"/>
  <c r="AN915" i="1"/>
  <c r="AM415" i="1"/>
  <c r="AO508" i="1"/>
  <c r="AN565" i="1"/>
  <c r="AN621" i="1"/>
  <c r="AO655" i="1"/>
  <c r="AM690" i="1"/>
  <c r="AO723" i="1"/>
  <c r="AO747" i="1"/>
  <c r="AM769" i="1"/>
  <c r="AN790" i="1"/>
  <c r="AO811" i="1"/>
  <c r="AM833" i="1"/>
  <c r="AN854" i="1"/>
  <c r="AO875" i="1"/>
  <c r="AM897" i="1"/>
  <c r="AN918" i="1"/>
  <c r="AO939" i="1"/>
  <c r="AM961" i="1"/>
  <c r="AN982" i="1"/>
  <c r="AO219" i="1"/>
  <c r="AN340" i="1"/>
  <c r="AN431" i="1"/>
  <c r="AM488" i="1"/>
  <c r="AN544" i="1"/>
  <c r="AM602" i="1"/>
  <c r="AM643" i="1"/>
  <c r="AN677" i="1"/>
  <c r="AO711" i="1"/>
  <c r="AO77" i="1"/>
  <c r="AM287" i="1"/>
  <c r="AO361" i="1"/>
  <c r="AO498" i="1"/>
  <c r="AO612" i="1"/>
  <c r="AO683" i="1"/>
  <c r="AM743" i="1"/>
  <c r="AN777" i="1"/>
  <c r="AO810" i="1"/>
  <c r="AM845" i="1"/>
  <c r="AN879" i="1"/>
  <c r="AO913" i="1"/>
  <c r="AM948" i="1"/>
  <c r="AN981" i="1"/>
  <c r="AO1005" i="1"/>
  <c r="AM1027" i="1"/>
  <c r="AN1048" i="1"/>
  <c r="AO1069" i="1"/>
  <c r="AM1091" i="1"/>
  <c r="AN1112" i="1"/>
  <c r="AO1133" i="1"/>
  <c r="AM1155" i="1"/>
  <c r="AN1176" i="1"/>
  <c r="AO1197" i="1"/>
  <c r="AM1219" i="1"/>
  <c r="AN1240" i="1"/>
  <c r="AO1193" i="1"/>
  <c r="AM595" i="1"/>
  <c r="AM831" i="1"/>
  <c r="AM959" i="1"/>
  <c r="AM1066" i="1"/>
  <c r="AO1148" i="1"/>
  <c r="AN1223" i="1"/>
  <c r="AN344" i="1"/>
  <c r="AN488" i="1"/>
  <c r="AO602" i="1"/>
  <c r="AO677" i="1"/>
  <c r="AO738" i="1"/>
  <c r="AO183" i="1"/>
  <c r="AN309" i="1"/>
  <c r="AO174" i="1"/>
  <c r="AO38" i="1"/>
  <c r="AM454" i="1"/>
  <c r="AO624" i="1"/>
  <c r="AN278" i="1"/>
  <c r="AM513" i="1"/>
  <c r="AN273" i="1"/>
  <c r="AO510" i="1"/>
  <c r="AN681" i="1"/>
  <c r="AM388" i="1"/>
  <c r="AO569" i="1"/>
  <c r="AN62" i="1"/>
  <c r="AN458" i="1"/>
  <c r="AO131" i="1"/>
  <c r="AN701" i="1"/>
  <c r="AM883" i="1"/>
  <c r="AM443" i="1"/>
  <c r="AM766" i="1"/>
  <c r="AO936" i="1"/>
  <c r="AO429" i="1"/>
  <c r="AM515" i="1"/>
  <c r="AO572" i="1"/>
  <c r="AM626" i="1"/>
  <c r="AO659" i="1"/>
  <c r="AO693" i="1"/>
  <c r="AM728" i="1"/>
  <c r="AN750" i="1"/>
  <c r="AO771" i="1"/>
  <c r="AM793" i="1"/>
  <c r="AN814" i="1"/>
  <c r="AO835" i="1"/>
  <c r="AM857" i="1"/>
  <c r="AN878" i="1"/>
  <c r="AO899" i="1"/>
  <c r="AM921" i="1"/>
  <c r="AN942" i="1"/>
  <c r="AO963" i="1"/>
  <c r="AM985" i="1"/>
  <c r="AM243" i="1"/>
  <c r="AM356" i="1"/>
  <c r="AO437" i="1"/>
  <c r="AN495" i="1"/>
  <c r="AM552" i="1"/>
  <c r="AN608" i="1"/>
  <c r="AO647" i="1"/>
  <c r="AM682" i="1"/>
  <c r="AO715" i="1"/>
  <c r="AO117" i="1"/>
  <c r="AO302" i="1"/>
  <c r="AN388" i="1"/>
  <c r="AN512" i="1"/>
  <c r="AM624" i="1"/>
  <c r="AO692" i="1"/>
  <c r="AO746" i="1"/>
  <c r="AM781" i="1"/>
  <c r="AN815" i="1"/>
  <c r="AO849" i="1"/>
  <c r="AM884" i="1"/>
  <c r="AN917" i="1"/>
  <c r="AO951" i="1"/>
  <c r="AM986" i="1"/>
  <c r="AN1008" i="1"/>
  <c r="AO1029" i="1"/>
  <c r="AM1051" i="1"/>
  <c r="AN1072" i="1"/>
  <c r="AO1093" i="1"/>
  <c r="AM1115" i="1"/>
  <c r="AN1136" i="1"/>
  <c r="AO1157" i="1"/>
  <c r="AM1179" i="1"/>
  <c r="AN1200" i="1"/>
  <c r="AO1221" i="1"/>
  <c r="AM1243" i="1"/>
  <c r="AN1204" i="1"/>
  <c r="AO639" i="1"/>
  <c r="AM856" i="1"/>
  <c r="AM972" i="1"/>
  <c r="AN1079" i="1"/>
  <c r="AO1156" i="1"/>
  <c r="AO1236" i="1"/>
  <c r="AM372" i="1"/>
  <c r="AN503" i="1"/>
  <c r="AN616" i="1"/>
  <c r="AN686" i="1"/>
  <c r="AM128" i="1"/>
  <c r="AO330" i="1"/>
  <c r="AN232" i="1"/>
  <c r="AM153" i="1"/>
  <c r="AN475" i="1"/>
  <c r="AM646" i="1"/>
  <c r="AM321" i="1"/>
  <c r="AN534" i="1"/>
  <c r="AM316" i="1"/>
  <c r="AM532" i="1"/>
  <c r="AO702" i="1"/>
  <c r="AN420" i="1"/>
  <c r="AM591" i="1"/>
  <c r="AN176" i="1"/>
  <c r="AO479" i="1"/>
  <c r="AM308" i="1"/>
  <c r="AO733" i="1"/>
  <c r="AN904" i="1"/>
  <c r="AO500" i="1"/>
  <c r="AN787" i="1"/>
  <c r="AM958" i="1"/>
  <c r="AN437" i="1"/>
  <c r="AO522" i="1"/>
  <c r="AM579" i="1"/>
  <c r="AO629" i="1"/>
  <c r="AM664" i="1"/>
  <c r="AN698" i="1"/>
  <c r="AO731" i="1"/>
  <c r="AM753" i="1"/>
  <c r="AN774" i="1"/>
  <c r="AO795" i="1"/>
  <c r="AM817" i="1"/>
  <c r="AN838" i="1"/>
  <c r="AO859" i="1"/>
  <c r="AM881" i="1"/>
  <c r="AN902" i="1"/>
  <c r="AO923" i="1"/>
  <c r="AM945" i="1"/>
  <c r="AN966" i="1"/>
  <c r="AO987" i="1"/>
  <c r="AM255" i="1"/>
  <c r="AM371" i="1"/>
  <c r="AN445" i="1"/>
  <c r="AO501" i="1"/>
  <c r="AN559" i="1"/>
  <c r="AM616" i="1"/>
  <c r="AO651" i="1"/>
  <c r="AO685" i="1"/>
  <c r="AM720" i="1"/>
  <c r="AO149" i="1"/>
  <c r="AM35" i="1"/>
  <c r="AN411" i="1"/>
  <c r="AN527" i="1"/>
  <c r="AN632" i="1"/>
  <c r="AM701" i="1"/>
  <c r="AN751" i="1"/>
  <c r="AO785" i="1"/>
  <c r="AM820" i="1"/>
  <c r="AN853" i="1"/>
  <c r="AO887" i="1"/>
  <c r="AM922" i="1"/>
  <c r="AN956" i="1"/>
  <c r="AN989" i="1"/>
  <c r="AM1011" i="1"/>
  <c r="AN1032" i="1"/>
  <c r="AO1053" i="1"/>
  <c r="AM1075" i="1"/>
  <c r="AN1096" i="1"/>
  <c r="AO1117" i="1"/>
  <c r="AM1139" i="1"/>
  <c r="AN1160" i="1"/>
  <c r="AO1181" i="1"/>
  <c r="AM1203" i="1"/>
  <c r="AN1224" i="1"/>
  <c r="AO1245" i="1"/>
  <c r="AO1217" i="1"/>
  <c r="AM674" i="1"/>
  <c r="AM869" i="1"/>
  <c r="AM984" i="1"/>
  <c r="AM1090" i="1"/>
  <c r="AN1159" i="1"/>
  <c r="AO1244" i="1"/>
  <c r="AM395" i="1"/>
  <c r="AN517" i="1"/>
  <c r="AO626" i="1"/>
  <c r="AN695" i="1"/>
  <c r="AO72" i="1"/>
  <c r="AM352" i="1"/>
  <c r="AM254" i="1"/>
  <c r="AO245" i="1"/>
  <c r="AO496" i="1"/>
  <c r="AN667" i="1"/>
  <c r="AO363" i="1"/>
  <c r="AO555" i="1"/>
  <c r="AO358" i="1"/>
  <c r="AN553" i="1"/>
  <c r="AM724" i="1"/>
  <c r="AO441" i="1"/>
  <c r="AN612" i="1"/>
  <c r="AN254" i="1"/>
  <c r="AM501" i="1"/>
  <c r="AO411" i="1"/>
  <c r="AM755" i="1"/>
  <c r="AO925" i="1"/>
  <c r="AN557" i="1"/>
  <c r="AO808" i="1"/>
  <c r="AN979" i="1"/>
  <c r="AO458" i="1"/>
  <c r="AM530" i="1"/>
  <c r="AO586" i="1"/>
  <c r="AN634" i="1"/>
  <c r="AO668" i="1"/>
  <c r="AN702" i="1"/>
  <c r="AN734" i="1"/>
  <c r="AO755" i="1"/>
  <c r="AM777" i="1"/>
  <c r="AN798" i="1"/>
  <c r="AO819" i="1"/>
  <c r="AM841" i="1"/>
  <c r="AN862" i="1"/>
  <c r="AO883" i="1"/>
  <c r="AM905" i="1"/>
  <c r="AN926" i="1"/>
  <c r="AO947" i="1"/>
  <c r="AM969" i="1"/>
  <c r="AN32" i="1"/>
  <c r="AO270" i="1"/>
  <c r="AM382" i="1"/>
  <c r="AO452" i="1"/>
  <c r="AN509" i="1"/>
  <c r="AO565" i="1"/>
  <c r="AO621" i="1"/>
  <c r="AM656" i="1"/>
  <c r="AN690" i="1"/>
  <c r="AO724" i="1"/>
  <c r="AO190" i="1"/>
  <c r="AM121" i="1"/>
  <c r="AM427" i="1"/>
  <c r="AN541" i="1"/>
  <c r="AM641" i="1"/>
  <c r="AN709" i="1"/>
  <c r="AM756" i="1"/>
  <c r="AN789" i="1"/>
  <c r="AO823" i="1"/>
  <c r="AM858" i="1"/>
  <c r="AN892" i="1"/>
  <c r="AO926" i="1"/>
  <c r="AM960" i="1"/>
  <c r="AN992" i="1"/>
  <c r="AO1013" i="1"/>
  <c r="AM1035" i="1"/>
  <c r="AN1056" i="1"/>
  <c r="AO1077" i="1"/>
  <c r="AM1099" i="1"/>
  <c r="AN1120" i="1"/>
  <c r="AO1141" i="1"/>
  <c r="AM1163" i="1"/>
  <c r="AN1184" i="1"/>
  <c r="AO1205" i="1"/>
  <c r="AM1227" i="1"/>
  <c r="AN1248" i="1"/>
  <c r="AO1225" i="1"/>
  <c r="AM699" i="1"/>
  <c r="AN890" i="1"/>
  <c r="AO996" i="1"/>
  <c r="AM1106" i="1"/>
  <c r="AN1167" i="1"/>
  <c r="AN46" i="1"/>
  <c r="AM418" i="1"/>
  <c r="AM531" i="1"/>
  <c r="AM635" i="1"/>
  <c r="AO29" i="1"/>
  <c r="AN373" i="1"/>
  <c r="AN275" i="1"/>
  <c r="AN288" i="1"/>
  <c r="AM518" i="1"/>
  <c r="AO688" i="1"/>
  <c r="AN400" i="1"/>
  <c r="AM577" i="1"/>
  <c r="AM396" i="1"/>
  <c r="AO574" i="1"/>
  <c r="AO85" i="1"/>
  <c r="AM463" i="1"/>
  <c r="AO633" i="1"/>
  <c r="AM297" i="1"/>
  <c r="AN522" i="1"/>
  <c r="AN471" i="1"/>
  <c r="AN776" i="1"/>
  <c r="AM947" i="1"/>
  <c r="AO613" i="1"/>
  <c r="AM830" i="1"/>
  <c r="AM217" i="1"/>
  <c r="AM466" i="1"/>
  <c r="AN536" i="1"/>
  <c r="AM594" i="1"/>
  <c r="AN638" i="1"/>
  <c r="AN672" i="1"/>
  <c r="AO706" i="1"/>
  <c r="AM737" i="1"/>
  <c r="AN758" i="1"/>
  <c r="AO779" i="1"/>
  <c r="AM801" i="1"/>
  <c r="AN822" i="1"/>
  <c r="AO843" i="1"/>
  <c r="AM865" i="1"/>
  <c r="AN886" i="1"/>
  <c r="AO907" i="1"/>
  <c r="AM929" i="1"/>
  <c r="AN950" i="1"/>
  <c r="AO971" i="1"/>
  <c r="AN64" i="1"/>
  <c r="AO285" i="1"/>
  <c r="AO393" i="1"/>
  <c r="AM459" i="1"/>
  <c r="AO516" i="1"/>
  <c r="AN573" i="1"/>
  <c r="AN626" i="1"/>
  <c r="AO660" i="1"/>
  <c r="AN694" i="1"/>
  <c r="AN728" i="1"/>
  <c r="AO230" i="1"/>
  <c r="AN233" i="1"/>
  <c r="AM442" i="1"/>
  <c r="AM555" i="1"/>
  <c r="AM650" i="1"/>
  <c r="AO717" i="1"/>
  <c r="AO759" i="1"/>
  <c r="AM794" i="1"/>
  <c r="AN828" i="1"/>
  <c r="AO862" i="1"/>
  <c r="AM896" i="1"/>
  <c r="AN930" i="1"/>
  <c r="AO964" i="1"/>
  <c r="AM995" i="1"/>
  <c r="AN1016" i="1"/>
  <c r="AO1037" i="1"/>
  <c r="AM1059" i="1"/>
  <c r="AN1080" i="1"/>
  <c r="AO1101" i="1"/>
  <c r="AM1123" i="1"/>
  <c r="AN1144" i="1"/>
  <c r="AO1165" i="1"/>
  <c r="AM1187" i="1"/>
  <c r="AN1208" i="1"/>
  <c r="AO1229" i="1"/>
  <c r="AM1251" i="1"/>
  <c r="AN1236" i="1"/>
  <c r="AN737" i="1"/>
  <c r="AO898" i="1"/>
  <c r="AN1007" i="1"/>
  <c r="AO1116" i="1"/>
  <c r="AM1178" i="1"/>
  <c r="AM148" i="1"/>
  <c r="AM432" i="1"/>
  <c r="AM546" i="1"/>
  <c r="AO643" i="1"/>
  <c r="AM712" i="1"/>
  <c r="AN327" i="1"/>
  <c r="AO394" i="1"/>
  <c r="AO296" i="1"/>
  <c r="AM331" i="1"/>
  <c r="AN539" i="1"/>
  <c r="AM710" i="1"/>
  <c r="AO427" i="1"/>
  <c r="AN598" i="1"/>
  <c r="AN425" i="1"/>
  <c r="AM596" i="1"/>
  <c r="AO198" i="1"/>
  <c r="AN484" i="1"/>
  <c r="AM655" i="1"/>
  <c r="AO339" i="1"/>
  <c r="AO543" i="1"/>
  <c r="AM528" i="1"/>
  <c r="AO797" i="1"/>
  <c r="AN968" i="1"/>
  <c r="AO650" i="1"/>
  <c r="AN851" i="1"/>
  <c r="AM340" i="1"/>
  <c r="AN472" i="1"/>
  <c r="AM544" i="1"/>
  <c r="AN600" i="1"/>
  <c r="AO642" i="1"/>
  <c r="AM677" i="1"/>
  <c r="AN711" i="1"/>
  <c r="AO739" i="1"/>
  <c r="AM761" i="1"/>
  <c r="AN782" i="1"/>
  <c r="AO803" i="1"/>
  <c r="AM825" i="1"/>
  <c r="AN846" i="1"/>
  <c r="AO867" i="1"/>
  <c r="AM889" i="1"/>
  <c r="AN910" i="1"/>
  <c r="AO931" i="1"/>
  <c r="AM953" i="1"/>
  <c r="AN974" i="1"/>
  <c r="AN105" i="1"/>
  <c r="AO297" i="1"/>
  <c r="AM406" i="1"/>
  <c r="AO466" i="1"/>
  <c r="AM523" i="1"/>
  <c r="AO580" i="1"/>
  <c r="AN630" i="1"/>
  <c r="AN664" i="1"/>
  <c r="AO698" i="1"/>
  <c r="AM732" i="1"/>
  <c r="AN244" i="1"/>
  <c r="AM271" i="1"/>
  <c r="AM456" i="1"/>
  <c r="AM570" i="1"/>
  <c r="AN658" i="1"/>
  <c r="AN726" i="1"/>
  <c r="AN764" i="1"/>
  <c r="AO798" i="1"/>
  <c r="AM832" i="1"/>
  <c r="AN866" i="1"/>
  <c r="AO900" i="1"/>
  <c r="AM935" i="1"/>
  <c r="AN969" i="1"/>
  <c r="AO997" i="1"/>
  <c r="AM1019" i="1"/>
  <c r="AN1040" i="1"/>
  <c r="AO1061" i="1"/>
  <c r="AM1083" i="1"/>
  <c r="AN1104" i="1"/>
  <c r="AO1125" i="1"/>
  <c r="AM1147" i="1"/>
  <c r="AN1168" i="1"/>
  <c r="AO1189" i="1"/>
  <c r="AM1211" i="1"/>
  <c r="AN1232" i="1"/>
  <c r="AO1253" i="1"/>
  <c r="AM1247" i="1"/>
  <c r="AM754" i="1"/>
  <c r="AO911" i="1"/>
  <c r="AN1015" i="1"/>
  <c r="AN1127" i="1"/>
  <c r="AN1191" i="1"/>
  <c r="AO233" i="1"/>
  <c r="AO445" i="1"/>
  <c r="AM560" i="1"/>
  <c r="AO652" i="1"/>
  <c r="AN720" i="1"/>
  <c r="AO703" i="1"/>
  <c r="AM773" i="1"/>
  <c r="AN807" i="1"/>
  <c r="AO841" i="1"/>
  <c r="AM876" i="1"/>
  <c r="AN909" i="1"/>
  <c r="AO943" i="1"/>
  <c r="AM978" i="1"/>
  <c r="AN1003" i="1"/>
  <c r="AO1024" i="1"/>
  <c r="AM1046" i="1"/>
  <c r="AN1067" i="1"/>
  <c r="AO1088" i="1"/>
  <c r="AM1110" i="1"/>
  <c r="AN1131" i="1"/>
  <c r="AO1152" i="1"/>
  <c r="AM1174" i="1"/>
  <c r="AN1195" i="1"/>
  <c r="AO1216" i="1"/>
  <c r="AM1238" i="1"/>
  <c r="AM1103" i="1"/>
  <c r="AM1191" i="1"/>
  <c r="AO384" i="1"/>
  <c r="AN656" i="1"/>
  <c r="AO809" i="1"/>
  <c r="AN916" i="1"/>
  <c r="AM1026" i="1"/>
  <c r="AO1140" i="1"/>
  <c r="AM1210" i="1"/>
  <c r="AO453" i="1"/>
  <c r="AO317" i="1"/>
  <c r="AM475" i="1"/>
  <c r="AN589" i="1"/>
  <c r="AO669" i="1"/>
  <c r="AN735" i="1"/>
  <c r="AO769" i="1"/>
  <c r="AM804" i="1"/>
  <c r="AN837" i="1"/>
  <c r="AO871" i="1"/>
  <c r="AM906" i="1"/>
  <c r="AN940" i="1"/>
  <c r="AO974" i="1"/>
  <c r="AM1001" i="1"/>
  <c r="AN1022" i="1"/>
  <c r="AO1043" i="1"/>
  <c r="AM1065" i="1"/>
  <c r="AN1086" i="1"/>
  <c r="AO1107" i="1"/>
  <c r="AM1129" i="1"/>
  <c r="AN1150" i="1"/>
  <c r="AO1171" i="1"/>
  <c r="AM1193" i="1"/>
  <c r="AN1214" i="1"/>
  <c r="AO1235" i="1"/>
  <c r="AN78" i="1"/>
  <c r="AO562" i="1"/>
  <c r="AO730" i="1"/>
  <c r="AM800" i="1"/>
  <c r="AO855" i="1"/>
  <c r="AO932" i="1"/>
  <c r="AN1004" i="1"/>
  <c r="AO1049" i="1"/>
  <c r="AM1095" i="1"/>
  <c r="AM1143" i="1"/>
  <c r="AO1201" i="1"/>
  <c r="AN749" i="1"/>
  <c r="AO937" i="1"/>
  <c r="AO1044" i="1"/>
  <c r="AN1103" i="1"/>
  <c r="AN1183" i="1"/>
  <c r="AM163" i="1"/>
  <c r="AM434" i="1"/>
  <c r="AM547" i="1"/>
  <c r="AM645" i="1"/>
  <c r="AM713" i="1"/>
  <c r="AM757" i="1"/>
  <c r="AN791" i="1"/>
  <c r="AO825" i="1"/>
  <c r="AM860" i="1"/>
  <c r="AN893" i="1"/>
  <c r="AO927" i="1"/>
  <c r="AM962" i="1"/>
  <c r="AN993" i="1"/>
  <c r="AO1014" i="1"/>
  <c r="AM1036" i="1"/>
  <c r="AN1057" i="1"/>
  <c r="AO1078" i="1"/>
  <c r="AM1100" i="1"/>
  <c r="AN1121" i="1"/>
  <c r="AO1142" i="1"/>
  <c r="AM1164" i="1"/>
  <c r="AN1185" i="1"/>
  <c r="AO1206" i="1"/>
  <c r="AM1228" i="1"/>
  <c r="AN1249" i="1"/>
  <c r="AN463" i="1"/>
  <c r="AM637" i="1"/>
  <c r="AO753" i="1"/>
  <c r="AO830" i="1"/>
  <c r="AO906" i="1"/>
  <c r="AN975" i="1"/>
  <c r="AO1017" i="1"/>
  <c r="AO1057" i="1"/>
  <c r="AO1097" i="1"/>
  <c r="AM1159" i="1"/>
  <c r="AO1241" i="1"/>
  <c r="AO509" i="1"/>
  <c r="AO745" i="1"/>
  <c r="AN852" i="1"/>
  <c r="AN999" i="1"/>
  <c r="AO1068" i="1"/>
  <c r="AM1170" i="1"/>
  <c r="AO329" i="1"/>
  <c r="AN623" i="1"/>
  <c r="AO814" i="1"/>
  <c r="AM951" i="1"/>
  <c r="AN1050" i="1"/>
  <c r="AO1135" i="1"/>
  <c r="AM1221" i="1"/>
  <c r="AN754" i="1"/>
  <c r="AM1141" i="1"/>
  <c r="AM1216" i="1"/>
  <c r="AN1197" i="1"/>
  <c r="AO691" i="1"/>
  <c r="AN849" i="1"/>
  <c r="AO985" i="1"/>
  <c r="AM1072" i="1"/>
  <c r="AN1157" i="1"/>
  <c r="AO1242" i="1"/>
  <c r="AN1021" i="1"/>
  <c r="AN264" i="1"/>
  <c r="AN857" i="1"/>
  <c r="AN1162" i="1"/>
  <c r="AO1034" i="1"/>
  <c r="AN895" i="1"/>
  <c r="AM1197" i="1"/>
  <c r="AN964" i="1"/>
  <c r="AN1229" i="1"/>
  <c r="AO732" i="1"/>
  <c r="AN869" i="1"/>
  <c r="AO999" i="1"/>
  <c r="AM1085" i="1"/>
  <c r="AN1170" i="1"/>
  <c r="AN260" i="1"/>
  <c r="AN785" i="1"/>
  <c r="AM1000" i="1"/>
  <c r="AO890" i="1"/>
  <c r="AN640" i="1"/>
  <c r="AM1024" i="1"/>
  <c r="AN741" i="1"/>
  <c r="AO1015" i="1"/>
  <c r="AM1229" i="1"/>
  <c r="AN1037" i="1"/>
  <c r="AO1042" i="1"/>
  <c r="AO991" i="1"/>
  <c r="AM738" i="1"/>
  <c r="AM1088" i="1"/>
  <c r="AM810" i="1"/>
  <c r="AN1218" i="1"/>
  <c r="AO994" i="1"/>
  <c r="AO5" i="1"/>
  <c r="AN973" i="1"/>
  <c r="AM1150" i="1"/>
  <c r="AN898" i="1"/>
  <c r="AO1132" i="1"/>
  <c r="AM730" i="1"/>
  <c r="AM970" i="1"/>
  <c r="AN1190" i="1"/>
  <c r="AN743" i="1"/>
  <c r="AO777" i="1"/>
  <c r="AM812" i="1"/>
  <c r="AN845" i="1"/>
  <c r="AO879" i="1"/>
  <c r="AM914" i="1"/>
  <c r="AN948" i="1"/>
  <c r="AO982" i="1"/>
  <c r="AM1006" i="1"/>
  <c r="AN1027" i="1"/>
  <c r="AO1048" i="1"/>
  <c r="AM1070" i="1"/>
  <c r="AN1091" i="1"/>
  <c r="AO1112" i="1"/>
  <c r="AM1134" i="1"/>
  <c r="AN1155" i="1"/>
  <c r="AO1176" i="1"/>
  <c r="AM1198" i="1"/>
  <c r="AN1219" i="1"/>
  <c r="AO1240" i="1"/>
  <c r="AM1127" i="1"/>
  <c r="AM1207" i="1"/>
  <c r="AN439" i="1"/>
  <c r="AN682" i="1"/>
  <c r="AO822" i="1"/>
  <c r="AO924" i="1"/>
  <c r="AM1042" i="1"/>
  <c r="AN1151" i="1"/>
  <c r="AM1226" i="1"/>
  <c r="AO482" i="1"/>
  <c r="AN345" i="1"/>
  <c r="AM490" i="1"/>
  <c r="AM603" i="1"/>
  <c r="AN678" i="1"/>
  <c r="AM740" i="1"/>
  <c r="AN773" i="1"/>
  <c r="AO807" i="1"/>
  <c r="AM842" i="1"/>
  <c r="AN876" i="1"/>
  <c r="AO910" i="1"/>
  <c r="AM944" i="1"/>
  <c r="AN978" i="1"/>
  <c r="AO1003" i="1"/>
  <c r="AM1025" i="1"/>
  <c r="AN1046" i="1"/>
  <c r="AO1067" i="1"/>
  <c r="AM1089" i="1"/>
  <c r="AN1110" i="1"/>
  <c r="AO1131" i="1"/>
  <c r="AM1153" i="1"/>
  <c r="AN1174" i="1"/>
  <c r="AO1195" i="1"/>
  <c r="AM1217" i="1"/>
  <c r="AN1238" i="1"/>
  <c r="AN249" i="1"/>
  <c r="AN591" i="1"/>
  <c r="AO740" i="1"/>
  <c r="AO804" i="1"/>
  <c r="AO868" i="1"/>
  <c r="AO945" i="1"/>
  <c r="AM1007" i="1"/>
  <c r="AM1055" i="1"/>
  <c r="AN1100" i="1"/>
  <c r="AN1148" i="1"/>
  <c r="AN1212" i="1"/>
  <c r="AM767" i="1"/>
  <c r="AN954" i="1"/>
  <c r="AN1047" i="1"/>
  <c r="AN1111" i="1"/>
  <c r="AN1199" i="1"/>
  <c r="AN248" i="1"/>
  <c r="AM448" i="1"/>
  <c r="AM562" i="1"/>
  <c r="AN653" i="1"/>
  <c r="AM722" i="1"/>
  <c r="AO761" i="1"/>
  <c r="AM796" i="1"/>
  <c r="AN829" i="1"/>
  <c r="AO863" i="1"/>
  <c r="AM898" i="1"/>
  <c r="AN932" i="1"/>
  <c r="AO966" i="1"/>
  <c r="AM996" i="1"/>
  <c r="AN1017" i="1"/>
  <c r="AO1038" i="1"/>
  <c r="AM1060" i="1"/>
  <c r="AN1081" i="1"/>
  <c r="AO1102" i="1"/>
  <c r="AM1124" i="1"/>
  <c r="AN1145" i="1"/>
  <c r="AO1166" i="1"/>
  <c r="AM1188" i="1"/>
  <c r="AN1209" i="1"/>
  <c r="AO1230" i="1"/>
  <c r="AM1252" i="1"/>
  <c r="AM491" i="1"/>
  <c r="AO653" i="1"/>
  <c r="AN757" i="1"/>
  <c r="AM839" i="1"/>
  <c r="AO919" i="1"/>
  <c r="AO983" i="1"/>
  <c r="AN1020" i="1"/>
  <c r="AM1063" i="1"/>
  <c r="AO1105" i="1"/>
  <c r="AM1167" i="1"/>
  <c r="AN1252" i="1"/>
  <c r="AN552" i="1"/>
  <c r="AN762" i="1"/>
  <c r="AN877" i="1"/>
  <c r="AM1010" i="1"/>
  <c r="AO1076" i="1"/>
  <c r="AO1188" i="1"/>
  <c r="AN360" i="1"/>
  <c r="AM657" i="1"/>
  <c r="AN831" i="1"/>
  <c r="AO967" i="1"/>
  <c r="AM1061" i="1"/>
  <c r="AN1146" i="1"/>
  <c r="AO1231" i="1"/>
  <c r="AO788" i="1"/>
  <c r="AM1173" i="1"/>
  <c r="AM1248" i="1"/>
  <c r="AO1250" i="1"/>
  <c r="AO725" i="1"/>
  <c r="AM866" i="1"/>
  <c r="AN997" i="1"/>
  <c r="AO1082" i="1"/>
  <c r="AM1168" i="1"/>
  <c r="AN1253" i="1"/>
  <c r="AN1053" i="1"/>
  <c r="AM640" i="1"/>
  <c r="AM925" i="1"/>
  <c r="AN1194" i="1"/>
  <c r="AN1077" i="1"/>
  <c r="AO929" i="1"/>
  <c r="AO554" i="1"/>
  <c r="AN1005" i="1"/>
  <c r="AM220" i="1"/>
  <c r="AO750" i="1"/>
  <c r="AM887" i="1"/>
  <c r="AN1010" i="1"/>
  <c r="AO1095" i="1"/>
  <c r="AM1181" i="1"/>
  <c r="AN583" i="1"/>
  <c r="AM802" i="1"/>
  <c r="AM1032" i="1"/>
  <c r="AM976" i="1"/>
  <c r="AM709" i="1"/>
  <c r="AO1066" i="1"/>
  <c r="AO775" i="1"/>
  <c r="AO1047" i="1"/>
  <c r="AN361" i="1"/>
  <c r="AN1069" i="1"/>
  <c r="AO1074" i="1"/>
  <c r="AM1013" i="1"/>
  <c r="AN772" i="1"/>
  <c r="AO1130" i="1"/>
  <c r="AO878" i="1"/>
  <c r="AO1239" i="1"/>
  <c r="AM1016" i="1"/>
  <c r="AO905" i="1"/>
  <c r="AO1000" i="1"/>
  <c r="AN1043" i="1"/>
  <c r="AO1128" i="1"/>
  <c r="AO1192" i="1"/>
  <c r="AN329" i="1"/>
  <c r="AN1023" i="1"/>
  <c r="AN461" i="1"/>
  <c r="AO935" i="1"/>
  <c r="AM748" i="1"/>
  <c r="AN781" i="1"/>
  <c r="AO815" i="1"/>
  <c r="AM850" i="1"/>
  <c r="AN884" i="1"/>
  <c r="AO918" i="1"/>
  <c r="AM952" i="1"/>
  <c r="AN986" i="1"/>
  <c r="AO1008" i="1"/>
  <c r="AM1030" i="1"/>
  <c r="AN1051" i="1"/>
  <c r="AO1072" i="1"/>
  <c r="AM1094" i="1"/>
  <c r="AN1115" i="1"/>
  <c r="AO1136" i="1"/>
  <c r="AM1158" i="1"/>
  <c r="AN1179" i="1"/>
  <c r="AO1200" i="1"/>
  <c r="AM1222" i="1"/>
  <c r="AN1243" i="1"/>
  <c r="AM1135" i="1"/>
  <c r="AM1223" i="1"/>
  <c r="AN453" i="1"/>
  <c r="AO716" i="1"/>
  <c r="AO834" i="1"/>
  <c r="AN941" i="1"/>
  <c r="AM1058" i="1"/>
  <c r="AM1162" i="1"/>
  <c r="AN1239" i="1"/>
  <c r="AN496" i="1"/>
  <c r="AN372" i="1"/>
  <c r="AM504" i="1"/>
  <c r="AM618" i="1"/>
  <c r="AN687" i="1"/>
  <c r="AO743" i="1"/>
  <c r="AM778" i="1"/>
  <c r="AN812" i="1"/>
  <c r="AO846" i="1"/>
  <c r="AM880" i="1"/>
  <c r="AN914" i="1"/>
  <c r="AO948" i="1"/>
  <c r="AM983" i="1"/>
  <c r="AN1006" i="1"/>
  <c r="AO1027" i="1"/>
  <c r="AM1049" i="1"/>
  <c r="AN1070" i="1"/>
  <c r="AO1091" i="1"/>
  <c r="AM1113" i="1"/>
  <c r="AN1134" i="1"/>
  <c r="AO1155" i="1"/>
  <c r="AM1177" i="1"/>
  <c r="AN1198" i="1"/>
  <c r="AO1219" i="1"/>
  <c r="AM1241" i="1"/>
  <c r="AM319" i="1"/>
  <c r="AO628" i="1"/>
  <c r="AM749" i="1"/>
  <c r="AN809" i="1"/>
  <c r="AM877" i="1"/>
  <c r="AN949" i="1"/>
  <c r="AM1015" i="1"/>
  <c r="AN1060" i="1"/>
  <c r="AN1108" i="1"/>
  <c r="AO1153" i="1"/>
  <c r="AM1215" i="1"/>
  <c r="AM792" i="1"/>
  <c r="AO962" i="1"/>
  <c r="AN1055" i="1"/>
  <c r="AM1114" i="1"/>
  <c r="AN1207" i="1"/>
  <c r="AO286" i="1"/>
  <c r="AO461" i="1"/>
  <c r="AM576" i="1"/>
  <c r="AO661" i="1"/>
  <c r="AN730" i="1"/>
  <c r="AN765" i="1"/>
  <c r="AO799" i="1"/>
  <c r="AM834" i="1"/>
  <c r="AN868" i="1"/>
  <c r="AO902" i="1"/>
  <c r="AM936" i="1"/>
  <c r="AN970" i="1"/>
  <c r="AO998" i="1"/>
  <c r="AM1020" i="1"/>
  <c r="AN1041" i="1"/>
  <c r="AO1062" i="1"/>
  <c r="AM1084" i="1"/>
  <c r="AN1105" i="1"/>
  <c r="AO1126" i="1"/>
  <c r="AM1148" i="1"/>
  <c r="AN1169" i="1"/>
  <c r="AO1190" i="1"/>
  <c r="AM1212" i="1"/>
  <c r="AN1233" i="1"/>
  <c r="AM520" i="1"/>
  <c r="AN662" i="1"/>
  <c r="AO766" i="1"/>
  <c r="AM852" i="1"/>
  <c r="AM928" i="1"/>
  <c r="AM988" i="1"/>
  <c r="AO1025" i="1"/>
  <c r="AN1068" i="1"/>
  <c r="AM1111" i="1"/>
  <c r="AO1177" i="1"/>
  <c r="AM89" i="1"/>
  <c r="AN581" i="1"/>
  <c r="AN775" i="1"/>
  <c r="AM895" i="1"/>
  <c r="AO1020" i="1"/>
  <c r="AN1087" i="1"/>
  <c r="AO1196" i="1"/>
  <c r="AM407" i="1"/>
  <c r="AM691" i="1"/>
  <c r="AM848" i="1"/>
  <c r="AN985" i="1"/>
  <c r="AO1071" i="1"/>
  <c r="AM1157" i="1"/>
  <c r="AN1242" i="1"/>
  <c r="AM823" i="1"/>
  <c r="AO1215" i="1"/>
  <c r="AO333" i="1"/>
  <c r="AM203" i="1"/>
  <c r="AN746" i="1"/>
  <c r="AO882" i="1"/>
  <c r="AM1008" i="1"/>
  <c r="AN1093" i="1"/>
  <c r="AO1178" i="1"/>
  <c r="AO525" i="1"/>
  <c r="AM1064" i="1"/>
  <c r="AN674" i="1"/>
  <c r="AN959" i="1"/>
  <c r="AM1237" i="1"/>
  <c r="AM1120" i="1"/>
  <c r="AN994" i="1"/>
  <c r="AN717" i="1"/>
  <c r="AO1026" i="1"/>
  <c r="AO426" i="1"/>
  <c r="AN767" i="1"/>
  <c r="AO903" i="1"/>
  <c r="AM1021" i="1"/>
  <c r="AN1106" i="1"/>
  <c r="AO1191" i="1"/>
  <c r="AM632" i="1"/>
  <c r="AO818" i="1"/>
  <c r="AN1085" i="1"/>
  <c r="AO1055" i="1"/>
  <c r="AO754" i="1"/>
  <c r="AO1098" i="1"/>
  <c r="AN793" i="1"/>
  <c r="AM1069" i="1"/>
  <c r="AM649" i="1"/>
  <c r="AM1112" i="1"/>
  <c r="AO1138" i="1"/>
  <c r="AN1066" i="1"/>
  <c r="AO806" i="1"/>
  <c r="AM1184" i="1"/>
  <c r="AN946" i="1"/>
  <c r="AM483" i="1"/>
  <c r="AM1080" i="1"/>
  <c r="AO1186" i="1"/>
  <c r="AO802" i="1"/>
  <c r="AM1086" i="1"/>
  <c r="AO1185" i="1"/>
  <c r="AN276" i="1"/>
  <c r="AM765" i="1"/>
  <c r="AO1019" i="1"/>
  <c r="AO1147" i="1"/>
  <c r="AM1233" i="1"/>
  <c r="AO751" i="1"/>
  <c r="AM786" i="1"/>
  <c r="AN820" i="1"/>
  <c r="AO854" i="1"/>
  <c r="AM888" i="1"/>
  <c r="AN922" i="1"/>
  <c r="AO956" i="1"/>
  <c r="AM990" i="1"/>
  <c r="AN1011" i="1"/>
  <c r="AO1032" i="1"/>
  <c r="AM1054" i="1"/>
  <c r="AN1075" i="1"/>
  <c r="AO1096" i="1"/>
  <c r="AM1118" i="1"/>
  <c r="AN1139" i="1"/>
  <c r="AO1160" i="1"/>
  <c r="AM1182" i="1"/>
  <c r="AN1203" i="1"/>
  <c r="AO1224" i="1"/>
  <c r="AM1246" i="1"/>
  <c r="AO1145" i="1"/>
  <c r="AO1233" i="1"/>
  <c r="AM482" i="1"/>
  <c r="AM741" i="1"/>
  <c r="AM844" i="1"/>
  <c r="AN967" i="1"/>
  <c r="AN1071" i="1"/>
  <c r="AO1172" i="1"/>
  <c r="AM1250" i="1"/>
  <c r="AN511" i="1"/>
  <c r="AO397" i="1"/>
  <c r="AO517" i="1"/>
  <c r="AM627" i="1"/>
  <c r="AO695" i="1"/>
  <c r="AN748" i="1"/>
  <c r="AO782" i="1"/>
  <c r="AM816" i="1"/>
  <c r="AN850" i="1"/>
  <c r="AO884" i="1"/>
  <c r="AM919" i="1"/>
  <c r="AN953" i="1"/>
  <c r="AO986" i="1"/>
  <c r="AM1009" i="1"/>
  <c r="AN1030" i="1"/>
  <c r="AO1051" i="1"/>
  <c r="AM1073" i="1"/>
  <c r="AN1094" i="1"/>
  <c r="AO1115" i="1"/>
  <c r="AM1137" i="1"/>
  <c r="AN1158" i="1"/>
  <c r="AO1179" i="1"/>
  <c r="AM1201" i="1"/>
  <c r="AN1222" i="1"/>
  <c r="AO1243" i="1"/>
  <c r="AM377" i="1"/>
  <c r="AN645" i="1"/>
  <c r="AM762" i="1"/>
  <c r="AO817" i="1"/>
  <c r="AN885" i="1"/>
  <c r="AO958" i="1"/>
  <c r="AM1023" i="1"/>
  <c r="AO1065" i="1"/>
  <c r="AO1113" i="1"/>
  <c r="AN1164" i="1"/>
  <c r="AN1228" i="1"/>
  <c r="AM818" i="1"/>
  <c r="AN980" i="1"/>
  <c r="AN1063" i="1"/>
  <c r="AO1124" i="1"/>
  <c r="AN1215" i="1"/>
  <c r="AO318" i="1"/>
  <c r="AO476" i="1"/>
  <c r="AO589" i="1"/>
  <c r="AN670" i="1"/>
  <c r="AO735" i="1"/>
  <c r="AM770" i="1"/>
  <c r="AN804" i="1"/>
  <c r="AO838" i="1"/>
  <c r="AM872" i="1"/>
  <c r="AN906" i="1"/>
  <c r="AO940" i="1"/>
  <c r="AM975" i="1"/>
  <c r="AN1001" i="1"/>
  <c r="AO1022" i="1"/>
  <c r="AM1044" i="1"/>
  <c r="AN1065" i="1"/>
  <c r="AO1086" i="1"/>
  <c r="AM1108" i="1"/>
  <c r="AN1129" i="1"/>
  <c r="AO1150" i="1"/>
  <c r="AM1172" i="1"/>
  <c r="AN1193" i="1"/>
  <c r="AO1214" i="1"/>
  <c r="AM1236" i="1"/>
  <c r="AM188" i="1"/>
  <c r="AO533" i="1"/>
  <c r="AM688" i="1"/>
  <c r="AM775" i="1"/>
  <c r="AN860" i="1"/>
  <c r="AN937" i="1"/>
  <c r="AO993" i="1"/>
  <c r="AM1031" i="1"/>
  <c r="AO1073" i="1"/>
  <c r="AM1119" i="1"/>
  <c r="AM1183" i="1"/>
  <c r="AN356" i="1"/>
  <c r="AM610" i="1"/>
  <c r="AN788" i="1"/>
  <c r="AM908" i="1"/>
  <c r="AO1028" i="1"/>
  <c r="AN1095" i="1"/>
  <c r="AM1218" i="1"/>
  <c r="AM440" i="1"/>
  <c r="AN725" i="1"/>
  <c r="AO865" i="1"/>
  <c r="AM997" i="1"/>
  <c r="AN1082" i="1"/>
  <c r="AO1167" i="1"/>
  <c r="AM1253" i="1"/>
  <c r="AM874" i="1"/>
  <c r="AM303" i="1"/>
  <c r="AN1186" i="1"/>
  <c r="AO409" i="1"/>
  <c r="AM764" i="1"/>
  <c r="AN900" i="1"/>
  <c r="AO1018" i="1"/>
  <c r="AM1104" i="1"/>
  <c r="AN1189" i="1"/>
  <c r="AO870" i="1"/>
  <c r="AO1106" i="1"/>
  <c r="AO708" i="1"/>
  <c r="AO1023" i="1"/>
  <c r="AO468" i="1"/>
  <c r="AO1162" i="1"/>
  <c r="AM1037" i="1"/>
  <c r="AN759" i="1"/>
  <c r="AM1048" i="1"/>
  <c r="AN525" i="1"/>
  <c r="AM784" i="1"/>
  <c r="AN921" i="1"/>
  <c r="AO1031" i="1"/>
  <c r="AM1117" i="1"/>
  <c r="AN1202" i="1"/>
  <c r="AN666" i="1"/>
  <c r="AM853" i="1"/>
  <c r="AM1128" i="1"/>
  <c r="AM1109" i="1"/>
  <c r="AM789" i="1"/>
  <c r="AN1141" i="1"/>
  <c r="AO826" i="1"/>
  <c r="AN1090" i="1"/>
  <c r="AO742" i="1"/>
  <c r="AN1133" i="1"/>
  <c r="AO1170" i="1"/>
  <c r="AO1119" i="1"/>
  <c r="AM840" i="1"/>
  <c r="AO1194" i="1"/>
  <c r="AM1005" i="1"/>
  <c r="AM683" i="1"/>
  <c r="AN1101" i="1"/>
  <c r="AN769" i="1"/>
  <c r="AM1022" i="1"/>
  <c r="AN1171" i="1"/>
  <c r="AN631" i="1"/>
  <c r="AM426" i="1"/>
  <c r="AN661" i="1"/>
  <c r="AM868" i="1"/>
  <c r="AM1041" i="1"/>
  <c r="AM1169" i="1"/>
  <c r="AN1254" i="1"/>
  <c r="AN756" i="1"/>
  <c r="AO790" i="1"/>
  <c r="AM824" i="1"/>
  <c r="AN858" i="1"/>
  <c r="AO892" i="1"/>
  <c r="AM927" i="1"/>
  <c r="AN961" i="1"/>
  <c r="AO992" i="1"/>
  <c r="AM1014" i="1"/>
  <c r="AN1035" i="1"/>
  <c r="AO1056" i="1"/>
  <c r="AM1078" i="1"/>
  <c r="AN1099" i="1"/>
  <c r="AO1120" i="1"/>
  <c r="AM1142" i="1"/>
  <c r="AN1163" i="1"/>
  <c r="AO1184" i="1"/>
  <c r="AM1206" i="1"/>
  <c r="AN1227" i="1"/>
  <c r="AO1248" i="1"/>
  <c r="AO1161" i="1"/>
  <c r="AN1244" i="1"/>
  <c r="AO538" i="1"/>
  <c r="AO758" i="1"/>
  <c r="AO860" i="1"/>
  <c r="AN988" i="1"/>
  <c r="AM1082" i="1"/>
  <c r="AO1180" i="1"/>
  <c r="AO1252" i="1"/>
  <c r="AM49" i="1"/>
  <c r="AO418" i="1"/>
  <c r="AO532" i="1"/>
  <c r="AO635" i="1"/>
  <c r="AM704" i="1"/>
  <c r="AM752" i="1"/>
  <c r="AN786" i="1"/>
  <c r="AO820" i="1"/>
  <c r="AM855" i="1"/>
  <c r="AN889" i="1"/>
  <c r="AO922" i="1"/>
  <c r="AM957" i="1"/>
  <c r="AN990" i="1"/>
  <c r="AO1011" i="1"/>
  <c r="AM1033" i="1"/>
  <c r="AN1054" i="1"/>
  <c r="AO1075" i="1"/>
  <c r="AM1097" i="1"/>
  <c r="AN1118" i="1"/>
  <c r="AO1139" i="1"/>
  <c r="AM1161" i="1"/>
  <c r="AN1182" i="1"/>
  <c r="AO1203" i="1"/>
  <c r="AM1225" i="1"/>
  <c r="AN1246" i="1"/>
  <c r="AO398" i="1"/>
  <c r="AN671" i="1"/>
  <c r="AN770" i="1"/>
  <c r="AM826" i="1"/>
  <c r="AM890" i="1"/>
  <c r="AO970" i="1"/>
  <c r="AN1028" i="1"/>
  <c r="AM1071" i="1"/>
  <c r="AN1116" i="1"/>
  <c r="AN1172" i="1"/>
  <c r="AM1239" i="1"/>
  <c r="AO847" i="1"/>
  <c r="AM994" i="1"/>
  <c r="AM1074" i="1"/>
  <c r="AM1130" i="1"/>
  <c r="AO1220" i="1"/>
  <c r="AO345" i="1"/>
  <c r="AO490" i="1"/>
  <c r="AO604" i="1"/>
  <c r="AN679" i="1"/>
  <c r="AN740" i="1"/>
  <c r="AO774" i="1"/>
  <c r="AM808" i="1"/>
  <c r="AN842" i="1"/>
  <c r="AO876" i="1"/>
  <c r="AM911" i="1"/>
  <c r="AN945" i="1"/>
  <c r="AO978" i="1"/>
  <c r="AM1004" i="1"/>
  <c r="AN1025" i="1"/>
  <c r="AO1046" i="1"/>
  <c r="AM1068" i="1"/>
  <c r="AN1089" i="1"/>
  <c r="AO1110" i="1"/>
  <c r="AM1132" i="1"/>
  <c r="AN1153" i="1"/>
  <c r="AO1174" i="1"/>
  <c r="AM1196" i="1"/>
  <c r="AN1217" i="1"/>
  <c r="AO1238" i="1"/>
  <c r="AM291" i="1"/>
  <c r="AO548" i="1"/>
  <c r="AM705" i="1"/>
  <c r="AM788" i="1"/>
  <c r="AM864" i="1"/>
  <c r="AM941" i="1"/>
  <c r="AM999" i="1"/>
  <c r="AN1036" i="1"/>
  <c r="AM1079" i="1"/>
  <c r="AN1124" i="1"/>
  <c r="AM1199" i="1"/>
  <c r="AO406" i="1"/>
  <c r="AM648" i="1"/>
  <c r="AM805" i="1"/>
  <c r="AM933" i="1"/>
  <c r="AO1036" i="1"/>
  <c r="AO1108" i="1"/>
  <c r="AO1228" i="1"/>
  <c r="AN120" i="1"/>
  <c r="AM746" i="1"/>
  <c r="AN882" i="1"/>
  <c r="AO1007" i="1"/>
  <c r="AM1093" i="1"/>
  <c r="AN1178" i="1"/>
  <c r="AN440" i="1"/>
  <c r="AO942" i="1"/>
  <c r="AM943" i="1"/>
  <c r="AN1250" i="1"/>
  <c r="AM512" i="1"/>
  <c r="AO780" i="1"/>
  <c r="AM917" i="1"/>
  <c r="AN1029" i="1"/>
  <c r="AO1114" i="1"/>
  <c r="AM1200" i="1"/>
  <c r="AM904" i="1"/>
  <c r="AN1117" i="1"/>
  <c r="AO737" i="1"/>
  <c r="AM1045" i="1"/>
  <c r="AO857" i="1"/>
  <c r="AN1205" i="1"/>
  <c r="AO1079" i="1"/>
  <c r="AO793" i="1"/>
  <c r="AO1090" i="1"/>
  <c r="AO581" i="1"/>
  <c r="AO801" i="1"/>
  <c r="AM938" i="1"/>
  <c r="AN1042" i="1"/>
  <c r="AO1127" i="1"/>
  <c r="AM1213" i="1"/>
  <c r="AO700" i="1"/>
  <c r="AN887" i="1"/>
  <c r="AN1149" i="1"/>
  <c r="AO1151" i="1"/>
  <c r="AN823" i="1"/>
  <c r="AM1152" i="1"/>
  <c r="AM861" i="1"/>
  <c r="AN1122" i="1"/>
  <c r="AM828" i="1"/>
  <c r="AN1165" i="1"/>
  <c r="AN1213" i="1"/>
  <c r="AM1205" i="1"/>
  <c r="AM892" i="1"/>
  <c r="AM554" i="1"/>
  <c r="AN1026" i="1"/>
  <c r="AM776" i="1"/>
  <c r="AN871" i="1"/>
  <c r="AO796" i="1"/>
  <c r="AO833" i="1"/>
  <c r="AM1105" i="1"/>
  <c r="AM760" i="1"/>
  <c r="AN794" i="1"/>
  <c r="AO828" i="1"/>
  <c r="AM863" i="1"/>
  <c r="AN897" i="1"/>
  <c r="AO930" i="1"/>
  <c r="AM965" i="1"/>
  <c r="AN995" i="1"/>
  <c r="AO1016" i="1"/>
  <c r="AM1038" i="1"/>
  <c r="AN1059" i="1"/>
  <c r="AO1080" i="1"/>
  <c r="AM1102" i="1"/>
  <c r="AN1123" i="1"/>
  <c r="AO1144" i="1"/>
  <c r="AM1166" i="1"/>
  <c r="AN1187" i="1"/>
  <c r="AO1208" i="1"/>
  <c r="AM1230" i="1"/>
  <c r="AN1251" i="1"/>
  <c r="AO1169" i="1"/>
  <c r="AO1249" i="1"/>
  <c r="AN567" i="1"/>
  <c r="AO770" i="1"/>
  <c r="AO873" i="1"/>
  <c r="AM1002" i="1"/>
  <c r="AO1100" i="1"/>
  <c r="AM1186" i="1"/>
  <c r="AM107" i="1"/>
  <c r="AN160" i="1"/>
  <c r="AN432" i="1"/>
  <c r="AO546" i="1"/>
  <c r="AO644" i="1"/>
  <c r="AN712" i="1"/>
  <c r="AO756" i="1"/>
  <c r="AM791" i="1"/>
  <c r="AN825" i="1"/>
  <c r="AO858" i="1"/>
  <c r="AM893" i="1"/>
  <c r="AN927" i="1"/>
  <c r="AO961" i="1"/>
  <c r="AM993" i="1"/>
  <c r="AN1014" i="1"/>
  <c r="AO1035" i="1"/>
  <c r="AM1057" i="1"/>
  <c r="AN1078" i="1"/>
  <c r="AO1099" i="1"/>
  <c r="AM1121" i="1"/>
  <c r="AN1142" i="1"/>
  <c r="AO1163" i="1"/>
  <c r="AM1185" i="1"/>
  <c r="AN1206" i="1"/>
  <c r="AO1227" i="1"/>
  <c r="AM1249" i="1"/>
  <c r="AN448" i="1"/>
  <c r="AO679" i="1"/>
  <c r="AO778" i="1"/>
  <c r="AN834" i="1"/>
  <c r="AM903" i="1"/>
  <c r="AM980" i="1"/>
  <c r="AO1033" i="1"/>
  <c r="AN1076" i="1"/>
  <c r="AO1121" i="1"/>
  <c r="AN1180" i="1"/>
  <c r="AM292" i="1"/>
  <c r="AN865" i="1"/>
  <c r="AO1004" i="1"/>
  <c r="AO1084" i="1"/>
  <c r="AM1146" i="1"/>
  <c r="AM1234" i="1"/>
  <c r="AN376" i="1"/>
  <c r="AN504" i="1"/>
  <c r="AO618" i="1"/>
  <c r="AO687" i="1"/>
  <c r="AM744" i="1"/>
  <c r="AN778" i="1"/>
  <c r="AO812" i="1"/>
  <c r="AM847" i="1"/>
  <c r="AN881" i="1"/>
  <c r="AO914" i="1"/>
  <c r="AM949" i="1"/>
  <c r="AN983" i="1"/>
  <c r="AO1006" i="1"/>
  <c r="AM1028" i="1"/>
  <c r="AN1049" i="1"/>
  <c r="AO1070" i="1"/>
  <c r="AM1092" i="1"/>
  <c r="AN1113" i="1"/>
  <c r="AO1134" i="1"/>
  <c r="AM1156" i="1"/>
  <c r="AN1177" i="1"/>
  <c r="AO1198" i="1"/>
  <c r="AM1220" i="1"/>
  <c r="AN1241" i="1"/>
  <c r="AO349" i="1"/>
  <c r="AN576" i="1"/>
  <c r="AN722" i="1"/>
  <c r="AN796" i="1"/>
  <c r="AN873" i="1"/>
  <c r="AM954" i="1"/>
  <c r="AO1001" i="1"/>
  <c r="AO1041" i="1"/>
  <c r="AO1081" i="1"/>
  <c r="AN1132" i="1"/>
  <c r="AO1209" i="1"/>
  <c r="AN424" i="1"/>
  <c r="AO690" i="1"/>
  <c r="AN813" i="1"/>
  <c r="AO950" i="1"/>
  <c r="AN1039" i="1"/>
  <c r="AM1122" i="1"/>
  <c r="AN1231" i="1"/>
  <c r="AO385" i="1"/>
  <c r="AO762" i="1"/>
  <c r="AM900" i="1"/>
  <c r="AN1018" i="1"/>
  <c r="AO1103" i="1"/>
  <c r="AM1189" i="1"/>
  <c r="AM1096" i="1"/>
  <c r="AN1002" i="1"/>
  <c r="AN1045" i="1"/>
  <c r="AM611" i="1"/>
  <c r="AN568" i="1"/>
  <c r="AN797" i="1"/>
  <c r="AO934" i="1"/>
  <c r="AM1040" i="1"/>
  <c r="AN1125" i="1"/>
  <c r="AO1210" i="1"/>
  <c r="AM956" i="1"/>
  <c r="AM1160" i="1"/>
  <c r="AM772" i="1"/>
  <c r="AM1077" i="1"/>
  <c r="AO908" i="1"/>
  <c r="AN1237" i="1"/>
  <c r="AO1111" i="1"/>
  <c r="AN810" i="1"/>
  <c r="AO1122" i="1"/>
  <c r="AO631" i="1"/>
  <c r="AN818" i="1"/>
  <c r="AO954" i="1"/>
  <c r="AM1053" i="1"/>
  <c r="AN1138" i="1"/>
  <c r="AO1223" i="1"/>
  <c r="AM733" i="1"/>
  <c r="AO921" i="1"/>
  <c r="AO1202" i="1"/>
  <c r="AO1183" i="1"/>
  <c r="AN874" i="1"/>
  <c r="AO1226" i="1"/>
  <c r="AM912" i="1"/>
  <c r="AM1133" i="1"/>
  <c r="AO895" i="1"/>
  <c r="AM1208" i="1"/>
  <c r="AN1245" i="1"/>
  <c r="AN1226" i="1"/>
  <c r="AM992" i="1"/>
  <c r="AO682" i="1"/>
  <c r="AN1058" i="1"/>
  <c r="AN861" i="1"/>
  <c r="AN5" i="1"/>
  <c r="AM940" i="1"/>
  <c r="AN1107" i="1"/>
  <c r="AN1235" i="1"/>
  <c r="AN903" i="1"/>
  <c r="AN575" i="1"/>
  <c r="AN901" i="1"/>
  <c r="AN1062" i="1"/>
  <c r="AO1211" i="1"/>
  <c r="AO764" i="1"/>
  <c r="AM799" i="1"/>
  <c r="AN833" i="1"/>
  <c r="AO866" i="1"/>
  <c r="AM901" i="1"/>
  <c r="AN935" i="1"/>
  <c r="AO969" i="1"/>
  <c r="AM998" i="1"/>
  <c r="AN1019" i="1"/>
  <c r="AO1040" i="1"/>
  <c r="AM1062" i="1"/>
  <c r="AN1083" i="1"/>
  <c r="AO1104" i="1"/>
  <c r="AM1126" i="1"/>
  <c r="AN1147" i="1"/>
  <c r="AO1168" i="1"/>
  <c r="AM1190" i="1"/>
  <c r="AN1211" i="1"/>
  <c r="AO1232" i="1"/>
  <c r="AM1175" i="1"/>
  <c r="AN192" i="1"/>
  <c r="AN622" i="1"/>
  <c r="AO783" i="1"/>
  <c r="AM882" i="1"/>
  <c r="AO1012" i="1"/>
  <c r="AN1119" i="1"/>
  <c r="AM1194" i="1"/>
  <c r="AN385" i="1"/>
  <c r="AM244" i="1"/>
  <c r="AN447" i="1"/>
  <c r="AN560" i="1"/>
  <c r="AM653" i="1"/>
  <c r="AM721" i="1"/>
  <c r="AN761" i="1"/>
  <c r="AO794" i="1"/>
  <c r="AM829" i="1"/>
  <c r="AN863" i="1"/>
  <c r="AO897" i="1"/>
  <c r="AM932" i="1"/>
  <c r="AN965" i="1"/>
  <c r="AO995" i="1"/>
  <c r="AM1017" i="1"/>
  <c r="AN1038" i="1"/>
  <c r="AO1059" i="1"/>
  <c r="AM1081" i="1"/>
  <c r="AN1102" i="1"/>
  <c r="AO1123" i="1"/>
  <c r="AM1145" i="1"/>
  <c r="AN1166" i="1"/>
  <c r="AO1187" i="1"/>
  <c r="AM1209" i="1"/>
  <c r="AN1230" i="1"/>
  <c r="AO1251" i="1"/>
  <c r="AN477" i="1"/>
  <c r="AN696" i="1"/>
  <c r="AN783" i="1"/>
  <c r="AO842" i="1"/>
  <c r="AM916" i="1"/>
  <c r="AM991" i="1"/>
  <c r="AM1039" i="1"/>
  <c r="AN1084" i="1"/>
  <c r="AO1129" i="1"/>
  <c r="AN1188" i="1"/>
  <c r="AM665" i="1"/>
  <c r="AO886" i="1"/>
  <c r="AM1018" i="1"/>
  <c r="AO1092" i="1"/>
  <c r="AO1164" i="1"/>
  <c r="AN1247" i="1"/>
  <c r="AN398" i="1"/>
  <c r="AN519" i="1"/>
  <c r="AO627" i="1"/>
  <c r="AM696" i="1"/>
  <c r="AO748" i="1"/>
  <c r="AM783" i="1"/>
  <c r="AN817" i="1"/>
  <c r="AO850" i="1"/>
  <c r="AM885" i="1"/>
  <c r="AN919" i="1"/>
  <c r="AO953" i="1"/>
  <c r="AN987" i="1"/>
  <c r="AN1009" i="1"/>
  <c r="AO1030" i="1"/>
  <c r="AM1052" i="1"/>
  <c r="AN1073" i="1"/>
  <c r="AO1094" i="1"/>
  <c r="AM1116" i="1"/>
  <c r="AN1137" i="1"/>
  <c r="AO1158" i="1"/>
  <c r="AM1180" i="1"/>
  <c r="AN1201" i="1"/>
  <c r="AO1222" i="1"/>
  <c r="AM1244" i="1"/>
  <c r="AO420" i="1"/>
  <c r="AN605" i="1"/>
  <c r="AM736" i="1"/>
  <c r="AM813" i="1"/>
  <c r="AO881" i="1"/>
  <c r="AN962" i="1"/>
  <c r="AO1009" i="1"/>
  <c r="AM1047" i="1"/>
  <c r="AO1089" i="1"/>
  <c r="AN1140" i="1"/>
  <c r="AN1220" i="1"/>
  <c r="AM467" i="1"/>
  <c r="AO707" i="1"/>
  <c r="AN826" i="1"/>
  <c r="AO975" i="1"/>
  <c r="AO1052" i="1"/>
  <c r="AM1138" i="1"/>
  <c r="AM1242" i="1"/>
  <c r="AM498" i="1"/>
  <c r="AN780" i="1"/>
  <c r="AO916" i="1"/>
  <c r="AM1029" i="1"/>
  <c r="AN1114" i="1"/>
  <c r="AO1199" i="1"/>
  <c r="AM1192" i="1"/>
  <c r="AN1034" i="1"/>
  <c r="AN1109" i="1"/>
  <c r="AO1058" i="1"/>
  <c r="AO623" i="1"/>
  <c r="AM815" i="1"/>
  <c r="AN951" i="1"/>
  <c r="AO1050" i="1"/>
  <c r="AM1136" i="1"/>
  <c r="AN1221" i="1"/>
  <c r="AM989" i="1"/>
  <c r="AN1181" i="1"/>
  <c r="AN805" i="1"/>
  <c r="AN1098" i="1"/>
  <c r="AO959" i="1"/>
  <c r="AO610" i="1"/>
  <c r="AO1143" i="1"/>
  <c r="AO844" i="1"/>
  <c r="AO1154" i="1"/>
  <c r="AM666" i="1"/>
  <c r="AM836" i="1"/>
  <c r="AN972" i="1"/>
  <c r="AO1063" i="1"/>
  <c r="AM1149" i="1"/>
  <c r="AN1234" i="1"/>
  <c r="AM751" i="1"/>
  <c r="AN938" i="1"/>
  <c r="AM1224" i="1"/>
  <c r="AO1247" i="1"/>
  <c r="AN925" i="1"/>
  <c r="AN469" i="1"/>
  <c r="AM964" i="1"/>
  <c r="AM1165" i="1"/>
  <c r="AO946" i="1"/>
  <c r="AM1240" i="1"/>
  <c r="AM539" i="1"/>
  <c r="AN597" i="1"/>
  <c r="AN1013" i="1"/>
  <c r="AM717" i="1"/>
  <c r="AM1101" i="1"/>
  <c r="AM879" i="1"/>
  <c r="AM6" i="1"/>
  <c r="AM837" i="1"/>
  <c r="AO1064" i="1"/>
  <c r="AM1214" i="1"/>
  <c r="AO1204" i="1"/>
  <c r="AN799" i="1"/>
  <c r="AN998" i="1"/>
  <c r="AO1083" i="1"/>
  <c r="AN1126" i="1"/>
  <c r="AM1087" i="1"/>
  <c r="AM75" i="1"/>
  <c r="AN855" i="1"/>
  <c r="AM1076" i="1"/>
  <c r="AO1246" i="1"/>
  <c r="AN1052" i="1"/>
  <c r="AO1060" i="1"/>
  <c r="AN1210" i="1"/>
  <c r="AN1061" i="1"/>
  <c r="AN844" i="1"/>
  <c r="AO1159" i="1"/>
  <c r="AO980" i="1"/>
  <c r="AN1154" i="1"/>
  <c r="AN455" i="1"/>
  <c r="AO1175" i="1"/>
  <c r="AO1207" i="1"/>
  <c r="AM930" i="1"/>
  <c r="AN1196" i="1"/>
  <c r="AM619" i="1"/>
  <c r="AM1151" i="1"/>
  <c r="AM1232" i="1"/>
  <c r="AN913" i="1"/>
  <c r="AM981" i="1"/>
  <c r="AN745" i="1"/>
  <c r="AN1173" i="1"/>
  <c r="AO972" i="1"/>
  <c r="AM496" i="1"/>
  <c r="AO1234" i="1"/>
  <c r="AN908" i="1"/>
  <c r="AM658" i="1"/>
  <c r="AN1044" i="1"/>
  <c r="AM968" i="1"/>
  <c r="AM506" i="1"/>
  <c r="AO1137" i="1"/>
  <c r="AM419" i="1"/>
  <c r="AO889" i="1"/>
  <c r="AN1097" i="1"/>
  <c r="AO434" i="1"/>
  <c r="AN1092" i="1"/>
  <c r="AM1154" i="1"/>
  <c r="AO1146" i="1"/>
  <c r="AM1245" i="1"/>
  <c r="AN533" i="1"/>
  <c r="AO1118" i="1"/>
  <c r="AO301" i="1"/>
  <c r="AO767" i="1"/>
  <c r="AN6" i="1"/>
  <c r="AM568" i="1"/>
  <c r="AM1176" i="1"/>
  <c r="AO699" i="1"/>
  <c r="AN732" i="1"/>
  <c r="AO852" i="1"/>
  <c r="AM1056" i="1"/>
  <c r="AN991" i="1"/>
  <c r="AN648" i="1"/>
  <c r="AM714" i="1"/>
  <c r="AM924" i="1"/>
  <c r="AO1087" i="1"/>
  <c r="AN836" i="1"/>
  <c r="AM797" i="1"/>
  <c r="AO596" i="1"/>
  <c r="AO674" i="1"/>
  <c r="AN1130" i="1"/>
  <c r="AN1225" i="1"/>
  <c r="AN977" i="1"/>
  <c r="AO791" i="1"/>
  <c r="AM725" i="1"/>
  <c r="AO636" i="1"/>
  <c r="AN957" i="1"/>
  <c r="AM1140" i="1"/>
  <c r="AM1231" i="1"/>
  <c r="AO1010" i="1"/>
  <c r="AO839" i="1"/>
  <c r="AM821" i="1"/>
  <c r="AN847" i="1"/>
  <c r="AM920" i="1"/>
  <c r="AN704" i="1"/>
  <c r="AO990" i="1"/>
  <c r="AN1161" i="1"/>
  <c r="AN821" i="1"/>
  <c r="AM1144" i="1"/>
  <c r="AN933" i="1"/>
  <c r="AO540" i="1"/>
  <c r="AO1002" i="1"/>
  <c r="AM1125" i="1"/>
  <c r="AN924" i="1"/>
  <c r="AN1031" i="1"/>
  <c r="AN753" i="1"/>
  <c r="AM1012" i="1"/>
  <c r="AO1182" i="1"/>
  <c r="AO894" i="1"/>
  <c r="AN1175" i="1"/>
  <c r="AN1012" i="1"/>
  <c r="AM759" i="1"/>
  <c r="AN996" i="1"/>
  <c r="AM1098" i="1"/>
  <c r="AO786" i="1"/>
  <c r="AN1033" i="1"/>
  <c r="AM1204" i="1"/>
  <c r="AM967" i="1"/>
  <c r="AN839" i="1"/>
  <c r="AO1039" i="1"/>
  <c r="AO831" i="1"/>
  <c r="AO988" i="1"/>
  <c r="AO1054" i="1"/>
  <c r="AN1074" i="1"/>
  <c r="BD8" i="1" l="1"/>
  <c r="BE7" i="1"/>
  <c r="BF7" i="1" s="1"/>
  <c r="BH7" i="1"/>
  <c r="BM7" i="1"/>
  <c r="BN7" i="1" s="1"/>
  <c r="BN6" i="1"/>
  <c r="BL8" i="1"/>
  <c r="BP7" i="1"/>
  <c r="BQ4" i="1"/>
  <c r="BI4" i="1"/>
  <c r="AV7" i="1"/>
  <c r="AZ6" i="1"/>
  <c r="AW6" i="1"/>
  <c r="AX6" i="1" s="1"/>
  <c r="V25" i="1"/>
  <c r="U25" i="1"/>
  <c r="BA4" i="1"/>
  <c r="T23" i="1"/>
  <c r="T25" i="1"/>
  <c r="V24" i="1"/>
  <c r="V26" i="1" s="1"/>
  <c r="U24" i="1"/>
  <c r="U26" i="1" s="1"/>
  <c r="T24" i="1"/>
  <c r="T26" i="1" s="1"/>
  <c r="V23" i="1"/>
  <c r="U23" i="1"/>
  <c r="AQ5" i="1"/>
  <c r="AQ6" i="1" s="1"/>
  <c r="AQ7" i="1" s="1"/>
  <c r="AQ8" i="1" s="1"/>
  <c r="AQ9" i="1" s="1"/>
  <c r="AQ10" i="1" s="1"/>
  <c r="AQ11" i="1" s="1"/>
  <c r="AQ12" i="1" s="1"/>
  <c r="AQ13" i="1" s="1"/>
  <c r="AQ14" i="1" s="1"/>
  <c r="AQ15" i="1" s="1"/>
  <c r="AQ16" i="1" s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Q368" i="1" s="1"/>
  <c r="AQ369" i="1" s="1"/>
  <c r="AQ370" i="1" s="1"/>
  <c r="AQ371" i="1" s="1"/>
  <c r="AQ372" i="1" s="1"/>
  <c r="AQ373" i="1" s="1"/>
  <c r="AQ374" i="1" s="1"/>
  <c r="AQ375" i="1" s="1"/>
  <c r="AQ376" i="1" s="1"/>
  <c r="AQ377" i="1" s="1"/>
  <c r="AQ378" i="1" s="1"/>
  <c r="AQ379" i="1" s="1"/>
  <c r="AQ380" i="1" s="1"/>
  <c r="AQ381" i="1" s="1"/>
  <c r="AQ382" i="1" s="1"/>
  <c r="AQ383" i="1" s="1"/>
  <c r="AQ384" i="1" s="1"/>
  <c r="AQ385" i="1" s="1"/>
  <c r="AQ386" i="1" s="1"/>
  <c r="AQ387" i="1" s="1"/>
  <c r="AQ388" i="1" s="1"/>
  <c r="AQ389" i="1" s="1"/>
  <c r="AQ390" i="1" s="1"/>
  <c r="AQ391" i="1" s="1"/>
  <c r="AQ392" i="1" s="1"/>
  <c r="AQ393" i="1" s="1"/>
  <c r="AQ394" i="1" s="1"/>
  <c r="AQ395" i="1" s="1"/>
  <c r="AQ396" i="1" s="1"/>
  <c r="AQ397" i="1" s="1"/>
  <c r="AQ398" i="1" s="1"/>
  <c r="AQ399" i="1" s="1"/>
  <c r="AQ400" i="1" s="1"/>
  <c r="AQ401" i="1" s="1"/>
  <c r="AQ402" i="1" s="1"/>
  <c r="AQ403" i="1" s="1"/>
  <c r="AQ404" i="1" s="1"/>
  <c r="AQ405" i="1" s="1"/>
  <c r="AQ406" i="1" s="1"/>
  <c r="AQ407" i="1" s="1"/>
  <c r="AQ408" i="1" s="1"/>
  <c r="AQ409" i="1" s="1"/>
  <c r="AQ410" i="1" s="1"/>
  <c r="AQ411" i="1" s="1"/>
  <c r="AQ412" i="1" s="1"/>
  <c r="AQ413" i="1" s="1"/>
  <c r="AQ414" i="1" s="1"/>
  <c r="AQ415" i="1" s="1"/>
  <c r="AQ416" i="1" s="1"/>
  <c r="AQ417" i="1" s="1"/>
  <c r="AQ418" i="1" s="1"/>
  <c r="AQ419" i="1" s="1"/>
  <c r="AQ420" i="1" s="1"/>
  <c r="AQ421" i="1" s="1"/>
  <c r="AQ422" i="1" s="1"/>
  <c r="AQ423" i="1" s="1"/>
  <c r="AQ424" i="1" s="1"/>
  <c r="AQ425" i="1" s="1"/>
  <c r="AQ426" i="1" s="1"/>
  <c r="AQ427" i="1" s="1"/>
  <c r="AQ428" i="1" s="1"/>
  <c r="AQ429" i="1" s="1"/>
  <c r="AQ430" i="1" s="1"/>
  <c r="AQ431" i="1" s="1"/>
  <c r="AQ432" i="1" s="1"/>
  <c r="AQ433" i="1" s="1"/>
  <c r="AQ434" i="1" s="1"/>
  <c r="AQ435" i="1" s="1"/>
  <c r="AQ436" i="1" s="1"/>
  <c r="AQ437" i="1" s="1"/>
  <c r="AQ438" i="1" s="1"/>
  <c r="AQ439" i="1" s="1"/>
  <c r="AQ440" i="1" s="1"/>
  <c r="AQ441" i="1" s="1"/>
  <c r="AQ442" i="1" s="1"/>
  <c r="AQ443" i="1" s="1"/>
  <c r="AQ444" i="1" s="1"/>
  <c r="AQ445" i="1" s="1"/>
  <c r="AQ446" i="1" s="1"/>
  <c r="AQ447" i="1" s="1"/>
  <c r="AQ448" i="1" s="1"/>
  <c r="AQ449" i="1" s="1"/>
  <c r="AQ450" i="1" s="1"/>
  <c r="AQ451" i="1" s="1"/>
  <c r="AQ452" i="1" s="1"/>
  <c r="AQ453" i="1" s="1"/>
  <c r="AQ454" i="1" s="1"/>
  <c r="AQ455" i="1" s="1"/>
  <c r="AQ456" i="1" s="1"/>
  <c r="AQ457" i="1" s="1"/>
  <c r="AQ458" i="1" s="1"/>
  <c r="AQ459" i="1" s="1"/>
  <c r="AQ460" i="1" s="1"/>
  <c r="AQ461" i="1" s="1"/>
  <c r="AQ462" i="1" s="1"/>
  <c r="AQ463" i="1" s="1"/>
  <c r="AQ464" i="1" s="1"/>
  <c r="AQ465" i="1" s="1"/>
  <c r="AQ466" i="1" s="1"/>
  <c r="AQ467" i="1" s="1"/>
  <c r="AQ468" i="1" s="1"/>
  <c r="AQ469" i="1" s="1"/>
  <c r="AQ470" i="1" s="1"/>
  <c r="AQ471" i="1" s="1"/>
  <c r="AQ472" i="1" s="1"/>
  <c r="AQ473" i="1" s="1"/>
  <c r="AQ474" i="1" s="1"/>
  <c r="AQ475" i="1" s="1"/>
  <c r="AQ476" i="1" s="1"/>
  <c r="AQ477" i="1" s="1"/>
  <c r="AQ478" i="1" s="1"/>
  <c r="AQ479" i="1" s="1"/>
  <c r="AQ480" i="1" s="1"/>
  <c r="AQ481" i="1" s="1"/>
  <c r="AQ482" i="1" s="1"/>
  <c r="AQ483" i="1" s="1"/>
  <c r="AQ484" i="1" s="1"/>
  <c r="AQ485" i="1" s="1"/>
  <c r="AQ486" i="1" s="1"/>
  <c r="AQ487" i="1" s="1"/>
  <c r="AQ488" i="1" s="1"/>
  <c r="AQ489" i="1" s="1"/>
  <c r="AQ490" i="1" s="1"/>
  <c r="AQ491" i="1" s="1"/>
  <c r="AQ492" i="1" s="1"/>
  <c r="AQ493" i="1" s="1"/>
  <c r="AQ494" i="1" s="1"/>
  <c r="AQ495" i="1" s="1"/>
  <c r="AQ496" i="1" s="1"/>
  <c r="AQ497" i="1" s="1"/>
  <c r="AQ498" i="1" s="1"/>
  <c r="AQ499" i="1" s="1"/>
  <c r="AQ500" i="1" s="1"/>
  <c r="AQ501" i="1" s="1"/>
  <c r="AQ502" i="1" s="1"/>
  <c r="AQ503" i="1" s="1"/>
  <c r="AQ504" i="1" s="1"/>
  <c r="AQ505" i="1" s="1"/>
  <c r="AQ506" i="1" s="1"/>
  <c r="AQ507" i="1" s="1"/>
  <c r="AQ508" i="1" s="1"/>
  <c r="AQ509" i="1" s="1"/>
  <c r="AQ510" i="1" s="1"/>
  <c r="AQ511" i="1" s="1"/>
  <c r="AQ512" i="1" s="1"/>
  <c r="AQ513" i="1" s="1"/>
  <c r="AQ514" i="1" s="1"/>
  <c r="AQ515" i="1" s="1"/>
  <c r="AQ516" i="1" s="1"/>
  <c r="AQ517" i="1" s="1"/>
  <c r="AQ518" i="1" s="1"/>
  <c r="AQ519" i="1" s="1"/>
  <c r="AQ520" i="1" s="1"/>
  <c r="AQ521" i="1" s="1"/>
  <c r="AQ522" i="1" s="1"/>
  <c r="AQ523" i="1" s="1"/>
  <c r="AQ524" i="1" s="1"/>
  <c r="AQ525" i="1" s="1"/>
  <c r="AQ526" i="1" s="1"/>
  <c r="AQ527" i="1" s="1"/>
  <c r="AQ528" i="1" s="1"/>
  <c r="AQ529" i="1" s="1"/>
  <c r="AQ530" i="1" s="1"/>
  <c r="AQ531" i="1" s="1"/>
  <c r="AQ532" i="1" s="1"/>
  <c r="AQ533" i="1" s="1"/>
  <c r="AQ534" i="1" s="1"/>
  <c r="AQ535" i="1" s="1"/>
  <c r="AQ536" i="1" s="1"/>
  <c r="AQ537" i="1" s="1"/>
  <c r="AQ538" i="1" s="1"/>
  <c r="AQ539" i="1" s="1"/>
  <c r="AQ540" i="1" s="1"/>
  <c r="AQ541" i="1" s="1"/>
  <c r="AQ542" i="1" s="1"/>
  <c r="AQ543" i="1" s="1"/>
  <c r="AQ544" i="1" s="1"/>
  <c r="AQ545" i="1" s="1"/>
  <c r="AQ546" i="1" s="1"/>
  <c r="AQ547" i="1" s="1"/>
  <c r="AQ548" i="1" s="1"/>
  <c r="AQ549" i="1" s="1"/>
  <c r="AQ550" i="1" s="1"/>
  <c r="AQ551" i="1" s="1"/>
  <c r="AQ552" i="1" s="1"/>
  <c r="AQ553" i="1" s="1"/>
  <c r="AQ554" i="1" s="1"/>
  <c r="AQ555" i="1" s="1"/>
  <c r="AQ556" i="1" s="1"/>
  <c r="AQ557" i="1" s="1"/>
  <c r="AQ558" i="1" s="1"/>
  <c r="AQ559" i="1" s="1"/>
  <c r="AQ560" i="1" s="1"/>
  <c r="AQ561" i="1" s="1"/>
  <c r="AQ562" i="1" s="1"/>
  <c r="AQ563" i="1" s="1"/>
  <c r="AQ564" i="1" s="1"/>
  <c r="AQ565" i="1" s="1"/>
  <c r="AQ566" i="1" s="1"/>
  <c r="AQ567" i="1" s="1"/>
  <c r="AQ568" i="1" s="1"/>
  <c r="AQ569" i="1" s="1"/>
  <c r="AQ570" i="1" s="1"/>
  <c r="AQ571" i="1" s="1"/>
  <c r="AQ572" i="1" s="1"/>
  <c r="AQ573" i="1" s="1"/>
  <c r="AQ574" i="1" s="1"/>
  <c r="AQ575" i="1" s="1"/>
  <c r="AQ576" i="1" s="1"/>
  <c r="AQ577" i="1" s="1"/>
  <c r="AQ578" i="1" s="1"/>
  <c r="AQ579" i="1" s="1"/>
  <c r="AQ580" i="1" s="1"/>
  <c r="AQ581" i="1" s="1"/>
  <c r="AQ582" i="1" s="1"/>
  <c r="AQ583" i="1" s="1"/>
  <c r="AQ584" i="1" s="1"/>
  <c r="AQ585" i="1" s="1"/>
  <c r="AQ586" i="1" s="1"/>
  <c r="AQ587" i="1" s="1"/>
  <c r="AQ588" i="1" s="1"/>
  <c r="AQ589" i="1" s="1"/>
  <c r="AQ590" i="1" s="1"/>
  <c r="AQ591" i="1" s="1"/>
  <c r="AQ592" i="1" s="1"/>
  <c r="AQ593" i="1" s="1"/>
  <c r="AQ594" i="1" s="1"/>
  <c r="AQ595" i="1" s="1"/>
  <c r="AQ596" i="1" s="1"/>
  <c r="AQ597" i="1" s="1"/>
  <c r="AQ598" i="1" s="1"/>
  <c r="AQ599" i="1" s="1"/>
  <c r="AQ600" i="1" s="1"/>
  <c r="AQ601" i="1" s="1"/>
  <c r="AQ602" i="1" s="1"/>
  <c r="AQ603" i="1" s="1"/>
  <c r="AQ604" i="1" s="1"/>
  <c r="AQ605" i="1" s="1"/>
  <c r="AQ606" i="1" s="1"/>
  <c r="AQ607" i="1" s="1"/>
  <c r="AQ608" i="1" s="1"/>
  <c r="AQ609" i="1" s="1"/>
  <c r="AQ610" i="1" s="1"/>
  <c r="AQ611" i="1" s="1"/>
  <c r="AQ612" i="1" s="1"/>
  <c r="AQ613" i="1" s="1"/>
  <c r="AQ614" i="1" s="1"/>
  <c r="AQ615" i="1" s="1"/>
  <c r="AQ616" i="1" s="1"/>
  <c r="AQ617" i="1" s="1"/>
  <c r="AQ618" i="1" s="1"/>
  <c r="AQ619" i="1" s="1"/>
  <c r="AQ620" i="1" s="1"/>
  <c r="AQ621" i="1" s="1"/>
  <c r="AQ622" i="1" s="1"/>
  <c r="AQ623" i="1" s="1"/>
  <c r="AQ624" i="1" s="1"/>
  <c r="AQ625" i="1" s="1"/>
  <c r="AQ626" i="1" s="1"/>
  <c r="AQ627" i="1" s="1"/>
  <c r="AQ628" i="1" s="1"/>
  <c r="AQ629" i="1" s="1"/>
  <c r="AQ630" i="1" s="1"/>
  <c r="AQ631" i="1" s="1"/>
  <c r="AQ632" i="1" s="1"/>
  <c r="AQ633" i="1" s="1"/>
  <c r="AQ634" i="1" s="1"/>
  <c r="AQ635" i="1" s="1"/>
  <c r="AQ636" i="1" s="1"/>
  <c r="AQ637" i="1" s="1"/>
  <c r="AQ638" i="1" s="1"/>
  <c r="AQ639" i="1" s="1"/>
  <c r="AQ640" i="1" s="1"/>
  <c r="AQ641" i="1" s="1"/>
  <c r="AQ642" i="1" s="1"/>
  <c r="AQ643" i="1" s="1"/>
  <c r="AQ644" i="1" s="1"/>
  <c r="AQ645" i="1" s="1"/>
  <c r="AQ646" i="1" s="1"/>
  <c r="AQ647" i="1" s="1"/>
  <c r="AQ648" i="1" s="1"/>
  <c r="AQ649" i="1" s="1"/>
  <c r="AQ650" i="1" s="1"/>
  <c r="AQ651" i="1" s="1"/>
  <c r="AQ652" i="1" s="1"/>
  <c r="AQ653" i="1" s="1"/>
  <c r="AQ654" i="1" s="1"/>
  <c r="AQ655" i="1" s="1"/>
  <c r="AQ656" i="1" s="1"/>
  <c r="AQ657" i="1" s="1"/>
  <c r="AQ658" i="1" s="1"/>
  <c r="AQ659" i="1" s="1"/>
  <c r="AQ660" i="1" s="1"/>
  <c r="AQ661" i="1" s="1"/>
  <c r="AQ662" i="1" s="1"/>
  <c r="AQ663" i="1" s="1"/>
  <c r="AQ664" i="1" s="1"/>
  <c r="AQ665" i="1" s="1"/>
  <c r="AQ666" i="1" s="1"/>
  <c r="AQ667" i="1" s="1"/>
  <c r="AQ668" i="1" s="1"/>
  <c r="AQ669" i="1" s="1"/>
  <c r="AQ670" i="1" s="1"/>
  <c r="AQ671" i="1" s="1"/>
  <c r="AQ672" i="1" s="1"/>
  <c r="AQ673" i="1" s="1"/>
  <c r="AQ674" i="1" s="1"/>
  <c r="AQ675" i="1" s="1"/>
  <c r="AQ676" i="1" s="1"/>
  <c r="AQ677" i="1" s="1"/>
  <c r="AQ678" i="1" s="1"/>
  <c r="AQ679" i="1" s="1"/>
  <c r="AQ680" i="1" s="1"/>
  <c r="AQ681" i="1" s="1"/>
  <c r="AQ682" i="1" s="1"/>
  <c r="AQ683" i="1" s="1"/>
  <c r="AQ684" i="1" s="1"/>
  <c r="AQ685" i="1" s="1"/>
  <c r="AQ686" i="1" s="1"/>
  <c r="AQ687" i="1" s="1"/>
  <c r="AQ688" i="1" s="1"/>
  <c r="AQ689" i="1" s="1"/>
  <c r="AQ690" i="1" s="1"/>
  <c r="AQ691" i="1" s="1"/>
  <c r="AQ692" i="1" s="1"/>
  <c r="AQ693" i="1" s="1"/>
  <c r="AQ694" i="1" s="1"/>
  <c r="AQ695" i="1" s="1"/>
  <c r="AQ696" i="1" s="1"/>
  <c r="AQ697" i="1" s="1"/>
  <c r="AQ698" i="1" s="1"/>
  <c r="AQ699" i="1" s="1"/>
  <c r="AQ700" i="1" s="1"/>
  <c r="AQ701" i="1" s="1"/>
  <c r="AQ702" i="1" s="1"/>
  <c r="AQ703" i="1" s="1"/>
  <c r="AQ704" i="1" s="1"/>
  <c r="AQ705" i="1" s="1"/>
  <c r="AQ706" i="1" s="1"/>
  <c r="AQ707" i="1" s="1"/>
  <c r="AQ708" i="1" s="1"/>
  <c r="AQ709" i="1" s="1"/>
  <c r="AQ710" i="1" s="1"/>
  <c r="AQ711" i="1" s="1"/>
  <c r="AQ712" i="1" s="1"/>
  <c r="AQ713" i="1" s="1"/>
  <c r="AQ714" i="1" s="1"/>
  <c r="AQ715" i="1" s="1"/>
  <c r="AQ716" i="1" s="1"/>
  <c r="AQ717" i="1" s="1"/>
  <c r="AQ718" i="1" s="1"/>
  <c r="AQ719" i="1" s="1"/>
  <c r="AQ720" i="1" s="1"/>
  <c r="AQ721" i="1" s="1"/>
  <c r="AQ722" i="1" s="1"/>
  <c r="AQ723" i="1" s="1"/>
  <c r="AQ724" i="1" s="1"/>
  <c r="AQ725" i="1" s="1"/>
  <c r="AQ726" i="1" s="1"/>
  <c r="AQ727" i="1" s="1"/>
  <c r="AQ728" i="1" s="1"/>
  <c r="AQ729" i="1" s="1"/>
  <c r="AQ730" i="1" s="1"/>
  <c r="AQ731" i="1" s="1"/>
  <c r="AQ732" i="1" s="1"/>
  <c r="AQ733" i="1" s="1"/>
  <c r="AQ734" i="1" s="1"/>
  <c r="AQ735" i="1" s="1"/>
  <c r="AQ736" i="1" s="1"/>
  <c r="AQ737" i="1" s="1"/>
  <c r="AQ738" i="1" s="1"/>
  <c r="AQ739" i="1" s="1"/>
  <c r="AQ740" i="1" s="1"/>
  <c r="AQ741" i="1" s="1"/>
  <c r="AQ742" i="1" s="1"/>
  <c r="AQ743" i="1" s="1"/>
  <c r="AQ744" i="1" s="1"/>
  <c r="AQ745" i="1" s="1"/>
  <c r="AQ746" i="1" s="1"/>
  <c r="AQ747" i="1" s="1"/>
  <c r="AQ748" i="1" s="1"/>
  <c r="AQ749" i="1" s="1"/>
  <c r="AQ750" i="1" s="1"/>
  <c r="AQ751" i="1" s="1"/>
  <c r="AQ752" i="1" s="1"/>
  <c r="AQ753" i="1" s="1"/>
  <c r="AQ754" i="1" s="1"/>
  <c r="AQ755" i="1" s="1"/>
  <c r="AQ756" i="1" s="1"/>
  <c r="AQ757" i="1" s="1"/>
  <c r="AQ758" i="1" s="1"/>
  <c r="AQ759" i="1" s="1"/>
  <c r="AQ760" i="1" s="1"/>
  <c r="AQ761" i="1" s="1"/>
  <c r="AQ762" i="1" s="1"/>
  <c r="AQ763" i="1" s="1"/>
  <c r="AQ764" i="1" s="1"/>
  <c r="AQ765" i="1" s="1"/>
  <c r="AQ766" i="1" s="1"/>
  <c r="AQ767" i="1" s="1"/>
  <c r="AQ768" i="1" s="1"/>
  <c r="AQ769" i="1" s="1"/>
  <c r="AQ770" i="1" s="1"/>
  <c r="AQ771" i="1" s="1"/>
  <c r="AQ772" i="1" s="1"/>
  <c r="AQ773" i="1" s="1"/>
  <c r="AQ774" i="1" s="1"/>
  <c r="AQ775" i="1" s="1"/>
  <c r="AQ776" i="1" s="1"/>
  <c r="AQ777" i="1" s="1"/>
  <c r="AQ778" i="1" s="1"/>
  <c r="AQ779" i="1" s="1"/>
  <c r="AQ780" i="1" s="1"/>
  <c r="AQ781" i="1" s="1"/>
  <c r="AQ782" i="1" s="1"/>
  <c r="AQ783" i="1" s="1"/>
  <c r="AQ784" i="1" s="1"/>
  <c r="AQ785" i="1" s="1"/>
  <c r="AQ786" i="1" s="1"/>
  <c r="AQ787" i="1" s="1"/>
  <c r="AQ788" i="1" s="1"/>
  <c r="AQ789" i="1" s="1"/>
  <c r="AQ790" i="1" s="1"/>
  <c r="AQ791" i="1" s="1"/>
  <c r="AQ792" i="1" s="1"/>
  <c r="AQ793" i="1" s="1"/>
  <c r="AQ794" i="1" s="1"/>
  <c r="AQ795" i="1" s="1"/>
  <c r="AQ796" i="1" s="1"/>
  <c r="AQ797" i="1" s="1"/>
  <c r="AQ798" i="1" s="1"/>
  <c r="AQ799" i="1" s="1"/>
  <c r="AQ800" i="1" s="1"/>
  <c r="AQ801" i="1" s="1"/>
  <c r="AQ802" i="1" s="1"/>
  <c r="AQ803" i="1" s="1"/>
  <c r="AQ804" i="1" s="1"/>
  <c r="AQ805" i="1" s="1"/>
  <c r="AQ806" i="1" s="1"/>
  <c r="AQ807" i="1" s="1"/>
  <c r="AQ808" i="1" s="1"/>
  <c r="AQ809" i="1" s="1"/>
  <c r="AQ810" i="1" s="1"/>
  <c r="AQ811" i="1" s="1"/>
  <c r="AQ812" i="1" s="1"/>
  <c r="AQ813" i="1" s="1"/>
  <c r="AQ814" i="1" s="1"/>
  <c r="AQ815" i="1" s="1"/>
  <c r="AQ816" i="1" s="1"/>
  <c r="AQ817" i="1" s="1"/>
  <c r="AQ818" i="1" s="1"/>
  <c r="AQ819" i="1" s="1"/>
  <c r="AQ820" i="1" s="1"/>
  <c r="AQ821" i="1" s="1"/>
  <c r="AQ822" i="1" s="1"/>
  <c r="AQ823" i="1" s="1"/>
  <c r="AQ824" i="1" s="1"/>
  <c r="AQ825" i="1" s="1"/>
  <c r="AQ826" i="1" s="1"/>
  <c r="AQ827" i="1" s="1"/>
  <c r="AQ828" i="1" s="1"/>
  <c r="AQ829" i="1" s="1"/>
  <c r="AQ830" i="1" s="1"/>
  <c r="AQ831" i="1" s="1"/>
  <c r="AQ832" i="1" s="1"/>
  <c r="AQ833" i="1" s="1"/>
  <c r="AQ834" i="1" s="1"/>
  <c r="AQ835" i="1" s="1"/>
  <c r="AQ836" i="1" s="1"/>
  <c r="AQ837" i="1" s="1"/>
  <c r="AQ838" i="1" s="1"/>
  <c r="AQ839" i="1" s="1"/>
  <c r="AQ840" i="1" s="1"/>
  <c r="AQ841" i="1" s="1"/>
  <c r="AQ842" i="1" s="1"/>
  <c r="AQ843" i="1" s="1"/>
  <c r="AQ844" i="1" s="1"/>
  <c r="AQ845" i="1" s="1"/>
  <c r="AQ846" i="1" s="1"/>
  <c r="AQ847" i="1" s="1"/>
  <c r="AQ848" i="1" s="1"/>
  <c r="AQ849" i="1" s="1"/>
  <c r="AQ850" i="1" s="1"/>
  <c r="AQ851" i="1" s="1"/>
  <c r="AQ852" i="1" s="1"/>
  <c r="AQ853" i="1" s="1"/>
  <c r="AQ854" i="1" s="1"/>
  <c r="AQ855" i="1" s="1"/>
  <c r="AQ856" i="1" s="1"/>
  <c r="AQ857" i="1" s="1"/>
  <c r="AQ858" i="1" s="1"/>
  <c r="AQ859" i="1" s="1"/>
  <c r="AQ860" i="1" s="1"/>
  <c r="AQ861" i="1" s="1"/>
  <c r="AQ862" i="1" s="1"/>
  <c r="AQ863" i="1" s="1"/>
  <c r="AQ864" i="1" s="1"/>
  <c r="AQ865" i="1" s="1"/>
  <c r="AQ866" i="1" s="1"/>
  <c r="AQ867" i="1" s="1"/>
  <c r="AQ868" i="1" s="1"/>
  <c r="AQ869" i="1" s="1"/>
  <c r="AQ870" i="1" s="1"/>
  <c r="AQ871" i="1" s="1"/>
  <c r="AQ872" i="1" s="1"/>
  <c r="AQ873" i="1" s="1"/>
  <c r="AQ874" i="1" s="1"/>
  <c r="AQ875" i="1" s="1"/>
  <c r="AQ876" i="1" s="1"/>
  <c r="AQ877" i="1" s="1"/>
  <c r="AQ878" i="1" s="1"/>
  <c r="AQ879" i="1" s="1"/>
  <c r="AQ880" i="1" s="1"/>
  <c r="AQ881" i="1" s="1"/>
  <c r="AQ882" i="1" s="1"/>
  <c r="AQ883" i="1" s="1"/>
  <c r="AQ884" i="1" s="1"/>
  <c r="AQ885" i="1" s="1"/>
  <c r="AQ886" i="1" s="1"/>
  <c r="AQ887" i="1" s="1"/>
  <c r="AQ888" i="1" s="1"/>
  <c r="AQ889" i="1" s="1"/>
  <c r="AQ890" i="1" s="1"/>
  <c r="AQ891" i="1" s="1"/>
  <c r="AQ892" i="1" s="1"/>
  <c r="AQ893" i="1" s="1"/>
  <c r="AQ894" i="1" s="1"/>
  <c r="AQ895" i="1" s="1"/>
  <c r="AQ896" i="1" s="1"/>
  <c r="AQ897" i="1" s="1"/>
  <c r="AQ898" i="1" s="1"/>
  <c r="AQ899" i="1" s="1"/>
  <c r="AQ900" i="1" s="1"/>
  <c r="AQ901" i="1" s="1"/>
  <c r="AQ902" i="1" s="1"/>
  <c r="AQ903" i="1" s="1"/>
  <c r="AQ904" i="1" s="1"/>
  <c r="AQ905" i="1" s="1"/>
  <c r="AQ906" i="1" s="1"/>
  <c r="AQ907" i="1" s="1"/>
  <c r="AQ908" i="1" s="1"/>
  <c r="AQ909" i="1" s="1"/>
  <c r="AQ910" i="1" s="1"/>
  <c r="AQ911" i="1" s="1"/>
  <c r="AQ912" i="1" s="1"/>
  <c r="AQ913" i="1" s="1"/>
  <c r="AQ914" i="1" s="1"/>
  <c r="AQ915" i="1" s="1"/>
  <c r="AQ916" i="1" s="1"/>
  <c r="AQ917" i="1" s="1"/>
  <c r="AQ918" i="1" s="1"/>
  <c r="AQ919" i="1" s="1"/>
  <c r="AQ920" i="1" s="1"/>
  <c r="AQ921" i="1" s="1"/>
  <c r="AQ922" i="1" s="1"/>
  <c r="AQ923" i="1" s="1"/>
  <c r="AQ924" i="1" s="1"/>
  <c r="AQ925" i="1" s="1"/>
  <c r="AQ926" i="1" s="1"/>
  <c r="AQ927" i="1" s="1"/>
  <c r="AQ928" i="1" s="1"/>
  <c r="AQ929" i="1" s="1"/>
  <c r="AQ930" i="1" s="1"/>
  <c r="AQ931" i="1" s="1"/>
  <c r="AQ932" i="1" s="1"/>
  <c r="AQ933" i="1" s="1"/>
  <c r="AQ934" i="1" s="1"/>
  <c r="AQ935" i="1" s="1"/>
  <c r="AQ936" i="1" s="1"/>
  <c r="AQ937" i="1" s="1"/>
  <c r="AQ938" i="1" s="1"/>
  <c r="AQ939" i="1" s="1"/>
  <c r="AQ940" i="1" s="1"/>
  <c r="AQ941" i="1" s="1"/>
  <c r="AQ942" i="1" s="1"/>
  <c r="AQ943" i="1" s="1"/>
  <c r="AQ944" i="1" s="1"/>
  <c r="AQ945" i="1" s="1"/>
  <c r="AQ946" i="1" s="1"/>
  <c r="AQ947" i="1" s="1"/>
  <c r="AQ948" i="1" s="1"/>
  <c r="AQ949" i="1" s="1"/>
  <c r="AQ950" i="1" s="1"/>
  <c r="AQ951" i="1" s="1"/>
  <c r="AQ952" i="1" s="1"/>
  <c r="AQ953" i="1" s="1"/>
  <c r="AQ954" i="1" s="1"/>
  <c r="AQ955" i="1" s="1"/>
  <c r="AQ956" i="1" s="1"/>
  <c r="AQ957" i="1" s="1"/>
  <c r="AQ958" i="1" s="1"/>
  <c r="AQ959" i="1" s="1"/>
  <c r="AQ960" i="1" s="1"/>
  <c r="AQ961" i="1" s="1"/>
  <c r="AQ962" i="1" s="1"/>
  <c r="AQ963" i="1" s="1"/>
  <c r="AQ964" i="1" s="1"/>
  <c r="AQ965" i="1" s="1"/>
  <c r="AQ966" i="1" s="1"/>
  <c r="AQ967" i="1" s="1"/>
  <c r="AQ968" i="1" s="1"/>
  <c r="AQ969" i="1" s="1"/>
  <c r="AQ970" i="1" s="1"/>
  <c r="AQ971" i="1" s="1"/>
  <c r="AQ972" i="1" s="1"/>
  <c r="AQ973" i="1" s="1"/>
  <c r="AQ974" i="1" s="1"/>
  <c r="AQ975" i="1" s="1"/>
  <c r="AQ976" i="1" s="1"/>
  <c r="AQ977" i="1" s="1"/>
  <c r="AQ978" i="1" s="1"/>
  <c r="AQ979" i="1" s="1"/>
  <c r="AQ980" i="1" s="1"/>
  <c r="AQ981" i="1" s="1"/>
  <c r="AQ982" i="1" s="1"/>
  <c r="AQ983" i="1" s="1"/>
  <c r="AQ984" i="1" s="1"/>
  <c r="AQ985" i="1" s="1"/>
  <c r="AQ986" i="1" s="1"/>
  <c r="AQ987" i="1" s="1"/>
  <c r="AQ988" i="1" s="1"/>
  <c r="AQ989" i="1" s="1"/>
  <c r="AQ990" i="1" s="1"/>
  <c r="AQ991" i="1" s="1"/>
  <c r="AQ992" i="1" s="1"/>
  <c r="AQ993" i="1" s="1"/>
  <c r="AQ994" i="1" s="1"/>
  <c r="AQ995" i="1" s="1"/>
  <c r="AQ996" i="1" s="1"/>
  <c r="AQ997" i="1" s="1"/>
  <c r="AQ998" i="1" s="1"/>
  <c r="AQ999" i="1" s="1"/>
  <c r="AQ1000" i="1" s="1"/>
  <c r="AQ1001" i="1" s="1"/>
  <c r="AQ1002" i="1" s="1"/>
  <c r="AQ1003" i="1" s="1"/>
  <c r="AQ1004" i="1" s="1"/>
  <c r="AQ1005" i="1" s="1"/>
  <c r="AQ1006" i="1" s="1"/>
  <c r="AQ1007" i="1" s="1"/>
  <c r="AQ1008" i="1" s="1"/>
  <c r="AQ1009" i="1" s="1"/>
  <c r="AQ1010" i="1" s="1"/>
  <c r="AQ1011" i="1" s="1"/>
  <c r="AQ1012" i="1" s="1"/>
  <c r="AQ1013" i="1" s="1"/>
  <c r="AQ1014" i="1" s="1"/>
  <c r="AQ1015" i="1" s="1"/>
  <c r="AQ1016" i="1" s="1"/>
  <c r="AQ1017" i="1" s="1"/>
  <c r="AQ1018" i="1" s="1"/>
  <c r="AQ1019" i="1" s="1"/>
  <c r="AQ1020" i="1" s="1"/>
  <c r="AQ1021" i="1" s="1"/>
  <c r="AQ1022" i="1" s="1"/>
  <c r="AQ1023" i="1" s="1"/>
  <c r="AQ1024" i="1" s="1"/>
  <c r="AQ1025" i="1" s="1"/>
  <c r="AQ1026" i="1" s="1"/>
  <c r="AQ1027" i="1" s="1"/>
  <c r="AQ1028" i="1" s="1"/>
  <c r="AQ1029" i="1" s="1"/>
  <c r="AQ1030" i="1" s="1"/>
  <c r="AQ1031" i="1" s="1"/>
  <c r="AQ1032" i="1" s="1"/>
  <c r="AQ1033" i="1" s="1"/>
  <c r="AQ1034" i="1" s="1"/>
  <c r="AQ1035" i="1" s="1"/>
  <c r="AQ1036" i="1" s="1"/>
  <c r="AQ1037" i="1" s="1"/>
  <c r="AQ1038" i="1" s="1"/>
  <c r="AQ1039" i="1" s="1"/>
  <c r="AQ1040" i="1" s="1"/>
  <c r="AQ1041" i="1" s="1"/>
  <c r="AQ1042" i="1" s="1"/>
  <c r="AQ1043" i="1" s="1"/>
  <c r="AQ1044" i="1" s="1"/>
  <c r="AQ1045" i="1" s="1"/>
  <c r="AQ1046" i="1" s="1"/>
  <c r="AQ1047" i="1" s="1"/>
  <c r="AQ1048" i="1" s="1"/>
  <c r="AQ1049" i="1" s="1"/>
  <c r="AQ1050" i="1" s="1"/>
  <c r="AQ1051" i="1" s="1"/>
  <c r="AQ1052" i="1" s="1"/>
  <c r="AQ1053" i="1" s="1"/>
  <c r="AQ1054" i="1" s="1"/>
  <c r="AQ1055" i="1" s="1"/>
  <c r="AQ1056" i="1" s="1"/>
  <c r="AQ1057" i="1" s="1"/>
  <c r="AQ1058" i="1" s="1"/>
  <c r="AQ1059" i="1" s="1"/>
  <c r="AQ1060" i="1" s="1"/>
  <c r="AQ1061" i="1" s="1"/>
  <c r="AQ1062" i="1" s="1"/>
  <c r="AQ1063" i="1" s="1"/>
  <c r="AQ1064" i="1" s="1"/>
  <c r="AQ1065" i="1" s="1"/>
  <c r="AQ1066" i="1" s="1"/>
  <c r="AQ1067" i="1" s="1"/>
  <c r="AQ1068" i="1" s="1"/>
  <c r="AQ1069" i="1" s="1"/>
  <c r="AQ1070" i="1" s="1"/>
  <c r="AQ1071" i="1" s="1"/>
  <c r="AQ1072" i="1" s="1"/>
  <c r="AQ1073" i="1" s="1"/>
  <c r="AQ1074" i="1" s="1"/>
  <c r="AQ1075" i="1" s="1"/>
  <c r="AQ1076" i="1" s="1"/>
  <c r="AQ1077" i="1" s="1"/>
  <c r="AQ1078" i="1" s="1"/>
  <c r="AQ1079" i="1" s="1"/>
  <c r="AQ1080" i="1" s="1"/>
  <c r="AQ1081" i="1" s="1"/>
  <c r="AQ1082" i="1" s="1"/>
  <c r="AQ1083" i="1" s="1"/>
  <c r="AQ1084" i="1" s="1"/>
  <c r="AQ1085" i="1" s="1"/>
  <c r="AQ1086" i="1" s="1"/>
  <c r="AQ1087" i="1" s="1"/>
  <c r="AQ1088" i="1" s="1"/>
  <c r="AQ1089" i="1" s="1"/>
  <c r="AQ1090" i="1" s="1"/>
  <c r="AQ1091" i="1" s="1"/>
  <c r="AQ1092" i="1" s="1"/>
  <c r="AQ1093" i="1" s="1"/>
  <c r="AQ1094" i="1" s="1"/>
  <c r="AQ1095" i="1" s="1"/>
  <c r="AQ1096" i="1" s="1"/>
  <c r="AQ1097" i="1" s="1"/>
  <c r="AQ1098" i="1" s="1"/>
  <c r="AQ1099" i="1" s="1"/>
  <c r="AQ1100" i="1" s="1"/>
  <c r="AQ1101" i="1" s="1"/>
  <c r="AQ1102" i="1" s="1"/>
  <c r="AQ1103" i="1" s="1"/>
  <c r="AQ1104" i="1" s="1"/>
  <c r="AQ1105" i="1" s="1"/>
  <c r="AQ1106" i="1" s="1"/>
  <c r="AQ1107" i="1" s="1"/>
  <c r="AQ1108" i="1" s="1"/>
  <c r="AQ1109" i="1" s="1"/>
  <c r="AQ1110" i="1" s="1"/>
  <c r="AQ1111" i="1" s="1"/>
  <c r="AQ1112" i="1" s="1"/>
  <c r="AQ1113" i="1" s="1"/>
  <c r="AQ1114" i="1" s="1"/>
  <c r="AQ1115" i="1" s="1"/>
  <c r="AQ1116" i="1" s="1"/>
  <c r="AQ1117" i="1" s="1"/>
  <c r="AQ1118" i="1" s="1"/>
  <c r="AQ1119" i="1" s="1"/>
  <c r="AQ1120" i="1" s="1"/>
  <c r="AQ1121" i="1" s="1"/>
  <c r="AQ1122" i="1" s="1"/>
  <c r="AQ1123" i="1" s="1"/>
  <c r="AQ1124" i="1" s="1"/>
  <c r="AQ1125" i="1" s="1"/>
  <c r="AQ1126" i="1" s="1"/>
  <c r="AQ1127" i="1" s="1"/>
  <c r="AQ1128" i="1" s="1"/>
  <c r="AQ1129" i="1" s="1"/>
  <c r="AQ1130" i="1" s="1"/>
  <c r="AQ1131" i="1" s="1"/>
  <c r="AQ1132" i="1" s="1"/>
  <c r="AQ1133" i="1" s="1"/>
  <c r="AQ1134" i="1" s="1"/>
  <c r="AQ1135" i="1" s="1"/>
  <c r="AQ1136" i="1" s="1"/>
  <c r="AQ1137" i="1" s="1"/>
  <c r="AQ1138" i="1" s="1"/>
  <c r="AQ1139" i="1" s="1"/>
  <c r="AQ1140" i="1" s="1"/>
  <c r="AQ1141" i="1" s="1"/>
  <c r="AQ1142" i="1" s="1"/>
  <c r="AQ1143" i="1" s="1"/>
  <c r="AQ1144" i="1" s="1"/>
  <c r="AQ1145" i="1" s="1"/>
  <c r="AQ1146" i="1" s="1"/>
  <c r="AQ1147" i="1" s="1"/>
  <c r="AQ1148" i="1" s="1"/>
  <c r="AQ1149" i="1" s="1"/>
  <c r="AQ1150" i="1" s="1"/>
  <c r="AQ1151" i="1" s="1"/>
  <c r="AQ1152" i="1" s="1"/>
  <c r="AQ1153" i="1" s="1"/>
  <c r="AQ1154" i="1" s="1"/>
  <c r="AQ1155" i="1" s="1"/>
  <c r="AQ1156" i="1" s="1"/>
  <c r="AQ1157" i="1" s="1"/>
  <c r="AQ1158" i="1" s="1"/>
  <c r="AQ1159" i="1" s="1"/>
  <c r="AQ1160" i="1" s="1"/>
  <c r="AQ1161" i="1" s="1"/>
  <c r="AQ1162" i="1" s="1"/>
  <c r="AQ1163" i="1" s="1"/>
  <c r="AQ1164" i="1" s="1"/>
  <c r="AQ1165" i="1" s="1"/>
  <c r="AQ1166" i="1" s="1"/>
  <c r="AQ1167" i="1" s="1"/>
  <c r="AQ1168" i="1" s="1"/>
  <c r="AQ1169" i="1" s="1"/>
  <c r="AQ1170" i="1" s="1"/>
  <c r="AQ1171" i="1" s="1"/>
  <c r="AQ1172" i="1" s="1"/>
  <c r="AQ1173" i="1" s="1"/>
  <c r="AQ1174" i="1" s="1"/>
  <c r="AQ1175" i="1" s="1"/>
  <c r="AQ1176" i="1" s="1"/>
  <c r="AQ1177" i="1" s="1"/>
  <c r="AQ1178" i="1" s="1"/>
  <c r="AQ1179" i="1" s="1"/>
  <c r="AQ1180" i="1" s="1"/>
  <c r="AQ1181" i="1" s="1"/>
  <c r="AQ1182" i="1" s="1"/>
  <c r="AQ1183" i="1" s="1"/>
  <c r="AQ1184" i="1" s="1"/>
  <c r="AQ1185" i="1" s="1"/>
  <c r="AQ1186" i="1" s="1"/>
  <c r="AQ1187" i="1" s="1"/>
  <c r="AQ1188" i="1" s="1"/>
  <c r="AQ1189" i="1" s="1"/>
  <c r="AQ1190" i="1" s="1"/>
  <c r="AQ1191" i="1" s="1"/>
  <c r="AQ1192" i="1" s="1"/>
  <c r="AQ1193" i="1" s="1"/>
  <c r="AQ1194" i="1" s="1"/>
  <c r="AQ1195" i="1" s="1"/>
  <c r="AQ1196" i="1" s="1"/>
  <c r="AQ1197" i="1" s="1"/>
  <c r="AQ1198" i="1" s="1"/>
  <c r="AQ1199" i="1" s="1"/>
  <c r="AQ1200" i="1" s="1"/>
  <c r="AQ1201" i="1" s="1"/>
  <c r="AQ1202" i="1" s="1"/>
  <c r="AQ1203" i="1" s="1"/>
  <c r="AQ1204" i="1" s="1"/>
  <c r="AQ1205" i="1" s="1"/>
  <c r="AQ1206" i="1" s="1"/>
  <c r="AQ1207" i="1" s="1"/>
  <c r="AQ1208" i="1" s="1"/>
  <c r="AQ1209" i="1" s="1"/>
  <c r="AQ1210" i="1" s="1"/>
  <c r="AQ1211" i="1" s="1"/>
  <c r="AQ1212" i="1" s="1"/>
  <c r="AQ1213" i="1" s="1"/>
  <c r="AQ1214" i="1" s="1"/>
  <c r="AQ1215" i="1" s="1"/>
  <c r="AQ1216" i="1" s="1"/>
  <c r="AQ1217" i="1" s="1"/>
  <c r="AQ1218" i="1" s="1"/>
  <c r="AQ1219" i="1" s="1"/>
  <c r="AQ1220" i="1" s="1"/>
  <c r="AQ1221" i="1" s="1"/>
  <c r="AQ1222" i="1" s="1"/>
  <c r="AQ1223" i="1" s="1"/>
  <c r="AQ1224" i="1" s="1"/>
  <c r="AQ1225" i="1" s="1"/>
  <c r="AQ1226" i="1" s="1"/>
  <c r="AQ1227" i="1" s="1"/>
  <c r="AQ1228" i="1" s="1"/>
  <c r="AQ1229" i="1" s="1"/>
  <c r="AQ1230" i="1" s="1"/>
  <c r="AQ1231" i="1" s="1"/>
  <c r="AQ1232" i="1" s="1"/>
  <c r="AQ1233" i="1" s="1"/>
  <c r="AQ1234" i="1" s="1"/>
  <c r="AQ1235" i="1" s="1"/>
  <c r="AQ1236" i="1" s="1"/>
  <c r="AQ1237" i="1" s="1"/>
  <c r="AQ1238" i="1" s="1"/>
  <c r="AQ1239" i="1" s="1"/>
  <c r="AQ1240" i="1" s="1"/>
  <c r="AQ1241" i="1" s="1"/>
  <c r="AQ1242" i="1" s="1"/>
  <c r="AQ1243" i="1" s="1"/>
  <c r="AQ1244" i="1" s="1"/>
  <c r="AQ1245" i="1" s="1"/>
  <c r="AQ1246" i="1" s="1"/>
  <c r="AQ1247" i="1" s="1"/>
  <c r="AQ1248" i="1" s="1"/>
  <c r="AQ1249" i="1" s="1"/>
  <c r="AQ1250" i="1" s="1"/>
  <c r="AQ1251" i="1" s="1"/>
  <c r="AQ1252" i="1" s="1"/>
  <c r="AQ1253" i="1" s="1"/>
  <c r="AQ1254" i="1" s="1"/>
  <c r="AQ1255" i="1" s="1"/>
  <c r="AQ1256" i="1" s="1"/>
  <c r="AQ1257" i="1" s="1"/>
  <c r="AQ1258" i="1" s="1"/>
  <c r="AQ1259" i="1" s="1"/>
  <c r="AQ1260" i="1" s="1"/>
  <c r="AQ1261" i="1" s="1"/>
  <c r="AS5" i="1"/>
  <c r="AS6" i="1" s="1"/>
  <c r="AR5" i="1"/>
  <c r="AR6" i="1" s="1"/>
  <c r="AR7" i="1" s="1"/>
  <c r="AR8" i="1" s="1"/>
  <c r="AR9" i="1" s="1"/>
  <c r="AR10" i="1" s="1"/>
  <c r="AR11" i="1" s="1"/>
  <c r="AR12" i="1" s="1"/>
  <c r="AR13" i="1" s="1"/>
  <c r="AR14" i="1" s="1"/>
  <c r="AR15" i="1" s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R52" i="1" s="1"/>
  <c r="AR53" i="1" s="1"/>
  <c r="AR54" i="1" s="1"/>
  <c r="AR55" i="1" s="1"/>
  <c r="AR56" i="1" s="1"/>
  <c r="AR57" i="1" s="1"/>
  <c r="AR58" i="1" s="1"/>
  <c r="AR59" i="1" s="1"/>
  <c r="AR60" i="1" s="1"/>
  <c r="AR61" i="1" s="1"/>
  <c r="AR62" i="1" s="1"/>
  <c r="AR63" i="1" s="1"/>
  <c r="AR64" i="1" s="1"/>
  <c r="AR65" i="1" s="1"/>
  <c r="AR66" i="1" s="1"/>
  <c r="AR67" i="1" s="1"/>
  <c r="AR68" i="1" s="1"/>
  <c r="AR69" i="1" s="1"/>
  <c r="AR70" i="1" s="1"/>
  <c r="AR71" i="1" s="1"/>
  <c r="AR72" i="1" s="1"/>
  <c r="AR73" i="1" s="1"/>
  <c r="AR74" i="1" s="1"/>
  <c r="AR75" i="1" s="1"/>
  <c r="AR76" i="1" s="1"/>
  <c r="AR77" i="1" s="1"/>
  <c r="AR78" i="1" s="1"/>
  <c r="AR79" i="1" s="1"/>
  <c r="AR80" i="1" s="1"/>
  <c r="AR81" i="1" s="1"/>
  <c r="AR82" i="1" s="1"/>
  <c r="AR83" i="1" s="1"/>
  <c r="AR84" i="1" s="1"/>
  <c r="AR85" i="1" s="1"/>
  <c r="AR86" i="1" s="1"/>
  <c r="AR87" i="1" s="1"/>
  <c r="AR88" i="1" s="1"/>
  <c r="AR89" i="1" s="1"/>
  <c r="AR90" i="1" s="1"/>
  <c r="AR91" i="1" s="1"/>
  <c r="AR92" i="1" s="1"/>
  <c r="AR93" i="1" s="1"/>
  <c r="AR94" i="1" s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AR139" i="1" s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77" i="1" s="1"/>
  <c r="AR178" i="1" s="1"/>
  <c r="AR179" i="1" s="1"/>
  <c r="AR180" i="1" s="1"/>
  <c r="AR181" i="1" s="1"/>
  <c r="AR182" i="1" s="1"/>
  <c r="AR183" i="1" s="1"/>
  <c r="AR184" i="1" s="1"/>
  <c r="AR185" i="1" s="1"/>
  <c r="AR186" i="1" s="1"/>
  <c r="AR187" i="1" s="1"/>
  <c r="AR188" i="1" s="1"/>
  <c r="AR189" i="1" s="1"/>
  <c r="AR190" i="1" s="1"/>
  <c r="AR191" i="1" s="1"/>
  <c r="AR192" i="1" s="1"/>
  <c r="AR193" i="1" s="1"/>
  <c r="AR194" i="1" s="1"/>
  <c r="AR195" i="1" s="1"/>
  <c r="AR196" i="1" s="1"/>
  <c r="AR197" i="1" s="1"/>
  <c r="AR198" i="1" s="1"/>
  <c r="AR199" i="1" s="1"/>
  <c r="AR200" i="1" s="1"/>
  <c r="AR201" i="1" s="1"/>
  <c r="AR202" i="1" s="1"/>
  <c r="AR203" i="1" s="1"/>
  <c r="AR204" i="1" s="1"/>
  <c r="AR205" i="1" s="1"/>
  <c r="AR206" i="1" s="1"/>
  <c r="AR207" i="1" s="1"/>
  <c r="AR208" i="1" s="1"/>
  <c r="AR209" i="1" s="1"/>
  <c r="AR210" i="1" s="1"/>
  <c r="AR211" i="1" s="1"/>
  <c r="AR212" i="1" s="1"/>
  <c r="AR213" i="1" s="1"/>
  <c r="AR214" i="1" s="1"/>
  <c r="AR215" i="1" s="1"/>
  <c r="AR216" i="1" s="1"/>
  <c r="AR217" i="1" s="1"/>
  <c r="AR218" i="1" s="1"/>
  <c r="AR219" i="1" s="1"/>
  <c r="AR220" i="1" s="1"/>
  <c r="AR221" i="1" s="1"/>
  <c r="AR222" i="1" s="1"/>
  <c r="AR223" i="1" s="1"/>
  <c r="AR224" i="1" s="1"/>
  <c r="AR225" i="1" s="1"/>
  <c r="AR226" i="1" s="1"/>
  <c r="AR227" i="1" s="1"/>
  <c r="AR228" i="1" s="1"/>
  <c r="AR229" i="1" s="1"/>
  <c r="AR230" i="1" s="1"/>
  <c r="AR231" i="1" s="1"/>
  <c r="AR232" i="1" s="1"/>
  <c r="AR233" i="1" s="1"/>
  <c r="AR234" i="1" s="1"/>
  <c r="AR235" i="1" s="1"/>
  <c r="AR236" i="1" s="1"/>
  <c r="AR237" i="1" s="1"/>
  <c r="AR238" i="1" s="1"/>
  <c r="AR239" i="1" s="1"/>
  <c r="AR240" i="1" s="1"/>
  <c r="AR241" i="1" s="1"/>
  <c r="AR242" i="1" s="1"/>
  <c r="AR243" i="1" s="1"/>
  <c r="AR244" i="1" s="1"/>
  <c r="AR245" i="1" s="1"/>
  <c r="AR246" i="1" s="1"/>
  <c r="AR247" i="1" s="1"/>
  <c r="AR248" i="1" s="1"/>
  <c r="AR249" i="1" s="1"/>
  <c r="AR250" i="1" s="1"/>
  <c r="AR251" i="1" s="1"/>
  <c r="AR252" i="1" s="1"/>
  <c r="AR253" i="1" s="1"/>
  <c r="AR254" i="1" s="1"/>
  <c r="AR255" i="1" s="1"/>
  <c r="AR256" i="1" s="1"/>
  <c r="AR257" i="1" s="1"/>
  <c r="AR258" i="1" s="1"/>
  <c r="AR259" i="1" s="1"/>
  <c r="AR260" i="1" s="1"/>
  <c r="AR261" i="1" s="1"/>
  <c r="AR262" i="1" s="1"/>
  <c r="AR263" i="1" s="1"/>
  <c r="AR264" i="1" s="1"/>
  <c r="AR265" i="1" s="1"/>
  <c r="AR266" i="1" s="1"/>
  <c r="AR267" i="1" s="1"/>
  <c r="AR268" i="1" s="1"/>
  <c r="AR269" i="1" s="1"/>
  <c r="AR270" i="1" s="1"/>
  <c r="AR271" i="1" s="1"/>
  <c r="AR272" i="1" s="1"/>
  <c r="AR273" i="1" s="1"/>
  <c r="AR274" i="1" s="1"/>
  <c r="AR275" i="1" s="1"/>
  <c r="AR276" i="1" s="1"/>
  <c r="AR277" i="1" s="1"/>
  <c r="AR278" i="1" s="1"/>
  <c r="AR279" i="1" s="1"/>
  <c r="AR280" i="1" s="1"/>
  <c r="AR281" i="1" s="1"/>
  <c r="AR282" i="1" s="1"/>
  <c r="AR283" i="1" s="1"/>
  <c r="AR284" i="1" s="1"/>
  <c r="AR285" i="1" s="1"/>
  <c r="AR286" i="1" s="1"/>
  <c r="AR287" i="1" s="1"/>
  <c r="AR288" i="1" s="1"/>
  <c r="AR289" i="1" s="1"/>
  <c r="AR290" i="1" s="1"/>
  <c r="AR291" i="1" s="1"/>
  <c r="AR292" i="1" s="1"/>
  <c r="AR293" i="1" s="1"/>
  <c r="AR294" i="1" s="1"/>
  <c r="AR295" i="1" s="1"/>
  <c r="AR296" i="1" s="1"/>
  <c r="AR297" i="1" s="1"/>
  <c r="AR298" i="1" s="1"/>
  <c r="AR299" i="1" s="1"/>
  <c r="AR300" i="1" s="1"/>
  <c r="AR301" i="1" s="1"/>
  <c r="AR302" i="1" s="1"/>
  <c r="AR303" i="1" s="1"/>
  <c r="AR304" i="1" s="1"/>
  <c r="AR305" i="1" s="1"/>
  <c r="AR306" i="1" s="1"/>
  <c r="AR307" i="1" s="1"/>
  <c r="AR308" i="1" s="1"/>
  <c r="AR309" i="1" s="1"/>
  <c r="AR310" i="1" s="1"/>
  <c r="AR311" i="1" s="1"/>
  <c r="AR312" i="1" s="1"/>
  <c r="AR313" i="1" s="1"/>
  <c r="AR314" i="1" s="1"/>
  <c r="AR315" i="1" s="1"/>
  <c r="AR316" i="1" s="1"/>
  <c r="AR317" i="1" s="1"/>
  <c r="AR318" i="1" s="1"/>
  <c r="AR319" i="1" s="1"/>
  <c r="AR320" i="1" s="1"/>
  <c r="AR321" i="1" s="1"/>
  <c r="AR322" i="1" s="1"/>
  <c r="AR323" i="1" s="1"/>
  <c r="AR324" i="1" s="1"/>
  <c r="AR325" i="1" s="1"/>
  <c r="AR326" i="1" s="1"/>
  <c r="AR327" i="1" s="1"/>
  <c r="AR328" i="1" s="1"/>
  <c r="AR329" i="1" s="1"/>
  <c r="AR330" i="1" s="1"/>
  <c r="AR331" i="1" s="1"/>
  <c r="AR332" i="1" s="1"/>
  <c r="AR333" i="1" s="1"/>
  <c r="AR334" i="1" s="1"/>
  <c r="AR335" i="1" s="1"/>
  <c r="AR336" i="1" s="1"/>
  <c r="AR337" i="1" s="1"/>
  <c r="AR338" i="1" s="1"/>
  <c r="AR339" i="1" s="1"/>
  <c r="AR340" i="1" s="1"/>
  <c r="AR341" i="1" s="1"/>
  <c r="AR342" i="1" s="1"/>
  <c r="AR343" i="1" s="1"/>
  <c r="AR344" i="1" s="1"/>
  <c r="AR345" i="1" s="1"/>
  <c r="AR346" i="1" s="1"/>
  <c r="AR347" i="1" s="1"/>
  <c r="AR348" i="1" s="1"/>
  <c r="AR349" i="1" s="1"/>
  <c r="AR350" i="1" s="1"/>
  <c r="AR351" i="1" s="1"/>
  <c r="AR352" i="1" s="1"/>
  <c r="AR353" i="1" s="1"/>
  <c r="AR354" i="1" s="1"/>
  <c r="AR355" i="1" s="1"/>
  <c r="AR356" i="1" s="1"/>
  <c r="AR357" i="1" s="1"/>
  <c r="AR358" i="1" s="1"/>
  <c r="AR359" i="1" s="1"/>
  <c r="AR360" i="1" s="1"/>
  <c r="AR361" i="1" s="1"/>
  <c r="AR362" i="1" s="1"/>
  <c r="AR363" i="1" s="1"/>
  <c r="AR364" i="1" s="1"/>
  <c r="AR365" i="1" s="1"/>
  <c r="AR366" i="1" s="1"/>
  <c r="AR367" i="1" s="1"/>
  <c r="AR368" i="1" s="1"/>
  <c r="AR369" i="1" s="1"/>
  <c r="AR370" i="1" s="1"/>
  <c r="AR371" i="1" s="1"/>
  <c r="AR372" i="1" s="1"/>
  <c r="AR373" i="1" s="1"/>
  <c r="AR374" i="1" s="1"/>
  <c r="AR375" i="1" s="1"/>
  <c r="AR376" i="1" s="1"/>
  <c r="AR377" i="1" s="1"/>
  <c r="AR378" i="1" s="1"/>
  <c r="AR379" i="1" s="1"/>
  <c r="AR380" i="1" s="1"/>
  <c r="AR381" i="1" s="1"/>
  <c r="AR382" i="1" s="1"/>
  <c r="AR383" i="1" s="1"/>
  <c r="AR384" i="1" s="1"/>
  <c r="AR385" i="1" s="1"/>
  <c r="AR386" i="1" s="1"/>
  <c r="AR387" i="1" s="1"/>
  <c r="AR388" i="1" s="1"/>
  <c r="AR389" i="1" s="1"/>
  <c r="AR390" i="1" s="1"/>
  <c r="AR391" i="1" s="1"/>
  <c r="AR392" i="1" s="1"/>
  <c r="AR393" i="1" s="1"/>
  <c r="AR394" i="1" s="1"/>
  <c r="AR395" i="1" s="1"/>
  <c r="AR396" i="1" s="1"/>
  <c r="AR397" i="1" s="1"/>
  <c r="AR398" i="1" s="1"/>
  <c r="AR399" i="1" s="1"/>
  <c r="AR400" i="1" s="1"/>
  <c r="AR401" i="1" s="1"/>
  <c r="AR402" i="1" s="1"/>
  <c r="AR403" i="1" s="1"/>
  <c r="AR404" i="1" s="1"/>
  <c r="AR405" i="1" s="1"/>
  <c r="AR406" i="1" s="1"/>
  <c r="AR407" i="1" s="1"/>
  <c r="AR408" i="1" s="1"/>
  <c r="AR409" i="1" s="1"/>
  <c r="AR410" i="1" s="1"/>
  <c r="AR411" i="1" s="1"/>
  <c r="AR412" i="1" s="1"/>
  <c r="AR413" i="1" s="1"/>
  <c r="AR414" i="1" s="1"/>
  <c r="AR415" i="1" s="1"/>
  <c r="AR416" i="1" s="1"/>
  <c r="AR417" i="1" s="1"/>
  <c r="AR418" i="1" s="1"/>
  <c r="AR419" i="1" s="1"/>
  <c r="AR420" i="1" s="1"/>
  <c r="AR421" i="1" s="1"/>
  <c r="AR422" i="1" s="1"/>
  <c r="AR423" i="1" s="1"/>
  <c r="AR424" i="1" s="1"/>
  <c r="AR425" i="1" s="1"/>
  <c r="AR426" i="1" s="1"/>
  <c r="AR427" i="1" s="1"/>
  <c r="AR428" i="1" s="1"/>
  <c r="AR429" i="1" s="1"/>
  <c r="AR430" i="1" s="1"/>
  <c r="AR431" i="1" s="1"/>
  <c r="AR432" i="1" s="1"/>
  <c r="AR433" i="1" s="1"/>
  <c r="AR434" i="1" s="1"/>
  <c r="AR435" i="1" s="1"/>
  <c r="AR436" i="1" s="1"/>
  <c r="AR437" i="1" s="1"/>
  <c r="AR438" i="1" s="1"/>
  <c r="AR439" i="1" s="1"/>
  <c r="AR440" i="1" s="1"/>
  <c r="AR441" i="1" s="1"/>
  <c r="AR442" i="1" s="1"/>
  <c r="AR443" i="1" s="1"/>
  <c r="AR444" i="1" s="1"/>
  <c r="AR445" i="1" s="1"/>
  <c r="AR446" i="1" s="1"/>
  <c r="AR447" i="1" s="1"/>
  <c r="AR448" i="1" s="1"/>
  <c r="AR449" i="1" s="1"/>
  <c r="AR450" i="1" s="1"/>
  <c r="AR451" i="1" s="1"/>
  <c r="AR452" i="1" s="1"/>
  <c r="AR453" i="1" s="1"/>
  <c r="AR454" i="1" s="1"/>
  <c r="AR455" i="1" s="1"/>
  <c r="AR456" i="1" s="1"/>
  <c r="AR457" i="1" s="1"/>
  <c r="AR458" i="1" s="1"/>
  <c r="AR459" i="1" s="1"/>
  <c r="AR460" i="1" s="1"/>
  <c r="AR461" i="1" s="1"/>
  <c r="AR462" i="1" s="1"/>
  <c r="AR463" i="1" s="1"/>
  <c r="AR464" i="1" s="1"/>
  <c r="AR465" i="1" s="1"/>
  <c r="AR466" i="1" s="1"/>
  <c r="AR467" i="1" s="1"/>
  <c r="AR468" i="1" s="1"/>
  <c r="AR469" i="1" s="1"/>
  <c r="AR470" i="1" s="1"/>
  <c r="AR471" i="1" s="1"/>
  <c r="AR472" i="1" s="1"/>
  <c r="AR473" i="1" s="1"/>
  <c r="AR474" i="1" s="1"/>
  <c r="AR475" i="1" s="1"/>
  <c r="AR476" i="1" s="1"/>
  <c r="AR477" i="1" s="1"/>
  <c r="AR478" i="1" s="1"/>
  <c r="AR479" i="1" s="1"/>
  <c r="AR480" i="1" s="1"/>
  <c r="AR481" i="1" s="1"/>
  <c r="AR482" i="1" s="1"/>
  <c r="AR483" i="1" s="1"/>
  <c r="AR484" i="1" s="1"/>
  <c r="AR485" i="1" s="1"/>
  <c r="AR486" i="1" s="1"/>
  <c r="AR487" i="1" s="1"/>
  <c r="AR488" i="1" s="1"/>
  <c r="AR489" i="1" s="1"/>
  <c r="AR490" i="1" s="1"/>
  <c r="AR491" i="1" s="1"/>
  <c r="AR492" i="1" s="1"/>
  <c r="AR493" i="1" s="1"/>
  <c r="AR494" i="1" s="1"/>
  <c r="AR495" i="1" s="1"/>
  <c r="AR496" i="1" s="1"/>
  <c r="AR497" i="1" s="1"/>
  <c r="AR498" i="1" s="1"/>
  <c r="AR499" i="1" s="1"/>
  <c r="AR500" i="1" s="1"/>
  <c r="AR501" i="1" s="1"/>
  <c r="AR502" i="1" s="1"/>
  <c r="AR503" i="1" s="1"/>
  <c r="AR504" i="1" s="1"/>
  <c r="AR505" i="1" s="1"/>
  <c r="AR506" i="1" s="1"/>
  <c r="AR507" i="1" s="1"/>
  <c r="AR508" i="1" s="1"/>
  <c r="AR509" i="1" s="1"/>
  <c r="AR510" i="1" s="1"/>
  <c r="AR511" i="1" s="1"/>
  <c r="AR512" i="1" s="1"/>
  <c r="AR513" i="1" s="1"/>
  <c r="AR514" i="1" s="1"/>
  <c r="AR515" i="1" s="1"/>
  <c r="AR516" i="1" s="1"/>
  <c r="AR517" i="1" s="1"/>
  <c r="AR518" i="1" s="1"/>
  <c r="AR519" i="1" s="1"/>
  <c r="AR520" i="1" s="1"/>
  <c r="AR521" i="1" s="1"/>
  <c r="AR522" i="1" s="1"/>
  <c r="AR523" i="1" s="1"/>
  <c r="AR524" i="1" s="1"/>
  <c r="AR525" i="1" s="1"/>
  <c r="AR526" i="1" s="1"/>
  <c r="AR527" i="1" s="1"/>
  <c r="AR528" i="1" s="1"/>
  <c r="AR529" i="1" s="1"/>
  <c r="AR530" i="1" s="1"/>
  <c r="AR531" i="1" s="1"/>
  <c r="AR532" i="1" s="1"/>
  <c r="AR533" i="1" s="1"/>
  <c r="AR534" i="1" s="1"/>
  <c r="AR535" i="1" s="1"/>
  <c r="AR536" i="1" s="1"/>
  <c r="AR537" i="1" s="1"/>
  <c r="AR538" i="1" s="1"/>
  <c r="AR539" i="1" s="1"/>
  <c r="AR540" i="1" s="1"/>
  <c r="AR541" i="1" s="1"/>
  <c r="AR542" i="1" s="1"/>
  <c r="AR543" i="1" s="1"/>
  <c r="AR544" i="1" s="1"/>
  <c r="AR545" i="1" s="1"/>
  <c r="AR546" i="1" s="1"/>
  <c r="AR547" i="1" s="1"/>
  <c r="AR548" i="1" s="1"/>
  <c r="AR549" i="1" s="1"/>
  <c r="AR550" i="1" s="1"/>
  <c r="AR551" i="1" s="1"/>
  <c r="AR552" i="1" s="1"/>
  <c r="AR553" i="1" s="1"/>
  <c r="AR554" i="1" s="1"/>
  <c r="AR555" i="1" s="1"/>
  <c r="AR556" i="1" s="1"/>
  <c r="AR557" i="1" s="1"/>
  <c r="AR558" i="1" s="1"/>
  <c r="AR559" i="1" s="1"/>
  <c r="AR560" i="1" s="1"/>
  <c r="AR561" i="1" s="1"/>
  <c r="AR562" i="1" s="1"/>
  <c r="AR563" i="1" s="1"/>
  <c r="AR564" i="1" s="1"/>
  <c r="AR565" i="1" s="1"/>
  <c r="AR566" i="1" s="1"/>
  <c r="AR567" i="1" s="1"/>
  <c r="AR568" i="1" s="1"/>
  <c r="AR569" i="1" s="1"/>
  <c r="AR570" i="1" s="1"/>
  <c r="AR571" i="1" s="1"/>
  <c r="AR572" i="1" s="1"/>
  <c r="AR573" i="1" s="1"/>
  <c r="AR574" i="1" s="1"/>
  <c r="AR575" i="1" s="1"/>
  <c r="AR576" i="1" s="1"/>
  <c r="AR577" i="1" s="1"/>
  <c r="AR578" i="1" s="1"/>
  <c r="AR579" i="1" s="1"/>
  <c r="AR580" i="1" s="1"/>
  <c r="AR581" i="1" s="1"/>
  <c r="AR582" i="1" s="1"/>
  <c r="AR583" i="1" s="1"/>
  <c r="AR584" i="1" s="1"/>
  <c r="AR585" i="1" s="1"/>
  <c r="AR586" i="1" s="1"/>
  <c r="AR587" i="1" s="1"/>
  <c r="AR588" i="1" s="1"/>
  <c r="AR589" i="1" s="1"/>
  <c r="AR590" i="1" s="1"/>
  <c r="AR591" i="1" s="1"/>
  <c r="AR592" i="1" s="1"/>
  <c r="AR593" i="1" s="1"/>
  <c r="AR594" i="1" s="1"/>
  <c r="AR595" i="1" s="1"/>
  <c r="AR596" i="1" s="1"/>
  <c r="AR597" i="1" s="1"/>
  <c r="AR598" i="1" s="1"/>
  <c r="AR599" i="1" s="1"/>
  <c r="AR600" i="1" s="1"/>
  <c r="AR601" i="1" s="1"/>
  <c r="AR602" i="1" s="1"/>
  <c r="AR603" i="1" s="1"/>
  <c r="AR604" i="1" s="1"/>
  <c r="AR605" i="1" s="1"/>
  <c r="AR606" i="1" s="1"/>
  <c r="AR607" i="1" s="1"/>
  <c r="AR608" i="1" s="1"/>
  <c r="AR609" i="1" s="1"/>
  <c r="AR610" i="1" s="1"/>
  <c r="AR611" i="1" s="1"/>
  <c r="AR612" i="1" s="1"/>
  <c r="AR613" i="1" s="1"/>
  <c r="AR614" i="1" s="1"/>
  <c r="AR615" i="1" s="1"/>
  <c r="AR616" i="1" s="1"/>
  <c r="AR617" i="1" s="1"/>
  <c r="AR618" i="1" s="1"/>
  <c r="AR619" i="1" s="1"/>
  <c r="AR620" i="1" s="1"/>
  <c r="AR621" i="1" s="1"/>
  <c r="AR622" i="1" s="1"/>
  <c r="AR623" i="1" s="1"/>
  <c r="AR624" i="1" s="1"/>
  <c r="AR625" i="1" s="1"/>
  <c r="AR626" i="1" s="1"/>
  <c r="AR627" i="1" s="1"/>
  <c r="AR628" i="1" s="1"/>
  <c r="AR629" i="1" s="1"/>
  <c r="AR630" i="1" s="1"/>
  <c r="AR631" i="1" s="1"/>
  <c r="AR632" i="1" s="1"/>
  <c r="AR633" i="1" s="1"/>
  <c r="AR634" i="1" s="1"/>
  <c r="AR635" i="1" s="1"/>
  <c r="AR636" i="1" s="1"/>
  <c r="AR637" i="1" s="1"/>
  <c r="AR638" i="1" s="1"/>
  <c r="AR639" i="1" s="1"/>
  <c r="AR640" i="1" s="1"/>
  <c r="AR641" i="1" s="1"/>
  <c r="AR642" i="1" s="1"/>
  <c r="AR643" i="1" s="1"/>
  <c r="AR644" i="1" s="1"/>
  <c r="AR645" i="1" s="1"/>
  <c r="AR646" i="1" s="1"/>
  <c r="AR647" i="1" s="1"/>
  <c r="AR648" i="1" s="1"/>
  <c r="AR649" i="1" s="1"/>
  <c r="AR650" i="1" s="1"/>
  <c r="AR651" i="1" s="1"/>
  <c r="AR652" i="1" s="1"/>
  <c r="AR653" i="1" s="1"/>
  <c r="AR654" i="1" s="1"/>
  <c r="AR655" i="1" s="1"/>
  <c r="AR656" i="1" s="1"/>
  <c r="AR657" i="1" s="1"/>
  <c r="AR658" i="1" s="1"/>
  <c r="AR659" i="1" s="1"/>
  <c r="AR660" i="1" s="1"/>
  <c r="AR661" i="1" s="1"/>
  <c r="AR662" i="1" s="1"/>
  <c r="AR663" i="1" s="1"/>
  <c r="AR664" i="1" s="1"/>
  <c r="AR665" i="1" s="1"/>
  <c r="AR666" i="1" s="1"/>
  <c r="AR667" i="1" s="1"/>
  <c r="AR668" i="1" s="1"/>
  <c r="AR669" i="1" s="1"/>
  <c r="AR670" i="1" s="1"/>
  <c r="AR671" i="1" s="1"/>
  <c r="AR672" i="1" s="1"/>
  <c r="AR673" i="1" s="1"/>
  <c r="AR674" i="1" s="1"/>
  <c r="AR675" i="1" s="1"/>
  <c r="AR676" i="1" s="1"/>
  <c r="AR677" i="1" s="1"/>
  <c r="AR678" i="1" s="1"/>
  <c r="AR679" i="1" s="1"/>
  <c r="AR680" i="1" s="1"/>
  <c r="AR681" i="1" s="1"/>
  <c r="AR682" i="1" s="1"/>
  <c r="AR683" i="1" s="1"/>
  <c r="AR684" i="1" s="1"/>
  <c r="AR685" i="1" s="1"/>
  <c r="AR686" i="1" s="1"/>
  <c r="AR687" i="1" s="1"/>
  <c r="AR688" i="1" s="1"/>
  <c r="AR689" i="1" s="1"/>
  <c r="AR690" i="1" s="1"/>
  <c r="AR691" i="1" s="1"/>
  <c r="AR692" i="1" s="1"/>
  <c r="AR693" i="1" s="1"/>
  <c r="AR694" i="1" s="1"/>
  <c r="AR695" i="1" s="1"/>
  <c r="AR696" i="1" s="1"/>
  <c r="AR697" i="1" s="1"/>
  <c r="AR698" i="1" s="1"/>
  <c r="AR699" i="1" s="1"/>
  <c r="AR700" i="1" s="1"/>
  <c r="AR701" i="1" s="1"/>
  <c r="AR702" i="1" s="1"/>
  <c r="AR703" i="1" s="1"/>
  <c r="AR704" i="1" s="1"/>
  <c r="AR705" i="1" s="1"/>
  <c r="AR706" i="1" s="1"/>
  <c r="AR707" i="1" s="1"/>
  <c r="AR708" i="1" s="1"/>
  <c r="AR709" i="1" s="1"/>
  <c r="AR710" i="1" s="1"/>
  <c r="AR711" i="1" s="1"/>
  <c r="AR712" i="1" s="1"/>
  <c r="AR713" i="1" s="1"/>
  <c r="AR714" i="1" s="1"/>
  <c r="AR715" i="1" s="1"/>
  <c r="AR716" i="1" s="1"/>
  <c r="AR717" i="1" s="1"/>
  <c r="AR718" i="1" s="1"/>
  <c r="AR719" i="1" s="1"/>
  <c r="AR720" i="1" s="1"/>
  <c r="AR721" i="1" s="1"/>
  <c r="AR722" i="1" s="1"/>
  <c r="AR723" i="1" s="1"/>
  <c r="AR724" i="1" s="1"/>
  <c r="AR725" i="1" s="1"/>
  <c r="AR726" i="1" s="1"/>
  <c r="AR727" i="1" s="1"/>
  <c r="AR728" i="1" s="1"/>
  <c r="AR729" i="1" s="1"/>
  <c r="AR730" i="1" s="1"/>
  <c r="AR731" i="1" s="1"/>
  <c r="AR732" i="1" s="1"/>
  <c r="AR733" i="1" s="1"/>
  <c r="AR734" i="1" s="1"/>
  <c r="AR735" i="1" s="1"/>
  <c r="AR736" i="1" s="1"/>
  <c r="AR737" i="1" s="1"/>
  <c r="AR738" i="1" s="1"/>
  <c r="AR739" i="1" s="1"/>
  <c r="AR740" i="1" s="1"/>
  <c r="AR741" i="1" s="1"/>
  <c r="AR742" i="1" s="1"/>
  <c r="AR743" i="1" s="1"/>
  <c r="AR744" i="1" s="1"/>
  <c r="AR745" i="1" s="1"/>
  <c r="AR746" i="1" s="1"/>
  <c r="AR747" i="1" s="1"/>
  <c r="AR748" i="1" s="1"/>
  <c r="AR749" i="1" s="1"/>
  <c r="AR750" i="1" s="1"/>
  <c r="AR751" i="1" s="1"/>
  <c r="AR752" i="1" s="1"/>
  <c r="AR753" i="1" s="1"/>
  <c r="AR754" i="1" s="1"/>
  <c r="AR755" i="1" s="1"/>
  <c r="AR756" i="1" s="1"/>
  <c r="AR757" i="1" s="1"/>
  <c r="AR758" i="1" s="1"/>
  <c r="AR759" i="1" s="1"/>
  <c r="AR760" i="1" s="1"/>
  <c r="AR761" i="1" s="1"/>
  <c r="AR762" i="1" s="1"/>
  <c r="AR763" i="1" s="1"/>
  <c r="AR764" i="1" s="1"/>
  <c r="AR765" i="1" s="1"/>
  <c r="AR766" i="1" s="1"/>
  <c r="AR767" i="1" s="1"/>
  <c r="AR768" i="1" s="1"/>
  <c r="AR769" i="1" s="1"/>
  <c r="AR770" i="1" s="1"/>
  <c r="AR771" i="1" s="1"/>
  <c r="AR772" i="1" s="1"/>
  <c r="AR773" i="1" s="1"/>
  <c r="AR774" i="1" s="1"/>
  <c r="AR775" i="1" s="1"/>
  <c r="AR776" i="1" s="1"/>
  <c r="AR777" i="1" s="1"/>
  <c r="AR778" i="1" s="1"/>
  <c r="AR779" i="1" s="1"/>
  <c r="AR780" i="1" s="1"/>
  <c r="AR781" i="1" s="1"/>
  <c r="AR782" i="1" s="1"/>
  <c r="AR783" i="1" s="1"/>
  <c r="AR784" i="1" s="1"/>
  <c r="AR785" i="1" s="1"/>
  <c r="AR786" i="1" s="1"/>
  <c r="AR787" i="1" s="1"/>
  <c r="AR788" i="1" s="1"/>
  <c r="AR789" i="1" s="1"/>
  <c r="AR790" i="1" s="1"/>
  <c r="AR791" i="1" s="1"/>
  <c r="AR792" i="1" s="1"/>
  <c r="AR793" i="1" s="1"/>
  <c r="AR794" i="1" s="1"/>
  <c r="AR795" i="1" s="1"/>
  <c r="AR796" i="1" s="1"/>
  <c r="AR797" i="1" s="1"/>
  <c r="AR798" i="1" s="1"/>
  <c r="AR799" i="1" s="1"/>
  <c r="AR800" i="1" s="1"/>
  <c r="AR801" i="1" s="1"/>
  <c r="AR802" i="1" s="1"/>
  <c r="AR803" i="1" s="1"/>
  <c r="AR804" i="1" s="1"/>
  <c r="AR805" i="1" s="1"/>
  <c r="AR806" i="1" s="1"/>
  <c r="AR807" i="1" s="1"/>
  <c r="AR808" i="1" s="1"/>
  <c r="AR809" i="1" s="1"/>
  <c r="AR810" i="1" s="1"/>
  <c r="AR811" i="1" s="1"/>
  <c r="AR812" i="1" s="1"/>
  <c r="AR813" i="1" s="1"/>
  <c r="AR814" i="1" s="1"/>
  <c r="AR815" i="1" s="1"/>
  <c r="AR816" i="1" s="1"/>
  <c r="AR817" i="1" s="1"/>
  <c r="AR818" i="1" s="1"/>
  <c r="AR819" i="1" s="1"/>
  <c r="AR820" i="1" s="1"/>
  <c r="AR821" i="1" s="1"/>
  <c r="AR822" i="1" s="1"/>
  <c r="AR823" i="1" s="1"/>
  <c r="AR824" i="1" s="1"/>
  <c r="AR825" i="1" s="1"/>
  <c r="AR826" i="1" s="1"/>
  <c r="AR827" i="1" s="1"/>
  <c r="AR828" i="1" s="1"/>
  <c r="AR829" i="1" s="1"/>
  <c r="AR830" i="1" s="1"/>
  <c r="AR831" i="1" s="1"/>
  <c r="AR832" i="1" s="1"/>
  <c r="AR833" i="1" s="1"/>
  <c r="AR834" i="1" s="1"/>
  <c r="AR835" i="1" s="1"/>
  <c r="AR836" i="1" s="1"/>
  <c r="AR837" i="1" s="1"/>
  <c r="AR838" i="1" s="1"/>
  <c r="AR839" i="1" s="1"/>
  <c r="AR840" i="1" s="1"/>
  <c r="AR841" i="1" s="1"/>
  <c r="AR842" i="1" s="1"/>
  <c r="AR843" i="1" s="1"/>
  <c r="AR844" i="1" s="1"/>
  <c r="AR845" i="1" s="1"/>
  <c r="AR846" i="1" s="1"/>
  <c r="AR847" i="1" s="1"/>
  <c r="AR848" i="1" s="1"/>
  <c r="AR849" i="1" s="1"/>
  <c r="AR850" i="1" s="1"/>
  <c r="AR851" i="1" s="1"/>
  <c r="AR852" i="1" s="1"/>
  <c r="AR853" i="1" s="1"/>
  <c r="AR854" i="1" s="1"/>
  <c r="AR855" i="1" s="1"/>
  <c r="AR856" i="1" s="1"/>
  <c r="AR857" i="1" s="1"/>
  <c r="AR858" i="1" s="1"/>
  <c r="AR859" i="1" s="1"/>
  <c r="AR860" i="1" s="1"/>
  <c r="AR861" i="1" s="1"/>
  <c r="AR862" i="1" s="1"/>
  <c r="AR863" i="1" s="1"/>
  <c r="AR864" i="1" s="1"/>
  <c r="AR865" i="1" s="1"/>
  <c r="AR866" i="1" s="1"/>
  <c r="AR867" i="1" s="1"/>
  <c r="AR868" i="1" s="1"/>
  <c r="AR869" i="1" s="1"/>
  <c r="AR870" i="1" s="1"/>
  <c r="AR871" i="1" s="1"/>
  <c r="AR872" i="1" s="1"/>
  <c r="AR873" i="1" s="1"/>
  <c r="AR874" i="1" s="1"/>
  <c r="AR875" i="1" s="1"/>
  <c r="AR876" i="1" s="1"/>
  <c r="AR877" i="1" s="1"/>
  <c r="AR878" i="1" s="1"/>
  <c r="AR879" i="1" s="1"/>
  <c r="AR880" i="1" s="1"/>
  <c r="AR881" i="1" s="1"/>
  <c r="AR882" i="1" s="1"/>
  <c r="AR883" i="1" s="1"/>
  <c r="AR884" i="1" s="1"/>
  <c r="AR885" i="1" s="1"/>
  <c r="AR886" i="1" s="1"/>
  <c r="AR887" i="1" s="1"/>
  <c r="AR888" i="1" s="1"/>
  <c r="AR889" i="1" s="1"/>
  <c r="AR890" i="1" s="1"/>
  <c r="AR891" i="1" s="1"/>
  <c r="AR892" i="1" s="1"/>
  <c r="AR893" i="1" s="1"/>
  <c r="AR894" i="1" s="1"/>
  <c r="AR895" i="1" s="1"/>
  <c r="AR896" i="1" s="1"/>
  <c r="AR897" i="1" s="1"/>
  <c r="AR898" i="1" s="1"/>
  <c r="AR899" i="1" s="1"/>
  <c r="AR900" i="1" s="1"/>
  <c r="AR901" i="1" s="1"/>
  <c r="AR902" i="1" s="1"/>
  <c r="AR903" i="1" s="1"/>
  <c r="AR904" i="1" s="1"/>
  <c r="AR905" i="1" s="1"/>
  <c r="AR906" i="1" s="1"/>
  <c r="AR907" i="1" s="1"/>
  <c r="AR908" i="1" s="1"/>
  <c r="AR909" i="1" s="1"/>
  <c r="AR910" i="1" s="1"/>
  <c r="AR911" i="1" s="1"/>
  <c r="AR912" i="1" s="1"/>
  <c r="AR913" i="1" s="1"/>
  <c r="AR914" i="1" s="1"/>
  <c r="AR915" i="1" s="1"/>
  <c r="AR916" i="1" s="1"/>
  <c r="AR917" i="1" s="1"/>
  <c r="AR918" i="1" s="1"/>
  <c r="AR919" i="1" s="1"/>
  <c r="AR920" i="1" s="1"/>
  <c r="AR921" i="1" s="1"/>
  <c r="AR922" i="1" s="1"/>
  <c r="AR923" i="1" s="1"/>
  <c r="AR924" i="1" s="1"/>
  <c r="AR925" i="1" s="1"/>
  <c r="AR926" i="1" s="1"/>
  <c r="AR927" i="1" s="1"/>
  <c r="AR928" i="1" s="1"/>
  <c r="AR929" i="1" s="1"/>
  <c r="AR930" i="1" s="1"/>
  <c r="AR931" i="1" s="1"/>
  <c r="AR932" i="1" s="1"/>
  <c r="AR933" i="1" s="1"/>
  <c r="AR934" i="1" s="1"/>
  <c r="AR935" i="1" s="1"/>
  <c r="AR936" i="1" s="1"/>
  <c r="AR937" i="1" s="1"/>
  <c r="AR938" i="1" s="1"/>
  <c r="AR939" i="1" s="1"/>
  <c r="AR940" i="1" s="1"/>
  <c r="AR941" i="1" s="1"/>
  <c r="AR942" i="1" s="1"/>
  <c r="AR943" i="1" s="1"/>
  <c r="AR944" i="1" s="1"/>
  <c r="AR945" i="1" s="1"/>
  <c r="AR946" i="1" s="1"/>
  <c r="AR947" i="1" s="1"/>
  <c r="AR948" i="1" s="1"/>
  <c r="AR949" i="1" s="1"/>
  <c r="AR950" i="1" s="1"/>
  <c r="AR951" i="1" s="1"/>
  <c r="AR952" i="1" s="1"/>
  <c r="AR953" i="1" s="1"/>
  <c r="AR954" i="1" s="1"/>
  <c r="AR955" i="1" s="1"/>
  <c r="AR956" i="1" s="1"/>
  <c r="AR957" i="1" s="1"/>
  <c r="AR958" i="1" s="1"/>
  <c r="AR959" i="1" s="1"/>
  <c r="AR960" i="1" s="1"/>
  <c r="AR961" i="1" s="1"/>
  <c r="AR962" i="1" s="1"/>
  <c r="AR963" i="1" s="1"/>
  <c r="AR964" i="1" s="1"/>
  <c r="AR965" i="1" s="1"/>
  <c r="AR966" i="1" s="1"/>
  <c r="AR967" i="1" s="1"/>
  <c r="AR968" i="1" s="1"/>
  <c r="AR969" i="1" s="1"/>
  <c r="AR970" i="1" s="1"/>
  <c r="AR971" i="1" s="1"/>
  <c r="AR972" i="1" s="1"/>
  <c r="AR973" i="1" s="1"/>
  <c r="AR974" i="1" s="1"/>
  <c r="AR975" i="1" s="1"/>
  <c r="AR976" i="1" s="1"/>
  <c r="AR977" i="1" s="1"/>
  <c r="AR978" i="1" s="1"/>
  <c r="AR979" i="1" s="1"/>
  <c r="AR980" i="1" s="1"/>
  <c r="AR981" i="1" s="1"/>
  <c r="AR982" i="1" s="1"/>
  <c r="AR983" i="1" s="1"/>
  <c r="AR984" i="1" s="1"/>
  <c r="AR985" i="1" s="1"/>
  <c r="AR986" i="1" s="1"/>
  <c r="AR987" i="1" s="1"/>
  <c r="AR988" i="1" s="1"/>
  <c r="AR989" i="1" s="1"/>
  <c r="AR990" i="1" s="1"/>
  <c r="AR991" i="1" s="1"/>
  <c r="AR992" i="1" s="1"/>
  <c r="AR993" i="1" s="1"/>
  <c r="AR994" i="1" s="1"/>
  <c r="AR995" i="1" s="1"/>
  <c r="AR996" i="1" s="1"/>
  <c r="AR997" i="1" s="1"/>
  <c r="AR998" i="1" s="1"/>
  <c r="AR999" i="1" s="1"/>
  <c r="AR1000" i="1" s="1"/>
  <c r="AR1001" i="1" s="1"/>
  <c r="AR1002" i="1" s="1"/>
  <c r="AR1003" i="1" s="1"/>
  <c r="AR1004" i="1" s="1"/>
  <c r="AR1005" i="1" s="1"/>
  <c r="AR1006" i="1" s="1"/>
  <c r="AR1007" i="1" s="1"/>
  <c r="AR1008" i="1" s="1"/>
  <c r="AR1009" i="1" s="1"/>
  <c r="AR1010" i="1" s="1"/>
  <c r="AR1011" i="1" s="1"/>
  <c r="AR1012" i="1" s="1"/>
  <c r="AR1013" i="1" s="1"/>
  <c r="AR1014" i="1" s="1"/>
  <c r="AR1015" i="1" s="1"/>
  <c r="AR1016" i="1" s="1"/>
  <c r="AR1017" i="1" s="1"/>
  <c r="AR1018" i="1" s="1"/>
  <c r="AR1019" i="1" s="1"/>
  <c r="AR1020" i="1" s="1"/>
  <c r="AR1021" i="1" s="1"/>
  <c r="AR1022" i="1" s="1"/>
  <c r="AR1023" i="1" s="1"/>
  <c r="AR1024" i="1" s="1"/>
  <c r="AR1025" i="1" s="1"/>
  <c r="AR1026" i="1" s="1"/>
  <c r="AR1027" i="1" s="1"/>
  <c r="AR1028" i="1" s="1"/>
  <c r="AR1029" i="1" s="1"/>
  <c r="AR1030" i="1" s="1"/>
  <c r="AR1031" i="1" s="1"/>
  <c r="AR1032" i="1" s="1"/>
  <c r="AR1033" i="1" s="1"/>
  <c r="AR1034" i="1" s="1"/>
  <c r="AR1035" i="1" s="1"/>
  <c r="AR1036" i="1" s="1"/>
  <c r="AR1037" i="1" s="1"/>
  <c r="AR1038" i="1" s="1"/>
  <c r="AR1039" i="1" s="1"/>
  <c r="AR1040" i="1" s="1"/>
  <c r="AR1041" i="1" s="1"/>
  <c r="AR1042" i="1" s="1"/>
  <c r="AR1043" i="1" s="1"/>
  <c r="AR1044" i="1" s="1"/>
  <c r="AR1045" i="1" s="1"/>
  <c r="AR1046" i="1" s="1"/>
  <c r="AR1047" i="1" s="1"/>
  <c r="AR1048" i="1" s="1"/>
  <c r="AR1049" i="1" s="1"/>
  <c r="AR1050" i="1" s="1"/>
  <c r="AR1051" i="1" s="1"/>
  <c r="AR1052" i="1" s="1"/>
  <c r="AR1053" i="1" s="1"/>
  <c r="AR1054" i="1" s="1"/>
  <c r="AR1055" i="1" s="1"/>
  <c r="AR1056" i="1" s="1"/>
  <c r="AR1057" i="1" s="1"/>
  <c r="AR1058" i="1" s="1"/>
  <c r="AR1059" i="1" s="1"/>
  <c r="AR1060" i="1" s="1"/>
  <c r="AR1061" i="1" s="1"/>
  <c r="AR1062" i="1" s="1"/>
  <c r="AR1063" i="1" s="1"/>
  <c r="AR1064" i="1" s="1"/>
  <c r="AR1065" i="1" s="1"/>
  <c r="AR1066" i="1" s="1"/>
  <c r="AR1067" i="1" s="1"/>
  <c r="AR1068" i="1" s="1"/>
  <c r="AR1069" i="1" s="1"/>
  <c r="AR1070" i="1" s="1"/>
  <c r="AR1071" i="1" s="1"/>
  <c r="AR1072" i="1" s="1"/>
  <c r="AR1073" i="1" s="1"/>
  <c r="AR1074" i="1" s="1"/>
  <c r="AR1075" i="1" s="1"/>
  <c r="AR1076" i="1" s="1"/>
  <c r="AR1077" i="1" s="1"/>
  <c r="AR1078" i="1" s="1"/>
  <c r="AR1079" i="1" s="1"/>
  <c r="AR1080" i="1" s="1"/>
  <c r="AR1081" i="1" s="1"/>
  <c r="AR1082" i="1" s="1"/>
  <c r="AR1083" i="1" s="1"/>
  <c r="AR1084" i="1" s="1"/>
  <c r="AR1085" i="1" s="1"/>
  <c r="AR1086" i="1" s="1"/>
  <c r="AR1087" i="1" s="1"/>
  <c r="AR1088" i="1" s="1"/>
  <c r="AR1089" i="1" s="1"/>
  <c r="AR1090" i="1" s="1"/>
  <c r="AR1091" i="1" s="1"/>
  <c r="AR1092" i="1" s="1"/>
  <c r="AR1093" i="1" s="1"/>
  <c r="AR1094" i="1" s="1"/>
  <c r="AR1095" i="1" s="1"/>
  <c r="AR1096" i="1" s="1"/>
  <c r="AR1097" i="1" s="1"/>
  <c r="AR1098" i="1" s="1"/>
  <c r="AR1099" i="1" s="1"/>
  <c r="AR1100" i="1" s="1"/>
  <c r="AR1101" i="1" s="1"/>
  <c r="AR1102" i="1" s="1"/>
  <c r="AR1103" i="1" s="1"/>
  <c r="AR1104" i="1" s="1"/>
  <c r="AR1105" i="1" s="1"/>
  <c r="AR1106" i="1" s="1"/>
  <c r="AR1107" i="1" s="1"/>
  <c r="AR1108" i="1" s="1"/>
  <c r="AR1109" i="1" s="1"/>
  <c r="AR1110" i="1" s="1"/>
  <c r="AR1111" i="1" s="1"/>
  <c r="AR1112" i="1" s="1"/>
  <c r="AR1113" i="1" s="1"/>
  <c r="AR1114" i="1" s="1"/>
  <c r="AR1115" i="1" s="1"/>
  <c r="AR1116" i="1" s="1"/>
  <c r="AR1117" i="1" s="1"/>
  <c r="AR1118" i="1" s="1"/>
  <c r="AR1119" i="1" s="1"/>
  <c r="AR1120" i="1" s="1"/>
  <c r="AR1121" i="1" s="1"/>
  <c r="AR1122" i="1" s="1"/>
  <c r="AR1123" i="1" s="1"/>
  <c r="AR1124" i="1" s="1"/>
  <c r="AR1125" i="1" s="1"/>
  <c r="AR1126" i="1" s="1"/>
  <c r="AR1127" i="1" s="1"/>
  <c r="AR1128" i="1" s="1"/>
  <c r="AR1129" i="1" s="1"/>
  <c r="AR1130" i="1" s="1"/>
  <c r="AR1131" i="1" s="1"/>
  <c r="AR1132" i="1" s="1"/>
  <c r="AR1133" i="1" s="1"/>
  <c r="AR1134" i="1" s="1"/>
  <c r="AR1135" i="1" s="1"/>
  <c r="AR1136" i="1" s="1"/>
  <c r="AR1137" i="1" s="1"/>
  <c r="AR1138" i="1" s="1"/>
  <c r="AR1139" i="1" s="1"/>
  <c r="AR1140" i="1" s="1"/>
  <c r="AR1141" i="1" s="1"/>
  <c r="AR1142" i="1" s="1"/>
  <c r="AR1143" i="1" s="1"/>
  <c r="AR1144" i="1" s="1"/>
  <c r="AR1145" i="1" s="1"/>
  <c r="AR1146" i="1" s="1"/>
  <c r="AR1147" i="1" s="1"/>
  <c r="AR1148" i="1" s="1"/>
  <c r="AR1149" i="1" s="1"/>
  <c r="AR1150" i="1" s="1"/>
  <c r="AR1151" i="1" s="1"/>
  <c r="AR1152" i="1" s="1"/>
  <c r="AR1153" i="1" s="1"/>
  <c r="AR1154" i="1" s="1"/>
  <c r="AR1155" i="1" s="1"/>
  <c r="AR1156" i="1" s="1"/>
  <c r="AR1157" i="1" s="1"/>
  <c r="AR1158" i="1" s="1"/>
  <c r="AR1159" i="1" s="1"/>
  <c r="AR1160" i="1" s="1"/>
  <c r="AR1161" i="1" s="1"/>
  <c r="AR1162" i="1" s="1"/>
  <c r="AR1163" i="1" s="1"/>
  <c r="AR1164" i="1" s="1"/>
  <c r="AR1165" i="1" s="1"/>
  <c r="AR1166" i="1" s="1"/>
  <c r="AR1167" i="1" s="1"/>
  <c r="AR1168" i="1" s="1"/>
  <c r="AR1169" i="1" s="1"/>
  <c r="AR1170" i="1" s="1"/>
  <c r="AR1171" i="1" s="1"/>
  <c r="AR1172" i="1" s="1"/>
  <c r="AR1173" i="1" s="1"/>
  <c r="AR1174" i="1" s="1"/>
  <c r="AR1175" i="1" s="1"/>
  <c r="AR1176" i="1" s="1"/>
  <c r="AR1177" i="1" s="1"/>
  <c r="AR1178" i="1" s="1"/>
  <c r="AR1179" i="1" s="1"/>
  <c r="AR1180" i="1" s="1"/>
  <c r="AR1181" i="1" s="1"/>
  <c r="AR1182" i="1" s="1"/>
  <c r="AR1183" i="1" s="1"/>
  <c r="AR1184" i="1" s="1"/>
  <c r="AR1185" i="1" s="1"/>
  <c r="AR1186" i="1" s="1"/>
  <c r="AR1187" i="1" s="1"/>
  <c r="AR1188" i="1" s="1"/>
  <c r="AR1189" i="1" s="1"/>
  <c r="AR1190" i="1" s="1"/>
  <c r="AR1191" i="1" s="1"/>
  <c r="AR1192" i="1" s="1"/>
  <c r="AR1193" i="1" s="1"/>
  <c r="AR1194" i="1" s="1"/>
  <c r="AR1195" i="1" s="1"/>
  <c r="AR1196" i="1" s="1"/>
  <c r="AR1197" i="1" s="1"/>
  <c r="AR1198" i="1" s="1"/>
  <c r="AR1199" i="1" s="1"/>
  <c r="AR1200" i="1" s="1"/>
  <c r="AR1201" i="1" s="1"/>
  <c r="AR1202" i="1" s="1"/>
  <c r="AR1203" i="1" s="1"/>
  <c r="AR1204" i="1" s="1"/>
  <c r="AR1205" i="1" s="1"/>
  <c r="AR1206" i="1" s="1"/>
  <c r="AR1207" i="1" s="1"/>
  <c r="AR1208" i="1" s="1"/>
  <c r="AR1209" i="1" s="1"/>
  <c r="AR1210" i="1" s="1"/>
  <c r="AR1211" i="1" s="1"/>
  <c r="AR1212" i="1" s="1"/>
  <c r="AR1213" i="1" s="1"/>
  <c r="AR1214" i="1" s="1"/>
  <c r="AR1215" i="1" s="1"/>
  <c r="AR1216" i="1" s="1"/>
  <c r="AR1217" i="1" s="1"/>
  <c r="AR1218" i="1" s="1"/>
  <c r="AR1219" i="1" s="1"/>
  <c r="AR1220" i="1" s="1"/>
  <c r="AR1221" i="1" s="1"/>
  <c r="AR1222" i="1" s="1"/>
  <c r="AR1223" i="1" s="1"/>
  <c r="AR1224" i="1" s="1"/>
  <c r="AR1225" i="1" s="1"/>
  <c r="AR1226" i="1" s="1"/>
  <c r="AR1227" i="1" s="1"/>
  <c r="AR1228" i="1" s="1"/>
  <c r="AR1229" i="1" s="1"/>
  <c r="AR1230" i="1" s="1"/>
  <c r="AR1231" i="1" s="1"/>
  <c r="AR1232" i="1" s="1"/>
  <c r="AR1233" i="1" s="1"/>
  <c r="AR1234" i="1" s="1"/>
  <c r="AR1235" i="1" s="1"/>
  <c r="AR1236" i="1" s="1"/>
  <c r="AR1237" i="1" s="1"/>
  <c r="AR1238" i="1" s="1"/>
  <c r="AR1239" i="1" s="1"/>
  <c r="AR1240" i="1" s="1"/>
  <c r="AR1241" i="1" s="1"/>
  <c r="AR1242" i="1" s="1"/>
  <c r="AR1243" i="1" s="1"/>
  <c r="AR1244" i="1" s="1"/>
  <c r="AR1245" i="1" s="1"/>
  <c r="AR1246" i="1" s="1"/>
  <c r="AR1247" i="1" s="1"/>
  <c r="AR1248" i="1" s="1"/>
  <c r="AR1249" i="1" s="1"/>
  <c r="AR1250" i="1" s="1"/>
  <c r="AR1251" i="1" s="1"/>
  <c r="AR1252" i="1" s="1"/>
  <c r="AR1253" i="1" s="1"/>
  <c r="AR1254" i="1" s="1"/>
  <c r="AR1255" i="1" s="1"/>
  <c r="AR1256" i="1" s="1"/>
  <c r="AR1257" i="1" s="1"/>
  <c r="AR1258" i="1" s="1"/>
  <c r="AR1259" i="1" s="1"/>
  <c r="AR1260" i="1" s="1"/>
  <c r="AR1261" i="1" s="1"/>
  <c r="BL9" i="1" l="1"/>
  <c r="BM8" i="1"/>
  <c r="BN8" i="1" s="1"/>
  <c r="BP8" i="1"/>
  <c r="BD9" i="1"/>
  <c r="BE8" i="1"/>
  <c r="BH8" i="1"/>
  <c r="BQ5" i="1"/>
  <c r="BR4" i="1"/>
  <c r="BI5" i="1"/>
  <c r="BJ5" i="1" s="1"/>
  <c r="BJ4" i="1"/>
  <c r="AZ7" i="1"/>
  <c r="AV8" i="1"/>
  <c r="AW7" i="1"/>
  <c r="AX7" i="1" s="1"/>
  <c r="BB4" i="1"/>
  <c r="BA5" i="1"/>
  <c r="BB5" i="1" s="1"/>
  <c r="Y23" i="1" a="1"/>
  <c r="Y23" i="1" s="1"/>
  <c r="AS7" i="1"/>
  <c r="AS8" i="1" s="1"/>
  <c r="AS9" i="1" s="1"/>
  <c r="AS10" i="1" s="1"/>
  <c r="AS11" i="1" s="1"/>
  <c r="AS12" i="1" s="1"/>
  <c r="AS13" i="1" s="1"/>
  <c r="AS14" i="1" s="1"/>
  <c r="AS15" i="1" s="1"/>
  <c r="AS16" i="1" s="1"/>
  <c r="AS17" i="1" s="1"/>
  <c r="AS18" i="1" s="1"/>
  <c r="AS19" i="1" s="1"/>
  <c r="AS20" i="1" s="1"/>
  <c r="AS21" i="1" s="1"/>
  <c r="AS22" i="1" s="1"/>
  <c r="AS23" i="1" s="1"/>
  <c r="AS24" i="1" s="1"/>
  <c r="AS25" i="1" s="1"/>
  <c r="AS26" i="1" s="1"/>
  <c r="AS27" i="1" s="1"/>
  <c r="AS28" i="1" s="1"/>
  <c r="AS29" i="1" s="1"/>
  <c r="AS30" i="1" s="1"/>
  <c r="AS31" i="1" s="1"/>
  <c r="AS32" i="1" s="1"/>
  <c r="AS33" i="1" s="1"/>
  <c r="AS34" i="1" s="1"/>
  <c r="AS35" i="1" s="1"/>
  <c r="AS36" i="1" s="1"/>
  <c r="AS37" i="1" s="1"/>
  <c r="AS38" i="1" s="1"/>
  <c r="AS39" i="1" s="1"/>
  <c r="AS40" i="1" s="1"/>
  <c r="AS41" i="1" s="1"/>
  <c r="AS42" i="1" s="1"/>
  <c r="AS43" i="1" s="1"/>
  <c r="AS44" i="1" s="1"/>
  <c r="AS45" i="1" s="1"/>
  <c r="AS46" i="1" s="1"/>
  <c r="AS47" i="1" s="1"/>
  <c r="AS48" i="1" s="1"/>
  <c r="AS49" i="1" s="1"/>
  <c r="AS50" i="1" s="1"/>
  <c r="AS51" i="1" s="1"/>
  <c r="AS52" i="1" s="1"/>
  <c r="AS53" i="1" s="1"/>
  <c r="AS54" i="1" s="1"/>
  <c r="AS55" i="1" s="1"/>
  <c r="AS56" i="1" s="1"/>
  <c r="AS57" i="1" s="1"/>
  <c r="AS58" i="1" s="1"/>
  <c r="AS59" i="1" s="1"/>
  <c r="AS60" i="1" s="1"/>
  <c r="AS61" i="1" s="1"/>
  <c r="AS62" i="1" s="1"/>
  <c r="AS63" i="1" s="1"/>
  <c r="AS64" i="1" s="1"/>
  <c r="AS65" i="1" s="1"/>
  <c r="AS66" i="1" s="1"/>
  <c r="AS67" i="1" s="1"/>
  <c r="AS68" i="1" s="1"/>
  <c r="AS69" i="1" s="1"/>
  <c r="AS70" i="1" s="1"/>
  <c r="AS71" i="1" s="1"/>
  <c r="AS72" i="1" s="1"/>
  <c r="AS73" i="1" s="1"/>
  <c r="AS74" i="1" s="1"/>
  <c r="AS75" i="1" s="1"/>
  <c r="AS76" i="1" s="1"/>
  <c r="AS77" i="1" s="1"/>
  <c r="AS78" i="1" s="1"/>
  <c r="AS79" i="1" s="1"/>
  <c r="AS80" i="1" s="1"/>
  <c r="AS81" i="1" s="1"/>
  <c r="AS82" i="1" s="1"/>
  <c r="AS83" i="1" s="1"/>
  <c r="AS84" i="1" s="1"/>
  <c r="AS85" i="1" s="1"/>
  <c r="AS86" i="1" s="1"/>
  <c r="AS87" i="1" s="1"/>
  <c r="AS88" i="1" s="1"/>
  <c r="AS89" i="1" s="1"/>
  <c r="AS90" i="1" s="1"/>
  <c r="AS91" i="1" s="1"/>
  <c r="AS92" i="1" s="1"/>
  <c r="AS93" i="1" s="1"/>
  <c r="AS94" i="1" s="1"/>
  <c r="AS95" i="1" s="1"/>
  <c r="AS96" i="1" s="1"/>
  <c r="AS97" i="1" s="1"/>
  <c r="AS98" i="1" s="1"/>
  <c r="AS99" i="1" s="1"/>
  <c r="AS100" i="1" s="1"/>
  <c r="AS101" i="1" s="1"/>
  <c r="AS102" i="1" s="1"/>
  <c r="AS103" i="1" s="1"/>
  <c r="AS104" i="1" s="1"/>
  <c r="AS105" i="1" s="1"/>
  <c r="AS106" i="1" s="1"/>
  <c r="AS107" i="1" s="1"/>
  <c r="AS108" i="1" s="1"/>
  <c r="AS109" i="1" s="1"/>
  <c r="AS110" i="1" s="1"/>
  <c r="AS111" i="1" s="1"/>
  <c r="AS112" i="1" s="1"/>
  <c r="AS113" i="1" s="1"/>
  <c r="AS114" i="1" s="1"/>
  <c r="AS115" i="1" s="1"/>
  <c r="AS116" i="1" s="1"/>
  <c r="AS117" i="1" s="1"/>
  <c r="AS118" i="1" s="1"/>
  <c r="AS119" i="1" s="1"/>
  <c r="AS120" i="1" s="1"/>
  <c r="AS121" i="1" s="1"/>
  <c r="AS122" i="1" s="1"/>
  <c r="AS123" i="1" s="1"/>
  <c r="AS124" i="1" s="1"/>
  <c r="AS125" i="1" s="1"/>
  <c r="AS126" i="1" s="1"/>
  <c r="AS127" i="1" s="1"/>
  <c r="AS128" i="1" s="1"/>
  <c r="AS129" i="1" s="1"/>
  <c r="AS130" i="1" s="1"/>
  <c r="AS131" i="1" s="1"/>
  <c r="AS132" i="1" s="1"/>
  <c r="AS133" i="1" s="1"/>
  <c r="AS134" i="1" s="1"/>
  <c r="AS135" i="1" s="1"/>
  <c r="AS136" i="1" s="1"/>
  <c r="AS137" i="1" s="1"/>
  <c r="AS138" i="1" s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AS151" i="1" s="1"/>
  <c r="AS152" i="1" s="1"/>
  <c r="AS153" i="1" s="1"/>
  <c r="AS154" i="1" s="1"/>
  <c r="AS155" i="1" s="1"/>
  <c r="AS156" i="1" s="1"/>
  <c r="AS157" i="1" s="1"/>
  <c r="AS158" i="1" s="1"/>
  <c r="AS159" i="1" s="1"/>
  <c r="AS160" i="1" s="1"/>
  <c r="AS161" i="1" s="1"/>
  <c r="AS162" i="1" s="1"/>
  <c r="AS163" i="1" s="1"/>
  <c r="AS164" i="1" s="1"/>
  <c r="AS165" i="1" s="1"/>
  <c r="AS166" i="1" s="1"/>
  <c r="AS167" i="1" s="1"/>
  <c r="AS168" i="1" s="1"/>
  <c r="AS169" i="1" s="1"/>
  <c r="AS170" i="1" s="1"/>
  <c r="AS171" i="1" s="1"/>
  <c r="AS172" i="1" s="1"/>
  <c r="AS173" i="1" s="1"/>
  <c r="AS174" i="1" s="1"/>
  <c r="AS175" i="1" s="1"/>
  <c r="AS176" i="1" s="1"/>
  <c r="AS177" i="1" s="1"/>
  <c r="AS178" i="1" s="1"/>
  <c r="AS179" i="1" s="1"/>
  <c r="AS180" i="1" s="1"/>
  <c r="AS181" i="1" s="1"/>
  <c r="AS182" i="1" s="1"/>
  <c r="AS183" i="1" s="1"/>
  <c r="AS184" i="1" s="1"/>
  <c r="AS185" i="1" s="1"/>
  <c r="AS186" i="1" s="1"/>
  <c r="AS187" i="1" s="1"/>
  <c r="AS188" i="1" s="1"/>
  <c r="AS189" i="1" s="1"/>
  <c r="AS190" i="1" s="1"/>
  <c r="AS191" i="1" s="1"/>
  <c r="AS192" i="1" s="1"/>
  <c r="AS193" i="1" s="1"/>
  <c r="AS194" i="1" s="1"/>
  <c r="AS195" i="1" s="1"/>
  <c r="AS196" i="1" s="1"/>
  <c r="AS197" i="1" s="1"/>
  <c r="AS198" i="1" s="1"/>
  <c r="AS199" i="1" s="1"/>
  <c r="AS200" i="1" s="1"/>
  <c r="AS201" i="1" s="1"/>
  <c r="AS202" i="1" s="1"/>
  <c r="AS203" i="1" s="1"/>
  <c r="AS204" i="1" s="1"/>
  <c r="AS205" i="1" s="1"/>
  <c r="AS206" i="1" s="1"/>
  <c r="AS207" i="1" s="1"/>
  <c r="AS208" i="1" s="1"/>
  <c r="AS209" i="1" s="1"/>
  <c r="AS210" i="1" s="1"/>
  <c r="AS211" i="1" s="1"/>
  <c r="AS212" i="1" s="1"/>
  <c r="AS213" i="1" s="1"/>
  <c r="AS214" i="1" s="1"/>
  <c r="AS215" i="1" s="1"/>
  <c r="AS216" i="1" s="1"/>
  <c r="AS217" i="1" s="1"/>
  <c r="AS218" i="1" s="1"/>
  <c r="AS219" i="1" s="1"/>
  <c r="AS220" i="1" s="1"/>
  <c r="AS221" i="1" s="1"/>
  <c r="AS222" i="1" s="1"/>
  <c r="AS223" i="1" s="1"/>
  <c r="AS224" i="1" s="1"/>
  <c r="AS225" i="1" s="1"/>
  <c r="AS226" i="1" s="1"/>
  <c r="AS227" i="1" s="1"/>
  <c r="AS228" i="1" s="1"/>
  <c r="AS229" i="1" s="1"/>
  <c r="AS230" i="1" s="1"/>
  <c r="AS231" i="1" s="1"/>
  <c r="AS232" i="1" s="1"/>
  <c r="AS233" i="1" s="1"/>
  <c r="AS234" i="1" s="1"/>
  <c r="AS235" i="1" s="1"/>
  <c r="AS236" i="1" s="1"/>
  <c r="AS237" i="1" s="1"/>
  <c r="AS238" i="1" s="1"/>
  <c r="AS239" i="1" s="1"/>
  <c r="AS240" i="1" s="1"/>
  <c r="AS241" i="1" s="1"/>
  <c r="AS242" i="1" s="1"/>
  <c r="AS243" i="1" s="1"/>
  <c r="AS244" i="1" s="1"/>
  <c r="AS245" i="1" s="1"/>
  <c r="AS246" i="1" s="1"/>
  <c r="AS247" i="1" s="1"/>
  <c r="AS248" i="1" s="1"/>
  <c r="AS249" i="1" s="1"/>
  <c r="AS250" i="1" s="1"/>
  <c r="AS251" i="1" s="1"/>
  <c r="AS252" i="1" s="1"/>
  <c r="AS253" i="1" s="1"/>
  <c r="AS254" i="1" s="1"/>
  <c r="AS255" i="1" s="1"/>
  <c r="AS256" i="1" s="1"/>
  <c r="AS257" i="1" s="1"/>
  <c r="AS258" i="1" s="1"/>
  <c r="AS259" i="1" s="1"/>
  <c r="AS260" i="1" s="1"/>
  <c r="AS261" i="1" s="1"/>
  <c r="AS262" i="1" s="1"/>
  <c r="AS263" i="1" s="1"/>
  <c r="AS264" i="1" s="1"/>
  <c r="AS265" i="1" s="1"/>
  <c r="AS266" i="1" s="1"/>
  <c r="AS267" i="1" s="1"/>
  <c r="AS268" i="1" s="1"/>
  <c r="AS269" i="1" s="1"/>
  <c r="AS270" i="1" s="1"/>
  <c r="AS271" i="1" s="1"/>
  <c r="AS272" i="1" s="1"/>
  <c r="AS273" i="1" s="1"/>
  <c r="AS274" i="1" s="1"/>
  <c r="AS275" i="1" s="1"/>
  <c r="AS276" i="1" s="1"/>
  <c r="AS277" i="1" s="1"/>
  <c r="AS278" i="1" s="1"/>
  <c r="AS279" i="1" s="1"/>
  <c r="AS280" i="1" s="1"/>
  <c r="AS281" i="1" s="1"/>
  <c r="AS282" i="1" s="1"/>
  <c r="AS283" i="1" s="1"/>
  <c r="AS284" i="1" s="1"/>
  <c r="AS285" i="1" s="1"/>
  <c r="AS286" i="1" s="1"/>
  <c r="AS287" i="1" s="1"/>
  <c r="AS288" i="1" s="1"/>
  <c r="AS289" i="1" s="1"/>
  <c r="AS290" i="1" s="1"/>
  <c r="AS291" i="1" s="1"/>
  <c r="AS292" i="1" s="1"/>
  <c r="AS293" i="1" s="1"/>
  <c r="AS294" i="1" s="1"/>
  <c r="AS295" i="1" s="1"/>
  <c r="AS296" i="1" s="1"/>
  <c r="AS297" i="1" s="1"/>
  <c r="AS298" i="1" s="1"/>
  <c r="AS299" i="1" s="1"/>
  <c r="AS300" i="1" s="1"/>
  <c r="AS301" i="1" s="1"/>
  <c r="AS302" i="1" s="1"/>
  <c r="AS303" i="1" s="1"/>
  <c r="AS304" i="1" s="1"/>
  <c r="AS305" i="1" s="1"/>
  <c r="AS306" i="1" s="1"/>
  <c r="AS307" i="1" s="1"/>
  <c r="AS308" i="1" s="1"/>
  <c r="AS309" i="1" s="1"/>
  <c r="AS310" i="1" s="1"/>
  <c r="AS311" i="1" s="1"/>
  <c r="AS312" i="1" s="1"/>
  <c r="AS313" i="1" s="1"/>
  <c r="AS314" i="1" s="1"/>
  <c r="AS315" i="1" s="1"/>
  <c r="AS316" i="1" s="1"/>
  <c r="AS317" i="1" s="1"/>
  <c r="AS318" i="1" s="1"/>
  <c r="AS319" i="1" s="1"/>
  <c r="AS320" i="1" s="1"/>
  <c r="AS321" i="1" s="1"/>
  <c r="AS322" i="1" s="1"/>
  <c r="AS323" i="1" s="1"/>
  <c r="AS324" i="1" s="1"/>
  <c r="AS325" i="1" s="1"/>
  <c r="AS326" i="1" s="1"/>
  <c r="AS327" i="1" s="1"/>
  <c r="AS328" i="1" s="1"/>
  <c r="AS329" i="1" s="1"/>
  <c r="AS330" i="1" s="1"/>
  <c r="AS331" i="1" s="1"/>
  <c r="AS332" i="1" s="1"/>
  <c r="AS333" i="1" s="1"/>
  <c r="AS334" i="1" s="1"/>
  <c r="AS335" i="1" s="1"/>
  <c r="AS336" i="1" s="1"/>
  <c r="AS337" i="1" s="1"/>
  <c r="AS338" i="1" s="1"/>
  <c r="AS339" i="1" s="1"/>
  <c r="AS340" i="1" s="1"/>
  <c r="AS341" i="1" s="1"/>
  <c r="AS342" i="1" s="1"/>
  <c r="AS343" i="1" s="1"/>
  <c r="AS344" i="1" s="1"/>
  <c r="AS345" i="1" s="1"/>
  <c r="AS346" i="1" s="1"/>
  <c r="AS347" i="1" s="1"/>
  <c r="AS348" i="1" s="1"/>
  <c r="AS349" i="1" s="1"/>
  <c r="AS350" i="1" s="1"/>
  <c r="AS351" i="1" s="1"/>
  <c r="AS352" i="1" s="1"/>
  <c r="AS353" i="1" s="1"/>
  <c r="AS354" i="1" s="1"/>
  <c r="AS355" i="1" s="1"/>
  <c r="AS356" i="1" s="1"/>
  <c r="AS357" i="1" s="1"/>
  <c r="AS358" i="1" s="1"/>
  <c r="AS359" i="1" s="1"/>
  <c r="AS360" i="1" s="1"/>
  <c r="AS361" i="1" s="1"/>
  <c r="AS362" i="1" s="1"/>
  <c r="AS363" i="1" s="1"/>
  <c r="AS364" i="1" s="1"/>
  <c r="AS365" i="1" s="1"/>
  <c r="AS366" i="1" s="1"/>
  <c r="AS367" i="1" s="1"/>
  <c r="AS368" i="1" s="1"/>
  <c r="AS369" i="1" s="1"/>
  <c r="AS370" i="1" s="1"/>
  <c r="AS371" i="1" s="1"/>
  <c r="AS372" i="1" s="1"/>
  <c r="AS373" i="1" s="1"/>
  <c r="AS374" i="1" s="1"/>
  <c r="AS375" i="1" s="1"/>
  <c r="AS376" i="1" s="1"/>
  <c r="AS377" i="1" s="1"/>
  <c r="AS378" i="1" s="1"/>
  <c r="AS379" i="1" s="1"/>
  <c r="AS380" i="1" s="1"/>
  <c r="AS381" i="1" s="1"/>
  <c r="AS382" i="1" s="1"/>
  <c r="AS383" i="1" s="1"/>
  <c r="AS384" i="1" s="1"/>
  <c r="AS385" i="1" s="1"/>
  <c r="AS386" i="1" s="1"/>
  <c r="AS387" i="1" s="1"/>
  <c r="AS388" i="1" s="1"/>
  <c r="AS389" i="1" s="1"/>
  <c r="AS390" i="1" s="1"/>
  <c r="AS391" i="1" s="1"/>
  <c r="AS392" i="1" s="1"/>
  <c r="AS393" i="1" s="1"/>
  <c r="AS394" i="1" s="1"/>
  <c r="AS395" i="1" s="1"/>
  <c r="AS396" i="1" s="1"/>
  <c r="AS397" i="1" s="1"/>
  <c r="AS398" i="1" s="1"/>
  <c r="AS399" i="1" s="1"/>
  <c r="AS400" i="1" s="1"/>
  <c r="AS401" i="1" s="1"/>
  <c r="AS402" i="1" s="1"/>
  <c r="AS403" i="1" s="1"/>
  <c r="AS404" i="1" s="1"/>
  <c r="AS405" i="1" s="1"/>
  <c r="AS406" i="1" s="1"/>
  <c r="AS407" i="1" s="1"/>
  <c r="AS408" i="1" s="1"/>
  <c r="AS409" i="1" s="1"/>
  <c r="AS410" i="1" s="1"/>
  <c r="AS411" i="1" s="1"/>
  <c r="AS412" i="1" s="1"/>
  <c r="AS413" i="1" s="1"/>
  <c r="AS414" i="1" s="1"/>
  <c r="AS415" i="1" s="1"/>
  <c r="AS416" i="1" s="1"/>
  <c r="AS417" i="1" s="1"/>
  <c r="AS418" i="1" s="1"/>
  <c r="AS419" i="1" s="1"/>
  <c r="AS420" i="1" s="1"/>
  <c r="AS421" i="1" s="1"/>
  <c r="AS422" i="1" s="1"/>
  <c r="AS423" i="1" s="1"/>
  <c r="AS424" i="1" s="1"/>
  <c r="AS425" i="1" s="1"/>
  <c r="AS426" i="1" s="1"/>
  <c r="AS427" i="1" s="1"/>
  <c r="AS428" i="1" s="1"/>
  <c r="AS429" i="1" s="1"/>
  <c r="AS430" i="1" s="1"/>
  <c r="AS431" i="1" s="1"/>
  <c r="AS432" i="1" s="1"/>
  <c r="AS433" i="1" s="1"/>
  <c r="AS434" i="1" s="1"/>
  <c r="AS435" i="1" s="1"/>
  <c r="AS436" i="1" s="1"/>
  <c r="AS437" i="1" s="1"/>
  <c r="AS438" i="1" s="1"/>
  <c r="AS439" i="1" s="1"/>
  <c r="AS440" i="1" s="1"/>
  <c r="AS441" i="1" s="1"/>
  <c r="AS442" i="1" s="1"/>
  <c r="AS443" i="1" s="1"/>
  <c r="AS444" i="1" s="1"/>
  <c r="AS445" i="1" s="1"/>
  <c r="AS446" i="1" s="1"/>
  <c r="AS447" i="1" s="1"/>
  <c r="AS448" i="1" s="1"/>
  <c r="AS449" i="1" s="1"/>
  <c r="AS450" i="1" s="1"/>
  <c r="AS451" i="1" s="1"/>
  <c r="AS452" i="1" s="1"/>
  <c r="AS453" i="1" s="1"/>
  <c r="AS454" i="1" s="1"/>
  <c r="AS455" i="1" s="1"/>
  <c r="AS456" i="1" s="1"/>
  <c r="AS457" i="1" s="1"/>
  <c r="AS458" i="1" s="1"/>
  <c r="AS459" i="1" s="1"/>
  <c r="AS460" i="1" s="1"/>
  <c r="AS461" i="1" s="1"/>
  <c r="AS462" i="1" s="1"/>
  <c r="AS463" i="1" s="1"/>
  <c r="AS464" i="1" s="1"/>
  <c r="AS465" i="1" s="1"/>
  <c r="AS466" i="1" s="1"/>
  <c r="AS467" i="1" s="1"/>
  <c r="AS468" i="1" s="1"/>
  <c r="AS469" i="1" s="1"/>
  <c r="AS470" i="1" s="1"/>
  <c r="AS471" i="1" s="1"/>
  <c r="AS472" i="1" s="1"/>
  <c r="AS473" i="1" s="1"/>
  <c r="AS474" i="1" s="1"/>
  <c r="AS475" i="1" s="1"/>
  <c r="AS476" i="1" s="1"/>
  <c r="AS477" i="1" s="1"/>
  <c r="AS478" i="1" s="1"/>
  <c r="AS479" i="1" s="1"/>
  <c r="AS480" i="1" s="1"/>
  <c r="AS481" i="1" s="1"/>
  <c r="AS482" i="1" s="1"/>
  <c r="AS483" i="1" s="1"/>
  <c r="AS484" i="1" s="1"/>
  <c r="AS485" i="1" s="1"/>
  <c r="AS486" i="1" s="1"/>
  <c r="AS487" i="1" s="1"/>
  <c r="AS488" i="1" s="1"/>
  <c r="AS489" i="1" s="1"/>
  <c r="AS490" i="1" s="1"/>
  <c r="AS491" i="1" s="1"/>
  <c r="AS492" i="1" s="1"/>
  <c r="AS493" i="1" s="1"/>
  <c r="AS494" i="1" s="1"/>
  <c r="AS495" i="1" s="1"/>
  <c r="AS496" i="1" s="1"/>
  <c r="AS497" i="1" s="1"/>
  <c r="AS498" i="1" s="1"/>
  <c r="AS499" i="1" s="1"/>
  <c r="AS500" i="1" s="1"/>
  <c r="AS501" i="1" s="1"/>
  <c r="AS502" i="1" s="1"/>
  <c r="AS503" i="1" s="1"/>
  <c r="AS504" i="1" s="1"/>
  <c r="AS505" i="1" s="1"/>
  <c r="AS506" i="1" s="1"/>
  <c r="AS507" i="1" s="1"/>
  <c r="AS508" i="1" s="1"/>
  <c r="AS509" i="1" s="1"/>
  <c r="AS510" i="1" s="1"/>
  <c r="AS511" i="1" s="1"/>
  <c r="AS512" i="1" s="1"/>
  <c r="AS513" i="1" s="1"/>
  <c r="AS514" i="1" s="1"/>
  <c r="AS515" i="1" s="1"/>
  <c r="AS516" i="1" s="1"/>
  <c r="AS517" i="1" s="1"/>
  <c r="AS518" i="1" s="1"/>
  <c r="AS519" i="1" s="1"/>
  <c r="AS520" i="1" s="1"/>
  <c r="AS521" i="1" s="1"/>
  <c r="AS522" i="1" s="1"/>
  <c r="AS523" i="1" s="1"/>
  <c r="AS524" i="1" s="1"/>
  <c r="AS525" i="1" s="1"/>
  <c r="AS526" i="1" s="1"/>
  <c r="AS527" i="1" s="1"/>
  <c r="AS528" i="1" s="1"/>
  <c r="AS529" i="1" s="1"/>
  <c r="AS530" i="1" s="1"/>
  <c r="AS531" i="1" s="1"/>
  <c r="AS532" i="1" s="1"/>
  <c r="AS533" i="1" s="1"/>
  <c r="AS534" i="1" s="1"/>
  <c r="AS535" i="1" s="1"/>
  <c r="AS536" i="1" s="1"/>
  <c r="AS537" i="1" s="1"/>
  <c r="AS538" i="1" s="1"/>
  <c r="AS539" i="1" s="1"/>
  <c r="AS540" i="1" s="1"/>
  <c r="AS541" i="1" s="1"/>
  <c r="AS542" i="1" s="1"/>
  <c r="AS543" i="1" s="1"/>
  <c r="AS544" i="1" s="1"/>
  <c r="AS545" i="1" s="1"/>
  <c r="AS546" i="1" s="1"/>
  <c r="AS547" i="1" s="1"/>
  <c r="AS548" i="1" s="1"/>
  <c r="AS549" i="1" s="1"/>
  <c r="AS550" i="1" s="1"/>
  <c r="AS551" i="1" s="1"/>
  <c r="AS552" i="1" s="1"/>
  <c r="AS553" i="1" s="1"/>
  <c r="AS554" i="1" s="1"/>
  <c r="AS555" i="1" s="1"/>
  <c r="AS556" i="1" s="1"/>
  <c r="AS557" i="1" s="1"/>
  <c r="AS558" i="1" s="1"/>
  <c r="AS559" i="1" s="1"/>
  <c r="AS560" i="1" s="1"/>
  <c r="AS561" i="1" s="1"/>
  <c r="AS562" i="1" s="1"/>
  <c r="AS563" i="1" s="1"/>
  <c r="AS564" i="1" s="1"/>
  <c r="AS565" i="1" s="1"/>
  <c r="AS566" i="1" s="1"/>
  <c r="AS567" i="1" s="1"/>
  <c r="AS568" i="1" s="1"/>
  <c r="AS569" i="1" s="1"/>
  <c r="AS570" i="1" s="1"/>
  <c r="AS571" i="1" s="1"/>
  <c r="AS572" i="1" s="1"/>
  <c r="AS573" i="1" s="1"/>
  <c r="AS574" i="1" s="1"/>
  <c r="AS575" i="1" s="1"/>
  <c r="AS576" i="1" s="1"/>
  <c r="AS577" i="1" s="1"/>
  <c r="AS578" i="1" s="1"/>
  <c r="AS579" i="1" s="1"/>
  <c r="AS580" i="1" s="1"/>
  <c r="AS581" i="1" s="1"/>
  <c r="AS582" i="1" s="1"/>
  <c r="AS583" i="1" s="1"/>
  <c r="AS584" i="1" s="1"/>
  <c r="AS585" i="1" s="1"/>
  <c r="AS586" i="1" s="1"/>
  <c r="AS587" i="1" s="1"/>
  <c r="AS588" i="1" s="1"/>
  <c r="AS589" i="1" s="1"/>
  <c r="AS590" i="1" s="1"/>
  <c r="AS591" i="1" s="1"/>
  <c r="AS592" i="1" s="1"/>
  <c r="AS593" i="1" s="1"/>
  <c r="AS594" i="1" s="1"/>
  <c r="AS595" i="1" s="1"/>
  <c r="AS596" i="1" s="1"/>
  <c r="AS597" i="1" s="1"/>
  <c r="AS598" i="1" s="1"/>
  <c r="AS599" i="1" s="1"/>
  <c r="AS600" i="1" s="1"/>
  <c r="AS601" i="1" s="1"/>
  <c r="AS602" i="1" s="1"/>
  <c r="AS603" i="1" s="1"/>
  <c r="AS604" i="1" s="1"/>
  <c r="AS605" i="1" s="1"/>
  <c r="AS606" i="1" s="1"/>
  <c r="AS607" i="1" s="1"/>
  <c r="AS608" i="1" s="1"/>
  <c r="AS609" i="1" s="1"/>
  <c r="AS610" i="1" s="1"/>
  <c r="AS611" i="1" s="1"/>
  <c r="AS612" i="1" s="1"/>
  <c r="AS613" i="1" s="1"/>
  <c r="AS614" i="1" s="1"/>
  <c r="AS615" i="1" s="1"/>
  <c r="AS616" i="1" s="1"/>
  <c r="AS617" i="1" s="1"/>
  <c r="AS618" i="1" s="1"/>
  <c r="AS619" i="1" s="1"/>
  <c r="AS620" i="1" s="1"/>
  <c r="AS621" i="1" s="1"/>
  <c r="AS622" i="1" s="1"/>
  <c r="AS623" i="1" s="1"/>
  <c r="AS624" i="1" s="1"/>
  <c r="AS625" i="1" s="1"/>
  <c r="AS626" i="1" s="1"/>
  <c r="AS627" i="1" s="1"/>
  <c r="AS628" i="1" s="1"/>
  <c r="AS629" i="1" s="1"/>
  <c r="AS630" i="1" s="1"/>
  <c r="AS631" i="1" s="1"/>
  <c r="AS632" i="1" s="1"/>
  <c r="AS633" i="1" s="1"/>
  <c r="AS634" i="1" s="1"/>
  <c r="AS635" i="1" s="1"/>
  <c r="AS636" i="1" s="1"/>
  <c r="AS637" i="1" s="1"/>
  <c r="AS638" i="1" s="1"/>
  <c r="AS639" i="1" s="1"/>
  <c r="AS640" i="1" s="1"/>
  <c r="AS641" i="1" s="1"/>
  <c r="AS642" i="1" s="1"/>
  <c r="AS643" i="1" s="1"/>
  <c r="AS644" i="1" s="1"/>
  <c r="AS645" i="1" s="1"/>
  <c r="AS646" i="1" s="1"/>
  <c r="AS647" i="1" s="1"/>
  <c r="AS648" i="1" s="1"/>
  <c r="AS649" i="1" s="1"/>
  <c r="AS650" i="1" s="1"/>
  <c r="AS651" i="1" s="1"/>
  <c r="AS652" i="1" s="1"/>
  <c r="AS653" i="1" s="1"/>
  <c r="AS654" i="1" s="1"/>
  <c r="AS655" i="1" s="1"/>
  <c r="AS656" i="1" s="1"/>
  <c r="AS657" i="1" s="1"/>
  <c r="AS658" i="1" s="1"/>
  <c r="AS659" i="1" s="1"/>
  <c r="AS660" i="1" s="1"/>
  <c r="AS661" i="1" s="1"/>
  <c r="AS662" i="1" s="1"/>
  <c r="AS663" i="1" s="1"/>
  <c r="AS664" i="1" s="1"/>
  <c r="AS665" i="1" s="1"/>
  <c r="AS666" i="1" s="1"/>
  <c r="AS667" i="1" s="1"/>
  <c r="AS668" i="1" s="1"/>
  <c r="AS669" i="1" s="1"/>
  <c r="AS670" i="1" s="1"/>
  <c r="AS671" i="1" s="1"/>
  <c r="AS672" i="1" s="1"/>
  <c r="AS673" i="1" s="1"/>
  <c r="AS674" i="1" s="1"/>
  <c r="AS675" i="1" s="1"/>
  <c r="AS676" i="1" s="1"/>
  <c r="AS677" i="1" s="1"/>
  <c r="AS678" i="1" s="1"/>
  <c r="AS679" i="1" s="1"/>
  <c r="AS680" i="1" s="1"/>
  <c r="AS681" i="1" s="1"/>
  <c r="AS682" i="1" s="1"/>
  <c r="AS683" i="1" s="1"/>
  <c r="AS684" i="1" s="1"/>
  <c r="AS685" i="1" s="1"/>
  <c r="AS686" i="1" s="1"/>
  <c r="AS687" i="1" s="1"/>
  <c r="AS688" i="1" s="1"/>
  <c r="AS689" i="1" s="1"/>
  <c r="AS690" i="1" s="1"/>
  <c r="AS691" i="1" s="1"/>
  <c r="AS692" i="1" s="1"/>
  <c r="AS693" i="1" s="1"/>
  <c r="AS694" i="1" s="1"/>
  <c r="AS695" i="1" s="1"/>
  <c r="AS696" i="1" s="1"/>
  <c r="AS697" i="1" s="1"/>
  <c r="AS698" i="1" s="1"/>
  <c r="AS699" i="1" s="1"/>
  <c r="AS700" i="1" s="1"/>
  <c r="AS701" i="1" s="1"/>
  <c r="AS702" i="1" s="1"/>
  <c r="AS703" i="1" s="1"/>
  <c r="AS704" i="1" s="1"/>
  <c r="AS705" i="1" s="1"/>
  <c r="AS706" i="1" s="1"/>
  <c r="AS707" i="1" s="1"/>
  <c r="AS708" i="1" s="1"/>
  <c r="AS709" i="1" s="1"/>
  <c r="AS710" i="1" s="1"/>
  <c r="AS711" i="1" s="1"/>
  <c r="AS712" i="1" s="1"/>
  <c r="AS713" i="1" s="1"/>
  <c r="AS714" i="1" s="1"/>
  <c r="AS715" i="1" s="1"/>
  <c r="AS716" i="1" s="1"/>
  <c r="AS717" i="1" s="1"/>
  <c r="AS718" i="1" s="1"/>
  <c r="AS719" i="1" s="1"/>
  <c r="AS720" i="1" s="1"/>
  <c r="AS721" i="1" s="1"/>
  <c r="AS722" i="1" s="1"/>
  <c r="AS723" i="1" s="1"/>
  <c r="AS724" i="1" s="1"/>
  <c r="AS725" i="1" s="1"/>
  <c r="AS726" i="1" s="1"/>
  <c r="AS727" i="1" s="1"/>
  <c r="AS728" i="1" s="1"/>
  <c r="AS729" i="1" s="1"/>
  <c r="AS730" i="1" s="1"/>
  <c r="AS731" i="1" s="1"/>
  <c r="AS732" i="1" s="1"/>
  <c r="AS733" i="1" s="1"/>
  <c r="AS734" i="1" s="1"/>
  <c r="AS735" i="1" s="1"/>
  <c r="AS736" i="1" s="1"/>
  <c r="AS737" i="1" s="1"/>
  <c r="AS738" i="1" s="1"/>
  <c r="AS739" i="1" s="1"/>
  <c r="AS740" i="1" s="1"/>
  <c r="AS741" i="1" s="1"/>
  <c r="AS742" i="1" s="1"/>
  <c r="AS743" i="1" s="1"/>
  <c r="AS744" i="1" s="1"/>
  <c r="AS745" i="1" s="1"/>
  <c r="AS746" i="1" s="1"/>
  <c r="AS747" i="1" s="1"/>
  <c r="AS748" i="1" s="1"/>
  <c r="AS749" i="1" s="1"/>
  <c r="AS750" i="1" s="1"/>
  <c r="AS751" i="1" s="1"/>
  <c r="AS752" i="1" s="1"/>
  <c r="AS753" i="1" s="1"/>
  <c r="AS754" i="1" s="1"/>
  <c r="AS755" i="1" s="1"/>
  <c r="AS756" i="1" s="1"/>
  <c r="AS757" i="1" s="1"/>
  <c r="AS758" i="1" s="1"/>
  <c r="AS759" i="1" s="1"/>
  <c r="AS760" i="1" s="1"/>
  <c r="AS761" i="1" s="1"/>
  <c r="AS762" i="1" s="1"/>
  <c r="AS763" i="1" s="1"/>
  <c r="AS764" i="1" s="1"/>
  <c r="AS765" i="1" s="1"/>
  <c r="AS766" i="1" s="1"/>
  <c r="AS767" i="1" s="1"/>
  <c r="AS768" i="1" s="1"/>
  <c r="AS769" i="1" s="1"/>
  <c r="AS770" i="1" s="1"/>
  <c r="AS771" i="1" s="1"/>
  <c r="AS772" i="1" s="1"/>
  <c r="AS773" i="1" s="1"/>
  <c r="AS774" i="1" s="1"/>
  <c r="AS775" i="1" s="1"/>
  <c r="AS776" i="1" s="1"/>
  <c r="AS777" i="1" s="1"/>
  <c r="AS778" i="1" s="1"/>
  <c r="AS779" i="1" s="1"/>
  <c r="AS780" i="1" s="1"/>
  <c r="AS781" i="1" s="1"/>
  <c r="AS782" i="1" s="1"/>
  <c r="AS783" i="1" s="1"/>
  <c r="AS784" i="1" s="1"/>
  <c r="AS785" i="1" s="1"/>
  <c r="AS786" i="1" s="1"/>
  <c r="AS787" i="1" s="1"/>
  <c r="AS788" i="1" s="1"/>
  <c r="AS789" i="1" s="1"/>
  <c r="AS790" i="1" s="1"/>
  <c r="AS791" i="1" s="1"/>
  <c r="AS792" i="1" s="1"/>
  <c r="AS793" i="1" s="1"/>
  <c r="AS794" i="1" s="1"/>
  <c r="AS795" i="1" s="1"/>
  <c r="AS796" i="1" s="1"/>
  <c r="AS797" i="1" s="1"/>
  <c r="AS798" i="1" s="1"/>
  <c r="AS799" i="1" s="1"/>
  <c r="AS800" i="1" s="1"/>
  <c r="AS801" i="1" s="1"/>
  <c r="AS802" i="1" s="1"/>
  <c r="AS803" i="1" s="1"/>
  <c r="AS804" i="1" s="1"/>
  <c r="AS805" i="1" s="1"/>
  <c r="AS806" i="1" s="1"/>
  <c r="AS807" i="1" s="1"/>
  <c r="AS808" i="1" s="1"/>
  <c r="AS809" i="1" s="1"/>
  <c r="AS810" i="1" s="1"/>
  <c r="AS811" i="1" s="1"/>
  <c r="AS812" i="1" s="1"/>
  <c r="AS813" i="1" s="1"/>
  <c r="AS814" i="1" s="1"/>
  <c r="AS815" i="1" s="1"/>
  <c r="AS816" i="1" s="1"/>
  <c r="AS817" i="1" s="1"/>
  <c r="AS818" i="1" s="1"/>
  <c r="AS819" i="1" s="1"/>
  <c r="AS820" i="1" s="1"/>
  <c r="AS821" i="1" s="1"/>
  <c r="AS822" i="1" s="1"/>
  <c r="AS823" i="1" s="1"/>
  <c r="AS824" i="1" s="1"/>
  <c r="AS825" i="1" s="1"/>
  <c r="AS826" i="1" s="1"/>
  <c r="AS827" i="1" s="1"/>
  <c r="AS828" i="1" s="1"/>
  <c r="AS829" i="1" s="1"/>
  <c r="AS830" i="1" s="1"/>
  <c r="AS831" i="1" s="1"/>
  <c r="AS832" i="1" s="1"/>
  <c r="AS833" i="1" s="1"/>
  <c r="AS834" i="1" s="1"/>
  <c r="AS835" i="1" s="1"/>
  <c r="AS836" i="1" s="1"/>
  <c r="AS837" i="1" s="1"/>
  <c r="AS838" i="1" s="1"/>
  <c r="AS839" i="1" s="1"/>
  <c r="AS840" i="1" s="1"/>
  <c r="AS841" i="1" s="1"/>
  <c r="AS842" i="1" s="1"/>
  <c r="AS843" i="1" s="1"/>
  <c r="AS844" i="1" s="1"/>
  <c r="AS845" i="1" s="1"/>
  <c r="AS846" i="1" s="1"/>
  <c r="AS847" i="1" s="1"/>
  <c r="AS848" i="1" s="1"/>
  <c r="AS849" i="1" s="1"/>
  <c r="AS850" i="1" s="1"/>
  <c r="AS851" i="1" s="1"/>
  <c r="AS852" i="1" s="1"/>
  <c r="AS853" i="1" s="1"/>
  <c r="AS854" i="1" s="1"/>
  <c r="AS855" i="1" s="1"/>
  <c r="AS856" i="1" s="1"/>
  <c r="AS857" i="1" s="1"/>
  <c r="AS858" i="1" s="1"/>
  <c r="AS859" i="1" s="1"/>
  <c r="AS860" i="1" s="1"/>
  <c r="AS861" i="1" s="1"/>
  <c r="AS862" i="1" s="1"/>
  <c r="AS863" i="1" s="1"/>
  <c r="AS864" i="1" s="1"/>
  <c r="AS865" i="1" s="1"/>
  <c r="AS866" i="1" s="1"/>
  <c r="AS867" i="1" s="1"/>
  <c r="AS868" i="1" s="1"/>
  <c r="AS869" i="1" s="1"/>
  <c r="AS870" i="1" s="1"/>
  <c r="AS871" i="1" s="1"/>
  <c r="AS872" i="1" s="1"/>
  <c r="AS873" i="1" s="1"/>
  <c r="AS874" i="1" s="1"/>
  <c r="AS875" i="1" s="1"/>
  <c r="AS876" i="1" s="1"/>
  <c r="AS877" i="1" s="1"/>
  <c r="AS878" i="1" s="1"/>
  <c r="AS879" i="1" s="1"/>
  <c r="AS880" i="1" s="1"/>
  <c r="AS881" i="1" s="1"/>
  <c r="AS882" i="1" s="1"/>
  <c r="AS883" i="1" s="1"/>
  <c r="AS884" i="1" s="1"/>
  <c r="AS885" i="1" s="1"/>
  <c r="AS886" i="1" s="1"/>
  <c r="AS887" i="1" s="1"/>
  <c r="AS888" i="1" s="1"/>
  <c r="AS889" i="1" s="1"/>
  <c r="AS890" i="1" s="1"/>
  <c r="AS891" i="1" s="1"/>
  <c r="AS892" i="1" s="1"/>
  <c r="AS893" i="1" s="1"/>
  <c r="AS894" i="1" s="1"/>
  <c r="AS895" i="1" s="1"/>
  <c r="AS896" i="1" s="1"/>
  <c r="AS897" i="1" s="1"/>
  <c r="AS898" i="1" s="1"/>
  <c r="AS899" i="1" s="1"/>
  <c r="AS900" i="1" s="1"/>
  <c r="AS901" i="1" s="1"/>
  <c r="AS902" i="1" s="1"/>
  <c r="AS903" i="1" s="1"/>
  <c r="AS904" i="1" s="1"/>
  <c r="AS905" i="1" s="1"/>
  <c r="AS906" i="1" s="1"/>
  <c r="AS907" i="1" s="1"/>
  <c r="AS908" i="1" s="1"/>
  <c r="AS909" i="1" s="1"/>
  <c r="AS910" i="1" s="1"/>
  <c r="AS911" i="1" s="1"/>
  <c r="AS912" i="1" s="1"/>
  <c r="AS913" i="1" s="1"/>
  <c r="AS914" i="1" s="1"/>
  <c r="AS915" i="1" s="1"/>
  <c r="AS916" i="1" s="1"/>
  <c r="AS917" i="1" s="1"/>
  <c r="AS918" i="1" s="1"/>
  <c r="AS919" i="1" s="1"/>
  <c r="AS920" i="1" s="1"/>
  <c r="AS921" i="1" s="1"/>
  <c r="AS922" i="1" s="1"/>
  <c r="AS923" i="1" s="1"/>
  <c r="AS924" i="1" s="1"/>
  <c r="AS925" i="1" s="1"/>
  <c r="AS926" i="1" s="1"/>
  <c r="AS927" i="1" s="1"/>
  <c r="AS928" i="1" s="1"/>
  <c r="AS929" i="1" s="1"/>
  <c r="AS930" i="1" s="1"/>
  <c r="AS931" i="1" s="1"/>
  <c r="AS932" i="1" s="1"/>
  <c r="AS933" i="1" s="1"/>
  <c r="AS934" i="1" s="1"/>
  <c r="AS935" i="1" s="1"/>
  <c r="AS936" i="1" s="1"/>
  <c r="AS937" i="1" s="1"/>
  <c r="AS938" i="1" s="1"/>
  <c r="AS939" i="1" s="1"/>
  <c r="AS940" i="1" s="1"/>
  <c r="AS941" i="1" s="1"/>
  <c r="AS942" i="1" s="1"/>
  <c r="AS943" i="1" s="1"/>
  <c r="AS944" i="1" s="1"/>
  <c r="AS945" i="1" s="1"/>
  <c r="AS946" i="1" s="1"/>
  <c r="AS947" i="1" s="1"/>
  <c r="AS948" i="1" s="1"/>
  <c r="AS949" i="1" s="1"/>
  <c r="AS950" i="1" s="1"/>
  <c r="AS951" i="1" s="1"/>
  <c r="AS952" i="1" s="1"/>
  <c r="AS953" i="1" s="1"/>
  <c r="AS954" i="1" s="1"/>
  <c r="AS955" i="1" s="1"/>
  <c r="AS956" i="1" s="1"/>
  <c r="AS957" i="1" s="1"/>
  <c r="AS958" i="1" s="1"/>
  <c r="AS959" i="1" s="1"/>
  <c r="AS960" i="1" s="1"/>
  <c r="AS961" i="1" s="1"/>
  <c r="AS962" i="1" s="1"/>
  <c r="AS963" i="1" s="1"/>
  <c r="AS964" i="1" s="1"/>
  <c r="AS965" i="1" s="1"/>
  <c r="AS966" i="1" s="1"/>
  <c r="AS967" i="1" s="1"/>
  <c r="AS968" i="1" s="1"/>
  <c r="AS969" i="1" s="1"/>
  <c r="AS970" i="1" s="1"/>
  <c r="AS971" i="1" s="1"/>
  <c r="AS972" i="1" s="1"/>
  <c r="AS973" i="1" s="1"/>
  <c r="AS974" i="1" s="1"/>
  <c r="AS975" i="1" s="1"/>
  <c r="AS976" i="1" s="1"/>
  <c r="AS977" i="1" s="1"/>
  <c r="AS978" i="1" s="1"/>
  <c r="AS979" i="1" s="1"/>
  <c r="AS980" i="1" s="1"/>
  <c r="AS981" i="1" s="1"/>
  <c r="AS982" i="1" s="1"/>
  <c r="AS983" i="1" s="1"/>
  <c r="AS984" i="1" s="1"/>
  <c r="AS985" i="1" s="1"/>
  <c r="AS986" i="1" s="1"/>
  <c r="AS987" i="1" s="1"/>
  <c r="AS988" i="1" s="1"/>
  <c r="AS989" i="1" s="1"/>
  <c r="AS990" i="1" s="1"/>
  <c r="AS991" i="1" s="1"/>
  <c r="AS992" i="1" s="1"/>
  <c r="AS993" i="1" s="1"/>
  <c r="AS994" i="1" s="1"/>
  <c r="AS995" i="1" s="1"/>
  <c r="AS996" i="1" s="1"/>
  <c r="AS997" i="1" s="1"/>
  <c r="AS998" i="1" s="1"/>
  <c r="AS999" i="1" s="1"/>
  <c r="AS1000" i="1" s="1"/>
  <c r="AS1001" i="1" s="1"/>
  <c r="AS1002" i="1" s="1"/>
  <c r="AS1003" i="1" s="1"/>
  <c r="AS1004" i="1" s="1"/>
  <c r="AS1005" i="1" s="1"/>
  <c r="AS1006" i="1" s="1"/>
  <c r="AS1007" i="1" s="1"/>
  <c r="AS1008" i="1" s="1"/>
  <c r="AS1009" i="1" s="1"/>
  <c r="AS1010" i="1" s="1"/>
  <c r="AS1011" i="1" s="1"/>
  <c r="AS1012" i="1" s="1"/>
  <c r="AS1013" i="1" s="1"/>
  <c r="AS1014" i="1" s="1"/>
  <c r="AS1015" i="1" s="1"/>
  <c r="AS1016" i="1" s="1"/>
  <c r="AS1017" i="1" s="1"/>
  <c r="AS1018" i="1" s="1"/>
  <c r="AS1019" i="1" s="1"/>
  <c r="AS1020" i="1" s="1"/>
  <c r="AS1021" i="1" s="1"/>
  <c r="AS1022" i="1" s="1"/>
  <c r="AS1023" i="1" s="1"/>
  <c r="AS1024" i="1" s="1"/>
  <c r="AS1025" i="1" s="1"/>
  <c r="AS1026" i="1" s="1"/>
  <c r="AS1027" i="1" s="1"/>
  <c r="AS1028" i="1" s="1"/>
  <c r="AS1029" i="1" s="1"/>
  <c r="AS1030" i="1" s="1"/>
  <c r="AS1031" i="1" s="1"/>
  <c r="AS1032" i="1" s="1"/>
  <c r="AS1033" i="1" s="1"/>
  <c r="AS1034" i="1" s="1"/>
  <c r="AS1035" i="1" s="1"/>
  <c r="AS1036" i="1" s="1"/>
  <c r="AS1037" i="1" s="1"/>
  <c r="AS1038" i="1" s="1"/>
  <c r="AS1039" i="1" s="1"/>
  <c r="AS1040" i="1" s="1"/>
  <c r="AS1041" i="1" s="1"/>
  <c r="AS1042" i="1" s="1"/>
  <c r="AS1043" i="1" s="1"/>
  <c r="AS1044" i="1" s="1"/>
  <c r="AS1045" i="1" s="1"/>
  <c r="AS1046" i="1" s="1"/>
  <c r="AS1047" i="1" s="1"/>
  <c r="AS1048" i="1" s="1"/>
  <c r="AS1049" i="1" s="1"/>
  <c r="AS1050" i="1" s="1"/>
  <c r="AS1051" i="1" s="1"/>
  <c r="AS1052" i="1" s="1"/>
  <c r="AS1053" i="1" s="1"/>
  <c r="AS1054" i="1" s="1"/>
  <c r="AS1055" i="1" s="1"/>
  <c r="AS1056" i="1" s="1"/>
  <c r="AS1057" i="1" s="1"/>
  <c r="AS1058" i="1" s="1"/>
  <c r="AS1059" i="1" s="1"/>
  <c r="AS1060" i="1" s="1"/>
  <c r="AS1061" i="1" s="1"/>
  <c r="AS1062" i="1" s="1"/>
  <c r="AS1063" i="1" s="1"/>
  <c r="AS1064" i="1" s="1"/>
  <c r="AS1065" i="1" s="1"/>
  <c r="AS1066" i="1" s="1"/>
  <c r="AS1067" i="1" s="1"/>
  <c r="AS1068" i="1" s="1"/>
  <c r="AS1069" i="1" s="1"/>
  <c r="AS1070" i="1" s="1"/>
  <c r="AS1071" i="1" s="1"/>
  <c r="AS1072" i="1" s="1"/>
  <c r="AS1073" i="1" s="1"/>
  <c r="AS1074" i="1" s="1"/>
  <c r="AS1075" i="1" s="1"/>
  <c r="AS1076" i="1" s="1"/>
  <c r="AS1077" i="1" s="1"/>
  <c r="AS1078" i="1" s="1"/>
  <c r="AS1079" i="1" s="1"/>
  <c r="AS1080" i="1" s="1"/>
  <c r="AS1081" i="1" s="1"/>
  <c r="AS1082" i="1" s="1"/>
  <c r="AS1083" i="1" s="1"/>
  <c r="AS1084" i="1" s="1"/>
  <c r="AS1085" i="1" s="1"/>
  <c r="AS1086" i="1" s="1"/>
  <c r="AS1087" i="1" s="1"/>
  <c r="AS1088" i="1" s="1"/>
  <c r="AS1089" i="1" s="1"/>
  <c r="AS1090" i="1" s="1"/>
  <c r="AS1091" i="1" s="1"/>
  <c r="AS1092" i="1" s="1"/>
  <c r="AS1093" i="1" s="1"/>
  <c r="AS1094" i="1" s="1"/>
  <c r="AS1095" i="1" s="1"/>
  <c r="AS1096" i="1" s="1"/>
  <c r="AS1097" i="1" s="1"/>
  <c r="AS1098" i="1" s="1"/>
  <c r="AS1099" i="1" s="1"/>
  <c r="AS1100" i="1" s="1"/>
  <c r="AS1101" i="1" s="1"/>
  <c r="AS1102" i="1" s="1"/>
  <c r="AS1103" i="1" s="1"/>
  <c r="AS1104" i="1" s="1"/>
  <c r="AS1105" i="1" s="1"/>
  <c r="AS1106" i="1" s="1"/>
  <c r="AS1107" i="1" s="1"/>
  <c r="AS1108" i="1" s="1"/>
  <c r="AS1109" i="1" s="1"/>
  <c r="AS1110" i="1" s="1"/>
  <c r="AS1111" i="1" s="1"/>
  <c r="AS1112" i="1" s="1"/>
  <c r="AS1113" i="1" s="1"/>
  <c r="AS1114" i="1" s="1"/>
  <c r="AS1115" i="1" s="1"/>
  <c r="AS1116" i="1" s="1"/>
  <c r="AS1117" i="1" s="1"/>
  <c r="AS1118" i="1" s="1"/>
  <c r="AS1119" i="1" s="1"/>
  <c r="AS1120" i="1" s="1"/>
  <c r="AS1121" i="1" s="1"/>
  <c r="AS1122" i="1" s="1"/>
  <c r="AS1123" i="1" s="1"/>
  <c r="AS1124" i="1" s="1"/>
  <c r="AS1125" i="1" s="1"/>
  <c r="AS1126" i="1" s="1"/>
  <c r="AS1127" i="1" s="1"/>
  <c r="AS1128" i="1" s="1"/>
  <c r="AS1129" i="1" s="1"/>
  <c r="AS1130" i="1" s="1"/>
  <c r="AS1131" i="1" s="1"/>
  <c r="AS1132" i="1" s="1"/>
  <c r="AS1133" i="1" s="1"/>
  <c r="AS1134" i="1" s="1"/>
  <c r="AS1135" i="1" s="1"/>
  <c r="AS1136" i="1" s="1"/>
  <c r="AS1137" i="1" s="1"/>
  <c r="AS1138" i="1" s="1"/>
  <c r="AS1139" i="1" s="1"/>
  <c r="AS1140" i="1" s="1"/>
  <c r="AS1141" i="1" s="1"/>
  <c r="AS1142" i="1" s="1"/>
  <c r="AS1143" i="1" s="1"/>
  <c r="AS1144" i="1" s="1"/>
  <c r="AS1145" i="1" s="1"/>
  <c r="AS1146" i="1" s="1"/>
  <c r="AS1147" i="1" s="1"/>
  <c r="AS1148" i="1" s="1"/>
  <c r="AS1149" i="1" s="1"/>
  <c r="AS1150" i="1" s="1"/>
  <c r="AS1151" i="1" s="1"/>
  <c r="AS1152" i="1" s="1"/>
  <c r="AS1153" i="1" s="1"/>
  <c r="AS1154" i="1" s="1"/>
  <c r="AS1155" i="1" s="1"/>
  <c r="AS1156" i="1" s="1"/>
  <c r="AS1157" i="1" s="1"/>
  <c r="AS1158" i="1" s="1"/>
  <c r="AS1159" i="1" s="1"/>
  <c r="AS1160" i="1" s="1"/>
  <c r="AS1161" i="1" s="1"/>
  <c r="AS1162" i="1" s="1"/>
  <c r="AS1163" i="1" s="1"/>
  <c r="AS1164" i="1" s="1"/>
  <c r="AS1165" i="1" s="1"/>
  <c r="AS1166" i="1" s="1"/>
  <c r="AS1167" i="1" s="1"/>
  <c r="AS1168" i="1" s="1"/>
  <c r="AS1169" i="1" s="1"/>
  <c r="AS1170" i="1" s="1"/>
  <c r="AS1171" i="1" s="1"/>
  <c r="AS1172" i="1" s="1"/>
  <c r="AS1173" i="1" s="1"/>
  <c r="AS1174" i="1" s="1"/>
  <c r="AS1175" i="1" s="1"/>
  <c r="AS1176" i="1" s="1"/>
  <c r="AS1177" i="1" s="1"/>
  <c r="AS1178" i="1" s="1"/>
  <c r="AS1179" i="1" s="1"/>
  <c r="AS1180" i="1" s="1"/>
  <c r="AS1181" i="1" s="1"/>
  <c r="AS1182" i="1" s="1"/>
  <c r="AS1183" i="1" s="1"/>
  <c r="AS1184" i="1" s="1"/>
  <c r="AS1185" i="1" s="1"/>
  <c r="AS1186" i="1" s="1"/>
  <c r="AS1187" i="1" s="1"/>
  <c r="AS1188" i="1" s="1"/>
  <c r="AS1189" i="1" s="1"/>
  <c r="AS1190" i="1" s="1"/>
  <c r="AS1191" i="1" s="1"/>
  <c r="AS1192" i="1" s="1"/>
  <c r="AS1193" i="1" s="1"/>
  <c r="AS1194" i="1" s="1"/>
  <c r="AS1195" i="1" s="1"/>
  <c r="AS1196" i="1" s="1"/>
  <c r="AS1197" i="1" s="1"/>
  <c r="AS1198" i="1" s="1"/>
  <c r="AS1199" i="1" s="1"/>
  <c r="AS1200" i="1" s="1"/>
  <c r="AS1201" i="1" s="1"/>
  <c r="AS1202" i="1" s="1"/>
  <c r="AS1203" i="1" s="1"/>
  <c r="AS1204" i="1" s="1"/>
  <c r="AS1205" i="1" s="1"/>
  <c r="AS1206" i="1" s="1"/>
  <c r="AS1207" i="1" s="1"/>
  <c r="AS1208" i="1" s="1"/>
  <c r="AS1209" i="1" s="1"/>
  <c r="AS1210" i="1" s="1"/>
  <c r="AS1211" i="1" s="1"/>
  <c r="AS1212" i="1" s="1"/>
  <c r="AS1213" i="1" s="1"/>
  <c r="AS1214" i="1" s="1"/>
  <c r="AS1215" i="1" s="1"/>
  <c r="AS1216" i="1" s="1"/>
  <c r="AS1217" i="1" s="1"/>
  <c r="AS1218" i="1" s="1"/>
  <c r="AS1219" i="1" s="1"/>
  <c r="AS1220" i="1" s="1"/>
  <c r="AS1221" i="1" s="1"/>
  <c r="AS1222" i="1" s="1"/>
  <c r="AS1223" i="1" s="1"/>
  <c r="AS1224" i="1" s="1"/>
  <c r="AS1225" i="1" s="1"/>
  <c r="AS1226" i="1" s="1"/>
  <c r="AS1227" i="1" s="1"/>
  <c r="AS1228" i="1" s="1"/>
  <c r="AS1229" i="1" s="1"/>
  <c r="AS1230" i="1" s="1"/>
  <c r="AS1231" i="1" s="1"/>
  <c r="AS1232" i="1" s="1"/>
  <c r="AS1233" i="1" s="1"/>
  <c r="AS1234" i="1" s="1"/>
  <c r="AS1235" i="1" s="1"/>
  <c r="AS1236" i="1" s="1"/>
  <c r="AS1237" i="1" s="1"/>
  <c r="AS1238" i="1" s="1"/>
  <c r="AS1239" i="1" s="1"/>
  <c r="AS1240" i="1" s="1"/>
  <c r="AS1241" i="1" s="1"/>
  <c r="AS1242" i="1" s="1"/>
  <c r="AS1243" i="1" s="1"/>
  <c r="AS1244" i="1" s="1"/>
  <c r="AS1245" i="1" s="1"/>
  <c r="AS1246" i="1" s="1"/>
  <c r="AS1247" i="1" s="1"/>
  <c r="AS1248" i="1" s="1"/>
  <c r="AS1249" i="1" s="1"/>
  <c r="AS1250" i="1" s="1"/>
  <c r="AS1251" i="1" s="1"/>
  <c r="AS1252" i="1" s="1"/>
  <c r="AS1253" i="1" s="1"/>
  <c r="AS1254" i="1" s="1"/>
  <c r="AS1255" i="1" s="1"/>
  <c r="AS1256" i="1" s="1"/>
  <c r="AS1257" i="1" s="1"/>
  <c r="AS1258" i="1" s="1"/>
  <c r="AS1259" i="1" s="1"/>
  <c r="AS1260" i="1" s="1"/>
  <c r="AS1261" i="1" s="1"/>
  <c r="BE9" i="1" l="1"/>
  <c r="BF9" i="1" s="1"/>
  <c r="BF8" i="1"/>
  <c r="BD10" i="1"/>
  <c r="BH9" i="1"/>
  <c r="BL10" i="1"/>
  <c r="BM9" i="1"/>
  <c r="BN9" i="1" s="1"/>
  <c r="BP9" i="1"/>
  <c r="BQ6" i="1"/>
  <c r="BR6" i="1" s="1"/>
  <c r="BR5" i="1"/>
  <c r="BI6" i="1"/>
  <c r="AZ8" i="1"/>
  <c r="AV9" i="1"/>
  <c r="AW8" i="1"/>
  <c r="AX8" i="1" s="1"/>
  <c r="BA6" i="1"/>
  <c r="BB6" i="1" s="1"/>
  <c r="Z31" i="1"/>
  <c r="O37" i="3" s="1"/>
  <c r="AA31" i="1"/>
  <c r="P37" i="3" s="1"/>
  <c r="Z32" i="1"/>
  <c r="O38" i="3" s="1"/>
  <c r="AA32" i="1"/>
  <c r="P38" i="3" s="1"/>
  <c r="Y30" i="1"/>
  <c r="N36" i="3" s="1"/>
  <c r="BL11" i="1" l="1"/>
  <c r="BM10" i="1"/>
  <c r="BN10" i="1" s="1"/>
  <c r="BP10" i="1"/>
  <c r="BD11" i="1"/>
  <c r="BE10" i="1"/>
  <c r="BF10" i="1" s="1"/>
  <c r="BH10" i="1"/>
  <c r="BQ7" i="1"/>
  <c r="BR7" i="1" s="1"/>
  <c r="BI7" i="1"/>
  <c r="BJ7" i="1" s="1"/>
  <c r="BJ6" i="1"/>
  <c r="AZ9" i="1"/>
  <c r="AW9" i="1"/>
  <c r="AX9" i="1" s="1"/>
  <c r="AV10" i="1"/>
  <c r="BA7" i="1"/>
  <c r="BB7" i="1" s="1"/>
  <c r="AA30" i="1"/>
  <c r="P36" i="3" s="1"/>
  <c r="Y32" i="1"/>
  <c r="N38" i="3" s="1"/>
  <c r="Y31" i="1"/>
  <c r="N37" i="3" s="1"/>
  <c r="Z30" i="1"/>
  <c r="O36" i="3" s="1"/>
  <c r="BD12" i="1" l="1"/>
  <c r="BE11" i="1"/>
  <c r="BF11" i="1" s="1"/>
  <c r="BH11" i="1"/>
  <c r="BL12" i="1"/>
  <c r="BM11" i="1"/>
  <c r="BN11" i="1" s="1"/>
  <c r="BP11" i="1"/>
  <c r="BQ8" i="1"/>
  <c r="BI8" i="1"/>
  <c r="BJ8" i="1" s="1"/>
  <c r="AW10" i="1"/>
  <c r="AZ10" i="1"/>
  <c r="AV11" i="1"/>
  <c r="BA8" i="1"/>
  <c r="BB8" i="1" s="1"/>
  <c r="BL13" i="1" l="1"/>
  <c r="BM12" i="1"/>
  <c r="BN12" i="1" s="1"/>
  <c r="BP12" i="1"/>
  <c r="BD13" i="1"/>
  <c r="BE12" i="1"/>
  <c r="BH12" i="1"/>
  <c r="BQ9" i="1"/>
  <c r="BR9" i="1" s="1"/>
  <c r="BR8" i="1"/>
  <c r="BI9" i="1"/>
  <c r="BJ9" i="1" s="1"/>
  <c r="AZ11" i="1"/>
  <c r="AV12" i="1"/>
  <c r="AW11" i="1"/>
  <c r="AX11" i="1" s="1"/>
  <c r="AX10" i="1"/>
  <c r="BA9" i="1"/>
  <c r="BB9" i="1" s="1"/>
  <c r="BE13" i="1" l="1"/>
  <c r="BF12" i="1"/>
  <c r="BD14" i="1"/>
  <c r="BH13" i="1"/>
  <c r="BL14" i="1"/>
  <c r="BM13" i="1"/>
  <c r="BP13" i="1"/>
  <c r="BQ10" i="1"/>
  <c r="BI10" i="1"/>
  <c r="BI11" i="1" s="1"/>
  <c r="AW12" i="1"/>
  <c r="AX12" i="1" s="1"/>
  <c r="AV13" i="1"/>
  <c r="AZ12" i="1"/>
  <c r="BA10" i="1"/>
  <c r="BB10" i="1" s="1"/>
  <c r="BL15" i="1" l="1"/>
  <c r="BP14" i="1"/>
  <c r="BM14" i="1"/>
  <c r="BN13" i="1"/>
  <c r="BD15" i="1"/>
  <c r="BH14" i="1"/>
  <c r="BE14" i="1"/>
  <c r="BF14" i="1" s="1"/>
  <c r="BF13" i="1"/>
  <c r="BQ11" i="1"/>
  <c r="BQ12" i="1" s="1"/>
  <c r="BR10" i="1"/>
  <c r="BJ10" i="1"/>
  <c r="BJ11" i="1"/>
  <c r="BI12" i="1"/>
  <c r="AW13" i="1"/>
  <c r="AX13" i="1" s="1"/>
  <c r="AZ13" i="1"/>
  <c r="AV14" i="1"/>
  <c r="BA11" i="1"/>
  <c r="BB11" i="1" s="1"/>
  <c r="BD16" i="1" l="1"/>
  <c r="BE15" i="1"/>
  <c r="BF15" i="1" s="1"/>
  <c r="BH15" i="1"/>
  <c r="BM15" i="1"/>
  <c r="BN14" i="1"/>
  <c r="BL16" i="1"/>
  <c r="BP15" i="1"/>
  <c r="BQ13" i="1"/>
  <c r="BR12" i="1"/>
  <c r="BR11" i="1"/>
  <c r="BI13" i="1"/>
  <c r="BJ12" i="1"/>
  <c r="AW14" i="1"/>
  <c r="AX14" i="1" s="1"/>
  <c r="AZ14" i="1"/>
  <c r="AV15" i="1"/>
  <c r="BA12" i="1"/>
  <c r="BB12" i="1" s="1"/>
  <c r="BM16" i="1" l="1"/>
  <c r="BN15" i="1"/>
  <c r="BL17" i="1"/>
  <c r="BP16" i="1"/>
  <c r="BD17" i="1"/>
  <c r="BE16" i="1"/>
  <c r="BF16" i="1" s="1"/>
  <c r="BH16" i="1"/>
  <c r="BR13" i="1"/>
  <c r="BQ14" i="1"/>
  <c r="BI14" i="1"/>
  <c r="BJ13" i="1"/>
  <c r="AW15" i="1"/>
  <c r="AX15" i="1" s="1"/>
  <c r="AV16" i="1"/>
  <c r="AZ15" i="1"/>
  <c r="BA13" i="1"/>
  <c r="BB13" i="1" s="1"/>
  <c r="BD18" i="1" l="1"/>
  <c r="BE17" i="1"/>
  <c r="BH17" i="1"/>
  <c r="BL18" i="1"/>
  <c r="BP17" i="1"/>
  <c r="BM17" i="1"/>
  <c r="BN16" i="1"/>
  <c r="BQ15" i="1"/>
  <c r="BR15" i="1" s="1"/>
  <c r="BR14" i="1"/>
  <c r="BI15" i="1"/>
  <c r="BJ14" i="1"/>
  <c r="AW16" i="1"/>
  <c r="AX16" i="1" s="1"/>
  <c r="AZ16" i="1"/>
  <c r="AV17" i="1"/>
  <c r="BA14" i="1"/>
  <c r="BB14" i="1" s="1"/>
  <c r="BM18" i="1" l="1"/>
  <c r="BN17" i="1"/>
  <c r="BL19" i="1"/>
  <c r="BP18" i="1"/>
  <c r="BF17" i="1"/>
  <c r="BD19" i="1"/>
  <c r="BE19" i="1" s="1"/>
  <c r="BE18" i="1"/>
  <c r="BF18" i="1" s="1"/>
  <c r="BH18" i="1"/>
  <c r="BQ16" i="1"/>
  <c r="BR16" i="1" s="1"/>
  <c r="BI16" i="1"/>
  <c r="BJ15" i="1"/>
  <c r="AW17" i="1"/>
  <c r="AX17" i="1" s="1"/>
  <c r="AZ17" i="1"/>
  <c r="AV18" i="1"/>
  <c r="BA15" i="1"/>
  <c r="BB15" i="1" s="1"/>
  <c r="BF19" i="1" l="1"/>
  <c r="BL20" i="1"/>
  <c r="BP19" i="1"/>
  <c r="BD20" i="1"/>
  <c r="BH19" i="1"/>
  <c r="BM19" i="1"/>
  <c r="BN18" i="1"/>
  <c r="BQ17" i="1"/>
  <c r="BR17" i="1" s="1"/>
  <c r="BI17" i="1"/>
  <c r="BJ16" i="1"/>
  <c r="AW18" i="1"/>
  <c r="AX18" i="1" s="1"/>
  <c r="AV19" i="1"/>
  <c r="AZ18" i="1"/>
  <c r="BA16" i="1"/>
  <c r="BB16" i="1" s="1"/>
  <c r="BM20" i="1" l="1"/>
  <c r="BN19" i="1"/>
  <c r="BD21" i="1"/>
  <c r="BH20" i="1"/>
  <c r="BL21" i="1"/>
  <c r="BP20" i="1"/>
  <c r="BE20" i="1"/>
  <c r="BQ18" i="1"/>
  <c r="BR18" i="1" s="1"/>
  <c r="BI18" i="1"/>
  <c r="BJ17" i="1"/>
  <c r="AW19" i="1"/>
  <c r="AX19" i="1" s="1"/>
  <c r="AV20" i="1"/>
  <c r="AZ19" i="1"/>
  <c r="BA17" i="1"/>
  <c r="BB17" i="1" s="1"/>
  <c r="BL22" i="1" l="1"/>
  <c r="BP21" i="1"/>
  <c r="BD22" i="1"/>
  <c r="BH21" i="1"/>
  <c r="BE21" i="1"/>
  <c r="BF20" i="1"/>
  <c r="BM21" i="1"/>
  <c r="BN20" i="1"/>
  <c r="BQ19" i="1"/>
  <c r="BR19" i="1" s="1"/>
  <c r="BI19" i="1"/>
  <c r="BJ18" i="1"/>
  <c r="AW20" i="1"/>
  <c r="AX20" i="1" s="1"/>
  <c r="AV21" i="1"/>
  <c r="AZ20" i="1"/>
  <c r="BA18" i="1"/>
  <c r="BB18" i="1" s="1"/>
  <c r="BM22" i="1" l="1"/>
  <c r="BN21" i="1"/>
  <c r="BE22" i="1"/>
  <c r="BF21" i="1"/>
  <c r="BD23" i="1"/>
  <c r="BH22" i="1"/>
  <c r="BL23" i="1"/>
  <c r="BP22" i="1"/>
  <c r="BQ20" i="1"/>
  <c r="BR20" i="1" s="1"/>
  <c r="BJ19" i="1"/>
  <c r="BI20" i="1"/>
  <c r="AW21" i="1"/>
  <c r="AX21" i="1" s="1"/>
  <c r="AV22" i="1"/>
  <c r="AZ21" i="1"/>
  <c r="BA19" i="1"/>
  <c r="BB19" i="1" s="1"/>
  <c r="BL24" i="1" l="1"/>
  <c r="BP23" i="1"/>
  <c r="BD24" i="1"/>
  <c r="BH23" i="1"/>
  <c r="BE23" i="1"/>
  <c r="BF22" i="1"/>
  <c r="BM23" i="1"/>
  <c r="BN22" i="1"/>
  <c r="BQ21" i="1"/>
  <c r="BQ22" i="1" s="1"/>
  <c r="BI21" i="1"/>
  <c r="BJ20" i="1"/>
  <c r="AW22" i="1"/>
  <c r="AX22" i="1" s="1"/>
  <c r="AZ22" i="1"/>
  <c r="AV23" i="1"/>
  <c r="BA20" i="1"/>
  <c r="BB20" i="1" s="1"/>
  <c r="BE24" i="1" l="1"/>
  <c r="BF23" i="1"/>
  <c r="BD25" i="1"/>
  <c r="BH24" i="1"/>
  <c r="BM24" i="1"/>
  <c r="BN23" i="1"/>
  <c r="BL25" i="1"/>
  <c r="BP24" i="1"/>
  <c r="BR21" i="1"/>
  <c r="BQ23" i="1"/>
  <c r="BR22" i="1"/>
  <c r="BI22" i="1"/>
  <c r="BJ21" i="1"/>
  <c r="AW23" i="1"/>
  <c r="AX23" i="1" s="1"/>
  <c r="AZ23" i="1"/>
  <c r="AV24" i="1"/>
  <c r="BA21" i="1"/>
  <c r="BB21" i="1" s="1"/>
  <c r="BL26" i="1" l="1"/>
  <c r="BP25" i="1"/>
  <c r="BM25" i="1"/>
  <c r="BN24" i="1"/>
  <c r="BD26" i="1"/>
  <c r="BH25" i="1"/>
  <c r="BE25" i="1"/>
  <c r="BF24" i="1"/>
  <c r="BQ24" i="1"/>
  <c r="BR23" i="1"/>
  <c r="BI23" i="1"/>
  <c r="BJ22" i="1"/>
  <c r="AW24" i="1"/>
  <c r="AX24" i="1" s="1"/>
  <c r="AZ24" i="1"/>
  <c r="AV25" i="1"/>
  <c r="BA22" i="1"/>
  <c r="BB22" i="1" s="1"/>
  <c r="BD27" i="1" l="1"/>
  <c r="BH26" i="1"/>
  <c r="BM26" i="1"/>
  <c r="BN25" i="1"/>
  <c r="BE26" i="1"/>
  <c r="BF25" i="1"/>
  <c r="BL27" i="1"/>
  <c r="BP26" i="1"/>
  <c r="BQ25" i="1"/>
  <c r="BR24" i="1"/>
  <c r="BI24" i="1"/>
  <c r="BJ23" i="1"/>
  <c r="AW25" i="1"/>
  <c r="AX25" i="1" s="1"/>
  <c r="AV26" i="1"/>
  <c r="AZ25" i="1"/>
  <c r="BA23" i="1"/>
  <c r="BB23" i="1" s="1"/>
  <c r="BL28" i="1" l="1"/>
  <c r="BP27" i="1"/>
  <c r="BM27" i="1"/>
  <c r="BN26" i="1"/>
  <c r="BE27" i="1"/>
  <c r="BF26" i="1"/>
  <c r="BD28" i="1"/>
  <c r="BH27" i="1"/>
  <c r="BQ26" i="1"/>
  <c r="BR25" i="1"/>
  <c r="BI25" i="1"/>
  <c r="BJ24" i="1"/>
  <c r="AW26" i="1"/>
  <c r="AX26" i="1" s="1"/>
  <c r="AV27" i="1"/>
  <c r="AZ26" i="1"/>
  <c r="BA24" i="1"/>
  <c r="BB24" i="1" s="1"/>
  <c r="BE28" i="1" l="1"/>
  <c r="BF27" i="1"/>
  <c r="BM28" i="1"/>
  <c r="BN27" i="1"/>
  <c r="BD29" i="1"/>
  <c r="BH28" i="1"/>
  <c r="BL29" i="1"/>
  <c r="BP28" i="1"/>
  <c r="BQ27" i="1"/>
  <c r="BR26" i="1"/>
  <c r="BI26" i="1"/>
  <c r="BJ25" i="1"/>
  <c r="AW27" i="1"/>
  <c r="AX27" i="1" s="1"/>
  <c r="AV28" i="1"/>
  <c r="AZ27" i="1"/>
  <c r="BA25" i="1"/>
  <c r="BB25" i="1" s="1"/>
  <c r="BD30" i="1" l="1"/>
  <c r="BH29" i="1"/>
  <c r="BL30" i="1"/>
  <c r="BP29" i="1"/>
  <c r="BM29" i="1"/>
  <c r="BN28" i="1"/>
  <c r="BE29" i="1"/>
  <c r="BF28" i="1"/>
  <c r="BQ28" i="1"/>
  <c r="BR27" i="1"/>
  <c r="BI27" i="1"/>
  <c r="BJ26" i="1"/>
  <c r="AW28" i="1"/>
  <c r="AX28" i="1" s="1"/>
  <c r="AV29" i="1"/>
  <c r="AZ28" i="1"/>
  <c r="BA26" i="1"/>
  <c r="BB26" i="1" s="1"/>
  <c r="BL31" i="1" l="1"/>
  <c r="BP30" i="1"/>
  <c r="BM30" i="1"/>
  <c r="BN29" i="1"/>
  <c r="BE30" i="1"/>
  <c r="BF29" i="1"/>
  <c r="BD31" i="1"/>
  <c r="BH30" i="1"/>
  <c r="BQ29" i="1"/>
  <c r="BR28" i="1"/>
  <c r="BI28" i="1"/>
  <c r="BJ27" i="1"/>
  <c r="AW29" i="1"/>
  <c r="AX29" i="1" s="1"/>
  <c r="AV30" i="1"/>
  <c r="AZ29" i="1"/>
  <c r="BA27" i="1"/>
  <c r="BB27" i="1" s="1"/>
  <c r="BD32" i="1" l="1"/>
  <c r="BH31" i="1"/>
  <c r="BE31" i="1"/>
  <c r="BF30" i="1"/>
  <c r="BM31" i="1"/>
  <c r="BN30" i="1"/>
  <c r="BL32" i="1"/>
  <c r="BP31" i="1"/>
  <c r="BQ30" i="1"/>
  <c r="BR29" i="1"/>
  <c r="BI29" i="1"/>
  <c r="BJ28" i="1"/>
  <c r="AW30" i="1"/>
  <c r="AX30" i="1" s="1"/>
  <c r="AZ30" i="1"/>
  <c r="AV31" i="1"/>
  <c r="BA28" i="1"/>
  <c r="BB28" i="1" s="1"/>
  <c r="BM32" i="1" l="1"/>
  <c r="BN31" i="1"/>
  <c r="BE32" i="1"/>
  <c r="BF31" i="1"/>
  <c r="BL33" i="1"/>
  <c r="BP32" i="1"/>
  <c r="BD33" i="1"/>
  <c r="BH32" i="1"/>
  <c r="BQ31" i="1"/>
  <c r="BR30" i="1"/>
  <c r="BI30" i="1"/>
  <c r="BJ29" i="1"/>
  <c r="AW31" i="1"/>
  <c r="AX31" i="1" s="1"/>
  <c r="AZ31" i="1"/>
  <c r="AV32" i="1"/>
  <c r="BA29" i="1"/>
  <c r="BB29" i="1" s="1"/>
  <c r="BL34" i="1" l="1"/>
  <c r="BP33" i="1"/>
  <c r="BD34" i="1"/>
  <c r="BH33" i="1"/>
  <c r="BE33" i="1"/>
  <c r="BF32" i="1"/>
  <c r="BM33" i="1"/>
  <c r="BN32" i="1"/>
  <c r="BQ32" i="1"/>
  <c r="BR31" i="1"/>
  <c r="BI31" i="1"/>
  <c r="BJ30" i="1"/>
  <c r="AW32" i="1"/>
  <c r="AX32" i="1" s="1"/>
  <c r="AV33" i="1"/>
  <c r="AZ32" i="1"/>
  <c r="BA30" i="1"/>
  <c r="BB30" i="1" s="1"/>
  <c r="BE34" i="1" l="1"/>
  <c r="BF33" i="1"/>
  <c r="BM34" i="1"/>
  <c r="BN33" i="1"/>
  <c r="BD35" i="1"/>
  <c r="BH34" i="1"/>
  <c r="BL35" i="1"/>
  <c r="BP34" i="1"/>
  <c r="BQ33" i="1"/>
  <c r="BR32" i="1"/>
  <c r="BI32" i="1"/>
  <c r="BJ31" i="1"/>
  <c r="AW33" i="1"/>
  <c r="AX33" i="1" s="1"/>
  <c r="AV34" i="1"/>
  <c r="AZ33" i="1"/>
  <c r="BA31" i="1"/>
  <c r="BB31" i="1" s="1"/>
  <c r="BL36" i="1" l="1"/>
  <c r="BP35" i="1"/>
  <c r="BD36" i="1"/>
  <c r="BH35" i="1"/>
  <c r="BM35" i="1"/>
  <c r="BN34" i="1"/>
  <c r="BE35" i="1"/>
  <c r="BF34" i="1"/>
  <c r="BQ34" i="1"/>
  <c r="BR33" i="1"/>
  <c r="BI33" i="1"/>
  <c r="BJ32" i="1"/>
  <c r="AW34" i="1"/>
  <c r="AX34" i="1" s="1"/>
  <c r="AZ34" i="1"/>
  <c r="AV35" i="1"/>
  <c r="BA32" i="1"/>
  <c r="BB32" i="1" s="1"/>
  <c r="BE36" i="1" l="1"/>
  <c r="BF35" i="1"/>
  <c r="BM36" i="1"/>
  <c r="BN35" i="1"/>
  <c r="BD37" i="1"/>
  <c r="BH36" i="1"/>
  <c r="BL37" i="1"/>
  <c r="BP36" i="1"/>
  <c r="BQ35" i="1"/>
  <c r="BR34" i="1"/>
  <c r="BI34" i="1"/>
  <c r="BJ33" i="1"/>
  <c r="AW35" i="1"/>
  <c r="AX35" i="1" s="1"/>
  <c r="AZ35" i="1"/>
  <c r="AV36" i="1"/>
  <c r="BA33" i="1"/>
  <c r="BB33" i="1" s="1"/>
  <c r="BL38" i="1" l="1"/>
  <c r="BP37" i="1"/>
  <c r="BD38" i="1"/>
  <c r="BH37" i="1"/>
  <c r="BM37" i="1"/>
  <c r="BN36" i="1"/>
  <c r="BE37" i="1"/>
  <c r="BF36" i="1"/>
  <c r="BQ36" i="1"/>
  <c r="BR35" i="1"/>
  <c r="BI35" i="1"/>
  <c r="BJ34" i="1"/>
  <c r="AW36" i="1"/>
  <c r="AX36" i="1" s="1"/>
  <c r="AV37" i="1"/>
  <c r="AZ36" i="1"/>
  <c r="BA34" i="1"/>
  <c r="BB34" i="1" s="1"/>
  <c r="BE38" i="1" l="1"/>
  <c r="BF37" i="1"/>
  <c r="BD39" i="1"/>
  <c r="BH38" i="1"/>
  <c r="BM38" i="1"/>
  <c r="BN37" i="1"/>
  <c r="BL39" i="1"/>
  <c r="BP38" i="1"/>
  <c r="BQ37" i="1"/>
  <c r="BR36" i="1"/>
  <c r="BI36" i="1"/>
  <c r="BJ35" i="1"/>
  <c r="AW37" i="1"/>
  <c r="AX37" i="1" s="1"/>
  <c r="AV38" i="1"/>
  <c r="AZ37" i="1"/>
  <c r="BA35" i="1"/>
  <c r="BB35" i="1" s="1"/>
  <c r="BM40" i="1" l="1"/>
  <c r="BN40" i="1" s="1"/>
  <c r="BL40" i="1"/>
  <c r="BP40" i="1" s="1"/>
  <c r="BP39" i="1"/>
  <c r="BQ40" i="1" s="1"/>
  <c r="BR40" i="1" s="1"/>
  <c r="BE40" i="1"/>
  <c r="BF40" i="1" s="1"/>
  <c r="BD40" i="1"/>
  <c r="BH40" i="1" s="1"/>
  <c r="BH39" i="1"/>
  <c r="BI40" i="1" s="1"/>
  <c r="BJ40" i="1" s="1"/>
  <c r="BM39" i="1"/>
  <c r="BN39" i="1" s="1"/>
  <c r="BN38" i="1"/>
  <c r="BE39" i="1"/>
  <c r="BF39" i="1" s="1"/>
  <c r="BF38" i="1"/>
  <c r="BQ38" i="1"/>
  <c r="BR37" i="1"/>
  <c r="BI37" i="1"/>
  <c r="BJ36" i="1"/>
  <c r="AW38" i="1"/>
  <c r="AX38" i="1" s="1"/>
  <c r="AZ38" i="1"/>
  <c r="AV39" i="1"/>
  <c r="BA36" i="1"/>
  <c r="BB36" i="1" s="1"/>
  <c r="AW40" i="1" l="1"/>
  <c r="AX40" i="1" s="1"/>
  <c r="AV40" i="1"/>
  <c r="AZ40" i="1" s="1"/>
  <c r="BQ39" i="1"/>
  <c r="BR39" i="1" s="1"/>
  <c r="BR38" i="1"/>
  <c r="BI38" i="1"/>
  <c r="BJ37" i="1"/>
  <c r="AW39" i="1"/>
  <c r="AX39" i="1" s="1"/>
  <c r="AZ39" i="1"/>
  <c r="BA37" i="1"/>
  <c r="BB37" i="1" s="1"/>
  <c r="BA40" i="1" l="1"/>
  <c r="BB40" i="1" s="1"/>
  <c r="BI39" i="1"/>
  <c r="BJ39" i="1" s="1"/>
  <c r="BJ38" i="1"/>
  <c r="BA38" i="1"/>
  <c r="BB38" i="1" s="1"/>
  <c r="BA39" i="1" l="1"/>
  <c r="BB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<sst xmlns="http://schemas.openxmlformats.org/spreadsheetml/2006/main" count="137" uniqueCount="29">
  <si>
    <t>Adatok</t>
  </si>
  <si>
    <t>Dátum</t>
  </si>
  <si>
    <t>RHI</t>
  </si>
  <si>
    <t>RL</t>
  </si>
  <si>
    <t>VLO</t>
  </si>
  <si>
    <t>Loghozamok</t>
  </si>
  <si>
    <t>Nap</t>
  </si>
  <si>
    <t>Átlag</t>
  </si>
  <si>
    <t>Szórás</t>
  </si>
  <si>
    <t>Kovariancia mátrix</t>
  </si>
  <si>
    <t>Korrelációs mátrix</t>
  </si>
  <si>
    <t>N(0, 1) korrelálatlan hozamok</t>
  </si>
  <si>
    <t>Szimulált bázisindexek</t>
  </si>
  <si>
    <r>
      <t>N(</t>
    </r>
    <r>
      <rPr>
        <u/>
        <sz val="11"/>
        <color theme="1"/>
        <rFont val="Aptos Narrow"/>
        <family val="2"/>
        <charset val="238"/>
        <scheme val="minor"/>
      </rPr>
      <t>0</t>
    </r>
    <r>
      <rPr>
        <sz val="11"/>
        <color theme="1"/>
        <rFont val="Aptos Narrow"/>
        <family val="2"/>
        <charset val="238"/>
        <scheme val="minor"/>
      </rPr>
      <t xml:space="preserve">, </t>
    </r>
    <r>
      <rPr>
        <u/>
        <sz val="11"/>
        <color theme="1"/>
        <rFont val="Symbol"/>
        <family val="1"/>
        <charset val="2"/>
      </rPr>
      <t>S</t>
    </r>
    <r>
      <rPr>
        <sz val="11"/>
        <color theme="1"/>
        <rFont val="Aptos Narrow"/>
        <family val="2"/>
        <charset val="238"/>
        <scheme val="minor"/>
      </rPr>
      <t>) hozamok</t>
    </r>
  </si>
  <si>
    <r>
      <t>N(</t>
    </r>
    <r>
      <rPr>
        <u/>
        <sz val="11"/>
        <color theme="1"/>
        <rFont val="Symbol"/>
        <family val="1"/>
        <charset val="2"/>
      </rPr>
      <t>a</t>
    </r>
    <r>
      <rPr>
        <sz val="11"/>
        <color theme="1"/>
        <rFont val="Aptos Narrow"/>
        <family val="2"/>
        <charset val="238"/>
        <scheme val="minor"/>
      </rPr>
      <t xml:space="preserve">, </t>
    </r>
    <r>
      <rPr>
        <u/>
        <sz val="11"/>
        <color theme="1"/>
        <rFont val="Symbol"/>
        <family val="1"/>
        <charset val="2"/>
      </rPr>
      <t>S</t>
    </r>
    <r>
      <rPr>
        <sz val="11"/>
        <color theme="1"/>
        <rFont val="Aptos Narrow"/>
        <family val="2"/>
        <charset val="238"/>
        <scheme val="minor"/>
      </rPr>
      <t>) hozamok</t>
    </r>
  </si>
  <si>
    <t>Szimuláció</t>
  </si>
  <si>
    <t>Valós adatok</t>
  </si>
  <si>
    <t>Cholesky mátrix</t>
  </si>
  <si>
    <t>Szimulált adatok</t>
  </si>
  <si>
    <t>Színskála</t>
  </si>
  <si>
    <t>Modell</t>
  </si>
  <si>
    <t>u</t>
  </si>
  <si>
    <t>DB</t>
  </si>
  <si>
    <t>edf</t>
  </si>
  <si>
    <t>RHI, a RL és a VLO részvények 2019. január 1. és 2023. december 31. közötti napi árfolyamadataiból készített megfigyelések és az azokra épített szimulációs modell eredményei</t>
  </si>
  <si>
    <t>Ívhossz</t>
  </si>
  <si>
    <t>Minta elemeszám</t>
  </si>
  <si>
    <t>Elemszám</t>
  </si>
  <si>
    <t>Bázisindexek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</si>
</sst>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0"/>
    <numFmt numFmtId="166" formatCode="0.0000"/>
    <numFmt numFmtId="167" formatCode="0.00000"/>
    <numFmt numFmtId="168" formatCode="0.000000000"/>
  </numFmts>
  <fonts count="10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charset val="238"/>
      <scheme val="minor"/>
    </font>
    <font>
      <u/>
      <sz val="11"/>
      <color theme="1"/>
      <name val="Symbol"/>
      <family val="1"/>
      <charset val="2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164" fontId="0" fillId="0" borderId="3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22" xfId="0" applyBorder="1"/>
    <xf numFmtId="0" fontId="0" fillId="0" borderId="23" xfId="0" applyBorder="1"/>
    <xf numFmtId="0" fontId="3" fillId="2" borderId="24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10" xfId="0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7" fontId="0" fillId="2" borderId="10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0" borderId="0" xfId="0" applyNumberFormat="1"/>
    <xf numFmtId="166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" fontId="0" fillId="3" borderId="0" xfId="0" applyNumberFormat="1" applyFill="1"/>
    <xf numFmtId="1" fontId="0" fillId="0" borderId="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2" borderId="10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26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" fontId="0" fillId="0" borderId="7" xfId="0" applyNumberForma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164" fontId="3" fillId="3" borderId="3" xfId="0" applyNumberFormat="1" applyFont="1" applyFill="1" applyBorder="1" applyAlignment="1">
      <alignment horizontal="center" vertical="center"/>
    </xf>
    <xf numFmtId="164" fontId="3" fillId="3" borderId="10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9" fontId="1" fillId="2" borderId="4" xfId="1" applyFont="1" applyFill="1" applyBorder="1" applyAlignment="1">
      <alignment horizontal="center"/>
    </xf>
    <xf numFmtId="9" fontId="1" fillId="2" borderId="5" xfId="1" applyFont="1" applyFill="1" applyBorder="1" applyAlignment="1">
      <alignment horizontal="center"/>
    </xf>
    <xf numFmtId="9" fontId="1" fillId="2" borderId="6" xfId="1" applyFont="1" applyFill="1" applyBorder="1" applyAlignment="1">
      <alignment horizontal="center"/>
    </xf>
    <xf numFmtId="166" fontId="3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0" fontId="9" fillId="2" borderId="19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 wrapText="1"/>
    </xf>
  </cellXfs>
  <cellStyles count="2">
    <cellStyle name="Normál" xfId="0" builtinId="0"/>
    <cellStyle name="Százalék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Napi loghozamok átlagai és szórásai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>
        <c:manualLayout>
          <c:layoutTarget val="inner"/>
          <c:xMode val="edge"/>
          <c:yMode val="edge"/>
          <c:x val="0.23790069774496916"/>
          <c:y val="0.12630852129284142"/>
          <c:w val="0.73231947076315218"/>
          <c:h val="0.69891199566675288"/>
        </c:manualLayout>
      </c:layout>
      <c:scatterChart>
        <c:scatterStyle val="lineMarker"/>
        <c:varyColors val="0"/>
        <c:ser>
          <c:idx val="0"/>
          <c:order val="0"/>
          <c:tx>
            <c:v>RHI_szim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Számolások!$T$24</c:f>
              <c:numCache>
                <c:formatCode>0.0000000</c:formatCode>
                <c:ptCount val="1"/>
                <c:pt idx="0">
                  <c:v>2.1375087995861713E-2</c:v>
                </c:pt>
              </c:numCache>
            </c:numRef>
          </c:xVal>
          <c:yVal>
            <c:numRef>
              <c:f>Számolások!$T$23</c:f>
              <c:numCache>
                <c:formatCode>0.0000000</c:formatCode>
                <c:ptCount val="1"/>
                <c:pt idx="0">
                  <c:v>-8.8168923777204213E-5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68-4384-BF8E-28F52B2C55E9}"/>
            </c:ext>
          </c:extLst>
        </c:ser>
        <c:ser>
          <c:idx val="1"/>
          <c:order val="1"/>
          <c:tx>
            <c:v>RHI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Számolások!$T$4</c:f>
              <c:numCache>
                <c:formatCode>0.0000000</c:formatCode>
                <c:ptCount val="1"/>
                <c:pt idx="0">
                  <c:v>2.1684284820750861E-2</c:v>
                </c:pt>
              </c:numCache>
            </c:numRef>
          </c:xVal>
          <c:yVal>
            <c:numRef>
              <c:f>Számolások!$T$3</c:f>
              <c:numCache>
                <c:formatCode>0.0000000</c:formatCode>
                <c:ptCount val="1"/>
                <c:pt idx="0">
                  <c:v>3.5121632251024421E-4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68-4384-BF8E-28F52B2C55E9}"/>
            </c:ext>
          </c:extLst>
        </c:ser>
        <c:ser>
          <c:idx val="2"/>
          <c:order val="2"/>
          <c:tx>
            <c:v>RL_szim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Számolások!$U$24</c:f>
              <c:numCache>
                <c:formatCode>0.0000000</c:formatCode>
                <c:ptCount val="1"/>
                <c:pt idx="0">
                  <c:v>2.675851786996164E-2</c:v>
                </c:pt>
              </c:numCache>
            </c:numRef>
          </c:xVal>
          <c:yVal>
            <c:numRef>
              <c:f>Számolások!$U$23</c:f>
              <c:numCache>
                <c:formatCode>0.0000000</c:formatCode>
                <c:ptCount val="1"/>
                <c:pt idx="0">
                  <c:v>1.3815961958938108E-4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68-4384-BF8E-28F52B2C55E9}"/>
            </c:ext>
          </c:extLst>
        </c:ser>
        <c:ser>
          <c:idx val="3"/>
          <c:order val="3"/>
          <c:tx>
            <c:v>RL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Számolások!$U$4</c:f>
              <c:numCache>
                <c:formatCode>0.0000000</c:formatCode>
                <c:ptCount val="1"/>
                <c:pt idx="0">
                  <c:v>2.678525982581632E-2</c:v>
                </c:pt>
              </c:numCache>
            </c:numRef>
          </c:xVal>
          <c:yVal>
            <c:numRef>
              <c:f>Számolások!$U$3</c:f>
              <c:numCache>
                <c:formatCode>0.0000000</c:formatCode>
                <c:ptCount val="1"/>
                <c:pt idx="0">
                  <c:v>2.4905259691653068E-4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68-4384-BF8E-28F52B2C55E9}"/>
            </c:ext>
          </c:extLst>
        </c:ser>
        <c:ser>
          <c:idx val="4"/>
          <c:order val="4"/>
          <c:tx>
            <c:v>VLO_szim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Számolások!$V$24</c:f>
              <c:numCache>
                <c:formatCode>0.0000000</c:formatCode>
                <c:ptCount val="1"/>
                <c:pt idx="0">
                  <c:v>3.0106338659146734E-2</c:v>
                </c:pt>
              </c:numCache>
            </c:numRef>
          </c:xVal>
          <c:yVal>
            <c:numRef>
              <c:f>Számolások!$V$23</c:f>
              <c:numCache>
                <c:formatCode>0.0000000</c:formatCode>
                <c:ptCount val="1"/>
                <c:pt idx="0">
                  <c:v>-7.9892852269748639E-4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668-4384-BF8E-28F52B2C55E9}"/>
            </c:ext>
          </c:extLst>
        </c:ser>
        <c:ser>
          <c:idx val="5"/>
          <c:order val="5"/>
          <c:tx>
            <c:v>VLO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Számolások!$V$4</c:f>
              <c:numCache>
                <c:formatCode>0.0000000</c:formatCode>
                <c:ptCount val="1"/>
                <c:pt idx="0">
                  <c:v>3.040222218271809E-2</c:v>
                </c:pt>
              </c:numCache>
            </c:numRef>
          </c:xVal>
          <c:yVal>
            <c:numRef>
              <c:f>Számolások!$V$3</c:f>
              <c:numCache>
                <c:formatCode>0.0000000</c:formatCode>
                <c:ptCount val="1"/>
                <c:pt idx="0">
                  <c:v>4.3166860325481824E-4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668-4384-BF8E-28F52B2C55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62841152"/>
        <c:axId val="262838272"/>
      </c:scatterChart>
      <c:valAx>
        <c:axId val="262841152"/>
        <c:scaling>
          <c:orientation val="minMax"/>
          <c:max val="4.0000000000000008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Napi loghozamok szórása</a:t>
                </a:r>
              </a:p>
            </c:rich>
          </c:tx>
          <c:layout>
            <c:manualLayout>
              <c:xMode val="edge"/>
              <c:yMode val="edge"/>
              <c:x val="0.43212035711203517"/>
              <c:y val="0.9426612848925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62838272"/>
        <c:crosses val="autoZero"/>
        <c:crossBetween val="midCat"/>
        <c:majorUnit val="5.000000000000001E-3"/>
      </c:valAx>
      <c:valAx>
        <c:axId val="262838272"/>
        <c:scaling>
          <c:orientation val="minMax"/>
          <c:max val="2.0000000000000005E-3"/>
          <c:min val="-2.0000000000000005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Napi loghozamok átlaga</a:t>
                </a:r>
              </a:p>
            </c:rich>
          </c:tx>
          <c:layout>
            <c:manualLayout>
              <c:xMode val="edge"/>
              <c:yMode val="edge"/>
              <c:x val="1.7655367231638418E-2"/>
              <c:y val="0.26424660064902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62841152"/>
        <c:crosses val="autoZero"/>
        <c:crossBetween val="midCat"/>
        <c:majorUnit val="5.0000000000000012E-4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Valós és szimulált</a:t>
            </a:r>
            <a:r>
              <a:rPr lang="hu-HU" baseline="0"/>
              <a:t> bázisindexek</a:t>
            </a: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RHI_szim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Számolások!$AD$4:$AD$12560</c:f>
              <c:numCache>
                <c:formatCode>0</c:formatCode>
                <c:ptCount val="12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 formatCode="General">
                  <c:v>1250</c:v>
                </c:pt>
                <c:pt idx="1251" formatCode="General">
                  <c:v>1251</c:v>
                </c:pt>
                <c:pt idx="1252" formatCode="General">
                  <c:v>1252</c:v>
                </c:pt>
                <c:pt idx="1253" formatCode="General">
                  <c:v>1253</c:v>
                </c:pt>
                <c:pt idx="1254" formatCode="General">
                  <c:v>1254</c:v>
                </c:pt>
                <c:pt idx="1255" formatCode="General">
                  <c:v>1255</c:v>
                </c:pt>
                <c:pt idx="1256" formatCode="General">
                  <c:v>1256</c:v>
                </c:pt>
                <c:pt idx="1257" formatCode="General">
                  <c:v>1257</c:v>
                </c:pt>
              </c:numCache>
            </c:numRef>
          </c:xVal>
          <c:yVal>
            <c:numRef>
              <c:f>Számolások!$AQ$4:$AQ$1261</c:f>
              <c:numCache>
                <c:formatCode>0.00</c:formatCode>
                <c:ptCount val="1258"/>
                <c:pt idx="0">
                  <c:v>1</c:v>
                </c:pt>
                <c:pt idx="1">
                  <c:v>0.98935189953587921</c:v>
                </c:pt>
                <c:pt idx="2">
                  <c:v>0.99680935879966903</c:v>
                </c:pt>
                <c:pt idx="3">
                  <c:v>0.9930980271427885</c:v>
                </c:pt>
                <c:pt idx="4">
                  <c:v>0.9935472059903584</c:v>
                </c:pt>
                <c:pt idx="5">
                  <c:v>1.0183322132439199</c:v>
                </c:pt>
                <c:pt idx="6">
                  <c:v>1.0316781994145421</c:v>
                </c:pt>
                <c:pt idx="7">
                  <c:v>1.0015373900089721</c:v>
                </c:pt>
                <c:pt idx="8">
                  <c:v>0.97045632903701595</c:v>
                </c:pt>
                <c:pt idx="9">
                  <c:v>0.95768008026485318</c:v>
                </c:pt>
                <c:pt idx="10">
                  <c:v>1.0023199450376847</c:v>
                </c:pt>
                <c:pt idx="11">
                  <c:v>1.0168350899304428</c:v>
                </c:pt>
                <c:pt idx="12">
                  <c:v>0.97781316360751547</c:v>
                </c:pt>
                <c:pt idx="13">
                  <c:v>0.95581020202044797</c:v>
                </c:pt>
                <c:pt idx="14">
                  <c:v>0.9555468915127272</c:v>
                </c:pt>
                <c:pt idx="15">
                  <c:v>0.95539337892814979</c:v>
                </c:pt>
                <c:pt idx="16">
                  <c:v>0.94452518426678311</c:v>
                </c:pt>
                <c:pt idx="17">
                  <c:v>0.96038487556848284</c:v>
                </c:pt>
                <c:pt idx="18">
                  <c:v>0.91964694475093733</c:v>
                </c:pt>
                <c:pt idx="19">
                  <c:v>0.89440407357234164</c:v>
                </c:pt>
                <c:pt idx="20">
                  <c:v>0.88866768369308891</c:v>
                </c:pt>
                <c:pt idx="21">
                  <c:v>0.87793639505310828</c:v>
                </c:pt>
                <c:pt idx="22">
                  <c:v>0.87516898235089957</c:v>
                </c:pt>
                <c:pt idx="23">
                  <c:v>0.86590009116419953</c:v>
                </c:pt>
                <c:pt idx="24">
                  <c:v>0.87418883479257603</c:v>
                </c:pt>
                <c:pt idx="25">
                  <c:v>0.85591704470268537</c:v>
                </c:pt>
                <c:pt idx="26">
                  <c:v>0.84900220100536317</c:v>
                </c:pt>
                <c:pt idx="27">
                  <c:v>0.86081994393972283</c:v>
                </c:pt>
                <c:pt idx="28">
                  <c:v>0.86545590084579793</c:v>
                </c:pt>
                <c:pt idx="29">
                  <c:v>0.85459886135774399</c:v>
                </c:pt>
                <c:pt idx="30">
                  <c:v>0.85746746708862598</c:v>
                </c:pt>
                <c:pt idx="31">
                  <c:v>0.86366307091858541</c:v>
                </c:pt>
                <c:pt idx="32">
                  <c:v>0.85597079908190121</c:v>
                </c:pt>
                <c:pt idx="33">
                  <c:v>0.86474905542350045</c:v>
                </c:pt>
                <c:pt idx="34">
                  <c:v>0.85395043399939552</c:v>
                </c:pt>
                <c:pt idx="35">
                  <c:v>0.87391431255558738</c:v>
                </c:pt>
                <c:pt idx="36">
                  <c:v>0.87065752069443836</c:v>
                </c:pt>
                <c:pt idx="37">
                  <c:v>0.89013399967447249</c:v>
                </c:pt>
                <c:pt idx="38">
                  <c:v>0.86687301647617154</c:v>
                </c:pt>
                <c:pt idx="39">
                  <c:v>0.88780050650198872</c:v>
                </c:pt>
                <c:pt idx="40">
                  <c:v>0.8849840836331373</c:v>
                </c:pt>
                <c:pt idx="41">
                  <c:v>0.90565409648902562</c:v>
                </c:pt>
                <c:pt idx="42">
                  <c:v>0.93995099469962107</c:v>
                </c:pt>
                <c:pt idx="43">
                  <c:v>0.95022805968654589</c:v>
                </c:pt>
                <c:pt idx="44">
                  <c:v>0.96986921045162178</c:v>
                </c:pt>
                <c:pt idx="45">
                  <c:v>0.94432059653734168</c:v>
                </c:pt>
                <c:pt idx="46">
                  <c:v>0.92755225015537679</c:v>
                </c:pt>
                <c:pt idx="47">
                  <c:v>0.89788921475149419</c:v>
                </c:pt>
                <c:pt idx="48">
                  <c:v>0.88581627042370703</c:v>
                </c:pt>
                <c:pt idx="49">
                  <c:v>0.89997407384287131</c:v>
                </c:pt>
                <c:pt idx="50">
                  <c:v>0.89322854947898511</c:v>
                </c:pt>
                <c:pt idx="51">
                  <c:v>0.86877290601049728</c:v>
                </c:pt>
                <c:pt idx="52">
                  <c:v>0.86679766225604693</c:v>
                </c:pt>
                <c:pt idx="53">
                  <c:v>0.84076750547461587</c:v>
                </c:pt>
                <c:pt idx="54">
                  <c:v>0.88190304139005682</c:v>
                </c:pt>
                <c:pt idx="55">
                  <c:v>0.90621927459068452</c:v>
                </c:pt>
                <c:pt idx="56">
                  <c:v>0.89129454560930677</c:v>
                </c:pt>
                <c:pt idx="57">
                  <c:v>0.92481306349045289</c:v>
                </c:pt>
                <c:pt idx="58">
                  <c:v>0.92846175969480693</c:v>
                </c:pt>
                <c:pt idx="59">
                  <c:v>0.91179251025049446</c:v>
                </c:pt>
                <c:pt idx="60">
                  <c:v>0.8898303178359257</c:v>
                </c:pt>
                <c:pt idx="61">
                  <c:v>0.88232364937020979</c:v>
                </c:pt>
                <c:pt idx="62">
                  <c:v>0.85710604740736218</c:v>
                </c:pt>
                <c:pt idx="63">
                  <c:v>0.86918741345020489</c:v>
                </c:pt>
                <c:pt idx="64">
                  <c:v>0.83185636113901729</c:v>
                </c:pt>
                <c:pt idx="65">
                  <c:v>0.83395365240526576</c:v>
                </c:pt>
                <c:pt idx="66">
                  <c:v>0.85326353151179124</c:v>
                </c:pt>
                <c:pt idx="67">
                  <c:v>0.81773307068611956</c:v>
                </c:pt>
                <c:pt idx="68">
                  <c:v>0.81550985983822599</c:v>
                </c:pt>
                <c:pt idx="69">
                  <c:v>0.81810113692312503</c:v>
                </c:pt>
                <c:pt idx="70">
                  <c:v>0.85670700477036477</c:v>
                </c:pt>
                <c:pt idx="71">
                  <c:v>0.83561896253919776</c:v>
                </c:pt>
                <c:pt idx="72">
                  <c:v>0.8426579679877243</c:v>
                </c:pt>
                <c:pt idx="73">
                  <c:v>0.83378829653409869</c:v>
                </c:pt>
                <c:pt idx="74">
                  <c:v>0.81402029646615415</c:v>
                </c:pt>
                <c:pt idx="75">
                  <c:v>0.82695428855209985</c:v>
                </c:pt>
                <c:pt idx="76">
                  <c:v>0.85663360789353948</c:v>
                </c:pt>
                <c:pt idx="77">
                  <c:v>0.83814944410725001</c:v>
                </c:pt>
                <c:pt idx="78">
                  <c:v>0.84859951556316371</c:v>
                </c:pt>
                <c:pt idx="79">
                  <c:v>0.85657196157095117</c:v>
                </c:pt>
                <c:pt idx="80">
                  <c:v>0.86237719132730062</c:v>
                </c:pt>
                <c:pt idx="81">
                  <c:v>0.86981643704396805</c:v>
                </c:pt>
                <c:pt idx="82">
                  <c:v>0.83966445918315868</c:v>
                </c:pt>
                <c:pt idx="83">
                  <c:v>0.83343891978320594</c:v>
                </c:pt>
                <c:pt idx="84">
                  <c:v>0.82723000143477055</c:v>
                </c:pt>
                <c:pt idx="85">
                  <c:v>0.81598125481388606</c:v>
                </c:pt>
                <c:pt idx="86">
                  <c:v>0.82805472755153331</c:v>
                </c:pt>
                <c:pt idx="87">
                  <c:v>0.80999755645491156</c:v>
                </c:pt>
                <c:pt idx="88">
                  <c:v>0.82124646388351219</c:v>
                </c:pt>
                <c:pt idx="89">
                  <c:v>0.84619093663567213</c:v>
                </c:pt>
                <c:pt idx="90">
                  <c:v>0.8489489907436033</c:v>
                </c:pt>
                <c:pt idx="91">
                  <c:v>0.83549369298162379</c:v>
                </c:pt>
                <c:pt idx="92">
                  <c:v>0.83734103758876033</c:v>
                </c:pt>
                <c:pt idx="93">
                  <c:v>0.84494398463913567</c:v>
                </c:pt>
                <c:pt idx="94">
                  <c:v>0.8454003338056828</c:v>
                </c:pt>
                <c:pt idx="95">
                  <c:v>0.86903255794961953</c:v>
                </c:pt>
                <c:pt idx="96">
                  <c:v>0.84113239033285969</c:v>
                </c:pt>
                <c:pt idx="97">
                  <c:v>0.81111876140214845</c:v>
                </c:pt>
                <c:pt idx="98">
                  <c:v>0.82030790286972699</c:v>
                </c:pt>
                <c:pt idx="99">
                  <c:v>0.80031098302370196</c:v>
                </c:pt>
                <c:pt idx="100">
                  <c:v>0.7908594318543305</c:v>
                </c:pt>
                <c:pt idx="101">
                  <c:v>0.80556509432157242</c:v>
                </c:pt>
                <c:pt idx="102">
                  <c:v>0.81573453959913833</c:v>
                </c:pt>
                <c:pt idx="103">
                  <c:v>0.81469074067138358</c:v>
                </c:pt>
                <c:pt idx="104">
                  <c:v>0.80973764320251607</c:v>
                </c:pt>
                <c:pt idx="105">
                  <c:v>0.81309218868134359</c:v>
                </c:pt>
                <c:pt idx="106">
                  <c:v>0.79284025928021151</c:v>
                </c:pt>
                <c:pt idx="107">
                  <c:v>0.78832734524569503</c:v>
                </c:pt>
                <c:pt idx="108">
                  <c:v>0.80055235697786575</c:v>
                </c:pt>
                <c:pt idx="109">
                  <c:v>0.80723688434655105</c:v>
                </c:pt>
                <c:pt idx="110">
                  <c:v>0.80853859752886814</c:v>
                </c:pt>
                <c:pt idx="111">
                  <c:v>0.81368761151833802</c:v>
                </c:pt>
                <c:pt idx="112">
                  <c:v>0.83601308589390455</c:v>
                </c:pt>
                <c:pt idx="113">
                  <c:v>0.85161742166042065</c:v>
                </c:pt>
                <c:pt idx="114">
                  <c:v>0.86082872111929887</c:v>
                </c:pt>
                <c:pt idx="115">
                  <c:v>0.86757400934186124</c:v>
                </c:pt>
                <c:pt idx="116">
                  <c:v>0.87442788022905582</c:v>
                </c:pt>
                <c:pt idx="117">
                  <c:v>0.85216565296709545</c:v>
                </c:pt>
                <c:pt idx="118">
                  <c:v>0.86320358010738119</c:v>
                </c:pt>
                <c:pt idx="119">
                  <c:v>0.85700993174325368</c:v>
                </c:pt>
                <c:pt idx="120">
                  <c:v>0.84494122528421589</c:v>
                </c:pt>
                <c:pt idx="121">
                  <c:v>0.851637850669687</c:v>
                </c:pt>
                <c:pt idx="122">
                  <c:v>0.83493542559921485</c:v>
                </c:pt>
                <c:pt idx="123">
                  <c:v>0.86458563069708083</c:v>
                </c:pt>
                <c:pt idx="124">
                  <c:v>0.8791066095611817</c:v>
                </c:pt>
                <c:pt idx="125">
                  <c:v>0.91180092118361988</c:v>
                </c:pt>
                <c:pt idx="126">
                  <c:v>0.95042081748507345</c:v>
                </c:pt>
                <c:pt idx="127">
                  <c:v>0.90616468702198283</c:v>
                </c:pt>
                <c:pt idx="128">
                  <c:v>0.91649935879512878</c:v>
                </c:pt>
                <c:pt idx="129">
                  <c:v>0.9180666655413342</c:v>
                </c:pt>
                <c:pt idx="130">
                  <c:v>0.91193836793040239</c:v>
                </c:pt>
                <c:pt idx="131">
                  <c:v>0.88229802675408331</c:v>
                </c:pt>
                <c:pt idx="132">
                  <c:v>0.8502873421913697</c:v>
                </c:pt>
                <c:pt idx="133">
                  <c:v>0.84951010155210382</c:v>
                </c:pt>
                <c:pt idx="134">
                  <c:v>0.85627941908839</c:v>
                </c:pt>
                <c:pt idx="135">
                  <c:v>0.85040838918326966</c:v>
                </c:pt>
                <c:pt idx="136">
                  <c:v>0.84582770023537379</c:v>
                </c:pt>
                <c:pt idx="137">
                  <c:v>0.81477546567488879</c:v>
                </c:pt>
                <c:pt idx="138">
                  <c:v>0.80131826614559409</c:v>
                </c:pt>
                <c:pt idx="139">
                  <c:v>0.81234319213785533</c:v>
                </c:pt>
                <c:pt idx="140">
                  <c:v>0.81342138220709892</c:v>
                </c:pt>
                <c:pt idx="141">
                  <c:v>0.82410053878457246</c:v>
                </c:pt>
                <c:pt idx="142">
                  <c:v>0.8373504422222221</c:v>
                </c:pt>
                <c:pt idx="143">
                  <c:v>0.84076422746565604</c:v>
                </c:pt>
                <c:pt idx="144">
                  <c:v>0.79583148178309504</c:v>
                </c:pt>
                <c:pt idx="145">
                  <c:v>0.82512663377701045</c:v>
                </c:pt>
                <c:pt idx="146">
                  <c:v>0.79247575433861672</c:v>
                </c:pt>
                <c:pt idx="147">
                  <c:v>0.8058668970046482</c:v>
                </c:pt>
                <c:pt idx="148">
                  <c:v>0.82212840545718324</c:v>
                </c:pt>
                <c:pt idx="149">
                  <c:v>0.81943580642845992</c:v>
                </c:pt>
                <c:pt idx="150">
                  <c:v>0.82155700290736056</c:v>
                </c:pt>
                <c:pt idx="151">
                  <c:v>0.82453670766816034</c:v>
                </c:pt>
                <c:pt idx="152">
                  <c:v>0.84274668027724209</c:v>
                </c:pt>
                <c:pt idx="153">
                  <c:v>0.83346707449137492</c:v>
                </c:pt>
                <c:pt idx="154">
                  <c:v>0.83908620887649499</c:v>
                </c:pt>
                <c:pt idx="155">
                  <c:v>0.83922468857222932</c:v>
                </c:pt>
                <c:pt idx="156">
                  <c:v>0.85556996807515162</c:v>
                </c:pt>
                <c:pt idx="157">
                  <c:v>0.85194601678326376</c:v>
                </c:pt>
                <c:pt idx="158">
                  <c:v>0.84425642467102191</c:v>
                </c:pt>
                <c:pt idx="159">
                  <c:v>0.85371792521846102</c:v>
                </c:pt>
                <c:pt idx="160">
                  <c:v>0.85287423974835908</c:v>
                </c:pt>
                <c:pt idx="161">
                  <c:v>0.82748059265652174</c:v>
                </c:pt>
                <c:pt idx="162">
                  <c:v>0.82990526865211989</c:v>
                </c:pt>
                <c:pt idx="163">
                  <c:v>0.84161685592810909</c:v>
                </c:pt>
                <c:pt idx="164">
                  <c:v>0.83526813637366082</c:v>
                </c:pt>
                <c:pt idx="165">
                  <c:v>0.81628614834433866</c:v>
                </c:pt>
                <c:pt idx="166">
                  <c:v>0.81006176414907261</c:v>
                </c:pt>
                <c:pt idx="167">
                  <c:v>0.77738276850622634</c:v>
                </c:pt>
                <c:pt idx="168">
                  <c:v>0.79782163750493451</c:v>
                </c:pt>
                <c:pt idx="169">
                  <c:v>0.82595650787126873</c:v>
                </c:pt>
                <c:pt idx="170">
                  <c:v>0.84844434967690818</c:v>
                </c:pt>
                <c:pt idx="171">
                  <c:v>0.85645146395164629</c:v>
                </c:pt>
                <c:pt idx="172">
                  <c:v>0.84090060943264811</c:v>
                </c:pt>
                <c:pt idx="173">
                  <c:v>0.84226299968516949</c:v>
                </c:pt>
                <c:pt idx="174">
                  <c:v>0.85574561132054394</c:v>
                </c:pt>
                <c:pt idx="175">
                  <c:v>0.88787487454520209</c:v>
                </c:pt>
                <c:pt idx="176">
                  <c:v>0.85732357934297443</c:v>
                </c:pt>
                <c:pt idx="177">
                  <c:v>0.83584377966668499</c:v>
                </c:pt>
                <c:pt idx="178">
                  <c:v>0.80472867734480014</c:v>
                </c:pt>
                <c:pt idx="179">
                  <c:v>0.79059655039152577</c:v>
                </c:pt>
                <c:pt idx="180">
                  <c:v>0.78885711492227328</c:v>
                </c:pt>
                <c:pt idx="181">
                  <c:v>0.81232595406017583</c:v>
                </c:pt>
                <c:pt idx="182">
                  <c:v>0.83712408839424601</c:v>
                </c:pt>
                <c:pt idx="183">
                  <c:v>0.8312255077760472</c:v>
                </c:pt>
                <c:pt idx="184">
                  <c:v>0.80778990040801546</c:v>
                </c:pt>
                <c:pt idx="185">
                  <c:v>0.81261236331603159</c:v>
                </c:pt>
                <c:pt idx="186">
                  <c:v>0.80707221915038929</c:v>
                </c:pt>
                <c:pt idx="187">
                  <c:v>0.79019300072857479</c:v>
                </c:pt>
                <c:pt idx="188">
                  <c:v>0.7729722236892077</c:v>
                </c:pt>
                <c:pt idx="189">
                  <c:v>0.78769532431563327</c:v>
                </c:pt>
                <c:pt idx="190">
                  <c:v>0.81133100422159954</c:v>
                </c:pt>
                <c:pt idx="191">
                  <c:v>0.80086049408894333</c:v>
                </c:pt>
                <c:pt idx="192">
                  <c:v>0.81894092582367362</c:v>
                </c:pt>
                <c:pt idx="193">
                  <c:v>0.82437610125940186</c:v>
                </c:pt>
                <c:pt idx="194">
                  <c:v>0.80869563028047065</c:v>
                </c:pt>
                <c:pt idx="195">
                  <c:v>0.81002578841105766</c:v>
                </c:pt>
                <c:pt idx="196">
                  <c:v>0.82132231789776466</c:v>
                </c:pt>
                <c:pt idx="197">
                  <c:v>0.80573136033802972</c:v>
                </c:pt>
                <c:pt idx="198">
                  <c:v>0.8059615860798246</c:v>
                </c:pt>
                <c:pt idx="199">
                  <c:v>0.81294718230382668</c:v>
                </c:pt>
                <c:pt idx="200">
                  <c:v>0.80655857841060075</c:v>
                </c:pt>
                <c:pt idx="201">
                  <c:v>0.78802751200835508</c:v>
                </c:pt>
                <c:pt idx="202">
                  <c:v>0.78747762403592791</c:v>
                </c:pt>
                <c:pt idx="203">
                  <c:v>0.77787317983655357</c:v>
                </c:pt>
                <c:pt idx="204">
                  <c:v>0.75960769884657564</c:v>
                </c:pt>
                <c:pt idx="205">
                  <c:v>0.75759813184477109</c:v>
                </c:pt>
                <c:pt idx="206">
                  <c:v>0.7576056481313167</c:v>
                </c:pt>
                <c:pt idx="207">
                  <c:v>0.75302175481756628</c:v>
                </c:pt>
                <c:pt idx="208">
                  <c:v>0.75071369367965379</c:v>
                </c:pt>
                <c:pt idx="209">
                  <c:v>0.77063230185427478</c:v>
                </c:pt>
                <c:pt idx="210">
                  <c:v>0.788148143543968</c:v>
                </c:pt>
                <c:pt idx="211">
                  <c:v>0.77322308965284225</c:v>
                </c:pt>
                <c:pt idx="212">
                  <c:v>0.76095407123682002</c:v>
                </c:pt>
                <c:pt idx="213">
                  <c:v>0.74974280219745071</c:v>
                </c:pt>
                <c:pt idx="214">
                  <c:v>0.7699417194793432</c:v>
                </c:pt>
                <c:pt idx="215">
                  <c:v>0.73578816058771768</c:v>
                </c:pt>
                <c:pt idx="216">
                  <c:v>0.74984652158419984</c:v>
                </c:pt>
                <c:pt idx="217">
                  <c:v>0.77871203671939893</c:v>
                </c:pt>
                <c:pt idx="218">
                  <c:v>0.76289457931548788</c:v>
                </c:pt>
                <c:pt idx="219">
                  <c:v>0.77658136284191215</c:v>
                </c:pt>
                <c:pt idx="220">
                  <c:v>0.76381685255771847</c:v>
                </c:pt>
                <c:pt idx="221">
                  <c:v>0.75367136683304548</c:v>
                </c:pt>
                <c:pt idx="222">
                  <c:v>0.74779431295312015</c:v>
                </c:pt>
                <c:pt idx="223">
                  <c:v>0.76289987462855791</c:v>
                </c:pt>
                <c:pt idx="224">
                  <c:v>0.75526334105688175</c:v>
                </c:pt>
                <c:pt idx="225">
                  <c:v>0.75556689949945766</c:v>
                </c:pt>
                <c:pt idx="226">
                  <c:v>0.75634187940414865</c:v>
                </c:pt>
                <c:pt idx="227">
                  <c:v>0.76192736647223458</c:v>
                </c:pt>
                <c:pt idx="228">
                  <c:v>0.75518433479377289</c:v>
                </c:pt>
                <c:pt idx="229">
                  <c:v>0.75731760880852261</c:v>
                </c:pt>
                <c:pt idx="230">
                  <c:v>0.75165098956009713</c:v>
                </c:pt>
                <c:pt idx="231">
                  <c:v>0.7273142277013791</c:v>
                </c:pt>
                <c:pt idx="232">
                  <c:v>0.71149429120802077</c:v>
                </c:pt>
                <c:pt idx="233">
                  <c:v>0.7246592508606069</c:v>
                </c:pt>
                <c:pt idx="234">
                  <c:v>0.74033574725511142</c:v>
                </c:pt>
                <c:pt idx="235">
                  <c:v>0.7366358862858432</c:v>
                </c:pt>
                <c:pt idx="236">
                  <c:v>0.73712656757415973</c:v>
                </c:pt>
                <c:pt idx="237">
                  <c:v>0.73289845638148954</c:v>
                </c:pt>
                <c:pt idx="238">
                  <c:v>0.74602670967056361</c:v>
                </c:pt>
                <c:pt idx="239">
                  <c:v>0.75023425396430277</c:v>
                </c:pt>
                <c:pt idx="240">
                  <c:v>0.74847154756863044</c:v>
                </c:pt>
                <c:pt idx="241">
                  <c:v>0.7610641528722718</c:v>
                </c:pt>
                <c:pt idx="242">
                  <c:v>0.74226303134260019</c:v>
                </c:pt>
                <c:pt idx="243">
                  <c:v>0.73891680524452319</c:v>
                </c:pt>
                <c:pt idx="244">
                  <c:v>0.73950420563682551</c:v>
                </c:pt>
                <c:pt idx="245">
                  <c:v>0.72434290642817478</c:v>
                </c:pt>
                <c:pt idx="246">
                  <c:v>0.71495970950785959</c:v>
                </c:pt>
                <c:pt idx="247">
                  <c:v>0.71289381239048499</c:v>
                </c:pt>
                <c:pt idx="248">
                  <c:v>0.71783113620019312</c:v>
                </c:pt>
                <c:pt idx="249">
                  <c:v>0.71331089393287661</c:v>
                </c:pt>
                <c:pt idx="250">
                  <c:v>0.71338169628933878</c:v>
                </c:pt>
                <c:pt idx="251">
                  <c:v>0.70156932613480727</c:v>
                </c:pt>
                <c:pt idx="252">
                  <c:v>0.69372155444170092</c:v>
                </c:pt>
                <c:pt idx="253">
                  <c:v>0.68456667910174607</c:v>
                </c:pt>
                <c:pt idx="254">
                  <c:v>0.68873455802517292</c:v>
                </c:pt>
                <c:pt idx="255">
                  <c:v>0.68611407280401748</c:v>
                </c:pt>
                <c:pt idx="256">
                  <c:v>0.71896904227751313</c:v>
                </c:pt>
                <c:pt idx="257">
                  <c:v>0.69099623756407547</c:v>
                </c:pt>
                <c:pt idx="258">
                  <c:v>0.67254329535477642</c:v>
                </c:pt>
                <c:pt idx="259">
                  <c:v>0.69093820496765856</c:v>
                </c:pt>
                <c:pt idx="260">
                  <c:v>0.72013571574529867</c:v>
                </c:pt>
                <c:pt idx="261">
                  <c:v>0.73179376829724374</c:v>
                </c:pt>
                <c:pt idx="262">
                  <c:v>0.72613553007809128</c:v>
                </c:pt>
                <c:pt idx="263">
                  <c:v>0.74569309183520371</c:v>
                </c:pt>
                <c:pt idx="264">
                  <c:v>0.77348665112430137</c:v>
                </c:pt>
                <c:pt idx="265">
                  <c:v>0.76535159912513617</c:v>
                </c:pt>
                <c:pt idx="266">
                  <c:v>0.7252718216585895</c:v>
                </c:pt>
                <c:pt idx="267">
                  <c:v>0.71824523043677968</c:v>
                </c:pt>
                <c:pt idx="268">
                  <c:v>0.71257644838809453</c:v>
                </c:pt>
                <c:pt idx="269">
                  <c:v>0.69415685274705086</c:v>
                </c:pt>
                <c:pt idx="270">
                  <c:v>0.70133924149812199</c:v>
                </c:pt>
                <c:pt idx="271">
                  <c:v>0.72360644016506159</c:v>
                </c:pt>
                <c:pt idx="272">
                  <c:v>0.72580050470720125</c:v>
                </c:pt>
                <c:pt idx="273">
                  <c:v>0.72365211565543031</c:v>
                </c:pt>
                <c:pt idx="274">
                  <c:v>0.76119812103233964</c:v>
                </c:pt>
                <c:pt idx="275">
                  <c:v>0.79907507072630923</c:v>
                </c:pt>
                <c:pt idx="276">
                  <c:v>0.80844210620070767</c:v>
                </c:pt>
                <c:pt idx="277">
                  <c:v>0.78982426275818762</c:v>
                </c:pt>
                <c:pt idx="278">
                  <c:v>0.79393971063937108</c:v>
                </c:pt>
                <c:pt idx="279">
                  <c:v>0.77962333324124389</c:v>
                </c:pt>
                <c:pt idx="280">
                  <c:v>0.75436114002044252</c:v>
                </c:pt>
                <c:pt idx="281">
                  <c:v>0.76464549319184161</c:v>
                </c:pt>
                <c:pt idx="282">
                  <c:v>0.76208450934568894</c:v>
                </c:pt>
                <c:pt idx="283">
                  <c:v>0.74228829570594501</c:v>
                </c:pt>
                <c:pt idx="284">
                  <c:v>0.75089617698526057</c:v>
                </c:pt>
                <c:pt idx="285">
                  <c:v>0.76544145170058731</c:v>
                </c:pt>
                <c:pt idx="286">
                  <c:v>0.74145316396054906</c:v>
                </c:pt>
                <c:pt idx="287">
                  <c:v>0.76174901315309596</c:v>
                </c:pt>
                <c:pt idx="288">
                  <c:v>0.74375221176199324</c:v>
                </c:pt>
                <c:pt idx="289">
                  <c:v>0.73133931383704365</c:v>
                </c:pt>
                <c:pt idx="290">
                  <c:v>0.7346456986354003</c:v>
                </c:pt>
                <c:pt idx="291">
                  <c:v>0.74502068736644078</c:v>
                </c:pt>
                <c:pt idx="292">
                  <c:v>0.75537966696223102</c:v>
                </c:pt>
                <c:pt idx="293">
                  <c:v>0.74105590670106791</c:v>
                </c:pt>
                <c:pt idx="294">
                  <c:v>0.74684579458232359</c:v>
                </c:pt>
                <c:pt idx="295">
                  <c:v>0.76295177512076107</c:v>
                </c:pt>
                <c:pt idx="296">
                  <c:v>0.75796621401537478</c:v>
                </c:pt>
                <c:pt idx="297">
                  <c:v>0.7678148625871114</c:v>
                </c:pt>
                <c:pt idx="298">
                  <c:v>0.74513178861493889</c:v>
                </c:pt>
                <c:pt idx="299">
                  <c:v>0.74712598849330147</c:v>
                </c:pt>
                <c:pt idx="300">
                  <c:v>0.75211643525749383</c:v>
                </c:pt>
                <c:pt idx="301">
                  <c:v>0.7813904152804253</c:v>
                </c:pt>
                <c:pt idx="302">
                  <c:v>0.79963489690158529</c:v>
                </c:pt>
                <c:pt idx="303">
                  <c:v>0.80204302776454117</c:v>
                </c:pt>
                <c:pt idx="304">
                  <c:v>0.81216041102989378</c:v>
                </c:pt>
                <c:pt idx="305">
                  <c:v>0.84291820982520238</c:v>
                </c:pt>
                <c:pt idx="306">
                  <c:v>0.81712407433962297</c:v>
                </c:pt>
                <c:pt idx="307">
                  <c:v>0.80809872899733237</c:v>
                </c:pt>
                <c:pt idx="308">
                  <c:v>0.807053907403949</c:v>
                </c:pt>
                <c:pt idx="309">
                  <c:v>0.77645266375864319</c:v>
                </c:pt>
                <c:pt idx="310">
                  <c:v>0.77196087430434857</c:v>
                </c:pt>
                <c:pt idx="311">
                  <c:v>0.75524415745713558</c:v>
                </c:pt>
                <c:pt idx="312">
                  <c:v>0.7584806024090246</c:v>
                </c:pt>
                <c:pt idx="313">
                  <c:v>0.77361286127898521</c:v>
                </c:pt>
                <c:pt idx="314">
                  <c:v>0.78364337775417636</c:v>
                </c:pt>
                <c:pt idx="315">
                  <c:v>0.79721867427062387</c:v>
                </c:pt>
                <c:pt idx="316">
                  <c:v>0.77871671735529457</c:v>
                </c:pt>
                <c:pt idx="317">
                  <c:v>0.78696648393752811</c:v>
                </c:pt>
                <c:pt idx="318">
                  <c:v>0.80651546611663938</c:v>
                </c:pt>
                <c:pt idx="319">
                  <c:v>0.78788916206739823</c:v>
                </c:pt>
                <c:pt idx="320">
                  <c:v>0.82075605162158471</c:v>
                </c:pt>
                <c:pt idx="321">
                  <c:v>0.80872710664886305</c:v>
                </c:pt>
                <c:pt idx="322">
                  <c:v>0.80727860844158328</c:v>
                </c:pt>
                <c:pt idx="323">
                  <c:v>0.80388521728072404</c:v>
                </c:pt>
                <c:pt idx="324">
                  <c:v>0.77377520082926021</c:v>
                </c:pt>
                <c:pt idx="325">
                  <c:v>0.76686729615651561</c:v>
                </c:pt>
                <c:pt idx="326">
                  <c:v>0.8006989918378512</c:v>
                </c:pt>
                <c:pt idx="327">
                  <c:v>0.7855857138153115</c:v>
                </c:pt>
                <c:pt idx="328">
                  <c:v>0.78310081093508088</c:v>
                </c:pt>
                <c:pt idx="329">
                  <c:v>0.76674956473247047</c:v>
                </c:pt>
                <c:pt idx="330">
                  <c:v>0.76365052614783246</c:v>
                </c:pt>
                <c:pt idx="331">
                  <c:v>0.72988183550126418</c:v>
                </c:pt>
                <c:pt idx="332">
                  <c:v>0.71701020957305106</c:v>
                </c:pt>
                <c:pt idx="333">
                  <c:v>0.70948944634612465</c:v>
                </c:pt>
                <c:pt idx="334">
                  <c:v>0.72056794918162814</c:v>
                </c:pt>
                <c:pt idx="335">
                  <c:v>0.7334942000841832</c:v>
                </c:pt>
                <c:pt idx="336">
                  <c:v>0.72041281228987752</c:v>
                </c:pt>
                <c:pt idx="337">
                  <c:v>0.77040381060253504</c:v>
                </c:pt>
                <c:pt idx="338">
                  <c:v>0.78484894668156324</c:v>
                </c:pt>
                <c:pt idx="339">
                  <c:v>0.76869620444466347</c:v>
                </c:pt>
                <c:pt idx="340">
                  <c:v>0.81101430120587015</c:v>
                </c:pt>
                <c:pt idx="341">
                  <c:v>0.81877055394642484</c:v>
                </c:pt>
                <c:pt idx="342">
                  <c:v>0.79434159754817235</c:v>
                </c:pt>
                <c:pt idx="343">
                  <c:v>0.82076279688732734</c:v>
                </c:pt>
                <c:pt idx="344">
                  <c:v>0.81433964201113773</c:v>
                </c:pt>
                <c:pt idx="345">
                  <c:v>0.79684965224354676</c:v>
                </c:pt>
                <c:pt idx="346">
                  <c:v>0.81253179152712429</c:v>
                </c:pt>
                <c:pt idx="347">
                  <c:v>0.79798244920098904</c:v>
                </c:pt>
                <c:pt idx="348">
                  <c:v>0.79323044158356093</c:v>
                </c:pt>
                <c:pt idx="349">
                  <c:v>0.78018999446355941</c:v>
                </c:pt>
                <c:pt idx="350">
                  <c:v>0.77037540878782629</c:v>
                </c:pt>
                <c:pt idx="351">
                  <c:v>0.78230086375573071</c:v>
                </c:pt>
                <c:pt idx="352">
                  <c:v>0.8027685540323819</c:v>
                </c:pt>
                <c:pt idx="353">
                  <c:v>0.80059414835228881</c:v>
                </c:pt>
                <c:pt idx="354">
                  <c:v>0.77756056909816784</c:v>
                </c:pt>
                <c:pt idx="355">
                  <c:v>0.77719871193650181</c:v>
                </c:pt>
                <c:pt idx="356">
                  <c:v>0.79733673404327143</c:v>
                </c:pt>
                <c:pt idx="357">
                  <c:v>0.76945081910935897</c:v>
                </c:pt>
                <c:pt idx="358">
                  <c:v>0.73882128551534243</c:v>
                </c:pt>
                <c:pt idx="359">
                  <c:v>0.73409973571045095</c:v>
                </c:pt>
                <c:pt idx="360">
                  <c:v>0.75185884831904648</c:v>
                </c:pt>
                <c:pt idx="361">
                  <c:v>0.760970238253728</c:v>
                </c:pt>
                <c:pt idx="362">
                  <c:v>0.78552496938825012</c:v>
                </c:pt>
                <c:pt idx="363">
                  <c:v>0.78134045746118752</c:v>
                </c:pt>
                <c:pt idx="364">
                  <c:v>0.82070364121392736</c:v>
                </c:pt>
                <c:pt idx="365">
                  <c:v>0.83010026473474419</c:v>
                </c:pt>
                <c:pt idx="366">
                  <c:v>0.84322608526019494</c:v>
                </c:pt>
                <c:pt idx="367">
                  <c:v>0.85086772524620002</c:v>
                </c:pt>
                <c:pt idx="368">
                  <c:v>0.8173182969940842</c:v>
                </c:pt>
                <c:pt idx="369">
                  <c:v>0.80721733162446985</c:v>
                </c:pt>
                <c:pt idx="370">
                  <c:v>0.78297518927225573</c:v>
                </c:pt>
                <c:pt idx="371">
                  <c:v>0.79889371576744295</c:v>
                </c:pt>
                <c:pt idx="372">
                  <c:v>0.80631991971573036</c:v>
                </c:pt>
                <c:pt idx="373">
                  <c:v>0.81748507226642952</c:v>
                </c:pt>
                <c:pt idx="374">
                  <c:v>0.80458197008387422</c:v>
                </c:pt>
                <c:pt idx="375">
                  <c:v>0.79468362412981752</c:v>
                </c:pt>
                <c:pt idx="376">
                  <c:v>0.79165260301288332</c:v>
                </c:pt>
                <c:pt idx="377">
                  <c:v>0.7792238143755954</c:v>
                </c:pt>
                <c:pt idx="378">
                  <c:v>0.77683315711092293</c:v>
                </c:pt>
                <c:pt idx="379">
                  <c:v>0.81909369291221146</c:v>
                </c:pt>
                <c:pt idx="380">
                  <c:v>0.82332706741347683</c:v>
                </c:pt>
                <c:pt idx="381">
                  <c:v>0.85926637454792965</c:v>
                </c:pt>
                <c:pt idx="382">
                  <c:v>0.88100826464558368</c:v>
                </c:pt>
                <c:pt idx="383">
                  <c:v>0.90229234104933898</c:v>
                </c:pt>
                <c:pt idx="384">
                  <c:v>0.9388267085195573</c:v>
                </c:pt>
                <c:pt idx="385">
                  <c:v>0.94117081205683806</c:v>
                </c:pt>
                <c:pt idx="386">
                  <c:v>0.94158777704339602</c:v>
                </c:pt>
                <c:pt idx="387">
                  <c:v>0.92742738052659623</c:v>
                </c:pt>
                <c:pt idx="388">
                  <c:v>0.93106209342571367</c:v>
                </c:pt>
                <c:pt idx="389">
                  <c:v>0.9274363951247766</c:v>
                </c:pt>
                <c:pt idx="390">
                  <c:v>0.93365917201961313</c:v>
                </c:pt>
                <c:pt idx="391">
                  <c:v>0.9215758459432315</c:v>
                </c:pt>
                <c:pt idx="392">
                  <c:v>0.92631997324727555</c:v>
                </c:pt>
                <c:pt idx="393">
                  <c:v>0.94729771573049737</c:v>
                </c:pt>
                <c:pt idx="394">
                  <c:v>0.9250377538179414</c:v>
                </c:pt>
                <c:pt idx="395">
                  <c:v>0.89255757718867634</c:v>
                </c:pt>
                <c:pt idx="396">
                  <c:v>0.8741499574890641</c:v>
                </c:pt>
                <c:pt idx="397">
                  <c:v>0.86888227854428879</c:v>
                </c:pt>
                <c:pt idx="398">
                  <c:v>0.84752208278795249</c:v>
                </c:pt>
                <c:pt idx="399">
                  <c:v>0.84442258218250921</c:v>
                </c:pt>
                <c:pt idx="400">
                  <c:v>0.86755161400384961</c:v>
                </c:pt>
                <c:pt idx="401">
                  <c:v>0.87660673284164492</c:v>
                </c:pt>
                <c:pt idx="402">
                  <c:v>0.89258301185155386</c:v>
                </c:pt>
                <c:pt idx="403">
                  <c:v>0.86028870490221188</c:v>
                </c:pt>
                <c:pt idx="404">
                  <c:v>0.85573847105283984</c:v>
                </c:pt>
                <c:pt idx="405">
                  <c:v>0.82912540787392353</c:v>
                </c:pt>
                <c:pt idx="406">
                  <c:v>0.83387004447697854</c:v>
                </c:pt>
                <c:pt idx="407">
                  <c:v>0.85864793539456385</c:v>
                </c:pt>
                <c:pt idx="408">
                  <c:v>0.84568820239532483</c:v>
                </c:pt>
                <c:pt idx="409">
                  <c:v>0.85616268606113233</c:v>
                </c:pt>
                <c:pt idx="410">
                  <c:v>0.85421154703945334</c:v>
                </c:pt>
                <c:pt idx="411">
                  <c:v>0.81305509880333537</c:v>
                </c:pt>
                <c:pt idx="412">
                  <c:v>0.80590097207521572</c:v>
                </c:pt>
                <c:pt idx="413">
                  <c:v>0.80584725381980038</c:v>
                </c:pt>
                <c:pt idx="414">
                  <c:v>0.81465902294965475</c:v>
                </c:pt>
                <c:pt idx="415">
                  <c:v>0.81967407681334159</c:v>
                </c:pt>
                <c:pt idx="416">
                  <c:v>0.83179623792661894</c:v>
                </c:pt>
                <c:pt idx="417">
                  <c:v>0.82105035062197362</c:v>
                </c:pt>
                <c:pt idx="418">
                  <c:v>0.85841114243817884</c:v>
                </c:pt>
                <c:pt idx="419">
                  <c:v>0.88182254099225443</c:v>
                </c:pt>
                <c:pt idx="420">
                  <c:v>0.85504258691510415</c:v>
                </c:pt>
                <c:pt idx="421">
                  <c:v>0.83175787760468911</c:v>
                </c:pt>
                <c:pt idx="422">
                  <c:v>0.81912668513155285</c:v>
                </c:pt>
                <c:pt idx="423">
                  <c:v>0.80021058392752753</c:v>
                </c:pt>
                <c:pt idx="424">
                  <c:v>0.79578749965910367</c:v>
                </c:pt>
                <c:pt idx="425">
                  <c:v>0.7901659794168977</c:v>
                </c:pt>
                <c:pt idx="426">
                  <c:v>0.80028640724285083</c:v>
                </c:pt>
                <c:pt idx="427">
                  <c:v>0.83225093196939892</c:v>
                </c:pt>
                <c:pt idx="428">
                  <c:v>0.8590483352019318</c:v>
                </c:pt>
                <c:pt idx="429">
                  <c:v>0.84918903537442259</c:v>
                </c:pt>
                <c:pt idx="430">
                  <c:v>0.83262745792653836</c:v>
                </c:pt>
                <c:pt idx="431">
                  <c:v>0.81879400133269509</c:v>
                </c:pt>
                <c:pt idx="432">
                  <c:v>0.81858143896788627</c:v>
                </c:pt>
                <c:pt idx="433">
                  <c:v>0.83116414930004356</c:v>
                </c:pt>
                <c:pt idx="434">
                  <c:v>0.83550703833852369</c:v>
                </c:pt>
                <c:pt idx="435">
                  <c:v>0.85769633050893024</c:v>
                </c:pt>
                <c:pt idx="436">
                  <c:v>0.86434050422164554</c:v>
                </c:pt>
                <c:pt idx="437">
                  <c:v>0.88297155683676376</c:v>
                </c:pt>
                <c:pt idx="438">
                  <c:v>0.91274885152974394</c:v>
                </c:pt>
                <c:pt idx="439">
                  <c:v>0.8916604143645056</c:v>
                </c:pt>
                <c:pt idx="440">
                  <c:v>0.88581352079416686</c:v>
                </c:pt>
                <c:pt idx="441">
                  <c:v>0.88318166190343905</c:v>
                </c:pt>
                <c:pt idx="442">
                  <c:v>0.87130927834025895</c:v>
                </c:pt>
                <c:pt idx="443">
                  <c:v>0.86951029418445869</c:v>
                </c:pt>
                <c:pt idx="444">
                  <c:v>0.85013171279554078</c:v>
                </c:pt>
                <c:pt idx="445">
                  <c:v>0.83052504054495435</c:v>
                </c:pt>
                <c:pt idx="446">
                  <c:v>0.84699405323060228</c:v>
                </c:pt>
                <c:pt idx="447">
                  <c:v>0.86191594015804529</c:v>
                </c:pt>
                <c:pt idx="448">
                  <c:v>0.82711429037586759</c:v>
                </c:pt>
                <c:pt idx="449">
                  <c:v>0.85890431239234144</c:v>
                </c:pt>
                <c:pt idx="450">
                  <c:v>0.8642293592443121</c:v>
                </c:pt>
                <c:pt idx="451">
                  <c:v>0.87169823377092803</c:v>
                </c:pt>
                <c:pt idx="452">
                  <c:v>0.87438734630179338</c:v>
                </c:pt>
                <c:pt idx="453">
                  <c:v>0.86746423804500195</c:v>
                </c:pt>
                <c:pt idx="454">
                  <c:v>0.88963793365486421</c:v>
                </c:pt>
                <c:pt idx="455">
                  <c:v>0.88236879160164228</c:v>
                </c:pt>
                <c:pt idx="456">
                  <c:v>0.88051278177808057</c:v>
                </c:pt>
                <c:pt idx="457">
                  <c:v>0.83579602432015188</c:v>
                </c:pt>
                <c:pt idx="458">
                  <c:v>0.84410456953695989</c:v>
                </c:pt>
                <c:pt idx="459">
                  <c:v>0.84937981141937191</c:v>
                </c:pt>
                <c:pt idx="460">
                  <c:v>0.8404676793188125</c:v>
                </c:pt>
                <c:pt idx="461">
                  <c:v>0.83312703377702624</c:v>
                </c:pt>
                <c:pt idx="462">
                  <c:v>0.82572227220951799</c:v>
                </c:pt>
                <c:pt idx="463">
                  <c:v>0.86814348277447329</c:v>
                </c:pt>
                <c:pt idx="464">
                  <c:v>0.8650625192782091</c:v>
                </c:pt>
                <c:pt idx="465">
                  <c:v>0.88146022394721868</c:v>
                </c:pt>
                <c:pt idx="466">
                  <c:v>0.85342481690427485</c:v>
                </c:pt>
                <c:pt idx="467">
                  <c:v>0.85085035861920488</c:v>
                </c:pt>
                <c:pt idx="468">
                  <c:v>0.87782769834436503</c:v>
                </c:pt>
                <c:pt idx="469">
                  <c:v>0.86766304788384097</c:v>
                </c:pt>
                <c:pt idx="470">
                  <c:v>0.8767301041431349</c:v>
                </c:pt>
                <c:pt idx="471">
                  <c:v>0.89764190878849892</c:v>
                </c:pt>
                <c:pt idx="472">
                  <c:v>0.90364998532272078</c:v>
                </c:pt>
                <c:pt idx="473">
                  <c:v>0.93734081180057849</c:v>
                </c:pt>
                <c:pt idx="474">
                  <c:v>0.93140892198067005</c:v>
                </c:pt>
                <c:pt idx="475">
                  <c:v>0.91972912316822852</c:v>
                </c:pt>
                <c:pt idx="476">
                  <c:v>0.93086758859921603</c:v>
                </c:pt>
                <c:pt idx="477">
                  <c:v>0.92803130664228173</c:v>
                </c:pt>
                <c:pt idx="478">
                  <c:v>0.94944805816736466</c:v>
                </c:pt>
                <c:pt idx="479">
                  <c:v>0.9474370529916698</c:v>
                </c:pt>
                <c:pt idx="480">
                  <c:v>0.95601505909153284</c:v>
                </c:pt>
                <c:pt idx="481">
                  <c:v>0.9555685389163836</c:v>
                </c:pt>
                <c:pt idx="482">
                  <c:v>0.95742001103107677</c:v>
                </c:pt>
                <c:pt idx="483">
                  <c:v>0.93399172906214667</c:v>
                </c:pt>
                <c:pt idx="484">
                  <c:v>0.94208274397231706</c:v>
                </c:pt>
                <c:pt idx="485">
                  <c:v>0.93989336053704997</c:v>
                </c:pt>
                <c:pt idx="486">
                  <c:v>0.94223667065095573</c:v>
                </c:pt>
                <c:pt idx="487">
                  <c:v>0.93152013477920692</c:v>
                </c:pt>
                <c:pt idx="488">
                  <c:v>0.8872250463962208</c:v>
                </c:pt>
                <c:pt idx="489">
                  <c:v>0.86534461072614532</c:v>
                </c:pt>
                <c:pt idx="490">
                  <c:v>0.86152374919001196</c:v>
                </c:pt>
                <c:pt idx="491">
                  <c:v>0.84677027441872066</c:v>
                </c:pt>
                <c:pt idx="492">
                  <c:v>0.88064426072417079</c:v>
                </c:pt>
                <c:pt idx="493">
                  <c:v>0.87637123909270109</c:v>
                </c:pt>
                <c:pt idx="494">
                  <c:v>0.8888377060622964</c:v>
                </c:pt>
                <c:pt idx="495">
                  <c:v>0.86218889615278316</c:v>
                </c:pt>
                <c:pt idx="496">
                  <c:v>0.85376827636659203</c:v>
                </c:pt>
                <c:pt idx="497">
                  <c:v>0.87748098096976057</c:v>
                </c:pt>
                <c:pt idx="498">
                  <c:v>0.87304773720364215</c:v>
                </c:pt>
                <c:pt idx="499">
                  <c:v>0.8624745888298988</c:v>
                </c:pt>
                <c:pt idx="500">
                  <c:v>0.84925516741453455</c:v>
                </c:pt>
                <c:pt idx="501">
                  <c:v>0.86831670896928403</c:v>
                </c:pt>
                <c:pt idx="502">
                  <c:v>0.85333644066211378</c:v>
                </c:pt>
                <c:pt idx="503">
                  <c:v>0.82406960771399473</c:v>
                </c:pt>
                <c:pt idx="504">
                  <c:v>0.81387365380645482</c:v>
                </c:pt>
                <c:pt idx="505">
                  <c:v>0.83587051618757335</c:v>
                </c:pt>
                <c:pt idx="506">
                  <c:v>0.84315670990341174</c:v>
                </c:pt>
                <c:pt idx="507">
                  <c:v>0.83290062968063261</c:v>
                </c:pt>
                <c:pt idx="508">
                  <c:v>0.87126233431287892</c:v>
                </c:pt>
                <c:pt idx="509">
                  <c:v>0.87524366482221294</c:v>
                </c:pt>
                <c:pt idx="510">
                  <c:v>0.87568202461510924</c:v>
                </c:pt>
                <c:pt idx="511">
                  <c:v>0.88157363827566582</c:v>
                </c:pt>
                <c:pt idx="512">
                  <c:v>0.88845552901415037</c:v>
                </c:pt>
                <c:pt idx="513">
                  <c:v>0.87786475107330086</c:v>
                </c:pt>
                <c:pt idx="514">
                  <c:v>0.90966737886117455</c:v>
                </c:pt>
                <c:pt idx="515">
                  <c:v>0.90595282753623929</c:v>
                </c:pt>
                <c:pt idx="516">
                  <c:v>0.93184843510513549</c:v>
                </c:pt>
                <c:pt idx="517">
                  <c:v>0.95394688703424102</c:v>
                </c:pt>
                <c:pt idx="518">
                  <c:v>0.96685215840066174</c:v>
                </c:pt>
                <c:pt idx="519">
                  <c:v>0.98106957799109473</c:v>
                </c:pt>
                <c:pt idx="520">
                  <c:v>0.97175717736342093</c:v>
                </c:pt>
                <c:pt idx="521">
                  <c:v>0.9417980913692624</c:v>
                </c:pt>
                <c:pt idx="522">
                  <c:v>0.95359732283992993</c:v>
                </c:pt>
                <c:pt idx="523">
                  <c:v>0.93756890733258347</c:v>
                </c:pt>
                <c:pt idx="524">
                  <c:v>0.94137817792795686</c:v>
                </c:pt>
                <c:pt idx="525">
                  <c:v>0.93622703135903007</c:v>
                </c:pt>
                <c:pt idx="526">
                  <c:v>0.93819205657372484</c:v>
                </c:pt>
                <c:pt idx="527">
                  <c:v>0.95583560773661103</c:v>
                </c:pt>
                <c:pt idx="528">
                  <c:v>0.9577520572106466</c:v>
                </c:pt>
                <c:pt idx="529">
                  <c:v>0.95825485496666751</c:v>
                </c:pt>
                <c:pt idx="530">
                  <c:v>0.95848894246976979</c:v>
                </c:pt>
                <c:pt idx="531">
                  <c:v>0.98794682696052705</c:v>
                </c:pt>
                <c:pt idx="532">
                  <c:v>0.98996083326153028</c:v>
                </c:pt>
                <c:pt idx="533">
                  <c:v>1.012345187260052</c:v>
                </c:pt>
                <c:pt idx="534">
                  <c:v>0.99368234383112097</c:v>
                </c:pt>
                <c:pt idx="535">
                  <c:v>1.0088978710948311</c:v>
                </c:pt>
                <c:pt idx="536">
                  <c:v>0.98923421570965753</c:v>
                </c:pt>
                <c:pt idx="537">
                  <c:v>0.98307333081618964</c:v>
                </c:pt>
                <c:pt idx="538">
                  <c:v>1.0233017771566735</c:v>
                </c:pt>
                <c:pt idx="539">
                  <c:v>1.0379874104172218</c:v>
                </c:pt>
                <c:pt idx="540">
                  <c:v>1.0490130554098269</c:v>
                </c:pt>
                <c:pt idx="541">
                  <c:v>1.0527905257752297</c:v>
                </c:pt>
                <c:pt idx="542">
                  <c:v>1.0792925705733263</c:v>
                </c:pt>
                <c:pt idx="543">
                  <c:v>1.0869645089597986</c:v>
                </c:pt>
                <c:pt idx="544">
                  <c:v>1.0877676099546538</c:v>
                </c:pt>
                <c:pt idx="545">
                  <c:v>1.0957512216604244</c:v>
                </c:pt>
                <c:pt idx="546">
                  <c:v>1.121408865631901</c:v>
                </c:pt>
                <c:pt idx="547">
                  <c:v>1.1236941659119741</c:v>
                </c:pt>
                <c:pt idx="548">
                  <c:v>1.0996581883307546</c:v>
                </c:pt>
                <c:pt idx="549">
                  <c:v>1.0948844251050662</c:v>
                </c:pt>
                <c:pt idx="550">
                  <c:v>1.138895340984265</c:v>
                </c:pt>
                <c:pt idx="551">
                  <c:v>1.1412634993010109</c:v>
                </c:pt>
                <c:pt idx="552">
                  <c:v>1.1481640315169557</c:v>
                </c:pt>
                <c:pt idx="553">
                  <c:v>1.2167897432103676</c:v>
                </c:pt>
                <c:pt idx="554">
                  <c:v>1.2040717516371449</c:v>
                </c:pt>
                <c:pt idx="555">
                  <c:v>1.2080288663784322</c:v>
                </c:pt>
                <c:pt idx="556">
                  <c:v>1.2103479317381935</c:v>
                </c:pt>
                <c:pt idx="557">
                  <c:v>1.2022567707968301</c:v>
                </c:pt>
                <c:pt idx="558">
                  <c:v>1.1963107946110128</c:v>
                </c:pt>
                <c:pt idx="559">
                  <c:v>1.1894560485498271</c:v>
                </c:pt>
                <c:pt idx="560">
                  <c:v>1.1887399255186288</c:v>
                </c:pt>
                <c:pt idx="561">
                  <c:v>1.2314688071541431</c:v>
                </c:pt>
                <c:pt idx="562">
                  <c:v>1.2390251663540537</c:v>
                </c:pt>
                <c:pt idx="563">
                  <c:v>1.2537992508715903</c:v>
                </c:pt>
                <c:pt idx="564">
                  <c:v>1.2324394157352418</c:v>
                </c:pt>
                <c:pt idx="565">
                  <c:v>1.2044034013185088</c:v>
                </c:pt>
                <c:pt idx="566">
                  <c:v>1.2155714997854155</c:v>
                </c:pt>
                <c:pt idx="567">
                  <c:v>1.2211733616553617</c:v>
                </c:pt>
                <c:pt idx="568">
                  <c:v>1.1918282278819539</c:v>
                </c:pt>
                <c:pt idx="569">
                  <c:v>1.2059947842768801</c:v>
                </c:pt>
                <c:pt idx="570">
                  <c:v>1.2029265304591905</c:v>
                </c:pt>
                <c:pt idx="571">
                  <c:v>1.2493740393761019</c:v>
                </c:pt>
                <c:pt idx="572">
                  <c:v>1.2444477871858339</c:v>
                </c:pt>
                <c:pt idx="573">
                  <c:v>1.2572198259319107</c:v>
                </c:pt>
                <c:pt idx="574">
                  <c:v>1.2904623679797762</c:v>
                </c:pt>
                <c:pt idx="575">
                  <c:v>1.3012567773791841</c:v>
                </c:pt>
                <c:pt idx="576">
                  <c:v>1.2271302158969861</c:v>
                </c:pt>
                <c:pt idx="577">
                  <c:v>1.2052727837627062</c:v>
                </c:pt>
                <c:pt idx="578">
                  <c:v>1.1866053927188784</c:v>
                </c:pt>
                <c:pt idx="579">
                  <c:v>1.1731584716525252</c:v>
                </c:pt>
                <c:pt idx="580">
                  <c:v>1.2209563323259822</c:v>
                </c:pt>
                <c:pt idx="581">
                  <c:v>1.2365419837826486</c:v>
                </c:pt>
                <c:pt idx="582">
                  <c:v>1.221717800563578</c:v>
                </c:pt>
                <c:pt idx="583">
                  <c:v>1.2146020217789986</c:v>
                </c:pt>
                <c:pt idx="584">
                  <c:v>1.2319622714777434</c:v>
                </c:pt>
                <c:pt idx="585">
                  <c:v>1.1991833645789898</c:v>
                </c:pt>
                <c:pt idx="586">
                  <c:v>1.1945391499350162</c:v>
                </c:pt>
                <c:pt idx="587">
                  <c:v>1.156931663180589</c:v>
                </c:pt>
                <c:pt idx="588">
                  <c:v>1.1519073030787861</c:v>
                </c:pt>
                <c:pt idx="589">
                  <c:v>1.1548970144589388</c:v>
                </c:pt>
                <c:pt idx="590">
                  <c:v>1.1510294827629908</c:v>
                </c:pt>
                <c:pt idx="591">
                  <c:v>1.132713582279274</c:v>
                </c:pt>
                <c:pt idx="592">
                  <c:v>1.1136929724064895</c:v>
                </c:pt>
                <c:pt idx="593">
                  <c:v>1.1220329218845295</c:v>
                </c:pt>
                <c:pt idx="594">
                  <c:v>1.1349700634498772</c:v>
                </c:pt>
                <c:pt idx="595">
                  <c:v>1.1395704910248452</c:v>
                </c:pt>
                <c:pt idx="596">
                  <c:v>1.1359948079593543</c:v>
                </c:pt>
                <c:pt idx="597">
                  <c:v>1.159627639381146</c:v>
                </c:pt>
                <c:pt idx="598">
                  <c:v>1.1657008516270722</c:v>
                </c:pt>
                <c:pt idx="599">
                  <c:v>1.1496943044569732</c:v>
                </c:pt>
                <c:pt idx="600">
                  <c:v>1.1694623819340215</c:v>
                </c:pt>
                <c:pt idx="601">
                  <c:v>1.1712196767875107</c:v>
                </c:pt>
                <c:pt idx="602">
                  <c:v>1.1426157983060616</c:v>
                </c:pt>
                <c:pt idx="603">
                  <c:v>1.1301177034421332</c:v>
                </c:pt>
                <c:pt idx="604">
                  <c:v>1.1295461961148294</c:v>
                </c:pt>
                <c:pt idx="605">
                  <c:v>1.1024690803619546</c:v>
                </c:pt>
                <c:pt idx="606">
                  <c:v>1.0826343503245233</c:v>
                </c:pt>
                <c:pt idx="607">
                  <c:v>1.0866415512304644</c:v>
                </c:pt>
                <c:pt idx="608">
                  <c:v>1.0850422433065983</c:v>
                </c:pt>
                <c:pt idx="609">
                  <c:v>1.0870555595338085</c:v>
                </c:pt>
                <c:pt idx="610">
                  <c:v>1.1266019595032806</c:v>
                </c:pt>
                <c:pt idx="611">
                  <c:v>1.1152127611002582</c:v>
                </c:pt>
                <c:pt idx="612">
                  <c:v>1.0718520870861388</c:v>
                </c:pt>
                <c:pt idx="613">
                  <c:v>1.0652130477144797</c:v>
                </c:pt>
                <c:pt idx="614">
                  <c:v>1.0731214888390366</c:v>
                </c:pt>
                <c:pt idx="615">
                  <c:v>1.0501863051483349</c:v>
                </c:pt>
                <c:pt idx="616">
                  <c:v>1.0164628692424365</c:v>
                </c:pt>
                <c:pt idx="617">
                  <c:v>1.0461047394197827</c:v>
                </c:pt>
                <c:pt idx="618">
                  <c:v>1.0340106600289996</c:v>
                </c:pt>
                <c:pt idx="619">
                  <c:v>1.0206087417925342</c:v>
                </c:pt>
                <c:pt idx="620">
                  <c:v>1.0354570831297985</c:v>
                </c:pt>
                <c:pt idx="621">
                  <c:v>1.0148793425544209</c:v>
                </c:pt>
                <c:pt idx="622">
                  <c:v>1.0092769730153264</c:v>
                </c:pt>
                <c:pt idx="623">
                  <c:v>1.0326263089601155</c:v>
                </c:pt>
                <c:pt idx="624">
                  <c:v>1.0488531647380335</c:v>
                </c:pt>
                <c:pt idx="625">
                  <c:v>1.0434573299561192</c:v>
                </c:pt>
                <c:pt idx="626">
                  <c:v>1.0440685453182212</c:v>
                </c:pt>
                <c:pt idx="627">
                  <c:v>1.0124293748143791</c:v>
                </c:pt>
                <c:pt idx="628">
                  <c:v>0.984573328950619</c:v>
                </c:pt>
                <c:pt idx="629">
                  <c:v>0.98208634743427403</c:v>
                </c:pt>
                <c:pt idx="630">
                  <c:v>0.98182257520206817</c:v>
                </c:pt>
                <c:pt idx="631">
                  <c:v>0.95074161360225751</c:v>
                </c:pt>
                <c:pt idx="632">
                  <c:v>0.94281099121062906</c:v>
                </c:pt>
                <c:pt idx="633">
                  <c:v>0.96471440303197908</c:v>
                </c:pt>
                <c:pt idx="634">
                  <c:v>0.93882659582594064</c:v>
                </c:pt>
                <c:pt idx="635">
                  <c:v>0.90838312119237108</c:v>
                </c:pt>
                <c:pt idx="636">
                  <c:v>0.89594950808619567</c:v>
                </c:pt>
                <c:pt idx="637">
                  <c:v>0.93052938335994229</c:v>
                </c:pt>
                <c:pt idx="638">
                  <c:v>0.90031992865511479</c:v>
                </c:pt>
                <c:pt idx="639">
                  <c:v>0.92982554126042571</c:v>
                </c:pt>
                <c:pt idx="640">
                  <c:v>0.93339116599808736</c:v>
                </c:pt>
                <c:pt idx="641">
                  <c:v>0.97584947768914976</c:v>
                </c:pt>
                <c:pt idx="642">
                  <c:v>0.94788628513291173</c:v>
                </c:pt>
                <c:pt idx="643">
                  <c:v>1.0031888240737652</c:v>
                </c:pt>
                <c:pt idx="644">
                  <c:v>1.0176600804490186</c:v>
                </c:pt>
                <c:pt idx="645">
                  <c:v>0.97238797968023893</c:v>
                </c:pt>
                <c:pt idx="646">
                  <c:v>0.98673500849757545</c:v>
                </c:pt>
                <c:pt idx="647">
                  <c:v>0.97872939850872198</c:v>
                </c:pt>
                <c:pt idx="648">
                  <c:v>0.96021307725204641</c:v>
                </c:pt>
                <c:pt idx="649">
                  <c:v>0.98277052188453273</c:v>
                </c:pt>
                <c:pt idx="650">
                  <c:v>0.97274575299680444</c:v>
                </c:pt>
                <c:pt idx="651">
                  <c:v>0.96655948996589303</c:v>
                </c:pt>
                <c:pt idx="652">
                  <c:v>1.0055030319672158</c:v>
                </c:pt>
                <c:pt idx="653">
                  <c:v>1.0031822902003831</c:v>
                </c:pt>
                <c:pt idx="654">
                  <c:v>0.99955012120160636</c:v>
                </c:pt>
                <c:pt idx="655">
                  <c:v>0.99477375505788168</c:v>
                </c:pt>
                <c:pt idx="656">
                  <c:v>0.97323564671584106</c:v>
                </c:pt>
                <c:pt idx="657">
                  <c:v>1.0035339363801921</c:v>
                </c:pt>
                <c:pt idx="658">
                  <c:v>1.0198366788693942</c:v>
                </c:pt>
                <c:pt idx="659">
                  <c:v>1.0527223193821231</c:v>
                </c:pt>
                <c:pt idx="660">
                  <c:v>1.0601975830097456</c:v>
                </c:pt>
                <c:pt idx="661">
                  <c:v>1.0928866427086799</c:v>
                </c:pt>
                <c:pt idx="662">
                  <c:v>1.1109108377494243</c:v>
                </c:pt>
                <c:pt idx="663">
                  <c:v>1.0651455898809703</c:v>
                </c:pt>
                <c:pt idx="664">
                  <c:v>1.0808827520525115</c:v>
                </c:pt>
                <c:pt idx="665">
                  <c:v>1.0888012113564165</c:v>
                </c:pt>
                <c:pt idx="666">
                  <c:v>1.0641840195239414</c:v>
                </c:pt>
                <c:pt idx="667">
                  <c:v>1.0280189616584139</c:v>
                </c:pt>
                <c:pt idx="668">
                  <c:v>1.0295788945772577</c:v>
                </c:pt>
                <c:pt idx="669">
                  <c:v>1.0106464235576862</c:v>
                </c:pt>
                <c:pt idx="670">
                  <c:v>1.0021623773796864</c:v>
                </c:pt>
                <c:pt idx="671">
                  <c:v>0.9743431139701888</c:v>
                </c:pt>
                <c:pt idx="672">
                  <c:v>0.96952176619389674</c:v>
                </c:pt>
                <c:pt idx="673">
                  <c:v>1.0098804506569685</c:v>
                </c:pt>
                <c:pt idx="674">
                  <c:v>1.0140930967268449</c:v>
                </c:pt>
                <c:pt idx="675">
                  <c:v>1.0124661127949885</c:v>
                </c:pt>
                <c:pt idx="676">
                  <c:v>0.9916057079352224</c:v>
                </c:pt>
                <c:pt idx="677">
                  <c:v>0.99506057229851474</c:v>
                </c:pt>
                <c:pt idx="678">
                  <c:v>0.96350431252473212</c:v>
                </c:pt>
                <c:pt idx="679">
                  <c:v>0.93417111338838688</c:v>
                </c:pt>
                <c:pt idx="680">
                  <c:v>0.87999961471724408</c:v>
                </c:pt>
                <c:pt idx="681">
                  <c:v>0.90941588772622772</c:v>
                </c:pt>
                <c:pt idx="682">
                  <c:v>0.9195912117880658</c:v>
                </c:pt>
                <c:pt idx="683">
                  <c:v>0.91224006281002157</c:v>
                </c:pt>
                <c:pt idx="684">
                  <c:v>0.91986260076833837</c:v>
                </c:pt>
                <c:pt idx="685">
                  <c:v>0.92068118135913724</c:v>
                </c:pt>
                <c:pt idx="686">
                  <c:v>0.95993733552087179</c:v>
                </c:pt>
                <c:pt idx="687">
                  <c:v>0.95485859760827629</c:v>
                </c:pt>
                <c:pt idx="688">
                  <c:v>0.97355132014327372</c:v>
                </c:pt>
                <c:pt idx="689">
                  <c:v>0.95526072028058218</c:v>
                </c:pt>
                <c:pt idx="690">
                  <c:v>0.94104544587277672</c:v>
                </c:pt>
                <c:pt idx="691">
                  <c:v>0.91514673349298792</c:v>
                </c:pt>
                <c:pt idx="692">
                  <c:v>0.91703568889552001</c:v>
                </c:pt>
                <c:pt idx="693">
                  <c:v>0.92309451975760004</c:v>
                </c:pt>
                <c:pt idx="694">
                  <c:v>0.92791144116513391</c:v>
                </c:pt>
                <c:pt idx="695">
                  <c:v>0.92047553992784548</c:v>
                </c:pt>
                <c:pt idx="696">
                  <c:v>0.88674120121566524</c:v>
                </c:pt>
                <c:pt idx="697">
                  <c:v>0.90443728696589964</c:v>
                </c:pt>
                <c:pt idx="698">
                  <c:v>0.92972987361826509</c:v>
                </c:pt>
                <c:pt idx="699">
                  <c:v>0.93900976838475425</c:v>
                </c:pt>
                <c:pt idx="700">
                  <c:v>0.90879247010935749</c:v>
                </c:pt>
                <c:pt idx="701">
                  <c:v>0.92016481856977517</c:v>
                </c:pt>
                <c:pt idx="702">
                  <c:v>0.92309464359936222</c:v>
                </c:pt>
                <c:pt idx="703">
                  <c:v>0.94243980914951109</c:v>
                </c:pt>
                <c:pt idx="704">
                  <c:v>0.94963923833416453</c:v>
                </c:pt>
                <c:pt idx="705">
                  <c:v>0.94703552283583647</c:v>
                </c:pt>
                <c:pt idx="706">
                  <c:v>0.96738235128534744</c:v>
                </c:pt>
                <c:pt idx="707">
                  <c:v>0.98374599219632497</c:v>
                </c:pt>
                <c:pt idx="708">
                  <c:v>0.98824328134347661</c:v>
                </c:pt>
                <c:pt idx="709">
                  <c:v>0.98406720269422665</c:v>
                </c:pt>
                <c:pt idx="710">
                  <c:v>0.98833837310570405</c:v>
                </c:pt>
                <c:pt idx="711">
                  <c:v>0.96811213733248236</c:v>
                </c:pt>
                <c:pt idx="712">
                  <c:v>0.95985232560530354</c:v>
                </c:pt>
                <c:pt idx="713">
                  <c:v>0.97709102046161145</c:v>
                </c:pt>
                <c:pt idx="714">
                  <c:v>0.97231009396493151</c:v>
                </c:pt>
                <c:pt idx="715">
                  <c:v>0.97475655581225318</c:v>
                </c:pt>
                <c:pt idx="716">
                  <c:v>0.99173052395057315</c:v>
                </c:pt>
                <c:pt idx="717">
                  <c:v>0.99138620994415605</c:v>
                </c:pt>
                <c:pt idx="718">
                  <c:v>0.99866492137587293</c:v>
                </c:pt>
                <c:pt idx="719">
                  <c:v>1.0142495391751467</c:v>
                </c:pt>
                <c:pt idx="720">
                  <c:v>1.0255221858170356</c:v>
                </c:pt>
                <c:pt idx="721">
                  <c:v>1.0358084904683147</c:v>
                </c:pt>
                <c:pt idx="722">
                  <c:v>1.0497332827697397</c:v>
                </c:pt>
                <c:pt idx="723">
                  <c:v>1.011346836829945</c:v>
                </c:pt>
                <c:pt idx="724">
                  <c:v>0.99440275100510356</c:v>
                </c:pt>
                <c:pt idx="725">
                  <c:v>0.99662775406396675</c:v>
                </c:pt>
                <c:pt idx="726">
                  <c:v>1.01572664134765</c:v>
                </c:pt>
                <c:pt idx="727">
                  <c:v>0.98128820016082063</c:v>
                </c:pt>
                <c:pt idx="728">
                  <c:v>0.97946459390599527</c:v>
                </c:pt>
                <c:pt idx="729">
                  <c:v>1.0179298909599157</c:v>
                </c:pt>
                <c:pt idx="730">
                  <c:v>1.0097011773736415</c:v>
                </c:pt>
                <c:pt idx="731">
                  <c:v>1.0314594743979377</c:v>
                </c:pt>
                <c:pt idx="732">
                  <c:v>1.0002489925811773</c:v>
                </c:pt>
                <c:pt idx="733">
                  <c:v>1.0296380585035767</c:v>
                </c:pt>
                <c:pt idx="734">
                  <c:v>1.0338661716820834</c:v>
                </c:pt>
                <c:pt idx="735">
                  <c:v>1.0054565628330774</c:v>
                </c:pt>
                <c:pt idx="736">
                  <c:v>0.9824375847553819</c:v>
                </c:pt>
                <c:pt idx="737">
                  <c:v>1.0045188537459198</c:v>
                </c:pt>
                <c:pt idx="738">
                  <c:v>1.0395739540503854</c:v>
                </c:pt>
                <c:pt idx="739">
                  <c:v>1.0245877455689083</c:v>
                </c:pt>
                <c:pt idx="740">
                  <c:v>1.0199612358820604</c:v>
                </c:pt>
                <c:pt idx="741">
                  <c:v>1.0404412829682765</c:v>
                </c:pt>
                <c:pt idx="742">
                  <c:v>1.0716777728434272</c:v>
                </c:pt>
                <c:pt idx="743">
                  <c:v>1.0800458216593087</c:v>
                </c:pt>
                <c:pt idx="744">
                  <c:v>1.1163218246821376</c:v>
                </c:pt>
                <c:pt idx="745">
                  <c:v>1.1263248983510457</c:v>
                </c:pt>
                <c:pt idx="746">
                  <c:v>1.1459068186627963</c:v>
                </c:pt>
                <c:pt idx="747">
                  <c:v>1.1597080728310083</c:v>
                </c:pt>
                <c:pt idx="748">
                  <c:v>1.1573214627563286</c:v>
                </c:pt>
                <c:pt idx="749">
                  <c:v>1.1743783866824224</c:v>
                </c:pt>
                <c:pt idx="750">
                  <c:v>1.1675058485140886</c:v>
                </c:pt>
                <c:pt idx="751">
                  <c:v>1.1918191492398524</c:v>
                </c:pt>
                <c:pt idx="752">
                  <c:v>1.1942363664584026</c:v>
                </c:pt>
                <c:pt idx="753">
                  <c:v>1.2074044782008755</c:v>
                </c:pt>
                <c:pt idx="754">
                  <c:v>1.2344211628811326</c:v>
                </c:pt>
                <c:pt idx="755">
                  <c:v>1.2444124165684309</c:v>
                </c:pt>
                <c:pt idx="756">
                  <c:v>1.217403523760906</c:v>
                </c:pt>
                <c:pt idx="757">
                  <c:v>1.2316980754810902</c:v>
                </c:pt>
                <c:pt idx="758">
                  <c:v>1.2760967837964508</c:v>
                </c:pt>
                <c:pt idx="759">
                  <c:v>1.2626461817152674</c:v>
                </c:pt>
                <c:pt idx="760">
                  <c:v>1.2483118957392809</c:v>
                </c:pt>
                <c:pt idx="761">
                  <c:v>1.302518975609217</c:v>
                </c:pt>
                <c:pt idx="762">
                  <c:v>1.2674354890754733</c:v>
                </c:pt>
                <c:pt idx="763">
                  <c:v>1.2725263516977889</c:v>
                </c:pt>
                <c:pt idx="764">
                  <c:v>1.3021932733270565</c:v>
                </c:pt>
                <c:pt idx="765">
                  <c:v>1.3316200074472964</c:v>
                </c:pt>
                <c:pt idx="766">
                  <c:v>1.3113483580229823</c:v>
                </c:pt>
                <c:pt idx="767">
                  <c:v>1.3280734605272946</c:v>
                </c:pt>
                <c:pt idx="768">
                  <c:v>1.367942037511632</c:v>
                </c:pt>
                <c:pt idx="769">
                  <c:v>1.3212828721990104</c:v>
                </c:pt>
                <c:pt idx="770">
                  <c:v>1.3198579271190993</c:v>
                </c:pt>
                <c:pt idx="771">
                  <c:v>1.3439238106644489</c:v>
                </c:pt>
                <c:pt idx="772">
                  <c:v>1.3404121464564474</c:v>
                </c:pt>
                <c:pt idx="773">
                  <c:v>1.312696486699422</c:v>
                </c:pt>
                <c:pt idx="774">
                  <c:v>1.292269957615038</c:v>
                </c:pt>
                <c:pt idx="775">
                  <c:v>1.2738484209455356</c:v>
                </c:pt>
                <c:pt idx="776">
                  <c:v>1.246285576905191</c:v>
                </c:pt>
                <c:pt idx="777">
                  <c:v>1.2491235031811174</c:v>
                </c:pt>
                <c:pt idx="778">
                  <c:v>1.2168028179340493</c:v>
                </c:pt>
                <c:pt idx="779">
                  <c:v>1.2227681033875897</c:v>
                </c:pt>
                <c:pt idx="780">
                  <c:v>1.1965500332538161</c:v>
                </c:pt>
                <c:pt idx="781">
                  <c:v>1.1775913154105249</c:v>
                </c:pt>
                <c:pt idx="782">
                  <c:v>1.1813682727003088</c:v>
                </c:pt>
                <c:pt idx="783">
                  <c:v>1.1692483216707843</c:v>
                </c:pt>
                <c:pt idx="784">
                  <c:v>1.1482858821808681</c:v>
                </c:pt>
                <c:pt idx="785">
                  <c:v>1.1559249731782493</c:v>
                </c:pt>
                <c:pt idx="786">
                  <c:v>1.1322757707157682</c:v>
                </c:pt>
                <c:pt idx="787">
                  <c:v>1.1087234832325203</c:v>
                </c:pt>
                <c:pt idx="788">
                  <c:v>1.1203251229379338</c:v>
                </c:pt>
                <c:pt idx="789">
                  <c:v>1.0956371245651932</c:v>
                </c:pt>
                <c:pt idx="790">
                  <c:v>1.0712413242931866</c:v>
                </c:pt>
                <c:pt idx="791">
                  <c:v>1.1015492177835888</c:v>
                </c:pt>
                <c:pt idx="792">
                  <c:v>1.1150722767553432</c:v>
                </c:pt>
                <c:pt idx="793">
                  <c:v>1.0553979405779992</c:v>
                </c:pt>
                <c:pt idx="794">
                  <c:v>1.0349434875950014</c:v>
                </c:pt>
                <c:pt idx="795">
                  <c:v>1.0604537394015676</c:v>
                </c:pt>
                <c:pt idx="796">
                  <c:v>1.1022737955749171</c:v>
                </c:pt>
                <c:pt idx="797">
                  <c:v>1.1011383483941055</c:v>
                </c:pt>
                <c:pt idx="798">
                  <c:v>1.0856613157798691</c:v>
                </c:pt>
                <c:pt idx="799">
                  <c:v>1.0925985333623796</c:v>
                </c:pt>
                <c:pt idx="800">
                  <c:v>1.0472290900934966</c:v>
                </c:pt>
                <c:pt idx="801">
                  <c:v>1.0352110411770117</c:v>
                </c:pt>
                <c:pt idx="802">
                  <c:v>1.0553161056381484</c:v>
                </c:pt>
                <c:pt idx="803">
                  <c:v>1.0354209673812371</c:v>
                </c:pt>
                <c:pt idx="804">
                  <c:v>1.0309610495477795</c:v>
                </c:pt>
                <c:pt idx="805">
                  <c:v>1.0024043371424751</c:v>
                </c:pt>
                <c:pt idx="806">
                  <c:v>0.94937454271011024</c:v>
                </c:pt>
                <c:pt idx="807">
                  <c:v>0.91226523194855125</c:v>
                </c:pt>
                <c:pt idx="808">
                  <c:v>0.91733110428220843</c:v>
                </c:pt>
                <c:pt idx="809">
                  <c:v>0.92001334370644183</c:v>
                </c:pt>
                <c:pt idx="810">
                  <c:v>0.90552999816194535</c:v>
                </c:pt>
                <c:pt idx="811">
                  <c:v>0.91126013104077097</c:v>
                </c:pt>
                <c:pt idx="812">
                  <c:v>0.89346588259021387</c:v>
                </c:pt>
                <c:pt idx="813">
                  <c:v>0.89903467792124281</c:v>
                </c:pt>
                <c:pt idx="814">
                  <c:v>0.91771340709951776</c:v>
                </c:pt>
                <c:pt idx="815">
                  <c:v>0.89845647219331348</c:v>
                </c:pt>
                <c:pt idx="816">
                  <c:v>0.872776191551631</c:v>
                </c:pt>
                <c:pt idx="817">
                  <c:v>0.88040022636212678</c:v>
                </c:pt>
                <c:pt idx="818">
                  <c:v>0.85038076735038715</c:v>
                </c:pt>
                <c:pt idx="819">
                  <c:v>0.88419929588834068</c:v>
                </c:pt>
                <c:pt idx="820">
                  <c:v>0.91626426348144996</c:v>
                </c:pt>
                <c:pt idx="821">
                  <c:v>0.93544798924198336</c:v>
                </c:pt>
                <c:pt idx="822">
                  <c:v>0.91822944586253918</c:v>
                </c:pt>
                <c:pt idx="823">
                  <c:v>0.9476163975054045</c:v>
                </c:pt>
                <c:pt idx="824">
                  <c:v>0.96200675438709482</c:v>
                </c:pt>
                <c:pt idx="825">
                  <c:v>0.96879432644235852</c:v>
                </c:pt>
                <c:pt idx="826">
                  <c:v>0.96946846278891707</c:v>
                </c:pt>
                <c:pt idx="827">
                  <c:v>0.96254854109656629</c:v>
                </c:pt>
                <c:pt idx="828">
                  <c:v>0.91484537316882919</c:v>
                </c:pt>
                <c:pt idx="829">
                  <c:v>0.91169506072616602</c:v>
                </c:pt>
                <c:pt idx="830">
                  <c:v>0.91094619927478149</c:v>
                </c:pt>
                <c:pt idx="831">
                  <c:v>0.90291845959135697</c:v>
                </c:pt>
                <c:pt idx="832">
                  <c:v>0.9165472801535901</c:v>
                </c:pt>
                <c:pt idx="833">
                  <c:v>0.92508618706843193</c:v>
                </c:pt>
                <c:pt idx="834">
                  <c:v>0.9149519702329153</c:v>
                </c:pt>
                <c:pt idx="835">
                  <c:v>0.94205925427286652</c:v>
                </c:pt>
                <c:pt idx="836">
                  <c:v>0.92682771016524734</c:v>
                </c:pt>
                <c:pt idx="837">
                  <c:v>0.94168458572098435</c:v>
                </c:pt>
                <c:pt idx="838">
                  <c:v>0.9496577522878985</c:v>
                </c:pt>
                <c:pt idx="839">
                  <c:v>0.94447267095944298</c:v>
                </c:pt>
                <c:pt idx="840">
                  <c:v>0.94793219519990901</c:v>
                </c:pt>
                <c:pt idx="841">
                  <c:v>0.91507523715479844</c:v>
                </c:pt>
                <c:pt idx="842">
                  <c:v>0.93047439775052576</c:v>
                </c:pt>
                <c:pt idx="843">
                  <c:v>0.91321879406354223</c:v>
                </c:pt>
                <c:pt idx="844">
                  <c:v>0.94934232873935731</c:v>
                </c:pt>
                <c:pt idx="845">
                  <c:v>1.0034206488232862</c:v>
                </c:pt>
                <c:pt idx="846">
                  <c:v>1.0187241626137815</c:v>
                </c:pt>
                <c:pt idx="847">
                  <c:v>1.0033493883958806</c:v>
                </c:pt>
                <c:pt idx="848">
                  <c:v>1.0276777042422323</c:v>
                </c:pt>
                <c:pt idx="849">
                  <c:v>1.0436573024628544</c:v>
                </c:pt>
                <c:pt idx="850">
                  <c:v>1.0675613682163299</c:v>
                </c:pt>
                <c:pt idx="851">
                  <c:v>1.0940254717434088</c:v>
                </c:pt>
                <c:pt idx="852">
                  <c:v>1.0883830746085168</c:v>
                </c:pt>
                <c:pt idx="853">
                  <c:v>1.1068076404477187</c:v>
                </c:pt>
                <c:pt idx="854">
                  <c:v>1.1172360174936291</c:v>
                </c:pt>
                <c:pt idx="855">
                  <c:v>1.1186978071086804</c:v>
                </c:pt>
                <c:pt idx="856">
                  <c:v>1.0871939903690959</c:v>
                </c:pt>
                <c:pt idx="857">
                  <c:v>1.1351857891188282</c:v>
                </c:pt>
                <c:pt idx="858">
                  <c:v>1.1350543696650921</c:v>
                </c:pt>
                <c:pt idx="859">
                  <c:v>1.1365641929588657</c:v>
                </c:pt>
                <c:pt idx="860">
                  <c:v>1.1551873336839082</c:v>
                </c:pt>
                <c:pt idx="861">
                  <c:v>1.146233753067341</c:v>
                </c:pt>
                <c:pt idx="862">
                  <c:v>1.1446318348564672</c:v>
                </c:pt>
                <c:pt idx="863">
                  <c:v>1.1251925299213452</c:v>
                </c:pt>
                <c:pt idx="864">
                  <c:v>1.1310266398529727</c:v>
                </c:pt>
                <c:pt idx="865">
                  <c:v>1.0866704205895394</c:v>
                </c:pt>
                <c:pt idx="866">
                  <c:v>1.0638585401190219</c:v>
                </c:pt>
                <c:pt idx="867">
                  <c:v>1.0794212198621911</c:v>
                </c:pt>
                <c:pt idx="868">
                  <c:v>1.0770593725735536</c:v>
                </c:pt>
                <c:pt idx="869">
                  <c:v>1.0619035685435518</c:v>
                </c:pt>
                <c:pt idx="870">
                  <c:v>1.083088962165603</c:v>
                </c:pt>
                <c:pt idx="871">
                  <c:v>1.0738481865376521</c:v>
                </c:pt>
                <c:pt idx="872">
                  <c:v>1.0559814430606085</c:v>
                </c:pt>
                <c:pt idx="873">
                  <c:v>1.0873359150614892</c:v>
                </c:pt>
                <c:pt idx="874">
                  <c:v>1.0661597272652965</c:v>
                </c:pt>
                <c:pt idx="875">
                  <c:v>1.0268843342912459</c:v>
                </c:pt>
                <c:pt idx="876">
                  <c:v>1.0028316101815424</c:v>
                </c:pt>
                <c:pt idx="877">
                  <c:v>1.0269333672086596</c:v>
                </c:pt>
                <c:pt idx="878">
                  <c:v>1.0176771021744619</c:v>
                </c:pt>
                <c:pt idx="879">
                  <c:v>0.99329539815517731</c:v>
                </c:pt>
                <c:pt idx="880">
                  <c:v>1.0027231574107633</c:v>
                </c:pt>
                <c:pt idx="881">
                  <c:v>0.98772564415194364</c:v>
                </c:pt>
                <c:pt idx="882">
                  <c:v>1.0140628664199056</c:v>
                </c:pt>
                <c:pt idx="883">
                  <c:v>1.016874718369293</c:v>
                </c:pt>
                <c:pt idx="884">
                  <c:v>1.0633307577138285</c:v>
                </c:pt>
                <c:pt idx="885">
                  <c:v>1.0612091262585226</c:v>
                </c:pt>
                <c:pt idx="886">
                  <c:v>1.0908268412421114</c:v>
                </c:pt>
                <c:pt idx="887">
                  <c:v>1.0882288806126184</c:v>
                </c:pt>
                <c:pt idx="888">
                  <c:v>1.0873983896746171</c:v>
                </c:pt>
                <c:pt idx="889">
                  <c:v>1.1042294565892896</c:v>
                </c:pt>
                <c:pt idx="890">
                  <c:v>1.1174441944923916</c:v>
                </c:pt>
                <c:pt idx="891">
                  <c:v>1.1381552045683618</c:v>
                </c:pt>
                <c:pt idx="892">
                  <c:v>1.1615326768838223</c:v>
                </c:pt>
                <c:pt idx="893">
                  <c:v>1.1223756613619928</c:v>
                </c:pt>
                <c:pt idx="894">
                  <c:v>1.1360312551666905</c:v>
                </c:pt>
                <c:pt idx="895">
                  <c:v>1.1636777992144389</c:v>
                </c:pt>
                <c:pt idx="896">
                  <c:v>1.1448882686096156</c:v>
                </c:pt>
                <c:pt idx="897">
                  <c:v>1.1573319241723017</c:v>
                </c:pt>
                <c:pt idx="898">
                  <c:v>1.1759654388282301</c:v>
                </c:pt>
                <c:pt idx="899">
                  <c:v>1.1384013699819928</c:v>
                </c:pt>
                <c:pt idx="900">
                  <c:v>1.1225077610387733</c:v>
                </c:pt>
                <c:pt idx="901">
                  <c:v>1.1206695430288163</c:v>
                </c:pt>
                <c:pt idx="902">
                  <c:v>1.1024908844809913</c:v>
                </c:pt>
                <c:pt idx="903">
                  <c:v>1.1229862934244657</c:v>
                </c:pt>
                <c:pt idx="904">
                  <c:v>1.1449776095779378</c:v>
                </c:pt>
                <c:pt idx="905">
                  <c:v>1.1316265091066477</c:v>
                </c:pt>
                <c:pt idx="906">
                  <c:v>1.1295633576516104</c:v>
                </c:pt>
                <c:pt idx="907">
                  <c:v>1.1146707184765281</c:v>
                </c:pt>
                <c:pt idx="908">
                  <c:v>1.1107980834702642</c:v>
                </c:pt>
                <c:pt idx="909">
                  <c:v>1.0834884771217637</c:v>
                </c:pt>
                <c:pt idx="910">
                  <c:v>1.0774835714512057</c:v>
                </c:pt>
                <c:pt idx="911">
                  <c:v>1.0396873542639216</c:v>
                </c:pt>
                <c:pt idx="912">
                  <c:v>1.0315935493753239</c:v>
                </c:pt>
                <c:pt idx="913">
                  <c:v>1.0192590993101796</c:v>
                </c:pt>
                <c:pt idx="914">
                  <c:v>1.0237031635169349</c:v>
                </c:pt>
                <c:pt idx="915">
                  <c:v>1.0374677851707936</c:v>
                </c:pt>
                <c:pt idx="916">
                  <c:v>1.0445429214268533</c:v>
                </c:pt>
                <c:pt idx="917">
                  <c:v>1.0405401771520193</c:v>
                </c:pt>
                <c:pt idx="918">
                  <c:v>1.0598947976729118</c:v>
                </c:pt>
                <c:pt idx="919">
                  <c:v>1.0609103258574983</c:v>
                </c:pt>
                <c:pt idx="920">
                  <c:v>1.0456236795313472</c:v>
                </c:pt>
                <c:pt idx="921">
                  <c:v>1.0946620993193978</c:v>
                </c:pt>
                <c:pt idx="922">
                  <c:v>1.0813768296497135</c:v>
                </c:pt>
                <c:pt idx="923">
                  <c:v>1.0969095609754709</c:v>
                </c:pt>
                <c:pt idx="924">
                  <c:v>1.1053532044582646</c:v>
                </c:pt>
                <c:pt idx="925">
                  <c:v>1.10388492352211</c:v>
                </c:pt>
                <c:pt idx="926">
                  <c:v>1.0863532327065104</c:v>
                </c:pt>
                <c:pt idx="927">
                  <c:v>1.0485763357830693</c:v>
                </c:pt>
                <c:pt idx="928">
                  <c:v>1.0389535814680475</c:v>
                </c:pt>
                <c:pt idx="929">
                  <c:v>1.0446934421663889</c:v>
                </c:pt>
                <c:pt idx="930">
                  <c:v>1.0217563841278612</c:v>
                </c:pt>
                <c:pt idx="931">
                  <c:v>1.0255164872969849</c:v>
                </c:pt>
                <c:pt idx="932">
                  <c:v>1.0220478172430372</c:v>
                </c:pt>
                <c:pt idx="933">
                  <c:v>1.0181852344356299</c:v>
                </c:pt>
                <c:pt idx="934">
                  <c:v>1.0098300648551102</c:v>
                </c:pt>
                <c:pt idx="935">
                  <c:v>1.0038055734409068</c:v>
                </c:pt>
                <c:pt idx="936">
                  <c:v>1.0128577196270725</c:v>
                </c:pt>
                <c:pt idx="937">
                  <c:v>1.0167271636329169</c:v>
                </c:pt>
                <c:pt idx="938">
                  <c:v>1.0189738750145567</c:v>
                </c:pt>
                <c:pt idx="939">
                  <c:v>1.0172401592365135</c:v>
                </c:pt>
                <c:pt idx="940">
                  <c:v>1.0060778791738285</c:v>
                </c:pt>
                <c:pt idx="941">
                  <c:v>1.0426055273030201</c:v>
                </c:pt>
                <c:pt idx="942">
                  <c:v>1.0356578407177366</c:v>
                </c:pt>
                <c:pt idx="943">
                  <c:v>1.0870777084617773</c:v>
                </c:pt>
                <c:pt idx="944">
                  <c:v>1.1006218135279453</c:v>
                </c:pt>
                <c:pt idx="945">
                  <c:v>1.0742780675016612</c:v>
                </c:pt>
                <c:pt idx="946">
                  <c:v>1.0891515789434076</c:v>
                </c:pt>
                <c:pt idx="947">
                  <c:v>1.0690823217204246</c:v>
                </c:pt>
                <c:pt idx="948">
                  <c:v>1.0923583563694512</c:v>
                </c:pt>
                <c:pt idx="949">
                  <c:v>1.1108045175325478</c:v>
                </c:pt>
                <c:pt idx="950">
                  <c:v>1.0929026965900845</c:v>
                </c:pt>
                <c:pt idx="951">
                  <c:v>1.0647524639675359</c:v>
                </c:pt>
                <c:pt idx="952">
                  <c:v>1.0762677928827014</c:v>
                </c:pt>
                <c:pt idx="953">
                  <c:v>1.0897757516039741</c:v>
                </c:pt>
                <c:pt idx="954">
                  <c:v>1.1149376241895417</c:v>
                </c:pt>
                <c:pt idx="955">
                  <c:v>1.1184755766972747</c:v>
                </c:pt>
                <c:pt idx="956">
                  <c:v>1.0892542196677784</c:v>
                </c:pt>
                <c:pt idx="957">
                  <c:v>1.1365405626947751</c:v>
                </c:pt>
                <c:pt idx="958">
                  <c:v>1.1401521427806651</c:v>
                </c:pt>
                <c:pt idx="959">
                  <c:v>1.1607502114961143</c:v>
                </c:pt>
                <c:pt idx="960">
                  <c:v>1.1521939046761167</c:v>
                </c:pt>
                <c:pt idx="961">
                  <c:v>1.1774772080760125</c:v>
                </c:pt>
                <c:pt idx="962">
                  <c:v>1.2079982515455867</c:v>
                </c:pt>
                <c:pt idx="963">
                  <c:v>1.1933235302467646</c:v>
                </c:pt>
                <c:pt idx="964">
                  <c:v>1.2007068077391487</c:v>
                </c:pt>
                <c:pt idx="965">
                  <c:v>1.2376675750462016</c:v>
                </c:pt>
                <c:pt idx="966">
                  <c:v>1.2906058759397236</c:v>
                </c:pt>
                <c:pt idx="967">
                  <c:v>1.2696499149431171</c:v>
                </c:pt>
                <c:pt idx="968">
                  <c:v>1.2775979408322089</c:v>
                </c:pt>
                <c:pt idx="969">
                  <c:v>1.2736233994688899</c:v>
                </c:pt>
                <c:pt idx="970">
                  <c:v>1.2666848214803956</c:v>
                </c:pt>
                <c:pt idx="971">
                  <c:v>1.2807964309032245</c:v>
                </c:pt>
                <c:pt idx="972">
                  <c:v>1.294716531657897</c:v>
                </c:pt>
                <c:pt idx="973">
                  <c:v>1.3169602010553441</c:v>
                </c:pt>
                <c:pt idx="974">
                  <c:v>1.3077478255509829</c:v>
                </c:pt>
                <c:pt idx="975">
                  <c:v>1.3838022059999713</c:v>
                </c:pt>
                <c:pt idx="976">
                  <c:v>1.3544531582389392</c:v>
                </c:pt>
                <c:pt idx="977">
                  <c:v>1.2905944378515419</c:v>
                </c:pt>
                <c:pt idx="978">
                  <c:v>1.2744796600281822</c:v>
                </c:pt>
                <c:pt idx="979">
                  <c:v>1.3434916625140505</c:v>
                </c:pt>
                <c:pt idx="980">
                  <c:v>1.3043626741537939</c:v>
                </c:pt>
                <c:pt idx="981">
                  <c:v>1.2883374635255993</c:v>
                </c:pt>
                <c:pt idx="982">
                  <c:v>1.3053253211489086</c:v>
                </c:pt>
                <c:pt idx="983">
                  <c:v>1.3233091297063742</c:v>
                </c:pt>
                <c:pt idx="984">
                  <c:v>1.3259397683169429</c:v>
                </c:pt>
                <c:pt idx="985">
                  <c:v>1.2949148934044528</c:v>
                </c:pt>
                <c:pt idx="986">
                  <c:v>1.291415764430782</c:v>
                </c:pt>
                <c:pt idx="987">
                  <c:v>1.3119883583702336</c:v>
                </c:pt>
                <c:pt idx="988">
                  <c:v>1.2816084749251695</c:v>
                </c:pt>
                <c:pt idx="989">
                  <c:v>1.2626321740700099</c:v>
                </c:pt>
                <c:pt idx="990">
                  <c:v>1.2829305564969968</c:v>
                </c:pt>
                <c:pt idx="991">
                  <c:v>1.3314934075177192</c:v>
                </c:pt>
                <c:pt idx="992">
                  <c:v>1.3507606352009074</c:v>
                </c:pt>
                <c:pt idx="993">
                  <c:v>1.3227479667188928</c:v>
                </c:pt>
                <c:pt idx="994">
                  <c:v>1.3307367324007806</c:v>
                </c:pt>
                <c:pt idx="995">
                  <c:v>1.3001650871673458</c:v>
                </c:pt>
                <c:pt idx="996">
                  <c:v>1.2700220990738287</c:v>
                </c:pt>
                <c:pt idx="997">
                  <c:v>1.3069374597626449</c:v>
                </c:pt>
                <c:pt idx="998">
                  <c:v>1.3282793471477214</c:v>
                </c:pt>
                <c:pt idx="999">
                  <c:v>1.3500333131822291</c:v>
                </c:pt>
                <c:pt idx="1000">
                  <c:v>1.3947180483841386</c:v>
                </c:pt>
                <c:pt idx="1001">
                  <c:v>1.3921892634683395</c:v>
                </c:pt>
                <c:pt idx="1002">
                  <c:v>1.4071075318159925</c:v>
                </c:pt>
                <c:pt idx="1003">
                  <c:v>1.4890412316444674</c:v>
                </c:pt>
                <c:pt idx="1004">
                  <c:v>1.533507940785372</c:v>
                </c:pt>
                <c:pt idx="1005">
                  <c:v>1.5211781881346778</c:v>
                </c:pt>
                <c:pt idx="1006">
                  <c:v>1.5202823947481587</c:v>
                </c:pt>
                <c:pt idx="1007">
                  <c:v>1.5410331905959553</c:v>
                </c:pt>
                <c:pt idx="1008">
                  <c:v>1.5192860778486164</c:v>
                </c:pt>
                <c:pt idx="1009">
                  <c:v>1.5559488357193128</c:v>
                </c:pt>
                <c:pt idx="1010">
                  <c:v>1.5557166872743249</c:v>
                </c:pt>
                <c:pt idx="1011">
                  <c:v>1.5127267426832225</c:v>
                </c:pt>
                <c:pt idx="1012">
                  <c:v>1.5251947373076171</c:v>
                </c:pt>
                <c:pt idx="1013">
                  <c:v>1.5725886120628325</c:v>
                </c:pt>
                <c:pt idx="1014">
                  <c:v>1.5685437922487564</c:v>
                </c:pt>
                <c:pt idx="1015">
                  <c:v>1.5958723210815695</c:v>
                </c:pt>
                <c:pt idx="1016">
                  <c:v>1.6238373129928596</c:v>
                </c:pt>
                <c:pt idx="1017">
                  <c:v>1.6315521397818529</c:v>
                </c:pt>
                <c:pt idx="1018">
                  <c:v>1.6154701697665412</c:v>
                </c:pt>
                <c:pt idx="1019">
                  <c:v>1.5968170473612739</c:v>
                </c:pt>
                <c:pt idx="1020">
                  <c:v>1.6180925067261744</c:v>
                </c:pt>
                <c:pt idx="1021">
                  <c:v>1.5997364327468204</c:v>
                </c:pt>
                <c:pt idx="1022">
                  <c:v>1.6071655036191224</c:v>
                </c:pt>
                <c:pt idx="1023">
                  <c:v>1.5861416633410073</c:v>
                </c:pt>
                <c:pt idx="1024">
                  <c:v>1.584577134457956</c:v>
                </c:pt>
                <c:pt idx="1025">
                  <c:v>1.5995887421640644</c:v>
                </c:pt>
                <c:pt idx="1026">
                  <c:v>1.5587718698479647</c:v>
                </c:pt>
                <c:pt idx="1027">
                  <c:v>1.5690948401735492</c:v>
                </c:pt>
                <c:pt idx="1028">
                  <c:v>1.5197055862782045</c:v>
                </c:pt>
                <c:pt idx="1029">
                  <c:v>1.5860593934785689</c:v>
                </c:pt>
                <c:pt idx="1030">
                  <c:v>1.5863285295839817</c:v>
                </c:pt>
                <c:pt idx="1031">
                  <c:v>1.6253562486951258</c:v>
                </c:pt>
                <c:pt idx="1032">
                  <c:v>1.6403471353492576</c:v>
                </c:pt>
                <c:pt idx="1033">
                  <c:v>1.6338450646523184</c:v>
                </c:pt>
                <c:pt idx="1034">
                  <c:v>1.5446421948759017</c:v>
                </c:pt>
                <c:pt idx="1035">
                  <c:v>1.5064734304500249</c:v>
                </c:pt>
                <c:pt idx="1036">
                  <c:v>1.4871368168323174</c:v>
                </c:pt>
                <c:pt idx="1037">
                  <c:v>1.482152739671998</c:v>
                </c:pt>
                <c:pt idx="1038">
                  <c:v>1.4711920179953371</c:v>
                </c:pt>
                <c:pt idx="1039">
                  <c:v>1.4709759089067562</c:v>
                </c:pt>
                <c:pt idx="1040">
                  <c:v>1.4455873178463827</c:v>
                </c:pt>
                <c:pt idx="1041">
                  <c:v>1.3723810939735055</c:v>
                </c:pt>
                <c:pt idx="1042">
                  <c:v>1.3525850715819885</c:v>
                </c:pt>
                <c:pt idx="1043">
                  <c:v>1.3612898216767781</c:v>
                </c:pt>
                <c:pt idx="1044">
                  <c:v>1.3752677649865639</c:v>
                </c:pt>
                <c:pt idx="1045">
                  <c:v>1.4221367192510161</c:v>
                </c:pt>
                <c:pt idx="1046">
                  <c:v>1.4327093348868749</c:v>
                </c:pt>
                <c:pt idx="1047">
                  <c:v>1.4053242984961409</c:v>
                </c:pt>
                <c:pt idx="1048">
                  <c:v>1.3676855065704214</c:v>
                </c:pt>
                <c:pt idx="1049">
                  <c:v>1.3877157089876915</c:v>
                </c:pt>
                <c:pt idx="1050">
                  <c:v>1.3704543577864123</c:v>
                </c:pt>
                <c:pt idx="1051">
                  <c:v>1.3576526058563334</c:v>
                </c:pt>
                <c:pt idx="1052">
                  <c:v>1.3577437575503974</c:v>
                </c:pt>
                <c:pt idx="1053">
                  <c:v>1.368176820826208</c:v>
                </c:pt>
                <c:pt idx="1054">
                  <c:v>1.3898468424635064</c:v>
                </c:pt>
                <c:pt idx="1055">
                  <c:v>1.3425230821988765</c:v>
                </c:pt>
                <c:pt idx="1056">
                  <c:v>1.2956533636104841</c:v>
                </c:pt>
                <c:pt idx="1057">
                  <c:v>1.3150848393603047</c:v>
                </c:pt>
                <c:pt idx="1058">
                  <c:v>1.360807143156427</c:v>
                </c:pt>
                <c:pt idx="1059">
                  <c:v>1.3352646808237163</c:v>
                </c:pt>
                <c:pt idx="1060">
                  <c:v>1.349041613472292</c:v>
                </c:pt>
                <c:pt idx="1061">
                  <c:v>1.3352724648478309</c:v>
                </c:pt>
                <c:pt idx="1062">
                  <c:v>1.3298345371463229</c:v>
                </c:pt>
                <c:pt idx="1063">
                  <c:v>1.290444858266204</c:v>
                </c:pt>
                <c:pt idx="1064">
                  <c:v>1.2742945726399131</c:v>
                </c:pt>
                <c:pt idx="1065">
                  <c:v>1.2761493166395592</c:v>
                </c:pt>
                <c:pt idx="1066">
                  <c:v>1.3016336451148625</c:v>
                </c:pt>
                <c:pt idx="1067">
                  <c:v>1.3186192642028307</c:v>
                </c:pt>
                <c:pt idx="1068">
                  <c:v>1.3135188136717413</c:v>
                </c:pt>
                <c:pt idx="1069">
                  <c:v>1.3180040300215783</c:v>
                </c:pt>
                <c:pt idx="1070">
                  <c:v>1.3292551668506734</c:v>
                </c:pt>
                <c:pt idx="1071">
                  <c:v>1.2980077786837936</c:v>
                </c:pt>
                <c:pt idx="1072">
                  <c:v>1.3673983155750169</c:v>
                </c:pt>
                <c:pt idx="1073">
                  <c:v>1.3586846072185723</c:v>
                </c:pt>
                <c:pt idx="1074">
                  <c:v>1.3284684838239389</c:v>
                </c:pt>
                <c:pt idx="1075">
                  <c:v>1.3251936539703328</c:v>
                </c:pt>
                <c:pt idx="1076">
                  <c:v>1.3190849901940676</c:v>
                </c:pt>
                <c:pt idx="1077">
                  <c:v>1.283458846969677</c:v>
                </c:pt>
                <c:pt idx="1078">
                  <c:v>1.2265747882145168</c:v>
                </c:pt>
                <c:pt idx="1079">
                  <c:v>1.2296485472426071</c:v>
                </c:pt>
                <c:pt idx="1080">
                  <c:v>1.2224215290967115</c:v>
                </c:pt>
                <c:pt idx="1081">
                  <c:v>1.2051387335684063</c:v>
                </c:pt>
                <c:pt idx="1082">
                  <c:v>1.1794782023450117</c:v>
                </c:pt>
                <c:pt idx="1083">
                  <c:v>1.2110113882673434</c:v>
                </c:pt>
                <c:pt idx="1084">
                  <c:v>1.1966286542952378</c:v>
                </c:pt>
                <c:pt idx="1085">
                  <c:v>1.1902420708678685</c:v>
                </c:pt>
                <c:pt idx="1086">
                  <c:v>1.2251914268273503</c:v>
                </c:pt>
                <c:pt idx="1087">
                  <c:v>1.1952060317133086</c:v>
                </c:pt>
                <c:pt idx="1088">
                  <c:v>1.2025357674150965</c:v>
                </c:pt>
                <c:pt idx="1089">
                  <c:v>1.1764635486645203</c:v>
                </c:pt>
                <c:pt idx="1090">
                  <c:v>1.1662761600945779</c:v>
                </c:pt>
                <c:pt idx="1091">
                  <c:v>1.129700562570302</c:v>
                </c:pt>
                <c:pt idx="1092">
                  <c:v>1.0950494780233471</c:v>
                </c:pt>
                <c:pt idx="1093">
                  <c:v>1.0687187598858083</c:v>
                </c:pt>
                <c:pt idx="1094">
                  <c:v>1.085409287979509</c:v>
                </c:pt>
                <c:pt idx="1095">
                  <c:v>1.1026097596765014</c:v>
                </c:pt>
                <c:pt idx="1096">
                  <c:v>1.0797841789474114</c:v>
                </c:pt>
                <c:pt idx="1097">
                  <c:v>1.0855446306247309</c:v>
                </c:pt>
                <c:pt idx="1098">
                  <c:v>1.1157712631570766</c:v>
                </c:pt>
                <c:pt idx="1099">
                  <c:v>1.1304916763199102</c:v>
                </c:pt>
                <c:pt idx="1100">
                  <c:v>1.1466146008600402</c:v>
                </c:pt>
                <c:pt idx="1101">
                  <c:v>1.1550942481984914</c:v>
                </c:pt>
                <c:pt idx="1102">
                  <c:v>1.1074949294479297</c:v>
                </c:pt>
                <c:pt idx="1103">
                  <c:v>1.0665645885356241</c:v>
                </c:pt>
                <c:pt idx="1104">
                  <c:v>1.0149848265374464</c:v>
                </c:pt>
                <c:pt idx="1105">
                  <c:v>1.047761472324942</c:v>
                </c:pt>
                <c:pt idx="1106">
                  <c:v>1.0393447396223801</c:v>
                </c:pt>
                <c:pt idx="1107">
                  <c:v>0.98780472247704154</c:v>
                </c:pt>
                <c:pt idx="1108">
                  <c:v>1.0202415756847916</c:v>
                </c:pt>
                <c:pt idx="1109">
                  <c:v>0.98725373933004823</c:v>
                </c:pt>
                <c:pt idx="1110">
                  <c:v>0.95813048846880189</c:v>
                </c:pt>
                <c:pt idx="1111">
                  <c:v>0.97314558697112641</c:v>
                </c:pt>
                <c:pt idx="1112">
                  <c:v>1.0028935634058962</c:v>
                </c:pt>
                <c:pt idx="1113">
                  <c:v>0.9773923634006163</c:v>
                </c:pt>
                <c:pt idx="1114">
                  <c:v>0.96240552354679965</c:v>
                </c:pt>
                <c:pt idx="1115">
                  <c:v>0.96525248756765758</c:v>
                </c:pt>
                <c:pt idx="1116">
                  <c:v>0.96440889742591474</c:v>
                </c:pt>
                <c:pt idx="1117">
                  <c:v>0.96740868607303654</c:v>
                </c:pt>
                <c:pt idx="1118">
                  <c:v>0.9676720942711905</c:v>
                </c:pt>
                <c:pt idx="1119">
                  <c:v>0.95415663535929485</c:v>
                </c:pt>
                <c:pt idx="1120">
                  <c:v>0.96698230633049276</c:v>
                </c:pt>
                <c:pt idx="1121">
                  <c:v>0.97667319336757419</c:v>
                </c:pt>
                <c:pt idx="1122">
                  <c:v>1.002193614903172</c:v>
                </c:pt>
                <c:pt idx="1123">
                  <c:v>0.98217529078834276</c:v>
                </c:pt>
                <c:pt idx="1124">
                  <c:v>0.98886984809220779</c:v>
                </c:pt>
                <c:pt idx="1125">
                  <c:v>1.0045569332261464</c:v>
                </c:pt>
                <c:pt idx="1126">
                  <c:v>1.0471170122507154</c:v>
                </c:pt>
                <c:pt idx="1127">
                  <c:v>1.0720747755201416</c:v>
                </c:pt>
                <c:pt idx="1128">
                  <c:v>1.0579543920071719</c:v>
                </c:pt>
                <c:pt idx="1129">
                  <c:v>1.0236096488195787</c:v>
                </c:pt>
                <c:pt idx="1130">
                  <c:v>1.0543818180597226</c:v>
                </c:pt>
                <c:pt idx="1131">
                  <c:v>1.0742350834512187</c:v>
                </c:pt>
                <c:pt idx="1132">
                  <c:v>1.0881595757883615</c:v>
                </c:pt>
                <c:pt idx="1133">
                  <c:v>1.1165772742846796</c:v>
                </c:pt>
                <c:pt idx="1134">
                  <c:v>1.1125529488875154</c:v>
                </c:pt>
                <c:pt idx="1135">
                  <c:v>1.0907278278809671</c:v>
                </c:pt>
                <c:pt idx="1136">
                  <c:v>1.0774490611510432</c:v>
                </c:pt>
                <c:pt idx="1137">
                  <c:v>1.0622128691889776</c:v>
                </c:pt>
                <c:pt idx="1138">
                  <c:v>1.029869430787288</c:v>
                </c:pt>
                <c:pt idx="1139">
                  <c:v>1.0570516024181182</c:v>
                </c:pt>
                <c:pt idx="1140">
                  <c:v>1.0502291829660453</c:v>
                </c:pt>
                <c:pt idx="1141">
                  <c:v>1.0419757653577109</c:v>
                </c:pt>
                <c:pt idx="1142">
                  <c:v>1.03646204553718</c:v>
                </c:pt>
                <c:pt idx="1143">
                  <c:v>1.0283014636185224</c:v>
                </c:pt>
                <c:pt idx="1144">
                  <c:v>1.0334865626885661</c:v>
                </c:pt>
                <c:pt idx="1145">
                  <c:v>1.0179966692105851</c:v>
                </c:pt>
                <c:pt idx="1146">
                  <c:v>1.0074991585395614</c:v>
                </c:pt>
                <c:pt idx="1147">
                  <c:v>1.006476926244942</c:v>
                </c:pt>
                <c:pt idx="1148">
                  <c:v>0.96595265225457205</c:v>
                </c:pt>
                <c:pt idx="1149">
                  <c:v>0.98760271427374713</c:v>
                </c:pt>
                <c:pt idx="1150">
                  <c:v>0.9293215980238706</c:v>
                </c:pt>
                <c:pt idx="1151">
                  <c:v>0.93255778143923451</c:v>
                </c:pt>
                <c:pt idx="1152">
                  <c:v>0.94721014593619057</c:v>
                </c:pt>
                <c:pt idx="1153">
                  <c:v>0.94263927518492652</c:v>
                </c:pt>
                <c:pt idx="1154">
                  <c:v>0.91498365376271806</c:v>
                </c:pt>
                <c:pt idx="1155">
                  <c:v>0.90626989689892645</c:v>
                </c:pt>
                <c:pt idx="1156">
                  <c:v>0.91643736152567579</c:v>
                </c:pt>
                <c:pt idx="1157">
                  <c:v>0.95073862260938569</c:v>
                </c:pt>
                <c:pt idx="1158">
                  <c:v>0.97773489257364454</c:v>
                </c:pt>
                <c:pt idx="1159">
                  <c:v>1.0260380951725556</c:v>
                </c:pt>
                <c:pt idx="1160">
                  <c:v>0.97780313467444702</c:v>
                </c:pt>
                <c:pt idx="1161">
                  <c:v>0.96659285830243447</c:v>
                </c:pt>
                <c:pt idx="1162">
                  <c:v>0.94441437748634705</c:v>
                </c:pt>
                <c:pt idx="1163">
                  <c:v>0.94708093237365254</c:v>
                </c:pt>
                <c:pt idx="1164">
                  <c:v>0.95784645834144355</c:v>
                </c:pt>
                <c:pt idx="1165">
                  <c:v>0.9808035398307301</c:v>
                </c:pt>
                <c:pt idx="1166">
                  <c:v>0.9988270658399222</c:v>
                </c:pt>
                <c:pt idx="1167">
                  <c:v>1.0096915617607987</c:v>
                </c:pt>
                <c:pt idx="1168">
                  <c:v>1.0278144704877394</c:v>
                </c:pt>
                <c:pt idx="1169">
                  <c:v>1.0177986228276772</c:v>
                </c:pt>
                <c:pt idx="1170">
                  <c:v>1.0195883885177481</c:v>
                </c:pt>
                <c:pt idx="1171">
                  <c:v>1.0631579528057047</c:v>
                </c:pt>
                <c:pt idx="1172">
                  <c:v>1.0758211919482994</c:v>
                </c:pt>
                <c:pt idx="1173">
                  <c:v>1.0667862406916642</c:v>
                </c:pt>
                <c:pt idx="1174">
                  <c:v>1.0755981480874801</c:v>
                </c:pt>
                <c:pt idx="1175">
                  <c:v>1.099759167322697</c:v>
                </c:pt>
                <c:pt idx="1176">
                  <c:v>1.1029697461089061</c:v>
                </c:pt>
                <c:pt idx="1177">
                  <c:v>1.0930426108461653</c:v>
                </c:pt>
                <c:pt idx="1178">
                  <c:v>1.0867649808739692</c:v>
                </c:pt>
                <c:pt idx="1179">
                  <c:v>1.0697268120284242</c:v>
                </c:pt>
                <c:pt idx="1180">
                  <c:v>1.0761491842433959</c:v>
                </c:pt>
                <c:pt idx="1181">
                  <c:v>1.0852736190375702</c:v>
                </c:pt>
                <c:pt idx="1182">
                  <c:v>1.054353364642054</c:v>
                </c:pt>
                <c:pt idx="1183">
                  <c:v>1.0604585627879801</c:v>
                </c:pt>
                <c:pt idx="1184">
                  <c:v>1.0229593982409424</c:v>
                </c:pt>
                <c:pt idx="1185">
                  <c:v>1.0203448398233725</c:v>
                </c:pt>
                <c:pt idx="1186">
                  <c:v>1.0052978877843641</c:v>
                </c:pt>
                <c:pt idx="1187">
                  <c:v>1.0180655971087333</c:v>
                </c:pt>
                <c:pt idx="1188">
                  <c:v>1.0035239686995581</c:v>
                </c:pt>
                <c:pt idx="1189">
                  <c:v>1.0412715843024118</c:v>
                </c:pt>
                <c:pt idx="1190">
                  <c:v>1.0440819476821086</c:v>
                </c:pt>
                <c:pt idx="1191">
                  <c:v>1.0696840729936044</c:v>
                </c:pt>
                <c:pt idx="1192">
                  <c:v>1.0489908975810784</c:v>
                </c:pt>
                <c:pt idx="1193">
                  <c:v>1.0586315912456934</c:v>
                </c:pt>
                <c:pt idx="1194">
                  <c:v>1.0426323454806177</c:v>
                </c:pt>
                <c:pt idx="1195">
                  <c:v>1.0468960557795404</c:v>
                </c:pt>
                <c:pt idx="1196">
                  <c:v>1.0330174140072264</c:v>
                </c:pt>
                <c:pt idx="1197">
                  <c:v>1.0398134410055087</c:v>
                </c:pt>
                <c:pt idx="1198">
                  <c:v>1.0739609833206196</c:v>
                </c:pt>
                <c:pt idx="1199">
                  <c:v>1.0640559687738465</c:v>
                </c:pt>
                <c:pt idx="1200">
                  <c:v>1.0890830301477428</c:v>
                </c:pt>
                <c:pt idx="1201">
                  <c:v>1.1011810013366168</c:v>
                </c:pt>
                <c:pt idx="1202">
                  <c:v>1.0968293365472328</c:v>
                </c:pt>
                <c:pt idx="1203">
                  <c:v>1.0824089936118397</c:v>
                </c:pt>
                <c:pt idx="1204">
                  <c:v>1.0864679613226293</c:v>
                </c:pt>
                <c:pt idx="1205">
                  <c:v>1.1138503101499972</c:v>
                </c:pt>
                <c:pt idx="1206">
                  <c:v>1.1122564343417718</c:v>
                </c:pt>
                <c:pt idx="1207">
                  <c:v>1.1025789296124211</c:v>
                </c:pt>
                <c:pt idx="1208">
                  <c:v>1.0934248621147948</c:v>
                </c:pt>
                <c:pt idx="1209">
                  <c:v>1.0830905508016573</c:v>
                </c:pt>
                <c:pt idx="1210">
                  <c:v>1.0730372484067661</c:v>
                </c:pt>
                <c:pt idx="1211">
                  <c:v>1.0628054773619291</c:v>
                </c:pt>
                <c:pt idx="1212">
                  <c:v>1.0232034104091243</c:v>
                </c:pt>
                <c:pt idx="1213">
                  <c:v>1.0088218816022125</c:v>
                </c:pt>
                <c:pt idx="1214">
                  <c:v>0.99365426639435517</c:v>
                </c:pt>
                <c:pt idx="1215">
                  <c:v>1.0147590163136289</c:v>
                </c:pt>
                <c:pt idx="1216">
                  <c:v>1.0224798194105051</c:v>
                </c:pt>
                <c:pt idx="1217">
                  <c:v>1.0359811608797613</c:v>
                </c:pt>
                <c:pt idx="1218">
                  <c:v>1.0425329661825611</c:v>
                </c:pt>
                <c:pt idx="1219">
                  <c:v>1.053910831978411</c:v>
                </c:pt>
                <c:pt idx="1220">
                  <c:v>1.0273788266432058</c:v>
                </c:pt>
                <c:pt idx="1221">
                  <c:v>1.0650327610185664</c:v>
                </c:pt>
                <c:pt idx="1222">
                  <c:v>1.0629184430918179</c:v>
                </c:pt>
                <c:pt idx="1223">
                  <c:v>1.0681061725744261</c:v>
                </c:pt>
                <c:pt idx="1224">
                  <c:v>1.0806583497180926</c:v>
                </c:pt>
                <c:pt idx="1225">
                  <c:v>1.1069210076896856</c:v>
                </c:pt>
                <c:pt idx="1226">
                  <c:v>1.1214005644402703</c:v>
                </c:pt>
                <c:pt idx="1227">
                  <c:v>1.0980152988749958</c:v>
                </c:pt>
                <c:pt idx="1228">
                  <c:v>1.0911050618658049</c:v>
                </c:pt>
                <c:pt idx="1229">
                  <c:v>1.0633439855018187</c:v>
                </c:pt>
                <c:pt idx="1230">
                  <c:v>1.0422442986652158</c:v>
                </c:pt>
                <c:pt idx="1231">
                  <c:v>1.0325876131189233</c:v>
                </c:pt>
                <c:pt idx="1232">
                  <c:v>1.0253916355308093</c:v>
                </c:pt>
                <c:pt idx="1233">
                  <c:v>1.0121537546115948</c:v>
                </c:pt>
                <c:pt idx="1234">
                  <c:v>1.0106820737370448</c:v>
                </c:pt>
                <c:pt idx="1235">
                  <c:v>0.99598800555553968</c:v>
                </c:pt>
                <c:pt idx="1236">
                  <c:v>0.98956681646310618</c:v>
                </c:pt>
                <c:pt idx="1237">
                  <c:v>0.96864340269146987</c:v>
                </c:pt>
                <c:pt idx="1238">
                  <c:v>0.97242888879911715</c:v>
                </c:pt>
                <c:pt idx="1239">
                  <c:v>0.96274129609025372</c:v>
                </c:pt>
                <c:pt idx="1240">
                  <c:v>0.99380541753727203</c:v>
                </c:pt>
                <c:pt idx="1241">
                  <c:v>1.0132776410747095</c:v>
                </c:pt>
                <c:pt idx="1242">
                  <c:v>0.98260764266170564</c:v>
                </c:pt>
                <c:pt idx="1243">
                  <c:v>0.99997496739347769</c:v>
                </c:pt>
                <c:pt idx="1244">
                  <c:v>0.99422872406498719</c:v>
                </c:pt>
                <c:pt idx="1245">
                  <c:v>0.94675669306339927</c:v>
                </c:pt>
                <c:pt idx="1246">
                  <c:v>0.93738076431617801</c:v>
                </c:pt>
                <c:pt idx="1247">
                  <c:v>0.91134152055358808</c:v>
                </c:pt>
                <c:pt idx="1248">
                  <c:v>0.92249734026242147</c:v>
                </c:pt>
                <c:pt idx="1249">
                  <c:v>0.91162387123558319</c:v>
                </c:pt>
                <c:pt idx="1250">
                  <c:v>0.89957584561707971</c:v>
                </c:pt>
                <c:pt idx="1251">
                  <c:v>0.86549228723055616</c:v>
                </c:pt>
                <c:pt idx="1252">
                  <c:v>0.89627759207933855</c:v>
                </c:pt>
                <c:pt idx="1253">
                  <c:v>0.94171451177127652</c:v>
                </c:pt>
                <c:pt idx="1254">
                  <c:v>0.94715534587529093</c:v>
                </c:pt>
                <c:pt idx="1255">
                  <c:v>0.90582110229984558</c:v>
                </c:pt>
                <c:pt idx="1256">
                  <c:v>0.92065152498677971</c:v>
                </c:pt>
                <c:pt idx="1257">
                  <c:v>0.89509238981812489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E-40E2-96D9-82C28B70D044}"/>
            </c:ext>
          </c:extLst>
        </c:ser>
        <c:ser>
          <c:idx val="1"/>
          <c:order val="1"/>
          <c:tx>
            <c:v>RHI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Számolások!$AD$4:$AD$12560</c:f>
              <c:numCache>
                <c:formatCode>0</c:formatCode>
                <c:ptCount val="12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 formatCode="General">
                  <c:v>1250</c:v>
                </c:pt>
                <c:pt idx="1251" formatCode="General">
                  <c:v>1251</c:v>
                </c:pt>
                <c:pt idx="1252" formatCode="General">
                  <c:v>1252</c:v>
                </c:pt>
                <c:pt idx="1253" formatCode="General">
                  <c:v>1253</c:v>
                </c:pt>
                <c:pt idx="1254" formatCode="General">
                  <c:v>1254</c:v>
                </c:pt>
                <c:pt idx="1255" formatCode="General">
                  <c:v>1255</c:v>
                </c:pt>
                <c:pt idx="1256" formatCode="General">
                  <c:v>1256</c:v>
                </c:pt>
                <c:pt idx="1257" formatCode="General">
                  <c:v>1257</c:v>
                </c:pt>
              </c:numCache>
            </c:numRef>
          </c:xVal>
          <c:yVal>
            <c:numRef>
              <c:f>Számolások!$N$3:$N$1260</c:f>
              <c:numCache>
                <c:formatCode>0.00</c:formatCode>
                <c:ptCount val="1258"/>
                <c:pt idx="0">
                  <c:v>1</c:v>
                </c:pt>
                <c:pt idx="1">
                  <c:v>0.93562081825927101</c:v>
                </c:pt>
                <c:pt idx="2">
                  <c:v>0.9920410153512379</c:v>
                </c:pt>
                <c:pt idx="3">
                  <c:v>0.98868059800706409</c:v>
                </c:pt>
                <c:pt idx="4">
                  <c:v>1.0141492569128183</c:v>
                </c:pt>
                <c:pt idx="5">
                  <c:v>1.0316590196027766</c:v>
                </c:pt>
                <c:pt idx="6">
                  <c:v>1.0291828434880999</c:v>
                </c:pt>
                <c:pt idx="7">
                  <c:v>1.0325433315786465</c:v>
                </c:pt>
                <c:pt idx="8">
                  <c:v>1.0311283687455188</c:v>
                </c:pt>
                <c:pt idx="9">
                  <c:v>1.0366112480259773</c:v>
                </c:pt>
                <c:pt idx="10">
                  <c:v>1.0397948348108448</c:v>
                </c:pt>
                <c:pt idx="11">
                  <c:v>1.0643791817407291</c:v>
                </c:pt>
                <c:pt idx="12">
                  <c:v>1.0765829133961282</c:v>
                </c:pt>
                <c:pt idx="13">
                  <c:v>1.0569507772028517</c:v>
                </c:pt>
                <c:pt idx="14">
                  <c:v>1.0505836743794894</c:v>
                </c:pt>
                <c:pt idx="15">
                  <c:v>1.0672090366606115</c:v>
                </c:pt>
                <c:pt idx="16">
                  <c:v>1.0787053576458197</c:v>
                </c:pt>
                <c:pt idx="17">
                  <c:v>1.0749911200036943</c:v>
                </c:pt>
                <c:pt idx="18">
                  <c:v>1.0739299597819252</c:v>
                </c:pt>
                <c:pt idx="19">
                  <c:v>1.1529890492927302</c:v>
                </c:pt>
                <c:pt idx="20">
                  <c:v>1.1395472030501028</c:v>
                </c:pt>
                <c:pt idx="21">
                  <c:v>1.1230986713282867</c:v>
                </c:pt>
                <c:pt idx="22">
                  <c:v>1.1360099374600294</c:v>
                </c:pt>
                <c:pt idx="23">
                  <c:v>1.1250442142722989</c:v>
                </c:pt>
                <c:pt idx="24">
                  <c:v>1.1259285262481691</c:v>
                </c:pt>
                <c:pt idx="25">
                  <c:v>1.1153165879852036</c:v>
                </c:pt>
                <c:pt idx="26">
                  <c:v>1.1213300473765468</c:v>
                </c:pt>
                <c:pt idx="27">
                  <c:v>1.145030011584188</c:v>
                </c:pt>
                <c:pt idx="28">
                  <c:v>1.1582949565211362</c:v>
                </c:pt>
                <c:pt idx="29">
                  <c:v>1.1722673828746484</c:v>
                </c:pt>
                <c:pt idx="30">
                  <c:v>1.1722673828746484</c:v>
                </c:pt>
                <c:pt idx="31">
                  <c:v>1.1846480688955063</c:v>
                </c:pt>
                <c:pt idx="32">
                  <c:v>1.1929606616031012</c:v>
                </c:pt>
                <c:pt idx="33">
                  <c:v>1.1979130138324547</c:v>
                </c:pt>
                <c:pt idx="34">
                  <c:v>1.1918995013813318</c:v>
                </c:pt>
                <c:pt idx="35">
                  <c:v>1.2072868905679717</c:v>
                </c:pt>
                <c:pt idx="36">
                  <c:v>1.1995047541651087</c:v>
                </c:pt>
                <c:pt idx="37">
                  <c:v>1.1952600071584718</c:v>
                </c:pt>
                <c:pt idx="38">
                  <c:v>1.2074636680674979</c:v>
                </c:pt>
                <c:pt idx="39">
                  <c:v>1.2060488290405231</c:v>
                </c:pt>
                <c:pt idx="40">
                  <c:v>1.2062256065400494</c:v>
                </c:pt>
                <c:pt idx="41">
                  <c:v>1.195436766971405</c:v>
                </c:pt>
                <c:pt idx="42">
                  <c:v>1.1865934703467729</c:v>
                </c:pt>
                <c:pt idx="43">
                  <c:v>1.1634240862500163</c:v>
                </c:pt>
                <c:pt idx="44">
                  <c:v>1.1574106976050462</c:v>
                </c:pt>
                <c:pt idx="45">
                  <c:v>1.1439688513624189</c:v>
                </c:pt>
                <c:pt idx="46">
                  <c:v>1.1498054625078624</c:v>
                </c:pt>
                <c:pt idx="47">
                  <c:v>1.1524584868684387</c:v>
                </c:pt>
                <c:pt idx="48">
                  <c:v>1.1605943020765068</c:v>
                </c:pt>
                <c:pt idx="49">
                  <c:v>1.1556419321605602</c:v>
                </c:pt>
                <c:pt idx="50">
                  <c:v>1.1660770929239992</c:v>
                </c:pt>
                <c:pt idx="51">
                  <c:v>1.1782808953257713</c:v>
                </c:pt>
                <c:pt idx="52">
                  <c:v>1.1795189391666268</c:v>
                </c:pt>
                <c:pt idx="53">
                  <c:v>1.1531658267922564</c:v>
                </c:pt>
                <c:pt idx="54">
                  <c:v>1.1738592470134552</c:v>
                </c:pt>
                <c:pt idx="55">
                  <c:v>1.1271665877756174</c:v>
                </c:pt>
                <c:pt idx="56">
                  <c:v>1.1169083990642308</c:v>
                </c:pt>
                <c:pt idx="57">
                  <c:v>1.1230986713282867</c:v>
                </c:pt>
                <c:pt idx="58">
                  <c:v>1.1183232911509853</c:v>
                </c:pt>
                <c:pt idx="59">
                  <c:v>1.139900881855308</c:v>
                </c:pt>
                <c:pt idx="60">
                  <c:v>1.1524584868684387</c:v>
                </c:pt>
                <c:pt idx="61">
                  <c:v>1.1773965126035282</c:v>
                </c:pt>
                <c:pt idx="62">
                  <c:v>1.1710293213471998</c:v>
                </c:pt>
                <c:pt idx="63">
                  <c:v>1.1963211496936479</c:v>
                </c:pt>
                <c:pt idx="64">
                  <c:v>1.1906614575404764</c:v>
                </c:pt>
                <c:pt idx="65">
                  <c:v>1.1929606616031012</c:v>
                </c:pt>
                <c:pt idx="66">
                  <c:v>1.1874778530690158</c:v>
                </c:pt>
                <c:pt idx="67">
                  <c:v>1.1602404817785554</c:v>
                </c:pt>
                <c:pt idx="68">
                  <c:v>1.1602404817785554</c:v>
                </c:pt>
                <c:pt idx="69">
                  <c:v>1.1759815497704007</c:v>
                </c:pt>
                <c:pt idx="70">
                  <c:v>1.184294266284148</c:v>
                </c:pt>
                <c:pt idx="71">
                  <c:v>1.1848248463950328</c:v>
                </c:pt>
                <c:pt idx="72">
                  <c:v>1.1888928159021432</c:v>
                </c:pt>
                <c:pt idx="73">
                  <c:v>1.1885390132907852</c:v>
                </c:pt>
                <c:pt idx="74">
                  <c:v>1.2053413653105525</c:v>
                </c:pt>
                <c:pt idx="75">
                  <c:v>1.1918995013813318</c:v>
                </c:pt>
                <c:pt idx="76">
                  <c:v>1.2166607673034886</c:v>
                </c:pt>
                <c:pt idx="77">
                  <c:v>1.1142553747036545</c:v>
                </c:pt>
                <c:pt idx="78">
                  <c:v>1.0983374054061301</c:v>
                </c:pt>
                <c:pt idx="79">
                  <c:v>1.1045277661031525</c:v>
                </c:pt>
                <c:pt idx="80">
                  <c:v>1.1016979111832701</c:v>
                </c:pt>
                <c:pt idx="81">
                  <c:v>1.0981605748468242</c:v>
                </c:pt>
                <c:pt idx="82">
                  <c:v>1.0769366452611135</c:v>
                </c:pt>
                <c:pt idx="83">
                  <c:v>1.0845418980448904</c:v>
                </c:pt>
                <c:pt idx="84">
                  <c:v>1.0889635463572065</c:v>
                </c:pt>
                <c:pt idx="85">
                  <c:v>1.0769366452611135</c:v>
                </c:pt>
                <c:pt idx="86">
                  <c:v>1.0507605049387954</c:v>
                </c:pt>
                <c:pt idx="87">
                  <c:v>1.0355500170578349</c:v>
                </c:pt>
                <c:pt idx="88">
                  <c:v>1.0160947998568306</c:v>
                </c:pt>
                <c:pt idx="89">
                  <c:v>1.0205164481691467</c:v>
                </c:pt>
                <c:pt idx="90">
                  <c:v>0.98425894969474803</c:v>
                </c:pt>
                <c:pt idx="91">
                  <c:v>0.99186418479193172</c:v>
                </c:pt>
                <c:pt idx="92">
                  <c:v>0.99080295382378936</c:v>
                </c:pt>
                <c:pt idx="93">
                  <c:v>0.99363280874367166</c:v>
                </c:pt>
                <c:pt idx="94">
                  <c:v>0.99044922195880403</c:v>
                </c:pt>
                <c:pt idx="95">
                  <c:v>0.98761936703892184</c:v>
                </c:pt>
                <c:pt idx="96">
                  <c:v>1.0083126457673746</c:v>
                </c:pt>
                <c:pt idx="97">
                  <c:v>1.0001768305593062</c:v>
                </c:pt>
                <c:pt idx="98">
                  <c:v>0.99398655829525018</c:v>
                </c:pt>
                <c:pt idx="99">
                  <c:v>0.99593208355266927</c:v>
                </c:pt>
                <c:pt idx="100">
                  <c:v>0.9849663603649389</c:v>
                </c:pt>
                <c:pt idx="101">
                  <c:v>0.98178275589347808</c:v>
                </c:pt>
                <c:pt idx="102">
                  <c:v>0.97435442210197354</c:v>
                </c:pt>
                <c:pt idx="103">
                  <c:v>0.94906259375552537</c:v>
                </c:pt>
                <c:pt idx="104">
                  <c:v>0.96551112547734141</c:v>
                </c:pt>
                <c:pt idx="105">
                  <c:v>0.97983730138243197</c:v>
                </c:pt>
                <c:pt idx="106">
                  <c:v>0.97488500221285812</c:v>
                </c:pt>
                <c:pt idx="107">
                  <c:v>0.95879020235602763</c:v>
                </c:pt>
                <c:pt idx="108">
                  <c:v>0.95224618054039312</c:v>
                </c:pt>
                <c:pt idx="109">
                  <c:v>0.9717014154279906</c:v>
                </c:pt>
                <c:pt idx="110">
                  <c:v>0.98956490998293412</c:v>
                </c:pt>
                <c:pt idx="111">
                  <c:v>0.98125219346918657</c:v>
                </c:pt>
                <c:pt idx="112">
                  <c:v>1.0030066854791886</c:v>
                </c:pt>
                <c:pt idx="113">
                  <c:v>0.9948708702711202</c:v>
                </c:pt>
                <c:pt idx="114">
                  <c:v>0.98284398686162033</c:v>
                </c:pt>
                <c:pt idx="115">
                  <c:v>1.0077820833430831</c:v>
                </c:pt>
                <c:pt idx="116">
                  <c:v>1.0047753801773014</c:v>
                </c:pt>
                <c:pt idx="117">
                  <c:v>1.013795525047833</c:v>
                </c:pt>
                <c:pt idx="118">
                  <c:v>0.99416338885455635</c:v>
                </c:pt>
                <c:pt idx="119">
                  <c:v>0.98478951211903942</c:v>
                </c:pt>
                <c:pt idx="120">
                  <c:v>0.98107534522328721</c:v>
                </c:pt>
                <c:pt idx="121">
                  <c:v>0.98797311659050024</c:v>
                </c:pt>
                <c:pt idx="122">
                  <c:v>0.99893878671845093</c:v>
                </c:pt>
                <c:pt idx="123">
                  <c:v>1.0083126457673746</c:v>
                </c:pt>
                <c:pt idx="124">
                  <c:v>1.008666395318953</c:v>
                </c:pt>
                <c:pt idx="125">
                  <c:v>1.0279447819606513</c:v>
                </c:pt>
                <c:pt idx="126">
                  <c:v>1.0258224084573329</c:v>
                </c:pt>
                <c:pt idx="127">
                  <c:v>1.024230615064899</c:v>
                </c:pt>
                <c:pt idx="128">
                  <c:v>1.0143260874721245</c:v>
                </c:pt>
                <c:pt idx="129">
                  <c:v>1.0159178985511514</c:v>
                </c:pt>
                <c:pt idx="130">
                  <c:v>1.013088043631269</c:v>
                </c:pt>
                <c:pt idx="131">
                  <c:v>1.013088043631269</c:v>
                </c:pt>
                <c:pt idx="132">
                  <c:v>1.0362574984743989</c:v>
                </c:pt>
                <c:pt idx="133">
                  <c:v>1.0394410852592664</c:v>
                </c:pt>
                <c:pt idx="134">
                  <c:v>1.0447470632340456</c:v>
                </c:pt>
                <c:pt idx="135">
                  <c:v>1.0304208873289551</c:v>
                </c:pt>
                <c:pt idx="136">
                  <c:v>1.028652263377215</c:v>
                </c:pt>
                <c:pt idx="137">
                  <c:v>1.0194552172010045</c:v>
                </c:pt>
                <c:pt idx="138">
                  <c:v>1.0146798370237029</c:v>
                </c:pt>
                <c:pt idx="139">
                  <c:v>1.039971665370151</c:v>
                </c:pt>
                <c:pt idx="140">
                  <c:v>1.1091262449747747</c:v>
                </c:pt>
                <c:pt idx="141">
                  <c:v>1.0746373704521159</c:v>
                </c:pt>
                <c:pt idx="142">
                  <c:v>1.0808277311491381</c:v>
                </c:pt>
                <c:pt idx="143">
                  <c:v>1.0675627862121899</c:v>
                </c:pt>
                <c:pt idx="144">
                  <c:v>1.0829501046524566</c:v>
                </c:pt>
                <c:pt idx="145">
                  <c:v>1.0684470981880598</c:v>
                </c:pt>
                <c:pt idx="146">
                  <c:v>1.0447470632340456</c:v>
                </c:pt>
                <c:pt idx="147">
                  <c:v>1.0228157229781443</c:v>
                </c:pt>
                <c:pt idx="148">
                  <c:v>0.99027239139949785</c:v>
                </c:pt>
                <c:pt idx="149">
                  <c:v>0.98956490998293412</c:v>
                </c:pt>
                <c:pt idx="150">
                  <c:v>0.9934559074379925</c:v>
                </c:pt>
                <c:pt idx="151">
                  <c:v>1.0192783866416981</c:v>
                </c:pt>
                <c:pt idx="152">
                  <c:v>1.0040678987607377</c:v>
                </c:pt>
                <c:pt idx="153">
                  <c:v>0.99186418479193172</c:v>
                </c:pt>
                <c:pt idx="154">
                  <c:v>1.0010611425351761</c:v>
                </c:pt>
                <c:pt idx="155">
                  <c:v>0.95383797393282688</c:v>
                </c:pt>
                <c:pt idx="156">
                  <c:v>0.94906259375552537</c:v>
                </c:pt>
                <c:pt idx="157">
                  <c:v>0.97347011012610352</c:v>
                </c:pt>
                <c:pt idx="158">
                  <c:v>0.98620440420579414</c:v>
                </c:pt>
                <c:pt idx="159">
                  <c:v>0.97629996504598582</c:v>
                </c:pt>
                <c:pt idx="160">
                  <c:v>0.97665369691097115</c:v>
                </c:pt>
                <c:pt idx="161">
                  <c:v>0.96480364406077745</c:v>
                </c:pt>
                <c:pt idx="162">
                  <c:v>0.93880440504413865</c:v>
                </c:pt>
                <c:pt idx="163">
                  <c:v>0.94039612769019942</c:v>
                </c:pt>
                <c:pt idx="164">
                  <c:v>0.93562081825927101</c:v>
                </c:pt>
                <c:pt idx="165">
                  <c:v>0.94004246657158719</c:v>
                </c:pt>
                <c:pt idx="166">
                  <c:v>0.94464094544320931</c:v>
                </c:pt>
                <c:pt idx="167">
                  <c:v>0.94570215872475849</c:v>
                </c:pt>
                <c:pt idx="168">
                  <c:v>0.9220021237707442</c:v>
                </c:pt>
                <c:pt idx="169">
                  <c:v>0.93562081825927101</c:v>
                </c:pt>
                <c:pt idx="170">
                  <c:v>0.95808272093946378</c:v>
                </c:pt>
                <c:pt idx="171">
                  <c:v>0.94464094544320931</c:v>
                </c:pt>
                <c:pt idx="172">
                  <c:v>0.97665369691097115</c:v>
                </c:pt>
                <c:pt idx="173">
                  <c:v>0.99080295382378936</c:v>
                </c:pt>
                <c:pt idx="174">
                  <c:v>1.0058365403990708</c:v>
                </c:pt>
                <c:pt idx="175">
                  <c:v>0.98390520014316951</c:v>
                </c:pt>
                <c:pt idx="176">
                  <c:v>1.0038909974550585</c:v>
                </c:pt>
                <c:pt idx="177">
                  <c:v>1.0102581887113868</c:v>
                </c:pt>
                <c:pt idx="178">
                  <c:v>0.98832684845548557</c:v>
                </c:pt>
                <c:pt idx="179">
                  <c:v>0.9816059253341719</c:v>
                </c:pt>
                <c:pt idx="180">
                  <c:v>0.96621860689390515</c:v>
                </c:pt>
                <c:pt idx="181">
                  <c:v>0.97417759154266736</c:v>
                </c:pt>
                <c:pt idx="182">
                  <c:v>0.97099400475779973</c:v>
                </c:pt>
                <c:pt idx="183">
                  <c:v>0.95967451433189765</c:v>
                </c:pt>
                <c:pt idx="184">
                  <c:v>0.97488500221285812</c:v>
                </c:pt>
                <c:pt idx="185">
                  <c:v>0.97223204859865509</c:v>
                </c:pt>
                <c:pt idx="186">
                  <c:v>0.966041705588226</c:v>
                </c:pt>
                <c:pt idx="187">
                  <c:v>0.98443578025405409</c:v>
                </c:pt>
                <c:pt idx="188">
                  <c:v>0.95489920490096913</c:v>
                </c:pt>
                <c:pt idx="189">
                  <c:v>0.95206934998108694</c:v>
                </c:pt>
                <c:pt idx="190">
                  <c:v>0.93314462445800106</c:v>
                </c:pt>
                <c:pt idx="191">
                  <c:v>0.95666782885270918</c:v>
                </c:pt>
                <c:pt idx="192">
                  <c:v>0.95525286601958159</c:v>
                </c:pt>
                <c:pt idx="193">
                  <c:v>0.93279096333938871</c:v>
                </c:pt>
                <c:pt idx="194">
                  <c:v>0.9258931212258027</c:v>
                </c:pt>
                <c:pt idx="195">
                  <c:v>0.9380969236275748</c:v>
                </c:pt>
                <c:pt idx="196">
                  <c:v>0.96144322671660365</c:v>
                </c:pt>
                <c:pt idx="197">
                  <c:v>0.96232753869247367</c:v>
                </c:pt>
                <c:pt idx="198">
                  <c:v>0.98072161335830188</c:v>
                </c:pt>
                <c:pt idx="199">
                  <c:v>0.96515739361235608</c:v>
                </c:pt>
                <c:pt idx="200">
                  <c:v>0.96321185066834381</c:v>
                </c:pt>
                <c:pt idx="201">
                  <c:v>0.97435442210197354</c:v>
                </c:pt>
                <c:pt idx="202">
                  <c:v>0.98938800867725496</c:v>
                </c:pt>
                <c:pt idx="203">
                  <c:v>0.98956490998293412</c:v>
                </c:pt>
                <c:pt idx="204">
                  <c:v>0.98850367901479175</c:v>
                </c:pt>
                <c:pt idx="205">
                  <c:v>1.0272373712904603</c:v>
                </c:pt>
                <c:pt idx="206">
                  <c:v>1.0244074456242052</c:v>
                </c:pt>
                <c:pt idx="207">
                  <c:v>1.0468694367373641</c:v>
                </c:pt>
                <c:pt idx="208">
                  <c:v>1.0392641839535872</c:v>
                </c:pt>
                <c:pt idx="209">
                  <c:v>1.0279447819606513</c:v>
                </c:pt>
                <c:pt idx="210">
                  <c:v>1.0129111953853698</c:v>
                </c:pt>
                <c:pt idx="211">
                  <c:v>1.0383798719777173</c:v>
                </c:pt>
                <c:pt idx="212">
                  <c:v>1.0309515381862127</c:v>
                </c:pt>
                <c:pt idx="213">
                  <c:v>1.0300672262103427</c:v>
                </c:pt>
                <c:pt idx="214">
                  <c:v>1.0298903249046636</c:v>
                </c:pt>
                <c:pt idx="215">
                  <c:v>1.0275910324090727</c:v>
                </c:pt>
                <c:pt idx="216">
                  <c:v>1.0247611951757836</c:v>
                </c:pt>
                <c:pt idx="217">
                  <c:v>1.0261761403223182</c:v>
                </c:pt>
                <c:pt idx="218">
                  <c:v>1.0173328436976858</c:v>
                </c:pt>
                <c:pt idx="219">
                  <c:v>1.015564148999573</c:v>
                </c:pt>
                <c:pt idx="220">
                  <c:v>1.0222850721208867</c:v>
                </c:pt>
                <c:pt idx="221">
                  <c:v>1.0291828434880999</c:v>
                </c:pt>
                <c:pt idx="222">
                  <c:v>1.0328970811302249</c:v>
                </c:pt>
                <c:pt idx="223">
                  <c:v>1.0405023162274087</c:v>
                </c:pt>
                <c:pt idx="224">
                  <c:v>1.0332507422488373</c:v>
                </c:pt>
                <c:pt idx="225">
                  <c:v>1.0256455778980267</c:v>
                </c:pt>
                <c:pt idx="226">
                  <c:v>1.0222850721208867</c:v>
                </c:pt>
                <c:pt idx="227">
                  <c:v>1.0249380964814627</c:v>
                </c:pt>
                <c:pt idx="228">
                  <c:v>1.0383798719777173</c:v>
                </c:pt>
                <c:pt idx="229">
                  <c:v>1.0364343290337048</c:v>
                </c:pt>
                <c:pt idx="230">
                  <c:v>1.029359744793779</c:v>
                </c:pt>
                <c:pt idx="231">
                  <c:v>1.0244074456242052</c:v>
                </c:pt>
                <c:pt idx="232">
                  <c:v>1.0145030064643967</c:v>
                </c:pt>
                <c:pt idx="233">
                  <c:v>1.0194552172010045</c:v>
                </c:pt>
                <c:pt idx="234">
                  <c:v>1.0327201621379527</c:v>
                </c:pt>
                <c:pt idx="235">
                  <c:v>1.0518217182203446</c:v>
                </c:pt>
                <c:pt idx="236">
                  <c:v>1.0617261750667462</c:v>
                </c:pt>
                <c:pt idx="237">
                  <c:v>1.0596038015634277</c:v>
                </c:pt>
                <c:pt idx="238">
                  <c:v>1.0769366452611135</c:v>
                </c:pt>
                <c:pt idx="239">
                  <c:v>1.0963919508950839</c:v>
                </c:pt>
                <c:pt idx="240">
                  <c:v>1.0902015901980617</c:v>
                </c:pt>
                <c:pt idx="241">
                  <c:v>1.0944464079510718</c:v>
                </c:pt>
                <c:pt idx="242">
                  <c:v>1.0969225133193756</c:v>
                </c:pt>
                <c:pt idx="243">
                  <c:v>1.0877254848297579</c:v>
                </c:pt>
                <c:pt idx="244">
                  <c:v>1.0956844694785202</c:v>
                </c:pt>
                <c:pt idx="245">
                  <c:v>1.0979837442875178</c:v>
                </c:pt>
                <c:pt idx="246">
                  <c:v>1.0990448868226941</c:v>
                </c:pt>
                <c:pt idx="247">
                  <c:v>1.1001061177908362</c:v>
                </c:pt>
                <c:pt idx="248">
                  <c:v>1.1055889086383286</c:v>
                </c:pt>
                <c:pt idx="249">
                  <c:v>1.1043508647974734</c:v>
                </c:pt>
                <c:pt idx="250">
                  <c:v>1.1121330012003361</c:v>
                </c:pt>
                <c:pt idx="251">
                  <c:v>1.1169083990642308</c:v>
                </c:pt>
                <c:pt idx="252">
                  <c:v>1.1275203196406027</c:v>
                </c:pt>
                <c:pt idx="253">
                  <c:v>1.1197382362975197</c:v>
                </c:pt>
                <c:pt idx="254">
                  <c:v>1.1108949396728875</c:v>
                </c:pt>
                <c:pt idx="255">
                  <c:v>1.1116023503430783</c:v>
                </c:pt>
                <c:pt idx="256">
                  <c:v>1.1128404118705268</c:v>
                </c:pt>
                <c:pt idx="257">
                  <c:v>1.124159884609836</c:v>
                </c:pt>
                <c:pt idx="258">
                  <c:v>1.1156703375367822</c:v>
                </c:pt>
                <c:pt idx="259">
                  <c:v>1.1050583462140371</c:v>
                </c:pt>
                <c:pt idx="260">
                  <c:v>1.1073576210230347</c:v>
                </c:pt>
                <c:pt idx="261">
                  <c:v>1.1146091065686399</c:v>
                </c:pt>
                <c:pt idx="262">
                  <c:v>1.1227449394633013</c:v>
                </c:pt>
                <c:pt idx="263">
                  <c:v>1.1202688164084045</c:v>
                </c:pt>
                <c:pt idx="264">
                  <c:v>1.1068270409121501</c:v>
                </c:pt>
                <c:pt idx="265">
                  <c:v>1.1022284912941549</c:v>
                </c:pt>
                <c:pt idx="266">
                  <c:v>1.1061195594955862</c:v>
                </c:pt>
                <c:pt idx="267">
                  <c:v>1.0956844694785202</c:v>
                </c:pt>
                <c:pt idx="268">
                  <c:v>1.0820657749899933</c:v>
                </c:pt>
                <c:pt idx="269">
                  <c:v>1.0797665001809957</c:v>
                </c:pt>
                <c:pt idx="270">
                  <c:v>1.0797665001809957</c:v>
                </c:pt>
                <c:pt idx="271">
                  <c:v>1.0723381663894913</c:v>
                </c:pt>
                <c:pt idx="272">
                  <c:v>1.0288290939365212</c:v>
                </c:pt>
                <c:pt idx="273">
                  <c:v>1.0297134766587643</c:v>
                </c:pt>
                <c:pt idx="274">
                  <c:v>1.0502299248279108</c:v>
                </c:pt>
                <c:pt idx="275">
                  <c:v>1.0811814630141234</c:v>
                </c:pt>
                <c:pt idx="276">
                  <c:v>1.0624336564833099</c:v>
                </c:pt>
                <c:pt idx="277">
                  <c:v>1.0475769181539278</c:v>
                </c:pt>
                <c:pt idx="278">
                  <c:v>1.0502299248279108</c:v>
                </c:pt>
                <c:pt idx="279">
                  <c:v>1.0615493268208469</c:v>
                </c:pt>
                <c:pt idx="280">
                  <c:v>1.0810045617084443</c:v>
                </c:pt>
                <c:pt idx="281">
                  <c:v>1.0682702676287537</c:v>
                </c:pt>
                <c:pt idx="282">
                  <c:v>1.0647329312923077</c:v>
                </c:pt>
                <c:pt idx="283">
                  <c:v>1.0502299248279108</c:v>
                </c:pt>
                <c:pt idx="284">
                  <c:v>1.0523522983312292</c:v>
                </c:pt>
                <c:pt idx="285">
                  <c:v>1.0481074805782193</c:v>
                </c:pt>
                <c:pt idx="286">
                  <c:v>1.0472231686023494</c:v>
                </c:pt>
                <c:pt idx="287">
                  <c:v>1.0022992040626246</c:v>
                </c:pt>
                <c:pt idx="288">
                  <c:v>0.94552525741907945</c:v>
                </c:pt>
                <c:pt idx="289">
                  <c:v>0.92430132783336894</c:v>
                </c:pt>
                <c:pt idx="290">
                  <c:v>0.89777143795947234</c:v>
                </c:pt>
                <c:pt idx="291">
                  <c:v>0.89158116569541623</c:v>
                </c:pt>
                <c:pt idx="292">
                  <c:v>0.90325431723993077</c:v>
                </c:pt>
                <c:pt idx="293">
                  <c:v>0.85673855930777232</c:v>
                </c:pt>
                <c:pt idx="294">
                  <c:v>0.8875132492480855</c:v>
                </c:pt>
                <c:pt idx="295">
                  <c:v>0.84347361437082402</c:v>
                </c:pt>
                <c:pt idx="296">
                  <c:v>0.86770428249550269</c:v>
                </c:pt>
                <c:pt idx="297">
                  <c:v>0.79006008507145242</c:v>
                </c:pt>
                <c:pt idx="298">
                  <c:v>0.85072509991642908</c:v>
                </c:pt>
                <c:pt idx="299">
                  <c:v>0.82260341665009884</c:v>
                </c:pt>
                <c:pt idx="300">
                  <c:v>0.77042801962454865</c:v>
                </c:pt>
                <c:pt idx="301">
                  <c:v>0.83533779916275563</c:v>
                </c:pt>
                <c:pt idx="302">
                  <c:v>0.76830559306145052</c:v>
                </c:pt>
                <c:pt idx="303">
                  <c:v>0.73310930786860085</c:v>
                </c:pt>
                <c:pt idx="304">
                  <c:v>0.6964980598426237</c:v>
                </c:pt>
                <c:pt idx="305">
                  <c:v>0.6756278798084917</c:v>
                </c:pt>
                <c:pt idx="306">
                  <c:v>0.61903076372425259</c:v>
                </c:pt>
                <c:pt idx="307">
                  <c:v>0.60435085595417659</c:v>
                </c:pt>
                <c:pt idx="308">
                  <c:v>0.69296072350617754</c:v>
                </c:pt>
                <c:pt idx="309">
                  <c:v>0.70516445516157666</c:v>
                </c:pt>
                <c:pt idx="310">
                  <c:v>0.76865932492643585</c:v>
                </c:pt>
                <c:pt idx="311">
                  <c:v>0.6899539672806162</c:v>
                </c:pt>
                <c:pt idx="312">
                  <c:v>0.71294659156443951</c:v>
                </c:pt>
                <c:pt idx="313">
                  <c:v>0.66766889515972949</c:v>
                </c:pt>
                <c:pt idx="314">
                  <c:v>0.67509722895123403</c:v>
                </c:pt>
                <c:pt idx="315">
                  <c:v>0.66908385799285719</c:v>
                </c:pt>
                <c:pt idx="316">
                  <c:v>0.67155996336116097</c:v>
                </c:pt>
                <c:pt idx="317">
                  <c:v>0.67474356783262179</c:v>
                </c:pt>
                <c:pt idx="318">
                  <c:v>0.71047041544976275</c:v>
                </c:pt>
                <c:pt idx="319">
                  <c:v>0.73222499589273093</c:v>
                </c:pt>
                <c:pt idx="320">
                  <c:v>0.76547573814156811</c:v>
                </c:pt>
                <c:pt idx="321">
                  <c:v>0.7239122616923902</c:v>
                </c:pt>
                <c:pt idx="322">
                  <c:v>0.73823843759748076</c:v>
                </c:pt>
                <c:pt idx="323">
                  <c:v>0.72833391000470626</c:v>
                </c:pt>
                <c:pt idx="324">
                  <c:v>0.71453840264346657</c:v>
                </c:pt>
                <c:pt idx="325">
                  <c:v>0.76476832747137724</c:v>
                </c:pt>
                <c:pt idx="326">
                  <c:v>0.72851075825060563</c:v>
                </c:pt>
                <c:pt idx="327">
                  <c:v>0.73045628350802472</c:v>
                </c:pt>
                <c:pt idx="328">
                  <c:v>0.73134059548389474</c:v>
                </c:pt>
                <c:pt idx="329">
                  <c:v>0.77431903476620034</c:v>
                </c:pt>
                <c:pt idx="330">
                  <c:v>0.77927131624918089</c:v>
                </c:pt>
                <c:pt idx="331">
                  <c:v>0.80491682340083448</c:v>
                </c:pt>
                <c:pt idx="332">
                  <c:v>0.81888924975434652</c:v>
                </c:pt>
                <c:pt idx="333">
                  <c:v>0.85408560569356906</c:v>
                </c:pt>
                <c:pt idx="334">
                  <c:v>0.83604526289272629</c:v>
                </c:pt>
                <c:pt idx="335">
                  <c:v>0.78493102608894549</c:v>
                </c:pt>
                <c:pt idx="336">
                  <c:v>0.78192426986338404</c:v>
                </c:pt>
                <c:pt idx="337">
                  <c:v>0.78457729422396016</c:v>
                </c:pt>
                <c:pt idx="338">
                  <c:v>0.77626456002361943</c:v>
                </c:pt>
                <c:pt idx="339">
                  <c:v>0.79872655113677837</c:v>
                </c:pt>
                <c:pt idx="340">
                  <c:v>0.83799080583673857</c:v>
                </c:pt>
                <c:pt idx="341">
                  <c:v>0.82118852456334412</c:v>
                </c:pt>
                <c:pt idx="342">
                  <c:v>0.79342059084859229</c:v>
                </c:pt>
                <c:pt idx="343">
                  <c:v>0.7702511183188695</c:v>
                </c:pt>
                <c:pt idx="344">
                  <c:v>0.78899894253627623</c:v>
                </c:pt>
                <c:pt idx="345">
                  <c:v>0.79837280158519996</c:v>
                </c:pt>
                <c:pt idx="346">
                  <c:v>0.85903783411676993</c:v>
                </c:pt>
                <c:pt idx="347">
                  <c:v>0.85196316144387763</c:v>
                </c:pt>
                <c:pt idx="348">
                  <c:v>0.86646623865464734</c:v>
                </c:pt>
                <c:pt idx="349">
                  <c:v>0.85779977258932139</c:v>
                </c:pt>
                <c:pt idx="350">
                  <c:v>0.83852138594762315</c:v>
                </c:pt>
                <c:pt idx="351">
                  <c:v>0.89441102061529865</c:v>
                </c:pt>
                <c:pt idx="352">
                  <c:v>0.91581178076031511</c:v>
                </c:pt>
                <c:pt idx="353">
                  <c:v>0.90962149080966592</c:v>
                </c:pt>
                <c:pt idx="354">
                  <c:v>0.89741777684085999</c:v>
                </c:pt>
                <c:pt idx="355">
                  <c:v>0.91669616348255822</c:v>
                </c:pt>
                <c:pt idx="356">
                  <c:v>0.94057302899587858</c:v>
                </c:pt>
                <c:pt idx="357">
                  <c:v>0.9745312526612796</c:v>
                </c:pt>
                <c:pt idx="358">
                  <c:v>0.98797311659050024</c:v>
                </c:pt>
                <c:pt idx="359">
                  <c:v>1.0238768655133206</c:v>
                </c:pt>
                <c:pt idx="360">
                  <c:v>1.0597806321227339</c:v>
                </c:pt>
                <c:pt idx="361">
                  <c:v>1.0224619734265659</c:v>
                </c:pt>
                <c:pt idx="362">
                  <c:v>0.98089844391760816</c:v>
                </c:pt>
                <c:pt idx="363">
                  <c:v>0.90396179865649451</c:v>
                </c:pt>
                <c:pt idx="364">
                  <c:v>0.90714538544136214</c:v>
                </c:pt>
                <c:pt idx="365">
                  <c:v>0.9126281762888544</c:v>
                </c:pt>
                <c:pt idx="366">
                  <c:v>0.92624687077738121</c:v>
                </c:pt>
                <c:pt idx="367">
                  <c:v>0.92889987745136415</c:v>
                </c:pt>
                <c:pt idx="368">
                  <c:v>0.91404313912198198</c:v>
                </c:pt>
                <c:pt idx="369">
                  <c:v>0.90378487966422216</c:v>
                </c:pt>
                <c:pt idx="370">
                  <c:v>0.9064379040247984</c:v>
                </c:pt>
                <c:pt idx="371">
                  <c:v>0.918287886128619</c:v>
                </c:pt>
                <c:pt idx="372">
                  <c:v>0.87495578572770116</c:v>
                </c:pt>
                <c:pt idx="373">
                  <c:v>0.8903431041679678</c:v>
                </c:pt>
                <c:pt idx="374">
                  <c:v>0.89494158303959004</c:v>
                </c:pt>
                <c:pt idx="375">
                  <c:v>0.91669616348255822</c:v>
                </c:pt>
                <c:pt idx="376">
                  <c:v>0.93438275673182258</c:v>
                </c:pt>
                <c:pt idx="377">
                  <c:v>0.91068272177780829</c:v>
                </c:pt>
                <c:pt idx="378">
                  <c:v>0.91475062053854594</c:v>
                </c:pt>
                <c:pt idx="379">
                  <c:v>0.92695435219394495</c:v>
                </c:pt>
                <c:pt idx="380">
                  <c:v>0.89476475248028398</c:v>
                </c:pt>
                <c:pt idx="381">
                  <c:v>0.89370353919873469</c:v>
                </c:pt>
                <c:pt idx="382">
                  <c:v>0.87141844939125501</c:v>
                </c:pt>
                <c:pt idx="383">
                  <c:v>0.89635654587271762</c:v>
                </c:pt>
                <c:pt idx="384">
                  <c:v>0.91174386431298438</c:v>
                </c:pt>
                <c:pt idx="385">
                  <c:v>0.91952601840244041</c:v>
                </c:pt>
                <c:pt idx="386">
                  <c:v>0.95684465941201524</c:v>
                </c:pt>
                <c:pt idx="387">
                  <c:v>0.96692601756409591</c:v>
                </c:pt>
                <c:pt idx="388">
                  <c:v>0.95790589038015761</c:v>
                </c:pt>
                <c:pt idx="389">
                  <c:v>0.93880440504413865</c:v>
                </c:pt>
                <c:pt idx="390">
                  <c:v>0.94800136278738312</c:v>
                </c:pt>
                <c:pt idx="391">
                  <c:v>0.94711705081151309</c:v>
                </c:pt>
                <c:pt idx="392">
                  <c:v>0.95242301109969918</c:v>
                </c:pt>
                <c:pt idx="393">
                  <c:v>0.93261406203370956</c:v>
                </c:pt>
                <c:pt idx="394">
                  <c:v>0.92536255880151119</c:v>
                </c:pt>
                <c:pt idx="395">
                  <c:v>0.90449236108078612</c:v>
                </c:pt>
                <c:pt idx="396">
                  <c:v>0.91881853698587668</c:v>
                </c:pt>
                <c:pt idx="397">
                  <c:v>0.9007781941850338</c:v>
                </c:pt>
                <c:pt idx="398">
                  <c:v>0.89971698090348462</c:v>
                </c:pt>
                <c:pt idx="399">
                  <c:v>0.90201625571248223</c:v>
                </c:pt>
                <c:pt idx="400">
                  <c:v>0.91634241393097959</c:v>
                </c:pt>
                <c:pt idx="401">
                  <c:v>0.94110360910676327</c:v>
                </c:pt>
                <c:pt idx="402">
                  <c:v>0.93385210587456491</c:v>
                </c:pt>
                <c:pt idx="403">
                  <c:v>0.94764770166877077</c:v>
                </c:pt>
                <c:pt idx="404">
                  <c:v>0.9745312526612796</c:v>
                </c:pt>
                <c:pt idx="405">
                  <c:v>0.99080295382378936</c:v>
                </c:pt>
                <c:pt idx="406">
                  <c:v>0.99964625044842159</c:v>
                </c:pt>
                <c:pt idx="407">
                  <c:v>0.99734697563942398</c:v>
                </c:pt>
                <c:pt idx="408">
                  <c:v>1.0015917933924339</c:v>
                </c:pt>
                <c:pt idx="409">
                  <c:v>1.0058365403990708</c:v>
                </c:pt>
                <c:pt idx="410">
                  <c:v>1.00512912972888</c:v>
                </c:pt>
                <c:pt idx="411">
                  <c:v>1.0030066854791886</c:v>
                </c:pt>
                <c:pt idx="412">
                  <c:v>0.99239476490281631</c:v>
                </c:pt>
                <c:pt idx="413">
                  <c:v>0.97895290097359566</c:v>
                </c:pt>
                <c:pt idx="414">
                  <c:v>0.99380965698957102</c:v>
                </c:pt>
                <c:pt idx="415">
                  <c:v>0.96834098039722361</c:v>
                </c:pt>
                <c:pt idx="416">
                  <c:v>0.95454545534939073</c:v>
                </c:pt>
                <c:pt idx="417">
                  <c:v>0.95489920490096913</c:v>
                </c:pt>
                <c:pt idx="418">
                  <c:v>0.95489920490096913</c:v>
                </c:pt>
                <c:pt idx="419">
                  <c:v>0.9409267785474571</c:v>
                </c:pt>
                <c:pt idx="420">
                  <c:v>0.94517152555409401</c:v>
                </c:pt>
                <c:pt idx="421">
                  <c:v>0.97152456718209124</c:v>
                </c:pt>
                <c:pt idx="422">
                  <c:v>0.94128051041244243</c:v>
                </c:pt>
                <c:pt idx="423">
                  <c:v>0.9409267785474571</c:v>
                </c:pt>
                <c:pt idx="424">
                  <c:v>0.91704982460117046</c:v>
                </c:pt>
                <c:pt idx="425">
                  <c:v>0.92695435219394495</c:v>
                </c:pt>
                <c:pt idx="426">
                  <c:v>0.9016625238474969</c:v>
                </c:pt>
                <c:pt idx="427">
                  <c:v>0.91528120064943053</c:v>
                </c:pt>
                <c:pt idx="428">
                  <c:v>0.94623273883564318</c:v>
                </c:pt>
                <c:pt idx="429">
                  <c:v>0.95454545534939073</c:v>
                </c:pt>
                <c:pt idx="430">
                  <c:v>0.95631409698772385</c:v>
                </c:pt>
                <c:pt idx="431">
                  <c:v>0.95313049251626303</c:v>
                </c:pt>
                <c:pt idx="432">
                  <c:v>0.94923942431483155</c:v>
                </c:pt>
                <c:pt idx="433">
                  <c:v>0.91917226885086201</c:v>
                </c:pt>
                <c:pt idx="434">
                  <c:v>0.9304916885303911</c:v>
                </c:pt>
                <c:pt idx="435">
                  <c:v>0.91227451517024205</c:v>
                </c:pt>
                <c:pt idx="436">
                  <c:v>0.9154580312087367</c:v>
                </c:pt>
                <c:pt idx="437">
                  <c:v>0.92836931502707265</c:v>
                </c:pt>
                <c:pt idx="438">
                  <c:v>0.94163425996402084</c:v>
                </c:pt>
                <c:pt idx="439">
                  <c:v>0.92978420711382737</c:v>
                </c:pt>
                <c:pt idx="440">
                  <c:v>0.93632822892946188</c:v>
                </c:pt>
                <c:pt idx="441">
                  <c:v>0.92925362700294256</c:v>
                </c:pt>
                <c:pt idx="442">
                  <c:v>0.96515739361235608</c:v>
                </c:pt>
                <c:pt idx="443">
                  <c:v>0.98337454928591184</c:v>
                </c:pt>
                <c:pt idx="444">
                  <c:v>0.97400069023698821</c:v>
                </c:pt>
                <c:pt idx="445">
                  <c:v>1.0093738767355169</c:v>
                </c:pt>
                <c:pt idx="446">
                  <c:v>1.0212239295857104</c:v>
                </c:pt>
                <c:pt idx="447">
                  <c:v>1.0282985138256366</c:v>
                </c:pt>
                <c:pt idx="448">
                  <c:v>1.0394410852592664</c:v>
                </c:pt>
                <c:pt idx="449">
                  <c:v>1.0247611951757836</c:v>
                </c:pt>
                <c:pt idx="450">
                  <c:v>1.0093738767355169</c:v>
                </c:pt>
                <c:pt idx="451">
                  <c:v>1.0044216483123161</c:v>
                </c:pt>
                <c:pt idx="452">
                  <c:v>1.0021223735033185</c:v>
                </c:pt>
                <c:pt idx="453">
                  <c:v>0.98036786380672336</c:v>
                </c:pt>
                <c:pt idx="454">
                  <c:v>0.99575518224699011</c:v>
                </c:pt>
                <c:pt idx="455">
                  <c:v>0.97842233854930427</c:v>
                </c:pt>
                <c:pt idx="456">
                  <c:v>0.99610893179856863</c:v>
                </c:pt>
                <c:pt idx="457">
                  <c:v>0.91386623781630283</c:v>
                </c:pt>
                <c:pt idx="458">
                  <c:v>0.90095504243093316</c:v>
                </c:pt>
                <c:pt idx="459">
                  <c:v>0.89051993472727398</c:v>
                </c:pt>
                <c:pt idx="460">
                  <c:v>0.86345948242908599</c:v>
                </c:pt>
                <c:pt idx="461">
                  <c:v>0.87460205386271572</c:v>
                </c:pt>
                <c:pt idx="462">
                  <c:v>0.8965333941186171</c:v>
                </c:pt>
                <c:pt idx="463">
                  <c:v>0.91280509528112674</c:v>
                </c:pt>
                <c:pt idx="464">
                  <c:v>0.9301379389788127</c:v>
                </c:pt>
                <c:pt idx="465">
                  <c:v>0.90484611063236453</c:v>
                </c:pt>
                <c:pt idx="466">
                  <c:v>0.92359391716317807</c:v>
                </c:pt>
                <c:pt idx="467">
                  <c:v>0.91510437009012435</c:v>
                </c:pt>
                <c:pt idx="468">
                  <c:v>1.0985143243984026</c:v>
                </c:pt>
                <c:pt idx="469">
                  <c:v>1.1324725480638036</c:v>
                </c:pt>
                <c:pt idx="470">
                  <c:v>1.11372479459277</c:v>
                </c:pt>
                <c:pt idx="471">
                  <c:v>1.0875486542704518</c:v>
                </c:pt>
                <c:pt idx="472">
                  <c:v>1.1176158097344215</c:v>
                </c:pt>
                <c:pt idx="473">
                  <c:v>1.1704987412363153</c:v>
                </c:pt>
                <c:pt idx="474">
                  <c:v>1.1590024379377002</c:v>
                </c:pt>
                <c:pt idx="475">
                  <c:v>1.1561726537641908</c:v>
                </c:pt>
                <c:pt idx="476">
                  <c:v>1.1022284912941549</c:v>
                </c:pt>
                <c:pt idx="477">
                  <c:v>1.0787053576458197</c:v>
                </c:pt>
                <c:pt idx="478">
                  <c:v>1.1568801351807547</c:v>
                </c:pt>
                <c:pt idx="479">
                  <c:v>1.1765121298812855</c:v>
                </c:pt>
                <c:pt idx="480">
                  <c:v>1.1643084689722591</c:v>
                </c:pt>
                <c:pt idx="481">
                  <c:v>1.1586487591324945</c:v>
                </c:pt>
                <c:pt idx="482">
                  <c:v>1.1351255547377865</c:v>
                </c:pt>
                <c:pt idx="483">
                  <c:v>1.145737493000752</c:v>
                </c:pt>
                <c:pt idx="484">
                  <c:v>1.1459143943064312</c:v>
                </c:pt>
                <c:pt idx="485">
                  <c:v>1.144145752668098</c:v>
                </c:pt>
                <c:pt idx="486">
                  <c:v>1.1667845743405629</c:v>
                </c:pt>
                <c:pt idx="487">
                  <c:v>1.1413158446884359</c:v>
                </c:pt>
                <c:pt idx="488">
                  <c:v>1.1492748823969776</c:v>
                </c:pt>
                <c:pt idx="489">
                  <c:v>1.1427308075215634</c:v>
                </c:pt>
                <c:pt idx="490">
                  <c:v>1.1342411720155436</c:v>
                </c:pt>
                <c:pt idx="491">
                  <c:v>1.135479233542992</c:v>
                </c:pt>
                <c:pt idx="492">
                  <c:v>1.1156703375367822</c:v>
                </c:pt>
                <c:pt idx="493">
                  <c:v>1.1202688164084045</c:v>
                </c:pt>
                <c:pt idx="494">
                  <c:v>1.1071807020307622</c:v>
                </c:pt>
                <c:pt idx="495">
                  <c:v>1.1027590537184462</c:v>
                </c:pt>
                <c:pt idx="496">
                  <c:v>1.1151396866795245</c:v>
                </c:pt>
                <c:pt idx="497">
                  <c:v>1.0970993615652749</c:v>
                </c:pt>
                <c:pt idx="498">
                  <c:v>1.097276262870954</c:v>
                </c:pt>
                <c:pt idx="499">
                  <c:v>1.1013441616316917</c:v>
                </c:pt>
                <c:pt idx="500">
                  <c:v>1.1002829483501426</c:v>
                </c:pt>
                <c:pt idx="501">
                  <c:v>1.1087725131097894</c:v>
                </c:pt>
                <c:pt idx="502">
                  <c:v>1.1011672603260125</c:v>
                </c:pt>
                <c:pt idx="503">
                  <c:v>1.0983374054061301</c:v>
                </c:pt>
                <c:pt idx="504">
                  <c:v>1.1050583462140371</c:v>
                </c:pt>
                <c:pt idx="505">
                  <c:v>1.0815352125657021</c:v>
                </c:pt>
                <c:pt idx="506">
                  <c:v>1.0979837442875178</c:v>
                </c:pt>
                <c:pt idx="507">
                  <c:v>1.1340644122026105</c:v>
                </c:pt>
                <c:pt idx="508">
                  <c:v>1.1508666227296316</c:v>
                </c:pt>
                <c:pt idx="509">
                  <c:v>1.1384860605149265</c:v>
                </c:pt>
                <c:pt idx="510">
                  <c:v>1.1156703375367822</c:v>
                </c:pt>
                <c:pt idx="511">
                  <c:v>1.1390166406258111</c:v>
                </c:pt>
                <c:pt idx="512">
                  <c:v>1.1253979461372843</c:v>
                </c:pt>
                <c:pt idx="513">
                  <c:v>1.1558188334662394</c:v>
                </c:pt>
                <c:pt idx="514">
                  <c:v>1.1282278010571667</c:v>
                </c:pt>
                <c:pt idx="515">
                  <c:v>1.135479233542992</c:v>
                </c:pt>
                <c:pt idx="516">
                  <c:v>1.1795189391666268</c:v>
                </c:pt>
                <c:pt idx="517">
                  <c:v>1.2041033037831039</c:v>
                </c:pt>
                <c:pt idx="518">
                  <c:v>1.2081711494840617</c:v>
                </c:pt>
                <c:pt idx="519">
                  <c:v>1.2125927977963777</c:v>
                </c:pt>
                <c:pt idx="520">
                  <c:v>1.1957905872693564</c:v>
                </c:pt>
                <c:pt idx="521">
                  <c:v>1.15811817902161</c:v>
                </c:pt>
                <c:pt idx="522">
                  <c:v>1.1460912956121103</c:v>
                </c:pt>
                <c:pt idx="523">
                  <c:v>1.1938450443253441</c:v>
                </c:pt>
                <c:pt idx="524">
                  <c:v>1.2150689031646815</c:v>
                </c:pt>
                <c:pt idx="525">
                  <c:v>1.1938450443253441</c:v>
                </c:pt>
                <c:pt idx="526">
                  <c:v>1.2433675584830641</c:v>
                </c:pt>
                <c:pt idx="527">
                  <c:v>1.2446056200105127</c:v>
                </c:pt>
                <c:pt idx="528">
                  <c:v>1.2525645339129017</c:v>
                </c:pt>
                <c:pt idx="529">
                  <c:v>1.2752033378987737</c:v>
                </c:pt>
                <c:pt idx="530">
                  <c:v>1.2767952020375806</c:v>
                </c:pt>
                <c:pt idx="531">
                  <c:v>1.2912982085019773</c:v>
                </c:pt>
                <c:pt idx="532">
                  <c:v>1.2921824674180673</c:v>
                </c:pt>
                <c:pt idx="533">
                  <c:v>1.3049168322441311</c:v>
                </c:pt>
                <c:pt idx="534">
                  <c:v>1.32224974668819</c:v>
                </c:pt>
                <c:pt idx="535">
                  <c:v>1.3530243835687235</c:v>
                </c:pt>
                <c:pt idx="536">
                  <c:v>1.3599221372493433</c:v>
                </c:pt>
                <c:pt idx="537">
                  <c:v>1.3871595085398036</c:v>
                </c:pt>
                <c:pt idx="538">
                  <c:v>1.4334984359126561</c:v>
                </c:pt>
                <c:pt idx="539">
                  <c:v>1.4642730727931896</c:v>
                </c:pt>
                <c:pt idx="540">
                  <c:v>1.4529536708002535</c:v>
                </c:pt>
                <c:pt idx="541">
                  <c:v>1.4041386203725041</c:v>
                </c:pt>
                <c:pt idx="542">
                  <c:v>1.3758401065468677</c:v>
                </c:pt>
                <c:pt idx="543">
                  <c:v>1.3979483481084483</c:v>
                </c:pt>
                <c:pt idx="544">
                  <c:v>1.372656519762</c:v>
                </c:pt>
                <c:pt idx="545">
                  <c:v>1.3602759575472947</c:v>
                </c:pt>
                <c:pt idx="546">
                  <c:v>1.3406438213540182</c:v>
                </c:pt>
                <c:pt idx="547">
                  <c:v>1.3604527173602281</c:v>
                </c:pt>
                <c:pt idx="548">
                  <c:v>1.3655818470891077</c:v>
                </c:pt>
                <c:pt idx="549">
                  <c:v>1.3583304146032826</c:v>
                </c:pt>
                <c:pt idx="550">
                  <c:v>1.3532012848744026</c:v>
                </c:pt>
                <c:pt idx="551">
                  <c:v>1.3678810511517325</c:v>
                </c:pt>
                <c:pt idx="552">
                  <c:v>1.3871595085398036</c:v>
                </c:pt>
                <c:pt idx="553">
                  <c:v>1.3717721370397571</c:v>
                </c:pt>
                <c:pt idx="554">
                  <c:v>1.3385213771043267</c:v>
                </c:pt>
                <c:pt idx="555">
                  <c:v>1.3383444757986476</c:v>
                </c:pt>
                <c:pt idx="556">
                  <c:v>1.3705340755123085</c:v>
                </c:pt>
                <c:pt idx="557">
                  <c:v>1.3567385504644756</c:v>
                </c:pt>
                <c:pt idx="558">
                  <c:v>1.335337790319459</c:v>
                </c:pt>
                <c:pt idx="559">
                  <c:v>1.2989034435991611</c:v>
                </c:pt>
                <c:pt idx="560">
                  <c:v>1.3033250919114772</c:v>
                </c:pt>
                <c:pt idx="561">
                  <c:v>1.3296780804796946</c:v>
                </c:pt>
                <c:pt idx="562">
                  <c:v>1.3643437855616594</c:v>
                </c:pt>
                <c:pt idx="563">
                  <c:v>1.350901939319032</c:v>
                </c:pt>
                <c:pt idx="564">
                  <c:v>1.3717721370397571</c:v>
                </c:pt>
                <c:pt idx="565">
                  <c:v>1.3807923349700684</c:v>
                </c:pt>
                <c:pt idx="566">
                  <c:v>1.3735409024842431</c:v>
                </c:pt>
                <c:pt idx="567">
                  <c:v>1.3829147615331667</c:v>
                </c:pt>
                <c:pt idx="568">
                  <c:v>1.4034311389559404</c:v>
                </c:pt>
                <c:pt idx="569">
                  <c:v>1.4074991261496439</c:v>
                </c:pt>
                <c:pt idx="570">
                  <c:v>1.4191722069477857</c:v>
                </c:pt>
                <c:pt idx="571">
                  <c:v>1.4388043254544691</c:v>
                </c:pt>
                <c:pt idx="572">
                  <c:v>1.4476476220791012</c:v>
                </c:pt>
                <c:pt idx="573">
                  <c:v>1.4603820045917579</c:v>
                </c:pt>
                <c:pt idx="574">
                  <c:v>1.4660416967449295</c:v>
                </c:pt>
                <c:pt idx="575">
                  <c:v>1.4543686159467879</c:v>
                </c:pt>
                <c:pt idx="576">
                  <c:v>1.4732932707235009</c:v>
                </c:pt>
                <c:pt idx="577">
                  <c:v>1.4411036710098395</c:v>
                </c:pt>
                <c:pt idx="578">
                  <c:v>1.4370357015027291</c:v>
                </c:pt>
                <c:pt idx="579">
                  <c:v>1.4591439430643096</c:v>
                </c:pt>
                <c:pt idx="580">
                  <c:v>1.5068976917775434</c:v>
                </c:pt>
                <c:pt idx="581">
                  <c:v>1.5387336126859992</c:v>
                </c:pt>
                <c:pt idx="582">
                  <c:v>1.5511141749007045</c:v>
                </c:pt>
                <c:pt idx="583">
                  <c:v>1.5730456389627587</c:v>
                </c:pt>
                <c:pt idx="584">
                  <c:v>1.550760496095499</c:v>
                </c:pt>
                <c:pt idx="585">
                  <c:v>1.5705695335944547</c:v>
                </c:pt>
                <c:pt idx="586">
                  <c:v>1.5495224522546436</c:v>
                </c:pt>
                <c:pt idx="587">
                  <c:v>1.5484612920328744</c:v>
                </c:pt>
                <c:pt idx="588">
                  <c:v>1.5769367248507833</c:v>
                </c:pt>
                <c:pt idx="589">
                  <c:v>1.5765829045528317</c:v>
                </c:pt>
                <c:pt idx="590">
                  <c:v>1.5864873613992332</c:v>
                </c:pt>
                <c:pt idx="591">
                  <c:v>1.5974531022735567</c:v>
                </c:pt>
                <c:pt idx="592">
                  <c:v>1.6059427200929834</c:v>
                </c:pt>
                <c:pt idx="593">
                  <c:v>1.5861336825940278</c:v>
                </c:pt>
                <c:pt idx="594">
                  <c:v>1.5466925265883884</c:v>
                </c:pt>
                <c:pt idx="595">
                  <c:v>1.567209045503908</c:v>
                </c:pt>
                <c:pt idx="596">
                  <c:v>1.5939158366834836</c:v>
                </c:pt>
                <c:pt idx="597">
                  <c:v>1.5870180653162704</c:v>
                </c:pt>
                <c:pt idx="598">
                  <c:v>1.562787397191592</c:v>
                </c:pt>
                <c:pt idx="599">
                  <c:v>1.5573045886575065</c:v>
                </c:pt>
                <c:pt idx="600">
                  <c:v>1.5514679775120628</c:v>
                </c:pt>
                <c:pt idx="601">
                  <c:v>1.5565971072409426</c:v>
                </c:pt>
                <c:pt idx="602">
                  <c:v>1.5567738847404691</c:v>
                </c:pt>
                <c:pt idx="603">
                  <c:v>1.5426246808874304</c:v>
                </c:pt>
                <c:pt idx="604">
                  <c:v>1.550760496095499</c:v>
                </c:pt>
                <c:pt idx="605">
                  <c:v>1.5730456389627587</c:v>
                </c:pt>
                <c:pt idx="606">
                  <c:v>1.5703926322887756</c:v>
                </c:pt>
                <c:pt idx="607">
                  <c:v>1.5965687195513139</c:v>
                </c:pt>
                <c:pt idx="608">
                  <c:v>1.5956844606352236</c:v>
                </c:pt>
                <c:pt idx="609">
                  <c:v>1.5930314539612407</c:v>
                </c:pt>
                <c:pt idx="610">
                  <c:v>1.5985142448087331</c:v>
                </c:pt>
                <c:pt idx="611">
                  <c:v>1.5887867069546038</c:v>
                </c:pt>
                <c:pt idx="612">
                  <c:v>1.6149627942171418</c:v>
                </c:pt>
                <c:pt idx="613">
                  <c:v>1.6149627942171418</c:v>
                </c:pt>
                <c:pt idx="614">
                  <c:v>1.613547955190167</c:v>
                </c:pt>
                <c:pt idx="615">
                  <c:v>1.6031127944267283</c:v>
                </c:pt>
                <c:pt idx="616">
                  <c:v>1.603820275843292</c:v>
                </c:pt>
                <c:pt idx="617">
                  <c:v>1.6170852207802404</c:v>
                </c:pt>
                <c:pt idx="618">
                  <c:v>1.6131941525788087</c:v>
                </c:pt>
                <c:pt idx="619">
                  <c:v>1.5535902802690083</c:v>
                </c:pt>
                <c:pt idx="620">
                  <c:v>1.5214006982419404</c:v>
                </c:pt>
                <c:pt idx="621">
                  <c:v>1.5553590457134943</c:v>
                </c:pt>
                <c:pt idx="622">
                  <c:v>1.5542977616855722</c:v>
                </c:pt>
                <c:pt idx="623">
                  <c:v>1.5519985576229474</c:v>
                </c:pt>
                <c:pt idx="624">
                  <c:v>1.5801201701429048</c:v>
                </c:pt>
                <c:pt idx="625">
                  <c:v>1.5863105838997069</c:v>
                </c:pt>
                <c:pt idx="626">
                  <c:v>1.5730456389627587</c:v>
                </c:pt>
                <c:pt idx="627">
                  <c:v>1.5638485397267681</c:v>
                </c:pt>
                <c:pt idx="628">
                  <c:v>1.5735762190736431</c:v>
                </c:pt>
                <c:pt idx="629">
                  <c:v>1.5804739904408562</c:v>
                </c:pt>
                <c:pt idx="630">
                  <c:v>1.5682701880390844</c:v>
                </c:pt>
                <c:pt idx="631">
                  <c:v>1.5245842850268079</c:v>
                </c:pt>
                <c:pt idx="632">
                  <c:v>1.5472232305054257</c:v>
                </c:pt>
                <c:pt idx="633">
                  <c:v>1.5302439948665725</c:v>
                </c:pt>
                <c:pt idx="634">
                  <c:v>1.5643791198376527</c:v>
                </c:pt>
                <c:pt idx="635">
                  <c:v>1.5569507860461482</c:v>
                </c:pt>
                <c:pt idx="636">
                  <c:v>1.5371418900399383</c:v>
                </c:pt>
                <c:pt idx="637">
                  <c:v>1.5459851866645706</c:v>
                </c:pt>
                <c:pt idx="638">
                  <c:v>1.5295366372561614</c:v>
                </c:pt>
                <c:pt idx="639">
                  <c:v>1.5206933406315293</c:v>
                </c:pt>
                <c:pt idx="640">
                  <c:v>1.4922179255002135</c:v>
                </c:pt>
                <c:pt idx="641">
                  <c:v>1.5293597359504822</c:v>
                </c:pt>
                <c:pt idx="642">
                  <c:v>1.5475769093106313</c:v>
                </c:pt>
                <c:pt idx="643">
                  <c:v>1.5298903160613671</c:v>
                </c:pt>
                <c:pt idx="644">
                  <c:v>1.6425539681189607</c:v>
                </c:pt>
                <c:pt idx="645">
                  <c:v>1.6552881914522783</c:v>
                </c:pt>
                <c:pt idx="646">
                  <c:v>1.6804032599857932</c:v>
                </c:pt>
                <c:pt idx="647">
                  <c:v>1.6920763407839348</c:v>
                </c:pt>
                <c:pt idx="648">
                  <c:v>1.7217898174426987</c:v>
                </c:pt>
                <c:pt idx="649">
                  <c:v>1.7370003053236593</c:v>
                </c:pt>
                <c:pt idx="650">
                  <c:v>1.7276264285881426</c:v>
                </c:pt>
                <c:pt idx="651">
                  <c:v>1.7506190528719658</c:v>
                </c:pt>
                <c:pt idx="652">
                  <c:v>1.725327224525518</c:v>
                </c:pt>
                <c:pt idx="653">
                  <c:v>1.7515033117880563</c:v>
                </c:pt>
                <c:pt idx="654">
                  <c:v>1.7649451580306836</c:v>
                </c:pt>
                <c:pt idx="655">
                  <c:v>1.7599929296074828</c:v>
                </c:pt>
                <c:pt idx="656">
                  <c:v>1.7755570786070558</c:v>
                </c:pt>
                <c:pt idx="657">
                  <c:v>1.7951892148003323</c:v>
                </c:pt>
                <c:pt idx="658">
                  <c:v>1.8141138695770451</c:v>
                </c:pt>
                <c:pt idx="659">
                  <c:v>1.8319773641319885</c:v>
                </c:pt>
                <c:pt idx="660">
                  <c:v>1.8356915310277411</c:v>
                </c:pt>
                <c:pt idx="661">
                  <c:v>1.8259638516808658</c:v>
                </c:pt>
                <c:pt idx="662">
                  <c:v>1.8006720233344178</c:v>
                </c:pt>
                <c:pt idx="663">
                  <c:v>1.797488418862957</c:v>
                </c:pt>
                <c:pt idx="664">
                  <c:v>1.805270572952413</c:v>
                </c:pt>
                <c:pt idx="665">
                  <c:v>1.8075697770150376</c:v>
                </c:pt>
                <c:pt idx="666">
                  <c:v>1.8178280364727974</c:v>
                </c:pt>
                <c:pt idx="667">
                  <c:v>1.8286168583548488</c:v>
                </c:pt>
                <c:pt idx="668">
                  <c:v>1.8178280364727974</c:v>
                </c:pt>
                <c:pt idx="669">
                  <c:v>1.8409974205695541</c:v>
                </c:pt>
                <c:pt idx="670">
                  <c:v>1.8381676363960449</c:v>
                </c:pt>
                <c:pt idx="671">
                  <c:v>1.8287937773471212</c:v>
                </c:pt>
                <c:pt idx="672">
                  <c:v>1.8226034873964718</c:v>
                </c:pt>
                <c:pt idx="673">
                  <c:v>1.8440042475414884</c:v>
                </c:pt>
                <c:pt idx="674">
                  <c:v>1.8332154256594373</c:v>
                </c:pt>
                <c:pt idx="675">
                  <c:v>1.8043861902301701</c:v>
                </c:pt>
                <c:pt idx="676">
                  <c:v>1.8119914253273537</c:v>
                </c:pt>
                <c:pt idx="677">
                  <c:v>1.8275557158196725</c:v>
                </c:pt>
                <c:pt idx="678">
                  <c:v>1.8155288324101728</c:v>
                </c:pt>
                <c:pt idx="679">
                  <c:v>1.8172974563619129</c:v>
                </c:pt>
                <c:pt idx="680">
                  <c:v>1.8003183445292124</c:v>
                </c:pt>
                <c:pt idx="681">
                  <c:v>1.8356915310277411</c:v>
                </c:pt>
                <c:pt idx="682">
                  <c:v>1.8208347219519858</c:v>
                </c:pt>
                <c:pt idx="683">
                  <c:v>1.7874070783974694</c:v>
                </c:pt>
                <c:pt idx="684">
                  <c:v>1.7808631096416148</c:v>
                </c:pt>
                <c:pt idx="685">
                  <c:v>1.7739653559609949</c:v>
                </c:pt>
                <c:pt idx="686">
                  <c:v>1.7854615354534571</c:v>
                </c:pt>
                <c:pt idx="687">
                  <c:v>1.8146444320013366</c:v>
                </c:pt>
                <c:pt idx="688">
                  <c:v>1.8245490303404841</c:v>
                </c:pt>
                <c:pt idx="689">
                  <c:v>1.8264944317917506</c:v>
                </c:pt>
                <c:pt idx="690">
                  <c:v>1.8098691225704082</c:v>
                </c:pt>
                <c:pt idx="691">
                  <c:v>1.8135832894661605</c:v>
                </c:pt>
                <c:pt idx="692">
                  <c:v>1.7744959360718795</c:v>
                </c:pt>
                <c:pt idx="693">
                  <c:v>1.8286168583548488</c:v>
                </c:pt>
                <c:pt idx="694">
                  <c:v>1.8144675306956575</c:v>
                </c:pt>
                <c:pt idx="695">
                  <c:v>1.839936278034378</c:v>
                </c:pt>
                <c:pt idx="696">
                  <c:v>1.8344534695002923</c:v>
                </c:pt>
                <c:pt idx="697">
                  <c:v>1.8949415830395901</c:v>
                </c:pt>
                <c:pt idx="698">
                  <c:v>1.9296072881215549</c:v>
                </c:pt>
                <c:pt idx="699">
                  <c:v>1.9106826510314354</c:v>
                </c:pt>
                <c:pt idx="700">
                  <c:v>1.8744252056168165</c:v>
                </c:pt>
                <c:pt idx="701">
                  <c:v>1.8715952976371542</c:v>
                </c:pt>
                <c:pt idx="702">
                  <c:v>1.9174036448991221</c:v>
                </c:pt>
                <c:pt idx="703">
                  <c:v>1.926954281447572</c:v>
                </c:pt>
                <c:pt idx="704">
                  <c:v>1.9520693499810868</c:v>
                </c:pt>
                <c:pt idx="705">
                  <c:v>1.9317297323712463</c:v>
                </c:pt>
                <c:pt idx="706">
                  <c:v>1.9322603124821311</c:v>
                </c:pt>
                <c:pt idx="707">
                  <c:v>1.9571984797099669</c:v>
                </c:pt>
                <c:pt idx="708">
                  <c:v>1.992040944604865</c:v>
                </c:pt>
                <c:pt idx="709">
                  <c:v>1.990272320653125</c:v>
                </c:pt>
                <c:pt idx="710">
                  <c:v>1.9773611783275351</c:v>
                </c:pt>
                <c:pt idx="711">
                  <c:v>1.944287195891631</c:v>
                </c:pt>
                <c:pt idx="712">
                  <c:v>1.987619296292549</c:v>
                </c:pt>
                <c:pt idx="713">
                  <c:v>1.9998230986943208</c:v>
                </c:pt>
                <c:pt idx="714">
                  <c:v>2.0203395999232474</c:v>
                </c:pt>
                <c:pt idx="715">
                  <c:v>2.0293596740474058</c:v>
                </c:pt>
                <c:pt idx="716">
                  <c:v>2.0611955949558616</c:v>
                </c:pt>
                <c:pt idx="717">
                  <c:v>2.1147859548145393</c:v>
                </c:pt>
                <c:pt idx="718">
                  <c:v>2.1004598496558216</c:v>
                </c:pt>
                <c:pt idx="719">
                  <c:v>2.0926777132529586</c:v>
                </c:pt>
                <c:pt idx="720">
                  <c:v>2.0771135465667929</c:v>
                </c:pt>
                <c:pt idx="721">
                  <c:v>2.0555358851160968</c:v>
                </c:pt>
                <c:pt idx="722">
                  <c:v>2.0797664294346228</c:v>
                </c:pt>
                <c:pt idx="723">
                  <c:v>2.0670322061013051</c:v>
                </c:pt>
                <c:pt idx="724">
                  <c:v>2.0611955949558616</c:v>
                </c:pt>
                <c:pt idx="725">
                  <c:v>2.0822426762956727</c:v>
                </c:pt>
                <c:pt idx="726">
                  <c:v>2.0585425705952853</c:v>
                </c:pt>
                <c:pt idx="727">
                  <c:v>2.0707463729970574</c:v>
                </c:pt>
                <c:pt idx="728">
                  <c:v>2.082419453795199</c:v>
                </c:pt>
                <c:pt idx="729">
                  <c:v>2.0868411021075151</c:v>
                </c:pt>
                <c:pt idx="730">
                  <c:v>2.079059089510805</c:v>
                </c:pt>
                <c:pt idx="731">
                  <c:v>2.0854262807671335</c:v>
                </c:pt>
                <c:pt idx="732">
                  <c:v>2.0263529885682172</c:v>
                </c:pt>
                <c:pt idx="733">
                  <c:v>2.0297134766587641</c:v>
                </c:pt>
                <c:pt idx="734">
                  <c:v>1.9662185361475324</c:v>
                </c:pt>
                <c:pt idx="735">
                  <c:v>1.9105057497257563</c:v>
                </c:pt>
                <c:pt idx="736">
                  <c:v>1.9697559432303513</c:v>
                </c:pt>
                <c:pt idx="737">
                  <c:v>1.9039617986564947</c:v>
                </c:pt>
                <c:pt idx="738">
                  <c:v>1.9025468358233668</c:v>
                </c:pt>
                <c:pt idx="739">
                  <c:v>1.9324372137878103</c:v>
                </c:pt>
                <c:pt idx="740">
                  <c:v>1.9437566334673395</c:v>
                </c:pt>
                <c:pt idx="741">
                  <c:v>1.9106826510314354</c:v>
                </c:pt>
                <c:pt idx="742">
                  <c:v>1.9375663435166903</c:v>
                </c:pt>
                <c:pt idx="743">
                  <c:v>1.9021931570181616</c:v>
                </c:pt>
                <c:pt idx="744">
                  <c:v>1.8834452797409751</c:v>
                </c:pt>
                <c:pt idx="745">
                  <c:v>1.9198797502674259</c:v>
                </c:pt>
                <c:pt idx="746">
                  <c:v>1.9037848796642223</c:v>
                </c:pt>
                <c:pt idx="747">
                  <c:v>1.8837990823523334</c:v>
                </c:pt>
                <c:pt idx="748">
                  <c:v>1.8753094645329067</c:v>
                </c:pt>
                <c:pt idx="749">
                  <c:v>1.9051998424973497</c:v>
                </c:pt>
                <c:pt idx="750">
                  <c:v>1.9135125590110975</c:v>
                </c:pt>
                <c:pt idx="751">
                  <c:v>1.9315528310655672</c:v>
                </c:pt>
                <c:pt idx="752">
                  <c:v>1.9717014684877703</c:v>
                </c:pt>
                <c:pt idx="753">
                  <c:v>1.9732932088204242</c:v>
                </c:pt>
                <c:pt idx="754">
                  <c:v>1.9846126108133604</c:v>
                </c:pt>
                <c:pt idx="755">
                  <c:v>1.9697559432303513</c:v>
                </c:pt>
                <c:pt idx="756">
                  <c:v>1.9724088260981816</c:v>
                </c:pt>
                <c:pt idx="757">
                  <c:v>1.9357975780722041</c:v>
                </c:pt>
                <c:pt idx="758">
                  <c:v>1.9835514682781843</c:v>
                </c:pt>
                <c:pt idx="759">
                  <c:v>1.9808984439176081</c:v>
                </c:pt>
                <c:pt idx="760">
                  <c:v>1.9992925185834363</c:v>
                </c:pt>
                <c:pt idx="761">
                  <c:v>1.9455252574190793</c:v>
                </c:pt>
                <c:pt idx="762">
                  <c:v>1.9517155296831354</c:v>
                </c:pt>
                <c:pt idx="763">
                  <c:v>1.9481782817796556</c:v>
                </c:pt>
                <c:pt idx="764">
                  <c:v>1.9644499121957921</c:v>
                </c:pt>
                <c:pt idx="765">
                  <c:v>1.9870887161816642</c:v>
                </c:pt>
                <c:pt idx="766">
                  <c:v>2.0229924827910777</c:v>
                </c:pt>
                <c:pt idx="767">
                  <c:v>1.9819596041393774</c:v>
                </c:pt>
                <c:pt idx="768">
                  <c:v>1.9586133010503486</c:v>
                </c:pt>
                <c:pt idx="769">
                  <c:v>1.9257162199201237</c:v>
                </c:pt>
                <c:pt idx="770">
                  <c:v>1.9278386641698151</c:v>
                </c:pt>
                <c:pt idx="771">
                  <c:v>1.9434028131693879</c:v>
                </c:pt>
                <c:pt idx="772">
                  <c:v>1.9455252574190793</c:v>
                </c:pt>
                <c:pt idx="773">
                  <c:v>1.9653342949180352</c:v>
                </c:pt>
                <c:pt idx="774">
                  <c:v>1.9632118506683438</c:v>
                </c:pt>
                <c:pt idx="775">
                  <c:v>1.9506543871479594</c:v>
                </c:pt>
                <c:pt idx="776">
                  <c:v>2.0031835867848677</c:v>
                </c:pt>
                <c:pt idx="777">
                  <c:v>2.02670664968683</c:v>
                </c:pt>
                <c:pt idx="778">
                  <c:v>2.06933141016393</c:v>
                </c:pt>
                <c:pt idx="779">
                  <c:v>2.0527059771364349</c:v>
                </c:pt>
                <c:pt idx="780">
                  <c:v>2.0933851946695228</c:v>
                </c:pt>
                <c:pt idx="781">
                  <c:v>2.1093031462804537</c:v>
                </c:pt>
                <c:pt idx="782">
                  <c:v>2.16926069739546</c:v>
                </c:pt>
                <c:pt idx="783">
                  <c:v>2.2025114396442973</c:v>
                </c:pt>
                <c:pt idx="784">
                  <c:v>2.1687301172845754</c:v>
                </c:pt>
                <c:pt idx="785">
                  <c:v>2.1386628203278599</c:v>
                </c:pt>
                <c:pt idx="786">
                  <c:v>2.1149628561202185</c:v>
                </c:pt>
                <c:pt idx="787">
                  <c:v>2.1768659324926434</c:v>
                </c:pt>
                <c:pt idx="788">
                  <c:v>2.2018039582277336</c:v>
                </c:pt>
                <c:pt idx="789">
                  <c:v>2.1423769872236118</c:v>
                </c:pt>
                <c:pt idx="790">
                  <c:v>2.1291120422866636</c:v>
                </c:pt>
                <c:pt idx="791">
                  <c:v>2.0956843987321472</c:v>
                </c:pt>
                <c:pt idx="792">
                  <c:v>2.0403254149217296</c:v>
                </c:pt>
                <c:pt idx="793">
                  <c:v>2.0672089659142383</c:v>
                </c:pt>
                <c:pt idx="794">
                  <c:v>2.1386628203278599</c:v>
                </c:pt>
                <c:pt idx="795">
                  <c:v>2.127520319640603</c:v>
                </c:pt>
                <c:pt idx="796">
                  <c:v>2.008666395318953</c:v>
                </c:pt>
                <c:pt idx="797">
                  <c:v>2.0778210279833567</c:v>
                </c:pt>
                <c:pt idx="798">
                  <c:v>2.0886097260592549</c:v>
                </c:pt>
                <c:pt idx="799">
                  <c:v>2.0696850889691354</c:v>
                </c:pt>
                <c:pt idx="800">
                  <c:v>1.9552529367659546</c:v>
                </c:pt>
                <c:pt idx="801">
                  <c:v>1.8986557499353423</c:v>
                </c:pt>
                <c:pt idx="802">
                  <c:v>1.9839051293967966</c:v>
                </c:pt>
                <c:pt idx="803">
                  <c:v>1.986911814875985</c:v>
                </c:pt>
                <c:pt idx="804">
                  <c:v>1.9244781760792682</c:v>
                </c:pt>
                <c:pt idx="805">
                  <c:v>1.9571984797099669</c:v>
                </c:pt>
                <c:pt idx="806">
                  <c:v>1.997346975639424</c:v>
                </c:pt>
                <c:pt idx="807">
                  <c:v>2.0523522983312295</c:v>
                </c:pt>
                <c:pt idx="808">
                  <c:v>2.0905552690032674</c:v>
                </c:pt>
                <c:pt idx="809">
                  <c:v>2.128581462175779</c:v>
                </c:pt>
                <c:pt idx="810">
                  <c:v>2.0900246888923828</c:v>
                </c:pt>
                <c:pt idx="811">
                  <c:v>2.0905552690032674</c:v>
                </c:pt>
                <c:pt idx="812">
                  <c:v>2.0597806321227337</c:v>
                </c:pt>
                <c:pt idx="813">
                  <c:v>2.0714538544136212</c:v>
                </c:pt>
                <c:pt idx="814">
                  <c:v>2.0696850889691354</c:v>
                </c:pt>
                <c:pt idx="815">
                  <c:v>2.0718075155322335</c:v>
                </c:pt>
                <c:pt idx="816">
                  <c:v>2.1540502095144993</c:v>
                </c:pt>
                <c:pt idx="817">
                  <c:v>2.0948001398160572</c:v>
                </c:pt>
                <c:pt idx="818">
                  <c:v>2.0194552172010045</c:v>
                </c:pt>
                <c:pt idx="819">
                  <c:v>2.0097275378541295</c:v>
                </c:pt>
                <c:pt idx="820">
                  <c:v>2.0535903598586778</c:v>
                </c:pt>
                <c:pt idx="821">
                  <c:v>1.9909798020696887</c:v>
                </c:pt>
                <c:pt idx="822">
                  <c:v>1.9663954374532115</c:v>
                </c:pt>
                <c:pt idx="823">
                  <c:v>1.9596745850782706</c:v>
                </c:pt>
                <c:pt idx="824">
                  <c:v>1.9525999300919716</c:v>
                </c:pt>
                <c:pt idx="825">
                  <c:v>1.968694659202429</c:v>
                </c:pt>
                <c:pt idx="826">
                  <c:v>1.963388751974023</c:v>
                </c:pt>
                <c:pt idx="827">
                  <c:v>1.9683409803972238</c:v>
                </c:pt>
                <c:pt idx="828">
                  <c:v>1.9200565277669521</c:v>
                </c:pt>
                <c:pt idx="829">
                  <c:v>1.9310222509546828</c:v>
                </c:pt>
                <c:pt idx="830">
                  <c:v>2.0003536611186123</c:v>
                </c:pt>
                <c:pt idx="831">
                  <c:v>2.0346657050819652</c:v>
                </c:pt>
                <c:pt idx="832">
                  <c:v>2.0369649091445896</c:v>
                </c:pt>
                <c:pt idx="833">
                  <c:v>1.988680580320471</c:v>
                </c:pt>
                <c:pt idx="834">
                  <c:v>1.9840820307024758</c:v>
                </c:pt>
                <c:pt idx="835">
                  <c:v>1.9342058554261434</c:v>
                </c:pt>
                <c:pt idx="836">
                  <c:v>1.7686593249264357</c:v>
                </c:pt>
                <c:pt idx="837">
                  <c:v>1.8006720233344178</c:v>
                </c:pt>
                <c:pt idx="838">
                  <c:v>1.7387689469619925</c:v>
                </c:pt>
                <c:pt idx="839">
                  <c:v>1.7325786570113433</c:v>
                </c:pt>
                <c:pt idx="840">
                  <c:v>1.7562787627117307</c:v>
                </c:pt>
                <c:pt idx="841">
                  <c:v>1.8012025857587093</c:v>
                </c:pt>
                <c:pt idx="842">
                  <c:v>1.7463741820591763</c:v>
                </c:pt>
                <c:pt idx="843">
                  <c:v>1.7166607054004119</c:v>
                </c:pt>
                <c:pt idx="844">
                  <c:v>1.6834099454649818</c:v>
                </c:pt>
                <c:pt idx="845">
                  <c:v>1.7044570444913858</c:v>
                </c:pt>
                <c:pt idx="846">
                  <c:v>1.6556420117502297</c:v>
                </c:pt>
                <c:pt idx="847">
                  <c:v>1.643615110654137</c:v>
                </c:pt>
                <c:pt idx="848">
                  <c:v>1.6535195675005383</c:v>
                </c:pt>
                <c:pt idx="849">
                  <c:v>1.6275202577375265</c:v>
                </c:pt>
                <c:pt idx="850">
                  <c:v>1.6674919938540504</c:v>
                </c:pt>
                <c:pt idx="851">
                  <c:v>1.5847187197609001</c:v>
                </c:pt>
                <c:pt idx="852">
                  <c:v>1.5726918363514004</c:v>
                </c:pt>
                <c:pt idx="853">
                  <c:v>1.567209045503908</c:v>
                </c:pt>
                <c:pt idx="854">
                  <c:v>1.5638485397267681</c:v>
                </c:pt>
                <c:pt idx="855">
                  <c:v>1.5221081796585041</c:v>
                </c:pt>
                <c:pt idx="856">
                  <c:v>1.5452777052480067</c:v>
                </c:pt>
                <c:pt idx="857">
                  <c:v>1.5371418900399383</c:v>
                </c:pt>
                <c:pt idx="858">
                  <c:v>1.5806508917465354</c:v>
                </c:pt>
                <c:pt idx="859">
                  <c:v>1.5944464167943684</c:v>
                </c:pt>
                <c:pt idx="860">
                  <c:v>1.5382030325751144</c:v>
                </c:pt>
                <c:pt idx="861">
                  <c:v>1.5905553309063438</c:v>
                </c:pt>
                <c:pt idx="862">
                  <c:v>1.591616491128113</c:v>
                </c:pt>
                <c:pt idx="863">
                  <c:v>1.6050583373707406</c:v>
                </c:pt>
                <c:pt idx="864">
                  <c:v>1.628050961654564</c:v>
                </c:pt>
                <c:pt idx="865">
                  <c:v>1.6112486096347964</c:v>
                </c:pt>
                <c:pt idx="866">
                  <c:v>1.5496993535603227</c:v>
                </c:pt>
                <c:pt idx="867">
                  <c:v>1.4962857535145782</c:v>
                </c:pt>
                <c:pt idx="868">
                  <c:v>1.4250088180932292</c:v>
                </c:pt>
                <c:pt idx="869">
                  <c:v>1.4402192882875968</c:v>
                </c:pt>
                <c:pt idx="870">
                  <c:v>1.4563140173980542</c:v>
                </c:pt>
                <c:pt idx="871">
                  <c:v>1.3852139832823844</c:v>
                </c:pt>
                <c:pt idx="872">
                  <c:v>1.3590377545271002</c:v>
                </c:pt>
                <c:pt idx="873">
                  <c:v>1.4021930951150852</c:v>
                </c:pt>
                <c:pt idx="874">
                  <c:v>1.4168730028851608</c:v>
                </c:pt>
                <c:pt idx="875">
                  <c:v>1.3279094565279543</c:v>
                </c:pt>
                <c:pt idx="876">
                  <c:v>1.37778564949088</c:v>
                </c:pt>
                <c:pt idx="877">
                  <c:v>1.3717721370397571</c:v>
                </c:pt>
                <c:pt idx="878">
                  <c:v>1.3401131174369807</c:v>
                </c:pt>
                <c:pt idx="879">
                  <c:v>1.3356914691246646</c:v>
                </c:pt>
                <c:pt idx="880">
                  <c:v>1.3245489507508146</c:v>
                </c:pt>
                <c:pt idx="881">
                  <c:v>1.3335691663677192</c:v>
                </c:pt>
                <c:pt idx="882">
                  <c:v>1.3661124271999925</c:v>
                </c:pt>
                <c:pt idx="883">
                  <c:v>1.3774318291929286</c:v>
                </c:pt>
                <c:pt idx="884">
                  <c:v>1.4113901943510756</c:v>
                </c:pt>
                <c:pt idx="885">
                  <c:v>1.3887512488724578</c:v>
                </c:pt>
                <c:pt idx="886">
                  <c:v>1.3731870821862915</c:v>
                </c:pt>
                <c:pt idx="887">
                  <c:v>1.3629288404151247</c:v>
                </c:pt>
                <c:pt idx="888">
                  <c:v>1.3388750559095322</c:v>
                </c:pt>
                <c:pt idx="889">
                  <c:v>1.3431199267223219</c:v>
                </c:pt>
                <c:pt idx="890">
                  <c:v>1.3558543092349786</c:v>
                </c:pt>
                <c:pt idx="891">
                  <c:v>1.3822072978031961</c:v>
                </c:pt>
                <c:pt idx="892">
                  <c:v>1.4414573498150451</c:v>
                </c:pt>
                <c:pt idx="893">
                  <c:v>1.4784222589596347</c:v>
                </c:pt>
                <c:pt idx="894">
                  <c:v>1.4626812086543826</c:v>
                </c:pt>
                <c:pt idx="895">
                  <c:v>1.3627520629155987</c:v>
                </c:pt>
                <c:pt idx="896">
                  <c:v>1.3804386561648629</c:v>
                </c:pt>
                <c:pt idx="897">
                  <c:v>1.3339228274863315</c:v>
                </c:pt>
                <c:pt idx="898">
                  <c:v>1.3733640011785639</c:v>
                </c:pt>
                <c:pt idx="899">
                  <c:v>1.3818534775052447</c:v>
                </c:pt>
                <c:pt idx="900">
                  <c:v>1.3997169720601881</c:v>
                </c:pt>
                <c:pt idx="901">
                  <c:v>1.4011319348933156</c:v>
                </c:pt>
                <c:pt idx="902">
                  <c:v>1.3795542734426198</c:v>
                </c:pt>
                <c:pt idx="903">
                  <c:v>1.4181110467260163</c:v>
                </c:pt>
                <c:pt idx="904">
                  <c:v>1.3974177679975635</c:v>
                </c:pt>
                <c:pt idx="905">
                  <c:v>1.3947647613235805</c:v>
                </c:pt>
                <c:pt idx="906">
                  <c:v>1.3894587302890213</c:v>
                </c:pt>
                <c:pt idx="907">
                  <c:v>1.3754863039355094</c:v>
                </c:pt>
                <c:pt idx="908">
                  <c:v>1.4158118426633917</c:v>
                </c:pt>
                <c:pt idx="909">
                  <c:v>1.4354439788566684</c:v>
                </c:pt>
                <c:pt idx="910">
                  <c:v>1.4559603562794419</c:v>
                </c:pt>
                <c:pt idx="911">
                  <c:v>1.43862742414879</c:v>
                </c:pt>
                <c:pt idx="912">
                  <c:v>1.4492394862179081</c:v>
                </c:pt>
                <c:pt idx="913">
                  <c:v>1.4345595961344253</c:v>
                </c:pt>
                <c:pt idx="914">
                  <c:v>1.4322603743852074</c:v>
                </c:pt>
                <c:pt idx="915">
                  <c:v>1.4395118068710329</c:v>
                </c:pt>
                <c:pt idx="916">
                  <c:v>1.3945878423313081</c:v>
                </c:pt>
                <c:pt idx="917">
                  <c:v>1.390166194018992</c:v>
                </c:pt>
                <c:pt idx="918">
                  <c:v>1.3894587302890213</c:v>
                </c:pt>
                <c:pt idx="919">
                  <c:v>1.4297841275241576</c:v>
                </c:pt>
                <c:pt idx="920">
                  <c:v>1.3754863039355094</c:v>
                </c:pt>
                <c:pt idx="921">
                  <c:v>1.3701803967071031</c:v>
                </c:pt>
                <c:pt idx="922">
                  <c:v>1.3521400008464803</c:v>
                </c:pt>
                <c:pt idx="923">
                  <c:v>1.3613371000824708</c:v>
                </c:pt>
                <c:pt idx="924">
                  <c:v>1.3613371000824708</c:v>
                </c:pt>
                <c:pt idx="925">
                  <c:v>1.3452422471658605</c:v>
                </c:pt>
                <c:pt idx="926">
                  <c:v>1.3636363041450954</c:v>
                </c:pt>
                <c:pt idx="927">
                  <c:v>1.3680579524574117</c:v>
                </c:pt>
                <c:pt idx="928">
                  <c:v>1.3807923349700684</c:v>
                </c:pt>
                <c:pt idx="929">
                  <c:v>1.4232401764548961</c:v>
                </c:pt>
                <c:pt idx="930">
                  <c:v>1.4370357015027291</c:v>
                </c:pt>
                <c:pt idx="931">
                  <c:v>1.3887512488724578</c:v>
                </c:pt>
                <c:pt idx="932">
                  <c:v>1.3912274957335073</c:v>
                </c:pt>
                <c:pt idx="933">
                  <c:v>1.384860304477179</c:v>
                </c:pt>
                <c:pt idx="934">
                  <c:v>1.3567385504644756</c:v>
                </c:pt>
                <c:pt idx="935">
                  <c:v>1.384860304477179</c:v>
                </c:pt>
                <c:pt idx="936">
                  <c:v>1.3549699265127357</c:v>
                </c:pt>
                <c:pt idx="937">
                  <c:v>1.3245489507508146</c:v>
                </c:pt>
                <c:pt idx="938">
                  <c:v>1.2937743315568744</c:v>
                </c:pt>
                <c:pt idx="939">
                  <c:v>1.3022638078835549</c:v>
                </c:pt>
                <c:pt idx="940">
                  <c:v>1.3015563264669912</c:v>
                </c:pt>
                <c:pt idx="941">
                  <c:v>1.3056243136606949</c:v>
                </c:pt>
                <c:pt idx="942">
                  <c:v>1.3540855437904926</c:v>
                </c:pt>
                <c:pt idx="943">
                  <c:v>1.3441810869440913</c:v>
                </c:pt>
                <c:pt idx="944">
                  <c:v>1.3530243835687235</c:v>
                </c:pt>
                <c:pt idx="945">
                  <c:v>1.3615140013881499</c:v>
                </c:pt>
                <c:pt idx="946">
                  <c:v>1.4149274599411485</c:v>
                </c:pt>
                <c:pt idx="947">
                  <c:v>1.4089140889827718</c:v>
                </c:pt>
                <c:pt idx="948">
                  <c:v>1.4074991261496439</c:v>
                </c:pt>
                <c:pt idx="949">
                  <c:v>1.3707109768179877</c:v>
                </c:pt>
                <c:pt idx="950">
                  <c:v>1.3876900886506882</c:v>
                </c:pt>
                <c:pt idx="951">
                  <c:v>1.4059072620108373</c:v>
                </c:pt>
                <c:pt idx="952">
                  <c:v>1.4202334909757077</c:v>
                </c:pt>
                <c:pt idx="953">
                  <c:v>1.4515387079671258</c:v>
                </c:pt>
                <c:pt idx="954">
                  <c:v>1.432614053190413</c:v>
                </c:pt>
                <c:pt idx="955">
                  <c:v>1.4503006464396773</c:v>
                </c:pt>
                <c:pt idx="956">
                  <c:v>1.4614431471269342</c:v>
                </c:pt>
                <c:pt idx="957">
                  <c:v>1.4296073677112244</c:v>
                </c:pt>
                <c:pt idx="958">
                  <c:v>1.4120975342748934</c:v>
                </c:pt>
                <c:pt idx="959">
                  <c:v>1.2912982085019773</c:v>
                </c:pt>
                <c:pt idx="960">
                  <c:v>1.2775026834541443</c:v>
                </c:pt>
                <c:pt idx="961">
                  <c:v>1.3220728453825108</c:v>
                </c:pt>
                <c:pt idx="962">
                  <c:v>1.3203042214307708</c:v>
                </c:pt>
                <c:pt idx="963">
                  <c:v>1.3224265241877164</c:v>
                </c:pt>
                <c:pt idx="964">
                  <c:v>1.3753095264359829</c:v>
                </c:pt>
                <c:pt idx="965">
                  <c:v>1.3523169021521595</c:v>
                </c:pt>
                <c:pt idx="966">
                  <c:v>1.3677042913387991</c:v>
                </c:pt>
                <c:pt idx="967">
                  <c:v>1.3443579882497703</c:v>
                </c:pt>
                <c:pt idx="968">
                  <c:v>1.2695436457456024</c:v>
                </c:pt>
                <c:pt idx="969">
                  <c:v>1.3199504011328194</c:v>
                </c:pt>
                <c:pt idx="970">
                  <c:v>1.3330385862568344</c:v>
                </c:pt>
                <c:pt idx="971">
                  <c:v>1.3300317592849</c:v>
                </c:pt>
                <c:pt idx="972">
                  <c:v>1.3107534433895747</c:v>
                </c:pt>
                <c:pt idx="973">
                  <c:v>1.4076758859625773</c:v>
                </c:pt>
                <c:pt idx="974">
                  <c:v>1.4299610288298368</c:v>
                </c:pt>
                <c:pt idx="975">
                  <c:v>1.3873364098454828</c:v>
                </c:pt>
                <c:pt idx="976">
                  <c:v>1.3795542734426198</c:v>
                </c:pt>
                <c:pt idx="977">
                  <c:v>1.3597452359436641</c:v>
                </c:pt>
                <c:pt idx="978">
                  <c:v>1.3369295129655199</c:v>
                </c:pt>
                <c:pt idx="979">
                  <c:v>1.335337790319459</c:v>
                </c:pt>
                <c:pt idx="980">
                  <c:v>1.330208660590579</c:v>
                </c:pt>
                <c:pt idx="981">
                  <c:v>1.3634594028394165</c:v>
                </c:pt>
                <c:pt idx="982">
                  <c:v>1.3643437855616594</c:v>
                </c:pt>
                <c:pt idx="983">
                  <c:v>1.3761937853520732</c:v>
                </c:pt>
                <c:pt idx="984">
                  <c:v>1.3447116670549759</c:v>
                </c:pt>
                <c:pt idx="985">
                  <c:v>1.3478952538398434</c:v>
                </c:pt>
                <c:pt idx="986">
                  <c:v>1.393349798490453</c:v>
                </c:pt>
                <c:pt idx="987">
                  <c:v>1.3880438912620465</c:v>
                </c:pt>
                <c:pt idx="988">
                  <c:v>1.3703572980127821</c:v>
                </c:pt>
                <c:pt idx="989">
                  <c:v>1.3363989505412284</c:v>
                </c:pt>
                <c:pt idx="990">
                  <c:v>1.3061548760849864</c:v>
                </c:pt>
                <c:pt idx="991">
                  <c:v>1.3068623575015503</c:v>
                </c:pt>
                <c:pt idx="992">
                  <c:v>1.2912982085019773</c:v>
                </c:pt>
                <c:pt idx="993">
                  <c:v>1.2912982085019773</c:v>
                </c:pt>
                <c:pt idx="994">
                  <c:v>1.3250795308616994</c:v>
                </c:pt>
                <c:pt idx="995">
                  <c:v>1.3450654696663342</c:v>
                </c:pt>
                <c:pt idx="996">
                  <c:v>1.3369295129655199</c:v>
                </c:pt>
                <c:pt idx="997">
                  <c:v>1.2971346781546751</c:v>
                </c:pt>
                <c:pt idx="998">
                  <c:v>1.292713029842359</c:v>
                </c:pt>
                <c:pt idx="999">
                  <c:v>1.2746727754744822</c:v>
                </c:pt>
                <c:pt idx="1000">
                  <c:v>1.2686593868295122</c:v>
                </c:pt>
                <c:pt idx="1001">
                  <c:v>1.2939512328625535</c:v>
                </c:pt>
                <c:pt idx="1002">
                  <c:v>1.2725503312247908</c:v>
                </c:pt>
                <c:pt idx="1003">
                  <c:v>1.2978421595712388</c:v>
                </c:pt>
                <c:pt idx="1004">
                  <c:v>1.2994340237100457</c:v>
                </c:pt>
                <c:pt idx="1005">
                  <c:v>1.2787407449815928</c:v>
                </c:pt>
                <c:pt idx="1006">
                  <c:v>1.3065086963829378</c:v>
                </c:pt>
                <c:pt idx="1007">
                  <c:v>1.305801214966374</c:v>
                </c:pt>
                <c:pt idx="1008">
                  <c:v>1.3015563264669912</c:v>
                </c:pt>
                <c:pt idx="1009">
                  <c:v>1.335337790319459</c:v>
                </c:pt>
                <c:pt idx="1010">
                  <c:v>1.3125220673413147</c:v>
                </c:pt>
                <c:pt idx="1011">
                  <c:v>1.3486027352564074</c:v>
                </c:pt>
                <c:pt idx="1012">
                  <c:v>1.3337460676733983</c:v>
                </c:pt>
                <c:pt idx="1013">
                  <c:v>1.32737887641707</c:v>
                </c:pt>
                <c:pt idx="1014">
                  <c:v>1.3480721551455226</c:v>
                </c:pt>
                <c:pt idx="1015">
                  <c:v>1.345772809590152</c:v>
                </c:pt>
                <c:pt idx="1016">
                  <c:v>1.3707109768179877</c:v>
                </c:pt>
                <c:pt idx="1017">
                  <c:v>1.3586840934084878</c:v>
                </c:pt>
                <c:pt idx="1018">
                  <c:v>1.3585071921028087</c:v>
                </c:pt>
                <c:pt idx="1019">
                  <c:v>1.3392288585208905</c:v>
                </c:pt>
                <c:pt idx="1020">
                  <c:v>1.3843296005601415</c:v>
                </c:pt>
                <c:pt idx="1021">
                  <c:v>1.4105058116288325</c:v>
                </c:pt>
                <c:pt idx="1022">
                  <c:v>1.3990094906436241</c:v>
                </c:pt>
                <c:pt idx="1023">
                  <c:v>1.3951184224421929</c:v>
                </c:pt>
                <c:pt idx="1024">
                  <c:v>1.4292535650998661</c:v>
                </c:pt>
                <c:pt idx="1025">
                  <c:v>1.5068976917775434</c:v>
                </c:pt>
                <c:pt idx="1026">
                  <c:v>1.4586133629534248</c:v>
                </c:pt>
                <c:pt idx="1027">
                  <c:v>1.4849663515216422</c:v>
                </c:pt>
                <c:pt idx="1028">
                  <c:v>1.5137954454581635</c:v>
                </c:pt>
                <c:pt idx="1029">
                  <c:v>1.5689776694556479</c:v>
                </c:pt>
                <c:pt idx="1030">
                  <c:v>1.5397947729077683</c:v>
                </c:pt>
                <c:pt idx="1031">
                  <c:v>1.49929245668036</c:v>
                </c:pt>
                <c:pt idx="1032">
                  <c:v>1.5017687035414096</c:v>
                </c:pt>
                <c:pt idx="1033">
                  <c:v>1.4925715866188261</c:v>
                </c:pt>
                <c:pt idx="1034">
                  <c:v>1.4626812086543826</c:v>
                </c:pt>
                <c:pt idx="1035">
                  <c:v>1.4975238150420269</c:v>
                </c:pt>
                <c:pt idx="1036">
                  <c:v>1.4927485056110983</c:v>
                </c:pt>
                <c:pt idx="1037">
                  <c:v>1.4798372217927624</c:v>
                </c:pt>
                <c:pt idx="1038">
                  <c:v>1.4932790680353898</c:v>
                </c:pt>
                <c:pt idx="1039">
                  <c:v>1.4662186157372017</c:v>
                </c:pt>
                <c:pt idx="1040">
                  <c:v>1.4577289802311819</c:v>
                </c:pt>
                <c:pt idx="1041">
                  <c:v>1.4145737811359431</c:v>
                </c:pt>
                <c:pt idx="1042">
                  <c:v>1.4232401764548961</c:v>
                </c:pt>
                <c:pt idx="1043">
                  <c:v>1.4067916447330804</c:v>
                </c:pt>
                <c:pt idx="1044">
                  <c:v>1.3896356315947005</c:v>
                </c:pt>
                <c:pt idx="1045">
                  <c:v>1.4092677501013842</c:v>
                </c:pt>
                <c:pt idx="1046">
                  <c:v>1.4258932008154723</c:v>
                </c:pt>
                <c:pt idx="1047">
                  <c:v>1.4297841275241576</c:v>
                </c:pt>
                <c:pt idx="1048">
                  <c:v>1.4258932008154723</c:v>
                </c:pt>
                <c:pt idx="1049">
                  <c:v>1.4382737630301774</c:v>
                </c:pt>
                <c:pt idx="1050">
                  <c:v>1.4370357015027291</c:v>
                </c:pt>
                <c:pt idx="1051">
                  <c:v>1.4269543433506486</c:v>
                </c:pt>
                <c:pt idx="1052">
                  <c:v>1.4248319167875501</c:v>
                </c:pt>
                <c:pt idx="1053">
                  <c:v>1.3944109410256289</c:v>
                </c:pt>
                <c:pt idx="1054">
                  <c:v>1.369119254171927</c:v>
                </c:pt>
                <c:pt idx="1055">
                  <c:v>1.3677042913387991</c:v>
                </c:pt>
                <c:pt idx="1056">
                  <c:v>1.3645207045539318</c:v>
                </c:pt>
                <c:pt idx="1057">
                  <c:v>1.3325078646532038</c:v>
                </c:pt>
                <c:pt idx="1058">
                  <c:v>1.327555653916596</c:v>
                </c:pt>
                <c:pt idx="1059">
                  <c:v>1.2978421595712388</c:v>
                </c:pt>
                <c:pt idx="1060">
                  <c:v>1.3339228274863315</c:v>
                </c:pt>
                <c:pt idx="1061">
                  <c:v>1.3664662298113508</c:v>
                </c:pt>
                <c:pt idx="1062">
                  <c:v>1.3199504011328194</c:v>
                </c:pt>
                <c:pt idx="1063">
                  <c:v>1.3098690606673318</c:v>
                </c:pt>
                <c:pt idx="1064">
                  <c:v>1.3211884626602677</c:v>
                </c:pt>
                <c:pt idx="1065">
                  <c:v>1.3477183525341643</c:v>
                </c:pt>
                <c:pt idx="1066">
                  <c:v>1.3494871179786503</c:v>
                </c:pt>
                <c:pt idx="1067">
                  <c:v>1.3645207045539318</c:v>
                </c:pt>
                <c:pt idx="1068">
                  <c:v>1.3786698907203769</c:v>
                </c:pt>
                <c:pt idx="1069">
                  <c:v>1.4250088180932292</c:v>
                </c:pt>
                <c:pt idx="1070">
                  <c:v>1.4082066075662079</c:v>
                </c:pt>
                <c:pt idx="1071">
                  <c:v>1.3703572980127821</c:v>
                </c:pt>
                <c:pt idx="1072">
                  <c:v>1.3272019751113908</c:v>
                </c:pt>
                <c:pt idx="1073">
                  <c:v>1.3089848017512415</c:v>
                </c:pt>
                <c:pt idx="1074">
                  <c:v>1.3257870122782629</c:v>
                </c:pt>
                <c:pt idx="1075">
                  <c:v>1.3355146916251381</c:v>
                </c:pt>
                <c:pt idx="1076">
                  <c:v>1.3077467402237932</c:v>
                </c:pt>
                <c:pt idx="1077">
                  <c:v>1.3362221730417021</c:v>
                </c:pt>
                <c:pt idx="1078">
                  <c:v>1.3321542035345912</c:v>
                </c:pt>
                <c:pt idx="1079">
                  <c:v>1.3473646737289589</c:v>
                </c:pt>
                <c:pt idx="1080">
                  <c:v>1.3381677159857144</c:v>
                </c:pt>
                <c:pt idx="1081">
                  <c:v>1.3362221730417021</c:v>
                </c:pt>
                <c:pt idx="1082">
                  <c:v>1.3204811227364499</c:v>
                </c:pt>
                <c:pt idx="1083">
                  <c:v>1.2964273382308573</c:v>
                </c:pt>
                <c:pt idx="1084">
                  <c:v>1.2886452018279944</c:v>
                </c:pt>
                <c:pt idx="1085">
                  <c:v>1.2681286829124747</c:v>
                </c:pt>
                <c:pt idx="1086">
                  <c:v>1.2492040281357619</c:v>
                </c:pt>
                <c:pt idx="1087">
                  <c:v>1.2934205112589228</c:v>
                </c:pt>
                <c:pt idx="1088">
                  <c:v>1.2911213071962981</c:v>
                </c:pt>
                <c:pt idx="1089">
                  <c:v>1.2939512328625535</c:v>
                </c:pt>
                <c:pt idx="1090">
                  <c:v>1.2552175405868846</c:v>
                </c:pt>
                <c:pt idx="1091">
                  <c:v>1.2186063102475009</c:v>
                </c:pt>
                <c:pt idx="1092">
                  <c:v>1.1924300814922166</c:v>
                </c:pt>
                <c:pt idx="1093">
                  <c:v>1.2203749341992407</c:v>
                </c:pt>
                <c:pt idx="1094">
                  <c:v>1.1880084331799006</c:v>
                </c:pt>
                <c:pt idx="1095">
                  <c:v>1.1827025436380874</c:v>
                </c:pt>
                <c:pt idx="1096">
                  <c:v>1.1945525257419081</c:v>
                </c:pt>
                <c:pt idx="1097">
                  <c:v>1.1876547720612882</c:v>
                </c:pt>
                <c:pt idx="1098">
                  <c:v>1.1864167105338395</c:v>
                </c:pt>
                <c:pt idx="1099">
                  <c:v>1.1963211496936479</c:v>
                </c:pt>
                <c:pt idx="1100">
                  <c:v>1.1708524200415207</c:v>
                </c:pt>
                <c:pt idx="1101">
                  <c:v>1.1899539761239128</c:v>
                </c:pt>
                <c:pt idx="1102">
                  <c:v>1.2129466004077361</c:v>
                </c:pt>
                <c:pt idx="1103">
                  <c:v>1.2090555322063048</c:v>
                </c:pt>
                <c:pt idx="1104">
                  <c:v>1.2117085388802877</c:v>
                </c:pt>
                <c:pt idx="1105">
                  <c:v>1.2118853163798142</c:v>
                </c:pt>
                <c:pt idx="1106">
                  <c:v>1.196144248387969</c:v>
                </c:pt>
                <c:pt idx="1107">
                  <c:v>1.1878316733669674</c:v>
                </c:pt>
                <c:pt idx="1108">
                  <c:v>1.1938450443253441</c:v>
                </c:pt>
                <c:pt idx="1109">
                  <c:v>1.1809337781936016</c:v>
                </c:pt>
                <c:pt idx="1110">
                  <c:v>1.1499822400073889</c:v>
                </c:pt>
                <c:pt idx="1111">
                  <c:v>1.1736823457077761</c:v>
                </c:pt>
                <c:pt idx="1112">
                  <c:v>1.2359390831988137</c:v>
                </c:pt>
                <c:pt idx="1113">
                  <c:v>1.2311637737678851</c:v>
                </c:pt>
                <c:pt idx="1114">
                  <c:v>1.2645914173224015</c:v>
                </c:pt>
                <c:pt idx="1115">
                  <c:v>1.2859921774674181</c:v>
                </c:pt>
                <c:pt idx="1116">
                  <c:v>1.2891757642522859</c:v>
                </c:pt>
                <c:pt idx="1117">
                  <c:v>1.2861690787730973</c:v>
                </c:pt>
                <c:pt idx="1118">
                  <c:v>1.2987265422934819</c:v>
                </c:pt>
                <c:pt idx="1119">
                  <c:v>1.3250795308616994</c:v>
                </c:pt>
                <c:pt idx="1120">
                  <c:v>1.2622922132597769</c:v>
                </c:pt>
                <c:pt idx="1121">
                  <c:v>1.296073535619499</c:v>
                </c:pt>
                <c:pt idx="1122">
                  <c:v>1.2985496409878028</c:v>
                </c:pt>
                <c:pt idx="1123">
                  <c:v>1.2656525775441709</c:v>
                </c:pt>
                <c:pt idx="1124">
                  <c:v>1.2688361643290385</c:v>
                </c:pt>
                <c:pt idx="1125">
                  <c:v>1.2541563980517088</c:v>
                </c:pt>
                <c:pt idx="1126">
                  <c:v>1.2474354041840221</c:v>
                </c:pt>
                <c:pt idx="1127">
                  <c:v>1.271135509884409</c:v>
                </c:pt>
                <c:pt idx="1128">
                  <c:v>1.2744958741688031</c:v>
                </c:pt>
                <c:pt idx="1129">
                  <c:v>1.2796249862110898</c:v>
                </c:pt>
                <c:pt idx="1130">
                  <c:v>1.3100459619730109</c:v>
                </c:pt>
                <c:pt idx="1131">
                  <c:v>1.3303855618962581</c:v>
                </c:pt>
                <c:pt idx="1132">
                  <c:v>1.3360452717360229</c:v>
                </c:pt>
                <c:pt idx="1133">
                  <c:v>1.3677042913387991</c:v>
                </c:pt>
                <c:pt idx="1134">
                  <c:v>1.359568476130731</c:v>
                </c:pt>
                <c:pt idx="1135">
                  <c:v>1.3712415569288725</c:v>
                </c:pt>
                <c:pt idx="1136">
                  <c:v>1.3979483481084483</c:v>
                </c:pt>
                <c:pt idx="1137">
                  <c:v>1.4294304664055453</c:v>
                </c:pt>
                <c:pt idx="1138">
                  <c:v>1.4340290160235405</c:v>
                </c:pt>
                <c:pt idx="1139">
                  <c:v>1.4543686159467879</c:v>
                </c:pt>
                <c:pt idx="1140">
                  <c:v>1.4623275298491774</c:v>
                </c:pt>
                <c:pt idx="1141">
                  <c:v>1.4747080920638824</c:v>
                </c:pt>
                <c:pt idx="1142">
                  <c:v>1.4931021667297106</c:v>
                </c:pt>
                <c:pt idx="1143">
                  <c:v>1.4955782897846075</c:v>
                </c:pt>
                <c:pt idx="1144">
                  <c:v>1.4439334551833489</c:v>
                </c:pt>
                <c:pt idx="1145">
                  <c:v>1.390873675435556</c:v>
                </c:pt>
                <c:pt idx="1146">
                  <c:v>1.4165191825872094</c:v>
                </c:pt>
                <c:pt idx="1147">
                  <c:v>1.4186416268369009</c:v>
                </c:pt>
                <c:pt idx="1148">
                  <c:v>1.3340997287920107</c:v>
                </c:pt>
                <c:pt idx="1149">
                  <c:v>1.2937743315568744</c:v>
                </c:pt>
                <c:pt idx="1150">
                  <c:v>1.3187123572919639</c:v>
                </c:pt>
                <c:pt idx="1151">
                  <c:v>1.3114609248061386</c:v>
                </c:pt>
                <c:pt idx="1152">
                  <c:v>1.3073929376124349</c:v>
                </c:pt>
                <c:pt idx="1153">
                  <c:v>1.3141139314801216</c:v>
                </c:pt>
                <c:pt idx="1154">
                  <c:v>1.3392288585208905</c:v>
                </c:pt>
                <c:pt idx="1155">
                  <c:v>1.3284400366388391</c:v>
                </c:pt>
                <c:pt idx="1156">
                  <c:v>1.3360452717360229</c:v>
                </c:pt>
                <c:pt idx="1157">
                  <c:v>1.3409975001592236</c:v>
                </c:pt>
                <c:pt idx="1158">
                  <c:v>1.349133315367292</c:v>
                </c:pt>
                <c:pt idx="1159">
                  <c:v>1.3487796365620865</c:v>
                </c:pt>
                <c:pt idx="1160">
                  <c:v>1.347541575034638</c:v>
                </c:pt>
                <c:pt idx="1161">
                  <c:v>1.3445347657492968</c:v>
                </c:pt>
                <c:pt idx="1162">
                  <c:v>1.3240183883265231</c:v>
                </c:pt>
                <c:pt idx="1163">
                  <c:v>1.3105765243973024</c:v>
                </c:pt>
                <c:pt idx="1164">
                  <c:v>1.3081004190289987</c:v>
                </c:pt>
                <c:pt idx="1165">
                  <c:v>1.3203042214307708</c:v>
                </c:pt>
                <c:pt idx="1166">
                  <c:v>1.3277325552222752</c:v>
                </c:pt>
                <c:pt idx="1167">
                  <c:v>1.3303855618962581</c:v>
                </c:pt>
                <c:pt idx="1168">
                  <c:v>1.3312698208123486</c:v>
                </c:pt>
                <c:pt idx="1169">
                  <c:v>1.3126989686469939</c:v>
                </c:pt>
                <c:pt idx="1170">
                  <c:v>1.3257870122782629</c:v>
                </c:pt>
                <c:pt idx="1171">
                  <c:v>1.3206578825493833</c:v>
                </c:pt>
                <c:pt idx="1172">
                  <c:v>1.3335691663677192</c:v>
                </c:pt>
                <c:pt idx="1173">
                  <c:v>1.3369295129655199</c:v>
                </c:pt>
                <c:pt idx="1174">
                  <c:v>1.3081004190289987</c:v>
                </c:pt>
                <c:pt idx="1175">
                  <c:v>1.3261408148896212</c:v>
                </c:pt>
                <c:pt idx="1176">
                  <c:v>1.3026176281815065</c:v>
                </c:pt>
                <c:pt idx="1177">
                  <c:v>1.2780332635650291</c:v>
                </c:pt>
                <c:pt idx="1178">
                  <c:v>1.2958966343138199</c:v>
                </c:pt>
                <c:pt idx="1179">
                  <c:v>1.2946585727863713</c:v>
                </c:pt>
                <c:pt idx="1180">
                  <c:v>1.2796249862110898</c:v>
                </c:pt>
                <c:pt idx="1181">
                  <c:v>1.2794480849054106</c:v>
                </c:pt>
                <c:pt idx="1182">
                  <c:v>1.2845772146342906</c:v>
                </c:pt>
                <c:pt idx="1183">
                  <c:v>1.3203042214307708</c:v>
                </c:pt>
                <c:pt idx="1184">
                  <c:v>1.3282631176465667</c:v>
                </c:pt>
                <c:pt idx="1185">
                  <c:v>1.3114609248061386</c:v>
                </c:pt>
                <c:pt idx="1186">
                  <c:v>1.324725869743087</c:v>
                </c:pt>
                <c:pt idx="1187">
                  <c:v>1.3146445115910061</c:v>
                </c:pt>
                <c:pt idx="1188">
                  <c:v>1.3008489865431734</c:v>
                </c:pt>
                <c:pt idx="1189">
                  <c:v>1.2897063443631707</c:v>
                </c:pt>
                <c:pt idx="1190">
                  <c:v>1.3061548760849864</c:v>
                </c:pt>
                <c:pt idx="1191">
                  <c:v>1.2661831399684624</c:v>
                </c:pt>
                <c:pt idx="1192">
                  <c:v>1.2935974125646019</c:v>
                </c:pt>
                <c:pt idx="1193">
                  <c:v>1.2946585727863713</c:v>
                </c:pt>
                <c:pt idx="1194">
                  <c:v>1.296073535619499</c:v>
                </c:pt>
                <c:pt idx="1195">
                  <c:v>1.2739652940579185</c:v>
                </c:pt>
                <c:pt idx="1196">
                  <c:v>1.3056243136606949</c:v>
                </c:pt>
                <c:pt idx="1197">
                  <c:v>1.3015563264669912</c:v>
                </c:pt>
                <c:pt idx="1198">
                  <c:v>1.304739930938452</c:v>
                </c:pt>
                <c:pt idx="1199">
                  <c:v>1.3211884626602677</c:v>
                </c:pt>
                <c:pt idx="1200">
                  <c:v>1.3512557596169834</c:v>
                </c:pt>
                <c:pt idx="1201">
                  <c:v>1.3556774079292995</c:v>
                </c:pt>
                <c:pt idx="1202">
                  <c:v>1.3618676801933556</c:v>
                </c:pt>
                <c:pt idx="1203">
                  <c:v>1.3636363041450954</c:v>
                </c:pt>
                <c:pt idx="1204">
                  <c:v>1.3388750559095322</c:v>
                </c:pt>
                <c:pt idx="1205">
                  <c:v>1.3507251795060988</c:v>
                </c:pt>
                <c:pt idx="1206">
                  <c:v>1.3613371000824708</c:v>
                </c:pt>
                <c:pt idx="1207">
                  <c:v>1.3362221730417021</c:v>
                </c:pt>
                <c:pt idx="1208">
                  <c:v>1.3171206169593099</c:v>
                </c:pt>
                <c:pt idx="1209">
                  <c:v>1.3027945294871857</c:v>
                </c:pt>
                <c:pt idx="1210">
                  <c:v>1.2815705291551021</c:v>
                </c:pt>
                <c:pt idx="1211">
                  <c:v>1.2757339180096585</c:v>
                </c:pt>
                <c:pt idx="1212">
                  <c:v>1.3010257640426997</c:v>
                </c:pt>
                <c:pt idx="1213">
                  <c:v>1.2964273382308573</c:v>
                </c:pt>
                <c:pt idx="1214">
                  <c:v>1.290944405890619</c:v>
                </c:pt>
                <c:pt idx="1215">
                  <c:v>1.3096922831678055</c:v>
                </c:pt>
                <c:pt idx="1216">
                  <c:v>1.3224265241877164</c:v>
                </c:pt>
                <c:pt idx="1217">
                  <c:v>1.308454221640357</c:v>
                </c:pt>
                <c:pt idx="1218">
                  <c:v>1.3411744014649027</c:v>
                </c:pt>
                <c:pt idx="1219">
                  <c:v>1.3503713592081472</c:v>
                </c:pt>
                <c:pt idx="1220">
                  <c:v>1.3540855437904926</c:v>
                </c:pt>
                <c:pt idx="1221">
                  <c:v>1.3194198210219346</c:v>
                </c:pt>
                <c:pt idx="1222">
                  <c:v>1.3379908146800352</c:v>
                </c:pt>
                <c:pt idx="1223">
                  <c:v>1.3463035311937825</c:v>
                </c:pt>
                <c:pt idx="1224">
                  <c:v>1.3616907788876764</c:v>
                </c:pt>
                <c:pt idx="1225">
                  <c:v>1.3546161062147841</c:v>
                </c:pt>
                <c:pt idx="1226">
                  <c:v>1.4234170777605752</c:v>
                </c:pt>
                <c:pt idx="1227">
                  <c:v>1.4163424227742762</c:v>
                </c:pt>
                <c:pt idx="1228">
                  <c:v>1.4110363917397173</c:v>
                </c:pt>
                <c:pt idx="1229">
                  <c:v>1.4299610288298368</c:v>
                </c:pt>
                <c:pt idx="1230">
                  <c:v>1.4577289802311819</c:v>
                </c:pt>
                <c:pt idx="1231">
                  <c:v>1.4434028927590574</c:v>
                </c:pt>
                <c:pt idx="1232">
                  <c:v>1.4419879299259299</c:v>
                </c:pt>
                <c:pt idx="1233">
                  <c:v>1.4372126028084082</c:v>
                </c:pt>
                <c:pt idx="1234">
                  <c:v>1.440396189593276</c:v>
                </c:pt>
                <c:pt idx="1235">
                  <c:v>1.4214715525031563</c:v>
                </c:pt>
                <c:pt idx="1236">
                  <c:v>1.4237707565657809</c:v>
                </c:pt>
                <c:pt idx="1237">
                  <c:v>1.4499469676344718</c:v>
                </c:pt>
                <c:pt idx="1238">
                  <c:v>1.4745313322509492</c:v>
                </c:pt>
                <c:pt idx="1239">
                  <c:v>1.4998231605973973</c:v>
                </c:pt>
                <c:pt idx="1240">
                  <c:v>1.456844739001685</c:v>
                </c:pt>
                <c:pt idx="1241">
                  <c:v>1.4596745231751942</c:v>
                </c:pt>
                <c:pt idx="1242">
                  <c:v>1.4695789623350024</c:v>
                </c:pt>
                <c:pt idx="1243">
                  <c:v>1.4695789623350024</c:v>
                </c:pt>
                <c:pt idx="1244">
                  <c:v>1.4835513886885148</c:v>
                </c:pt>
                <c:pt idx="1245">
                  <c:v>1.4807216045150053</c:v>
                </c:pt>
                <c:pt idx="1246">
                  <c:v>1.4877962771878974</c:v>
                </c:pt>
                <c:pt idx="1247">
                  <c:v>1.5320127603110585</c:v>
                </c:pt>
                <c:pt idx="1248">
                  <c:v>1.5389105139916783</c:v>
                </c:pt>
                <c:pt idx="1249">
                  <c:v>1.5422708782760721</c:v>
                </c:pt>
                <c:pt idx="1250">
                  <c:v>1.5452777052480067</c:v>
                </c:pt>
                <c:pt idx="1251">
                  <c:v>1.5235231248050387</c:v>
                </c:pt>
                <c:pt idx="1252">
                  <c:v>1.5355500259011314</c:v>
                </c:pt>
                <c:pt idx="1253">
                  <c:v>1.5435089398035209</c:v>
                </c:pt>
                <c:pt idx="1254">
                  <c:v>1.5502299336712075</c:v>
                </c:pt>
                <c:pt idx="1255">
                  <c:v>1.5565971072409426</c:v>
                </c:pt>
                <c:pt idx="1256">
                  <c:v>1.5592501316015188</c:v>
                </c:pt>
                <c:pt idx="1257">
                  <c:v>1.5550052431021359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5E-40E2-96D9-82C28B70D044}"/>
            </c:ext>
          </c:extLst>
        </c:ser>
        <c:ser>
          <c:idx val="2"/>
          <c:order val="2"/>
          <c:tx>
            <c:v>RL_szim</c:v>
          </c:tx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Számolások!$AD$4:$AD$12560</c:f>
              <c:numCache>
                <c:formatCode>0</c:formatCode>
                <c:ptCount val="12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 formatCode="General">
                  <c:v>1250</c:v>
                </c:pt>
                <c:pt idx="1251" formatCode="General">
                  <c:v>1251</c:v>
                </c:pt>
                <c:pt idx="1252" formatCode="General">
                  <c:v>1252</c:v>
                </c:pt>
                <c:pt idx="1253" formatCode="General">
                  <c:v>1253</c:v>
                </c:pt>
                <c:pt idx="1254" formatCode="General">
                  <c:v>1254</c:v>
                </c:pt>
                <c:pt idx="1255" formatCode="General">
                  <c:v>1255</c:v>
                </c:pt>
                <c:pt idx="1256" formatCode="General">
                  <c:v>1256</c:v>
                </c:pt>
                <c:pt idx="1257" formatCode="General">
                  <c:v>1257</c:v>
                </c:pt>
              </c:numCache>
            </c:numRef>
          </c:xVal>
          <c:yVal>
            <c:numRef>
              <c:f>Számolások!$AR$4:$AR$1261</c:f>
              <c:numCache>
                <c:formatCode>0.00</c:formatCode>
                <c:ptCount val="1258"/>
                <c:pt idx="0">
                  <c:v>1</c:v>
                </c:pt>
                <c:pt idx="1">
                  <c:v>0.98084551188642422</c:v>
                </c:pt>
                <c:pt idx="2">
                  <c:v>0.98096999802845031</c:v>
                </c:pt>
                <c:pt idx="3">
                  <c:v>0.985863059574274</c:v>
                </c:pt>
                <c:pt idx="4">
                  <c:v>0.98395288127617242</c:v>
                </c:pt>
                <c:pt idx="5">
                  <c:v>0.94953261015011015</c:v>
                </c:pt>
                <c:pt idx="6">
                  <c:v>0.9385324796860719</c:v>
                </c:pt>
                <c:pt idx="7">
                  <c:v>0.96499565314799973</c:v>
                </c:pt>
                <c:pt idx="8">
                  <c:v>0.95731951925250258</c:v>
                </c:pt>
                <c:pt idx="9">
                  <c:v>0.89892810297830916</c:v>
                </c:pt>
                <c:pt idx="10">
                  <c:v>0.92595449444964106</c:v>
                </c:pt>
                <c:pt idx="11">
                  <c:v>0.9329453624738393</c:v>
                </c:pt>
                <c:pt idx="12">
                  <c:v>0.87219568144645554</c:v>
                </c:pt>
                <c:pt idx="13">
                  <c:v>0.87626508921075208</c:v>
                </c:pt>
                <c:pt idx="14">
                  <c:v>0.89302555973002951</c:v>
                </c:pt>
                <c:pt idx="15">
                  <c:v>0.89416199037831512</c:v>
                </c:pt>
                <c:pt idx="16">
                  <c:v>0.88194029431913201</c:v>
                </c:pt>
                <c:pt idx="17">
                  <c:v>0.89102358098639911</c:v>
                </c:pt>
                <c:pt idx="18">
                  <c:v>0.84058192820438571</c:v>
                </c:pt>
                <c:pt idx="19">
                  <c:v>0.82402232011198784</c:v>
                </c:pt>
                <c:pt idx="20">
                  <c:v>0.81764860050023869</c:v>
                </c:pt>
                <c:pt idx="21">
                  <c:v>0.84920624371076003</c:v>
                </c:pt>
                <c:pt idx="22">
                  <c:v>0.83772641092069677</c:v>
                </c:pt>
                <c:pt idx="23">
                  <c:v>0.82444823428188418</c:v>
                </c:pt>
                <c:pt idx="24">
                  <c:v>0.80408011812813696</c:v>
                </c:pt>
                <c:pt idx="25">
                  <c:v>0.76861466801740841</c:v>
                </c:pt>
                <c:pt idx="26">
                  <c:v>0.75585628946027261</c:v>
                </c:pt>
                <c:pt idx="27">
                  <c:v>0.76638789728284606</c:v>
                </c:pt>
                <c:pt idx="28">
                  <c:v>0.78499289190238675</c:v>
                </c:pt>
                <c:pt idx="29">
                  <c:v>0.75486329685193632</c:v>
                </c:pt>
                <c:pt idx="30">
                  <c:v>0.73618416184591207</c:v>
                </c:pt>
                <c:pt idx="31">
                  <c:v>0.7364322045480487</c:v>
                </c:pt>
                <c:pt idx="32">
                  <c:v>0.73086263937813545</c:v>
                </c:pt>
                <c:pt idx="33">
                  <c:v>0.71754987725680419</c:v>
                </c:pt>
                <c:pt idx="34">
                  <c:v>0.69393251568566061</c:v>
                </c:pt>
                <c:pt idx="35">
                  <c:v>0.71103749197398625</c:v>
                </c:pt>
                <c:pt idx="36">
                  <c:v>0.70205686243880749</c:v>
                </c:pt>
                <c:pt idx="37">
                  <c:v>0.69512561764436986</c:v>
                </c:pt>
                <c:pt idx="38">
                  <c:v>0.68462049391376556</c:v>
                </c:pt>
                <c:pt idx="39">
                  <c:v>0.68815098969443855</c:v>
                </c:pt>
                <c:pt idx="40">
                  <c:v>0.6858230059264605</c:v>
                </c:pt>
                <c:pt idx="41">
                  <c:v>0.70264421153445533</c:v>
                </c:pt>
                <c:pt idx="42">
                  <c:v>0.73496751658385073</c:v>
                </c:pt>
                <c:pt idx="43">
                  <c:v>0.74592243481933507</c:v>
                </c:pt>
                <c:pt idx="44">
                  <c:v>0.74419699042375587</c:v>
                </c:pt>
                <c:pt idx="45">
                  <c:v>0.71914827323044417</c:v>
                </c:pt>
                <c:pt idx="46">
                  <c:v>0.7107183298943488</c:v>
                </c:pt>
                <c:pt idx="47">
                  <c:v>0.67186838939070981</c:v>
                </c:pt>
                <c:pt idx="48">
                  <c:v>0.66974851731096519</c:v>
                </c:pt>
                <c:pt idx="49">
                  <c:v>0.68061949601019256</c:v>
                </c:pt>
                <c:pt idx="50">
                  <c:v>0.67433479603150415</c:v>
                </c:pt>
                <c:pt idx="51">
                  <c:v>0.65407271785463639</c:v>
                </c:pt>
                <c:pt idx="52">
                  <c:v>0.65379027085770669</c:v>
                </c:pt>
                <c:pt idx="53">
                  <c:v>0.64647710697968674</c:v>
                </c:pt>
                <c:pt idx="54">
                  <c:v>0.66896561423519563</c:v>
                </c:pt>
                <c:pt idx="55">
                  <c:v>0.65501164784739863</c:v>
                </c:pt>
                <c:pt idx="56">
                  <c:v>0.66804957882905813</c:v>
                </c:pt>
                <c:pt idx="57">
                  <c:v>0.70040352577746123</c:v>
                </c:pt>
                <c:pt idx="58">
                  <c:v>0.69589695890466907</c:v>
                </c:pt>
                <c:pt idx="59">
                  <c:v>0.68944977757927539</c:v>
                </c:pt>
                <c:pt idx="60">
                  <c:v>0.67994847422732774</c:v>
                </c:pt>
                <c:pt idx="61">
                  <c:v>0.65622463719320379</c:v>
                </c:pt>
                <c:pt idx="62">
                  <c:v>0.62846147459600521</c:v>
                </c:pt>
                <c:pt idx="63">
                  <c:v>0.64108481368425208</c:v>
                </c:pt>
                <c:pt idx="64">
                  <c:v>0.6226937729229548</c:v>
                </c:pt>
                <c:pt idx="65">
                  <c:v>0.62784387591547819</c:v>
                </c:pt>
                <c:pt idx="66">
                  <c:v>0.65366056974474784</c:v>
                </c:pt>
                <c:pt idx="67">
                  <c:v>0.62090354081118126</c:v>
                </c:pt>
                <c:pt idx="68">
                  <c:v>0.63618430059239561</c:v>
                </c:pt>
                <c:pt idx="69">
                  <c:v>0.6167481738470737</c:v>
                </c:pt>
                <c:pt idx="70">
                  <c:v>0.64831485519783816</c:v>
                </c:pt>
                <c:pt idx="71">
                  <c:v>0.6436866158391843</c:v>
                </c:pt>
                <c:pt idx="72">
                  <c:v>0.65659041076008606</c:v>
                </c:pt>
                <c:pt idx="73">
                  <c:v>0.67655995651934175</c:v>
                </c:pt>
                <c:pt idx="74">
                  <c:v>0.6595707901179414</c:v>
                </c:pt>
                <c:pt idx="75">
                  <c:v>0.68306794865293841</c:v>
                </c:pt>
                <c:pt idx="76">
                  <c:v>0.68847622712595891</c:v>
                </c:pt>
                <c:pt idx="77">
                  <c:v>0.68512277006433653</c:v>
                </c:pt>
                <c:pt idx="78">
                  <c:v>0.69256555704896683</c:v>
                </c:pt>
                <c:pt idx="79">
                  <c:v>0.67943402621235194</c:v>
                </c:pt>
                <c:pt idx="80">
                  <c:v>0.70464764754450993</c:v>
                </c:pt>
                <c:pt idx="81">
                  <c:v>0.70159590785334081</c:v>
                </c:pt>
                <c:pt idx="82">
                  <c:v>0.68777815558637356</c:v>
                </c:pt>
                <c:pt idx="83">
                  <c:v>0.70082865560096763</c:v>
                </c:pt>
                <c:pt idx="84">
                  <c:v>0.68037381714417922</c:v>
                </c:pt>
                <c:pt idx="85">
                  <c:v>0.66420261554661097</c:v>
                </c:pt>
                <c:pt idx="86">
                  <c:v>0.67873911072767712</c:v>
                </c:pt>
                <c:pt idx="87">
                  <c:v>0.66478751356205013</c:v>
                </c:pt>
                <c:pt idx="88">
                  <c:v>0.66629121558695559</c:v>
                </c:pt>
                <c:pt idx="89">
                  <c:v>0.66267888349872628</c:v>
                </c:pt>
                <c:pt idx="90">
                  <c:v>0.67416584077645281</c:v>
                </c:pt>
                <c:pt idx="91">
                  <c:v>0.65270659421144561</c:v>
                </c:pt>
                <c:pt idx="92">
                  <c:v>0.66139313300179103</c:v>
                </c:pt>
                <c:pt idx="93">
                  <c:v>0.67078707393249648</c:v>
                </c:pt>
                <c:pt idx="94">
                  <c:v>0.69309949291825368</c:v>
                </c:pt>
                <c:pt idx="95">
                  <c:v>0.72000753044349863</c:v>
                </c:pt>
                <c:pt idx="96">
                  <c:v>0.70139465272601953</c:v>
                </c:pt>
                <c:pt idx="97">
                  <c:v>0.66839149252348118</c:v>
                </c:pt>
                <c:pt idx="98">
                  <c:v>0.68766256443363194</c:v>
                </c:pt>
                <c:pt idx="99">
                  <c:v>0.68152815030700831</c:v>
                </c:pt>
                <c:pt idx="100">
                  <c:v>0.67384958502200576</c:v>
                </c:pt>
                <c:pt idx="101">
                  <c:v>0.68113799431309707</c:v>
                </c:pt>
                <c:pt idx="102">
                  <c:v>0.65753452891042297</c:v>
                </c:pt>
                <c:pt idx="103">
                  <c:v>0.65885211924693798</c:v>
                </c:pt>
                <c:pt idx="104">
                  <c:v>0.65745427746193363</c:v>
                </c:pt>
                <c:pt idx="105">
                  <c:v>0.64771558834791942</c:v>
                </c:pt>
                <c:pt idx="106">
                  <c:v>0.64116122381254514</c:v>
                </c:pt>
                <c:pt idx="107">
                  <c:v>0.66094953452307093</c:v>
                </c:pt>
                <c:pt idx="108">
                  <c:v>0.66054902785642977</c:v>
                </c:pt>
                <c:pt idx="109">
                  <c:v>0.67705963783066481</c:v>
                </c:pt>
                <c:pt idx="110">
                  <c:v>0.67956861429339599</c:v>
                </c:pt>
                <c:pt idx="111">
                  <c:v>0.72775724421550758</c:v>
                </c:pt>
                <c:pt idx="112">
                  <c:v>0.75408821027654116</c:v>
                </c:pt>
                <c:pt idx="113">
                  <c:v>0.76636032807611743</c:v>
                </c:pt>
                <c:pt idx="114">
                  <c:v>0.7657107853879781</c:v>
                </c:pt>
                <c:pt idx="115">
                  <c:v>0.77176981550795043</c:v>
                </c:pt>
                <c:pt idx="116">
                  <c:v>0.78305820181527053</c:v>
                </c:pt>
                <c:pt idx="117">
                  <c:v>0.77037748682735119</c:v>
                </c:pt>
                <c:pt idx="118">
                  <c:v>0.77803763361544909</c:v>
                </c:pt>
                <c:pt idx="119">
                  <c:v>0.75170942224472415</c:v>
                </c:pt>
                <c:pt idx="120">
                  <c:v>0.7277072155678187</c:v>
                </c:pt>
                <c:pt idx="121">
                  <c:v>0.71856131494123987</c:v>
                </c:pt>
                <c:pt idx="122">
                  <c:v>0.7171736596119318</c:v>
                </c:pt>
                <c:pt idx="123">
                  <c:v>0.73942467893323782</c:v>
                </c:pt>
                <c:pt idx="124">
                  <c:v>0.7338054316192244</c:v>
                </c:pt>
                <c:pt idx="125">
                  <c:v>0.75174263312647627</c:v>
                </c:pt>
                <c:pt idx="126">
                  <c:v>0.77507502172145359</c:v>
                </c:pt>
                <c:pt idx="127">
                  <c:v>0.74823553937742149</c:v>
                </c:pt>
                <c:pt idx="128">
                  <c:v>0.72559284243484157</c:v>
                </c:pt>
                <c:pt idx="129">
                  <c:v>0.69771186475722968</c:v>
                </c:pt>
                <c:pt idx="130">
                  <c:v>0.68638403611350052</c:v>
                </c:pt>
                <c:pt idx="131">
                  <c:v>0.71020900007442167</c:v>
                </c:pt>
                <c:pt idx="132">
                  <c:v>0.67443289043027166</c:v>
                </c:pt>
                <c:pt idx="133">
                  <c:v>0.69604532738686165</c:v>
                </c:pt>
                <c:pt idx="134">
                  <c:v>0.73377857189187856</c:v>
                </c:pt>
                <c:pt idx="135">
                  <c:v>0.72323792110761675</c:v>
                </c:pt>
                <c:pt idx="136">
                  <c:v>0.72078914616615208</c:v>
                </c:pt>
                <c:pt idx="137">
                  <c:v>0.68324664674877544</c:v>
                </c:pt>
                <c:pt idx="138">
                  <c:v>0.68723825426710849</c:v>
                </c:pt>
                <c:pt idx="139">
                  <c:v>0.6817782465872505</c:v>
                </c:pt>
                <c:pt idx="140">
                  <c:v>0.67581000944906988</c:v>
                </c:pt>
                <c:pt idx="141">
                  <c:v>0.66743343587065029</c:v>
                </c:pt>
                <c:pt idx="142">
                  <c:v>0.69453236377846583</c:v>
                </c:pt>
                <c:pt idx="143">
                  <c:v>0.68289588205352691</c:v>
                </c:pt>
                <c:pt idx="144">
                  <c:v>0.62748872559140156</c:v>
                </c:pt>
                <c:pt idx="145">
                  <c:v>0.65573143333733086</c:v>
                </c:pt>
                <c:pt idx="146">
                  <c:v>0.63721758006153717</c:v>
                </c:pt>
                <c:pt idx="147">
                  <c:v>0.64161590370701205</c:v>
                </c:pt>
                <c:pt idx="148">
                  <c:v>0.64906464460108415</c:v>
                </c:pt>
                <c:pt idx="149">
                  <c:v>0.66478232906383716</c:v>
                </c:pt>
                <c:pt idx="150">
                  <c:v>0.64651928622135479</c:v>
                </c:pt>
                <c:pt idx="151">
                  <c:v>0.66763732599082826</c:v>
                </c:pt>
                <c:pt idx="152">
                  <c:v>0.68623581932275657</c:v>
                </c:pt>
                <c:pt idx="153">
                  <c:v>0.68574913722209385</c:v>
                </c:pt>
                <c:pt idx="154">
                  <c:v>0.67943250855210224</c:v>
                </c:pt>
                <c:pt idx="155">
                  <c:v>0.68115650354461388</c:v>
                </c:pt>
                <c:pt idx="156">
                  <c:v>0.68364057587600113</c:v>
                </c:pt>
                <c:pt idx="157">
                  <c:v>0.68591490038156666</c:v>
                </c:pt>
                <c:pt idx="158">
                  <c:v>0.6628639095631087</c:v>
                </c:pt>
                <c:pt idx="159">
                  <c:v>0.67967669858185231</c:v>
                </c:pt>
                <c:pt idx="160">
                  <c:v>0.71267996692528546</c:v>
                </c:pt>
                <c:pt idx="161">
                  <c:v>0.71068014926926004</c:v>
                </c:pt>
                <c:pt idx="162">
                  <c:v>0.71965058378421998</c:v>
                </c:pt>
                <c:pt idx="163">
                  <c:v>0.73401133207843383</c:v>
                </c:pt>
                <c:pt idx="164">
                  <c:v>0.69503809767264757</c:v>
                </c:pt>
                <c:pt idx="165">
                  <c:v>0.66727315748148763</c:v>
                </c:pt>
                <c:pt idx="166">
                  <c:v>0.66979932334181336</c:v>
                </c:pt>
                <c:pt idx="167">
                  <c:v>0.66703293565224608</c:v>
                </c:pt>
                <c:pt idx="168">
                  <c:v>0.66983287055854601</c:v>
                </c:pt>
                <c:pt idx="169">
                  <c:v>0.68048949394211744</c:v>
                </c:pt>
                <c:pt idx="170">
                  <c:v>0.7059126960495099</c:v>
                </c:pt>
                <c:pt idx="171">
                  <c:v>0.69487367206426776</c:v>
                </c:pt>
                <c:pt idx="172">
                  <c:v>0.68164630879061938</c:v>
                </c:pt>
                <c:pt idx="173">
                  <c:v>0.68419069045146041</c:v>
                </c:pt>
                <c:pt idx="174">
                  <c:v>0.68713080805496318</c:v>
                </c:pt>
                <c:pt idx="175">
                  <c:v>0.71515676570535403</c:v>
                </c:pt>
                <c:pt idx="176">
                  <c:v>0.69317431389676087</c:v>
                </c:pt>
                <c:pt idx="177">
                  <c:v>0.6926587925289297</c:v>
                </c:pt>
                <c:pt idx="178">
                  <c:v>0.68119518331583895</c:v>
                </c:pt>
                <c:pt idx="179">
                  <c:v>0.67275466244439963</c:v>
                </c:pt>
                <c:pt idx="180">
                  <c:v>0.68336708733716023</c:v>
                </c:pt>
                <c:pt idx="181">
                  <c:v>0.69841909481908915</c:v>
                </c:pt>
                <c:pt idx="182">
                  <c:v>0.73984637936594577</c:v>
                </c:pt>
                <c:pt idx="183">
                  <c:v>0.73707007873144881</c:v>
                </c:pt>
                <c:pt idx="184">
                  <c:v>0.72781156167335503</c:v>
                </c:pt>
                <c:pt idx="185">
                  <c:v>0.75500420926934098</c:v>
                </c:pt>
                <c:pt idx="186">
                  <c:v>0.7753919381991502</c:v>
                </c:pt>
                <c:pt idx="187">
                  <c:v>0.76942683470525119</c:v>
                </c:pt>
                <c:pt idx="188">
                  <c:v>0.76286955273447044</c:v>
                </c:pt>
                <c:pt idx="189">
                  <c:v>0.78027031689628246</c:v>
                </c:pt>
                <c:pt idx="190">
                  <c:v>0.79350805459718909</c:v>
                </c:pt>
                <c:pt idx="191">
                  <c:v>0.79244259948500007</c:v>
                </c:pt>
                <c:pt idx="192">
                  <c:v>0.7797536615349322</c:v>
                </c:pt>
                <c:pt idx="193">
                  <c:v>0.78730211254343907</c:v>
                </c:pt>
                <c:pt idx="194">
                  <c:v>0.76341583510589373</c:v>
                </c:pt>
                <c:pt idx="195">
                  <c:v>0.75564289051862277</c:v>
                </c:pt>
                <c:pt idx="196">
                  <c:v>0.73548761297034315</c:v>
                </c:pt>
                <c:pt idx="197">
                  <c:v>0.69891974266544166</c:v>
                </c:pt>
                <c:pt idx="198">
                  <c:v>0.69060465814118499</c:v>
                </c:pt>
                <c:pt idx="199">
                  <c:v>0.70059134117106214</c:v>
                </c:pt>
                <c:pt idx="200">
                  <c:v>0.68528254834096314</c:v>
                </c:pt>
                <c:pt idx="201">
                  <c:v>0.67761321207651282</c:v>
                </c:pt>
                <c:pt idx="202">
                  <c:v>0.65295811110427604</c:v>
                </c:pt>
                <c:pt idx="203">
                  <c:v>0.65409732957583844</c:v>
                </c:pt>
                <c:pt idx="204">
                  <c:v>0.64846594735616203</c:v>
                </c:pt>
                <c:pt idx="205">
                  <c:v>0.65889873230971063</c:v>
                </c:pt>
                <c:pt idx="206">
                  <c:v>0.65483171520983696</c:v>
                </c:pt>
                <c:pt idx="207">
                  <c:v>0.67079312614838982</c:v>
                </c:pt>
                <c:pt idx="208">
                  <c:v>0.67603588232265277</c:v>
                </c:pt>
                <c:pt idx="209">
                  <c:v>0.68993709942084047</c:v>
                </c:pt>
                <c:pt idx="210">
                  <c:v>0.71163739611726584</c:v>
                </c:pt>
                <c:pt idx="211">
                  <c:v>0.70811963959682545</c:v>
                </c:pt>
                <c:pt idx="212">
                  <c:v>0.72108992244503356</c:v>
                </c:pt>
                <c:pt idx="213">
                  <c:v>0.75459985293697651</c:v>
                </c:pt>
                <c:pt idx="214">
                  <c:v>0.76194000677026574</c:v>
                </c:pt>
                <c:pt idx="215">
                  <c:v>0.76198859960228438</c:v>
                </c:pt>
                <c:pt idx="216">
                  <c:v>0.75646048874143967</c:v>
                </c:pt>
                <c:pt idx="217">
                  <c:v>0.76245499513900128</c:v>
                </c:pt>
                <c:pt idx="218">
                  <c:v>0.74499016134975837</c:v>
                </c:pt>
                <c:pt idx="219">
                  <c:v>0.78993068182140058</c:v>
                </c:pt>
                <c:pt idx="220">
                  <c:v>0.79949011008159887</c:v>
                </c:pt>
                <c:pt idx="221">
                  <c:v>0.77618142011112101</c:v>
                </c:pt>
                <c:pt idx="222">
                  <c:v>0.7633653761510435</c:v>
                </c:pt>
                <c:pt idx="223">
                  <c:v>0.77592859783057544</c:v>
                </c:pt>
                <c:pt idx="224">
                  <c:v>0.77425361319959496</c:v>
                </c:pt>
                <c:pt idx="225">
                  <c:v>0.78222051822399519</c:v>
                </c:pt>
                <c:pt idx="226">
                  <c:v>0.79569604443373643</c:v>
                </c:pt>
                <c:pt idx="227">
                  <c:v>0.78750852461622534</c:v>
                </c:pt>
                <c:pt idx="228">
                  <c:v>0.78934779016612711</c:v>
                </c:pt>
                <c:pt idx="229">
                  <c:v>0.80697342225014534</c:v>
                </c:pt>
                <c:pt idx="230">
                  <c:v>0.80115515269105997</c:v>
                </c:pt>
                <c:pt idx="231">
                  <c:v>0.7596537198523341</c:v>
                </c:pt>
                <c:pt idx="232">
                  <c:v>0.7616553205839468</c:v>
                </c:pt>
                <c:pt idx="233">
                  <c:v>0.77713625554395782</c:v>
                </c:pt>
                <c:pt idx="234">
                  <c:v>0.79386035626531903</c:v>
                </c:pt>
                <c:pt idx="235">
                  <c:v>0.77977577913663831</c:v>
                </c:pt>
                <c:pt idx="236">
                  <c:v>0.8173747351427082</c:v>
                </c:pt>
                <c:pt idx="237">
                  <c:v>0.83229854166327155</c:v>
                </c:pt>
                <c:pt idx="238">
                  <c:v>0.85242168139817653</c:v>
                </c:pt>
                <c:pt idx="239">
                  <c:v>0.83983586194553506</c:v>
                </c:pt>
                <c:pt idx="240">
                  <c:v>0.81029308982382675</c:v>
                </c:pt>
                <c:pt idx="241">
                  <c:v>0.81663435651269511</c:v>
                </c:pt>
                <c:pt idx="242">
                  <c:v>0.79228734000008039</c:v>
                </c:pt>
                <c:pt idx="243">
                  <c:v>0.77689538816842607</c:v>
                </c:pt>
                <c:pt idx="244">
                  <c:v>0.79094523627396285</c:v>
                </c:pt>
                <c:pt idx="245">
                  <c:v>0.74573635444318476</c:v>
                </c:pt>
                <c:pt idx="246">
                  <c:v>0.7345658304383671</c:v>
                </c:pt>
                <c:pt idx="247">
                  <c:v>0.75802597907592317</c:v>
                </c:pt>
                <c:pt idx="248">
                  <c:v>0.77338948261955631</c:v>
                </c:pt>
                <c:pt idx="249">
                  <c:v>0.793043459030352</c:v>
                </c:pt>
                <c:pt idx="250">
                  <c:v>0.8003383201113371</c:v>
                </c:pt>
                <c:pt idx="251">
                  <c:v>0.7802597958208789</c:v>
                </c:pt>
                <c:pt idx="252">
                  <c:v>0.78200319439452937</c:v>
                </c:pt>
                <c:pt idx="253">
                  <c:v>0.76449393298445689</c:v>
                </c:pt>
                <c:pt idx="254">
                  <c:v>0.76693039463610446</c:v>
                </c:pt>
                <c:pt idx="255">
                  <c:v>0.72694520823712394</c:v>
                </c:pt>
                <c:pt idx="256">
                  <c:v>0.74432384327336898</c:v>
                </c:pt>
                <c:pt idx="257">
                  <c:v>0.72396723968522581</c:v>
                </c:pt>
                <c:pt idx="258">
                  <c:v>0.70576249874635988</c:v>
                </c:pt>
                <c:pt idx="259">
                  <c:v>0.71304874953167841</c:v>
                </c:pt>
                <c:pt idx="260">
                  <c:v>0.73359331881666734</c:v>
                </c:pt>
                <c:pt idx="261">
                  <c:v>0.77163963235993815</c:v>
                </c:pt>
                <c:pt idx="262">
                  <c:v>0.78092618010480197</c:v>
                </c:pt>
                <c:pt idx="263">
                  <c:v>0.82306229181181789</c:v>
                </c:pt>
                <c:pt idx="264">
                  <c:v>0.85296169630294993</c:v>
                </c:pt>
                <c:pt idx="265">
                  <c:v>0.84095991001050907</c:v>
                </c:pt>
                <c:pt idx="266">
                  <c:v>0.81548750319685059</c:v>
                </c:pt>
                <c:pt idx="267">
                  <c:v>0.82283486990926835</c:v>
                </c:pt>
                <c:pt idx="268">
                  <c:v>0.82675229131097239</c:v>
                </c:pt>
                <c:pt idx="269">
                  <c:v>0.80032136320758307</c:v>
                </c:pt>
                <c:pt idx="270">
                  <c:v>0.77388723794390712</c:v>
                </c:pt>
                <c:pt idx="271">
                  <c:v>0.79891346797942253</c:v>
                </c:pt>
                <c:pt idx="272">
                  <c:v>0.81322166858620459</c:v>
                </c:pt>
                <c:pt idx="273">
                  <c:v>0.79294414149981396</c:v>
                </c:pt>
                <c:pt idx="274">
                  <c:v>0.7934392968861318</c:v>
                </c:pt>
                <c:pt idx="275">
                  <c:v>0.81976186564377429</c:v>
                </c:pt>
                <c:pt idx="276">
                  <c:v>0.81526633590079089</c:v>
                </c:pt>
                <c:pt idx="277">
                  <c:v>0.81530319471674617</c:v>
                </c:pt>
                <c:pt idx="278">
                  <c:v>0.83258951033531758</c:v>
                </c:pt>
                <c:pt idx="279">
                  <c:v>0.79850182419232907</c:v>
                </c:pt>
                <c:pt idx="280">
                  <c:v>0.77573400799170356</c:v>
                </c:pt>
                <c:pt idx="281">
                  <c:v>0.80096505079698277</c:v>
                </c:pt>
                <c:pt idx="282">
                  <c:v>0.81218688229059477</c:v>
                </c:pt>
                <c:pt idx="283">
                  <c:v>0.80888715885964946</c:v>
                </c:pt>
                <c:pt idx="284">
                  <c:v>0.80660947808997852</c:v>
                </c:pt>
                <c:pt idx="285">
                  <c:v>0.80809416395377187</c:v>
                </c:pt>
                <c:pt idx="286">
                  <c:v>0.80001106746583339</c:v>
                </c:pt>
                <c:pt idx="287">
                  <c:v>0.77846322584154448</c:v>
                </c:pt>
                <c:pt idx="288">
                  <c:v>0.7588790039755049</c:v>
                </c:pt>
                <c:pt idx="289">
                  <c:v>0.75762342595266707</c:v>
                </c:pt>
                <c:pt idx="290">
                  <c:v>0.76220112703796195</c:v>
                </c:pt>
                <c:pt idx="291">
                  <c:v>0.77497180455936665</c:v>
                </c:pt>
                <c:pt idx="292">
                  <c:v>0.79637687165160964</c:v>
                </c:pt>
                <c:pt idx="293">
                  <c:v>0.78222609303291513</c:v>
                </c:pt>
                <c:pt idx="294">
                  <c:v>0.76470551479557747</c:v>
                </c:pt>
                <c:pt idx="295">
                  <c:v>0.81689501437027867</c:v>
                </c:pt>
                <c:pt idx="296">
                  <c:v>0.83068249546249273</c:v>
                </c:pt>
                <c:pt idx="297">
                  <c:v>0.82491934148410728</c:v>
                </c:pt>
                <c:pt idx="298">
                  <c:v>0.80531269047957765</c:v>
                </c:pt>
                <c:pt idx="299">
                  <c:v>0.78099174377127456</c:v>
                </c:pt>
                <c:pt idx="300">
                  <c:v>0.78032225060466076</c:v>
                </c:pt>
                <c:pt idx="301">
                  <c:v>0.81431308008590453</c:v>
                </c:pt>
                <c:pt idx="302">
                  <c:v>0.84235273641764119</c:v>
                </c:pt>
                <c:pt idx="303">
                  <c:v>0.83520225824460448</c:v>
                </c:pt>
                <c:pt idx="304">
                  <c:v>0.87192106683506387</c:v>
                </c:pt>
                <c:pt idx="305">
                  <c:v>0.88616882524918161</c:v>
                </c:pt>
                <c:pt idx="306">
                  <c:v>0.89000706818822939</c:v>
                </c:pt>
                <c:pt idx="307">
                  <c:v>0.86445364591246276</c:v>
                </c:pt>
                <c:pt idx="308">
                  <c:v>0.83788810447673834</c:v>
                </c:pt>
                <c:pt idx="309">
                  <c:v>0.83007629420215734</c:v>
                </c:pt>
                <c:pt idx="310">
                  <c:v>0.84749292639465679</c:v>
                </c:pt>
                <c:pt idx="311">
                  <c:v>0.80637930880073894</c:v>
                </c:pt>
                <c:pt idx="312">
                  <c:v>0.81075411176557299</c:v>
                </c:pt>
                <c:pt idx="313">
                  <c:v>0.79130868679159194</c:v>
                </c:pt>
                <c:pt idx="314">
                  <c:v>0.80424192066045208</c:v>
                </c:pt>
                <c:pt idx="315">
                  <c:v>0.81928279398733417</c:v>
                </c:pt>
                <c:pt idx="316">
                  <c:v>0.80030096413295526</c:v>
                </c:pt>
                <c:pt idx="317">
                  <c:v>0.82411381871516021</c:v>
                </c:pt>
                <c:pt idx="318">
                  <c:v>0.83478460867910587</c:v>
                </c:pt>
                <c:pt idx="319">
                  <c:v>0.81346630532983</c:v>
                </c:pt>
                <c:pt idx="320">
                  <c:v>0.82876089623749616</c:v>
                </c:pt>
                <c:pt idx="321">
                  <c:v>0.83682137695028536</c:v>
                </c:pt>
                <c:pt idx="322">
                  <c:v>0.84641983217153405</c:v>
                </c:pt>
                <c:pt idx="323">
                  <c:v>0.85126426287645218</c:v>
                </c:pt>
                <c:pt idx="324">
                  <c:v>0.83919771936300513</c:v>
                </c:pt>
                <c:pt idx="325">
                  <c:v>0.8211502476987842</c:v>
                </c:pt>
                <c:pt idx="326">
                  <c:v>0.85354876512466016</c:v>
                </c:pt>
                <c:pt idx="327">
                  <c:v>0.84727081309895524</c:v>
                </c:pt>
                <c:pt idx="328">
                  <c:v>0.84142207254632573</c:v>
                </c:pt>
                <c:pt idx="329">
                  <c:v>0.84484435508837163</c:v>
                </c:pt>
                <c:pt idx="330">
                  <c:v>0.8490646032861765</c:v>
                </c:pt>
                <c:pt idx="331">
                  <c:v>0.83457534760743091</c:v>
                </c:pt>
                <c:pt idx="332">
                  <c:v>0.81057384157404311</c:v>
                </c:pt>
                <c:pt idx="333">
                  <c:v>0.80120237135420558</c:v>
                </c:pt>
                <c:pt idx="334">
                  <c:v>0.82131333764874692</c:v>
                </c:pt>
                <c:pt idx="335">
                  <c:v>0.79941756795678154</c:v>
                </c:pt>
                <c:pt idx="336">
                  <c:v>0.83736598841473597</c:v>
                </c:pt>
                <c:pt idx="337">
                  <c:v>0.90325143922907336</c:v>
                </c:pt>
                <c:pt idx="338">
                  <c:v>0.88378827237141544</c:v>
                </c:pt>
                <c:pt idx="339">
                  <c:v>0.84607206172398119</c:v>
                </c:pt>
                <c:pt idx="340">
                  <c:v>0.86947375786382797</c:v>
                </c:pt>
                <c:pt idx="341">
                  <c:v>0.83975148153923174</c:v>
                </c:pt>
                <c:pt idx="342">
                  <c:v>0.83451787403380928</c:v>
                </c:pt>
                <c:pt idx="343">
                  <c:v>0.88961216541470889</c:v>
                </c:pt>
                <c:pt idx="344">
                  <c:v>0.88250759232748344</c:v>
                </c:pt>
                <c:pt idx="345">
                  <c:v>0.88658700732829931</c:v>
                </c:pt>
                <c:pt idx="346">
                  <c:v>0.90205319400552053</c:v>
                </c:pt>
                <c:pt idx="347">
                  <c:v>0.84172360349059949</c:v>
                </c:pt>
                <c:pt idx="348">
                  <c:v>0.83088548276151131</c:v>
                </c:pt>
                <c:pt idx="349">
                  <c:v>0.85149785457959337</c:v>
                </c:pt>
                <c:pt idx="350">
                  <c:v>0.84199344486366745</c:v>
                </c:pt>
                <c:pt idx="351">
                  <c:v>0.86184070133118562</c:v>
                </c:pt>
                <c:pt idx="352">
                  <c:v>0.88162802764701309</c:v>
                </c:pt>
                <c:pt idx="353">
                  <c:v>0.89372188166009792</c:v>
                </c:pt>
                <c:pt idx="354">
                  <c:v>0.86264401162681126</c:v>
                </c:pt>
                <c:pt idx="355">
                  <c:v>0.84808271296095727</c:v>
                </c:pt>
                <c:pt idx="356">
                  <c:v>0.86798119906090887</c:v>
                </c:pt>
                <c:pt idx="357">
                  <c:v>0.84969246967081624</c:v>
                </c:pt>
                <c:pt idx="358">
                  <c:v>0.82174123333286664</c:v>
                </c:pt>
                <c:pt idx="359">
                  <c:v>0.79432023738934709</c:v>
                </c:pt>
                <c:pt idx="360">
                  <c:v>0.82532771087751122</c:v>
                </c:pt>
                <c:pt idx="361">
                  <c:v>0.80140458846220908</c:v>
                </c:pt>
                <c:pt idx="362">
                  <c:v>0.81563038145231104</c:v>
                </c:pt>
                <c:pt idx="363">
                  <c:v>0.81469462623225741</c:v>
                </c:pt>
                <c:pt idx="364">
                  <c:v>0.85652199888529257</c:v>
                </c:pt>
                <c:pt idx="365">
                  <c:v>0.8652257812081644</c:v>
                </c:pt>
                <c:pt idx="366">
                  <c:v>0.89020332186791395</c:v>
                </c:pt>
                <c:pt idx="367">
                  <c:v>0.89768581050303298</c:v>
                </c:pt>
                <c:pt idx="368">
                  <c:v>0.87012754864622277</c:v>
                </c:pt>
                <c:pt idx="369">
                  <c:v>0.85381298943120376</c:v>
                </c:pt>
                <c:pt idx="370">
                  <c:v>0.8449226844434049</c:v>
                </c:pt>
                <c:pt idx="371">
                  <c:v>0.85873107767181533</c:v>
                </c:pt>
                <c:pt idx="372">
                  <c:v>0.88994060759025251</c:v>
                </c:pt>
                <c:pt idx="373">
                  <c:v>0.93002913278002841</c:v>
                </c:pt>
                <c:pt idx="374">
                  <c:v>0.92881846695947667</c:v>
                </c:pt>
                <c:pt idx="375">
                  <c:v>0.92264052582376632</c:v>
                </c:pt>
                <c:pt idx="376">
                  <c:v>0.93647910873090146</c:v>
                </c:pt>
                <c:pt idx="377">
                  <c:v>0.91516041478041177</c:v>
                </c:pt>
                <c:pt idx="378">
                  <c:v>0.88302787691517493</c:v>
                </c:pt>
                <c:pt idx="379">
                  <c:v>0.93278322242078893</c:v>
                </c:pt>
                <c:pt idx="380">
                  <c:v>0.93763000717613965</c:v>
                </c:pt>
                <c:pt idx="381">
                  <c:v>0.96019137948557876</c:v>
                </c:pt>
                <c:pt idx="382">
                  <c:v>0.95102093661636133</c:v>
                </c:pt>
                <c:pt idx="383">
                  <c:v>0.95271770450270732</c:v>
                </c:pt>
                <c:pt idx="384">
                  <c:v>1.0180327516104852</c:v>
                </c:pt>
                <c:pt idx="385">
                  <c:v>1.003987517843032</c:v>
                </c:pt>
                <c:pt idx="386">
                  <c:v>1.0276381758174986</c:v>
                </c:pt>
                <c:pt idx="387">
                  <c:v>1.0310154181863385</c:v>
                </c:pt>
                <c:pt idx="388">
                  <c:v>1.0225473528817786</c:v>
                </c:pt>
                <c:pt idx="389">
                  <c:v>0.99575863112065865</c:v>
                </c:pt>
                <c:pt idx="390">
                  <c:v>1.0319936401690237</c:v>
                </c:pt>
                <c:pt idx="391">
                  <c:v>1.0274168254969176</c:v>
                </c:pt>
                <c:pt idx="392">
                  <c:v>1.065966665353447</c:v>
                </c:pt>
                <c:pt idx="393">
                  <c:v>1.1123595638937782</c:v>
                </c:pt>
                <c:pt idx="394">
                  <c:v>1.1000154212380124</c:v>
                </c:pt>
                <c:pt idx="395">
                  <c:v>1.072976865395473</c:v>
                </c:pt>
                <c:pt idx="396">
                  <c:v>1.0476432207313413</c:v>
                </c:pt>
                <c:pt idx="397">
                  <c:v>1.046291701701356</c:v>
                </c:pt>
                <c:pt idx="398">
                  <c:v>1.022731602852061</c:v>
                </c:pt>
                <c:pt idx="399">
                  <c:v>1.0357722022758229</c:v>
                </c:pt>
                <c:pt idx="400">
                  <c:v>1.0633983054415197</c:v>
                </c:pt>
                <c:pt idx="401">
                  <c:v>1.0831771774019963</c:v>
                </c:pt>
                <c:pt idx="402">
                  <c:v>1.1370172258008211</c:v>
                </c:pt>
                <c:pt idx="403">
                  <c:v>1.1071430726568703</c:v>
                </c:pt>
                <c:pt idx="404">
                  <c:v>1.0985262021001907</c:v>
                </c:pt>
                <c:pt idx="405">
                  <c:v>1.0985842710084068</c:v>
                </c:pt>
                <c:pt idx="406">
                  <c:v>1.0909531861767137</c:v>
                </c:pt>
                <c:pt idx="407">
                  <c:v>1.1155321723170648</c:v>
                </c:pt>
                <c:pt idx="408">
                  <c:v>1.0636166681797872</c:v>
                </c:pt>
                <c:pt idx="409">
                  <c:v>1.0236107891052113</c:v>
                </c:pt>
                <c:pt idx="410">
                  <c:v>1.032040838915246</c:v>
                </c:pt>
                <c:pt idx="411">
                  <c:v>0.99984642081279274</c:v>
                </c:pt>
                <c:pt idx="412">
                  <c:v>0.95968787383614906</c:v>
                </c:pt>
                <c:pt idx="413">
                  <c:v>0.98432004677924778</c:v>
                </c:pt>
                <c:pt idx="414">
                  <c:v>1.0151908668016898</c:v>
                </c:pt>
                <c:pt idx="415">
                  <c:v>1.0355029163695906</c:v>
                </c:pt>
                <c:pt idx="416">
                  <c:v>1.0748154407250867</c:v>
                </c:pt>
                <c:pt idx="417">
                  <c:v>1.0681102319763949</c:v>
                </c:pt>
                <c:pt idx="418">
                  <c:v>1.1214580023873313</c:v>
                </c:pt>
                <c:pt idx="419">
                  <c:v>1.1643792517532734</c:v>
                </c:pt>
                <c:pt idx="420">
                  <c:v>1.1060495000096298</c:v>
                </c:pt>
                <c:pt idx="421">
                  <c:v>1.0747578504493702</c:v>
                </c:pt>
                <c:pt idx="422">
                  <c:v>1.0489034617191779</c:v>
                </c:pt>
                <c:pt idx="423">
                  <c:v>0.99626940705262446</c:v>
                </c:pt>
                <c:pt idx="424">
                  <c:v>1.0032789154458626</c:v>
                </c:pt>
                <c:pt idx="425">
                  <c:v>1.0128565184192273</c:v>
                </c:pt>
                <c:pt idx="426">
                  <c:v>1.0384430168451724</c:v>
                </c:pt>
                <c:pt idx="427">
                  <c:v>1.0587748064224269</c:v>
                </c:pt>
                <c:pt idx="428">
                  <c:v>1.0518790100546347</c:v>
                </c:pt>
                <c:pt idx="429">
                  <c:v>1.0406107588707803</c:v>
                </c:pt>
                <c:pt idx="430">
                  <c:v>0.98650142171535171</c:v>
                </c:pt>
                <c:pt idx="431">
                  <c:v>1.0039736302238591</c:v>
                </c:pt>
                <c:pt idx="432">
                  <c:v>0.98938117662391689</c:v>
                </c:pt>
                <c:pt idx="433">
                  <c:v>0.98621677245050343</c:v>
                </c:pt>
                <c:pt idx="434">
                  <c:v>0.99934474594062117</c:v>
                </c:pt>
                <c:pt idx="435">
                  <c:v>1.0313876268121254</c:v>
                </c:pt>
                <c:pt idx="436">
                  <c:v>1.0749306918798998</c:v>
                </c:pt>
                <c:pt idx="437">
                  <c:v>1.1135439980723585</c:v>
                </c:pt>
                <c:pt idx="438">
                  <c:v>1.1256179790157108</c:v>
                </c:pt>
                <c:pt idx="439">
                  <c:v>1.138086908500022</c:v>
                </c:pt>
                <c:pt idx="440">
                  <c:v>1.1064237332321347</c:v>
                </c:pt>
                <c:pt idx="441">
                  <c:v>1.0988650360265035</c:v>
                </c:pt>
                <c:pt idx="442">
                  <c:v>1.103333459953189</c:v>
                </c:pt>
                <c:pt idx="443">
                  <c:v>1.1280607031570105</c:v>
                </c:pt>
                <c:pt idx="444">
                  <c:v>1.1133053187759745</c:v>
                </c:pt>
                <c:pt idx="445">
                  <c:v>1.0905760549914782</c:v>
                </c:pt>
                <c:pt idx="446">
                  <c:v>1.1414711271086224</c:v>
                </c:pt>
                <c:pt idx="447">
                  <c:v>1.1771447322331785</c:v>
                </c:pt>
                <c:pt idx="448">
                  <c:v>1.1315493603093316</c:v>
                </c:pt>
                <c:pt idx="449">
                  <c:v>1.151667737202472</c:v>
                </c:pt>
                <c:pt idx="450">
                  <c:v>1.1229865021892413</c:v>
                </c:pt>
                <c:pt idx="451">
                  <c:v>1.1102665487207932</c:v>
                </c:pt>
                <c:pt idx="452">
                  <c:v>1.1426322606399339</c:v>
                </c:pt>
                <c:pt idx="453">
                  <c:v>1.1166660618969062</c:v>
                </c:pt>
                <c:pt idx="454">
                  <c:v>1.1665181680971479</c:v>
                </c:pt>
                <c:pt idx="455">
                  <c:v>1.1372116564681849</c:v>
                </c:pt>
                <c:pt idx="456">
                  <c:v>1.1585869738643748</c:v>
                </c:pt>
                <c:pt idx="457">
                  <c:v>1.071497174014858</c:v>
                </c:pt>
                <c:pt idx="458">
                  <c:v>1.0362119078057139</c:v>
                </c:pt>
                <c:pt idx="459">
                  <c:v>1.0240369706784027</c:v>
                </c:pt>
                <c:pt idx="460">
                  <c:v>1.0187937077970575</c:v>
                </c:pt>
                <c:pt idx="461">
                  <c:v>1.0112269307633364</c:v>
                </c:pt>
                <c:pt idx="462">
                  <c:v>1.026816608153454</c:v>
                </c:pt>
                <c:pt idx="463">
                  <c:v>1.0898645080767464</c:v>
                </c:pt>
                <c:pt idx="464">
                  <c:v>1.0980697791721721</c:v>
                </c:pt>
                <c:pt idx="465">
                  <c:v>1.1138224012008371</c:v>
                </c:pt>
                <c:pt idx="466">
                  <c:v>1.1158986536320696</c:v>
                </c:pt>
                <c:pt idx="467">
                  <c:v>1.1273379375348118</c:v>
                </c:pt>
                <c:pt idx="468">
                  <c:v>1.1311432575720979</c:v>
                </c:pt>
                <c:pt idx="469">
                  <c:v>1.1197920946378337</c:v>
                </c:pt>
                <c:pt idx="470">
                  <c:v>1.0958230416545807</c:v>
                </c:pt>
                <c:pt idx="471">
                  <c:v>1.1563892637273945</c:v>
                </c:pt>
                <c:pt idx="472">
                  <c:v>1.1307659162104249</c:v>
                </c:pt>
                <c:pt idx="473">
                  <c:v>1.1535648735974458</c:v>
                </c:pt>
                <c:pt idx="474">
                  <c:v>1.1558266303628255</c:v>
                </c:pt>
                <c:pt idx="475">
                  <c:v>1.1628088145849236</c:v>
                </c:pt>
                <c:pt idx="476">
                  <c:v>1.1745900344692899</c:v>
                </c:pt>
                <c:pt idx="477">
                  <c:v>1.1958592327898367</c:v>
                </c:pt>
                <c:pt idx="478">
                  <c:v>1.2280496062892228</c:v>
                </c:pt>
                <c:pt idx="479">
                  <c:v>1.2059716144664672</c:v>
                </c:pt>
                <c:pt idx="480">
                  <c:v>1.2297270638186533</c:v>
                </c:pt>
                <c:pt idx="481">
                  <c:v>1.2952773833856706</c:v>
                </c:pt>
                <c:pt idx="482">
                  <c:v>1.313238129411991</c:v>
                </c:pt>
                <c:pt idx="483">
                  <c:v>1.2579271762040194</c:v>
                </c:pt>
                <c:pt idx="484">
                  <c:v>1.2952117853179317</c:v>
                </c:pt>
                <c:pt idx="485">
                  <c:v>1.3166512376996751</c:v>
                </c:pt>
                <c:pt idx="486">
                  <c:v>1.3267118956537025</c:v>
                </c:pt>
                <c:pt idx="487">
                  <c:v>1.3214884070449413</c:v>
                </c:pt>
                <c:pt idx="488">
                  <c:v>1.2726585986338075</c:v>
                </c:pt>
                <c:pt idx="489">
                  <c:v>1.3077257641323361</c:v>
                </c:pt>
                <c:pt idx="490">
                  <c:v>1.3238773628250917</c:v>
                </c:pt>
                <c:pt idx="491">
                  <c:v>1.3185624607173785</c:v>
                </c:pt>
                <c:pt idx="492">
                  <c:v>1.3605253452827881</c:v>
                </c:pt>
                <c:pt idx="493">
                  <c:v>1.366122388532873</c:v>
                </c:pt>
                <c:pt idx="494">
                  <c:v>1.3719172199130392</c:v>
                </c:pt>
                <c:pt idx="495">
                  <c:v>1.3455393848032482</c:v>
                </c:pt>
                <c:pt idx="496">
                  <c:v>1.3249209793361514</c:v>
                </c:pt>
                <c:pt idx="497">
                  <c:v>1.2775491612920786</c:v>
                </c:pt>
                <c:pt idx="498">
                  <c:v>1.3158301913020221</c:v>
                </c:pt>
                <c:pt idx="499">
                  <c:v>1.3138191749575685</c:v>
                </c:pt>
                <c:pt idx="500">
                  <c:v>1.3072775465509616</c:v>
                </c:pt>
                <c:pt idx="501">
                  <c:v>1.3429791655590753</c:v>
                </c:pt>
                <c:pt idx="502">
                  <c:v>1.312554042896158</c:v>
                </c:pt>
                <c:pt idx="503">
                  <c:v>1.3082686194863433</c:v>
                </c:pt>
                <c:pt idx="504">
                  <c:v>1.2857811340655128</c:v>
                </c:pt>
                <c:pt idx="505">
                  <c:v>1.3148593133030138</c:v>
                </c:pt>
                <c:pt idx="506">
                  <c:v>1.3389305228817925</c:v>
                </c:pt>
                <c:pt idx="507">
                  <c:v>1.3484708522275046</c:v>
                </c:pt>
                <c:pt idx="508">
                  <c:v>1.3562279133475377</c:v>
                </c:pt>
                <c:pt idx="509">
                  <c:v>1.3304284842255452</c:v>
                </c:pt>
                <c:pt idx="510">
                  <c:v>1.3116818455186157</c:v>
                </c:pt>
                <c:pt idx="511">
                  <c:v>1.3628323997527962</c:v>
                </c:pt>
                <c:pt idx="512">
                  <c:v>1.421217626248843</c:v>
                </c:pt>
                <c:pt idx="513">
                  <c:v>1.4306934301480918</c:v>
                </c:pt>
                <c:pt idx="514">
                  <c:v>1.4442326106176084</c:v>
                </c:pt>
                <c:pt idx="515">
                  <c:v>1.4377292359354996</c:v>
                </c:pt>
                <c:pt idx="516">
                  <c:v>1.4797719456930172</c:v>
                </c:pt>
                <c:pt idx="517">
                  <c:v>1.5007269880352891</c:v>
                </c:pt>
                <c:pt idx="518">
                  <c:v>1.5213565000992806</c:v>
                </c:pt>
                <c:pt idx="519">
                  <c:v>1.4825529112538223</c:v>
                </c:pt>
                <c:pt idx="520">
                  <c:v>1.5011556505270276</c:v>
                </c:pt>
                <c:pt idx="521">
                  <c:v>1.4642165024069334</c:v>
                </c:pt>
                <c:pt idx="522">
                  <c:v>1.4790102603621955</c:v>
                </c:pt>
                <c:pt idx="523">
                  <c:v>1.4605277849567635</c:v>
                </c:pt>
                <c:pt idx="524">
                  <c:v>1.4218178991497821</c:v>
                </c:pt>
                <c:pt idx="525">
                  <c:v>1.4345544222700002</c:v>
                </c:pt>
                <c:pt idx="526">
                  <c:v>1.436728163304829</c:v>
                </c:pt>
                <c:pt idx="527">
                  <c:v>1.4667813585217726</c:v>
                </c:pt>
                <c:pt idx="528">
                  <c:v>1.4646675749366529</c:v>
                </c:pt>
                <c:pt idx="529">
                  <c:v>1.4187312603110143</c:v>
                </c:pt>
                <c:pt idx="530">
                  <c:v>1.3967390687668941</c:v>
                </c:pt>
                <c:pt idx="531">
                  <c:v>1.4694535349147251</c:v>
                </c:pt>
                <c:pt idx="532">
                  <c:v>1.4729555121861326</c:v>
                </c:pt>
                <c:pt idx="533">
                  <c:v>1.4934075566190079</c:v>
                </c:pt>
                <c:pt idx="534">
                  <c:v>1.4746319051730266</c:v>
                </c:pt>
                <c:pt idx="535">
                  <c:v>1.4686819645493274</c:v>
                </c:pt>
                <c:pt idx="536">
                  <c:v>1.4260693578257768</c:v>
                </c:pt>
                <c:pt idx="537">
                  <c:v>1.396010278404737</c:v>
                </c:pt>
                <c:pt idx="538">
                  <c:v>1.3921486590902188</c:v>
                </c:pt>
                <c:pt idx="539">
                  <c:v>1.3458486848376683</c:v>
                </c:pt>
                <c:pt idx="540">
                  <c:v>1.3485264881831032</c:v>
                </c:pt>
                <c:pt idx="541">
                  <c:v>1.3375567698521593</c:v>
                </c:pt>
                <c:pt idx="542">
                  <c:v>1.3736006121181881</c:v>
                </c:pt>
                <c:pt idx="543">
                  <c:v>1.3855975165063543</c:v>
                </c:pt>
                <c:pt idx="544">
                  <c:v>1.3732235567877942</c:v>
                </c:pt>
                <c:pt idx="545">
                  <c:v>1.4388968253682417</c:v>
                </c:pt>
                <c:pt idx="546">
                  <c:v>1.4821402465651849</c:v>
                </c:pt>
                <c:pt idx="547">
                  <c:v>1.4708386648509844</c:v>
                </c:pt>
                <c:pt idx="548">
                  <c:v>1.4425517405276085</c:v>
                </c:pt>
                <c:pt idx="549">
                  <c:v>1.4298888187420562</c:v>
                </c:pt>
                <c:pt idx="550">
                  <c:v>1.437634822166844</c:v>
                </c:pt>
                <c:pt idx="551">
                  <c:v>1.4504886639351218</c:v>
                </c:pt>
                <c:pt idx="552">
                  <c:v>1.4382451229597235</c:v>
                </c:pt>
                <c:pt idx="553">
                  <c:v>1.5025881674368753</c:v>
                </c:pt>
                <c:pt idx="554">
                  <c:v>1.4563666761579686</c:v>
                </c:pt>
                <c:pt idx="555">
                  <c:v>1.4652205461133248</c:v>
                </c:pt>
                <c:pt idx="556">
                  <c:v>1.4558615378091502</c:v>
                </c:pt>
                <c:pt idx="557">
                  <c:v>1.4688374534125319</c:v>
                </c:pt>
                <c:pt idx="558">
                  <c:v>1.5039935704871552</c:v>
                </c:pt>
                <c:pt idx="559">
                  <c:v>1.5135577277461429</c:v>
                </c:pt>
                <c:pt idx="560">
                  <c:v>1.5472285347295034</c:v>
                </c:pt>
                <c:pt idx="561">
                  <c:v>1.6107373522500394</c:v>
                </c:pt>
                <c:pt idx="562">
                  <c:v>1.5922814333551536</c:v>
                </c:pt>
                <c:pt idx="563">
                  <c:v>1.7073863832455016</c:v>
                </c:pt>
                <c:pt idx="564">
                  <c:v>1.6612269739857866</c:v>
                </c:pt>
                <c:pt idx="565">
                  <c:v>1.6669265143276082</c:v>
                </c:pt>
                <c:pt idx="566">
                  <c:v>1.7298984719675188</c:v>
                </c:pt>
                <c:pt idx="567">
                  <c:v>1.764488888873825</c:v>
                </c:pt>
                <c:pt idx="568">
                  <c:v>1.6866504194350118</c:v>
                </c:pt>
                <c:pt idx="569">
                  <c:v>1.6859939210130426</c:v>
                </c:pt>
                <c:pt idx="570">
                  <c:v>1.7002052462662065</c:v>
                </c:pt>
                <c:pt idx="571">
                  <c:v>1.7541981486172369</c:v>
                </c:pt>
                <c:pt idx="572">
                  <c:v>1.7348231633748243</c:v>
                </c:pt>
                <c:pt idx="573">
                  <c:v>1.7732842208162001</c:v>
                </c:pt>
                <c:pt idx="574">
                  <c:v>1.8388116887551311</c:v>
                </c:pt>
                <c:pt idx="575">
                  <c:v>1.8235849547078047</c:v>
                </c:pt>
                <c:pt idx="576">
                  <c:v>1.7421281103803743</c:v>
                </c:pt>
                <c:pt idx="577">
                  <c:v>1.726022723993438</c:v>
                </c:pt>
                <c:pt idx="578">
                  <c:v>1.6616358555445305</c:v>
                </c:pt>
                <c:pt idx="579">
                  <c:v>1.671965090924068</c:v>
                </c:pt>
                <c:pt idx="580">
                  <c:v>1.7850249896058037</c:v>
                </c:pt>
                <c:pt idx="581">
                  <c:v>1.928413971330893</c:v>
                </c:pt>
                <c:pt idx="582">
                  <c:v>1.9241970107719677</c:v>
                </c:pt>
                <c:pt idx="583">
                  <c:v>1.8905516503199742</c:v>
                </c:pt>
                <c:pt idx="584">
                  <c:v>1.8504569096640451</c:v>
                </c:pt>
                <c:pt idx="585">
                  <c:v>1.7990384316841612</c:v>
                </c:pt>
                <c:pt idx="586">
                  <c:v>1.7875165526569563</c:v>
                </c:pt>
                <c:pt idx="587">
                  <c:v>1.7679684166245238</c:v>
                </c:pt>
                <c:pt idx="588">
                  <c:v>1.7986057197257412</c:v>
                </c:pt>
                <c:pt idx="589">
                  <c:v>1.8309245089717778</c:v>
                </c:pt>
                <c:pt idx="590">
                  <c:v>1.8389386399741645</c:v>
                </c:pt>
                <c:pt idx="591">
                  <c:v>1.8628679412242437</c:v>
                </c:pt>
                <c:pt idx="592">
                  <c:v>1.82227453605677</c:v>
                </c:pt>
                <c:pt idx="593">
                  <c:v>1.7414949392270505</c:v>
                </c:pt>
                <c:pt idx="594">
                  <c:v>1.7489577251047403</c:v>
                </c:pt>
                <c:pt idx="595">
                  <c:v>1.7569502220215205</c:v>
                </c:pt>
                <c:pt idx="596">
                  <c:v>1.7575957930479882</c:v>
                </c:pt>
                <c:pt idx="597">
                  <c:v>1.7909064418514977</c:v>
                </c:pt>
                <c:pt idx="598">
                  <c:v>1.7852037183937708</c:v>
                </c:pt>
                <c:pt idx="599">
                  <c:v>1.7556231418404609</c:v>
                </c:pt>
                <c:pt idx="600">
                  <c:v>1.758074377146766</c:v>
                </c:pt>
                <c:pt idx="601">
                  <c:v>1.7863978804128424</c:v>
                </c:pt>
                <c:pt idx="602">
                  <c:v>1.7316301991156824</c:v>
                </c:pt>
                <c:pt idx="603">
                  <c:v>1.7222406033023445</c:v>
                </c:pt>
                <c:pt idx="604">
                  <c:v>1.7533310027838587</c:v>
                </c:pt>
                <c:pt idx="605">
                  <c:v>1.732807768506291</c:v>
                </c:pt>
                <c:pt idx="606">
                  <c:v>1.7590253013235075</c:v>
                </c:pt>
                <c:pt idx="607">
                  <c:v>1.8185689416476738</c:v>
                </c:pt>
                <c:pt idx="608">
                  <c:v>1.7626943394361638</c:v>
                </c:pt>
                <c:pt idx="609">
                  <c:v>1.7661777535545518</c:v>
                </c:pt>
                <c:pt idx="610">
                  <c:v>1.8065928024735904</c:v>
                </c:pt>
                <c:pt idx="611">
                  <c:v>1.761681890119839</c:v>
                </c:pt>
                <c:pt idx="612">
                  <c:v>1.6741903698116001</c:v>
                </c:pt>
                <c:pt idx="613">
                  <c:v>1.6134088903628911</c:v>
                </c:pt>
                <c:pt idx="614">
                  <c:v>1.6886691984092566</c:v>
                </c:pt>
                <c:pt idx="615">
                  <c:v>1.7306979213637566</c:v>
                </c:pt>
                <c:pt idx="616">
                  <c:v>1.7489687115895978</c:v>
                </c:pt>
                <c:pt idx="617">
                  <c:v>1.7896884978468282</c:v>
                </c:pt>
                <c:pt idx="618">
                  <c:v>1.727878574255683</c:v>
                </c:pt>
                <c:pt idx="619">
                  <c:v>1.7294573478019062</c:v>
                </c:pt>
                <c:pt idx="620">
                  <c:v>1.7257797719432346</c:v>
                </c:pt>
                <c:pt idx="621">
                  <c:v>1.7243107045045039</c:v>
                </c:pt>
                <c:pt idx="622">
                  <c:v>1.7526973485144608</c:v>
                </c:pt>
                <c:pt idx="623">
                  <c:v>1.8400403242795345</c:v>
                </c:pt>
                <c:pt idx="624">
                  <c:v>1.8475759336377677</c:v>
                </c:pt>
                <c:pt idx="625">
                  <c:v>1.7747937437432844</c:v>
                </c:pt>
                <c:pt idx="626">
                  <c:v>1.7599584037900773</c:v>
                </c:pt>
                <c:pt idx="627">
                  <c:v>1.6792647018782751</c:v>
                </c:pt>
                <c:pt idx="628">
                  <c:v>1.635762247755236</c:v>
                </c:pt>
                <c:pt idx="629">
                  <c:v>1.6458971286318349</c:v>
                </c:pt>
                <c:pt idx="630">
                  <c:v>1.6006207756875677</c:v>
                </c:pt>
                <c:pt idx="631">
                  <c:v>1.5549653182183736</c:v>
                </c:pt>
                <c:pt idx="632">
                  <c:v>1.5253228480678565</c:v>
                </c:pt>
                <c:pt idx="633">
                  <c:v>1.5536781063017515</c:v>
                </c:pt>
                <c:pt idx="634">
                  <c:v>1.5227486369159882</c:v>
                </c:pt>
                <c:pt idx="635">
                  <c:v>1.4841818748985471</c:v>
                </c:pt>
                <c:pt idx="636">
                  <c:v>1.4416841506518541</c:v>
                </c:pt>
                <c:pt idx="637">
                  <c:v>1.5129366002385249</c:v>
                </c:pt>
                <c:pt idx="638">
                  <c:v>1.4507559747488763</c:v>
                </c:pt>
                <c:pt idx="639">
                  <c:v>1.4758416882285295</c:v>
                </c:pt>
                <c:pt idx="640">
                  <c:v>1.4670758365150127</c:v>
                </c:pt>
                <c:pt idx="641">
                  <c:v>1.4753393763179317</c:v>
                </c:pt>
                <c:pt idx="642">
                  <c:v>1.3841474669106841</c:v>
                </c:pt>
                <c:pt idx="643">
                  <c:v>1.4699722602977929</c:v>
                </c:pt>
                <c:pt idx="644">
                  <c:v>1.5219639862797096</c:v>
                </c:pt>
                <c:pt idx="645">
                  <c:v>1.4139126961474406</c:v>
                </c:pt>
                <c:pt idx="646">
                  <c:v>1.4653600800161293</c:v>
                </c:pt>
                <c:pt idx="647">
                  <c:v>1.4622940711234205</c:v>
                </c:pt>
                <c:pt idx="648">
                  <c:v>1.419488752890228</c:v>
                </c:pt>
                <c:pt idx="649">
                  <c:v>1.4642768519861895</c:v>
                </c:pt>
                <c:pt idx="650">
                  <c:v>1.4763860377895359</c:v>
                </c:pt>
                <c:pt idx="651">
                  <c:v>1.489101082706928</c:v>
                </c:pt>
                <c:pt idx="652">
                  <c:v>1.5422047608377956</c:v>
                </c:pt>
                <c:pt idx="653">
                  <c:v>1.5102387108300048</c:v>
                </c:pt>
                <c:pt idx="654">
                  <c:v>1.5420763591162316</c:v>
                </c:pt>
                <c:pt idx="655">
                  <c:v>1.5788322681546751</c:v>
                </c:pt>
                <c:pt idx="656">
                  <c:v>1.531955940815195</c:v>
                </c:pt>
                <c:pt idx="657">
                  <c:v>1.5450652715612014</c:v>
                </c:pt>
                <c:pt idx="658">
                  <c:v>1.5645615219828346</c:v>
                </c:pt>
                <c:pt idx="659">
                  <c:v>1.6285834304487361</c:v>
                </c:pt>
                <c:pt idx="660">
                  <c:v>1.638551195943365</c:v>
                </c:pt>
                <c:pt idx="661">
                  <c:v>1.6978724523768287</c:v>
                </c:pt>
                <c:pt idx="662">
                  <c:v>1.6324407401904373</c:v>
                </c:pt>
                <c:pt idx="663">
                  <c:v>1.576549398012749</c:v>
                </c:pt>
                <c:pt idx="664">
                  <c:v>1.589846386068706</c:v>
                </c:pt>
                <c:pt idx="665">
                  <c:v>1.6252437640937036</c:v>
                </c:pt>
                <c:pt idx="666">
                  <c:v>1.6522033119656079</c:v>
                </c:pt>
                <c:pt idx="667">
                  <c:v>1.6002242988444577</c:v>
                </c:pt>
                <c:pt idx="668">
                  <c:v>1.5957413239012543</c:v>
                </c:pt>
                <c:pt idx="669">
                  <c:v>1.5693479112940742</c:v>
                </c:pt>
                <c:pt idx="670">
                  <c:v>1.6016105641225102</c:v>
                </c:pt>
                <c:pt idx="671">
                  <c:v>1.5788870662268841</c:v>
                </c:pt>
                <c:pt idx="672">
                  <c:v>1.5878140853939255</c:v>
                </c:pt>
                <c:pt idx="673">
                  <c:v>1.6136609618687852</c:v>
                </c:pt>
                <c:pt idx="674">
                  <c:v>1.6095194874145922</c:v>
                </c:pt>
                <c:pt idx="675">
                  <c:v>1.584155553479784</c:v>
                </c:pt>
                <c:pt idx="676">
                  <c:v>1.5807486960716157</c:v>
                </c:pt>
                <c:pt idx="677">
                  <c:v>1.5503445302125265</c:v>
                </c:pt>
                <c:pt idx="678">
                  <c:v>1.5561111951218971</c:v>
                </c:pt>
                <c:pt idx="679">
                  <c:v>1.558749360951865</c:v>
                </c:pt>
                <c:pt idx="680">
                  <c:v>1.5218394061365395</c:v>
                </c:pt>
                <c:pt idx="681">
                  <c:v>1.5218227784986189</c:v>
                </c:pt>
                <c:pt idx="682">
                  <c:v>1.4659430231478596</c:v>
                </c:pt>
                <c:pt idx="683">
                  <c:v>1.425196720499015</c:v>
                </c:pt>
                <c:pt idx="684">
                  <c:v>1.3766100180518073</c:v>
                </c:pt>
                <c:pt idx="685">
                  <c:v>1.4039217210020096</c:v>
                </c:pt>
                <c:pt idx="686">
                  <c:v>1.483709645852928</c:v>
                </c:pt>
                <c:pt idx="687">
                  <c:v>1.4345856457819488</c:v>
                </c:pt>
                <c:pt idx="688">
                  <c:v>1.5129562449897507</c:v>
                </c:pt>
                <c:pt idx="689">
                  <c:v>1.4863628076585254</c:v>
                </c:pt>
                <c:pt idx="690">
                  <c:v>1.452384093567519</c:v>
                </c:pt>
                <c:pt idx="691">
                  <c:v>1.4273432941930277</c:v>
                </c:pt>
                <c:pt idx="692">
                  <c:v>1.4291312276310559</c:v>
                </c:pt>
                <c:pt idx="693">
                  <c:v>1.4174437600718068</c:v>
                </c:pt>
                <c:pt idx="694">
                  <c:v>1.4019622239227043</c:v>
                </c:pt>
                <c:pt idx="695">
                  <c:v>1.3928944883505767</c:v>
                </c:pt>
                <c:pt idx="696">
                  <c:v>1.3203658984139801</c:v>
                </c:pt>
                <c:pt idx="697">
                  <c:v>1.3039985711282338</c:v>
                </c:pt>
                <c:pt idx="698">
                  <c:v>1.3398280507078937</c:v>
                </c:pt>
                <c:pt idx="699">
                  <c:v>1.3264818880857083</c:v>
                </c:pt>
                <c:pt idx="700">
                  <c:v>1.2939745843065291</c:v>
                </c:pt>
                <c:pt idx="701">
                  <c:v>1.3072611181655935</c:v>
                </c:pt>
                <c:pt idx="702">
                  <c:v>1.3196799369060499</c:v>
                </c:pt>
                <c:pt idx="703">
                  <c:v>1.3286473081549155</c:v>
                </c:pt>
                <c:pt idx="704">
                  <c:v>1.2977022798233082</c:v>
                </c:pt>
                <c:pt idx="705">
                  <c:v>1.2660902587447751</c:v>
                </c:pt>
                <c:pt idx="706">
                  <c:v>1.2767274185136883</c:v>
                </c:pt>
                <c:pt idx="707">
                  <c:v>1.3086965088598226</c:v>
                </c:pt>
                <c:pt idx="708">
                  <c:v>1.3042200006309574</c:v>
                </c:pt>
                <c:pt idx="709">
                  <c:v>1.283504675292451</c:v>
                </c:pt>
                <c:pt idx="710">
                  <c:v>1.2476277774600217</c:v>
                </c:pt>
                <c:pt idx="711">
                  <c:v>1.2314990152349294</c:v>
                </c:pt>
                <c:pt idx="712">
                  <c:v>1.2599058266972361</c:v>
                </c:pt>
                <c:pt idx="713">
                  <c:v>1.2701764415022623</c:v>
                </c:pt>
                <c:pt idx="714">
                  <c:v>1.2699916873892239</c:v>
                </c:pt>
                <c:pt idx="715">
                  <c:v>1.2706310194219954</c:v>
                </c:pt>
                <c:pt idx="716">
                  <c:v>1.2954271725670661</c:v>
                </c:pt>
                <c:pt idx="717">
                  <c:v>1.2997138952699618</c:v>
                </c:pt>
                <c:pt idx="718">
                  <c:v>1.277392742857459</c:v>
                </c:pt>
                <c:pt idx="719">
                  <c:v>1.31835329992207</c:v>
                </c:pt>
                <c:pt idx="720">
                  <c:v>1.3548945341222178</c:v>
                </c:pt>
                <c:pt idx="721">
                  <c:v>1.3795354811005396</c:v>
                </c:pt>
                <c:pt idx="722">
                  <c:v>1.380889743573916</c:v>
                </c:pt>
                <c:pt idx="723">
                  <c:v>1.3729720160213861</c:v>
                </c:pt>
                <c:pt idx="724">
                  <c:v>1.3551599760705721</c:v>
                </c:pt>
                <c:pt idx="725">
                  <c:v>1.3300324581097578</c:v>
                </c:pt>
                <c:pt idx="726">
                  <c:v>1.3099092113240629</c:v>
                </c:pt>
                <c:pt idx="727">
                  <c:v>1.3219213575203936</c:v>
                </c:pt>
                <c:pt idx="728">
                  <c:v>1.2941828137429743</c:v>
                </c:pt>
                <c:pt idx="729">
                  <c:v>1.3320315004381116</c:v>
                </c:pt>
                <c:pt idx="730">
                  <c:v>1.3045945830174115</c:v>
                </c:pt>
                <c:pt idx="731">
                  <c:v>1.3426538306049487</c:v>
                </c:pt>
                <c:pt idx="732">
                  <c:v>1.3393888062251038</c:v>
                </c:pt>
                <c:pt idx="733">
                  <c:v>1.3399345668695892</c:v>
                </c:pt>
                <c:pt idx="734">
                  <c:v>1.3241705452064216</c:v>
                </c:pt>
                <c:pt idx="735">
                  <c:v>1.2980653219486444</c:v>
                </c:pt>
                <c:pt idx="736">
                  <c:v>1.2873277315519231</c:v>
                </c:pt>
                <c:pt idx="737">
                  <c:v>1.3264761251153343</c:v>
                </c:pt>
                <c:pt idx="738">
                  <c:v>1.3898540943187028</c:v>
                </c:pt>
                <c:pt idx="739">
                  <c:v>1.3344638596235197</c:v>
                </c:pt>
                <c:pt idx="740">
                  <c:v>1.2963907660820446</c:v>
                </c:pt>
                <c:pt idx="741">
                  <c:v>1.3200718393489588</c:v>
                </c:pt>
                <c:pt idx="742">
                  <c:v>1.3514060112397592</c:v>
                </c:pt>
                <c:pt idx="743">
                  <c:v>1.3587004335124164</c:v>
                </c:pt>
                <c:pt idx="744">
                  <c:v>1.3529720881142322</c:v>
                </c:pt>
                <c:pt idx="745">
                  <c:v>1.36796374572748</c:v>
                </c:pt>
                <c:pt idx="746">
                  <c:v>1.4141784472510741</c:v>
                </c:pt>
                <c:pt idx="747">
                  <c:v>1.4341303629915032</c:v>
                </c:pt>
                <c:pt idx="748">
                  <c:v>1.4590746582843446</c:v>
                </c:pt>
                <c:pt idx="749">
                  <c:v>1.4758063220940405</c:v>
                </c:pt>
                <c:pt idx="750">
                  <c:v>1.4675314685932883</c:v>
                </c:pt>
                <c:pt idx="751">
                  <c:v>1.5454104083748164</c:v>
                </c:pt>
                <c:pt idx="752">
                  <c:v>1.5820736150117578</c:v>
                </c:pt>
                <c:pt idx="753">
                  <c:v>1.6099492526955901</c:v>
                </c:pt>
                <c:pt idx="754">
                  <c:v>1.6197396843826977</c:v>
                </c:pt>
                <c:pt idx="755">
                  <c:v>1.5922036349213062</c:v>
                </c:pt>
                <c:pt idx="756">
                  <c:v>1.5371328394224855</c:v>
                </c:pt>
                <c:pt idx="757">
                  <c:v>1.507898639030776</c:v>
                </c:pt>
                <c:pt idx="758">
                  <c:v>1.5631000679629721</c:v>
                </c:pt>
                <c:pt idx="759">
                  <c:v>1.5341841627454913</c:v>
                </c:pt>
                <c:pt idx="760">
                  <c:v>1.5017096477549072</c:v>
                </c:pt>
                <c:pt idx="761">
                  <c:v>1.5841027124285207</c:v>
                </c:pt>
                <c:pt idx="762">
                  <c:v>1.5810606918211401</c:v>
                </c:pt>
                <c:pt idx="763">
                  <c:v>1.5176960314006074</c:v>
                </c:pt>
                <c:pt idx="764">
                  <c:v>1.524998126620458</c:v>
                </c:pt>
                <c:pt idx="765">
                  <c:v>1.5370119921327638</c:v>
                </c:pt>
                <c:pt idx="766">
                  <c:v>1.4818210460549794</c:v>
                </c:pt>
                <c:pt idx="767">
                  <c:v>1.503862150404802</c:v>
                </c:pt>
                <c:pt idx="768">
                  <c:v>1.4795301647937384</c:v>
                </c:pt>
                <c:pt idx="769">
                  <c:v>1.4493416401524033</c:v>
                </c:pt>
                <c:pt idx="770">
                  <c:v>1.434720449701524</c:v>
                </c:pt>
                <c:pt idx="771">
                  <c:v>1.4563744855229177</c:v>
                </c:pt>
                <c:pt idx="772">
                  <c:v>1.4073416693677105</c:v>
                </c:pt>
                <c:pt idx="773">
                  <c:v>1.4452525973674648</c:v>
                </c:pt>
                <c:pt idx="774">
                  <c:v>1.4486117182325777</c:v>
                </c:pt>
                <c:pt idx="775">
                  <c:v>1.4113878222066114</c:v>
                </c:pt>
                <c:pt idx="776">
                  <c:v>1.3439405001267444</c:v>
                </c:pt>
                <c:pt idx="777">
                  <c:v>1.3048221364622465</c:v>
                </c:pt>
                <c:pt idx="778">
                  <c:v>1.2402090011853384</c:v>
                </c:pt>
                <c:pt idx="779">
                  <c:v>1.2762933955265821</c:v>
                </c:pt>
                <c:pt idx="780">
                  <c:v>1.2193952518567777</c:v>
                </c:pt>
                <c:pt idx="781">
                  <c:v>1.2202460013759207</c:v>
                </c:pt>
                <c:pt idx="782">
                  <c:v>1.2316763748400124</c:v>
                </c:pt>
                <c:pt idx="783">
                  <c:v>1.1790133245676262</c:v>
                </c:pt>
                <c:pt idx="784">
                  <c:v>1.143107578128512</c:v>
                </c:pt>
                <c:pt idx="785">
                  <c:v>1.177105929793014</c:v>
                </c:pt>
                <c:pt idx="786">
                  <c:v>1.135711431782203</c:v>
                </c:pt>
                <c:pt idx="787">
                  <c:v>1.1576618687895808</c:v>
                </c:pt>
                <c:pt idx="788">
                  <c:v>1.1849879898944256</c:v>
                </c:pt>
                <c:pt idx="789">
                  <c:v>1.1936779844172827</c:v>
                </c:pt>
                <c:pt idx="790">
                  <c:v>1.1500308592650201</c:v>
                </c:pt>
                <c:pt idx="791">
                  <c:v>1.1596924887340332</c:v>
                </c:pt>
                <c:pt idx="792">
                  <c:v>1.1678223714378095</c:v>
                </c:pt>
                <c:pt idx="793">
                  <c:v>1.1466034793290738</c:v>
                </c:pt>
                <c:pt idx="794">
                  <c:v>1.1404423003204254</c:v>
                </c:pt>
                <c:pt idx="795">
                  <c:v>1.1806962892613431</c:v>
                </c:pt>
                <c:pt idx="796">
                  <c:v>1.2107742973763114</c:v>
                </c:pt>
                <c:pt idx="797">
                  <c:v>1.2043313857087108</c:v>
                </c:pt>
                <c:pt idx="798">
                  <c:v>1.2406450592069822</c:v>
                </c:pt>
                <c:pt idx="799">
                  <c:v>1.2419864460722683</c:v>
                </c:pt>
                <c:pt idx="800">
                  <c:v>1.2003288495038471</c:v>
                </c:pt>
                <c:pt idx="801">
                  <c:v>1.2229201306527726</c:v>
                </c:pt>
                <c:pt idx="802">
                  <c:v>1.2723872367048712</c:v>
                </c:pt>
                <c:pt idx="803">
                  <c:v>1.2546539272883475</c:v>
                </c:pt>
                <c:pt idx="804">
                  <c:v>1.2435053682901738</c:v>
                </c:pt>
                <c:pt idx="805">
                  <c:v>1.2077203129728307</c:v>
                </c:pt>
                <c:pt idx="806">
                  <c:v>1.1618452083356441</c:v>
                </c:pt>
                <c:pt idx="807">
                  <c:v>1.1289835775033741</c:v>
                </c:pt>
                <c:pt idx="808">
                  <c:v>1.1213033403170785</c:v>
                </c:pt>
                <c:pt idx="809">
                  <c:v>1.0788445598064931</c:v>
                </c:pt>
                <c:pt idx="810">
                  <c:v>1.0613564723057305</c:v>
                </c:pt>
                <c:pt idx="811">
                  <c:v>1.0685857557229066</c:v>
                </c:pt>
                <c:pt idx="812">
                  <c:v>1.0275703384593948</c:v>
                </c:pt>
                <c:pt idx="813">
                  <c:v>1.0058391175460857</c:v>
                </c:pt>
                <c:pt idx="814">
                  <c:v>1.0179757818066646</c:v>
                </c:pt>
                <c:pt idx="815">
                  <c:v>1.0592082151668569</c:v>
                </c:pt>
                <c:pt idx="816">
                  <c:v>1.0323514902121056</c:v>
                </c:pt>
                <c:pt idx="817">
                  <c:v>1.0329784393119485</c:v>
                </c:pt>
                <c:pt idx="818">
                  <c:v>0.99479637239902474</c:v>
                </c:pt>
                <c:pt idx="819">
                  <c:v>1.0585964347982986</c:v>
                </c:pt>
                <c:pt idx="820">
                  <c:v>1.151546854051356</c:v>
                </c:pt>
                <c:pt idx="821">
                  <c:v>1.1548361944214005</c:v>
                </c:pt>
                <c:pt idx="822">
                  <c:v>1.1255413330349171</c:v>
                </c:pt>
                <c:pt idx="823">
                  <c:v>1.1334615827977959</c:v>
                </c:pt>
                <c:pt idx="824">
                  <c:v>1.1453199261970144</c:v>
                </c:pt>
                <c:pt idx="825">
                  <c:v>1.1931153014072531</c:v>
                </c:pt>
                <c:pt idx="826">
                  <c:v>1.1595731669130089</c:v>
                </c:pt>
                <c:pt idx="827">
                  <c:v>1.1188185393053458</c:v>
                </c:pt>
                <c:pt idx="828">
                  <c:v>1.0802075327215612</c:v>
                </c:pt>
                <c:pt idx="829">
                  <c:v>1.0836396262032975</c:v>
                </c:pt>
                <c:pt idx="830">
                  <c:v>1.0669829554059866</c:v>
                </c:pt>
                <c:pt idx="831">
                  <c:v>1.0580295988119197</c:v>
                </c:pt>
                <c:pt idx="832">
                  <c:v>1.0646968386640161</c:v>
                </c:pt>
                <c:pt idx="833">
                  <c:v>1.0597323391944173</c:v>
                </c:pt>
                <c:pt idx="834">
                  <c:v>1.0841301117053368</c:v>
                </c:pt>
                <c:pt idx="835">
                  <c:v>1.1172043766323239</c:v>
                </c:pt>
                <c:pt idx="836">
                  <c:v>1.0973801747732173</c:v>
                </c:pt>
                <c:pt idx="837">
                  <c:v>1.1311616536631461</c:v>
                </c:pt>
                <c:pt idx="838">
                  <c:v>1.09318167509347</c:v>
                </c:pt>
                <c:pt idx="839">
                  <c:v>1.1204311701545693</c:v>
                </c:pt>
                <c:pt idx="840">
                  <c:v>1.1263344382587637</c:v>
                </c:pt>
                <c:pt idx="841">
                  <c:v>1.1024658472424254</c:v>
                </c:pt>
                <c:pt idx="842">
                  <c:v>1.0949568390389801</c:v>
                </c:pt>
                <c:pt idx="843">
                  <c:v>1.081760303473613</c:v>
                </c:pt>
                <c:pt idx="844">
                  <c:v>1.0978947755033484</c:v>
                </c:pt>
                <c:pt idx="845">
                  <c:v>1.1666497544806513</c:v>
                </c:pt>
                <c:pt idx="846">
                  <c:v>1.176591559665598</c:v>
                </c:pt>
                <c:pt idx="847">
                  <c:v>1.1098000408736821</c:v>
                </c:pt>
                <c:pt idx="848">
                  <c:v>1.1278320275967673</c:v>
                </c:pt>
                <c:pt idx="849">
                  <c:v>1.1624686746433979</c:v>
                </c:pt>
                <c:pt idx="850">
                  <c:v>1.1583955481296808</c:v>
                </c:pt>
                <c:pt idx="851">
                  <c:v>1.1758712473104054</c:v>
                </c:pt>
                <c:pt idx="852">
                  <c:v>1.2113098616408289</c:v>
                </c:pt>
                <c:pt idx="853">
                  <c:v>1.1835145471662372</c:v>
                </c:pt>
                <c:pt idx="854">
                  <c:v>1.2088442588667763</c:v>
                </c:pt>
                <c:pt idx="855">
                  <c:v>1.2171018177477722</c:v>
                </c:pt>
                <c:pt idx="856">
                  <c:v>1.2349480860328392</c:v>
                </c:pt>
                <c:pt idx="857">
                  <c:v>1.246441168115813</c:v>
                </c:pt>
                <c:pt idx="858">
                  <c:v>1.253460844390357</c:v>
                </c:pt>
                <c:pt idx="859">
                  <c:v>1.2383711909324484</c:v>
                </c:pt>
                <c:pt idx="860">
                  <c:v>1.298473408436239</c:v>
                </c:pt>
                <c:pt idx="861">
                  <c:v>1.3441762195409619</c:v>
                </c:pt>
                <c:pt idx="862">
                  <c:v>1.3438810930285139</c:v>
                </c:pt>
                <c:pt idx="863">
                  <c:v>1.3157464298574271</c:v>
                </c:pt>
                <c:pt idx="864">
                  <c:v>1.3431650096144983</c:v>
                </c:pt>
                <c:pt idx="865">
                  <c:v>1.3276548658381415</c:v>
                </c:pt>
                <c:pt idx="866">
                  <c:v>1.2545292098148033</c:v>
                </c:pt>
                <c:pt idx="867">
                  <c:v>1.2795661635871782</c:v>
                </c:pt>
                <c:pt idx="868">
                  <c:v>1.2816892373980808</c:v>
                </c:pt>
                <c:pt idx="869">
                  <c:v>1.3296374581373729</c:v>
                </c:pt>
                <c:pt idx="870">
                  <c:v>1.3349092534799658</c:v>
                </c:pt>
                <c:pt idx="871">
                  <c:v>1.3356943479688788</c:v>
                </c:pt>
                <c:pt idx="872">
                  <c:v>1.3071703227913414</c:v>
                </c:pt>
                <c:pt idx="873">
                  <c:v>1.3568272165367343</c:v>
                </c:pt>
                <c:pt idx="874">
                  <c:v>1.3697631151250929</c:v>
                </c:pt>
                <c:pt idx="875">
                  <c:v>1.3205698092127187</c:v>
                </c:pt>
                <c:pt idx="876">
                  <c:v>1.2626202427724533</c:v>
                </c:pt>
                <c:pt idx="877">
                  <c:v>1.2514114039224904</c:v>
                </c:pt>
                <c:pt idx="878">
                  <c:v>1.2405077659234884</c:v>
                </c:pt>
                <c:pt idx="879">
                  <c:v>1.218052862974071</c:v>
                </c:pt>
                <c:pt idx="880">
                  <c:v>1.2058560148772413</c:v>
                </c:pt>
                <c:pt idx="881">
                  <c:v>1.1893091085364309</c:v>
                </c:pt>
                <c:pt idx="882">
                  <c:v>1.1727067380267133</c:v>
                </c:pt>
                <c:pt idx="883">
                  <c:v>1.1355898345012023</c:v>
                </c:pt>
                <c:pt idx="884">
                  <c:v>1.1801874553529932</c:v>
                </c:pt>
                <c:pt idx="885">
                  <c:v>1.1610636408943822</c:v>
                </c:pt>
                <c:pt idx="886">
                  <c:v>1.2155661344623589</c:v>
                </c:pt>
                <c:pt idx="887">
                  <c:v>1.2273990332310947</c:v>
                </c:pt>
                <c:pt idx="888">
                  <c:v>1.2533554511879581</c:v>
                </c:pt>
                <c:pt idx="889">
                  <c:v>1.247935055478453</c:v>
                </c:pt>
                <c:pt idx="890">
                  <c:v>1.2612625742943611</c:v>
                </c:pt>
                <c:pt idx="891">
                  <c:v>1.2531246086644547</c:v>
                </c:pt>
                <c:pt idx="892">
                  <c:v>1.226427956932499</c:v>
                </c:pt>
                <c:pt idx="893">
                  <c:v>1.2763617565524794</c:v>
                </c:pt>
                <c:pt idx="894">
                  <c:v>1.2763735117040615</c:v>
                </c:pt>
                <c:pt idx="895">
                  <c:v>1.327450685454612</c:v>
                </c:pt>
                <c:pt idx="896">
                  <c:v>1.2621565305870543</c:v>
                </c:pt>
                <c:pt idx="897">
                  <c:v>1.2647407437652887</c:v>
                </c:pt>
                <c:pt idx="898">
                  <c:v>1.269262940509432</c:v>
                </c:pt>
                <c:pt idx="899">
                  <c:v>1.2171524639238103</c:v>
                </c:pt>
                <c:pt idx="900">
                  <c:v>1.179044024711656</c:v>
                </c:pt>
                <c:pt idx="901">
                  <c:v>1.1667244950348115</c:v>
                </c:pt>
                <c:pt idx="902">
                  <c:v>1.1208114003819718</c:v>
                </c:pt>
                <c:pt idx="903">
                  <c:v>1.137233075711521</c:v>
                </c:pt>
                <c:pt idx="904">
                  <c:v>1.1500720580288177</c:v>
                </c:pt>
                <c:pt idx="905">
                  <c:v>1.1708926185569992</c:v>
                </c:pt>
                <c:pt idx="906">
                  <c:v>1.1771521966917378</c:v>
                </c:pt>
                <c:pt idx="907">
                  <c:v>1.1150505232327876</c:v>
                </c:pt>
                <c:pt idx="908">
                  <c:v>1.1076042745712515</c:v>
                </c:pt>
                <c:pt idx="909">
                  <c:v>1.0544611154287857</c:v>
                </c:pt>
                <c:pt idx="910">
                  <c:v>1.1058978445507872</c:v>
                </c:pt>
                <c:pt idx="911">
                  <c:v>1.0366186841631722</c:v>
                </c:pt>
                <c:pt idx="912">
                  <c:v>1.0087257619140435</c:v>
                </c:pt>
                <c:pt idx="913">
                  <c:v>0.99008028720775643</c:v>
                </c:pt>
                <c:pt idx="914">
                  <c:v>0.97124318588355563</c:v>
                </c:pt>
                <c:pt idx="915">
                  <c:v>0.96848145719260925</c:v>
                </c:pt>
                <c:pt idx="916">
                  <c:v>1.0012560454574142</c:v>
                </c:pt>
                <c:pt idx="917">
                  <c:v>1.0117424500182048</c:v>
                </c:pt>
                <c:pt idx="918">
                  <c:v>1.0468405924789208</c:v>
                </c:pt>
                <c:pt idx="919">
                  <c:v>1.0280888812808702</c:v>
                </c:pt>
                <c:pt idx="920">
                  <c:v>1.0284387417338292</c:v>
                </c:pt>
                <c:pt idx="921">
                  <c:v>1.0512208165067916</c:v>
                </c:pt>
                <c:pt idx="922">
                  <c:v>1.0750472130395594</c:v>
                </c:pt>
                <c:pt idx="923">
                  <c:v>1.0697574162644763</c:v>
                </c:pt>
                <c:pt idx="924">
                  <c:v>1.1137799529398946</c:v>
                </c:pt>
                <c:pt idx="925">
                  <c:v>1.150814963434807</c:v>
                </c:pt>
                <c:pt idx="926">
                  <c:v>1.1303310888701723</c:v>
                </c:pt>
                <c:pt idx="927">
                  <c:v>1.1441576793169039</c:v>
                </c:pt>
                <c:pt idx="928">
                  <c:v>1.1166460277539423</c:v>
                </c:pt>
                <c:pt idx="929">
                  <c:v>1.1538102637947225</c:v>
                </c:pt>
                <c:pt idx="930">
                  <c:v>1.1522711380007378</c:v>
                </c:pt>
                <c:pt idx="931">
                  <c:v>1.1336555091073937</c:v>
                </c:pt>
                <c:pt idx="932">
                  <c:v>1.1040286074744221</c:v>
                </c:pt>
                <c:pt idx="933">
                  <c:v>1.1024491268643195</c:v>
                </c:pt>
                <c:pt idx="934">
                  <c:v>1.0962913146015116</c:v>
                </c:pt>
                <c:pt idx="935">
                  <c:v>1.0975576872229773</c:v>
                </c:pt>
                <c:pt idx="936">
                  <c:v>1.0457431330476847</c:v>
                </c:pt>
                <c:pt idx="937">
                  <c:v>1.0755658902587599</c:v>
                </c:pt>
                <c:pt idx="938">
                  <c:v>1.075860750807536</c:v>
                </c:pt>
                <c:pt idx="939">
                  <c:v>1.1097146278508283</c:v>
                </c:pt>
                <c:pt idx="940">
                  <c:v>1.1050150930729994</c:v>
                </c:pt>
                <c:pt idx="941">
                  <c:v>1.1450632414201516</c:v>
                </c:pt>
                <c:pt idx="942">
                  <c:v>1.1013689208646029</c:v>
                </c:pt>
                <c:pt idx="943">
                  <c:v>1.1390243675717033</c:v>
                </c:pt>
                <c:pt idx="944">
                  <c:v>1.1253318064079205</c:v>
                </c:pt>
                <c:pt idx="945">
                  <c:v>1.1204133034009842</c:v>
                </c:pt>
                <c:pt idx="946">
                  <c:v>1.1344161665982027</c:v>
                </c:pt>
                <c:pt idx="947">
                  <c:v>1.0813328382202918</c:v>
                </c:pt>
                <c:pt idx="948">
                  <c:v>1.1077912882077063</c:v>
                </c:pt>
                <c:pt idx="949">
                  <c:v>1.1502645565412517</c:v>
                </c:pt>
                <c:pt idx="950">
                  <c:v>1.1560000742253853</c:v>
                </c:pt>
                <c:pt idx="951">
                  <c:v>1.1213659743209479</c:v>
                </c:pt>
                <c:pt idx="952">
                  <c:v>1.1501119000985252</c:v>
                </c:pt>
                <c:pt idx="953">
                  <c:v>1.1532700325729568</c:v>
                </c:pt>
                <c:pt idx="954">
                  <c:v>1.1652323426101328</c:v>
                </c:pt>
                <c:pt idx="955">
                  <c:v>1.1747044157986171</c:v>
                </c:pt>
                <c:pt idx="956">
                  <c:v>1.14681932652109</c:v>
                </c:pt>
                <c:pt idx="957">
                  <c:v>1.1859355044937054</c:v>
                </c:pt>
                <c:pt idx="958">
                  <c:v>1.1757816128465259</c:v>
                </c:pt>
                <c:pt idx="959">
                  <c:v>1.2177779150311978</c:v>
                </c:pt>
                <c:pt idx="960">
                  <c:v>1.2044345535143886</c:v>
                </c:pt>
                <c:pt idx="961">
                  <c:v>1.2206789784631487</c:v>
                </c:pt>
                <c:pt idx="962">
                  <c:v>1.1911479226747181</c:v>
                </c:pt>
                <c:pt idx="963">
                  <c:v>1.2087145499902552</c:v>
                </c:pt>
                <c:pt idx="964">
                  <c:v>1.2058360176439136</c:v>
                </c:pt>
                <c:pt idx="965">
                  <c:v>1.2384291388370385</c:v>
                </c:pt>
                <c:pt idx="966">
                  <c:v>1.259451240089333</c:v>
                </c:pt>
                <c:pt idx="967">
                  <c:v>1.2356459140387226</c:v>
                </c:pt>
                <c:pt idx="968">
                  <c:v>1.2748720299586114</c:v>
                </c:pt>
                <c:pt idx="969">
                  <c:v>1.358476568558479</c:v>
                </c:pt>
                <c:pt idx="970">
                  <c:v>1.32981570458597</c:v>
                </c:pt>
                <c:pt idx="971">
                  <c:v>1.2455734853464588</c:v>
                </c:pt>
                <c:pt idx="972">
                  <c:v>1.2408024253061154</c:v>
                </c:pt>
                <c:pt idx="973">
                  <c:v>1.2654352142794931</c:v>
                </c:pt>
                <c:pt idx="974">
                  <c:v>1.2374453061014545</c:v>
                </c:pt>
                <c:pt idx="975">
                  <c:v>1.2532467913353791</c:v>
                </c:pt>
                <c:pt idx="976">
                  <c:v>1.2309909374456334</c:v>
                </c:pt>
                <c:pt idx="977">
                  <c:v>1.1581013945508964</c:v>
                </c:pt>
                <c:pt idx="978">
                  <c:v>1.138788932825689</c:v>
                </c:pt>
                <c:pt idx="979">
                  <c:v>1.2156481810268416</c:v>
                </c:pt>
                <c:pt idx="980">
                  <c:v>1.1711654951760604</c:v>
                </c:pt>
                <c:pt idx="981">
                  <c:v>1.1335787107267303</c:v>
                </c:pt>
                <c:pt idx="982">
                  <c:v>1.2027485430550662</c:v>
                </c:pt>
                <c:pt idx="983">
                  <c:v>1.2069551696382712</c:v>
                </c:pt>
                <c:pt idx="984">
                  <c:v>1.2224830762832382</c:v>
                </c:pt>
                <c:pt idx="985">
                  <c:v>1.1909315560911908</c:v>
                </c:pt>
                <c:pt idx="986">
                  <c:v>1.1689561765500611</c:v>
                </c:pt>
                <c:pt idx="987">
                  <c:v>1.1904319938711874</c:v>
                </c:pt>
                <c:pt idx="988">
                  <c:v>1.2066919838089443</c:v>
                </c:pt>
                <c:pt idx="989">
                  <c:v>1.1625308698590571</c:v>
                </c:pt>
                <c:pt idx="990">
                  <c:v>1.1244449092847613</c:v>
                </c:pt>
                <c:pt idx="991">
                  <c:v>1.17329804533107</c:v>
                </c:pt>
                <c:pt idx="992">
                  <c:v>1.125999273476592</c:v>
                </c:pt>
                <c:pt idx="993">
                  <c:v>1.1348209012465387</c:v>
                </c:pt>
                <c:pt idx="994">
                  <c:v>1.1471928946590693</c:v>
                </c:pt>
                <c:pt idx="995">
                  <c:v>1.1334419667393747</c:v>
                </c:pt>
                <c:pt idx="996">
                  <c:v>1.1477190871594631</c:v>
                </c:pt>
                <c:pt idx="997">
                  <c:v>1.1936755147322717</c:v>
                </c:pt>
                <c:pt idx="998">
                  <c:v>1.2066299498761648</c:v>
                </c:pt>
                <c:pt idx="999">
                  <c:v>1.2256919052592503</c:v>
                </c:pt>
                <c:pt idx="1000">
                  <c:v>1.2406287968471874</c:v>
                </c:pt>
                <c:pt idx="1001">
                  <c:v>1.2149399081340739</c:v>
                </c:pt>
                <c:pt idx="1002">
                  <c:v>1.2720715949021988</c:v>
                </c:pt>
                <c:pt idx="1003">
                  <c:v>1.344352812953769</c:v>
                </c:pt>
                <c:pt idx="1004">
                  <c:v>1.3594493516377444</c:v>
                </c:pt>
                <c:pt idx="1005">
                  <c:v>1.3690679858258754</c:v>
                </c:pt>
                <c:pt idx="1006">
                  <c:v>1.3853398765131069</c:v>
                </c:pt>
                <c:pt idx="1007">
                  <c:v>1.4394078550674974</c:v>
                </c:pt>
                <c:pt idx="1008">
                  <c:v>1.3736401978305581</c:v>
                </c:pt>
                <c:pt idx="1009">
                  <c:v>1.4339133312502141</c:v>
                </c:pt>
                <c:pt idx="1010">
                  <c:v>1.4409486683671684</c:v>
                </c:pt>
                <c:pt idx="1011">
                  <c:v>1.4157038674437405</c:v>
                </c:pt>
                <c:pt idx="1012">
                  <c:v>1.4249228393248612</c:v>
                </c:pt>
                <c:pt idx="1013">
                  <c:v>1.4335103062976349</c:v>
                </c:pt>
                <c:pt idx="1014">
                  <c:v>1.445464853647052</c:v>
                </c:pt>
                <c:pt idx="1015">
                  <c:v>1.4620310234664202</c:v>
                </c:pt>
                <c:pt idx="1016">
                  <c:v>1.4953531671865989</c:v>
                </c:pt>
                <c:pt idx="1017">
                  <c:v>1.5094565392251751</c:v>
                </c:pt>
                <c:pt idx="1018">
                  <c:v>1.514581493603927</c:v>
                </c:pt>
                <c:pt idx="1019">
                  <c:v>1.500985786647044</c:v>
                </c:pt>
                <c:pt idx="1020">
                  <c:v>1.4852223008562577</c:v>
                </c:pt>
                <c:pt idx="1021">
                  <c:v>1.5073750149386453</c:v>
                </c:pt>
                <c:pt idx="1022">
                  <c:v>1.538746806679171</c:v>
                </c:pt>
                <c:pt idx="1023">
                  <c:v>1.5630474390435258</c:v>
                </c:pt>
                <c:pt idx="1024">
                  <c:v>1.540236557680174</c:v>
                </c:pt>
                <c:pt idx="1025">
                  <c:v>1.5837219614442994</c:v>
                </c:pt>
                <c:pt idx="1026">
                  <c:v>1.5297935611886604</c:v>
                </c:pt>
                <c:pt idx="1027">
                  <c:v>1.5909768491350063</c:v>
                </c:pt>
                <c:pt idx="1028">
                  <c:v>1.565210135963031</c:v>
                </c:pt>
                <c:pt idx="1029">
                  <c:v>1.6195912135258002</c:v>
                </c:pt>
                <c:pt idx="1030">
                  <c:v>1.6435994991022986</c:v>
                </c:pt>
                <c:pt idx="1031">
                  <c:v>1.6750838283816911</c:v>
                </c:pt>
                <c:pt idx="1032">
                  <c:v>1.666120458597105</c:v>
                </c:pt>
                <c:pt idx="1033">
                  <c:v>1.5907694869651561</c:v>
                </c:pt>
                <c:pt idx="1034">
                  <c:v>1.487160448616061</c:v>
                </c:pt>
                <c:pt idx="1035">
                  <c:v>1.4199954129462864</c:v>
                </c:pt>
                <c:pt idx="1036">
                  <c:v>1.3685172630749685</c:v>
                </c:pt>
                <c:pt idx="1037">
                  <c:v>1.376062152771595</c:v>
                </c:pt>
                <c:pt idx="1038">
                  <c:v>1.4114107370248421</c:v>
                </c:pt>
                <c:pt idx="1039">
                  <c:v>1.4179966227086667</c:v>
                </c:pt>
                <c:pt idx="1040">
                  <c:v>1.3930549499143263</c:v>
                </c:pt>
                <c:pt idx="1041">
                  <c:v>1.3254668498160367</c:v>
                </c:pt>
                <c:pt idx="1042">
                  <c:v>1.3345023833439307</c:v>
                </c:pt>
                <c:pt idx="1043">
                  <c:v>1.3201305496033251</c:v>
                </c:pt>
                <c:pt idx="1044">
                  <c:v>1.3595017384945089</c:v>
                </c:pt>
                <c:pt idx="1045">
                  <c:v>1.4044051774772441</c:v>
                </c:pt>
                <c:pt idx="1046">
                  <c:v>1.4117676270202399</c:v>
                </c:pt>
                <c:pt idx="1047">
                  <c:v>1.3877497581655742</c:v>
                </c:pt>
                <c:pt idx="1048">
                  <c:v>1.3656205359248372</c:v>
                </c:pt>
                <c:pt idx="1049">
                  <c:v>1.3854525396451742</c:v>
                </c:pt>
                <c:pt idx="1050">
                  <c:v>1.3985359032061369</c:v>
                </c:pt>
                <c:pt idx="1051">
                  <c:v>1.3879682472607797</c:v>
                </c:pt>
                <c:pt idx="1052">
                  <c:v>1.3929539545000291</c:v>
                </c:pt>
                <c:pt idx="1053">
                  <c:v>1.3810485549125155</c:v>
                </c:pt>
                <c:pt idx="1054">
                  <c:v>1.4191133461400012</c:v>
                </c:pt>
                <c:pt idx="1055">
                  <c:v>1.3780856506912473</c:v>
                </c:pt>
                <c:pt idx="1056">
                  <c:v>1.3518588252855048</c:v>
                </c:pt>
                <c:pt idx="1057">
                  <c:v>1.4027152032638006</c:v>
                </c:pt>
                <c:pt idx="1058">
                  <c:v>1.4813182485128622</c:v>
                </c:pt>
                <c:pt idx="1059">
                  <c:v>1.4416319700270248</c:v>
                </c:pt>
                <c:pt idx="1060">
                  <c:v>1.4457098919724727</c:v>
                </c:pt>
                <c:pt idx="1061">
                  <c:v>1.4520105427220291</c:v>
                </c:pt>
                <c:pt idx="1062">
                  <c:v>1.3952723754862071</c:v>
                </c:pt>
                <c:pt idx="1063">
                  <c:v>1.393428040366032</c:v>
                </c:pt>
                <c:pt idx="1064">
                  <c:v>1.3770837129749576</c:v>
                </c:pt>
                <c:pt idx="1065">
                  <c:v>1.3700454171696197</c:v>
                </c:pt>
                <c:pt idx="1066">
                  <c:v>1.3787022490147827</c:v>
                </c:pt>
                <c:pt idx="1067">
                  <c:v>1.3729104533314405</c:v>
                </c:pt>
                <c:pt idx="1068">
                  <c:v>1.3603323738985496</c:v>
                </c:pt>
                <c:pt idx="1069">
                  <c:v>1.3612052355317004</c:v>
                </c:pt>
                <c:pt idx="1070">
                  <c:v>1.3892027165736638</c:v>
                </c:pt>
                <c:pt idx="1071">
                  <c:v>1.3658673068955984</c:v>
                </c:pt>
                <c:pt idx="1072">
                  <c:v>1.3961592625722685</c:v>
                </c:pt>
                <c:pt idx="1073">
                  <c:v>1.3649608108131628</c:v>
                </c:pt>
                <c:pt idx="1074">
                  <c:v>1.3153733502544807</c:v>
                </c:pt>
                <c:pt idx="1075">
                  <c:v>1.3361706909012963</c:v>
                </c:pt>
                <c:pt idx="1076">
                  <c:v>1.392952514045491</c:v>
                </c:pt>
                <c:pt idx="1077">
                  <c:v>1.4067158693399273</c:v>
                </c:pt>
                <c:pt idx="1078">
                  <c:v>1.3365714900019701</c:v>
                </c:pt>
                <c:pt idx="1079">
                  <c:v>1.3255571134918271</c:v>
                </c:pt>
                <c:pt idx="1080">
                  <c:v>1.3084782078622765</c:v>
                </c:pt>
                <c:pt idx="1081">
                  <c:v>1.3025208991640784</c:v>
                </c:pt>
                <c:pt idx="1082">
                  <c:v>1.2437564040058189</c:v>
                </c:pt>
                <c:pt idx="1083">
                  <c:v>1.3376900350491783</c:v>
                </c:pt>
                <c:pt idx="1084">
                  <c:v>1.3044904568533078</c:v>
                </c:pt>
                <c:pt idx="1085">
                  <c:v>1.2748057268935769</c:v>
                </c:pt>
                <c:pt idx="1086">
                  <c:v>1.3085218619616545</c:v>
                </c:pt>
                <c:pt idx="1087">
                  <c:v>1.3058031198199096</c:v>
                </c:pt>
                <c:pt idx="1088">
                  <c:v>1.2996712945406526</c:v>
                </c:pt>
                <c:pt idx="1089">
                  <c:v>1.2814892144636238</c:v>
                </c:pt>
                <c:pt idx="1090">
                  <c:v>1.2629731207869079</c:v>
                </c:pt>
                <c:pt idx="1091">
                  <c:v>1.2309038513388582</c:v>
                </c:pt>
                <c:pt idx="1092">
                  <c:v>1.2396111308935698</c:v>
                </c:pt>
                <c:pt idx="1093">
                  <c:v>1.2301219461204922</c:v>
                </c:pt>
                <c:pt idx="1094">
                  <c:v>1.1766750105074115</c:v>
                </c:pt>
                <c:pt idx="1095">
                  <c:v>1.2177729542839326</c:v>
                </c:pt>
                <c:pt idx="1096">
                  <c:v>1.1394087021558967</c:v>
                </c:pt>
                <c:pt idx="1097">
                  <c:v>1.1159192849695043</c:v>
                </c:pt>
                <c:pt idx="1098">
                  <c:v>1.1059410474029903</c:v>
                </c:pt>
                <c:pt idx="1099">
                  <c:v>1.1765217031306969</c:v>
                </c:pt>
                <c:pt idx="1100">
                  <c:v>1.2227460675322455</c:v>
                </c:pt>
                <c:pt idx="1101">
                  <c:v>1.2311054354526523</c:v>
                </c:pt>
                <c:pt idx="1102">
                  <c:v>1.2388389747897874</c:v>
                </c:pt>
                <c:pt idx="1103">
                  <c:v>1.2039742654364511</c:v>
                </c:pt>
                <c:pt idx="1104">
                  <c:v>1.1284287371448349</c:v>
                </c:pt>
                <c:pt idx="1105">
                  <c:v>1.1592724794350193</c:v>
                </c:pt>
                <c:pt idx="1106">
                  <c:v>1.1746923482153442</c:v>
                </c:pt>
                <c:pt idx="1107">
                  <c:v>1.1430840147849024</c:v>
                </c:pt>
                <c:pt idx="1108">
                  <c:v>1.1390384949130232</c:v>
                </c:pt>
                <c:pt idx="1109">
                  <c:v>1.1492080120536261</c:v>
                </c:pt>
                <c:pt idx="1110">
                  <c:v>1.1143222837110869</c:v>
                </c:pt>
                <c:pt idx="1111">
                  <c:v>1.1379065722659887</c:v>
                </c:pt>
                <c:pt idx="1112">
                  <c:v>1.1592235413349792</c:v>
                </c:pt>
                <c:pt idx="1113">
                  <c:v>1.1105981141546861</c:v>
                </c:pt>
                <c:pt idx="1114">
                  <c:v>1.1370797814415297</c:v>
                </c:pt>
                <c:pt idx="1115">
                  <c:v>1.1319168814335812</c:v>
                </c:pt>
                <c:pt idx="1116">
                  <c:v>1.1172831655031201</c:v>
                </c:pt>
                <c:pt idx="1117">
                  <c:v>1.1316801304682806</c:v>
                </c:pt>
                <c:pt idx="1118">
                  <c:v>1.1178205319322223</c:v>
                </c:pt>
                <c:pt idx="1119">
                  <c:v>1.114210761947132</c:v>
                </c:pt>
                <c:pt idx="1120">
                  <c:v>1.1160557768455113</c:v>
                </c:pt>
                <c:pt idx="1121">
                  <c:v>1.0843675166398419</c:v>
                </c:pt>
                <c:pt idx="1122">
                  <c:v>1.0985135237915964</c:v>
                </c:pt>
                <c:pt idx="1123">
                  <c:v>1.0486621945325327</c:v>
                </c:pt>
                <c:pt idx="1124">
                  <c:v>1.0542267711696434</c:v>
                </c:pt>
                <c:pt idx="1125">
                  <c:v>1.0950123863979815</c:v>
                </c:pt>
                <c:pt idx="1126">
                  <c:v>1.1353833150670831</c:v>
                </c:pt>
                <c:pt idx="1127">
                  <c:v>1.1591770515649</c:v>
                </c:pt>
                <c:pt idx="1128">
                  <c:v>1.1475752133172232</c:v>
                </c:pt>
                <c:pt idx="1129">
                  <c:v>1.0951262483243556</c:v>
                </c:pt>
                <c:pt idx="1130">
                  <c:v>1.1097441065548863</c:v>
                </c:pt>
                <c:pt idx="1131">
                  <c:v>1.136786649775622</c:v>
                </c:pt>
                <c:pt idx="1132">
                  <c:v>1.1595231620758542</c:v>
                </c:pt>
                <c:pt idx="1133">
                  <c:v>1.1830082039092706</c:v>
                </c:pt>
                <c:pt idx="1134">
                  <c:v>1.1862373367240113</c:v>
                </c:pt>
                <c:pt idx="1135">
                  <c:v>1.2033328189457881</c:v>
                </c:pt>
                <c:pt idx="1136">
                  <c:v>1.1828289875081712</c:v>
                </c:pt>
                <c:pt idx="1137">
                  <c:v>1.1570652834997128</c:v>
                </c:pt>
                <c:pt idx="1138">
                  <c:v>1.1434028008576069</c:v>
                </c:pt>
                <c:pt idx="1139">
                  <c:v>1.1766769139740483</c:v>
                </c:pt>
                <c:pt idx="1140">
                  <c:v>1.1900137586901089</c:v>
                </c:pt>
                <c:pt idx="1141">
                  <c:v>1.1860566780891453</c:v>
                </c:pt>
                <c:pt idx="1142">
                  <c:v>1.1687488830968489</c:v>
                </c:pt>
                <c:pt idx="1143">
                  <c:v>1.1524921462013036</c:v>
                </c:pt>
                <c:pt idx="1144">
                  <c:v>1.1690197059937983</c:v>
                </c:pt>
                <c:pt idx="1145">
                  <c:v>1.1940374046124049</c:v>
                </c:pt>
                <c:pt idx="1146">
                  <c:v>1.1744294379517177</c:v>
                </c:pt>
                <c:pt idx="1147">
                  <c:v>1.1573631256237211</c:v>
                </c:pt>
                <c:pt idx="1148">
                  <c:v>1.0887520875874672</c:v>
                </c:pt>
                <c:pt idx="1149">
                  <c:v>1.0845419532647134</c:v>
                </c:pt>
                <c:pt idx="1150">
                  <c:v>1.077147522646581</c:v>
                </c:pt>
                <c:pt idx="1151">
                  <c:v>1.1089200317476002</c:v>
                </c:pt>
                <c:pt idx="1152">
                  <c:v>1.1384008286065477</c:v>
                </c:pt>
                <c:pt idx="1153">
                  <c:v>1.076929050392913</c:v>
                </c:pt>
                <c:pt idx="1154">
                  <c:v>1.05470152507705</c:v>
                </c:pt>
                <c:pt idx="1155">
                  <c:v>1.0642963742167868</c:v>
                </c:pt>
                <c:pt idx="1156">
                  <c:v>1.0961262329576718</c:v>
                </c:pt>
                <c:pt idx="1157">
                  <c:v>1.1075030602142573</c:v>
                </c:pt>
                <c:pt idx="1158">
                  <c:v>1.1435455301396935</c:v>
                </c:pt>
                <c:pt idx="1159">
                  <c:v>1.2030234647086153</c:v>
                </c:pt>
                <c:pt idx="1160">
                  <c:v>1.1462710574027359</c:v>
                </c:pt>
                <c:pt idx="1161">
                  <c:v>1.1767208948330086</c:v>
                </c:pt>
                <c:pt idx="1162">
                  <c:v>1.1386580430955331</c:v>
                </c:pt>
                <c:pt idx="1163">
                  <c:v>1.151997195093003</c:v>
                </c:pt>
                <c:pt idx="1164">
                  <c:v>1.1808765816714517</c:v>
                </c:pt>
                <c:pt idx="1165">
                  <c:v>1.1937859673568498</c:v>
                </c:pt>
                <c:pt idx="1166">
                  <c:v>1.2333376959922351</c:v>
                </c:pt>
                <c:pt idx="1167">
                  <c:v>1.2174996660753372</c:v>
                </c:pt>
                <c:pt idx="1168">
                  <c:v>1.242566761273121</c:v>
                </c:pt>
                <c:pt idx="1169">
                  <c:v>1.1975504917443012</c:v>
                </c:pt>
                <c:pt idx="1170">
                  <c:v>1.1743375311496043</c:v>
                </c:pt>
                <c:pt idx="1171">
                  <c:v>1.1633121308487664</c:v>
                </c:pt>
                <c:pt idx="1172">
                  <c:v>1.1798309729669954</c:v>
                </c:pt>
                <c:pt idx="1173">
                  <c:v>1.1983559635801457</c:v>
                </c:pt>
                <c:pt idx="1174">
                  <c:v>1.2095730594039098</c:v>
                </c:pt>
                <c:pt idx="1175">
                  <c:v>1.2425728783836067</c:v>
                </c:pt>
                <c:pt idx="1176">
                  <c:v>1.2021358279206802</c:v>
                </c:pt>
                <c:pt idx="1177">
                  <c:v>1.1516277525525269</c:v>
                </c:pt>
                <c:pt idx="1178">
                  <c:v>1.1967553654429242</c:v>
                </c:pt>
                <c:pt idx="1179">
                  <c:v>1.2130829021065022</c:v>
                </c:pt>
                <c:pt idx="1180">
                  <c:v>1.2334019652834207</c:v>
                </c:pt>
                <c:pt idx="1181">
                  <c:v>1.2729936936820252</c:v>
                </c:pt>
                <c:pt idx="1182">
                  <c:v>1.2190172856798713</c:v>
                </c:pt>
                <c:pt idx="1183">
                  <c:v>1.2600575895716748</c:v>
                </c:pt>
                <c:pt idx="1184">
                  <c:v>1.2409701819925489</c:v>
                </c:pt>
                <c:pt idx="1185">
                  <c:v>1.2241090733103275</c:v>
                </c:pt>
                <c:pt idx="1186">
                  <c:v>1.2276967427619914</c:v>
                </c:pt>
                <c:pt idx="1187">
                  <c:v>1.2716792855692289</c:v>
                </c:pt>
                <c:pt idx="1188">
                  <c:v>1.290593863861647</c:v>
                </c:pt>
                <c:pt idx="1189">
                  <c:v>1.3353665695732146</c:v>
                </c:pt>
                <c:pt idx="1190">
                  <c:v>1.3401098129787941</c:v>
                </c:pt>
                <c:pt idx="1191">
                  <c:v>1.3837792951790964</c:v>
                </c:pt>
                <c:pt idx="1192">
                  <c:v>1.3227484960608813</c:v>
                </c:pt>
                <c:pt idx="1193">
                  <c:v>1.2965730087535419</c:v>
                </c:pt>
                <c:pt idx="1194">
                  <c:v>1.2757695944762288</c:v>
                </c:pt>
                <c:pt idx="1195">
                  <c:v>1.2564202613581028</c:v>
                </c:pt>
                <c:pt idx="1196">
                  <c:v>1.2318640177599833</c:v>
                </c:pt>
                <c:pt idx="1197">
                  <c:v>1.1858482917100699</c:v>
                </c:pt>
                <c:pt idx="1198">
                  <c:v>1.2436636208925604</c:v>
                </c:pt>
                <c:pt idx="1199">
                  <c:v>1.2361561896273814</c:v>
                </c:pt>
                <c:pt idx="1200">
                  <c:v>1.2402355872344915</c:v>
                </c:pt>
                <c:pt idx="1201">
                  <c:v>1.2295194504058191</c:v>
                </c:pt>
                <c:pt idx="1202">
                  <c:v>1.2478052330097611</c:v>
                </c:pt>
                <c:pt idx="1203">
                  <c:v>1.2283892894172097</c:v>
                </c:pt>
                <c:pt idx="1204">
                  <c:v>1.2387640294298892</c:v>
                </c:pt>
                <c:pt idx="1205">
                  <c:v>1.2643265498234437</c:v>
                </c:pt>
                <c:pt idx="1206">
                  <c:v>1.2925049775227189</c:v>
                </c:pt>
                <c:pt idx="1207">
                  <c:v>1.2550701544308986</c:v>
                </c:pt>
                <c:pt idx="1208">
                  <c:v>1.2936557488686735</c:v>
                </c:pt>
                <c:pt idx="1209">
                  <c:v>1.2379568301967836</c:v>
                </c:pt>
                <c:pt idx="1210">
                  <c:v>1.1805818695420902</c:v>
                </c:pt>
                <c:pt idx="1211">
                  <c:v>1.21127819807808</c:v>
                </c:pt>
                <c:pt idx="1212">
                  <c:v>1.1395890333188503</c:v>
                </c:pt>
                <c:pt idx="1213">
                  <c:v>1.1937453095149759</c:v>
                </c:pt>
                <c:pt idx="1214">
                  <c:v>1.1789550235428476</c:v>
                </c:pt>
                <c:pt idx="1215">
                  <c:v>1.19624480431865</c:v>
                </c:pt>
                <c:pt idx="1216">
                  <c:v>1.158535196479433</c:v>
                </c:pt>
                <c:pt idx="1217">
                  <c:v>1.1948801044090684</c:v>
                </c:pt>
                <c:pt idx="1218">
                  <c:v>1.1764846315588406</c:v>
                </c:pt>
                <c:pt idx="1219">
                  <c:v>1.1650778838324634</c:v>
                </c:pt>
                <c:pt idx="1220">
                  <c:v>1.1290398344791976</c:v>
                </c:pt>
                <c:pt idx="1221">
                  <c:v>1.1298931296667676</c:v>
                </c:pt>
                <c:pt idx="1222">
                  <c:v>1.1516456697927462</c:v>
                </c:pt>
                <c:pt idx="1223">
                  <c:v>1.150009099966196</c:v>
                </c:pt>
                <c:pt idx="1224">
                  <c:v>1.1818156539325935</c:v>
                </c:pt>
                <c:pt idx="1225">
                  <c:v>1.2126600058456229</c:v>
                </c:pt>
                <c:pt idx="1226">
                  <c:v>1.2239940709545585</c:v>
                </c:pt>
                <c:pt idx="1227">
                  <c:v>1.1836983441927715</c:v>
                </c:pt>
                <c:pt idx="1228">
                  <c:v>1.1379312040154703</c:v>
                </c:pt>
                <c:pt idx="1229">
                  <c:v>1.1284981408189148</c:v>
                </c:pt>
                <c:pt idx="1230">
                  <c:v>1.1132805361118734</c:v>
                </c:pt>
                <c:pt idx="1231">
                  <c:v>1.1341242486082579</c:v>
                </c:pt>
                <c:pt idx="1232">
                  <c:v>1.1305727449320389</c:v>
                </c:pt>
                <c:pt idx="1233">
                  <c:v>1.1545971769581114</c:v>
                </c:pt>
                <c:pt idx="1234">
                  <c:v>1.1500685645675319</c:v>
                </c:pt>
                <c:pt idx="1235">
                  <c:v>1.1599638102627898</c:v>
                </c:pt>
                <c:pt idx="1236">
                  <c:v>1.1796659426926697</c:v>
                </c:pt>
                <c:pt idx="1237">
                  <c:v>1.1794938930880068</c:v>
                </c:pt>
                <c:pt idx="1238">
                  <c:v>1.1991797285403702</c:v>
                </c:pt>
                <c:pt idx="1239">
                  <c:v>1.1692405170054323</c:v>
                </c:pt>
                <c:pt idx="1240">
                  <c:v>1.1778406115620235</c:v>
                </c:pt>
                <c:pt idx="1241">
                  <c:v>1.2483038390013923</c:v>
                </c:pt>
                <c:pt idx="1242">
                  <c:v>1.173817321412264</c:v>
                </c:pt>
                <c:pt idx="1243">
                  <c:v>1.193856909574077</c:v>
                </c:pt>
                <c:pt idx="1244">
                  <c:v>1.206272223792421</c:v>
                </c:pt>
                <c:pt idx="1245">
                  <c:v>1.1498961287510268</c:v>
                </c:pt>
                <c:pt idx="1246">
                  <c:v>1.1610210632500355</c:v>
                </c:pt>
                <c:pt idx="1247">
                  <c:v>1.1456959623091525</c:v>
                </c:pt>
                <c:pt idx="1248">
                  <c:v>1.1431547748027964</c:v>
                </c:pt>
                <c:pt idx="1249">
                  <c:v>1.1059571990161625</c:v>
                </c:pt>
                <c:pt idx="1250">
                  <c:v>1.0861552525701998</c:v>
                </c:pt>
                <c:pt idx="1251">
                  <c:v>1.0923641554432872</c:v>
                </c:pt>
                <c:pt idx="1252">
                  <c:v>1.117460967136207</c:v>
                </c:pt>
                <c:pt idx="1253">
                  <c:v>1.1544892498983217</c:v>
                </c:pt>
                <c:pt idx="1254">
                  <c:v>1.1916225760728119</c:v>
                </c:pt>
                <c:pt idx="1255">
                  <c:v>1.1310010774840582</c:v>
                </c:pt>
                <c:pt idx="1256">
                  <c:v>1.1843597934628003</c:v>
                </c:pt>
                <c:pt idx="1257">
                  <c:v>1.1896589171841285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5E-40E2-96D9-82C28B70D044}"/>
            </c:ext>
          </c:extLst>
        </c:ser>
        <c:ser>
          <c:idx val="3"/>
          <c:order val="3"/>
          <c:tx>
            <c:strRef>
              <c:f>Számolások!$O$2</c:f>
              <c:strCache>
                <c:ptCount val="1"/>
                <c:pt idx="0">
                  <c:v>RL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Számolások!$AD$4:$AD$12560</c:f>
              <c:numCache>
                <c:formatCode>0</c:formatCode>
                <c:ptCount val="12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 formatCode="General">
                  <c:v>1250</c:v>
                </c:pt>
                <c:pt idx="1251" formatCode="General">
                  <c:v>1251</c:v>
                </c:pt>
                <c:pt idx="1252" formatCode="General">
                  <c:v>1252</c:v>
                </c:pt>
                <c:pt idx="1253" formatCode="General">
                  <c:v>1253</c:v>
                </c:pt>
                <c:pt idx="1254" formatCode="General">
                  <c:v>1254</c:v>
                </c:pt>
                <c:pt idx="1255" formatCode="General">
                  <c:v>1255</c:v>
                </c:pt>
                <c:pt idx="1256" formatCode="General">
                  <c:v>1256</c:v>
                </c:pt>
                <c:pt idx="1257" formatCode="General">
                  <c:v>1257</c:v>
                </c:pt>
              </c:numCache>
            </c:numRef>
          </c:xVal>
          <c:yVal>
            <c:numRef>
              <c:f>Számolások!$O$3:$O$1260</c:f>
              <c:numCache>
                <c:formatCode>0.00</c:formatCode>
                <c:ptCount val="1258"/>
                <c:pt idx="0">
                  <c:v>1</c:v>
                </c:pt>
                <c:pt idx="1">
                  <c:v>0.95485582407329617</c:v>
                </c:pt>
                <c:pt idx="2">
                  <c:v>0.99383534723377565</c:v>
                </c:pt>
                <c:pt idx="3">
                  <c:v>1.0119498764804651</c:v>
                </c:pt>
                <c:pt idx="4">
                  <c:v>1.0274089524391321</c:v>
                </c:pt>
                <c:pt idx="5">
                  <c:v>1.0381259192312988</c:v>
                </c:pt>
                <c:pt idx="6">
                  <c:v>1.013467365070801</c:v>
                </c:pt>
                <c:pt idx="7">
                  <c:v>0.99990514036598743</c:v>
                </c:pt>
                <c:pt idx="8">
                  <c:v>1.0116653639668938</c:v>
                </c:pt>
                <c:pt idx="9">
                  <c:v>1.0069233306729262</c:v>
                </c:pt>
                <c:pt idx="10">
                  <c:v>1.0018019252313746</c:v>
                </c:pt>
                <c:pt idx="11">
                  <c:v>1.0231410750542285</c:v>
                </c:pt>
                <c:pt idx="12">
                  <c:v>1.0581373092159083</c:v>
                </c:pt>
                <c:pt idx="13">
                  <c:v>1.0368930190270671</c:v>
                </c:pt>
                <c:pt idx="14">
                  <c:v>1.0459028538334056</c:v>
                </c:pt>
                <c:pt idx="15">
                  <c:v>1.0521623662336426</c:v>
                </c:pt>
                <c:pt idx="16">
                  <c:v>1.0777693175688672</c:v>
                </c:pt>
                <c:pt idx="17">
                  <c:v>1.0915211856691731</c:v>
                </c:pt>
                <c:pt idx="18">
                  <c:v>1.1015743531567839</c:v>
                </c:pt>
                <c:pt idx="19">
                  <c:v>1.1091615590067989</c:v>
                </c:pt>
                <c:pt idx="20">
                  <c:v>1.1014794840387048</c:v>
                </c:pt>
                <c:pt idx="21">
                  <c:v>1.0980652200670482</c:v>
                </c:pt>
                <c:pt idx="22">
                  <c:v>1.0863998561001544</c:v>
                </c:pt>
                <c:pt idx="23">
                  <c:v>1.1775417454942765</c:v>
                </c:pt>
                <c:pt idx="24">
                  <c:v>1.1957511343749783</c:v>
                </c:pt>
                <c:pt idx="25">
                  <c:v>1.1902503567858429</c:v>
                </c:pt>
                <c:pt idx="26">
                  <c:v>1.1857928360054468</c:v>
                </c:pt>
                <c:pt idx="27">
                  <c:v>1.1911987444765033</c:v>
                </c:pt>
                <c:pt idx="28">
                  <c:v>1.2012519119641138</c:v>
                </c:pt>
                <c:pt idx="29">
                  <c:v>1.1688163473289765</c:v>
                </c:pt>
                <c:pt idx="30">
                  <c:v>1.1645485458166056</c:v>
                </c:pt>
                <c:pt idx="31">
                  <c:v>1.1863618515485232</c:v>
                </c:pt>
                <c:pt idx="32">
                  <c:v>1.1897761250042465</c:v>
                </c:pt>
                <c:pt idx="33">
                  <c:v>1.1886380844340272</c:v>
                </c:pt>
                <c:pt idx="34">
                  <c:v>1.1972685470927817</c:v>
                </c:pt>
                <c:pt idx="35">
                  <c:v>1.2056145731104975</c:v>
                </c:pt>
                <c:pt idx="36">
                  <c:v>1.2058990856240688</c:v>
                </c:pt>
                <c:pt idx="37">
                  <c:v>1.1998292830077903</c:v>
                </c:pt>
                <c:pt idx="38">
                  <c:v>1.2066578204351701</c:v>
                </c:pt>
                <c:pt idx="39">
                  <c:v>1.1871205958436912</c:v>
                </c:pt>
                <c:pt idx="40">
                  <c:v>1.204191944154174</c:v>
                </c:pt>
                <c:pt idx="41">
                  <c:v>1.1894916124906749</c:v>
                </c:pt>
                <c:pt idx="42">
                  <c:v>1.1842754232876436</c:v>
                </c:pt>
                <c:pt idx="43">
                  <c:v>1.1768777849605883</c:v>
                </c:pt>
                <c:pt idx="44">
                  <c:v>1.1698595946536494</c:v>
                </c:pt>
                <c:pt idx="45">
                  <c:v>1.1576251487552134</c:v>
                </c:pt>
                <c:pt idx="46">
                  <c:v>1.1709028514623889</c:v>
                </c:pt>
                <c:pt idx="47">
                  <c:v>1.165117561359682</c:v>
                </c:pt>
                <c:pt idx="48">
                  <c:v>1.1540212224199313</c:v>
                </c:pt>
                <c:pt idx="49">
                  <c:v>1.1525986029476745</c:v>
                </c:pt>
                <c:pt idx="50">
                  <c:v>1.1454855530067232</c:v>
                </c:pt>
                <c:pt idx="51">
                  <c:v>1.1780159014033402</c:v>
                </c:pt>
                <c:pt idx="52">
                  <c:v>1.1837063318720344</c:v>
                </c:pt>
                <c:pt idx="53">
                  <c:v>1.1641691736690216</c:v>
                </c:pt>
                <c:pt idx="54">
                  <c:v>1.1820940500361523</c:v>
                </c:pt>
                <c:pt idx="55">
                  <c:v>1.1402693543196252</c:v>
                </c:pt>
                <c:pt idx="56">
                  <c:v>1.1626516850786857</c:v>
                </c:pt>
                <c:pt idx="57">
                  <c:v>1.1596167932546131</c:v>
                </c:pt>
                <c:pt idx="58">
                  <c:v>1.1887328681955069</c:v>
                </c:pt>
                <c:pt idx="59">
                  <c:v>1.2272381595743898</c:v>
                </c:pt>
                <c:pt idx="60">
                  <c:v>1.229893688734945</c:v>
                </c:pt>
                <c:pt idx="61">
                  <c:v>1.2233497965980691</c:v>
                </c:pt>
                <c:pt idx="62">
                  <c:v>1.2072268454623132</c:v>
                </c:pt>
                <c:pt idx="63">
                  <c:v>1.2075113579758845</c:v>
                </c:pt>
                <c:pt idx="64">
                  <c:v>1.2174695804728835</c:v>
                </c:pt>
                <c:pt idx="65">
                  <c:v>1.2100720180183606</c:v>
                </c:pt>
                <c:pt idx="66">
                  <c:v>1.2082701022710527</c:v>
                </c:pt>
                <c:pt idx="67">
                  <c:v>1.1945181582982138</c:v>
                </c:pt>
                <c:pt idx="68">
                  <c:v>1.1993550512261939</c:v>
                </c:pt>
                <c:pt idx="69">
                  <c:v>1.2003034484009207</c:v>
                </c:pt>
                <c:pt idx="70">
                  <c:v>1.2153830763394711</c:v>
                </c:pt>
                <c:pt idx="71">
                  <c:v>1.2061835886535739</c:v>
                </c:pt>
                <c:pt idx="72">
                  <c:v>1.2287556481647259</c:v>
                </c:pt>
                <c:pt idx="73">
                  <c:v>1.2496205662059832</c:v>
                </c:pt>
                <c:pt idx="74">
                  <c:v>1.2433611865826786</c:v>
                </c:pt>
                <c:pt idx="75">
                  <c:v>1.2400417063725018</c:v>
                </c:pt>
                <c:pt idx="76">
                  <c:v>1.252560740657042</c:v>
                </c:pt>
                <c:pt idx="77">
                  <c:v>1.252181302120992</c:v>
                </c:pt>
                <c:pt idx="78">
                  <c:v>1.2303679205165416</c:v>
                </c:pt>
                <c:pt idx="79">
                  <c:v>1.2442147146393263</c:v>
                </c:pt>
                <c:pt idx="80">
                  <c:v>1.2527503176640684</c:v>
                </c:pt>
                <c:pt idx="81">
                  <c:v>1.2479135006086211</c:v>
                </c:pt>
                <c:pt idx="82">
                  <c:v>1.2301783435095153</c:v>
                </c:pt>
                <c:pt idx="83">
                  <c:v>1.2508535327986809</c:v>
                </c:pt>
                <c:pt idx="84">
                  <c:v>1.2451630359415207</c:v>
                </c:pt>
                <c:pt idx="85">
                  <c:v>1.2160470273890926</c:v>
                </c:pt>
                <c:pt idx="86">
                  <c:v>1.1751707288472926</c:v>
                </c:pt>
                <c:pt idx="87">
                  <c:v>1.1797230333891686</c:v>
                </c:pt>
                <c:pt idx="88">
                  <c:v>1.1919574887716713</c:v>
                </c:pt>
                <c:pt idx="89">
                  <c:v>1.1785849264304831</c:v>
                </c:pt>
                <c:pt idx="90">
                  <c:v>1.1217753865368856</c:v>
                </c:pt>
                <c:pt idx="91">
                  <c:v>1.0807093592429939</c:v>
                </c:pt>
                <c:pt idx="92">
                  <c:v>1.0971168228923212</c:v>
                </c:pt>
                <c:pt idx="93">
                  <c:v>1.0882966409655417</c:v>
                </c:pt>
                <c:pt idx="94">
                  <c:v>1.0670523507767005</c:v>
                </c:pt>
                <c:pt idx="95">
                  <c:v>1.0614567135535524</c:v>
                </c:pt>
                <c:pt idx="96">
                  <c:v>1.0808990785110189</c:v>
                </c:pt>
                <c:pt idx="97">
                  <c:v>1.0697078799372557</c:v>
                </c:pt>
                <c:pt idx="98">
                  <c:v>1.0360394150978867</c:v>
                </c:pt>
                <c:pt idx="99">
                  <c:v>1.0360394150978867</c:v>
                </c:pt>
                <c:pt idx="100">
                  <c:v>1.0244688443765393</c:v>
                </c:pt>
                <c:pt idx="101">
                  <c:v>1.0052161986870978</c:v>
                </c:pt>
                <c:pt idx="102">
                  <c:v>0.99611150424674688</c:v>
                </c:pt>
                <c:pt idx="103">
                  <c:v>0.99705989193740718</c:v>
                </c:pt>
                <c:pt idx="104">
                  <c:v>1.0171661415560291</c:v>
                </c:pt>
                <c:pt idx="105">
                  <c:v>1.0599393008357492</c:v>
                </c:pt>
                <c:pt idx="106">
                  <c:v>1.0525417383812263</c:v>
                </c:pt>
                <c:pt idx="107">
                  <c:v>1.0382207788653113</c:v>
                </c:pt>
                <c:pt idx="108">
                  <c:v>1.0515932748180334</c:v>
                </c:pt>
                <c:pt idx="109">
                  <c:v>1.0779590463209587</c:v>
                </c:pt>
                <c:pt idx="110">
                  <c:v>1.079855831186346</c:v>
                </c:pt>
                <c:pt idx="111">
                  <c:v>1.0685697634945037</c:v>
                </c:pt>
                <c:pt idx="112">
                  <c:v>1.0680956075854398</c:v>
                </c:pt>
                <c:pt idx="113">
                  <c:v>1.0634483580529521</c:v>
                </c:pt>
                <c:pt idx="114">
                  <c:v>1.0650607062773008</c:v>
                </c:pt>
                <c:pt idx="115">
                  <c:v>1.075303441287871</c:v>
                </c:pt>
                <c:pt idx="116">
                  <c:v>1.0683801200990113</c:v>
                </c:pt>
                <c:pt idx="117">
                  <c:v>1.0898141295558776</c:v>
                </c:pt>
                <c:pt idx="118">
                  <c:v>1.1170333532429182</c:v>
                </c:pt>
                <c:pt idx="119">
                  <c:v>1.1090667657612525</c:v>
                </c:pt>
                <c:pt idx="120">
                  <c:v>1.0781486897164512</c:v>
                </c:pt>
                <c:pt idx="121">
                  <c:v>1.0940819310682486</c:v>
                </c:pt>
                <c:pt idx="122">
                  <c:v>1.0726479121273158</c:v>
                </c:pt>
                <c:pt idx="123">
                  <c:v>1.0772950857872707</c:v>
                </c:pt>
                <c:pt idx="124">
                  <c:v>1.0779590463209587</c:v>
                </c:pt>
                <c:pt idx="125">
                  <c:v>1.0458079941993932</c:v>
                </c:pt>
                <c:pt idx="126">
                  <c:v>1.0478944983328053</c:v>
                </c:pt>
                <c:pt idx="127">
                  <c:v>1.052636531626773</c:v>
                </c:pt>
                <c:pt idx="128">
                  <c:v>1.0559559359644168</c:v>
                </c:pt>
                <c:pt idx="129">
                  <c:v>1.0488428860234658</c:v>
                </c:pt>
                <c:pt idx="130">
                  <c:v>1.0390743164060257</c:v>
                </c:pt>
                <c:pt idx="131">
                  <c:v>1.0537746480695247</c:v>
                </c:pt>
                <c:pt idx="132">
                  <c:v>1.0666729786291165</c:v>
                </c:pt>
                <c:pt idx="133">
                  <c:v>1.0676213758038433</c:v>
                </c:pt>
                <c:pt idx="134">
                  <c:v>1.0925644424779126</c:v>
                </c:pt>
                <c:pt idx="135">
                  <c:v>1.0508346063953982</c:v>
                </c:pt>
                <c:pt idx="136">
                  <c:v>1.0374620345701435</c:v>
                </c:pt>
                <c:pt idx="137">
                  <c:v>1.0458079941993932</c:v>
                </c:pt>
                <c:pt idx="138">
                  <c:v>1.0185887705123526</c:v>
                </c:pt>
                <c:pt idx="139">
                  <c:v>1.0327200012761759</c:v>
                </c:pt>
                <c:pt idx="140">
                  <c:v>1.0406866551463076</c:v>
                </c:pt>
                <c:pt idx="141">
                  <c:v>1.0456183413198341</c:v>
                </c:pt>
                <c:pt idx="142">
                  <c:v>1.0440060689680184</c:v>
                </c:pt>
                <c:pt idx="143">
                  <c:v>1.0552920607873282</c:v>
                </c:pt>
                <c:pt idx="144">
                  <c:v>1.0160280251132772</c:v>
                </c:pt>
                <c:pt idx="145">
                  <c:v>0.98852428891266508</c:v>
                </c:pt>
                <c:pt idx="146">
                  <c:v>0.93531867535434976</c:v>
                </c:pt>
                <c:pt idx="147">
                  <c:v>0.93778447576281343</c:v>
                </c:pt>
                <c:pt idx="148">
                  <c:v>0.90790972291521765</c:v>
                </c:pt>
                <c:pt idx="149">
                  <c:v>0.90753035076763366</c:v>
                </c:pt>
                <c:pt idx="150">
                  <c:v>0.90288311071921257</c:v>
                </c:pt>
                <c:pt idx="151">
                  <c:v>0.92004931866370787</c:v>
                </c:pt>
                <c:pt idx="152">
                  <c:v>0.8888467301053351</c:v>
                </c:pt>
                <c:pt idx="153">
                  <c:v>0.87187024142886493</c:v>
                </c:pt>
                <c:pt idx="154">
                  <c:v>0.88590669791527499</c:v>
                </c:pt>
                <c:pt idx="155">
                  <c:v>0.83317523078195688</c:v>
                </c:pt>
                <c:pt idx="156">
                  <c:v>0.8068095446356307</c:v>
                </c:pt>
                <c:pt idx="157">
                  <c:v>0.82454476812320243</c:v>
                </c:pt>
                <c:pt idx="158">
                  <c:v>0.82653642210666878</c:v>
                </c:pt>
                <c:pt idx="159">
                  <c:v>0.82340666116451688</c:v>
                </c:pt>
                <c:pt idx="160">
                  <c:v>0.82577767781150069</c:v>
                </c:pt>
                <c:pt idx="161">
                  <c:v>0.83364947204761997</c:v>
                </c:pt>
                <c:pt idx="162">
                  <c:v>0.79580806532989246</c:v>
                </c:pt>
                <c:pt idx="163">
                  <c:v>0.79315246029680464</c:v>
                </c:pt>
                <c:pt idx="164">
                  <c:v>0.81012894897327492</c:v>
                </c:pt>
                <c:pt idx="165">
                  <c:v>0.83213198345728401</c:v>
                </c:pt>
                <c:pt idx="166">
                  <c:v>0.83450300010426781</c:v>
                </c:pt>
                <c:pt idx="167">
                  <c:v>0.83782240444191181</c:v>
                </c:pt>
                <c:pt idx="168">
                  <c:v>0.82454476812320243</c:v>
                </c:pt>
                <c:pt idx="169">
                  <c:v>0.85166920804876312</c:v>
                </c:pt>
                <c:pt idx="170">
                  <c:v>0.89396813554688659</c:v>
                </c:pt>
                <c:pt idx="171">
                  <c:v>0.89700303685502569</c:v>
                </c:pt>
                <c:pt idx="172">
                  <c:v>0.91853183007337191</c:v>
                </c:pt>
                <c:pt idx="173">
                  <c:v>0.93607734377698504</c:v>
                </c:pt>
                <c:pt idx="174">
                  <c:v>0.95182093224922348</c:v>
                </c:pt>
                <c:pt idx="175">
                  <c:v>0.95390743638263575</c:v>
                </c:pt>
                <c:pt idx="176">
                  <c:v>0.96984066825036663</c:v>
                </c:pt>
                <c:pt idx="177">
                  <c:v>0.97828148751362876</c:v>
                </c:pt>
                <c:pt idx="178">
                  <c:v>0.93939682398716184</c:v>
                </c:pt>
                <c:pt idx="179">
                  <c:v>0.93455993105918189</c:v>
                </c:pt>
                <c:pt idx="180">
                  <c:v>0.90904776348543692</c:v>
                </c:pt>
                <c:pt idx="181">
                  <c:v>0.8817336801643838</c:v>
                </c:pt>
                <c:pt idx="182">
                  <c:v>0.87945752315141257</c:v>
                </c:pt>
                <c:pt idx="183">
                  <c:v>0.87822454707464814</c:v>
                </c:pt>
                <c:pt idx="184">
                  <c:v>0.89169191214544929</c:v>
                </c:pt>
                <c:pt idx="185">
                  <c:v>0.88325109288218717</c:v>
                </c:pt>
                <c:pt idx="186">
                  <c:v>0.89377841627886156</c:v>
                </c:pt>
                <c:pt idx="187">
                  <c:v>0.90544384663422128</c:v>
                </c:pt>
                <c:pt idx="188">
                  <c:v>0.86817146494363684</c:v>
                </c:pt>
                <c:pt idx="189">
                  <c:v>0.84863430674062379</c:v>
                </c:pt>
                <c:pt idx="190">
                  <c:v>0.87224961357644881</c:v>
                </c:pt>
                <c:pt idx="191">
                  <c:v>0.86731786101445629</c:v>
                </c:pt>
                <c:pt idx="192">
                  <c:v>0.86836111782319569</c:v>
                </c:pt>
                <c:pt idx="193">
                  <c:v>0.85337634003459129</c:v>
                </c:pt>
                <c:pt idx="194">
                  <c:v>0.85622152207470559</c:v>
                </c:pt>
                <c:pt idx="195">
                  <c:v>0.85375564579370933</c:v>
                </c:pt>
                <c:pt idx="196">
                  <c:v>0.8888467301053351</c:v>
                </c:pt>
                <c:pt idx="197">
                  <c:v>0.87680192760239128</c:v>
                </c:pt>
                <c:pt idx="198">
                  <c:v>0.88410469681136761</c:v>
                </c:pt>
                <c:pt idx="199">
                  <c:v>0.89453716057402943</c:v>
                </c:pt>
                <c:pt idx="200">
                  <c:v>0.90174507014899319</c:v>
                </c:pt>
                <c:pt idx="201">
                  <c:v>0.90070181334025379</c:v>
                </c:pt>
                <c:pt idx="202">
                  <c:v>0.91492791322215639</c:v>
                </c:pt>
                <c:pt idx="203">
                  <c:v>0.9351289466022582</c:v>
                </c:pt>
                <c:pt idx="204">
                  <c:v>0.92118735923392714</c:v>
                </c:pt>
                <c:pt idx="205">
                  <c:v>0.92109257547244727</c:v>
                </c:pt>
                <c:pt idx="206">
                  <c:v>0.93693094770616558</c:v>
                </c:pt>
                <c:pt idx="207">
                  <c:v>0.92678299645707507</c:v>
                </c:pt>
                <c:pt idx="208">
                  <c:v>0.91141878013242061</c:v>
                </c:pt>
                <c:pt idx="209">
                  <c:v>0.91616081342638811</c:v>
                </c:pt>
                <c:pt idx="210">
                  <c:v>0.91103941746890316</c:v>
                </c:pt>
                <c:pt idx="211">
                  <c:v>0.92934366598361784</c:v>
                </c:pt>
                <c:pt idx="212">
                  <c:v>0.93930196435314939</c:v>
                </c:pt>
                <c:pt idx="213">
                  <c:v>0.96794381699651322</c:v>
                </c:pt>
                <c:pt idx="214">
                  <c:v>0.95675260893868341</c:v>
                </c:pt>
                <c:pt idx="215">
                  <c:v>1.0970219632583087</c:v>
                </c:pt>
                <c:pt idx="216">
                  <c:v>1.0790022272571655</c:v>
                </c:pt>
                <c:pt idx="217">
                  <c:v>1.0812784506586028</c:v>
                </c:pt>
                <c:pt idx="218">
                  <c:v>1.0561456647165086</c:v>
                </c:pt>
                <c:pt idx="219">
                  <c:v>1.0495068465571538</c:v>
                </c:pt>
                <c:pt idx="220">
                  <c:v>1.0564301677460135</c:v>
                </c:pt>
                <c:pt idx="221">
                  <c:v>1.0680007479514273</c:v>
                </c:pt>
                <c:pt idx="222">
                  <c:v>1.0751137978923786</c:v>
                </c:pt>
                <c:pt idx="223">
                  <c:v>1.0477048454532463</c:v>
                </c:pt>
                <c:pt idx="224">
                  <c:v>1.0139415968523975</c:v>
                </c:pt>
                <c:pt idx="225">
                  <c:v>0.98359253635067256</c:v>
                </c:pt>
                <c:pt idx="226">
                  <c:v>1.0205804150117523</c:v>
                </c:pt>
                <c:pt idx="227">
                  <c:v>1.0330993734237599</c:v>
                </c:pt>
                <c:pt idx="228">
                  <c:v>1.0291160844249605</c:v>
                </c:pt>
                <c:pt idx="229">
                  <c:v>1.0310128692903475</c:v>
                </c:pt>
                <c:pt idx="230">
                  <c:v>1.0180196696126769</c:v>
                </c:pt>
                <c:pt idx="231">
                  <c:v>1.0130879929232171</c:v>
                </c:pt>
                <c:pt idx="232">
                  <c:v>1.0010432568087395</c:v>
                </c:pt>
                <c:pt idx="233">
                  <c:v>1.0308232164107887</c:v>
                </c:pt>
                <c:pt idx="234">
                  <c:v>1.0627844828758632</c:v>
                </c:pt>
                <c:pt idx="235">
                  <c:v>1.0590856969065687</c:v>
                </c:pt>
                <c:pt idx="236">
                  <c:v>1.0740705410836391</c:v>
                </c:pt>
                <c:pt idx="237">
                  <c:v>1.0811835910245904</c:v>
                </c:pt>
                <c:pt idx="238">
                  <c:v>1.0587063247589847</c:v>
                </c:pt>
                <c:pt idx="239">
                  <c:v>1.0977807075534767</c:v>
                </c:pt>
                <c:pt idx="240">
                  <c:v>1.1088770464932274</c:v>
                </c:pt>
                <c:pt idx="241">
                  <c:v>1.1163694685817627</c:v>
                </c:pt>
                <c:pt idx="242">
                  <c:v>1.113998451934779</c:v>
                </c:pt>
                <c:pt idx="243">
                  <c:v>1.1284142710847065</c:v>
                </c:pt>
                <c:pt idx="244">
                  <c:v>1.1146623365959345</c:v>
                </c:pt>
                <c:pt idx="245">
                  <c:v>1.1231980060091424</c:v>
                </c:pt>
                <c:pt idx="246">
                  <c:v>1.1171282128769306</c:v>
                </c:pt>
                <c:pt idx="247">
                  <c:v>1.122344402079962</c:v>
                </c:pt>
                <c:pt idx="248">
                  <c:v>1.1229135029796375</c:v>
                </c:pt>
                <c:pt idx="249">
                  <c:v>1.113524296025715</c:v>
                </c:pt>
                <c:pt idx="250">
                  <c:v>1.1056525017895957</c:v>
                </c:pt>
                <c:pt idx="251">
                  <c:v>1.1117222949218077</c:v>
                </c:pt>
                <c:pt idx="252">
                  <c:v>1.1266122794648656</c:v>
                </c:pt>
                <c:pt idx="253">
                  <c:v>1.1206373459666663</c:v>
                </c:pt>
                <c:pt idx="254">
                  <c:v>1.1362859989323595</c:v>
                </c:pt>
                <c:pt idx="255">
                  <c:v>1.141217751494352</c:v>
                </c:pt>
                <c:pt idx="256">
                  <c:v>1.1380879905522003</c:v>
                </c:pt>
                <c:pt idx="257">
                  <c:v>1.1184559727151751</c:v>
                </c:pt>
                <c:pt idx="258">
                  <c:v>1.1187404852287464</c:v>
                </c:pt>
                <c:pt idx="259">
                  <c:v>1.1366653615958771</c:v>
                </c:pt>
                <c:pt idx="260">
                  <c:v>1.1332510976242203</c:v>
                </c:pt>
                <c:pt idx="261">
                  <c:v>1.1224392617139745</c:v>
                </c:pt>
                <c:pt idx="262">
                  <c:v>1.1410280322263271</c:v>
                </c:pt>
                <c:pt idx="263">
                  <c:v>1.1580045114187307</c:v>
                </c:pt>
                <c:pt idx="264">
                  <c:v>1.128698783598278</c:v>
                </c:pt>
                <c:pt idx="265">
                  <c:v>1.1121964603149381</c:v>
                </c:pt>
                <c:pt idx="266">
                  <c:v>1.1193095102558894</c:v>
                </c:pt>
                <c:pt idx="267">
                  <c:v>1.1023330879678852</c:v>
                </c:pt>
                <c:pt idx="268">
                  <c:v>1.0713201522890714</c:v>
                </c:pt>
                <c:pt idx="269">
                  <c:v>1.0684749797330237</c:v>
                </c:pt>
                <c:pt idx="270">
                  <c:v>1.0735015160564962</c:v>
                </c:pt>
                <c:pt idx="271">
                  <c:v>1.1025227408474441</c:v>
                </c:pt>
                <c:pt idx="272">
                  <c:v>1.0764415577306228</c:v>
                </c:pt>
                <c:pt idx="273">
                  <c:v>1.0741654007176518</c:v>
                </c:pt>
                <c:pt idx="274">
                  <c:v>1.1729893555958013</c:v>
                </c:pt>
                <c:pt idx="275">
                  <c:v>1.1618930166560504</c:v>
                </c:pt>
                <c:pt idx="276">
                  <c:v>1.151555346138935</c:v>
                </c:pt>
                <c:pt idx="277">
                  <c:v>1.1433990488733108</c:v>
                </c:pt>
                <c:pt idx="278">
                  <c:v>1.1442526528024914</c:v>
                </c:pt>
                <c:pt idx="279">
                  <c:v>1.141597123641936</c:v>
                </c:pt>
                <c:pt idx="280">
                  <c:v>1.1730842152298138</c:v>
                </c:pt>
                <c:pt idx="281">
                  <c:v>1.1663505374364465</c:v>
                </c:pt>
                <c:pt idx="282">
                  <c:v>1.1555386351377344</c:v>
                </c:pt>
                <c:pt idx="283">
                  <c:v>1.1438732806549072</c:v>
                </c:pt>
                <c:pt idx="284">
                  <c:v>1.1361912056868133</c:v>
                </c:pt>
                <c:pt idx="285">
                  <c:v>1.1557283638898261</c:v>
                </c:pt>
                <c:pt idx="286">
                  <c:v>1.113998451934779</c:v>
                </c:pt>
                <c:pt idx="287">
                  <c:v>1.0395485481876223</c:v>
                </c:pt>
                <c:pt idx="288">
                  <c:v>0.97458270154433413</c:v>
                </c:pt>
                <c:pt idx="289">
                  <c:v>0.96339150297057075</c:v>
                </c:pt>
                <c:pt idx="290">
                  <c:v>0.96367601548414228</c:v>
                </c:pt>
                <c:pt idx="291">
                  <c:v>1.0006638846611553</c:v>
                </c:pt>
                <c:pt idx="292">
                  <c:v>1.0205804150117523</c:v>
                </c:pt>
                <c:pt idx="293">
                  <c:v>1.0093892069539225</c:v>
                </c:pt>
                <c:pt idx="294">
                  <c:v>1.0483687301144018</c:v>
                </c:pt>
                <c:pt idx="295">
                  <c:v>1.0260811831168213</c:v>
                </c:pt>
                <c:pt idx="296">
                  <c:v>1.0031296945536856</c:v>
                </c:pt>
                <c:pt idx="297">
                  <c:v>0.90089146621981275</c:v>
                </c:pt>
                <c:pt idx="298">
                  <c:v>0.93806906414891755</c:v>
                </c:pt>
                <c:pt idx="299">
                  <c:v>0.85992029855993368</c:v>
                </c:pt>
                <c:pt idx="300">
                  <c:v>0.75559556609264866</c:v>
                </c:pt>
                <c:pt idx="301">
                  <c:v>0.79353183244438863</c:v>
                </c:pt>
                <c:pt idx="302">
                  <c:v>0.6790591487280131</c:v>
                </c:pt>
                <c:pt idx="303">
                  <c:v>0.69717375384723523</c:v>
                </c:pt>
                <c:pt idx="304">
                  <c:v>0.69793242226987051</c:v>
                </c:pt>
                <c:pt idx="305">
                  <c:v>0.66881634732897666</c:v>
                </c:pt>
                <c:pt idx="306">
                  <c:v>0.63173368490641713</c:v>
                </c:pt>
                <c:pt idx="307">
                  <c:v>0.62025797381908243</c:v>
                </c:pt>
                <c:pt idx="308">
                  <c:v>0.65885811534791128</c:v>
                </c:pt>
                <c:pt idx="309">
                  <c:v>0.6695750821400781</c:v>
                </c:pt>
                <c:pt idx="310">
                  <c:v>0.70485582881532938</c:v>
                </c:pt>
                <c:pt idx="311">
                  <c:v>0.64482166834556776</c:v>
                </c:pt>
                <c:pt idx="312">
                  <c:v>0.67583460402438156</c:v>
                </c:pt>
                <c:pt idx="313">
                  <c:v>0.6338201890398294</c:v>
                </c:pt>
                <c:pt idx="314">
                  <c:v>0.62300835312958358</c:v>
                </c:pt>
                <c:pt idx="315">
                  <c:v>0.6256638822901387</c:v>
                </c:pt>
                <c:pt idx="316">
                  <c:v>0.57852806186403516</c:v>
                </c:pt>
                <c:pt idx="317">
                  <c:v>0.65060694896420801</c:v>
                </c:pt>
                <c:pt idx="318">
                  <c:v>0.69982928300779057</c:v>
                </c:pt>
                <c:pt idx="319">
                  <c:v>0.72230654927339621</c:v>
                </c:pt>
                <c:pt idx="320">
                  <c:v>0.76261383227211998</c:v>
                </c:pt>
                <c:pt idx="321">
                  <c:v>0.72050454816948872</c:v>
                </c:pt>
                <c:pt idx="322">
                  <c:v>0.72553109397702775</c:v>
                </c:pt>
                <c:pt idx="323">
                  <c:v>0.65990137215665068</c:v>
                </c:pt>
                <c:pt idx="324">
                  <c:v>0.64984821415310667</c:v>
                </c:pt>
                <c:pt idx="325">
                  <c:v>0.68930195961111607</c:v>
                </c:pt>
                <c:pt idx="326">
                  <c:v>0.65990137215665068</c:v>
                </c:pt>
                <c:pt idx="327">
                  <c:v>0.64795142928771932</c:v>
                </c:pt>
                <c:pt idx="328">
                  <c:v>0.63571697390521675</c:v>
                </c:pt>
                <c:pt idx="329">
                  <c:v>0.65392636278591865</c:v>
                </c:pt>
                <c:pt idx="330">
                  <c:v>0.64776177640816057</c:v>
                </c:pt>
                <c:pt idx="331">
                  <c:v>0.70959786210929687</c:v>
                </c:pt>
                <c:pt idx="332">
                  <c:v>0.74402499537130118</c:v>
                </c:pt>
                <c:pt idx="333">
                  <c:v>0.76792488110916379</c:v>
                </c:pt>
                <c:pt idx="334">
                  <c:v>0.699734423373778</c:v>
                </c:pt>
                <c:pt idx="335">
                  <c:v>0.69319038897590302</c:v>
                </c:pt>
                <c:pt idx="336">
                  <c:v>0.68161989412708845</c:v>
                </c:pt>
                <c:pt idx="337">
                  <c:v>0.68588769563945939</c:v>
                </c:pt>
                <c:pt idx="338">
                  <c:v>0.67460162794761702</c:v>
                </c:pt>
                <c:pt idx="339">
                  <c:v>0.66606602492287503</c:v>
                </c:pt>
                <c:pt idx="340">
                  <c:v>0.68361153862648816</c:v>
                </c:pt>
                <c:pt idx="341">
                  <c:v>0.65828909980483497</c:v>
                </c:pt>
                <c:pt idx="342">
                  <c:v>0.62149087402331427</c:v>
                </c:pt>
                <c:pt idx="343">
                  <c:v>0.61352428654164859</c:v>
                </c:pt>
                <c:pt idx="344">
                  <c:v>0.62471549459947839</c:v>
                </c:pt>
                <c:pt idx="345">
                  <c:v>0.62006824506699076</c:v>
                </c:pt>
                <c:pt idx="346">
                  <c:v>0.66322077649429489</c:v>
                </c:pt>
                <c:pt idx="347">
                  <c:v>0.65686647084851146</c:v>
                </c:pt>
                <c:pt idx="348">
                  <c:v>0.67716237334669238</c:v>
                </c:pt>
                <c:pt idx="349">
                  <c:v>0.70722684546231318</c:v>
                </c:pt>
                <c:pt idx="350">
                  <c:v>0.69081937232891932</c:v>
                </c:pt>
                <c:pt idx="351">
                  <c:v>0.77171852671247099</c:v>
                </c:pt>
                <c:pt idx="352">
                  <c:v>0.76707127717998336</c:v>
                </c:pt>
                <c:pt idx="353">
                  <c:v>0.75853567415524126</c:v>
                </c:pt>
                <c:pt idx="354">
                  <c:v>0.71614188702310533</c:v>
                </c:pt>
                <c:pt idx="355">
                  <c:v>0.72752273847642746</c:v>
                </c:pt>
                <c:pt idx="356">
                  <c:v>0.74345597034415833</c:v>
                </c:pt>
                <c:pt idx="357">
                  <c:v>0.80311075866633619</c:v>
                </c:pt>
                <c:pt idx="358">
                  <c:v>0.80538691567930742</c:v>
                </c:pt>
                <c:pt idx="359">
                  <c:v>0.84948784428133817</c:v>
                </c:pt>
                <c:pt idx="360">
                  <c:v>0.85603186919514662</c:v>
                </c:pt>
                <c:pt idx="361">
                  <c:v>0.81069804038888382</c:v>
                </c:pt>
                <c:pt idx="362">
                  <c:v>0.76526935194860868</c:v>
                </c:pt>
                <c:pt idx="363">
                  <c:v>0.7021054400207617</c:v>
                </c:pt>
                <c:pt idx="364">
                  <c:v>0.70912363032770043</c:v>
                </c:pt>
                <c:pt idx="365">
                  <c:v>0.69935505122619401</c:v>
                </c:pt>
                <c:pt idx="366">
                  <c:v>0.72477234968185988</c:v>
                </c:pt>
                <c:pt idx="367">
                  <c:v>0.7063733079215988</c:v>
                </c:pt>
                <c:pt idx="368">
                  <c:v>0.70125190248004743</c:v>
                </c:pt>
                <c:pt idx="369">
                  <c:v>0.67706750422861328</c:v>
                </c:pt>
                <c:pt idx="370">
                  <c:v>0.69556140562288682</c:v>
                </c:pt>
                <c:pt idx="371">
                  <c:v>0.69669952206563868</c:v>
                </c:pt>
                <c:pt idx="372">
                  <c:v>0.67004932340574119</c:v>
                </c:pt>
                <c:pt idx="373">
                  <c:v>0.66691956246358941</c:v>
                </c:pt>
                <c:pt idx="374">
                  <c:v>0.64207127955099996</c:v>
                </c:pt>
                <c:pt idx="375">
                  <c:v>0.68825871228644309</c:v>
                </c:pt>
                <c:pt idx="376">
                  <c:v>0.68778448050484675</c:v>
                </c:pt>
                <c:pt idx="377">
                  <c:v>0.67023896680123363</c:v>
                </c:pt>
                <c:pt idx="378">
                  <c:v>0.67099771109640149</c:v>
                </c:pt>
                <c:pt idx="379">
                  <c:v>0.67706750422861328</c:v>
                </c:pt>
                <c:pt idx="380">
                  <c:v>0.6534522068768549</c:v>
                </c:pt>
                <c:pt idx="381">
                  <c:v>0.65961685964307926</c:v>
                </c:pt>
                <c:pt idx="382">
                  <c:v>0.63988998217204118</c:v>
                </c:pt>
                <c:pt idx="383">
                  <c:v>0.65421094168795624</c:v>
                </c:pt>
                <c:pt idx="384">
                  <c:v>0.66084975984731109</c:v>
                </c:pt>
                <c:pt idx="385">
                  <c:v>0.66350528900786621</c:v>
                </c:pt>
                <c:pt idx="386">
                  <c:v>0.70362291912703112</c:v>
                </c:pt>
                <c:pt idx="387">
                  <c:v>0.70751134849181807</c:v>
                </c:pt>
                <c:pt idx="388">
                  <c:v>0.69527690259338182</c:v>
                </c:pt>
                <c:pt idx="389">
                  <c:v>0.67621397617196555</c:v>
                </c:pt>
                <c:pt idx="390">
                  <c:v>0.67867978606449564</c:v>
                </c:pt>
                <c:pt idx="391">
                  <c:v>0.67678300119910839</c:v>
                </c:pt>
                <c:pt idx="392">
                  <c:v>0.67953338999367618</c:v>
                </c:pt>
                <c:pt idx="393">
                  <c:v>0.67763652925575624</c:v>
                </c:pt>
                <c:pt idx="394">
                  <c:v>0.6791540178460922</c:v>
                </c:pt>
                <c:pt idx="395">
                  <c:v>0.67716237334669238</c:v>
                </c:pt>
                <c:pt idx="396">
                  <c:v>0.68977619139271251</c:v>
                </c:pt>
                <c:pt idx="397">
                  <c:v>0.67412747203855317</c:v>
                </c:pt>
                <c:pt idx="398">
                  <c:v>0.67621397617196555</c:v>
                </c:pt>
                <c:pt idx="399">
                  <c:v>0.66122913199489497</c:v>
                </c:pt>
                <c:pt idx="400">
                  <c:v>0.63239756008350612</c:v>
                </c:pt>
                <c:pt idx="401">
                  <c:v>0.64975342090756028</c:v>
                </c:pt>
                <c:pt idx="402">
                  <c:v>0.61542107140703584</c:v>
                </c:pt>
                <c:pt idx="403">
                  <c:v>0.62556902265612624</c:v>
                </c:pt>
                <c:pt idx="404">
                  <c:v>0.6513656932593761</c:v>
                </c:pt>
                <c:pt idx="405">
                  <c:v>0.66587630565485001</c:v>
                </c:pt>
                <c:pt idx="406">
                  <c:v>0.66208266953560935</c:v>
                </c:pt>
                <c:pt idx="407">
                  <c:v>0.66511756135968203</c:v>
                </c:pt>
                <c:pt idx="408">
                  <c:v>0.67014418303975365</c:v>
                </c:pt>
                <c:pt idx="409">
                  <c:v>0.67242034005272489</c:v>
                </c:pt>
                <c:pt idx="410">
                  <c:v>0.64965856127354771</c:v>
                </c:pt>
                <c:pt idx="411">
                  <c:v>0.64064872646720927</c:v>
                </c:pt>
                <c:pt idx="412">
                  <c:v>0.63799313091818799</c:v>
                </c:pt>
                <c:pt idx="413">
                  <c:v>0.63590669317324178</c:v>
                </c:pt>
                <c:pt idx="414">
                  <c:v>0.666255677802434</c:v>
                </c:pt>
                <c:pt idx="415">
                  <c:v>0.65553871101026717</c:v>
                </c:pt>
                <c:pt idx="416">
                  <c:v>0.64159712364193611</c:v>
                </c:pt>
                <c:pt idx="417">
                  <c:v>0.64719268499255145</c:v>
                </c:pt>
                <c:pt idx="418">
                  <c:v>0.67517071936322615</c:v>
                </c:pt>
                <c:pt idx="419">
                  <c:v>0.65278832221569938</c:v>
                </c:pt>
                <c:pt idx="420">
                  <c:v>0.65601286691933103</c:v>
                </c:pt>
                <c:pt idx="421">
                  <c:v>0.67896428909400053</c:v>
                </c:pt>
                <c:pt idx="422">
                  <c:v>0.70324355646351366</c:v>
                </c:pt>
                <c:pt idx="423">
                  <c:v>0.70229515928878683</c:v>
                </c:pt>
                <c:pt idx="424">
                  <c:v>0.71187401912226811</c:v>
                </c:pt>
                <c:pt idx="425">
                  <c:v>0.69717375384723523</c:v>
                </c:pt>
                <c:pt idx="426">
                  <c:v>0.71614188702310533</c:v>
                </c:pt>
                <c:pt idx="427">
                  <c:v>0.72230654927339621</c:v>
                </c:pt>
                <c:pt idx="428">
                  <c:v>0.76432088838541556</c:v>
                </c:pt>
                <c:pt idx="429">
                  <c:v>0.76460547677151969</c:v>
                </c:pt>
                <c:pt idx="430">
                  <c:v>0.77077006314927798</c:v>
                </c:pt>
                <c:pt idx="431">
                  <c:v>0.746965103433894</c:v>
                </c:pt>
                <c:pt idx="432">
                  <c:v>0.71917678833124443</c:v>
                </c:pt>
                <c:pt idx="433">
                  <c:v>0.67498100009520112</c:v>
                </c:pt>
                <c:pt idx="434">
                  <c:v>0.71168436624270925</c:v>
                </c:pt>
                <c:pt idx="435">
                  <c:v>0.68294765396533275</c:v>
                </c:pt>
                <c:pt idx="436">
                  <c:v>0.67962824962768875</c:v>
                </c:pt>
                <c:pt idx="437">
                  <c:v>0.6740326124045406</c:v>
                </c:pt>
                <c:pt idx="438">
                  <c:v>0.66805766942227485</c:v>
                </c:pt>
                <c:pt idx="439">
                  <c:v>0.63865700609527676</c:v>
                </c:pt>
                <c:pt idx="440">
                  <c:v>0.64463201546600879</c:v>
                </c:pt>
                <c:pt idx="441">
                  <c:v>0.65553871101026717</c:v>
                </c:pt>
                <c:pt idx="442">
                  <c:v>0.66322077649429489</c:v>
                </c:pt>
                <c:pt idx="443">
                  <c:v>0.68095600946593304</c:v>
                </c:pt>
                <c:pt idx="444">
                  <c:v>0.65705612372807043</c:v>
                </c:pt>
                <c:pt idx="445">
                  <c:v>0.68076629019790802</c:v>
                </c:pt>
                <c:pt idx="446">
                  <c:v>0.70495068844934194</c:v>
                </c:pt>
                <c:pt idx="447">
                  <c:v>0.70077767069845087</c:v>
                </c:pt>
                <c:pt idx="448">
                  <c:v>0.69840665405146707</c:v>
                </c:pt>
                <c:pt idx="449">
                  <c:v>0.68522381097830398</c:v>
                </c:pt>
                <c:pt idx="450">
                  <c:v>0.69205234840568375</c:v>
                </c:pt>
                <c:pt idx="451">
                  <c:v>0.71841804403607645</c:v>
                </c:pt>
                <c:pt idx="452">
                  <c:v>0.70931334959572556</c:v>
                </c:pt>
                <c:pt idx="453">
                  <c:v>0.70523520096291337</c:v>
                </c:pt>
                <c:pt idx="454">
                  <c:v>0.69717375384723523</c:v>
                </c:pt>
                <c:pt idx="455">
                  <c:v>0.71139985372913783</c:v>
                </c:pt>
                <c:pt idx="456">
                  <c:v>0.73131638407973465</c:v>
                </c:pt>
                <c:pt idx="457">
                  <c:v>0.73397190375622334</c:v>
                </c:pt>
                <c:pt idx="458">
                  <c:v>0.72837634240560811</c:v>
                </c:pt>
                <c:pt idx="459">
                  <c:v>0.70627844828758624</c:v>
                </c:pt>
                <c:pt idx="460">
                  <c:v>0.70466617593577052</c:v>
                </c:pt>
                <c:pt idx="461">
                  <c:v>0.66938543874458567</c:v>
                </c:pt>
                <c:pt idx="462">
                  <c:v>0.63400983243532183</c:v>
                </c:pt>
                <c:pt idx="463">
                  <c:v>0.6395106100244573</c:v>
                </c:pt>
                <c:pt idx="464">
                  <c:v>0.65553871101026717</c:v>
                </c:pt>
                <c:pt idx="465">
                  <c:v>0.65165020577294741</c:v>
                </c:pt>
                <c:pt idx="466">
                  <c:v>0.66322077649429489</c:v>
                </c:pt>
                <c:pt idx="467">
                  <c:v>0.64709789174700505</c:v>
                </c:pt>
                <c:pt idx="468">
                  <c:v>0.77522758392967395</c:v>
                </c:pt>
                <c:pt idx="469">
                  <c:v>0.77152879796037932</c:v>
                </c:pt>
                <c:pt idx="470">
                  <c:v>0.72278070518245996</c:v>
                </c:pt>
                <c:pt idx="471">
                  <c:v>0.70438159703373293</c:v>
                </c:pt>
                <c:pt idx="472">
                  <c:v>0.73605841737370215</c:v>
                </c:pt>
                <c:pt idx="473">
                  <c:v>0.75246580515049677</c:v>
                </c:pt>
                <c:pt idx="474">
                  <c:v>0.7976099810772006</c:v>
                </c:pt>
                <c:pt idx="475">
                  <c:v>0.77522758392967395</c:v>
                </c:pt>
                <c:pt idx="476">
                  <c:v>0.76432088838541556</c:v>
                </c:pt>
                <c:pt idx="477">
                  <c:v>0.74184369799234251</c:v>
                </c:pt>
                <c:pt idx="478">
                  <c:v>0.79040207150223685</c:v>
                </c:pt>
                <c:pt idx="479">
                  <c:v>0.84436643883978679</c:v>
                </c:pt>
                <c:pt idx="480">
                  <c:v>0.8348823722518518</c:v>
                </c:pt>
                <c:pt idx="481">
                  <c:v>0.8344082068587213</c:v>
                </c:pt>
                <c:pt idx="482">
                  <c:v>0.81325870991542659</c:v>
                </c:pt>
                <c:pt idx="483">
                  <c:v>0.84047800947499973</c:v>
                </c:pt>
                <c:pt idx="484">
                  <c:v>0.84332318203104739</c:v>
                </c:pt>
                <c:pt idx="485">
                  <c:v>0.91672991432606377</c:v>
                </c:pt>
                <c:pt idx="486">
                  <c:v>0.91246203694116002</c:v>
                </c:pt>
                <c:pt idx="487">
                  <c:v>0.90563349951378025</c:v>
                </c:pt>
                <c:pt idx="488">
                  <c:v>0.92137708798601881</c:v>
                </c:pt>
                <c:pt idx="489">
                  <c:v>0.95627845302961956</c:v>
                </c:pt>
                <c:pt idx="490">
                  <c:v>0.98492029618891697</c:v>
                </c:pt>
                <c:pt idx="491">
                  <c:v>0.96111527008506692</c:v>
                </c:pt>
                <c:pt idx="492">
                  <c:v>0.93797420451490499</c:v>
                </c:pt>
                <c:pt idx="493">
                  <c:v>0.95343320460103931</c:v>
                </c:pt>
                <c:pt idx="494">
                  <c:v>0.94366462549953278</c:v>
                </c:pt>
                <c:pt idx="495">
                  <c:v>0.95779586574742281</c:v>
                </c:pt>
                <c:pt idx="496">
                  <c:v>0.95988236988083508</c:v>
                </c:pt>
                <c:pt idx="497">
                  <c:v>0.96102048632358705</c:v>
                </c:pt>
                <c:pt idx="498">
                  <c:v>0.93740510361522933</c:v>
                </c:pt>
                <c:pt idx="499">
                  <c:v>0.96699541982178627</c:v>
                </c:pt>
                <c:pt idx="500">
                  <c:v>0.9571319810862674</c:v>
                </c:pt>
                <c:pt idx="501">
                  <c:v>0.98103186682413002</c:v>
                </c:pt>
                <c:pt idx="502">
                  <c:v>0.96320178370254572</c:v>
                </c:pt>
                <c:pt idx="503">
                  <c:v>0.98577390011809751</c:v>
                </c:pt>
                <c:pt idx="504">
                  <c:v>0.9838770488642441</c:v>
                </c:pt>
                <c:pt idx="505">
                  <c:v>0.96102048632358705</c:v>
                </c:pt>
                <c:pt idx="506">
                  <c:v>0.98634292514524036</c:v>
                </c:pt>
                <c:pt idx="507">
                  <c:v>1.03793626635174</c:v>
                </c:pt>
                <c:pt idx="508">
                  <c:v>1.0639225898345488</c:v>
                </c:pt>
                <c:pt idx="509">
                  <c:v>1.038315638499324</c:v>
                </c:pt>
                <c:pt idx="510">
                  <c:v>1.0488428860234658</c:v>
                </c:pt>
                <c:pt idx="511">
                  <c:v>1.0860204839525704</c:v>
                </c:pt>
                <c:pt idx="512">
                  <c:v>1.0711304994095125</c:v>
                </c:pt>
                <c:pt idx="513">
                  <c:v>1.0571889120411815</c:v>
                </c:pt>
                <c:pt idx="514">
                  <c:v>1.0439112093340057</c:v>
                </c:pt>
                <c:pt idx="515">
                  <c:v>1.0171661415560291</c:v>
                </c:pt>
                <c:pt idx="516">
                  <c:v>1.0109066196717256</c:v>
                </c:pt>
                <c:pt idx="517">
                  <c:v>1.0232359346882409</c:v>
                </c:pt>
                <c:pt idx="518">
                  <c:v>1.0287367122773763</c:v>
                </c:pt>
                <c:pt idx="519">
                  <c:v>1.0384104317448704</c:v>
                </c:pt>
                <c:pt idx="520">
                  <c:v>1.0154590095702007</c:v>
                </c:pt>
                <c:pt idx="521">
                  <c:v>0.95608873376159442</c:v>
                </c:pt>
                <c:pt idx="522">
                  <c:v>0.98198026399885685</c:v>
                </c:pt>
                <c:pt idx="523">
                  <c:v>0.95836495716303194</c:v>
                </c:pt>
                <c:pt idx="524">
                  <c:v>0.9719271723837789</c:v>
                </c:pt>
                <c:pt idx="525">
                  <c:v>0.98093700719011745</c:v>
                </c:pt>
                <c:pt idx="526">
                  <c:v>0.9976289833530162</c:v>
                </c:pt>
                <c:pt idx="527">
                  <c:v>1.0226669191451645</c:v>
                </c:pt>
                <c:pt idx="528">
                  <c:v>1.0290212247909478</c:v>
                </c:pt>
                <c:pt idx="529">
                  <c:v>1.0452389691722501</c:v>
                </c:pt>
                <c:pt idx="530">
                  <c:v>1.0466615981285736</c:v>
                </c:pt>
                <c:pt idx="531">
                  <c:v>1.0637329464390564</c:v>
                </c:pt>
                <c:pt idx="532">
                  <c:v>1.0758725327034799</c:v>
                </c:pt>
                <c:pt idx="533">
                  <c:v>1.049886142832205</c:v>
                </c:pt>
                <c:pt idx="534">
                  <c:v>1.0600340940812956</c:v>
                </c:pt>
                <c:pt idx="535">
                  <c:v>1.0566198964981051</c:v>
                </c:pt>
                <c:pt idx="536">
                  <c:v>1.052636531626773</c:v>
                </c:pt>
                <c:pt idx="537">
                  <c:v>1.0760621855830388</c:v>
                </c:pt>
                <c:pt idx="538">
                  <c:v>1.113239707639611</c:v>
                </c:pt>
                <c:pt idx="539">
                  <c:v>1.1108686909926273</c:v>
                </c:pt>
                <c:pt idx="540">
                  <c:v>1.1369498741094484</c:v>
                </c:pt>
                <c:pt idx="541">
                  <c:v>1.1151365683775307</c:v>
                </c:pt>
                <c:pt idx="542">
                  <c:v>1.1103945350835633</c:v>
                </c:pt>
                <c:pt idx="543">
                  <c:v>1.141312535255832</c:v>
                </c:pt>
                <c:pt idx="544">
                  <c:v>1.1536418502723473</c:v>
                </c:pt>
                <c:pt idx="545">
                  <c:v>1.1599013721566507</c:v>
                </c:pt>
                <c:pt idx="546">
                  <c:v>1.147287544626564</c:v>
                </c:pt>
                <c:pt idx="547">
                  <c:v>1.1589529085934576</c:v>
                </c:pt>
                <c:pt idx="548">
                  <c:v>1.2002086551553746</c:v>
                </c:pt>
                <c:pt idx="549">
                  <c:v>1.1850340917102788</c:v>
                </c:pt>
                <c:pt idx="550">
                  <c:v>1.1628414138307772</c:v>
                </c:pt>
                <c:pt idx="551">
                  <c:v>1.1546851070810866</c:v>
                </c:pt>
                <c:pt idx="552">
                  <c:v>1.1758346040243814</c:v>
                </c:pt>
                <c:pt idx="553">
                  <c:v>1.1760242569039405</c:v>
                </c:pt>
                <c:pt idx="554">
                  <c:v>1.1547799667150991</c:v>
                </c:pt>
                <c:pt idx="555">
                  <c:v>1.1482359418012908</c:v>
                </c:pt>
                <c:pt idx="556">
                  <c:v>1.1616085041424788</c:v>
                </c:pt>
                <c:pt idx="557">
                  <c:v>1.1546851070810866</c:v>
                </c:pt>
                <c:pt idx="558">
                  <c:v>1.1525037433136618</c:v>
                </c:pt>
                <c:pt idx="559">
                  <c:v>1.0770105827577658</c:v>
                </c:pt>
                <c:pt idx="560">
                  <c:v>1.0808042188770064</c:v>
                </c:pt>
                <c:pt idx="561">
                  <c:v>1.1219651058049107</c:v>
                </c:pt>
                <c:pt idx="562">
                  <c:v>1.1585736123184063</c:v>
                </c:pt>
                <c:pt idx="563">
                  <c:v>1.1190249977423179</c:v>
                </c:pt>
                <c:pt idx="564">
                  <c:v>1.1403641475651716</c:v>
                </c:pt>
                <c:pt idx="565">
                  <c:v>1.1680576789063413</c:v>
                </c:pt>
                <c:pt idx="566">
                  <c:v>1.1375189655250575</c:v>
                </c:pt>
                <c:pt idx="567">
                  <c:v>1.1694802319901321</c:v>
                </c:pt>
                <c:pt idx="568">
                  <c:v>1.1731790084753602</c:v>
                </c:pt>
                <c:pt idx="569">
                  <c:v>1.1726099834482173</c:v>
                </c:pt>
                <c:pt idx="570">
                  <c:v>1.1720409679051409</c:v>
                </c:pt>
                <c:pt idx="571">
                  <c:v>1.2095978621092969</c:v>
                </c:pt>
                <c:pt idx="572">
                  <c:v>1.2116843662427093</c:v>
                </c:pt>
                <c:pt idx="573">
                  <c:v>1.180955943077467</c:v>
                </c:pt>
                <c:pt idx="574">
                  <c:v>1.1930007455804108</c:v>
                </c:pt>
                <c:pt idx="575">
                  <c:v>1.1948027372002514</c:v>
                </c:pt>
                <c:pt idx="576">
                  <c:v>1.1813353152250508</c:v>
                </c:pt>
                <c:pt idx="577">
                  <c:v>1.1587632557138987</c:v>
                </c:pt>
                <c:pt idx="578">
                  <c:v>1.1327769322310901</c:v>
                </c:pt>
                <c:pt idx="579">
                  <c:v>1.1630310572262696</c:v>
                </c:pt>
                <c:pt idx="580">
                  <c:v>1.1706183389488176</c:v>
                </c:pt>
                <c:pt idx="581">
                  <c:v>1.190060703906284</c:v>
                </c:pt>
                <c:pt idx="582">
                  <c:v>1.1933801177279946</c:v>
                </c:pt>
                <c:pt idx="583">
                  <c:v>1.2220220367598247</c:v>
                </c:pt>
                <c:pt idx="584">
                  <c:v>1.2546471025294557</c:v>
                </c:pt>
                <c:pt idx="585">
                  <c:v>1.2652693614326751</c:v>
                </c:pt>
                <c:pt idx="586">
                  <c:v>1.2641311691173907</c:v>
                </c:pt>
                <c:pt idx="587">
                  <c:v>1.2927730976332872</c:v>
                </c:pt>
                <c:pt idx="588">
                  <c:v>1.2842374946085451</c:v>
                </c:pt>
                <c:pt idx="589">
                  <c:v>1.279874757589629</c:v>
                </c:pt>
                <c:pt idx="590">
                  <c:v>1.2708649227832904</c:v>
                </c:pt>
                <c:pt idx="591">
                  <c:v>1.3243550488551772</c:v>
                </c:pt>
                <c:pt idx="592">
                  <c:v>1.3047231068906846</c:v>
                </c:pt>
                <c:pt idx="593">
                  <c:v>1.2713391545648871</c:v>
                </c:pt>
                <c:pt idx="594">
                  <c:v>1.2143398195307318</c:v>
                </c:pt>
                <c:pt idx="595">
                  <c:v>1.2475340525885044</c:v>
                </c:pt>
                <c:pt idx="596">
                  <c:v>1.2943853699851029</c:v>
                </c:pt>
                <c:pt idx="597">
                  <c:v>1.3099392297052497</c:v>
                </c:pt>
                <c:pt idx="598">
                  <c:v>1.2964718741185151</c:v>
                </c:pt>
                <c:pt idx="599">
                  <c:v>1.2428869548010819</c:v>
                </c:pt>
                <c:pt idx="600">
                  <c:v>1.1558232235238386</c:v>
                </c:pt>
                <c:pt idx="601">
                  <c:v>1.1484255851967833</c:v>
                </c:pt>
                <c:pt idx="602">
                  <c:v>1.1343892140669722</c:v>
                </c:pt>
                <c:pt idx="603">
                  <c:v>1.1527883222156994</c:v>
                </c:pt>
                <c:pt idx="604">
                  <c:v>1.1764036290515245</c:v>
                </c:pt>
                <c:pt idx="605">
                  <c:v>1.1915781166240873</c:v>
                </c:pt>
                <c:pt idx="606">
                  <c:v>1.1767830011991083</c:v>
                </c:pt>
                <c:pt idx="607">
                  <c:v>1.1847495791967075</c:v>
                </c:pt>
                <c:pt idx="608">
                  <c:v>1.1657814460208376</c:v>
                </c:pt>
                <c:pt idx="609">
                  <c:v>1.1488998169783797</c:v>
                </c:pt>
                <c:pt idx="610">
                  <c:v>1.1453906933727107</c:v>
                </c:pt>
                <c:pt idx="611">
                  <c:v>1.1470978253585389</c:v>
                </c:pt>
                <c:pt idx="612">
                  <c:v>1.1614187848744539</c:v>
                </c:pt>
                <c:pt idx="613">
                  <c:v>1.1517450654069601</c:v>
                </c:pt>
                <c:pt idx="614">
                  <c:v>1.1348634458485689</c:v>
                </c:pt>
                <c:pt idx="615">
                  <c:v>1.1639795207894628</c:v>
                </c:pt>
                <c:pt idx="616">
                  <c:v>1.141691907403416</c:v>
                </c:pt>
                <c:pt idx="617">
                  <c:v>1.1505120988142621</c:v>
                </c:pt>
                <c:pt idx="618">
                  <c:v>1.1520295779205314</c:v>
                </c:pt>
                <c:pt idx="619">
                  <c:v>1.110110022569992</c:v>
                </c:pt>
                <c:pt idx="620">
                  <c:v>1.0762519048510639</c:v>
                </c:pt>
                <c:pt idx="621">
                  <c:v>1.0947458062453375</c:v>
                </c:pt>
                <c:pt idx="622">
                  <c:v>1.1129551951260395</c:v>
                </c:pt>
                <c:pt idx="623">
                  <c:v>1.1349582296100487</c:v>
                </c:pt>
                <c:pt idx="624">
                  <c:v>1.1417867670374284</c:v>
                </c:pt>
                <c:pt idx="625">
                  <c:v>1.1492791891259637</c:v>
                </c:pt>
                <c:pt idx="626">
                  <c:v>1.1115325756537826</c:v>
                </c:pt>
                <c:pt idx="627">
                  <c:v>1.1087822627317476</c:v>
                </c:pt>
                <c:pt idx="628">
                  <c:v>1.1173178657564895</c:v>
                </c:pt>
                <c:pt idx="629">
                  <c:v>1.1194043698899019</c:v>
                </c:pt>
                <c:pt idx="630">
                  <c:v>1.1171282128769306</c:v>
                </c:pt>
                <c:pt idx="631">
                  <c:v>1.0923747895983538</c:v>
                </c:pt>
                <c:pt idx="632">
                  <c:v>1.0761570452170515</c:v>
                </c:pt>
                <c:pt idx="633">
                  <c:v>1.0771054423917783</c:v>
                </c:pt>
                <c:pt idx="634">
                  <c:v>1.1039453698037676</c:v>
                </c:pt>
                <c:pt idx="635">
                  <c:v>1.09730647577188</c:v>
                </c:pt>
                <c:pt idx="636">
                  <c:v>1.0875378966703737</c:v>
                </c:pt>
                <c:pt idx="637">
                  <c:v>1.0782435493504638</c:v>
                </c:pt>
                <c:pt idx="638">
                  <c:v>1.0581373092159083</c:v>
                </c:pt>
                <c:pt idx="639">
                  <c:v>1.0307283567767762</c:v>
                </c:pt>
                <c:pt idx="640">
                  <c:v>0.98435128064584065</c:v>
                </c:pt>
                <c:pt idx="641">
                  <c:v>1.0341426302324994</c:v>
                </c:pt>
                <c:pt idx="642">
                  <c:v>1.0493171178050622</c:v>
                </c:pt>
                <c:pt idx="643">
                  <c:v>1.04229893698219</c:v>
                </c:pt>
                <c:pt idx="644">
                  <c:v>1.0431524650388377</c:v>
                </c:pt>
                <c:pt idx="645">
                  <c:v>1.0569991927731563</c:v>
                </c:pt>
                <c:pt idx="646">
                  <c:v>1.0445750845110948</c:v>
                </c:pt>
                <c:pt idx="647">
                  <c:v>1.04723061367165</c:v>
                </c:pt>
                <c:pt idx="648">
                  <c:v>1.0447648132631864</c:v>
                </c:pt>
                <c:pt idx="649">
                  <c:v>1.0766312106101819</c:v>
                </c:pt>
                <c:pt idx="650">
                  <c:v>1.1190249977423179</c:v>
                </c:pt>
                <c:pt idx="651">
                  <c:v>1.1875948276252877</c:v>
                </c:pt>
                <c:pt idx="652">
                  <c:v>1.1682473223018337</c:v>
                </c:pt>
                <c:pt idx="653">
                  <c:v>1.1810508027114794</c:v>
                </c:pt>
                <c:pt idx="654">
                  <c:v>1.1678679501542497</c:v>
                </c:pt>
                <c:pt idx="655">
                  <c:v>1.1450113876135928</c:v>
                </c:pt>
                <c:pt idx="656">
                  <c:v>1.1474771975061229</c:v>
                </c:pt>
                <c:pt idx="657">
                  <c:v>1.1643588265485807</c:v>
                </c:pt>
                <c:pt idx="658">
                  <c:v>1.1780159014033402</c:v>
                </c:pt>
                <c:pt idx="659">
                  <c:v>1.1802920584163115</c:v>
                </c:pt>
                <c:pt idx="660">
                  <c:v>1.1617981570220379</c:v>
                </c:pt>
                <c:pt idx="661">
                  <c:v>1.130595568463665</c:v>
                </c:pt>
                <c:pt idx="662">
                  <c:v>1.1029021129950283</c:v>
                </c:pt>
                <c:pt idx="663">
                  <c:v>1.089339897774281</c:v>
                </c:pt>
                <c:pt idx="664">
                  <c:v>1.1027123937270031</c:v>
                </c:pt>
                <c:pt idx="665">
                  <c:v>1.1215857336573267</c:v>
                </c:pt>
                <c:pt idx="666">
                  <c:v>1.1428300238461679</c:v>
                </c:pt>
                <c:pt idx="667">
                  <c:v>1.1382776434317594</c:v>
                </c:pt>
                <c:pt idx="668">
                  <c:v>1.1029969726290407</c:v>
                </c:pt>
                <c:pt idx="669">
                  <c:v>1.1220598990504571</c:v>
                </c:pt>
                <c:pt idx="670">
                  <c:v>1.1099203033019669</c:v>
                </c:pt>
                <c:pt idx="671">
                  <c:v>1.1013846244046923</c:v>
                </c:pt>
                <c:pt idx="672">
                  <c:v>1.1280348989371225</c:v>
                </c:pt>
                <c:pt idx="673">
                  <c:v>1.1142829644483503</c:v>
                </c:pt>
                <c:pt idx="674">
                  <c:v>1.0890553852607097</c:v>
                </c:pt>
                <c:pt idx="675">
                  <c:v>1.070751136745995</c:v>
                </c:pt>
                <c:pt idx="676">
                  <c:v>1.0499810024662175</c:v>
                </c:pt>
                <c:pt idx="677">
                  <c:v>1.0789074340116191</c:v>
                </c:pt>
                <c:pt idx="678">
                  <c:v>1.0681903913469197</c:v>
                </c:pt>
                <c:pt idx="679">
                  <c:v>1.07833834259601</c:v>
                </c:pt>
                <c:pt idx="680">
                  <c:v>1.0595599286881652</c:v>
                </c:pt>
                <c:pt idx="681">
                  <c:v>1.0634483580529521</c:v>
                </c:pt>
                <c:pt idx="682">
                  <c:v>1.0681903913469197</c:v>
                </c:pt>
                <c:pt idx="683">
                  <c:v>1.0720788965842394</c:v>
                </c:pt>
                <c:pt idx="684">
                  <c:v>1.0532056230423819</c:v>
                </c:pt>
                <c:pt idx="685">
                  <c:v>1.0450493162926913</c:v>
                </c:pt>
                <c:pt idx="686">
                  <c:v>1.0740705410836391</c:v>
                </c:pt>
                <c:pt idx="687">
                  <c:v>1.0969271794968289</c:v>
                </c:pt>
                <c:pt idx="688">
                  <c:v>1.1046092449808564</c:v>
                </c:pt>
                <c:pt idx="689">
                  <c:v>1.1188353448627588</c:v>
                </c:pt>
                <c:pt idx="690">
                  <c:v>1.128698783598278</c:v>
                </c:pt>
                <c:pt idx="691">
                  <c:v>1.1085925339796561</c:v>
                </c:pt>
                <c:pt idx="692">
                  <c:v>1.0531107634083694</c:v>
                </c:pt>
                <c:pt idx="693">
                  <c:v>1.0886760131131257</c:v>
                </c:pt>
                <c:pt idx="694">
                  <c:v>1.1130500642441186</c:v>
                </c:pt>
                <c:pt idx="695">
                  <c:v>1.1328717254766363</c:v>
                </c:pt>
                <c:pt idx="696">
                  <c:v>1.0932283271390681</c:v>
                </c:pt>
                <c:pt idx="697">
                  <c:v>1.1116274352877951</c:v>
                </c:pt>
                <c:pt idx="698">
                  <c:v>1.0740705410836391</c:v>
                </c:pt>
                <c:pt idx="699">
                  <c:v>1.0570940524071688</c:v>
                </c:pt>
                <c:pt idx="700">
                  <c:v>1.0912366826396682</c:v>
                </c:pt>
                <c:pt idx="701">
                  <c:v>1.1023330879678852</c:v>
                </c:pt>
                <c:pt idx="702">
                  <c:v>1.1183611130811626</c:v>
                </c:pt>
                <c:pt idx="703">
                  <c:v>1.1266122794648656</c:v>
                </c:pt>
                <c:pt idx="704">
                  <c:v>1.1316388252724046</c:v>
                </c:pt>
                <c:pt idx="705">
                  <c:v>1.1248102783609581</c:v>
                </c:pt>
                <c:pt idx="706">
                  <c:v>1.1255690226561264</c:v>
                </c:pt>
                <c:pt idx="707">
                  <c:v>1.1522192308000905</c:v>
                </c:pt>
                <c:pt idx="708">
                  <c:v>1.1677730905202373</c:v>
                </c:pt>
                <c:pt idx="709">
                  <c:v>1.1766881415650958</c:v>
                </c:pt>
                <c:pt idx="710">
                  <c:v>1.1797230333891686</c:v>
                </c:pt>
                <c:pt idx="711">
                  <c:v>1.1553489917422421</c:v>
                </c:pt>
                <c:pt idx="712">
                  <c:v>1.1831373068448916</c:v>
                </c:pt>
                <c:pt idx="713">
                  <c:v>1.2060887290195612</c:v>
                </c:pt>
                <c:pt idx="714">
                  <c:v>1.2305576397845668</c:v>
                </c:pt>
                <c:pt idx="715">
                  <c:v>1.1108686909926273</c:v>
                </c:pt>
                <c:pt idx="716">
                  <c:v>1.1659711652888625</c:v>
                </c:pt>
                <c:pt idx="717">
                  <c:v>1.1794385303596635</c:v>
                </c:pt>
                <c:pt idx="718">
                  <c:v>1.2095978621092969</c:v>
                </c:pt>
                <c:pt idx="719">
                  <c:v>1.223065293568564</c:v>
                </c:pt>
                <c:pt idx="720">
                  <c:v>1.2245826304138345</c:v>
                </c:pt>
                <c:pt idx="721">
                  <c:v>1.1975530596063531</c:v>
                </c:pt>
                <c:pt idx="722">
                  <c:v>1.1870258120822115</c:v>
                </c:pt>
                <c:pt idx="723">
                  <c:v>1.1846547954352276</c:v>
                </c:pt>
                <c:pt idx="724">
                  <c:v>1.1857928360054468</c:v>
                </c:pt>
                <c:pt idx="725">
                  <c:v>1.2102617467704524</c:v>
                </c:pt>
                <c:pt idx="726">
                  <c:v>1.1921471416512301</c:v>
                </c:pt>
                <c:pt idx="727">
                  <c:v>1.1936646302415661</c:v>
                </c:pt>
                <c:pt idx="728">
                  <c:v>1.1552541321082295</c:v>
                </c:pt>
                <c:pt idx="729">
                  <c:v>1.1825682818177488</c:v>
                </c:pt>
                <c:pt idx="730">
                  <c:v>1.1793436612415844</c:v>
                </c:pt>
                <c:pt idx="731">
                  <c:v>1.1527883222156994</c:v>
                </c:pt>
                <c:pt idx="732">
                  <c:v>1.1042298728332725</c:v>
                </c:pt>
                <c:pt idx="733">
                  <c:v>1.1297420404070173</c:v>
                </c:pt>
                <c:pt idx="734">
                  <c:v>1.1005310963480444</c:v>
                </c:pt>
                <c:pt idx="735">
                  <c:v>1.1044195257128313</c:v>
                </c:pt>
                <c:pt idx="736">
                  <c:v>1.1299316838025097</c:v>
                </c:pt>
                <c:pt idx="737">
                  <c:v>1.1017639965522763</c:v>
                </c:pt>
                <c:pt idx="738">
                  <c:v>1.1623671820491808</c:v>
                </c:pt>
                <c:pt idx="739">
                  <c:v>1.180955943077467</c:v>
                </c:pt>
                <c:pt idx="740">
                  <c:v>1.1776365292557562</c:v>
                </c:pt>
                <c:pt idx="741">
                  <c:v>1.1633156456123739</c:v>
                </c:pt>
                <c:pt idx="742">
                  <c:v>1.1655918026253451</c:v>
                </c:pt>
                <c:pt idx="743">
                  <c:v>1.1388467348473683</c:v>
                </c:pt>
                <c:pt idx="744">
                  <c:v>1.108308030950151</c:v>
                </c:pt>
                <c:pt idx="745">
                  <c:v>1.0987290952441369</c:v>
                </c:pt>
                <c:pt idx="746">
                  <c:v>1.08516688002339</c:v>
                </c:pt>
                <c:pt idx="747">
                  <c:v>1.091141889394122</c:v>
                </c:pt>
                <c:pt idx="748">
                  <c:v>1.032814870394255</c:v>
                </c:pt>
                <c:pt idx="749">
                  <c:v>1.0619309453351489</c:v>
                </c:pt>
                <c:pt idx="750">
                  <c:v>1.0584218122454132</c:v>
                </c:pt>
                <c:pt idx="751">
                  <c:v>1.0635432176869648</c:v>
                </c:pt>
                <c:pt idx="752">
                  <c:v>1.1089719061272401</c:v>
                </c:pt>
                <c:pt idx="753">
                  <c:v>1.1072647741414117</c:v>
                </c:pt>
                <c:pt idx="754">
                  <c:v>1.113998451934779</c:v>
                </c:pt>
                <c:pt idx="755">
                  <c:v>1.1184559727151751</c:v>
                </c:pt>
                <c:pt idx="756">
                  <c:v>1.1272761641260212</c:v>
                </c:pt>
                <c:pt idx="757">
                  <c:v>1.1468133128449676</c:v>
                </c:pt>
                <c:pt idx="758">
                  <c:v>1.1776365292557562</c:v>
                </c:pt>
                <c:pt idx="759">
                  <c:v>1.1582890239323023</c:v>
                </c:pt>
                <c:pt idx="760">
                  <c:v>1.138562222333797</c:v>
                </c:pt>
                <c:pt idx="761">
                  <c:v>1.1196888824034732</c:v>
                </c:pt>
                <c:pt idx="762">
                  <c:v>1.0956942034200643</c:v>
                </c:pt>
                <c:pt idx="763">
                  <c:v>1.1122913199489506</c:v>
                </c:pt>
                <c:pt idx="764">
                  <c:v>1.091141889394122</c:v>
                </c:pt>
                <c:pt idx="765">
                  <c:v>1.113144923878131</c:v>
                </c:pt>
                <c:pt idx="766">
                  <c:v>1.0891501690221894</c:v>
                </c:pt>
                <c:pt idx="767">
                  <c:v>1.0651554995228469</c:v>
                </c:pt>
                <c:pt idx="768">
                  <c:v>1.0725530524933031</c:v>
                </c:pt>
                <c:pt idx="769">
                  <c:v>1.0426782996457076</c:v>
                </c:pt>
                <c:pt idx="770">
                  <c:v>1.0290212247909478</c:v>
                </c:pt>
                <c:pt idx="771">
                  <c:v>1.0463770856150021</c:v>
                </c:pt>
                <c:pt idx="772">
                  <c:v>1.0256069513352246</c:v>
                </c:pt>
                <c:pt idx="773">
                  <c:v>1.0034142734557232</c:v>
                </c:pt>
                <c:pt idx="774">
                  <c:v>1.0165971165288863</c:v>
                </c:pt>
                <c:pt idx="775">
                  <c:v>1.0365136468794831</c:v>
                </c:pt>
                <c:pt idx="776">
                  <c:v>1.0512139026704495</c:v>
                </c:pt>
                <c:pt idx="777">
                  <c:v>1.0765364173646355</c:v>
                </c:pt>
                <c:pt idx="778">
                  <c:v>1.0780538300824387</c:v>
                </c:pt>
                <c:pt idx="779">
                  <c:v>1.1160849560681914</c:v>
                </c:pt>
                <c:pt idx="780">
                  <c:v>1.1250947908745297</c:v>
                </c:pt>
                <c:pt idx="781">
                  <c:v>1.131828468667897</c:v>
                </c:pt>
                <c:pt idx="782">
                  <c:v>1.1823785625497238</c:v>
                </c:pt>
                <c:pt idx="783">
                  <c:v>1.2058990856240688</c:v>
                </c:pt>
                <c:pt idx="784">
                  <c:v>1.1911038848424906</c:v>
                </c:pt>
                <c:pt idx="785">
                  <c:v>1.1545902474470742</c:v>
                </c:pt>
                <c:pt idx="786">
                  <c:v>1.1621775291696219</c:v>
                </c:pt>
                <c:pt idx="787">
                  <c:v>1.2211683664421782</c:v>
                </c:pt>
                <c:pt idx="788">
                  <c:v>1.2333079527066018</c:v>
                </c:pt>
                <c:pt idx="789">
                  <c:v>1.2016312082391651</c:v>
                </c:pt>
                <c:pt idx="790">
                  <c:v>1.2004931676689459</c:v>
                </c:pt>
                <c:pt idx="791">
                  <c:v>1.2294195992143475</c:v>
                </c:pt>
                <c:pt idx="792">
                  <c:v>1.2243930534068086</c:v>
                </c:pt>
                <c:pt idx="793">
                  <c:v>1.2227806387939939</c:v>
                </c:pt>
                <c:pt idx="794">
                  <c:v>1.27190817959203</c:v>
                </c:pt>
                <c:pt idx="795">
                  <c:v>1.2522760858824717</c:v>
                </c:pt>
                <c:pt idx="796">
                  <c:v>1.1826630750632952</c:v>
                </c:pt>
                <c:pt idx="797">
                  <c:v>1.2184180440360763</c:v>
                </c:pt>
                <c:pt idx="798">
                  <c:v>1.1814301748590632</c:v>
                </c:pt>
                <c:pt idx="799">
                  <c:v>1.100625955982057</c:v>
                </c:pt>
                <c:pt idx="800">
                  <c:v>0.96604703213112597</c:v>
                </c:pt>
                <c:pt idx="801">
                  <c:v>0.95798558501544784</c:v>
                </c:pt>
                <c:pt idx="802">
                  <c:v>1.0303489846291922</c:v>
                </c:pt>
                <c:pt idx="803">
                  <c:v>1.0349013745276674</c:v>
                </c:pt>
                <c:pt idx="804">
                  <c:v>1.0199165303505968</c:v>
                </c:pt>
                <c:pt idx="805">
                  <c:v>1.0203906862596606</c:v>
                </c:pt>
                <c:pt idx="806">
                  <c:v>1.0244688443765393</c:v>
                </c:pt>
                <c:pt idx="807">
                  <c:v>1.0811835910245904</c:v>
                </c:pt>
                <c:pt idx="808">
                  <c:v>1.1306904280976777</c:v>
                </c:pt>
                <c:pt idx="809">
                  <c:v>1.1513657027434425</c:v>
                </c:pt>
                <c:pt idx="810">
                  <c:v>1.123861890670298</c:v>
                </c:pt>
                <c:pt idx="811">
                  <c:v>1.1122913199489506</c:v>
                </c:pt>
                <c:pt idx="812">
                  <c:v>1.103660857290196</c:v>
                </c:pt>
                <c:pt idx="813">
                  <c:v>1.1151365683775307</c:v>
                </c:pt>
                <c:pt idx="814">
                  <c:v>1.1138087990552201</c:v>
                </c:pt>
                <c:pt idx="815">
                  <c:v>1.1296471807730049</c:v>
                </c:pt>
                <c:pt idx="816">
                  <c:v>1.1630310572262696</c:v>
                </c:pt>
                <c:pt idx="817">
                  <c:v>1.1354324613916451</c:v>
                </c:pt>
                <c:pt idx="818">
                  <c:v>1.0758725327034799</c:v>
                </c:pt>
                <c:pt idx="819">
                  <c:v>1.0622154578487204</c:v>
                </c:pt>
                <c:pt idx="820">
                  <c:v>1.0913315422736807</c:v>
                </c:pt>
                <c:pt idx="821">
                  <c:v>1.0492222581710497</c:v>
                </c:pt>
                <c:pt idx="822">
                  <c:v>1.0044575302644625</c:v>
                </c:pt>
                <c:pt idx="823">
                  <c:v>0.9940250001133345</c:v>
                </c:pt>
                <c:pt idx="824">
                  <c:v>1.0016122818358824</c:v>
                </c:pt>
                <c:pt idx="825">
                  <c:v>0.99620636388075934</c:v>
                </c:pt>
                <c:pt idx="826">
                  <c:v>1.0036039263352821</c:v>
                </c:pt>
                <c:pt idx="827">
                  <c:v>1.0210546467933488</c:v>
                </c:pt>
                <c:pt idx="828">
                  <c:v>1.0292108776705069</c:v>
                </c:pt>
                <c:pt idx="829">
                  <c:v>1.0309180096563351</c:v>
                </c:pt>
                <c:pt idx="830">
                  <c:v>1.0698975328168145</c:v>
                </c:pt>
                <c:pt idx="831">
                  <c:v>1.094271574463741</c:v>
                </c:pt>
                <c:pt idx="832">
                  <c:v>1.0834597480375616</c:v>
                </c:pt>
                <c:pt idx="833">
                  <c:v>1.0361342747318991</c:v>
                </c:pt>
                <c:pt idx="834">
                  <c:v>1.0283573401297925</c:v>
                </c:pt>
                <c:pt idx="835">
                  <c:v>0.98937782645337946</c:v>
                </c:pt>
                <c:pt idx="836">
                  <c:v>0.98055763504253346</c:v>
                </c:pt>
                <c:pt idx="837">
                  <c:v>1.0125189678960742</c:v>
                </c:pt>
                <c:pt idx="838">
                  <c:v>0.98956746984887189</c:v>
                </c:pt>
                <c:pt idx="839">
                  <c:v>1.0119498764804651</c:v>
                </c:pt>
                <c:pt idx="840">
                  <c:v>1.0035090667012694</c:v>
                </c:pt>
                <c:pt idx="841">
                  <c:v>1.0202959024981808</c:v>
                </c:pt>
                <c:pt idx="842">
                  <c:v>0.95039830329290009</c:v>
                </c:pt>
                <c:pt idx="843">
                  <c:v>0.93455993105918189</c:v>
                </c:pt>
                <c:pt idx="844">
                  <c:v>0.89984820941107335</c:v>
                </c:pt>
                <c:pt idx="845">
                  <c:v>0.90146055763542188</c:v>
                </c:pt>
                <c:pt idx="846">
                  <c:v>0.87604325917975601</c:v>
                </c:pt>
                <c:pt idx="847">
                  <c:v>0.90534898700020883</c:v>
                </c:pt>
                <c:pt idx="848">
                  <c:v>0.94774277413234498</c:v>
                </c:pt>
                <c:pt idx="849">
                  <c:v>0.93228377404621066</c:v>
                </c:pt>
                <c:pt idx="850">
                  <c:v>0.96737479196937037</c:v>
                </c:pt>
                <c:pt idx="851">
                  <c:v>0.90373671464839311</c:v>
                </c:pt>
                <c:pt idx="852">
                  <c:v>0.87338765414666808</c:v>
                </c:pt>
                <c:pt idx="853">
                  <c:v>0.88429434969092657</c:v>
                </c:pt>
                <c:pt idx="854">
                  <c:v>0.8625758277204888</c:v>
                </c:pt>
                <c:pt idx="855">
                  <c:v>0.86437781934032965</c:v>
                </c:pt>
                <c:pt idx="856">
                  <c:v>0.88856221759176368</c:v>
                </c:pt>
                <c:pt idx="857">
                  <c:v>0.93332703085495006</c:v>
                </c:pt>
                <c:pt idx="858">
                  <c:v>0.93768969200133356</c:v>
                </c:pt>
                <c:pt idx="859">
                  <c:v>0.95874425343808312</c:v>
                </c:pt>
                <c:pt idx="860">
                  <c:v>0.95969271700127623</c:v>
                </c:pt>
                <c:pt idx="861">
                  <c:v>0.98729131283590066</c:v>
                </c:pt>
                <c:pt idx="862">
                  <c:v>0.9976289833530162</c:v>
                </c:pt>
                <c:pt idx="863">
                  <c:v>1.0036987859692945</c:v>
                </c:pt>
                <c:pt idx="864">
                  <c:v>1.0103376041286494</c:v>
                </c:pt>
                <c:pt idx="865">
                  <c:v>0.99051593341206501</c:v>
                </c:pt>
                <c:pt idx="866">
                  <c:v>0.97856599054313376</c:v>
                </c:pt>
                <c:pt idx="867">
                  <c:v>0.94641501429410058</c:v>
                </c:pt>
                <c:pt idx="868">
                  <c:v>0.89520103575111842</c:v>
                </c:pt>
                <c:pt idx="869">
                  <c:v>0.89690817722101324</c:v>
                </c:pt>
                <c:pt idx="870">
                  <c:v>0.90923749223752848</c:v>
                </c:pt>
                <c:pt idx="871">
                  <c:v>0.82644155298858968</c:v>
                </c:pt>
                <c:pt idx="872">
                  <c:v>0.85081560411958257</c:v>
                </c:pt>
                <c:pt idx="873">
                  <c:v>0.8740516146803563</c:v>
                </c:pt>
                <c:pt idx="874">
                  <c:v>0.875094795616563</c:v>
                </c:pt>
                <c:pt idx="875">
                  <c:v>0.88514795362010701</c:v>
                </c:pt>
                <c:pt idx="876">
                  <c:v>0.91378979677940442</c:v>
                </c:pt>
                <c:pt idx="877">
                  <c:v>0.89330425088573118</c:v>
                </c:pt>
                <c:pt idx="878">
                  <c:v>0.88268207733911075</c:v>
                </c:pt>
                <c:pt idx="879">
                  <c:v>0.86807660530962427</c:v>
                </c:pt>
                <c:pt idx="880">
                  <c:v>0.85024658857650626</c:v>
                </c:pt>
                <c:pt idx="881">
                  <c:v>0.86020481107350499</c:v>
                </c:pt>
                <c:pt idx="882">
                  <c:v>0.86067904285510155</c:v>
                </c:pt>
                <c:pt idx="883">
                  <c:v>0.85394536506173435</c:v>
                </c:pt>
                <c:pt idx="884">
                  <c:v>0.88334595251619963</c:v>
                </c:pt>
                <c:pt idx="885">
                  <c:v>0.88391497754334247</c:v>
                </c:pt>
                <c:pt idx="886">
                  <c:v>0.8706373412246331</c:v>
                </c:pt>
                <c:pt idx="887">
                  <c:v>0.88467372183851056</c:v>
                </c:pt>
                <c:pt idx="888">
                  <c:v>0.89093323423874748</c:v>
                </c:pt>
                <c:pt idx="889">
                  <c:v>0.87812968744063558</c:v>
                </c:pt>
                <c:pt idx="890">
                  <c:v>0.88211305231196779</c:v>
                </c:pt>
                <c:pt idx="891">
                  <c:v>0.87471548985744507</c:v>
                </c:pt>
                <c:pt idx="892">
                  <c:v>0.9203338311772794</c:v>
                </c:pt>
                <c:pt idx="893">
                  <c:v>0.93105079796944612</c:v>
                </c:pt>
                <c:pt idx="894">
                  <c:v>0.93152502975104257</c:v>
                </c:pt>
                <c:pt idx="895">
                  <c:v>0.91938543400255246</c:v>
                </c:pt>
                <c:pt idx="896">
                  <c:v>0.91786795489628303</c:v>
                </c:pt>
                <c:pt idx="897">
                  <c:v>0.85954092641234958</c:v>
                </c:pt>
                <c:pt idx="898">
                  <c:v>0.90326248286679656</c:v>
                </c:pt>
                <c:pt idx="899">
                  <c:v>0.92317900373332684</c:v>
                </c:pt>
                <c:pt idx="900">
                  <c:v>0.93541345911582963</c:v>
                </c:pt>
                <c:pt idx="901">
                  <c:v>0.92886950059048745</c:v>
                </c:pt>
                <c:pt idx="902">
                  <c:v>0.90070181334025379</c:v>
                </c:pt>
                <c:pt idx="903">
                  <c:v>0.9328527990733535</c:v>
                </c:pt>
                <c:pt idx="904">
                  <c:v>0.93636192267902263</c:v>
                </c:pt>
                <c:pt idx="905">
                  <c:v>0.95049316292691255</c:v>
                </c:pt>
                <c:pt idx="906">
                  <c:v>0.95940821397177134</c:v>
                </c:pt>
                <c:pt idx="907">
                  <c:v>0.91777309526227058</c:v>
                </c:pt>
                <c:pt idx="908">
                  <c:v>0.90591801202735178</c:v>
                </c:pt>
                <c:pt idx="909">
                  <c:v>0.94006070864831726</c:v>
                </c:pt>
                <c:pt idx="910">
                  <c:v>0.93740510361522933</c:v>
                </c:pt>
                <c:pt idx="911">
                  <c:v>0.93389604639802637</c:v>
                </c:pt>
                <c:pt idx="912">
                  <c:v>0.95656296554319098</c:v>
                </c:pt>
                <c:pt idx="913">
                  <c:v>0.93057664206038226</c:v>
                </c:pt>
                <c:pt idx="914">
                  <c:v>0.9409142367049651</c:v>
                </c:pt>
                <c:pt idx="915">
                  <c:v>0.93000755064477314</c:v>
                </c:pt>
                <c:pt idx="916">
                  <c:v>0.90240895481014871</c:v>
                </c:pt>
                <c:pt idx="917">
                  <c:v>0.90354699538036809</c:v>
                </c:pt>
                <c:pt idx="918">
                  <c:v>0.90174507014899319</c:v>
                </c:pt>
                <c:pt idx="919">
                  <c:v>0.9318095422646141</c:v>
                </c:pt>
                <c:pt idx="920">
                  <c:v>0.89245064695655063</c:v>
                </c:pt>
                <c:pt idx="921">
                  <c:v>0.88325109288218717</c:v>
                </c:pt>
                <c:pt idx="922">
                  <c:v>0.89577006077826127</c:v>
                </c:pt>
                <c:pt idx="923">
                  <c:v>0.86617982044423703</c:v>
                </c:pt>
                <c:pt idx="924">
                  <c:v>0.85404022469574681</c:v>
                </c:pt>
                <c:pt idx="925">
                  <c:v>0.85366085254816282</c:v>
                </c:pt>
                <c:pt idx="926">
                  <c:v>0.84882395962018276</c:v>
                </c:pt>
                <c:pt idx="927">
                  <c:v>0.876707134356845</c:v>
                </c:pt>
                <c:pt idx="928">
                  <c:v>0.8935887633993026</c:v>
                </c:pt>
                <c:pt idx="929">
                  <c:v>0.9155917978833118</c:v>
                </c:pt>
                <c:pt idx="930">
                  <c:v>0.94053486455738122</c:v>
                </c:pt>
                <c:pt idx="931">
                  <c:v>0.89245064695655063</c:v>
                </c:pt>
                <c:pt idx="932">
                  <c:v>0.88960547440050308</c:v>
                </c:pt>
                <c:pt idx="933">
                  <c:v>0.88277693697312321</c:v>
                </c:pt>
                <c:pt idx="934">
                  <c:v>0.88666536633791027</c:v>
                </c:pt>
                <c:pt idx="935">
                  <c:v>0.91303106196830308</c:v>
                </c:pt>
                <c:pt idx="936">
                  <c:v>0.89349390376529003</c:v>
                </c:pt>
                <c:pt idx="937">
                  <c:v>0.87547416776414688</c:v>
                </c:pt>
                <c:pt idx="938">
                  <c:v>0.83829663622350836</c:v>
                </c:pt>
                <c:pt idx="939">
                  <c:v>0.81022380860728738</c:v>
                </c:pt>
                <c:pt idx="940">
                  <c:v>0.79628222123895631</c:v>
                </c:pt>
                <c:pt idx="941">
                  <c:v>0.81107734614800175</c:v>
                </c:pt>
                <c:pt idx="942">
                  <c:v>0.8439870666922028</c:v>
                </c:pt>
                <c:pt idx="943">
                  <c:v>0.82767446267688805</c:v>
                </c:pt>
                <c:pt idx="944">
                  <c:v>0.80548177531331988</c:v>
                </c:pt>
                <c:pt idx="945">
                  <c:v>0.82378603331210098</c:v>
                </c:pt>
                <c:pt idx="946">
                  <c:v>0.87016310944303654</c:v>
                </c:pt>
                <c:pt idx="947">
                  <c:v>0.89169191214544929</c:v>
                </c:pt>
                <c:pt idx="948">
                  <c:v>0.88704473848549437</c:v>
                </c:pt>
                <c:pt idx="949">
                  <c:v>0.86077390248911412</c:v>
                </c:pt>
                <c:pt idx="950">
                  <c:v>0.84066765287049217</c:v>
                </c:pt>
                <c:pt idx="951">
                  <c:v>0.8588770512352607</c:v>
                </c:pt>
                <c:pt idx="952">
                  <c:v>0.87746581226354681</c:v>
                </c:pt>
                <c:pt idx="953">
                  <c:v>0.8926403757086423</c:v>
                </c:pt>
                <c:pt idx="954">
                  <c:v>0.87765553153157183</c:v>
                </c:pt>
                <c:pt idx="955">
                  <c:v>0.90041730082668248</c:v>
                </c:pt>
                <c:pt idx="956">
                  <c:v>0.89567526753271498</c:v>
                </c:pt>
                <c:pt idx="957">
                  <c:v>0.87044762195660808</c:v>
                </c:pt>
                <c:pt idx="958">
                  <c:v>0.85072074448557</c:v>
                </c:pt>
                <c:pt idx="959">
                  <c:v>0.86029967070751756</c:v>
                </c:pt>
                <c:pt idx="960">
                  <c:v>0.84559941491655122</c:v>
                </c:pt>
                <c:pt idx="961">
                  <c:v>0.88970026764604948</c:v>
                </c:pt>
                <c:pt idx="962">
                  <c:v>0.8869498788514818</c:v>
                </c:pt>
                <c:pt idx="963">
                  <c:v>0.87082699410419195</c:v>
                </c:pt>
                <c:pt idx="964">
                  <c:v>0.88467372183851056</c:v>
                </c:pt>
                <c:pt idx="965">
                  <c:v>0.87907815100382869</c:v>
                </c:pt>
                <c:pt idx="966">
                  <c:v>0.88685508560593529</c:v>
                </c:pt>
                <c:pt idx="967">
                  <c:v>0.85641124134273061</c:v>
                </c:pt>
                <c:pt idx="968">
                  <c:v>0.86020481107350499</c:v>
                </c:pt>
                <c:pt idx="969">
                  <c:v>0.90155535088096816</c:v>
                </c:pt>
                <c:pt idx="970">
                  <c:v>0.89690817722101324</c:v>
                </c:pt>
                <c:pt idx="971">
                  <c:v>0.90240895481014871</c:v>
                </c:pt>
                <c:pt idx="972">
                  <c:v>0.85584214992712149</c:v>
                </c:pt>
                <c:pt idx="973">
                  <c:v>0.90525412736619626</c:v>
                </c:pt>
                <c:pt idx="974">
                  <c:v>0.98994684199645588</c:v>
                </c:pt>
                <c:pt idx="975">
                  <c:v>0.96111527008506692</c:v>
                </c:pt>
                <c:pt idx="976">
                  <c:v>0.98511002494100852</c:v>
                </c:pt>
                <c:pt idx="977">
                  <c:v>0.94954477523625225</c:v>
                </c:pt>
                <c:pt idx="978">
                  <c:v>0.96803867663052579</c:v>
                </c:pt>
                <c:pt idx="979">
                  <c:v>0.97562595835307353</c:v>
                </c:pt>
                <c:pt idx="980">
                  <c:v>0.95950299773325121</c:v>
                </c:pt>
                <c:pt idx="981">
                  <c:v>1.0073975624545226</c:v>
                </c:pt>
                <c:pt idx="982">
                  <c:v>1.0157435125997056</c:v>
                </c:pt>
                <c:pt idx="983">
                  <c:v>1.0382207788653113</c:v>
                </c:pt>
                <c:pt idx="984">
                  <c:v>1.0238049597153838</c:v>
                </c:pt>
                <c:pt idx="985">
                  <c:v>1.0684749797330237</c:v>
                </c:pt>
                <c:pt idx="986">
                  <c:v>1.0728376408794074</c:v>
                </c:pt>
                <c:pt idx="987">
                  <c:v>1.0800454745818384</c:v>
                </c:pt>
                <c:pt idx="988">
                  <c:v>1.0959787159336358</c:v>
                </c:pt>
                <c:pt idx="989">
                  <c:v>1.0528262508947979</c:v>
                </c:pt>
                <c:pt idx="990">
                  <c:v>1.051024259274957</c:v>
                </c:pt>
                <c:pt idx="991">
                  <c:v>1.041160820539438</c:v>
                </c:pt>
                <c:pt idx="992">
                  <c:v>1.0634483580529521</c:v>
                </c:pt>
                <c:pt idx="993">
                  <c:v>1.0196320178370253</c:v>
                </c:pt>
                <c:pt idx="994">
                  <c:v>1.0548178953941976</c:v>
                </c:pt>
                <c:pt idx="995">
                  <c:v>1.0542488798511214</c:v>
                </c:pt>
                <c:pt idx="996">
                  <c:v>1.0477048454532463</c:v>
                </c:pt>
                <c:pt idx="997">
                  <c:v>1.0107169762762334</c:v>
                </c:pt>
                <c:pt idx="998">
                  <c:v>0.99753412371900374</c:v>
                </c:pt>
                <c:pt idx="999">
                  <c:v>0.97704851143686433</c:v>
                </c:pt>
                <c:pt idx="1000">
                  <c:v>0.96405538763172627</c:v>
                </c:pt>
                <c:pt idx="1001">
                  <c:v>0.97998861949945704</c:v>
                </c:pt>
                <c:pt idx="1002">
                  <c:v>0.98406676813226912</c:v>
                </c:pt>
                <c:pt idx="1003">
                  <c:v>0.98975719860096356</c:v>
                </c:pt>
                <c:pt idx="1004">
                  <c:v>0.98861908215821159</c:v>
                </c:pt>
                <c:pt idx="1005">
                  <c:v>0.97116843757267757</c:v>
                </c:pt>
                <c:pt idx="1006">
                  <c:v>0.99279209042503624</c:v>
                </c:pt>
                <c:pt idx="1007">
                  <c:v>1.0021812973789588</c:v>
                </c:pt>
                <c:pt idx="1008">
                  <c:v>1.0348065148936547</c:v>
                </c:pt>
                <c:pt idx="1009">
                  <c:v>1.0732170130269914</c:v>
                </c:pt>
                <c:pt idx="1010">
                  <c:v>1.0855462521709738</c:v>
                </c:pt>
                <c:pt idx="1011">
                  <c:v>1.0998672116868888</c:v>
                </c:pt>
                <c:pt idx="1012">
                  <c:v>1.084787507875806</c:v>
                </c:pt>
                <c:pt idx="1013">
                  <c:v>1.0819423353197584</c:v>
                </c:pt>
                <c:pt idx="1014">
                  <c:v>1.1022382283338727</c:v>
                </c:pt>
                <c:pt idx="1015">
                  <c:v>1.1326820725970774</c:v>
                </c:pt>
                <c:pt idx="1016">
                  <c:v>1.1268019323444245</c:v>
                </c:pt>
                <c:pt idx="1017">
                  <c:v>1.1311645934908081</c:v>
                </c:pt>
                <c:pt idx="1018">
                  <c:v>1.1278451796690976</c:v>
                </c:pt>
                <c:pt idx="1019">
                  <c:v>1.112860335492027</c:v>
                </c:pt>
                <c:pt idx="1020">
                  <c:v>1.148046288921732</c:v>
                </c:pt>
                <c:pt idx="1021">
                  <c:v>1.2032435564635136</c:v>
                </c:pt>
                <c:pt idx="1022">
                  <c:v>1.1978376385083906</c:v>
                </c:pt>
                <c:pt idx="1023">
                  <c:v>1.1758346040243814</c:v>
                </c:pt>
                <c:pt idx="1024">
                  <c:v>1.1780159014033402</c:v>
                </c:pt>
                <c:pt idx="1025">
                  <c:v>1.1648330583301771</c:v>
                </c:pt>
                <c:pt idx="1026">
                  <c:v>1.1557283638898261</c:v>
                </c:pt>
                <c:pt idx="1027">
                  <c:v>1.174601627947617</c:v>
                </c:pt>
                <c:pt idx="1028">
                  <c:v>1.2113998537291377</c:v>
                </c:pt>
                <c:pt idx="1029">
                  <c:v>1.2035280689770851</c:v>
                </c:pt>
                <c:pt idx="1030">
                  <c:v>1.193949133271071</c:v>
                </c:pt>
                <c:pt idx="1031">
                  <c:v>1.147287544626564</c:v>
                </c:pt>
                <c:pt idx="1032">
                  <c:v>1.1599013721566507</c:v>
                </c:pt>
                <c:pt idx="1033">
                  <c:v>1.1103945350835633</c:v>
                </c:pt>
                <c:pt idx="1034">
                  <c:v>1.1155159405251149</c:v>
                </c:pt>
                <c:pt idx="1035">
                  <c:v>1.1211115018757301</c:v>
                </c:pt>
                <c:pt idx="1036">
                  <c:v>1.1654020738732536</c:v>
                </c:pt>
                <c:pt idx="1037">
                  <c:v>1.1581942401708223</c:v>
                </c:pt>
                <c:pt idx="1038">
                  <c:v>1.1725151238142046</c:v>
                </c:pt>
                <c:pt idx="1039">
                  <c:v>1.16587630565485</c:v>
                </c:pt>
                <c:pt idx="1040">
                  <c:v>1.1643588265485807</c:v>
                </c:pt>
                <c:pt idx="1041">
                  <c:v>1.1247154187269457</c:v>
                </c:pt>
                <c:pt idx="1042">
                  <c:v>1.1293626682594333</c:v>
                </c:pt>
                <c:pt idx="1043">
                  <c:v>1.1250000071130499</c:v>
                </c:pt>
                <c:pt idx="1044">
                  <c:v>1.1281296921826689</c:v>
                </c:pt>
                <c:pt idx="1045">
                  <c:v>1.1295523116549258</c:v>
                </c:pt>
                <c:pt idx="1046">
                  <c:v>1.1209218489961712</c:v>
                </c:pt>
                <c:pt idx="1047">
                  <c:v>1.1084976743456434</c:v>
                </c:pt>
                <c:pt idx="1048">
                  <c:v>1.1228186338615584</c:v>
                </c:pt>
                <c:pt idx="1049">
                  <c:v>1.1275606671555261</c:v>
                </c:pt>
                <c:pt idx="1050">
                  <c:v>1.1100151629359793</c:v>
                </c:pt>
                <c:pt idx="1051">
                  <c:v>1.103281485142612</c:v>
                </c:pt>
                <c:pt idx="1052">
                  <c:v>1.1024278812134316</c:v>
                </c:pt>
                <c:pt idx="1053">
                  <c:v>1.087822409183945</c:v>
                </c:pt>
                <c:pt idx="1054">
                  <c:v>1.0748292853788071</c:v>
                </c:pt>
                <c:pt idx="1055">
                  <c:v>1.0500758621002302</c:v>
                </c:pt>
                <c:pt idx="1056">
                  <c:v>1.060508325862892</c:v>
                </c:pt>
                <c:pt idx="1057">
                  <c:v>1.0588011843929972</c:v>
                </c:pt>
                <c:pt idx="1058">
                  <c:v>1.0639225898345488</c:v>
                </c:pt>
                <c:pt idx="1059">
                  <c:v>1.0519726469656174</c:v>
                </c:pt>
                <c:pt idx="1060">
                  <c:v>1.0627844828758632</c:v>
                </c:pt>
                <c:pt idx="1061">
                  <c:v>1.0862101368321293</c:v>
                </c:pt>
                <c:pt idx="1062">
                  <c:v>1.0611722010399809</c:v>
                </c:pt>
                <c:pt idx="1063">
                  <c:v>1.05690439952761</c:v>
                </c:pt>
                <c:pt idx="1064">
                  <c:v>1.0535849193174331</c:v>
                </c:pt>
                <c:pt idx="1065">
                  <c:v>1.0696130203032432</c:v>
                </c:pt>
                <c:pt idx="1066">
                  <c:v>1.0963580785971532</c:v>
                </c:pt>
                <c:pt idx="1067">
                  <c:v>1.1060318739371797</c:v>
                </c:pt>
                <c:pt idx="1068">
                  <c:v>1.0838391201851456</c:v>
                </c:pt>
                <c:pt idx="1069">
                  <c:v>1.1065060298462437</c:v>
                </c:pt>
                <c:pt idx="1070">
                  <c:v>1.1145674769619218</c:v>
                </c:pt>
                <c:pt idx="1071">
                  <c:v>1.095789063054077</c:v>
                </c:pt>
                <c:pt idx="1072">
                  <c:v>1.0796661024342544</c:v>
                </c:pt>
                <c:pt idx="1073">
                  <c:v>1.0627844828758632</c:v>
                </c:pt>
                <c:pt idx="1074">
                  <c:v>1.1087822627317476</c:v>
                </c:pt>
                <c:pt idx="1075">
                  <c:v>1.142071279551</c:v>
                </c:pt>
                <c:pt idx="1076">
                  <c:v>1.121490874023314</c:v>
                </c:pt>
                <c:pt idx="1077">
                  <c:v>1.1378983376726415</c:v>
                </c:pt>
                <c:pt idx="1078">
                  <c:v>1.1387518752133559</c:v>
                </c:pt>
                <c:pt idx="1079">
                  <c:v>1.1194992295239143</c:v>
                </c:pt>
                <c:pt idx="1080">
                  <c:v>1.1130500642441186</c:v>
                </c:pt>
                <c:pt idx="1081">
                  <c:v>1.1088770464932274</c:v>
                </c:pt>
                <c:pt idx="1082">
                  <c:v>1.0979703604330355</c:v>
                </c:pt>
                <c:pt idx="1083">
                  <c:v>1.0917109144212649</c:v>
                </c:pt>
                <c:pt idx="1084">
                  <c:v>1.1013846244046923</c:v>
                </c:pt>
                <c:pt idx="1085">
                  <c:v>1.0662936064815325</c:v>
                </c:pt>
                <c:pt idx="1086">
                  <c:v>1.0621205982147079</c:v>
                </c:pt>
                <c:pt idx="1087">
                  <c:v>1.088201781331529</c:v>
                </c:pt>
                <c:pt idx="1088">
                  <c:v>1.0886760131131257</c:v>
                </c:pt>
                <c:pt idx="1089">
                  <c:v>1.07833834259601</c:v>
                </c:pt>
                <c:pt idx="1090">
                  <c:v>1.0669574911426878</c:v>
                </c:pt>
                <c:pt idx="1091">
                  <c:v>1.0655348621863645</c:v>
                </c:pt>
                <c:pt idx="1092">
                  <c:v>1.0417298360825145</c:v>
                </c:pt>
                <c:pt idx="1093">
                  <c:v>1.0796661024342544</c:v>
                </c:pt>
                <c:pt idx="1094">
                  <c:v>1.059749581567724</c:v>
                </c:pt>
                <c:pt idx="1095">
                  <c:v>1.0500758621002302</c:v>
                </c:pt>
                <c:pt idx="1096">
                  <c:v>1.0409711676598792</c:v>
                </c:pt>
                <c:pt idx="1097">
                  <c:v>1.0524468787472139</c:v>
                </c:pt>
                <c:pt idx="1098">
                  <c:v>1.0656297313044436</c:v>
                </c:pt>
                <c:pt idx="1099">
                  <c:v>1.0740705410836391</c:v>
                </c:pt>
                <c:pt idx="1100">
                  <c:v>1.038315638499324</c:v>
                </c:pt>
                <c:pt idx="1101">
                  <c:v>1.0622154578487204</c:v>
                </c:pt>
                <c:pt idx="1102">
                  <c:v>1.0696130203032432</c:v>
                </c:pt>
                <c:pt idx="1103">
                  <c:v>1.0349013745276674</c:v>
                </c:pt>
                <c:pt idx="1104">
                  <c:v>1.032056126099087</c:v>
                </c:pt>
                <c:pt idx="1105">
                  <c:v>1.0238998193493964</c:v>
                </c:pt>
                <c:pt idx="1106">
                  <c:v>1.0263656956303926</c:v>
                </c:pt>
                <c:pt idx="1107">
                  <c:v>1.0811835910245904</c:v>
                </c:pt>
                <c:pt idx="1108">
                  <c:v>1.0694233674236842</c:v>
                </c:pt>
                <c:pt idx="1109">
                  <c:v>1.0367981593930544</c:v>
                </c:pt>
                <c:pt idx="1110">
                  <c:v>1.008251099995237</c:v>
                </c:pt>
                <c:pt idx="1111">
                  <c:v>1.0061645863777582</c:v>
                </c:pt>
                <c:pt idx="1112">
                  <c:v>1.0677162354378558</c:v>
                </c:pt>
                <c:pt idx="1113">
                  <c:v>1.0734066564224838</c:v>
                </c:pt>
                <c:pt idx="1114">
                  <c:v>1.0953148312724803</c:v>
                </c:pt>
                <c:pt idx="1115">
                  <c:v>1.1288884364778369</c:v>
                </c:pt>
                <c:pt idx="1116">
                  <c:v>1.1165591878497876</c:v>
                </c:pt>
                <c:pt idx="1117">
                  <c:v>1.112765551730547</c:v>
                </c:pt>
                <c:pt idx="1118">
                  <c:v>1.1220598990504571</c:v>
                </c:pt>
                <c:pt idx="1119">
                  <c:v>1.1439681402889199</c:v>
                </c:pt>
                <c:pt idx="1120">
                  <c:v>1.1545902474470742</c:v>
                </c:pt>
                <c:pt idx="1121">
                  <c:v>1.1520295779205314</c:v>
                </c:pt>
                <c:pt idx="1122">
                  <c:v>1.1682473223018337</c:v>
                </c:pt>
                <c:pt idx="1123">
                  <c:v>1.1701441071672209</c:v>
                </c:pt>
                <c:pt idx="1124">
                  <c:v>1.1727048525662964</c:v>
                </c:pt>
                <c:pt idx="1125">
                  <c:v>1.1644536861825932</c:v>
                </c:pt>
                <c:pt idx="1126">
                  <c:v>1.1344840737009849</c:v>
                </c:pt>
                <c:pt idx="1127">
                  <c:v>1.1258535351696977</c:v>
                </c:pt>
                <c:pt idx="1128">
                  <c:v>1.1523140904341029</c:v>
                </c:pt>
                <c:pt idx="1129">
                  <c:v>1.1576251487552134</c:v>
                </c:pt>
                <c:pt idx="1130">
                  <c:v>1.1675834471247448</c:v>
                </c:pt>
                <c:pt idx="1131">
                  <c:v>1.1693854387445857</c:v>
                </c:pt>
                <c:pt idx="1132">
                  <c:v>1.1730842152298138</c:v>
                </c:pt>
                <c:pt idx="1133">
                  <c:v>1.1812405219795046</c:v>
                </c:pt>
                <c:pt idx="1134">
                  <c:v>1.1730842152298138</c:v>
                </c:pt>
                <c:pt idx="1135">
                  <c:v>1.1622723888036344</c:v>
                </c:pt>
                <c:pt idx="1136">
                  <c:v>1.2210735731966318</c:v>
                </c:pt>
                <c:pt idx="1137">
                  <c:v>1.2409901699356949</c:v>
                </c:pt>
                <c:pt idx="1138">
                  <c:v>1.2272381595743898</c:v>
                </c:pt>
                <c:pt idx="1139">
                  <c:v>1.2014415553596063</c:v>
                </c:pt>
                <c:pt idx="1140">
                  <c:v>1.1891122403430909</c:v>
                </c:pt>
                <c:pt idx="1141">
                  <c:v>1.1948975304457978</c:v>
                </c:pt>
                <c:pt idx="1142">
                  <c:v>1.2171850679593121</c:v>
                </c:pt>
                <c:pt idx="1143">
                  <c:v>1.219651020112841</c:v>
                </c:pt>
                <c:pt idx="1144">
                  <c:v>1.2064681011671452</c:v>
                </c:pt>
                <c:pt idx="1145">
                  <c:v>1.1965098786701465</c:v>
                </c:pt>
                <c:pt idx="1146">
                  <c:v>1.218892275817673</c:v>
                </c:pt>
                <c:pt idx="1147">
                  <c:v>1.2153830763394711</c:v>
                </c:pt>
                <c:pt idx="1148">
                  <c:v>1.2165212591706893</c:v>
                </c:pt>
                <c:pt idx="1149">
                  <c:v>1.1994499108602064</c:v>
                </c:pt>
                <c:pt idx="1150">
                  <c:v>1.2109256219475413</c:v>
                </c:pt>
                <c:pt idx="1151">
                  <c:v>1.2455424839616371</c:v>
                </c:pt>
                <c:pt idx="1152">
                  <c:v>1.2500000047420332</c:v>
                </c:pt>
                <c:pt idx="1153">
                  <c:v>1.2469650370454279</c:v>
                </c:pt>
                <c:pt idx="1154">
                  <c:v>1.2538885099793529</c:v>
                </c:pt>
                <c:pt idx="1155">
                  <c:v>1.2494309797148901</c:v>
                </c:pt>
                <c:pt idx="1156">
                  <c:v>1.2482927968836721</c:v>
                </c:pt>
                <c:pt idx="1157">
                  <c:v>1.2343512095153411</c:v>
                </c:pt>
                <c:pt idx="1158">
                  <c:v>1.2186077633041015</c:v>
                </c:pt>
                <c:pt idx="1159">
                  <c:v>1.1599013721566507</c:v>
                </c:pt>
                <c:pt idx="1160">
                  <c:v>1.1519347182865189</c:v>
                </c:pt>
                <c:pt idx="1161">
                  <c:v>1.1482359418012908</c:v>
                </c:pt>
                <c:pt idx="1162">
                  <c:v>1.1345788574624647</c:v>
                </c:pt>
                <c:pt idx="1163">
                  <c:v>1.1167488407293467</c:v>
                </c:pt>
                <c:pt idx="1164">
                  <c:v>1.1069802616278401</c:v>
                </c:pt>
                <c:pt idx="1165">
                  <c:v>1.0947458062453375</c:v>
                </c:pt>
                <c:pt idx="1166">
                  <c:v>1.091141889394122</c:v>
                </c:pt>
                <c:pt idx="1167">
                  <c:v>1.0726479121273158</c:v>
                </c:pt>
                <c:pt idx="1168">
                  <c:v>1.07833834259601</c:v>
                </c:pt>
                <c:pt idx="1169">
                  <c:v>1.0668626315086753</c:v>
                </c:pt>
                <c:pt idx="1170">
                  <c:v>1.0607928288923969</c:v>
                </c:pt>
                <c:pt idx="1171">
                  <c:v>1.0791919465251907</c:v>
                </c:pt>
                <c:pt idx="1172">
                  <c:v>1.0989188239962286</c:v>
                </c:pt>
                <c:pt idx="1173">
                  <c:v>1.1019537158203012</c:v>
                </c:pt>
                <c:pt idx="1174">
                  <c:v>1.1061266576986597</c:v>
                </c:pt>
                <c:pt idx="1175">
                  <c:v>1.122249618318482</c:v>
                </c:pt>
                <c:pt idx="1176">
                  <c:v>1.112860335492027</c:v>
                </c:pt>
                <c:pt idx="1177">
                  <c:v>1.1159900964341787</c:v>
                </c:pt>
                <c:pt idx="1178">
                  <c:v>1.1029021129950283</c:v>
                </c:pt>
                <c:pt idx="1179">
                  <c:v>1.1091615590067989</c:v>
                </c:pt>
                <c:pt idx="1180">
                  <c:v>1.1047988978604153</c:v>
                </c:pt>
                <c:pt idx="1181">
                  <c:v>1.113524296025715</c:v>
                </c:pt>
                <c:pt idx="1182">
                  <c:v>1.0831752355239901</c:v>
                </c:pt>
                <c:pt idx="1183">
                  <c:v>1.0910470297601094</c:v>
                </c:pt>
                <c:pt idx="1184">
                  <c:v>1.079855831186346</c:v>
                </c:pt>
                <c:pt idx="1185">
                  <c:v>1.0880121284519702</c:v>
                </c:pt>
                <c:pt idx="1186">
                  <c:v>1.0833649547920152</c:v>
                </c:pt>
                <c:pt idx="1187">
                  <c:v>1.0913315422736807</c:v>
                </c:pt>
                <c:pt idx="1188">
                  <c:v>1.0644916148616916</c:v>
                </c:pt>
                <c:pt idx="1189">
                  <c:v>1.0635432176869648</c:v>
                </c:pt>
                <c:pt idx="1190">
                  <c:v>1.0734066564224838</c:v>
                </c:pt>
                <c:pt idx="1191">
                  <c:v>1.0757776730694675</c:v>
                </c:pt>
                <c:pt idx="1192">
                  <c:v>1.0931335338935217</c:v>
                </c:pt>
                <c:pt idx="1193">
                  <c:v>1.0943664340977535</c:v>
                </c:pt>
                <c:pt idx="1194">
                  <c:v>1.1010052522571081</c:v>
                </c:pt>
                <c:pt idx="1195">
                  <c:v>1.0995826991733175</c:v>
                </c:pt>
                <c:pt idx="1196">
                  <c:v>1.0653452187908721</c:v>
                </c:pt>
                <c:pt idx="1197">
                  <c:v>1.07833834259601</c:v>
                </c:pt>
                <c:pt idx="1198">
                  <c:v>1.0640174494685612</c:v>
                </c:pt>
                <c:pt idx="1199">
                  <c:v>1.0779590463209587</c:v>
                </c:pt>
                <c:pt idx="1200">
                  <c:v>1.0832700951580025</c:v>
                </c:pt>
                <c:pt idx="1201">
                  <c:v>1.0643968216161452</c:v>
                </c:pt>
                <c:pt idx="1202">
                  <c:v>1.060508325862892</c:v>
                </c:pt>
                <c:pt idx="1203">
                  <c:v>1.0414453330530096</c:v>
                </c:pt>
                <c:pt idx="1204">
                  <c:v>1.0391691760400383</c:v>
                </c:pt>
                <c:pt idx="1205">
                  <c:v>1.0606031854969045</c:v>
                </c:pt>
                <c:pt idx="1206">
                  <c:v>1.1008156088616159</c:v>
                </c:pt>
                <c:pt idx="1207">
                  <c:v>1.1030917658745869</c:v>
                </c:pt>
                <c:pt idx="1208">
                  <c:v>1.110110022569992</c:v>
                </c:pt>
                <c:pt idx="1209">
                  <c:v>1.0981600797010607</c:v>
                </c:pt>
                <c:pt idx="1210">
                  <c:v>1.1007207492276032</c:v>
                </c:pt>
                <c:pt idx="1211">
                  <c:v>1.1066008894802564</c:v>
                </c:pt>
                <c:pt idx="1212">
                  <c:v>1.0826062199809139</c:v>
                </c:pt>
                <c:pt idx="1213">
                  <c:v>1.0742601939631982</c:v>
                </c:pt>
                <c:pt idx="1214">
                  <c:v>1.041540192687022</c:v>
                </c:pt>
                <c:pt idx="1215">
                  <c:v>1.0627844828758632</c:v>
                </c:pt>
                <c:pt idx="1216">
                  <c:v>1.0672420036562593</c:v>
                </c:pt>
                <c:pt idx="1217">
                  <c:v>1.0569991927731563</c:v>
                </c:pt>
                <c:pt idx="1218">
                  <c:v>1.0671471440222469</c:v>
                </c:pt>
                <c:pt idx="1219">
                  <c:v>1.0922799299643413</c:v>
                </c:pt>
                <c:pt idx="1220">
                  <c:v>1.0737860285700676</c:v>
                </c:pt>
                <c:pt idx="1221">
                  <c:v>1.070371764598411</c:v>
                </c:pt>
                <c:pt idx="1222">
                  <c:v>1.1046092449808564</c:v>
                </c:pt>
                <c:pt idx="1223">
                  <c:v>1.1057472855510757</c:v>
                </c:pt>
                <c:pt idx="1224">
                  <c:v>1.0965478073492447</c:v>
                </c:pt>
                <c:pt idx="1225">
                  <c:v>1.0940819310682486</c:v>
                </c:pt>
                <c:pt idx="1226">
                  <c:v>1.1422609988190251</c:v>
                </c:pt>
                <c:pt idx="1227">
                  <c:v>1.1752655126087725</c:v>
                </c:pt>
                <c:pt idx="1228">
                  <c:v>1.1447268087115552</c:v>
                </c:pt>
                <c:pt idx="1229">
                  <c:v>1.1546851070810866</c:v>
                </c:pt>
                <c:pt idx="1230">
                  <c:v>1.1624620416831932</c:v>
                </c:pt>
                <c:pt idx="1231">
                  <c:v>1.1551593388626833</c:v>
                </c:pt>
                <c:pt idx="1232">
                  <c:v>1.1634104293738539</c:v>
                </c:pt>
                <c:pt idx="1233">
                  <c:v>1.1811456623454919</c:v>
                </c:pt>
                <c:pt idx="1234">
                  <c:v>1.1926213734328266</c:v>
                </c:pt>
                <c:pt idx="1235">
                  <c:v>1.2009673235780098</c:v>
                </c:pt>
                <c:pt idx="1236">
                  <c:v>1.2277123913559864</c:v>
                </c:pt>
                <c:pt idx="1237">
                  <c:v>1.2270485825673638</c:v>
                </c:pt>
                <c:pt idx="1238">
                  <c:v>1.2673558655660875</c:v>
                </c:pt>
                <c:pt idx="1239">
                  <c:v>1.2250568621954312</c:v>
                </c:pt>
                <c:pt idx="1240">
                  <c:v>1.2243930534068086</c:v>
                </c:pt>
                <c:pt idx="1241">
                  <c:v>1.227996903869558</c:v>
                </c:pt>
                <c:pt idx="1242">
                  <c:v>1.2440249953713012</c:v>
                </c:pt>
                <c:pt idx="1243">
                  <c:v>1.2496205662059832</c:v>
                </c:pt>
                <c:pt idx="1244">
                  <c:v>1.2732359394302741</c:v>
                </c:pt>
                <c:pt idx="1245">
                  <c:v>1.2835735340748571</c:v>
                </c:pt>
                <c:pt idx="1246">
                  <c:v>1.3124999656202585</c:v>
                </c:pt>
                <c:pt idx="1247">
                  <c:v>1.3453149024029798</c:v>
                </c:pt>
                <c:pt idx="1248">
                  <c:v>1.3377276206804321</c:v>
                </c:pt>
                <c:pt idx="1249">
                  <c:v>1.3618170834253209</c:v>
                </c:pt>
                <c:pt idx="1250">
                  <c:v>1.38856222707583</c:v>
                </c:pt>
                <c:pt idx="1251">
                  <c:v>1.3804059203261396</c:v>
                </c:pt>
                <c:pt idx="1252">
                  <c:v>1.4028831107192126</c:v>
                </c:pt>
                <c:pt idx="1253">
                  <c:v>1.3796471760309714</c:v>
                </c:pt>
                <c:pt idx="1254">
                  <c:v>1.3841994900569139</c:v>
                </c:pt>
                <c:pt idx="1255">
                  <c:v>1.3811646646213076</c:v>
                </c:pt>
                <c:pt idx="1256">
                  <c:v>1.3818284734099302</c:v>
                </c:pt>
                <c:pt idx="1257">
                  <c:v>1.3676023735280276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5E-40E2-96D9-82C28B70D044}"/>
            </c:ext>
          </c:extLst>
        </c:ser>
        <c:ser>
          <c:idx val="4"/>
          <c:order val="4"/>
          <c:tx>
            <c:v>VLO_szim</c:v>
          </c:tx>
          <c:spPr>
            <a:ln w="190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Számolások!$AD$4:$AD$12560</c:f>
              <c:numCache>
                <c:formatCode>0</c:formatCode>
                <c:ptCount val="12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 formatCode="General">
                  <c:v>1250</c:v>
                </c:pt>
                <c:pt idx="1251" formatCode="General">
                  <c:v>1251</c:v>
                </c:pt>
                <c:pt idx="1252" formatCode="General">
                  <c:v>1252</c:v>
                </c:pt>
                <c:pt idx="1253" formatCode="General">
                  <c:v>1253</c:v>
                </c:pt>
                <c:pt idx="1254" formatCode="General">
                  <c:v>1254</c:v>
                </c:pt>
                <c:pt idx="1255" formatCode="General">
                  <c:v>1255</c:v>
                </c:pt>
                <c:pt idx="1256" formatCode="General">
                  <c:v>1256</c:v>
                </c:pt>
                <c:pt idx="1257" formatCode="General">
                  <c:v>1257</c:v>
                </c:pt>
              </c:numCache>
            </c:numRef>
          </c:xVal>
          <c:yVal>
            <c:numRef>
              <c:f>Számolások!$AS$4:$AS$1261</c:f>
              <c:numCache>
                <c:formatCode>0.00</c:formatCode>
                <c:ptCount val="1258"/>
                <c:pt idx="0">
                  <c:v>1</c:v>
                </c:pt>
                <c:pt idx="1">
                  <c:v>1.0318105053792466</c:v>
                </c:pt>
                <c:pt idx="2">
                  <c:v>1.0625969693836144</c:v>
                </c:pt>
                <c:pt idx="3">
                  <c:v>1.1235193120039166</c:v>
                </c:pt>
                <c:pt idx="4">
                  <c:v>1.1178830000132245</c:v>
                </c:pt>
                <c:pt idx="5">
                  <c:v>1.107202632731664</c:v>
                </c:pt>
                <c:pt idx="6">
                  <c:v>1.0903580539905218</c:v>
                </c:pt>
                <c:pt idx="7">
                  <c:v>1.0537966220649782</c:v>
                </c:pt>
                <c:pt idx="8">
                  <c:v>1.0004834013410111</c:v>
                </c:pt>
                <c:pt idx="9">
                  <c:v>0.95569141372833755</c:v>
                </c:pt>
                <c:pt idx="10">
                  <c:v>0.95509941293616063</c:v>
                </c:pt>
                <c:pt idx="11">
                  <c:v>0.93019428231898704</c:v>
                </c:pt>
                <c:pt idx="12">
                  <c:v>0.88938576799882363</c:v>
                </c:pt>
                <c:pt idx="13">
                  <c:v>0.85428820917960335</c:v>
                </c:pt>
                <c:pt idx="14">
                  <c:v>0.89731837113985835</c:v>
                </c:pt>
                <c:pt idx="15">
                  <c:v>0.85326813667783297</c:v>
                </c:pt>
                <c:pt idx="16">
                  <c:v>0.86042434997674411</c:v>
                </c:pt>
                <c:pt idx="17">
                  <c:v>0.90838224308823579</c:v>
                </c:pt>
                <c:pt idx="18">
                  <c:v>0.90385167287582768</c:v>
                </c:pt>
                <c:pt idx="19">
                  <c:v>0.92414393985164744</c:v>
                </c:pt>
                <c:pt idx="20">
                  <c:v>0.9252129963833986</c:v>
                </c:pt>
                <c:pt idx="21">
                  <c:v>0.93399922423898363</c:v>
                </c:pt>
                <c:pt idx="22">
                  <c:v>0.98005457867360857</c:v>
                </c:pt>
                <c:pt idx="23">
                  <c:v>0.99120969009067994</c:v>
                </c:pt>
                <c:pt idx="24">
                  <c:v>0.98337392715898897</c:v>
                </c:pt>
                <c:pt idx="25">
                  <c:v>0.93774421355084769</c:v>
                </c:pt>
                <c:pt idx="26">
                  <c:v>0.94498904497237535</c:v>
                </c:pt>
                <c:pt idx="27">
                  <c:v>0.92036518534784439</c:v>
                </c:pt>
                <c:pt idx="28">
                  <c:v>0.91581473641204769</c:v>
                </c:pt>
                <c:pt idx="29">
                  <c:v>0.89715401146538332</c:v>
                </c:pt>
                <c:pt idx="30">
                  <c:v>0.9079580055141282</c:v>
                </c:pt>
                <c:pt idx="31">
                  <c:v>0.91129876569310653</c:v>
                </c:pt>
                <c:pt idx="32">
                  <c:v>0.92704556546808503</c:v>
                </c:pt>
                <c:pt idx="33">
                  <c:v>0.9076305274708244</c:v>
                </c:pt>
                <c:pt idx="34">
                  <c:v>0.85548153207916389</c:v>
                </c:pt>
                <c:pt idx="35">
                  <c:v>0.86717801915198445</c:v>
                </c:pt>
                <c:pt idx="36">
                  <c:v>0.85298500998746207</c:v>
                </c:pt>
                <c:pt idx="37">
                  <c:v>0.85905897250629693</c:v>
                </c:pt>
                <c:pt idx="38">
                  <c:v>0.83553832384942406</c:v>
                </c:pt>
                <c:pt idx="39">
                  <c:v>0.8363062031875671</c:v>
                </c:pt>
                <c:pt idx="40">
                  <c:v>0.81662037742644111</c:v>
                </c:pt>
                <c:pt idx="41">
                  <c:v>0.84535332505445571</c:v>
                </c:pt>
                <c:pt idx="42">
                  <c:v>0.87263536864326519</c:v>
                </c:pt>
                <c:pt idx="43">
                  <c:v>0.889021837446339</c:v>
                </c:pt>
                <c:pt idx="44">
                  <c:v>0.8919473602294915</c:v>
                </c:pt>
                <c:pt idx="45">
                  <c:v>0.89129405331103406</c:v>
                </c:pt>
                <c:pt idx="46">
                  <c:v>0.88210157781469367</c:v>
                </c:pt>
                <c:pt idx="47">
                  <c:v>0.84781646832042745</c:v>
                </c:pt>
                <c:pt idx="48">
                  <c:v>0.79573796567503507</c:v>
                </c:pt>
                <c:pt idx="49">
                  <c:v>0.7686907731596524</c:v>
                </c:pt>
                <c:pt idx="50">
                  <c:v>0.7715989696028549</c:v>
                </c:pt>
                <c:pt idx="51">
                  <c:v>0.77174091593531191</c:v>
                </c:pt>
                <c:pt idx="52">
                  <c:v>0.74992935963032736</c:v>
                </c:pt>
                <c:pt idx="53">
                  <c:v>0.71154051613762581</c:v>
                </c:pt>
                <c:pt idx="54">
                  <c:v>0.74901178431066251</c:v>
                </c:pt>
                <c:pt idx="55">
                  <c:v>0.72545688147771359</c:v>
                </c:pt>
                <c:pt idx="56">
                  <c:v>0.69496375380594866</c:v>
                </c:pt>
                <c:pt idx="57">
                  <c:v>0.70993694800812002</c:v>
                </c:pt>
                <c:pt idx="58">
                  <c:v>0.69639005941648657</c:v>
                </c:pt>
                <c:pt idx="59">
                  <c:v>0.74125982303180649</c:v>
                </c:pt>
                <c:pt idx="60">
                  <c:v>0.74152476134861489</c:v>
                </c:pt>
                <c:pt idx="61">
                  <c:v>0.74008196394903647</c:v>
                </c:pt>
                <c:pt idx="62">
                  <c:v>0.71479554118678124</c:v>
                </c:pt>
                <c:pt idx="63">
                  <c:v>0.70167988479459986</c:v>
                </c:pt>
                <c:pt idx="64">
                  <c:v>0.66811441139992167</c:v>
                </c:pt>
                <c:pt idx="65">
                  <c:v>0.67414440887605098</c:v>
                </c:pt>
                <c:pt idx="66">
                  <c:v>0.67976627098280717</c:v>
                </c:pt>
                <c:pt idx="67">
                  <c:v>0.6715081215309272</c:v>
                </c:pt>
                <c:pt idx="68">
                  <c:v>0.67313108217676687</c:v>
                </c:pt>
                <c:pt idx="69">
                  <c:v>0.67460016428858993</c:v>
                </c:pt>
                <c:pt idx="70">
                  <c:v>0.69086218640819175</c:v>
                </c:pt>
                <c:pt idx="71">
                  <c:v>0.72090047846016314</c:v>
                </c:pt>
                <c:pt idx="72">
                  <c:v>0.70775243456151582</c:v>
                </c:pt>
                <c:pt idx="73">
                  <c:v>0.74478634230431007</c:v>
                </c:pt>
                <c:pt idx="74">
                  <c:v>0.71602842885794804</c:v>
                </c:pt>
                <c:pt idx="75">
                  <c:v>0.71177509747973966</c:v>
                </c:pt>
                <c:pt idx="76">
                  <c:v>0.74982819231544495</c:v>
                </c:pt>
                <c:pt idx="77">
                  <c:v>0.75451782091921427</c:v>
                </c:pt>
                <c:pt idx="78">
                  <c:v>0.78276053883340391</c:v>
                </c:pt>
                <c:pt idx="79">
                  <c:v>0.78784920212989751</c:v>
                </c:pt>
                <c:pt idx="80">
                  <c:v>0.77019107088273286</c:v>
                </c:pt>
                <c:pt idx="81">
                  <c:v>0.75289067408599497</c:v>
                </c:pt>
                <c:pt idx="82">
                  <c:v>0.74103600251852453</c:v>
                </c:pt>
                <c:pt idx="83">
                  <c:v>0.72970970215516096</c:v>
                </c:pt>
                <c:pt idx="84">
                  <c:v>0.68679919767917685</c:v>
                </c:pt>
                <c:pt idx="85">
                  <c:v>0.7204527122523039</c:v>
                </c:pt>
                <c:pt idx="86">
                  <c:v>0.71917514368905422</c:v>
                </c:pt>
                <c:pt idx="87">
                  <c:v>0.71605490229546687</c:v>
                </c:pt>
                <c:pt idx="88">
                  <c:v>0.73907465066862266</c:v>
                </c:pt>
                <c:pt idx="89">
                  <c:v>0.72814090048659208</c:v>
                </c:pt>
                <c:pt idx="90">
                  <c:v>0.6867682099620418</c:v>
                </c:pt>
                <c:pt idx="91">
                  <c:v>0.67662711289345545</c:v>
                </c:pt>
                <c:pt idx="92">
                  <c:v>0.65597588842890386</c:v>
                </c:pt>
                <c:pt idx="93">
                  <c:v>0.67183303951797513</c:v>
                </c:pt>
                <c:pt idx="94">
                  <c:v>0.65927148020862569</c:v>
                </c:pt>
                <c:pt idx="95">
                  <c:v>0.67477169723564734</c:v>
                </c:pt>
                <c:pt idx="96">
                  <c:v>0.68153081969070251</c:v>
                </c:pt>
                <c:pt idx="97">
                  <c:v>0.65679624586252128</c:v>
                </c:pt>
                <c:pt idx="98">
                  <c:v>0.66913869113553603</c:v>
                </c:pt>
                <c:pt idx="99">
                  <c:v>0.65953056003258315</c:v>
                </c:pt>
                <c:pt idx="100">
                  <c:v>0.64418190072385773</c:v>
                </c:pt>
                <c:pt idx="101">
                  <c:v>0.68007519608075417</c:v>
                </c:pt>
                <c:pt idx="102">
                  <c:v>0.68544824840816343</c:v>
                </c:pt>
                <c:pt idx="103">
                  <c:v>0.70156513142161714</c:v>
                </c:pt>
                <c:pt idx="104">
                  <c:v>0.7243374574288407</c:v>
                </c:pt>
                <c:pt idx="105">
                  <c:v>0.71690705461075821</c:v>
                </c:pt>
                <c:pt idx="106">
                  <c:v>0.76827193944013661</c:v>
                </c:pt>
                <c:pt idx="107">
                  <c:v>0.75771631199625256</c:v>
                </c:pt>
                <c:pt idx="108">
                  <c:v>0.73484278870956643</c:v>
                </c:pt>
                <c:pt idx="109">
                  <c:v>0.72692988555392102</c:v>
                </c:pt>
                <c:pt idx="110">
                  <c:v>0.74465839002356138</c:v>
                </c:pt>
                <c:pt idx="111">
                  <c:v>0.79157643571640146</c:v>
                </c:pt>
                <c:pt idx="112">
                  <c:v>0.81468879790042359</c:v>
                </c:pt>
                <c:pt idx="113">
                  <c:v>0.83296737671535148</c:v>
                </c:pt>
                <c:pt idx="114">
                  <c:v>0.81025042967495942</c:v>
                </c:pt>
                <c:pt idx="115">
                  <c:v>0.80197526867385571</c:v>
                </c:pt>
                <c:pt idx="116">
                  <c:v>0.80363572680396811</c:v>
                </c:pt>
                <c:pt idx="117">
                  <c:v>0.80334689534926051</c:v>
                </c:pt>
                <c:pt idx="118">
                  <c:v>0.7974117939196127</c:v>
                </c:pt>
                <c:pt idx="119">
                  <c:v>0.76408637672940172</c:v>
                </c:pt>
                <c:pt idx="120">
                  <c:v>0.76241203877324859</c:v>
                </c:pt>
                <c:pt idx="121">
                  <c:v>0.76913443997380704</c:v>
                </c:pt>
                <c:pt idx="122">
                  <c:v>0.79627310061835821</c:v>
                </c:pt>
                <c:pt idx="123">
                  <c:v>0.80941081203600507</c:v>
                </c:pt>
                <c:pt idx="124">
                  <c:v>0.81733219469877672</c:v>
                </c:pt>
                <c:pt idx="125">
                  <c:v>0.85185346527547567</c:v>
                </c:pt>
                <c:pt idx="126">
                  <c:v>0.89515420352013897</c:v>
                </c:pt>
                <c:pt idx="127">
                  <c:v>0.83411996483880824</c:v>
                </c:pt>
                <c:pt idx="128">
                  <c:v>0.8440247056003356</c:v>
                </c:pt>
                <c:pt idx="129">
                  <c:v>0.81299964139766967</c:v>
                </c:pt>
                <c:pt idx="130">
                  <c:v>0.83570862300541249</c:v>
                </c:pt>
                <c:pt idx="131">
                  <c:v>0.76798173290452676</c:v>
                </c:pt>
                <c:pt idx="132">
                  <c:v>0.73809484388080737</c:v>
                </c:pt>
                <c:pt idx="133">
                  <c:v>0.7376682138815478</c:v>
                </c:pt>
                <c:pt idx="134">
                  <c:v>0.74676433269639586</c:v>
                </c:pt>
                <c:pt idx="135">
                  <c:v>0.75353815782779443</c:v>
                </c:pt>
                <c:pt idx="136">
                  <c:v>0.76000175270043446</c:v>
                </c:pt>
                <c:pt idx="137">
                  <c:v>0.7427285126783606</c:v>
                </c:pt>
                <c:pt idx="138">
                  <c:v>0.7379035410945789</c:v>
                </c:pt>
                <c:pt idx="139">
                  <c:v>0.73019480469046449</c:v>
                </c:pt>
                <c:pt idx="140">
                  <c:v>0.71483090599570931</c:v>
                </c:pt>
                <c:pt idx="141">
                  <c:v>0.70475614564683875</c:v>
                </c:pt>
                <c:pt idx="142">
                  <c:v>0.71864160936777821</c:v>
                </c:pt>
                <c:pt idx="143">
                  <c:v>0.72716929995015378</c:v>
                </c:pt>
                <c:pt idx="144">
                  <c:v>0.68432087679440501</c:v>
                </c:pt>
                <c:pt idx="145">
                  <c:v>0.71519639344801889</c:v>
                </c:pt>
                <c:pt idx="146">
                  <c:v>0.69634192654230564</c:v>
                </c:pt>
                <c:pt idx="147">
                  <c:v>0.69843829338534658</c:v>
                </c:pt>
                <c:pt idx="148">
                  <c:v>0.74370672817111372</c:v>
                </c:pt>
                <c:pt idx="149">
                  <c:v>0.74476186784662046</c:v>
                </c:pt>
                <c:pt idx="150">
                  <c:v>0.73570160915563021</c:v>
                </c:pt>
                <c:pt idx="151">
                  <c:v>0.73548047651672521</c:v>
                </c:pt>
                <c:pt idx="152">
                  <c:v>0.74072531762847504</c:v>
                </c:pt>
                <c:pt idx="153">
                  <c:v>0.78291955507757205</c:v>
                </c:pt>
                <c:pt idx="154">
                  <c:v>0.82433746185467438</c:v>
                </c:pt>
                <c:pt idx="155">
                  <c:v>0.83125454758078843</c:v>
                </c:pt>
                <c:pt idx="156">
                  <c:v>0.84106577806471117</c:v>
                </c:pt>
                <c:pt idx="157">
                  <c:v>0.87124343560506923</c:v>
                </c:pt>
                <c:pt idx="158">
                  <c:v>0.88156413383964416</c:v>
                </c:pt>
                <c:pt idx="159">
                  <c:v>0.88339780267001378</c:v>
                </c:pt>
                <c:pt idx="160">
                  <c:v>0.85454588111615937</c:v>
                </c:pt>
                <c:pt idx="161">
                  <c:v>0.83265887525202764</c:v>
                </c:pt>
                <c:pt idx="162">
                  <c:v>0.85416711884608498</c:v>
                </c:pt>
                <c:pt idx="163">
                  <c:v>0.89597209297311609</c:v>
                </c:pt>
                <c:pt idx="164">
                  <c:v>0.88553019560710311</c:v>
                </c:pt>
                <c:pt idx="165">
                  <c:v>0.87844926576841276</c:v>
                </c:pt>
                <c:pt idx="166">
                  <c:v>0.90066168379466771</c:v>
                </c:pt>
                <c:pt idx="167">
                  <c:v>0.87031459657341348</c:v>
                </c:pt>
                <c:pt idx="168">
                  <c:v>0.84672628812175144</c:v>
                </c:pt>
                <c:pt idx="169">
                  <c:v>0.82639594207335976</c:v>
                </c:pt>
                <c:pt idx="170">
                  <c:v>0.79786204756693813</c:v>
                </c:pt>
                <c:pt idx="171">
                  <c:v>0.76689537905821581</c:v>
                </c:pt>
                <c:pt idx="172">
                  <c:v>0.76184905175769868</c:v>
                </c:pt>
                <c:pt idx="173">
                  <c:v>0.76127824702680502</c:v>
                </c:pt>
                <c:pt idx="174">
                  <c:v>0.7575401270209271</c:v>
                </c:pt>
                <c:pt idx="175">
                  <c:v>0.76167206055872294</c:v>
                </c:pt>
                <c:pt idx="176">
                  <c:v>0.77571470110071006</c:v>
                </c:pt>
                <c:pt idx="177">
                  <c:v>0.76978205513627118</c:v>
                </c:pt>
                <c:pt idx="178">
                  <c:v>0.7622354193502463</c:v>
                </c:pt>
                <c:pt idx="179">
                  <c:v>0.77224613116399898</c:v>
                </c:pt>
                <c:pt idx="180">
                  <c:v>0.82349119618750144</c:v>
                </c:pt>
                <c:pt idx="181">
                  <c:v>0.85995097055120395</c:v>
                </c:pt>
                <c:pt idx="182">
                  <c:v>0.87328832126828571</c:v>
                </c:pt>
                <c:pt idx="183">
                  <c:v>0.90782170946640983</c:v>
                </c:pt>
                <c:pt idx="184">
                  <c:v>0.89197083214499961</c:v>
                </c:pt>
                <c:pt idx="185">
                  <c:v>0.90814838029660439</c:v>
                </c:pt>
                <c:pt idx="186">
                  <c:v>0.88049167725732114</c:v>
                </c:pt>
                <c:pt idx="187">
                  <c:v>0.87151914305629752</c:v>
                </c:pt>
                <c:pt idx="188">
                  <c:v>0.87625530114309114</c:v>
                </c:pt>
                <c:pt idx="189">
                  <c:v>0.83591997806047402</c:v>
                </c:pt>
                <c:pt idx="190">
                  <c:v>0.82280533542144596</c:v>
                </c:pt>
                <c:pt idx="191">
                  <c:v>0.8134249873755709</c:v>
                </c:pt>
                <c:pt idx="192">
                  <c:v>0.82771325572999677</c:v>
                </c:pt>
                <c:pt idx="193">
                  <c:v>0.82579020771288292</c:v>
                </c:pt>
                <c:pt idx="194">
                  <c:v>0.8081891919555575</c:v>
                </c:pt>
                <c:pt idx="195">
                  <c:v>0.82416560485667112</c:v>
                </c:pt>
                <c:pt idx="196">
                  <c:v>0.83280865934117831</c:v>
                </c:pt>
                <c:pt idx="197">
                  <c:v>0.81652966870473276</c:v>
                </c:pt>
                <c:pt idx="198">
                  <c:v>0.82187412606967825</c:v>
                </c:pt>
                <c:pt idx="199">
                  <c:v>0.85536457226018281</c:v>
                </c:pt>
                <c:pt idx="200">
                  <c:v>0.82125047085847613</c:v>
                </c:pt>
                <c:pt idx="201">
                  <c:v>0.82268184158526358</c:v>
                </c:pt>
                <c:pt idx="202">
                  <c:v>0.83603376813140917</c:v>
                </c:pt>
                <c:pt idx="203">
                  <c:v>0.80332009124473414</c:v>
                </c:pt>
                <c:pt idx="204">
                  <c:v>0.8389608011811347</c:v>
                </c:pt>
                <c:pt idx="205">
                  <c:v>0.85268704268337703</c:v>
                </c:pt>
                <c:pt idx="206">
                  <c:v>0.84303174999363639</c:v>
                </c:pt>
                <c:pt idx="207">
                  <c:v>0.85337572650432669</c:v>
                </c:pt>
                <c:pt idx="208">
                  <c:v>0.85194337809139209</c:v>
                </c:pt>
                <c:pt idx="209">
                  <c:v>0.88601673245344248</c:v>
                </c:pt>
                <c:pt idx="210">
                  <c:v>0.91607565402809088</c:v>
                </c:pt>
                <c:pt idx="211">
                  <c:v>0.90084295136572479</c:v>
                </c:pt>
                <c:pt idx="212">
                  <c:v>0.85726181772423227</c:v>
                </c:pt>
                <c:pt idx="213">
                  <c:v>0.86072295039980418</c:v>
                </c:pt>
                <c:pt idx="214">
                  <c:v>0.91025392242108993</c:v>
                </c:pt>
                <c:pt idx="215">
                  <c:v>0.8864012956606212</c:v>
                </c:pt>
                <c:pt idx="216">
                  <c:v>0.87447094570421324</c:v>
                </c:pt>
                <c:pt idx="217">
                  <c:v>0.93470239569956903</c:v>
                </c:pt>
                <c:pt idx="218">
                  <c:v>0.93353597515098419</c:v>
                </c:pt>
                <c:pt idx="219">
                  <c:v>0.90043799074904507</c:v>
                </c:pt>
                <c:pt idx="220">
                  <c:v>0.8710593549417649</c:v>
                </c:pt>
                <c:pt idx="221">
                  <c:v>0.87212226029490125</c:v>
                </c:pt>
                <c:pt idx="222">
                  <c:v>0.89744051032728067</c:v>
                </c:pt>
                <c:pt idx="223">
                  <c:v>0.9422839341698398</c:v>
                </c:pt>
                <c:pt idx="224">
                  <c:v>0.93984412703015308</c:v>
                </c:pt>
                <c:pt idx="225">
                  <c:v>0.95438149079514423</c:v>
                </c:pt>
                <c:pt idx="226">
                  <c:v>1.0024576397264409</c:v>
                </c:pt>
                <c:pt idx="227">
                  <c:v>1.0120825994704707</c:v>
                </c:pt>
                <c:pt idx="228">
                  <c:v>1.0709498026667967</c:v>
                </c:pt>
                <c:pt idx="229">
                  <c:v>1.062966978186108</c:v>
                </c:pt>
                <c:pt idx="230">
                  <c:v>1.0702550359197385</c:v>
                </c:pt>
                <c:pt idx="231">
                  <c:v>1.0568361010550129</c:v>
                </c:pt>
                <c:pt idx="232">
                  <c:v>1.0326771936821342</c:v>
                </c:pt>
                <c:pt idx="233">
                  <c:v>1.0373708792750576</c:v>
                </c:pt>
                <c:pt idx="234">
                  <c:v>1.0682151686042556</c:v>
                </c:pt>
                <c:pt idx="235">
                  <c:v>1.0907447107368926</c:v>
                </c:pt>
                <c:pt idx="236">
                  <c:v>1.1109924765748942</c:v>
                </c:pt>
                <c:pt idx="237">
                  <c:v>1.1241500611354027</c:v>
                </c:pt>
                <c:pt idx="238">
                  <c:v>1.1203211070159789</c:v>
                </c:pt>
                <c:pt idx="239">
                  <c:v>1.1120073840948475</c:v>
                </c:pt>
                <c:pt idx="240">
                  <c:v>1.1243061778095964</c:v>
                </c:pt>
                <c:pt idx="241">
                  <c:v>1.1391412445415516</c:v>
                </c:pt>
                <c:pt idx="242">
                  <c:v>1.1160703912654586</c:v>
                </c:pt>
                <c:pt idx="243">
                  <c:v>1.1232778306645554</c:v>
                </c:pt>
                <c:pt idx="244">
                  <c:v>1.1164994568206505</c:v>
                </c:pt>
                <c:pt idx="245">
                  <c:v>1.108080579221175</c:v>
                </c:pt>
                <c:pt idx="246">
                  <c:v>1.1200253318576314</c:v>
                </c:pt>
                <c:pt idx="247">
                  <c:v>1.0979938064051258</c:v>
                </c:pt>
                <c:pt idx="248">
                  <c:v>1.0907110060778353</c:v>
                </c:pt>
                <c:pt idx="249">
                  <c:v>1.0532065170219007</c:v>
                </c:pt>
                <c:pt idx="250">
                  <c:v>1.052794145130705</c:v>
                </c:pt>
                <c:pt idx="251">
                  <c:v>0.99326177210826783</c:v>
                </c:pt>
                <c:pt idx="252">
                  <c:v>0.97924176171021682</c:v>
                </c:pt>
                <c:pt idx="253">
                  <c:v>0.96149279633609774</c:v>
                </c:pt>
                <c:pt idx="254">
                  <c:v>0.99561402054781489</c:v>
                </c:pt>
                <c:pt idx="255">
                  <c:v>0.96514000562278257</c:v>
                </c:pt>
                <c:pt idx="256">
                  <c:v>1.001069630131826</c:v>
                </c:pt>
                <c:pt idx="257">
                  <c:v>1.0130843249072128</c:v>
                </c:pt>
                <c:pt idx="258">
                  <c:v>0.99526623039921835</c:v>
                </c:pt>
                <c:pt idx="259">
                  <c:v>1.0136290255587097</c:v>
                </c:pt>
                <c:pt idx="260">
                  <c:v>1.042184281992518</c:v>
                </c:pt>
                <c:pt idx="261">
                  <c:v>1.1043862593327223</c:v>
                </c:pt>
                <c:pt idx="262">
                  <c:v>1.0724521711062127</c:v>
                </c:pt>
                <c:pt idx="263">
                  <c:v>1.0612736058835854</c:v>
                </c:pt>
                <c:pt idx="264">
                  <c:v>1.1068981239244813</c:v>
                </c:pt>
                <c:pt idx="265">
                  <c:v>1.0989529401395306</c:v>
                </c:pt>
                <c:pt idx="266">
                  <c:v>1.1058005594663005</c:v>
                </c:pt>
                <c:pt idx="267">
                  <c:v>1.0427065087155636</c:v>
                </c:pt>
                <c:pt idx="268">
                  <c:v>1.0270902617816298</c:v>
                </c:pt>
                <c:pt idx="269">
                  <c:v>1.0604630684639249</c:v>
                </c:pt>
                <c:pt idx="270">
                  <c:v>1.0159489326041897</c:v>
                </c:pt>
                <c:pt idx="271">
                  <c:v>0.99881791289433597</c:v>
                </c:pt>
                <c:pt idx="272">
                  <c:v>0.98446278606148829</c:v>
                </c:pt>
                <c:pt idx="273">
                  <c:v>0.95779283719740826</c:v>
                </c:pt>
                <c:pt idx="274">
                  <c:v>1.0010142913842588</c:v>
                </c:pt>
                <c:pt idx="275">
                  <c:v>1.0116882382268062</c:v>
                </c:pt>
                <c:pt idx="276">
                  <c:v>1.0254046202164893</c:v>
                </c:pt>
                <c:pt idx="277">
                  <c:v>1.025618202131594</c:v>
                </c:pt>
                <c:pt idx="278">
                  <c:v>1.043749830438897</c:v>
                </c:pt>
                <c:pt idx="279">
                  <c:v>1.0544159688425161</c:v>
                </c:pt>
                <c:pt idx="280">
                  <c:v>1.0177783319766778</c:v>
                </c:pt>
                <c:pt idx="281">
                  <c:v>1.0349198548480592</c:v>
                </c:pt>
                <c:pt idx="282">
                  <c:v>1.0140237377432306</c:v>
                </c:pt>
                <c:pt idx="283">
                  <c:v>1.0071689002421071</c:v>
                </c:pt>
                <c:pt idx="284">
                  <c:v>0.95397183305556454</c:v>
                </c:pt>
                <c:pt idx="285">
                  <c:v>0.94557996625857155</c:v>
                </c:pt>
                <c:pt idx="286">
                  <c:v>0.90197379481939388</c:v>
                </c:pt>
                <c:pt idx="287">
                  <c:v>0.89423375018810258</c:v>
                </c:pt>
                <c:pt idx="288">
                  <c:v>0.87202697693537168</c:v>
                </c:pt>
                <c:pt idx="289">
                  <c:v>0.87540667323464627</c:v>
                </c:pt>
                <c:pt idx="290">
                  <c:v>0.87242436589426398</c:v>
                </c:pt>
                <c:pt idx="291">
                  <c:v>0.89984088643366145</c:v>
                </c:pt>
                <c:pt idx="292">
                  <c:v>0.9574508750271894</c:v>
                </c:pt>
                <c:pt idx="293">
                  <c:v>0.95674006325680228</c:v>
                </c:pt>
                <c:pt idx="294">
                  <c:v>0.94806481786556407</c:v>
                </c:pt>
                <c:pt idx="295">
                  <c:v>0.96142583183625574</c:v>
                </c:pt>
                <c:pt idx="296">
                  <c:v>0.96109986875119713</c:v>
                </c:pt>
                <c:pt idx="297">
                  <c:v>0.95259073941247352</c:v>
                </c:pt>
                <c:pt idx="298">
                  <c:v>0.9545788605785922</c:v>
                </c:pt>
                <c:pt idx="299">
                  <c:v>0.93447649274423095</c:v>
                </c:pt>
                <c:pt idx="300">
                  <c:v>0.91837150642970633</c:v>
                </c:pt>
                <c:pt idx="301">
                  <c:v>0.95997985638729044</c:v>
                </c:pt>
                <c:pt idx="302">
                  <c:v>0.9653505760930231</c:v>
                </c:pt>
                <c:pt idx="303">
                  <c:v>0.94984790639712902</c:v>
                </c:pt>
                <c:pt idx="304">
                  <c:v>1.0053819655560281</c:v>
                </c:pt>
                <c:pt idx="305">
                  <c:v>1.0322087553553432</c:v>
                </c:pt>
                <c:pt idx="306">
                  <c:v>1.0239370106772046</c:v>
                </c:pt>
                <c:pt idx="307">
                  <c:v>1.0444513153944393</c:v>
                </c:pt>
                <c:pt idx="308">
                  <c:v>1.0459641832257378</c:v>
                </c:pt>
                <c:pt idx="309">
                  <c:v>1.0475333128852489</c:v>
                </c:pt>
                <c:pt idx="310">
                  <c:v>1.0862325858909621</c:v>
                </c:pt>
                <c:pt idx="311">
                  <c:v>1.0433076116227069</c:v>
                </c:pt>
                <c:pt idx="312">
                  <c:v>1.0657542760466161</c:v>
                </c:pt>
                <c:pt idx="313">
                  <c:v>1.017752619178679</c:v>
                </c:pt>
                <c:pt idx="314">
                  <c:v>1.0562726058916354</c:v>
                </c:pt>
                <c:pt idx="315">
                  <c:v>1.0783000966135918</c:v>
                </c:pt>
                <c:pt idx="316">
                  <c:v>1.0344963384129966</c:v>
                </c:pt>
                <c:pt idx="317">
                  <c:v>1.0952497513713801</c:v>
                </c:pt>
                <c:pt idx="318">
                  <c:v>1.1309946566942748</c:v>
                </c:pt>
                <c:pt idx="319">
                  <c:v>1.1042541974306244</c:v>
                </c:pt>
                <c:pt idx="320">
                  <c:v>1.1821069090373877</c:v>
                </c:pt>
                <c:pt idx="321">
                  <c:v>1.1725927738720969</c:v>
                </c:pt>
                <c:pt idx="322">
                  <c:v>1.1431624829200921</c:v>
                </c:pt>
                <c:pt idx="323">
                  <c:v>1.0980126450420764</c:v>
                </c:pt>
                <c:pt idx="324">
                  <c:v>1.0812054391604573</c:v>
                </c:pt>
                <c:pt idx="325">
                  <c:v>1.0922413231136729</c:v>
                </c:pt>
                <c:pt idx="326">
                  <c:v>1.1300438884467361</c:v>
                </c:pt>
                <c:pt idx="327">
                  <c:v>1.1235747308864676</c:v>
                </c:pt>
                <c:pt idx="328">
                  <c:v>1.079597801226116</c:v>
                </c:pt>
                <c:pt idx="329">
                  <c:v>1.0639199506847079</c:v>
                </c:pt>
                <c:pt idx="330">
                  <c:v>1.0375041978388782</c:v>
                </c:pt>
                <c:pt idx="331">
                  <c:v>1.0207718809398463</c:v>
                </c:pt>
                <c:pt idx="332">
                  <c:v>1.0003522699479215</c:v>
                </c:pt>
                <c:pt idx="333">
                  <c:v>1.0391256197199266</c:v>
                </c:pt>
                <c:pt idx="334">
                  <c:v>1.0707750179076472</c:v>
                </c:pt>
                <c:pt idx="335">
                  <c:v>1.0382724922431938</c:v>
                </c:pt>
                <c:pt idx="336">
                  <c:v>1.018063042088257</c:v>
                </c:pt>
                <c:pt idx="337">
                  <c:v>1.0294644638350952</c:v>
                </c:pt>
                <c:pt idx="338">
                  <c:v>1.0105166852576322</c:v>
                </c:pt>
                <c:pt idx="339">
                  <c:v>1.0295660226347376</c:v>
                </c:pt>
                <c:pt idx="340">
                  <c:v>1.0282872320309873</c:v>
                </c:pt>
                <c:pt idx="341">
                  <c:v>0.99813899088475722</c:v>
                </c:pt>
                <c:pt idx="342">
                  <c:v>1.0100620221089702</c:v>
                </c:pt>
                <c:pt idx="343">
                  <c:v>1.0022130938175777</c:v>
                </c:pt>
                <c:pt idx="344">
                  <c:v>0.97298087131609079</c:v>
                </c:pt>
                <c:pt idx="345">
                  <c:v>0.96767274011674997</c:v>
                </c:pt>
                <c:pt idx="346">
                  <c:v>0.95147871414464757</c:v>
                </c:pt>
                <c:pt idx="347">
                  <c:v>0.90289962084685904</c:v>
                </c:pt>
                <c:pt idx="348">
                  <c:v>0.89373515122210156</c:v>
                </c:pt>
                <c:pt idx="349">
                  <c:v>0.8708409733864958</c:v>
                </c:pt>
                <c:pt idx="350">
                  <c:v>0.90699276889830527</c:v>
                </c:pt>
                <c:pt idx="351">
                  <c:v>0.88452320163604081</c:v>
                </c:pt>
                <c:pt idx="352">
                  <c:v>0.93216218237884141</c:v>
                </c:pt>
                <c:pt idx="353">
                  <c:v>0.94023303309774986</c:v>
                </c:pt>
                <c:pt idx="354">
                  <c:v>0.93124840074283366</c:v>
                </c:pt>
                <c:pt idx="355">
                  <c:v>0.87832807402770141</c:v>
                </c:pt>
                <c:pt idx="356">
                  <c:v>0.91912366046082594</c:v>
                </c:pt>
                <c:pt idx="357">
                  <c:v>0.91330834570936914</c:v>
                </c:pt>
                <c:pt idx="358">
                  <c:v>0.87896252240968897</c:v>
                </c:pt>
                <c:pt idx="359">
                  <c:v>0.89231805213634297</c:v>
                </c:pt>
                <c:pt idx="360">
                  <c:v>0.95691926082888656</c:v>
                </c:pt>
                <c:pt idx="361">
                  <c:v>0.95235558670605169</c:v>
                </c:pt>
                <c:pt idx="362">
                  <c:v>0.99413128528899086</c:v>
                </c:pt>
                <c:pt idx="363">
                  <c:v>0.98521397047916903</c:v>
                </c:pt>
                <c:pt idx="364">
                  <c:v>0.97709419912553486</c:v>
                </c:pt>
                <c:pt idx="365">
                  <c:v>0.99512479894209027</c:v>
                </c:pt>
                <c:pt idx="366">
                  <c:v>1.0229430367400127</c:v>
                </c:pt>
                <c:pt idx="367">
                  <c:v>0.99963775781659847</c:v>
                </c:pt>
                <c:pt idx="368">
                  <c:v>0.98781430462832964</c:v>
                </c:pt>
                <c:pt idx="369">
                  <c:v>0.98459201785473627</c:v>
                </c:pt>
                <c:pt idx="370">
                  <c:v>0.98383164655016608</c:v>
                </c:pt>
                <c:pt idx="371">
                  <c:v>0.97653370066025658</c:v>
                </c:pt>
                <c:pt idx="372">
                  <c:v>1.0185475632168763</c:v>
                </c:pt>
                <c:pt idx="373">
                  <c:v>1.0396143009461949</c:v>
                </c:pt>
                <c:pt idx="374">
                  <c:v>1.0245906530120459</c:v>
                </c:pt>
                <c:pt idx="375">
                  <c:v>1.0259162654701874</c:v>
                </c:pt>
                <c:pt idx="376">
                  <c:v>1.0348906506847177</c:v>
                </c:pt>
                <c:pt idx="377">
                  <c:v>0.96710925871976294</c:v>
                </c:pt>
                <c:pt idx="378">
                  <c:v>0.95663275126463498</c:v>
                </c:pt>
                <c:pt idx="379">
                  <c:v>1.02209573217632</c:v>
                </c:pt>
                <c:pt idx="380">
                  <c:v>1.0395516747824149</c:v>
                </c:pt>
                <c:pt idx="381">
                  <c:v>1.0622517702710701</c:v>
                </c:pt>
                <c:pt idx="382">
                  <c:v>1.041729664052597</c:v>
                </c:pt>
                <c:pt idx="383">
                  <c:v>1.0739621630041261</c:v>
                </c:pt>
                <c:pt idx="384">
                  <c:v>1.1241988470025472</c:v>
                </c:pt>
                <c:pt idx="385">
                  <c:v>1.1186072251224946</c:v>
                </c:pt>
                <c:pt idx="386">
                  <c:v>1.1262711425261549</c:v>
                </c:pt>
                <c:pt idx="387">
                  <c:v>1.1133267351021141</c:v>
                </c:pt>
                <c:pt idx="388">
                  <c:v>1.0785854745419921</c:v>
                </c:pt>
                <c:pt idx="389">
                  <c:v>1.0544920409428629</c:v>
                </c:pt>
                <c:pt idx="390">
                  <c:v>1.0493009497002312</c:v>
                </c:pt>
                <c:pt idx="391">
                  <c:v>1.031266137338074</c:v>
                </c:pt>
                <c:pt idx="392">
                  <c:v>1.0301248361304183</c:v>
                </c:pt>
                <c:pt idx="393">
                  <c:v>1.0280922701245203</c:v>
                </c:pt>
                <c:pt idx="394">
                  <c:v>1.0460974969211465</c:v>
                </c:pt>
                <c:pt idx="395">
                  <c:v>1.0161869702749258</c:v>
                </c:pt>
                <c:pt idx="396">
                  <c:v>1.0225178526450505</c:v>
                </c:pt>
                <c:pt idx="397">
                  <c:v>0.99874098920048004</c:v>
                </c:pt>
                <c:pt idx="398">
                  <c:v>1.0230443406180489</c:v>
                </c:pt>
                <c:pt idx="399">
                  <c:v>1.0588961053449315</c:v>
                </c:pt>
                <c:pt idx="400">
                  <c:v>1.0668561605166473</c:v>
                </c:pt>
                <c:pt idx="401">
                  <c:v>1.0559844603403705</c:v>
                </c:pt>
                <c:pt idx="402">
                  <c:v>1.0771542772972174</c:v>
                </c:pt>
                <c:pt idx="403">
                  <c:v>1.0544619379015543</c:v>
                </c:pt>
                <c:pt idx="404">
                  <c:v>1.0286710425518406</c:v>
                </c:pt>
                <c:pt idx="405">
                  <c:v>1.0210917686771506</c:v>
                </c:pt>
                <c:pt idx="406">
                  <c:v>1.0536385511414232</c:v>
                </c:pt>
                <c:pt idx="407">
                  <c:v>1.0373905543543305</c:v>
                </c:pt>
                <c:pt idx="408">
                  <c:v>0.95863554298798415</c:v>
                </c:pt>
                <c:pt idx="409">
                  <c:v>0.96670763971559093</c:v>
                </c:pt>
                <c:pt idx="410">
                  <c:v>0.96783068293347252</c:v>
                </c:pt>
                <c:pt idx="411">
                  <c:v>0.96173310666558276</c:v>
                </c:pt>
                <c:pt idx="412">
                  <c:v>0.93579434664494543</c:v>
                </c:pt>
                <c:pt idx="413">
                  <c:v>0.93418427901806123</c:v>
                </c:pt>
                <c:pt idx="414">
                  <c:v>0.94928388810338682</c:v>
                </c:pt>
                <c:pt idx="415">
                  <c:v>0.96620947990758532</c:v>
                </c:pt>
                <c:pt idx="416">
                  <c:v>0.98931938826353827</c:v>
                </c:pt>
                <c:pt idx="417">
                  <c:v>1.0054031293937218</c:v>
                </c:pt>
                <c:pt idx="418">
                  <c:v>1.0495395414526942</c:v>
                </c:pt>
                <c:pt idx="419">
                  <c:v>1.1135867723284736</c:v>
                </c:pt>
                <c:pt idx="420">
                  <c:v>1.0505557093817424</c:v>
                </c:pt>
                <c:pt idx="421">
                  <c:v>1.037144762882839</c:v>
                </c:pt>
                <c:pt idx="422">
                  <c:v>1.013631746677587</c:v>
                </c:pt>
                <c:pt idx="423">
                  <c:v>1.0090500781265717</c:v>
                </c:pt>
                <c:pt idx="424">
                  <c:v>1.0072460530909315</c:v>
                </c:pt>
                <c:pt idx="425">
                  <c:v>0.95252070635801189</c:v>
                </c:pt>
                <c:pt idx="426">
                  <c:v>0.92799146725568216</c:v>
                </c:pt>
                <c:pt idx="427">
                  <c:v>0.92243002980670674</c:v>
                </c:pt>
                <c:pt idx="428">
                  <c:v>0.94197571372042566</c:v>
                </c:pt>
                <c:pt idx="429">
                  <c:v>0.95170538594547616</c:v>
                </c:pt>
                <c:pt idx="430">
                  <c:v>0.94782903945858687</c:v>
                </c:pt>
                <c:pt idx="431">
                  <c:v>0.94830566112651515</c:v>
                </c:pt>
                <c:pt idx="432">
                  <c:v>0.91198510215979556</c:v>
                </c:pt>
                <c:pt idx="433">
                  <c:v>0.8986893593861085</c:v>
                </c:pt>
                <c:pt idx="434">
                  <c:v>0.87751323080982113</c:v>
                </c:pt>
                <c:pt idx="435">
                  <c:v>0.89197375622514352</c:v>
                </c:pt>
                <c:pt idx="436">
                  <c:v>0.92333381509792234</c:v>
                </c:pt>
                <c:pt idx="437">
                  <c:v>0.91825924236163103</c:v>
                </c:pt>
                <c:pt idx="438">
                  <c:v>0.89414872605713336</c:v>
                </c:pt>
                <c:pt idx="439">
                  <c:v>0.87389516293166569</c:v>
                </c:pt>
                <c:pt idx="440">
                  <c:v>0.85134846925034591</c:v>
                </c:pt>
                <c:pt idx="441">
                  <c:v>0.85133548519032443</c:v>
                </c:pt>
                <c:pt idx="442">
                  <c:v>0.82889781389632011</c:v>
                </c:pt>
                <c:pt idx="443">
                  <c:v>0.83378536845455464</c:v>
                </c:pt>
                <c:pt idx="444">
                  <c:v>0.81232361052623547</c:v>
                </c:pt>
                <c:pt idx="445">
                  <c:v>0.84803621547066144</c:v>
                </c:pt>
                <c:pt idx="446">
                  <c:v>0.87179957683475395</c:v>
                </c:pt>
                <c:pt idx="447">
                  <c:v>0.9006254352497316</c:v>
                </c:pt>
                <c:pt idx="448">
                  <c:v>0.87364559510639217</c:v>
                </c:pt>
                <c:pt idx="449">
                  <c:v>0.88559056815036163</c:v>
                </c:pt>
                <c:pt idx="450">
                  <c:v>0.86638490002870405</c:v>
                </c:pt>
                <c:pt idx="451">
                  <c:v>0.8457231878106839</c:v>
                </c:pt>
                <c:pt idx="452">
                  <c:v>0.8394224552733901</c:v>
                </c:pt>
                <c:pt idx="453">
                  <c:v>0.84963947650097893</c:v>
                </c:pt>
                <c:pt idx="454">
                  <c:v>0.87804679496463955</c:v>
                </c:pt>
                <c:pt idx="455">
                  <c:v>0.80637086553343418</c:v>
                </c:pt>
                <c:pt idx="456">
                  <c:v>0.80218154753910542</c:v>
                </c:pt>
                <c:pt idx="457">
                  <c:v>0.76972194209172784</c:v>
                </c:pt>
                <c:pt idx="458">
                  <c:v>0.78887246412328371</c:v>
                </c:pt>
                <c:pt idx="459">
                  <c:v>0.77793255194631239</c:v>
                </c:pt>
                <c:pt idx="460">
                  <c:v>0.77781755658864116</c:v>
                </c:pt>
                <c:pt idx="461">
                  <c:v>0.76287087119731922</c:v>
                </c:pt>
                <c:pt idx="462">
                  <c:v>0.76142525237679437</c:v>
                </c:pt>
                <c:pt idx="463">
                  <c:v>0.77932361218479196</c:v>
                </c:pt>
                <c:pt idx="464">
                  <c:v>0.79787456339653284</c:v>
                </c:pt>
                <c:pt idx="465">
                  <c:v>0.77028479036812769</c:v>
                </c:pt>
                <c:pt idx="466">
                  <c:v>0.78096096246655622</c:v>
                </c:pt>
                <c:pt idx="467">
                  <c:v>0.78437886772178078</c:v>
                </c:pt>
                <c:pt idx="468">
                  <c:v>0.79198903964253853</c:v>
                </c:pt>
                <c:pt idx="469">
                  <c:v>0.79897824497228387</c:v>
                </c:pt>
                <c:pt idx="470">
                  <c:v>0.78528247979954502</c:v>
                </c:pt>
                <c:pt idx="471">
                  <c:v>0.82039498967475399</c:v>
                </c:pt>
                <c:pt idx="472">
                  <c:v>0.81289947256370609</c:v>
                </c:pt>
                <c:pt idx="473">
                  <c:v>0.83381456767555773</c:v>
                </c:pt>
                <c:pt idx="474">
                  <c:v>0.84685686266248839</c:v>
                </c:pt>
                <c:pt idx="475">
                  <c:v>0.8705957943837912</c:v>
                </c:pt>
                <c:pt idx="476">
                  <c:v>0.85016823069416714</c:v>
                </c:pt>
                <c:pt idx="477">
                  <c:v>0.85074784829144057</c:v>
                </c:pt>
                <c:pt idx="478">
                  <c:v>0.85725234612898116</c:v>
                </c:pt>
                <c:pt idx="479">
                  <c:v>0.87699151784102336</c:v>
                </c:pt>
                <c:pt idx="480">
                  <c:v>0.86021862654269499</c:v>
                </c:pt>
                <c:pt idx="481">
                  <c:v>0.86219627347925176</c:v>
                </c:pt>
                <c:pt idx="482">
                  <c:v>0.80074489444990271</c:v>
                </c:pt>
                <c:pt idx="483">
                  <c:v>0.7733864986472847</c:v>
                </c:pt>
                <c:pt idx="484">
                  <c:v>0.7863995408562936</c:v>
                </c:pt>
                <c:pt idx="485">
                  <c:v>0.78112745512421855</c:v>
                </c:pt>
                <c:pt idx="486">
                  <c:v>0.78599140565492731</c:v>
                </c:pt>
                <c:pt idx="487">
                  <c:v>0.81591055374383592</c:v>
                </c:pt>
                <c:pt idx="488">
                  <c:v>0.78101792521108337</c:v>
                </c:pt>
                <c:pt idx="489">
                  <c:v>0.77788340646874665</c:v>
                </c:pt>
                <c:pt idx="490">
                  <c:v>0.7652712918003004</c:v>
                </c:pt>
                <c:pt idx="491">
                  <c:v>0.74780839380589303</c:v>
                </c:pt>
                <c:pt idx="492">
                  <c:v>0.76053637885002257</c:v>
                </c:pt>
                <c:pt idx="493">
                  <c:v>0.76105555434869987</c:v>
                </c:pt>
                <c:pt idx="494">
                  <c:v>0.77038268860819292</c:v>
                </c:pt>
                <c:pt idx="495">
                  <c:v>0.76565312723192258</c:v>
                </c:pt>
                <c:pt idx="496">
                  <c:v>0.77961576107297959</c:v>
                </c:pt>
                <c:pt idx="497">
                  <c:v>0.78831459085494959</c:v>
                </c:pt>
                <c:pt idx="498">
                  <c:v>0.78266764709252246</c:v>
                </c:pt>
                <c:pt idx="499">
                  <c:v>0.74907099295128943</c:v>
                </c:pt>
                <c:pt idx="500">
                  <c:v>0.7377473358886707</c:v>
                </c:pt>
                <c:pt idx="501">
                  <c:v>0.74772185247236345</c:v>
                </c:pt>
                <c:pt idx="502">
                  <c:v>0.72751112788610084</c:v>
                </c:pt>
                <c:pt idx="503">
                  <c:v>0.73761041644251346</c:v>
                </c:pt>
                <c:pt idx="504">
                  <c:v>0.75143472484492935</c:v>
                </c:pt>
                <c:pt idx="505">
                  <c:v>0.76009363092813242</c:v>
                </c:pt>
                <c:pt idx="506">
                  <c:v>0.77715259411283732</c:v>
                </c:pt>
                <c:pt idx="507">
                  <c:v>0.76902461513622178</c:v>
                </c:pt>
                <c:pt idx="508">
                  <c:v>0.78412839477567875</c:v>
                </c:pt>
                <c:pt idx="509">
                  <c:v>0.8249426842224582</c:v>
                </c:pt>
                <c:pt idx="510">
                  <c:v>0.78187680976153751</c:v>
                </c:pt>
                <c:pt idx="511">
                  <c:v>0.8073741909628388</c:v>
                </c:pt>
                <c:pt idx="512">
                  <c:v>0.8281074649726492</c:v>
                </c:pt>
                <c:pt idx="513">
                  <c:v>0.80557010866241729</c:v>
                </c:pt>
                <c:pt idx="514">
                  <c:v>0.79780538667274803</c:v>
                </c:pt>
                <c:pt idx="515">
                  <c:v>0.7624427216311791</c:v>
                </c:pt>
                <c:pt idx="516">
                  <c:v>0.76289376934186437</c:v>
                </c:pt>
                <c:pt idx="517">
                  <c:v>0.79036752294602497</c:v>
                </c:pt>
                <c:pt idx="518">
                  <c:v>0.80118723548247939</c:v>
                </c:pt>
                <c:pt idx="519">
                  <c:v>0.79926958534712389</c:v>
                </c:pt>
                <c:pt idx="520">
                  <c:v>0.80522192607426346</c:v>
                </c:pt>
                <c:pt idx="521">
                  <c:v>0.78597610193664746</c:v>
                </c:pt>
                <c:pt idx="522">
                  <c:v>0.78878666544780018</c:v>
                </c:pt>
                <c:pt idx="523">
                  <c:v>0.7656182813463801</c:v>
                </c:pt>
                <c:pt idx="524">
                  <c:v>0.76370560724648828</c:v>
                </c:pt>
                <c:pt idx="525">
                  <c:v>0.77217905408195264</c:v>
                </c:pt>
                <c:pt idx="526">
                  <c:v>0.74827492410258789</c:v>
                </c:pt>
                <c:pt idx="527">
                  <c:v>0.78486254526665156</c:v>
                </c:pt>
                <c:pt idx="528">
                  <c:v>0.82095394165955438</c:v>
                </c:pt>
                <c:pt idx="529">
                  <c:v>0.818961407576555</c:v>
                </c:pt>
                <c:pt idx="530">
                  <c:v>0.82306296179464833</c:v>
                </c:pt>
                <c:pt idx="531">
                  <c:v>0.84998527998681928</c:v>
                </c:pt>
                <c:pt idx="532">
                  <c:v>0.87198726359734713</c:v>
                </c:pt>
                <c:pt idx="533">
                  <c:v>0.886734262497332</c:v>
                </c:pt>
                <c:pt idx="534">
                  <c:v>0.88528708946153623</c:v>
                </c:pt>
                <c:pt idx="535">
                  <c:v>0.89707188845413333</c:v>
                </c:pt>
                <c:pt idx="536">
                  <c:v>0.8647845281725749</c:v>
                </c:pt>
                <c:pt idx="537">
                  <c:v>0.85230555954065834</c:v>
                </c:pt>
                <c:pt idx="538">
                  <c:v>0.8805173518045244</c:v>
                </c:pt>
                <c:pt idx="539">
                  <c:v>0.84536035724185699</c:v>
                </c:pt>
                <c:pt idx="540">
                  <c:v>0.86200954081702419</c:v>
                </c:pt>
                <c:pt idx="541">
                  <c:v>0.86598802118237561</c:v>
                </c:pt>
                <c:pt idx="542">
                  <c:v>0.8464056820282323</c:v>
                </c:pt>
                <c:pt idx="543">
                  <c:v>0.87479406058509745</c:v>
                </c:pt>
                <c:pt idx="544">
                  <c:v>0.85546197866107587</c:v>
                </c:pt>
                <c:pt idx="545">
                  <c:v>0.89027667065286764</c:v>
                </c:pt>
                <c:pt idx="546">
                  <c:v>0.90664715886582115</c:v>
                </c:pt>
                <c:pt idx="547">
                  <c:v>0.86928805949693977</c:v>
                </c:pt>
                <c:pt idx="548">
                  <c:v>0.82403104056320897</c:v>
                </c:pt>
                <c:pt idx="549">
                  <c:v>0.7909272020360556</c:v>
                </c:pt>
                <c:pt idx="550">
                  <c:v>0.8151225250877191</c:v>
                </c:pt>
                <c:pt idx="551">
                  <c:v>0.85193071121875863</c:v>
                </c:pt>
                <c:pt idx="552">
                  <c:v>0.86353178605122538</c:v>
                </c:pt>
                <c:pt idx="553">
                  <c:v>0.9163716872740767</c:v>
                </c:pt>
                <c:pt idx="554">
                  <c:v>0.90933326562938532</c:v>
                </c:pt>
                <c:pt idx="555">
                  <c:v>0.90324390664985554</c:v>
                </c:pt>
                <c:pt idx="556">
                  <c:v>0.89177112224281219</c:v>
                </c:pt>
                <c:pt idx="557">
                  <c:v>0.92800901238060285</c:v>
                </c:pt>
                <c:pt idx="558">
                  <c:v>0.90182698420469509</c:v>
                </c:pt>
                <c:pt idx="559">
                  <c:v>0.89243310854837543</c:v>
                </c:pt>
                <c:pt idx="560">
                  <c:v>0.88678030066261004</c:v>
                </c:pt>
                <c:pt idx="561">
                  <c:v>0.90896345664113565</c:v>
                </c:pt>
                <c:pt idx="562">
                  <c:v>0.88554789523214084</c:v>
                </c:pt>
                <c:pt idx="563">
                  <c:v>0.89928938147283843</c:v>
                </c:pt>
                <c:pt idx="564">
                  <c:v>0.87716390867464933</c:v>
                </c:pt>
                <c:pt idx="565">
                  <c:v>0.84434666385865031</c:v>
                </c:pt>
                <c:pt idx="566">
                  <c:v>0.85964226721386561</c:v>
                </c:pt>
                <c:pt idx="567">
                  <c:v>0.84524686598920395</c:v>
                </c:pt>
                <c:pt idx="568">
                  <c:v>0.81562174847942848</c:v>
                </c:pt>
                <c:pt idx="569">
                  <c:v>0.79912789196502443</c:v>
                </c:pt>
                <c:pt idx="570">
                  <c:v>0.78375844395418437</c:v>
                </c:pt>
                <c:pt idx="571">
                  <c:v>0.79736720248124093</c:v>
                </c:pt>
                <c:pt idx="572">
                  <c:v>0.7976925712902796</c:v>
                </c:pt>
                <c:pt idx="573">
                  <c:v>0.81314037589182997</c:v>
                </c:pt>
                <c:pt idx="574">
                  <c:v>0.84340187056112403</c:v>
                </c:pt>
                <c:pt idx="575">
                  <c:v>0.82450841323948254</c:v>
                </c:pt>
                <c:pt idx="576">
                  <c:v>0.78071250744231091</c:v>
                </c:pt>
                <c:pt idx="577">
                  <c:v>0.7231347464778014</c:v>
                </c:pt>
                <c:pt idx="578">
                  <c:v>0.69138518090437118</c:v>
                </c:pt>
                <c:pt idx="579">
                  <c:v>0.67775738712222211</c:v>
                </c:pt>
                <c:pt idx="580">
                  <c:v>0.70977332081167932</c:v>
                </c:pt>
                <c:pt idx="581">
                  <c:v>0.75357689765314884</c:v>
                </c:pt>
                <c:pt idx="582">
                  <c:v>0.73721687183194895</c:v>
                </c:pt>
                <c:pt idx="583">
                  <c:v>0.74334485665361782</c:v>
                </c:pt>
                <c:pt idx="584">
                  <c:v>0.75132861191108236</c:v>
                </c:pt>
                <c:pt idx="585">
                  <c:v>0.72772188599185261</c:v>
                </c:pt>
                <c:pt idx="586">
                  <c:v>0.72178246249419731</c:v>
                </c:pt>
                <c:pt idx="587">
                  <c:v>0.7069227861322368</c:v>
                </c:pt>
                <c:pt idx="588">
                  <c:v>0.70796993034654276</c:v>
                </c:pt>
                <c:pt idx="589">
                  <c:v>0.73131324314246027</c:v>
                </c:pt>
                <c:pt idx="590">
                  <c:v>0.74863212912814026</c:v>
                </c:pt>
                <c:pt idx="591">
                  <c:v>0.73562044132953841</c:v>
                </c:pt>
                <c:pt idx="592">
                  <c:v>0.72048406594366676</c:v>
                </c:pt>
                <c:pt idx="593">
                  <c:v>0.71341006973582943</c:v>
                </c:pt>
                <c:pt idx="594">
                  <c:v>0.73312846341156901</c:v>
                </c:pt>
                <c:pt idx="595">
                  <c:v>0.72571776306755498</c:v>
                </c:pt>
                <c:pt idx="596">
                  <c:v>0.72252139867485121</c:v>
                </c:pt>
                <c:pt idx="597">
                  <c:v>0.72902413457610493</c:v>
                </c:pt>
                <c:pt idx="598">
                  <c:v>0.74772582759140316</c:v>
                </c:pt>
                <c:pt idx="599">
                  <c:v>0.75587297332346848</c:v>
                </c:pt>
                <c:pt idx="600">
                  <c:v>0.74217834002641458</c:v>
                </c:pt>
                <c:pt idx="601">
                  <c:v>0.71668049381206667</c:v>
                </c:pt>
                <c:pt idx="602">
                  <c:v>0.73387198560910782</c:v>
                </c:pt>
                <c:pt idx="603">
                  <c:v>0.73386132226660261</c:v>
                </c:pt>
                <c:pt idx="604">
                  <c:v>0.73499904412862327</c:v>
                </c:pt>
                <c:pt idx="605">
                  <c:v>0.7153700978084061</c:v>
                </c:pt>
                <c:pt idx="606">
                  <c:v>0.69736406557436248</c:v>
                </c:pt>
                <c:pt idx="607">
                  <c:v>0.69750639651191348</c:v>
                </c:pt>
                <c:pt idx="608">
                  <c:v>0.70109430576174081</c:v>
                </c:pt>
                <c:pt idx="609">
                  <c:v>0.68914976813185647</c:v>
                </c:pt>
                <c:pt idx="610">
                  <c:v>0.70186599786701842</c:v>
                </c:pt>
                <c:pt idx="611">
                  <c:v>0.67945627950841336</c:v>
                </c:pt>
                <c:pt idx="612">
                  <c:v>0.63512732807608685</c:v>
                </c:pt>
                <c:pt idx="613">
                  <c:v>0.61450325010690221</c:v>
                </c:pt>
                <c:pt idx="614">
                  <c:v>0.64767605228635394</c:v>
                </c:pt>
                <c:pt idx="615">
                  <c:v>0.66142180656487415</c:v>
                </c:pt>
                <c:pt idx="616">
                  <c:v>0.61451205906182194</c:v>
                </c:pt>
                <c:pt idx="617">
                  <c:v>0.65368873431123775</c:v>
                </c:pt>
                <c:pt idx="618">
                  <c:v>0.62465360257495395</c:v>
                </c:pt>
                <c:pt idx="619">
                  <c:v>0.60132603384183436</c:v>
                </c:pt>
                <c:pt idx="620">
                  <c:v>0.61475482323785513</c:v>
                </c:pt>
                <c:pt idx="621">
                  <c:v>0.61430246418376</c:v>
                </c:pt>
                <c:pt idx="622">
                  <c:v>0.60154458809434797</c:v>
                </c:pt>
                <c:pt idx="623">
                  <c:v>0.60957059399956837</c:v>
                </c:pt>
                <c:pt idx="624">
                  <c:v>0.64800728846456113</c:v>
                </c:pt>
                <c:pt idx="625">
                  <c:v>0.65384931309000527</c:v>
                </c:pt>
                <c:pt idx="626">
                  <c:v>0.66563193106982155</c:v>
                </c:pt>
                <c:pt idx="627">
                  <c:v>0.62591340420003572</c:v>
                </c:pt>
                <c:pt idx="628">
                  <c:v>0.58330209155147805</c:v>
                </c:pt>
                <c:pt idx="629">
                  <c:v>0.59345964815668861</c:v>
                </c:pt>
                <c:pt idx="630">
                  <c:v>0.57630214016286074</c:v>
                </c:pt>
                <c:pt idx="631">
                  <c:v>0.55454781117856156</c:v>
                </c:pt>
                <c:pt idx="632">
                  <c:v>0.53694630902380547</c:v>
                </c:pt>
                <c:pt idx="633">
                  <c:v>0.55904703598815175</c:v>
                </c:pt>
                <c:pt idx="634">
                  <c:v>0.55257826642987518</c:v>
                </c:pt>
                <c:pt idx="635">
                  <c:v>0.54578406354012021</c:v>
                </c:pt>
                <c:pt idx="636">
                  <c:v>0.52631576853843998</c:v>
                </c:pt>
                <c:pt idx="637">
                  <c:v>0.55736148293123533</c:v>
                </c:pt>
                <c:pt idx="638">
                  <c:v>0.55137610943612203</c:v>
                </c:pt>
                <c:pt idx="639">
                  <c:v>0.55542199303593964</c:v>
                </c:pt>
                <c:pt idx="640">
                  <c:v>0.56419951356323716</c:v>
                </c:pt>
                <c:pt idx="641">
                  <c:v>0.56286891537293604</c:v>
                </c:pt>
                <c:pt idx="642">
                  <c:v>0.55350593352799071</c:v>
                </c:pt>
                <c:pt idx="643">
                  <c:v>0.58673286834663452</c:v>
                </c:pt>
                <c:pt idx="644">
                  <c:v>0.57636303127196975</c:v>
                </c:pt>
                <c:pt idx="645">
                  <c:v>0.54630590084233477</c:v>
                </c:pt>
                <c:pt idx="646">
                  <c:v>0.56237726528076704</c:v>
                </c:pt>
                <c:pt idx="647">
                  <c:v>0.55333689162444966</c:v>
                </c:pt>
                <c:pt idx="648">
                  <c:v>0.5470840316525466</c:v>
                </c:pt>
                <c:pt idx="649">
                  <c:v>0.57597627247890959</c:v>
                </c:pt>
                <c:pt idx="650">
                  <c:v>0.5812963031970787</c:v>
                </c:pt>
                <c:pt idx="651">
                  <c:v>0.57368394745430051</c:v>
                </c:pt>
                <c:pt idx="652">
                  <c:v>0.60697497227228325</c:v>
                </c:pt>
                <c:pt idx="653">
                  <c:v>0.59907862310680071</c:v>
                </c:pt>
                <c:pt idx="654">
                  <c:v>0.58253440928515365</c:v>
                </c:pt>
                <c:pt idx="655">
                  <c:v>0.58970016937995529</c:v>
                </c:pt>
                <c:pt idx="656">
                  <c:v>0.58650720059542283</c:v>
                </c:pt>
                <c:pt idx="657">
                  <c:v>0.60566684705855822</c:v>
                </c:pt>
                <c:pt idx="658">
                  <c:v>0.61226822800714165</c:v>
                </c:pt>
                <c:pt idx="659">
                  <c:v>0.60113983591971532</c:v>
                </c:pt>
                <c:pt idx="660">
                  <c:v>0.58382936132584118</c:v>
                </c:pt>
                <c:pt idx="661">
                  <c:v>0.59398324340427688</c:v>
                </c:pt>
                <c:pt idx="662">
                  <c:v>0.57090401564386339</c:v>
                </c:pt>
                <c:pt idx="663">
                  <c:v>0.52736380853881892</c:v>
                </c:pt>
                <c:pt idx="664">
                  <c:v>0.55653613341592079</c:v>
                </c:pt>
                <c:pt idx="665">
                  <c:v>0.55355539614776339</c:v>
                </c:pt>
                <c:pt idx="666">
                  <c:v>0.56168738006280794</c:v>
                </c:pt>
                <c:pt idx="667">
                  <c:v>0.54315591340999392</c:v>
                </c:pt>
                <c:pt idx="668">
                  <c:v>0.53174407974173565</c:v>
                </c:pt>
                <c:pt idx="669">
                  <c:v>0.52406986511397691</c:v>
                </c:pt>
                <c:pt idx="670">
                  <c:v>0.53844569461596303</c:v>
                </c:pt>
                <c:pt idx="671">
                  <c:v>0.54245081057412037</c:v>
                </c:pt>
                <c:pt idx="672">
                  <c:v>0.54144718887540533</c:v>
                </c:pt>
                <c:pt idx="673">
                  <c:v>0.56177612259233345</c:v>
                </c:pt>
                <c:pt idx="674">
                  <c:v>0.56772614045509795</c:v>
                </c:pt>
                <c:pt idx="675">
                  <c:v>0.56120286211781956</c:v>
                </c:pt>
                <c:pt idx="676">
                  <c:v>0.55800333383942369</c:v>
                </c:pt>
                <c:pt idx="677">
                  <c:v>0.57633055918423992</c:v>
                </c:pt>
                <c:pt idx="678">
                  <c:v>0.57483362160785234</c:v>
                </c:pt>
                <c:pt idx="679">
                  <c:v>0.56117292339906721</c:v>
                </c:pt>
                <c:pt idx="680">
                  <c:v>0.54870184067449879</c:v>
                </c:pt>
                <c:pt idx="681">
                  <c:v>0.54629229589364281</c:v>
                </c:pt>
                <c:pt idx="682">
                  <c:v>0.54049587075044236</c:v>
                </c:pt>
                <c:pt idx="683">
                  <c:v>0.51873751854889372</c:v>
                </c:pt>
                <c:pt idx="684">
                  <c:v>0.50868181207481855</c:v>
                </c:pt>
                <c:pt idx="685">
                  <c:v>0.52471013881757467</c:v>
                </c:pt>
                <c:pt idx="686">
                  <c:v>0.54734573767766603</c:v>
                </c:pt>
                <c:pt idx="687">
                  <c:v>0.53751281847410692</c:v>
                </c:pt>
                <c:pt idx="688">
                  <c:v>0.55716685429414026</c:v>
                </c:pt>
                <c:pt idx="689">
                  <c:v>0.53388145740771076</c:v>
                </c:pt>
                <c:pt idx="690">
                  <c:v>0.53009432976023474</c:v>
                </c:pt>
                <c:pt idx="691">
                  <c:v>0.51463717842959888</c:v>
                </c:pt>
                <c:pt idx="692">
                  <c:v>0.52686175722012762</c:v>
                </c:pt>
                <c:pt idx="693">
                  <c:v>0.52164167705154285</c:v>
                </c:pt>
                <c:pt idx="694">
                  <c:v>0.53872585080780022</c:v>
                </c:pt>
                <c:pt idx="695">
                  <c:v>0.53677649483191514</c:v>
                </c:pt>
                <c:pt idx="696">
                  <c:v>0.52065433942081119</c:v>
                </c:pt>
                <c:pt idx="697">
                  <c:v>0.51594517716531363</c:v>
                </c:pt>
                <c:pt idx="698">
                  <c:v>0.51111819250678625</c:v>
                </c:pt>
                <c:pt idx="699">
                  <c:v>0.53360094844425432</c:v>
                </c:pt>
                <c:pt idx="700">
                  <c:v>0.50524703055930498</c:v>
                </c:pt>
                <c:pt idx="701">
                  <c:v>0.50553137193317543</c:v>
                </c:pt>
                <c:pt idx="702">
                  <c:v>0.5114182161696611</c:v>
                </c:pt>
                <c:pt idx="703">
                  <c:v>0.52499331759110146</c:v>
                </c:pt>
                <c:pt idx="704">
                  <c:v>0.5579722189026074</c:v>
                </c:pt>
                <c:pt idx="705">
                  <c:v>0.57624452726116526</c:v>
                </c:pt>
                <c:pt idx="706">
                  <c:v>0.57403079242820476</c:v>
                </c:pt>
                <c:pt idx="707">
                  <c:v>0.57337287010184967</c:v>
                </c:pt>
                <c:pt idx="708">
                  <c:v>0.59283998342591138</c:v>
                </c:pt>
                <c:pt idx="709">
                  <c:v>0.60756526908007447</c:v>
                </c:pt>
                <c:pt idx="710">
                  <c:v>0.62696202215566554</c:v>
                </c:pt>
                <c:pt idx="711">
                  <c:v>0.61903585317499488</c:v>
                </c:pt>
                <c:pt idx="712">
                  <c:v>0.63152245704617271</c:v>
                </c:pt>
                <c:pt idx="713">
                  <c:v>0.6166403101990473</c:v>
                </c:pt>
                <c:pt idx="714">
                  <c:v>0.59233503063752113</c:v>
                </c:pt>
                <c:pt idx="715">
                  <c:v>0.61568327118391564</c:v>
                </c:pt>
                <c:pt idx="716">
                  <c:v>0.62936360146211834</c:v>
                </c:pt>
                <c:pt idx="717">
                  <c:v>0.65925552863668713</c:v>
                </c:pt>
                <c:pt idx="718">
                  <c:v>0.66316027908922681</c:v>
                </c:pt>
                <c:pt idx="719">
                  <c:v>0.69633393072100369</c:v>
                </c:pt>
                <c:pt idx="720">
                  <c:v>0.71009188856185423</c:v>
                </c:pt>
                <c:pt idx="721">
                  <c:v>0.70417498082451468</c:v>
                </c:pt>
                <c:pt idx="722">
                  <c:v>0.72396940682950928</c:v>
                </c:pt>
                <c:pt idx="723">
                  <c:v>0.69253072310557529</c:v>
                </c:pt>
                <c:pt idx="724">
                  <c:v>0.69104188883362327</c:v>
                </c:pt>
                <c:pt idx="725">
                  <c:v>0.66900265555859517</c:v>
                </c:pt>
                <c:pt idx="726">
                  <c:v>0.69125204167584609</c:v>
                </c:pt>
                <c:pt idx="727">
                  <c:v>0.67709173308591575</c:v>
                </c:pt>
                <c:pt idx="728">
                  <c:v>0.68136853436305933</c:v>
                </c:pt>
                <c:pt idx="729">
                  <c:v>0.74156867380513658</c:v>
                </c:pt>
                <c:pt idx="730">
                  <c:v>0.72978289651796091</c:v>
                </c:pt>
                <c:pt idx="731">
                  <c:v>0.73591247392686709</c:v>
                </c:pt>
                <c:pt idx="732">
                  <c:v>0.74338934994102435</c:v>
                </c:pt>
                <c:pt idx="733">
                  <c:v>0.78418644073783794</c:v>
                </c:pt>
                <c:pt idx="734">
                  <c:v>0.79000244110050744</c:v>
                </c:pt>
                <c:pt idx="735">
                  <c:v>0.81304532599740231</c:v>
                </c:pt>
                <c:pt idx="736">
                  <c:v>0.78530106225869745</c:v>
                </c:pt>
                <c:pt idx="737">
                  <c:v>0.8183766451687069</c:v>
                </c:pt>
                <c:pt idx="738">
                  <c:v>0.86813856847096926</c:v>
                </c:pt>
                <c:pt idx="739">
                  <c:v>0.85721703344650513</c:v>
                </c:pt>
                <c:pt idx="740">
                  <c:v>0.86814274002631675</c:v>
                </c:pt>
                <c:pt idx="741">
                  <c:v>0.89492228773662152</c:v>
                </c:pt>
                <c:pt idx="742">
                  <c:v>0.9152803021590179</c:v>
                </c:pt>
                <c:pt idx="743">
                  <c:v>0.91933990895369866</c:v>
                </c:pt>
                <c:pt idx="744">
                  <c:v>0.96670619590870666</c:v>
                </c:pt>
                <c:pt idx="745">
                  <c:v>0.99370528087142596</c:v>
                </c:pt>
                <c:pt idx="746">
                  <c:v>1.0331870367392733</c:v>
                </c:pt>
                <c:pt idx="747">
                  <c:v>1.0325773295642904</c:v>
                </c:pt>
                <c:pt idx="748">
                  <c:v>1.0385480679470647</c:v>
                </c:pt>
                <c:pt idx="749">
                  <c:v>1.008458886481499</c:v>
                </c:pt>
                <c:pt idx="750">
                  <c:v>1.0232516195150456</c:v>
                </c:pt>
                <c:pt idx="751">
                  <c:v>1.0348752423325871</c:v>
                </c:pt>
                <c:pt idx="752">
                  <c:v>1.0286129316980885</c:v>
                </c:pt>
                <c:pt idx="753">
                  <c:v>1.0504273409399236</c:v>
                </c:pt>
                <c:pt idx="754">
                  <c:v>1.0764978724471426</c:v>
                </c:pt>
                <c:pt idx="755">
                  <c:v>1.122686543113105</c:v>
                </c:pt>
                <c:pt idx="756">
                  <c:v>1.1178401871621757</c:v>
                </c:pt>
                <c:pt idx="757">
                  <c:v>1.1497834246239738</c:v>
                </c:pt>
                <c:pt idx="758">
                  <c:v>1.2091371912623647</c:v>
                </c:pt>
                <c:pt idx="759">
                  <c:v>1.2034539520357941</c:v>
                </c:pt>
                <c:pt idx="760">
                  <c:v>1.2549990929052248</c:v>
                </c:pt>
                <c:pt idx="761">
                  <c:v>1.3497197189714532</c:v>
                </c:pt>
                <c:pt idx="762">
                  <c:v>1.2874064009342292</c:v>
                </c:pt>
                <c:pt idx="763">
                  <c:v>1.3028593864211018</c:v>
                </c:pt>
                <c:pt idx="764">
                  <c:v>1.3194921813088338</c:v>
                </c:pt>
                <c:pt idx="765">
                  <c:v>1.3274093483380034</c:v>
                </c:pt>
                <c:pt idx="766">
                  <c:v>1.3383972645761073</c:v>
                </c:pt>
                <c:pt idx="767">
                  <c:v>1.3583896629314054</c:v>
                </c:pt>
                <c:pt idx="768">
                  <c:v>1.3295123411640519</c:v>
                </c:pt>
                <c:pt idx="769">
                  <c:v>1.293479209649907</c:v>
                </c:pt>
                <c:pt idx="770">
                  <c:v>1.2898740001876237</c:v>
                </c:pt>
                <c:pt idx="771">
                  <c:v>1.3201110143822958</c:v>
                </c:pt>
                <c:pt idx="772">
                  <c:v>1.3117278813577578</c:v>
                </c:pt>
                <c:pt idx="773">
                  <c:v>1.3127754039304234</c:v>
                </c:pt>
                <c:pt idx="774">
                  <c:v>1.2739814170071617</c:v>
                </c:pt>
                <c:pt idx="775">
                  <c:v>1.2279655644628913</c:v>
                </c:pt>
                <c:pt idx="776">
                  <c:v>1.1452397471596769</c:v>
                </c:pt>
                <c:pt idx="777">
                  <c:v>1.117295488953735</c:v>
                </c:pt>
                <c:pt idx="778">
                  <c:v>1.1119093452969777</c:v>
                </c:pt>
                <c:pt idx="779">
                  <c:v>1.1127213760604393</c:v>
                </c:pt>
                <c:pt idx="780">
                  <c:v>1.0815073483147175</c:v>
                </c:pt>
                <c:pt idx="781">
                  <c:v>1.0502582049876046</c:v>
                </c:pt>
                <c:pt idx="782">
                  <c:v>1.0917675440784529</c:v>
                </c:pt>
                <c:pt idx="783">
                  <c:v>1.0861095718098035</c:v>
                </c:pt>
                <c:pt idx="784">
                  <c:v>1.0831664621030159</c:v>
                </c:pt>
                <c:pt idx="785">
                  <c:v>1.0843664181014565</c:v>
                </c:pt>
                <c:pt idx="786">
                  <c:v>1.0826467503144241</c:v>
                </c:pt>
                <c:pt idx="787">
                  <c:v>1.0636097338442716</c:v>
                </c:pt>
                <c:pt idx="788">
                  <c:v>1.077363588625611</c:v>
                </c:pt>
                <c:pt idx="789">
                  <c:v>1.0792005313307276</c:v>
                </c:pt>
                <c:pt idx="790">
                  <c:v>1.0234685274519999</c:v>
                </c:pt>
                <c:pt idx="791">
                  <c:v>1.0189580541124239</c:v>
                </c:pt>
                <c:pt idx="792">
                  <c:v>1.0113779791219073</c:v>
                </c:pt>
                <c:pt idx="793">
                  <c:v>0.99217613954133788</c:v>
                </c:pt>
                <c:pt idx="794">
                  <c:v>0.94278535421672505</c:v>
                </c:pt>
                <c:pt idx="795">
                  <c:v>1.0232726400109058</c:v>
                </c:pt>
                <c:pt idx="796">
                  <c:v>1.0873662921660561</c:v>
                </c:pt>
                <c:pt idx="797">
                  <c:v>1.0315485175818688</c:v>
                </c:pt>
                <c:pt idx="798">
                  <c:v>1.0342126089977706</c:v>
                </c:pt>
                <c:pt idx="799">
                  <c:v>1.1187925622230301</c:v>
                </c:pt>
                <c:pt idx="800">
                  <c:v>1.0509619549072358</c:v>
                </c:pt>
                <c:pt idx="801">
                  <c:v>1.0516379733060508</c:v>
                </c:pt>
                <c:pt idx="802">
                  <c:v>1.0830006474389113</c:v>
                </c:pt>
                <c:pt idx="803">
                  <c:v>1.0721021135236706</c:v>
                </c:pt>
                <c:pt idx="804">
                  <c:v>1.0858988016923188</c:v>
                </c:pt>
                <c:pt idx="805">
                  <c:v>1.0660223300268628</c:v>
                </c:pt>
                <c:pt idx="806">
                  <c:v>0.99609351576191985</c:v>
                </c:pt>
                <c:pt idx="807">
                  <c:v>0.98629375592299251</c:v>
                </c:pt>
                <c:pt idx="808">
                  <c:v>0.96133801103039473</c:v>
                </c:pt>
                <c:pt idx="809">
                  <c:v>0.9660870104226158</c:v>
                </c:pt>
                <c:pt idx="810">
                  <c:v>0.99298622088505539</c:v>
                </c:pt>
                <c:pt idx="811">
                  <c:v>0.96999485796093099</c:v>
                </c:pt>
                <c:pt idx="812">
                  <c:v>0.92082489054971117</c:v>
                </c:pt>
                <c:pt idx="813">
                  <c:v>0.90679700998573431</c:v>
                </c:pt>
                <c:pt idx="814">
                  <c:v>0.9398936801128378</c:v>
                </c:pt>
                <c:pt idx="815">
                  <c:v>0.95023632008620484</c:v>
                </c:pt>
                <c:pt idx="816">
                  <c:v>0.94868926364537642</c:v>
                </c:pt>
                <c:pt idx="817">
                  <c:v>0.92804719374667166</c:v>
                </c:pt>
                <c:pt idx="818">
                  <c:v>0.90915058044757802</c:v>
                </c:pt>
                <c:pt idx="819">
                  <c:v>0.91206807823711888</c:v>
                </c:pt>
                <c:pt idx="820">
                  <c:v>0.97830750112344622</c:v>
                </c:pt>
                <c:pt idx="821">
                  <c:v>0.94095952531591798</c:v>
                </c:pt>
                <c:pt idx="822">
                  <c:v>0.94488465983127756</c:v>
                </c:pt>
                <c:pt idx="823">
                  <c:v>0.98081237968811374</c:v>
                </c:pt>
                <c:pt idx="824">
                  <c:v>0.95119439302903552</c:v>
                </c:pt>
                <c:pt idx="825">
                  <c:v>0.98955746746598727</c:v>
                </c:pt>
                <c:pt idx="826">
                  <c:v>1.024280356961359</c:v>
                </c:pt>
                <c:pt idx="827">
                  <c:v>0.98089389730089982</c:v>
                </c:pt>
                <c:pt idx="828">
                  <c:v>0.90020806897100614</c:v>
                </c:pt>
                <c:pt idx="829">
                  <c:v>0.86750214443119145</c:v>
                </c:pt>
                <c:pt idx="830">
                  <c:v>0.91024167760844688</c:v>
                </c:pt>
                <c:pt idx="831">
                  <c:v>0.89394277495973606</c:v>
                </c:pt>
                <c:pt idx="832">
                  <c:v>0.88586381031510586</c:v>
                </c:pt>
                <c:pt idx="833">
                  <c:v>0.87642202719041218</c:v>
                </c:pt>
                <c:pt idx="834">
                  <c:v>0.88540864259073615</c:v>
                </c:pt>
                <c:pt idx="835">
                  <c:v>0.94954269440016348</c:v>
                </c:pt>
                <c:pt idx="836">
                  <c:v>0.91705330248855599</c:v>
                </c:pt>
                <c:pt idx="837">
                  <c:v>0.95048362100505301</c:v>
                </c:pt>
                <c:pt idx="838">
                  <c:v>0.95389552308209624</c:v>
                </c:pt>
                <c:pt idx="839">
                  <c:v>0.92198571058503764</c:v>
                </c:pt>
                <c:pt idx="840">
                  <c:v>0.93587378796588738</c:v>
                </c:pt>
                <c:pt idx="841">
                  <c:v>0.92013649549458665</c:v>
                </c:pt>
                <c:pt idx="842">
                  <c:v>0.90869435961963219</c:v>
                </c:pt>
                <c:pt idx="843">
                  <c:v>0.87864225032939636</c:v>
                </c:pt>
                <c:pt idx="844">
                  <c:v>0.91586453388110389</c:v>
                </c:pt>
                <c:pt idx="845">
                  <c:v>0.93964282002177268</c:v>
                </c:pt>
                <c:pt idx="846">
                  <c:v>1.0185949823569427</c:v>
                </c:pt>
                <c:pt idx="847">
                  <c:v>1.0158795220718819</c:v>
                </c:pt>
                <c:pt idx="848">
                  <c:v>1.0253904351853866</c:v>
                </c:pt>
                <c:pt idx="849">
                  <c:v>1.0583247580694124</c:v>
                </c:pt>
                <c:pt idx="850">
                  <c:v>1.0364284991665607</c:v>
                </c:pt>
                <c:pt idx="851">
                  <c:v>1.0419793645392998</c:v>
                </c:pt>
                <c:pt idx="852">
                  <c:v>1.0396655625831981</c:v>
                </c:pt>
                <c:pt idx="853">
                  <c:v>1.050073203330417</c:v>
                </c:pt>
                <c:pt idx="854">
                  <c:v>1.1019144276188826</c:v>
                </c:pt>
                <c:pt idx="855">
                  <c:v>1.1027965447726467</c:v>
                </c:pt>
                <c:pt idx="856">
                  <c:v>1.1011100230390702</c:v>
                </c:pt>
                <c:pt idx="857">
                  <c:v>1.1280745993894632</c:v>
                </c:pt>
                <c:pt idx="858">
                  <c:v>1.1279911873578321</c:v>
                </c:pt>
                <c:pt idx="859">
                  <c:v>1.1256235481348202</c:v>
                </c:pt>
                <c:pt idx="860">
                  <c:v>1.1172866747247399</c:v>
                </c:pt>
                <c:pt idx="861">
                  <c:v>1.1367792665390779</c:v>
                </c:pt>
                <c:pt idx="862">
                  <c:v>1.0954484660411652</c:v>
                </c:pt>
                <c:pt idx="863">
                  <c:v>1.072893083545823</c:v>
                </c:pt>
                <c:pt idx="864">
                  <c:v>1.1257184865193963</c:v>
                </c:pt>
                <c:pt idx="865">
                  <c:v>1.1140965033308339</c:v>
                </c:pt>
                <c:pt idx="866">
                  <c:v>1.0706993596895709</c:v>
                </c:pt>
                <c:pt idx="867">
                  <c:v>1.1096782209202829</c:v>
                </c:pt>
                <c:pt idx="868">
                  <c:v>1.1339248037588863</c:v>
                </c:pt>
                <c:pt idx="869">
                  <c:v>1.1576384919444938</c:v>
                </c:pt>
                <c:pt idx="870">
                  <c:v>1.169222602341552</c:v>
                </c:pt>
                <c:pt idx="871">
                  <c:v>1.2021979161939162</c:v>
                </c:pt>
                <c:pt idx="872">
                  <c:v>1.153754370566503</c:v>
                </c:pt>
                <c:pt idx="873">
                  <c:v>1.1970096973686304</c:v>
                </c:pt>
                <c:pt idx="874">
                  <c:v>1.1623158968402396</c:v>
                </c:pt>
                <c:pt idx="875">
                  <c:v>1.1549981055826581</c:v>
                </c:pt>
                <c:pt idx="876">
                  <c:v>1.120171762421569</c:v>
                </c:pt>
                <c:pt idx="877">
                  <c:v>1.1083772188006149</c:v>
                </c:pt>
                <c:pt idx="878">
                  <c:v>1.0884349998851484</c:v>
                </c:pt>
                <c:pt idx="879">
                  <c:v>1.0848349680874061</c:v>
                </c:pt>
                <c:pt idx="880">
                  <c:v>1.0632473015839552</c:v>
                </c:pt>
                <c:pt idx="881">
                  <c:v>1.0178514733389565</c:v>
                </c:pt>
                <c:pt idx="882">
                  <c:v>1.0289936429253725</c:v>
                </c:pt>
                <c:pt idx="883">
                  <c:v>0.99743526200544208</c:v>
                </c:pt>
                <c:pt idx="884">
                  <c:v>1.0453395884229089</c:v>
                </c:pt>
                <c:pt idx="885">
                  <c:v>1.0331660043803088</c:v>
                </c:pt>
                <c:pt idx="886">
                  <c:v>1.0492343919490543</c:v>
                </c:pt>
                <c:pt idx="887">
                  <c:v>1.053299993181487</c:v>
                </c:pt>
                <c:pt idx="888">
                  <c:v>1.0504721073753396</c:v>
                </c:pt>
                <c:pt idx="889">
                  <c:v>1.060714309007073</c:v>
                </c:pt>
                <c:pt idx="890">
                  <c:v>1.0648086054522929</c:v>
                </c:pt>
                <c:pt idx="891">
                  <c:v>1.1245101075235477</c:v>
                </c:pt>
                <c:pt idx="892">
                  <c:v>1.0936547094743456</c:v>
                </c:pt>
                <c:pt idx="893">
                  <c:v>1.1010642168680269</c:v>
                </c:pt>
                <c:pt idx="894">
                  <c:v>1.0817330096261994</c:v>
                </c:pt>
                <c:pt idx="895">
                  <c:v>1.1437273540358468</c:v>
                </c:pt>
                <c:pt idx="896">
                  <c:v>1.0719700005023312</c:v>
                </c:pt>
                <c:pt idx="897">
                  <c:v>1.0818764682084909</c:v>
                </c:pt>
                <c:pt idx="898">
                  <c:v>1.0906469674870991</c:v>
                </c:pt>
                <c:pt idx="899">
                  <c:v>1.0341677403825151</c:v>
                </c:pt>
                <c:pt idx="900">
                  <c:v>1.0207056083906723</c:v>
                </c:pt>
                <c:pt idx="901">
                  <c:v>1.0124848176687153</c:v>
                </c:pt>
                <c:pt idx="902">
                  <c:v>0.98425977865454195</c:v>
                </c:pt>
                <c:pt idx="903">
                  <c:v>0.96673249678314088</c:v>
                </c:pt>
                <c:pt idx="904">
                  <c:v>0.96261216447579712</c:v>
                </c:pt>
                <c:pt idx="905">
                  <c:v>0.97590346329741129</c:v>
                </c:pt>
                <c:pt idx="906">
                  <c:v>0.93823811485869724</c:v>
                </c:pt>
                <c:pt idx="907">
                  <c:v>0.95486961298381368</c:v>
                </c:pt>
                <c:pt idx="908">
                  <c:v>0.93548274105439533</c:v>
                </c:pt>
                <c:pt idx="909">
                  <c:v>0.90300155425406592</c:v>
                </c:pt>
                <c:pt idx="910">
                  <c:v>0.9290021082397707</c:v>
                </c:pt>
                <c:pt idx="911">
                  <c:v>0.89519344836696446</c:v>
                </c:pt>
                <c:pt idx="912">
                  <c:v>0.88770318560683248</c:v>
                </c:pt>
                <c:pt idx="913">
                  <c:v>0.84546487363584699</c:v>
                </c:pt>
                <c:pt idx="914">
                  <c:v>0.82651960645882372</c:v>
                </c:pt>
                <c:pt idx="915">
                  <c:v>0.83424899115884055</c:v>
                </c:pt>
                <c:pt idx="916">
                  <c:v>0.83666040006354758</c:v>
                </c:pt>
                <c:pt idx="917">
                  <c:v>0.83319192093014494</c:v>
                </c:pt>
                <c:pt idx="918">
                  <c:v>0.83152396554056784</c:v>
                </c:pt>
                <c:pt idx="919">
                  <c:v>0.82136597084324925</c:v>
                </c:pt>
                <c:pt idx="920">
                  <c:v>0.83639131544089029</c:v>
                </c:pt>
                <c:pt idx="921">
                  <c:v>0.86478207633147053</c:v>
                </c:pt>
                <c:pt idx="922">
                  <c:v>0.85061281277318679</c:v>
                </c:pt>
                <c:pt idx="923">
                  <c:v>0.84974439146910452</c:v>
                </c:pt>
                <c:pt idx="924">
                  <c:v>0.82919074864433484</c:v>
                </c:pt>
                <c:pt idx="925">
                  <c:v>0.81313667006655022</c:v>
                </c:pt>
                <c:pt idx="926">
                  <c:v>0.80444995501363148</c:v>
                </c:pt>
                <c:pt idx="927">
                  <c:v>0.78581888695499136</c:v>
                </c:pt>
                <c:pt idx="928">
                  <c:v>0.77264174207154768</c:v>
                </c:pt>
                <c:pt idx="929">
                  <c:v>0.79447066073039552</c:v>
                </c:pt>
                <c:pt idx="930">
                  <c:v>0.80104453800918296</c:v>
                </c:pt>
                <c:pt idx="931">
                  <c:v>0.78586678778405705</c:v>
                </c:pt>
                <c:pt idx="932">
                  <c:v>0.76048887687728339</c:v>
                </c:pt>
                <c:pt idx="933">
                  <c:v>0.75331504330239274</c:v>
                </c:pt>
                <c:pt idx="934">
                  <c:v>0.75500707471024564</c:v>
                </c:pt>
                <c:pt idx="935">
                  <c:v>0.78147355830512011</c:v>
                </c:pt>
                <c:pt idx="936">
                  <c:v>0.75629886773387955</c:v>
                </c:pt>
                <c:pt idx="937">
                  <c:v>0.75478226236620682</c:v>
                </c:pt>
                <c:pt idx="938">
                  <c:v>0.73874168282106234</c:v>
                </c:pt>
                <c:pt idx="939">
                  <c:v>0.73883096472560938</c:v>
                </c:pt>
                <c:pt idx="940">
                  <c:v>0.70855980604256541</c:v>
                </c:pt>
                <c:pt idx="941">
                  <c:v>0.70877930640931075</c:v>
                </c:pt>
                <c:pt idx="942">
                  <c:v>0.71419002242016749</c:v>
                </c:pt>
                <c:pt idx="943">
                  <c:v>0.76203675416366001</c:v>
                </c:pt>
                <c:pt idx="944">
                  <c:v>0.76614528819931971</c:v>
                </c:pt>
                <c:pt idx="945">
                  <c:v>0.73308939078781243</c:v>
                </c:pt>
                <c:pt idx="946">
                  <c:v>0.70942794128922559</c:v>
                </c:pt>
                <c:pt idx="947">
                  <c:v>0.67561081954691515</c:v>
                </c:pt>
                <c:pt idx="948">
                  <c:v>0.69260324284206276</c:v>
                </c:pt>
                <c:pt idx="949">
                  <c:v>0.69785857381908467</c:v>
                </c:pt>
                <c:pt idx="950">
                  <c:v>0.7028951724120619</c:v>
                </c:pt>
                <c:pt idx="951">
                  <c:v>0.71053812169182906</c:v>
                </c:pt>
                <c:pt idx="952">
                  <c:v>0.72915912975554886</c:v>
                </c:pt>
                <c:pt idx="953">
                  <c:v>0.7840720531914952</c:v>
                </c:pt>
                <c:pt idx="954">
                  <c:v>0.77937853977623295</c:v>
                </c:pt>
                <c:pt idx="955">
                  <c:v>0.78341100200310687</c:v>
                </c:pt>
                <c:pt idx="956">
                  <c:v>0.79116433634363958</c:v>
                </c:pt>
                <c:pt idx="957">
                  <c:v>0.79372915874869399</c:v>
                </c:pt>
                <c:pt idx="958">
                  <c:v>0.76946070224515595</c:v>
                </c:pt>
                <c:pt idx="959">
                  <c:v>0.77065746440980953</c:v>
                </c:pt>
                <c:pt idx="960">
                  <c:v>0.78099626418421408</c:v>
                </c:pt>
                <c:pt idx="961">
                  <c:v>0.77868902834069931</c:v>
                </c:pt>
                <c:pt idx="962">
                  <c:v>0.7758639953403319</c:v>
                </c:pt>
                <c:pt idx="963">
                  <c:v>0.77898347284057456</c:v>
                </c:pt>
                <c:pt idx="964">
                  <c:v>0.76860338241602988</c:v>
                </c:pt>
                <c:pt idx="965">
                  <c:v>0.79503906417540848</c:v>
                </c:pt>
                <c:pt idx="966">
                  <c:v>0.83102330993821028</c:v>
                </c:pt>
                <c:pt idx="967">
                  <c:v>0.82964398808435624</c:v>
                </c:pt>
                <c:pt idx="968">
                  <c:v>0.80829215906758878</c:v>
                </c:pt>
                <c:pt idx="969">
                  <c:v>0.81308137078125131</c:v>
                </c:pt>
                <c:pt idx="970">
                  <c:v>0.77372938088766119</c:v>
                </c:pt>
                <c:pt idx="971">
                  <c:v>0.7610970196225646</c:v>
                </c:pt>
                <c:pt idx="972">
                  <c:v>0.74982808354358865</c:v>
                </c:pt>
                <c:pt idx="973">
                  <c:v>0.75703638939887408</c:v>
                </c:pt>
                <c:pt idx="974">
                  <c:v>0.77890803676648113</c:v>
                </c:pt>
                <c:pt idx="975">
                  <c:v>0.81395931161346957</c:v>
                </c:pt>
                <c:pt idx="976">
                  <c:v>0.80777907134713611</c:v>
                </c:pt>
                <c:pt idx="977">
                  <c:v>0.78944313505176833</c:v>
                </c:pt>
                <c:pt idx="978">
                  <c:v>0.76253021399812593</c:v>
                </c:pt>
                <c:pt idx="979">
                  <c:v>0.81657862317631214</c:v>
                </c:pt>
                <c:pt idx="980">
                  <c:v>0.8650090664790645</c:v>
                </c:pt>
                <c:pt idx="981">
                  <c:v>0.86895686780929893</c:v>
                </c:pt>
                <c:pt idx="982">
                  <c:v>0.87498539488691618</c:v>
                </c:pt>
                <c:pt idx="983">
                  <c:v>0.90306541800467899</c:v>
                </c:pt>
                <c:pt idx="984">
                  <c:v>0.89070441712046122</c:v>
                </c:pt>
                <c:pt idx="985">
                  <c:v>0.85633362729565998</c:v>
                </c:pt>
                <c:pt idx="986">
                  <c:v>0.88079760198077772</c:v>
                </c:pt>
                <c:pt idx="987">
                  <c:v>0.90951911741971747</c:v>
                </c:pt>
                <c:pt idx="988">
                  <c:v>0.90493485084193093</c:v>
                </c:pt>
                <c:pt idx="989">
                  <c:v>0.86719380490295439</c:v>
                </c:pt>
                <c:pt idx="990">
                  <c:v>0.87022791424032608</c:v>
                </c:pt>
                <c:pt idx="991">
                  <c:v>0.89277668126298526</c:v>
                </c:pt>
                <c:pt idx="992">
                  <c:v>0.88845361940452172</c:v>
                </c:pt>
                <c:pt idx="993">
                  <c:v>0.92115186152711204</c:v>
                </c:pt>
                <c:pt idx="994">
                  <c:v>0.91169715717541688</c:v>
                </c:pt>
                <c:pt idx="995">
                  <c:v>0.93423446434712654</c:v>
                </c:pt>
                <c:pt idx="996">
                  <c:v>0.93639327300316655</c:v>
                </c:pt>
                <c:pt idx="997">
                  <c:v>0.97904316317651574</c:v>
                </c:pt>
                <c:pt idx="998">
                  <c:v>1.0010793330081706</c:v>
                </c:pt>
                <c:pt idx="999">
                  <c:v>1.0074949026171998</c:v>
                </c:pt>
                <c:pt idx="1000">
                  <c:v>0.97865400422318971</c:v>
                </c:pt>
                <c:pt idx="1001">
                  <c:v>0.97827655706039285</c:v>
                </c:pt>
                <c:pt idx="1002">
                  <c:v>0.9705470187014279</c:v>
                </c:pt>
                <c:pt idx="1003">
                  <c:v>1.0473375213865046</c:v>
                </c:pt>
                <c:pt idx="1004">
                  <c:v>1.0466000711272299</c:v>
                </c:pt>
                <c:pt idx="1005">
                  <c:v>1.0054490456750409</c:v>
                </c:pt>
                <c:pt idx="1006">
                  <c:v>1.0307550449412879</c:v>
                </c:pt>
                <c:pt idx="1007">
                  <c:v>1.0195533041506035</c:v>
                </c:pt>
                <c:pt idx="1008">
                  <c:v>0.98390409218374686</c:v>
                </c:pt>
                <c:pt idx="1009">
                  <c:v>0.99984063541131529</c:v>
                </c:pt>
                <c:pt idx="1010">
                  <c:v>1.0115088385808544</c:v>
                </c:pt>
                <c:pt idx="1011">
                  <c:v>0.93942825184805867</c:v>
                </c:pt>
                <c:pt idx="1012">
                  <c:v>0.93044639726958789</c:v>
                </c:pt>
                <c:pt idx="1013">
                  <c:v>0.96491766131113987</c:v>
                </c:pt>
                <c:pt idx="1014">
                  <c:v>0.99963020250746459</c:v>
                </c:pt>
                <c:pt idx="1015">
                  <c:v>0.99944750664227366</c:v>
                </c:pt>
                <c:pt idx="1016">
                  <c:v>1.0148099740202234</c:v>
                </c:pt>
                <c:pt idx="1017">
                  <c:v>1.0095938641789088</c:v>
                </c:pt>
                <c:pt idx="1018">
                  <c:v>0.95994246877875289</c:v>
                </c:pt>
                <c:pt idx="1019">
                  <c:v>0.94153735228820201</c:v>
                </c:pt>
                <c:pt idx="1020">
                  <c:v>0.95773998406596728</c:v>
                </c:pt>
                <c:pt idx="1021">
                  <c:v>0.97300662909568603</c:v>
                </c:pt>
                <c:pt idx="1022">
                  <c:v>1.0003744335820322</c:v>
                </c:pt>
                <c:pt idx="1023">
                  <c:v>0.95694476328380895</c:v>
                </c:pt>
                <c:pt idx="1024">
                  <c:v>0.96045265180084416</c:v>
                </c:pt>
                <c:pt idx="1025">
                  <c:v>0.96801059227518127</c:v>
                </c:pt>
                <c:pt idx="1026">
                  <c:v>0.93860933542348557</c:v>
                </c:pt>
                <c:pt idx="1027">
                  <c:v>0.98216151387381012</c:v>
                </c:pt>
                <c:pt idx="1028">
                  <c:v>0.97206025561739884</c:v>
                </c:pt>
                <c:pt idx="1029">
                  <c:v>1.01281143961653</c:v>
                </c:pt>
                <c:pt idx="1030">
                  <c:v>1.0323958011397698</c:v>
                </c:pt>
                <c:pt idx="1031">
                  <c:v>1.1157163897579712</c:v>
                </c:pt>
                <c:pt idx="1032">
                  <c:v>1.1274024921700456</c:v>
                </c:pt>
                <c:pt idx="1033">
                  <c:v>1.1154159026080681</c:v>
                </c:pt>
                <c:pt idx="1034">
                  <c:v>1.0593621213114521</c:v>
                </c:pt>
                <c:pt idx="1035">
                  <c:v>1.0580350879966129</c:v>
                </c:pt>
                <c:pt idx="1036">
                  <c:v>1.0747388182306539</c:v>
                </c:pt>
                <c:pt idx="1037">
                  <c:v>1.0695345117168846</c:v>
                </c:pt>
                <c:pt idx="1038">
                  <c:v>1.0464892488259085</c:v>
                </c:pt>
                <c:pt idx="1039">
                  <c:v>1.0705283167566577</c:v>
                </c:pt>
                <c:pt idx="1040">
                  <c:v>1.0361181452579773</c:v>
                </c:pt>
                <c:pt idx="1041">
                  <c:v>1.0269790361916997</c:v>
                </c:pt>
                <c:pt idx="1042">
                  <c:v>1.0225593977899756</c:v>
                </c:pt>
                <c:pt idx="1043">
                  <c:v>1.0144401370616134</c:v>
                </c:pt>
                <c:pt idx="1044">
                  <c:v>1.0266973945428204</c:v>
                </c:pt>
                <c:pt idx="1045">
                  <c:v>1.0256643215954317</c:v>
                </c:pt>
                <c:pt idx="1046">
                  <c:v>1.0788490167350526</c:v>
                </c:pt>
                <c:pt idx="1047">
                  <c:v>1.0943182613822688</c:v>
                </c:pt>
                <c:pt idx="1048">
                  <c:v>1.0545361692851933</c:v>
                </c:pt>
                <c:pt idx="1049">
                  <c:v>1.0686756172325256</c:v>
                </c:pt>
                <c:pt idx="1050">
                  <c:v>1.0834434034130509</c:v>
                </c:pt>
                <c:pt idx="1051">
                  <c:v>1.0851265858267845</c:v>
                </c:pt>
                <c:pt idx="1052">
                  <c:v>1.0703735871928348</c:v>
                </c:pt>
                <c:pt idx="1053">
                  <c:v>1.1141538424743889</c:v>
                </c:pt>
                <c:pt idx="1054">
                  <c:v>1.1232738031623666</c:v>
                </c:pt>
                <c:pt idx="1055">
                  <c:v>1.1030130111535854</c:v>
                </c:pt>
                <c:pt idx="1056">
                  <c:v>1.0707896581961081</c:v>
                </c:pt>
                <c:pt idx="1057">
                  <c:v>1.0539453037826261</c:v>
                </c:pt>
                <c:pt idx="1058">
                  <c:v>1.0466111183219207</c:v>
                </c:pt>
                <c:pt idx="1059">
                  <c:v>1.0123082559147556</c:v>
                </c:pt>
                <c:pt idx="1060">
                  <c:v>1.014397883843926</c:v>
                </c:pt>
                <c:pt idx="1061">
                  <c:v>1.0281912860484843</c:v>
                </c:pt>
                <c:pt idx="1062">
                  <c:v>1.0096709767746841</c:v>
                </c:pt>
                <c:pt idx="1063">
                  <c:v>0.96798151462864224</c:v>
                </c:pt>
                <c:pt idx="1064">
                  <c:v>0.95609568458716077</c:v>
                </c:pt>
                <c:pt idx="1065">
                  <c:v>0.96155982200670653</c:v>
                </c:pt>
                <c:pt idx="1066">
                  <c:v>0.98426473256296498</c:v>
                </c:pt>
                <c:pt idx="1067">
                  <c:v>0.94343145746060253</c:v>
                </c:pt>
                <c:pt idx="1068">
                  <c:v>0.91786770771820869</c:v>
                </c:pt>
                <c:pt idx="1069">
                  <c:v>0.93811201316664727</c:v>
                </c:pt>
                <c:pt idx="1070">
                  <c:v>0.92781667570145798</c:v>
                </c:pt>
                <c:pt idx="1071">
                  <c:v>0.89636293449628768</c:v>
                </c:pt>
                <c:pt idx="1072">
                  <c:v>0.92745587230636417</c:v>
                </c:pt>
                <c:pt idx="1073">
                  <c:v>0.91651588503932002</c:v>
                </c:pt>
                <c:pt idx="1074">
                  <c:v>0.9255247307844453</c:v>
                </c:pt>
                <c:pt idx="1075">
                  <c:v>0.89219802321981845</c:v>
                </c:pt>
                <c:pt idx="1076">
                  <c:v>0.88270751156849159</c:v>
                </c:pt>
                <c:pt idx="1077">
                  <c:v>0.88601578873099818</c:v>
                </c:pt>
                <c:pt idx="1078">
                  <c:v>0.85397264409334361</c:v>
                </c:pt>
                <c:pt idx="1079">
                  <c:v>0.82247763839600019</c:v>
                </c:pt>
                <c:pt idx="1080">
                  <c:v>0.77636051200605039</c:v>
                </c:pt>
                <c:pt idx="1081">
                  <c:v>0.74338789529536475</c:v>
                </c:pt>
                <c:pt idx="1082">
                  <c:v>0.74269601551517006</c:v>
                </c:pt>
                <c:pt idx="1083">
                  <c:v>0.77906932410837137</c:v>
                </c:pt>
                <c:pt idx="1084">
                  <c:v>0.73428912575000971</c:v>
                </c:pt>
                <c:pt idx="1085">
                  <c:v>0.71282082160502314</c:v>
                </c:pt>
                <c:pt idx="1086">
                  <c:v>0.72354952785182869</c:v>
                </c:pt>
                <c:pt idx="1087">
                  <c:v>0.74704304016332868</c:v>
                </c:pt>
                <c:pt idx="1088">
                  <c:v>0.73800126888885798</c:v>
                </c:pt>
                <c:pt idx="1089">
                  <c:v>0.74568941940833366</c:v>
                </c:pt>
                <c:pt idx="1090">
                  <c:v>0.73685372853968556</c:v>
                </c:pt>
                <c:pt idx="1091">
                  <c:v>0.67587247629604807</c:v>
                </c:pt>
                <c:pt idx="1092">
                  <c:v>0.68736444413406239</c:v>
                </c:pt>
                <c:pt idx="1093">
                  <c:v>0.66429273818022982</c:v>
                </c:pt>
                <c:pt idx="1094">
                  <c:v>0.63910936837452015</c:v>
                </c:pt>
                <c:pt idx="1095">
                  <c:v>0.60719191150240326</c:v>
                </c:pt>
                <c:pt idx="1096">
                  <c:v>0.59208209169857795</c:v>
                </c:pt>
                <c:pt idx="1097">
                  <c:v>0.60057556188764927</c:v>
                </c:pt>
                <c:pt idx="1098">
                  <c:v>0.60213390509018261</c:v>
                </c:pt>
                <c:pt idx="1099">
                  <c:v>0.63324395947919287</c:v>
                </c:pt>
                <c:pt idx="1100">
                  <c:v>0.66991875115047328</c:v>
                </c:pt>
                <c:pt idx="1101">
                  <c:v>0.67397999632979699</c:v>
                </c:pt>
                <c:pt idx="1102">
                  <c:v>0.66175208544725395</c:v>
                </c:pt>
                <c:pt idx="1103">
                  <c:v>0.63712089643080183</c:v>
                </c:pt>
                <c:pt idx="1104">
                  <c:v>0.60592306901878812</c:v>
                </c:pt>
                <c:pt idx="1105">
                  <c:v>0.65043522243349483</c:v>
                </c:pt>
                <c:pt idx="1106">
                  <c:v>0.63665909227492512</c:v>
                </c:pt>
                <c:pt idx="1107">
                  <c:v>0.61083269320361178</c:v>
                </c:pt>
                <c:pt idx="1108">
                  <c:v>0.62658320702207682</c:v>
                </c:pt>
                <c:pt idx="1109">
                  <c:v>0.62446968376325973</c:v>
                </c:pt>
                <c:pt idx="1110">
                  <c:v>0.61789417039991301</c:v>
                </c:pt>
                <c:pt idx="1111">
                  <c:v>0.60056226839309634</c:v>
                </c:pt>
                <c:pt idx="1112">
                  <c:v>0.62602266377314963</c:v>
                </c:pt>
                <c:pt idx="1113">
                  <c:v>0.59288929105589028</c:v>
                </c:pt>
                <c:pt idx="1114">
                  <c:v>0.60859516965496241</c:v>
                </c:pt>
                <c:pt idx="1115">
                  <c:v>0.60856162252705981</c:v>
                </c:pt>
                <c:pt idx="1116">
                  <c:v>0.63507626678959206</c:v>
                </c:pt>
                <c:pt idx="1117">
                  <c:v>0.62154822249165975</c:v>
                </c:pt>
                <c:pt idx="1118">
                  <c:v>0.6154721628912927</c:v>
                </c:pt>
                <c:pt idx="1119">
                  <c:v>0.64316474863711426</c:v>
                </c:pt>
                <c:pt idx="1120">
                  <c:v>0.67480019921388645</c:v>
                </c:pt>
                <c:pt idx="1121">
                  <c:v>0.67219683030251764</c:v>
                </c:pt>
                <c:pt idx="1122">
                  <c:v>0.67105352957915376</c:v>
                </c:pt>
                <c:pt idx="1123">
                  <c:v>0.65516688793749145</c:v>
                </c:pt>
                <c:pt idx="1124">
                  <c:v>0.67027105765700223</c:v>
                </c:pt>
                <c:pt idx="1125">
                  <c:v>0.67504349386300089</c:v>
                </c:pt>
                <c:pt idx="1126">
                  <c:v>0.71251480412238011</c:v>
                </c:pt>
                <c:pt idx="1127">
                  <c:v>0.73128895642277214</c:v>
                </c:pt>
                <c:pt idx="1128">
                  <c:v>0.74823910610125344</c:v>
                </c:pt>
                <c:pt idx="1129">
                  <c:v>0.7647458892035941</c:v>
                </c:pt>
                <c:pt idx="1130">
                  <c:v>0.79341798476737491</c:v>
                </c:pt>
                <c:pt idx="1131">
                  <c:v>0.80152153163802997</c:v>
                </c:pt>
                <c:pt idx="1132">
                  <c:v>0.80678176465357299</c:v>
                </c:pt>
                <c:pt idx="1133">
                  <c:v>0.82056025759574058</c:v>
                </c:pt>
                <c:pt idx="1134">
                  <c:v>0.80584583699772649</c:v>
                </c:pt>
                <c:pt idx="1135">
                  <c:v>0.80075363815451028</c:v>
                </c:pt>
                <c:pt idx="1136">
                  <c:v>0.81789345355383114</c:v>
                </c:pt>
                <c:pt idx="1137">
                  <c:v>0.81358563533526318</c:v>
                </c:pt>
                <c:pt idx="1138">
                  <c:v>0.843434301691529</c:v>
                </c:pt>
                <c:pt idx="1139">
                  <c:v>0.82497703258898702</c:v>
                </c:pt>
                <c:pt idx="1140">
                  <c:v>0.83878407163333513</c:v>
                </c:pt>
                <c:pt idx="1141">
                  <c:v>0.81264218633054053</c:v>
                </c:pt>
                <c:pt idx="1142">
                  <c:v>0.80518065433272479</c:v>
                </c:pt>
                <c:pt idx="1143">
                  <c:v>0.77776651945255704</c:v>
                </c:pt>
                <c:pt idx="1144">
                  <c:v>0.76469941423006427</c:v>
                </c:pt>
                <c:pt idx="1145">
                  <c:v>0.80899684837845232</c:v>
                </c:pt>
                <c:pt idx="1146">
                  <c:v>0.79981938405790154</c:v>
                </c:pt>
                <c:pt idx="1147">
                  <c:v>0.76949695258745854</c:v>
                </c:pt>
                <c:pt idx="1148">
                  <c:v>0.75940738034857269</c:v>
                </c:pt>
                <c:pt idx="1149">
                  <c:v>0.74913482094351103</c:v>
                </c:pt>
                <c:pt idx="1150">
                  <c:v>0.72648799992918311</c:v>
                </c:pt>
                <c:pt idx="1151">
                  <c:v>0.74510617986584426</c:v>
                </c:pt>
                <c:pt idx="1152">
                  <c:v>0.76994783562648617</c:v>
                </c:pt>
                <c:pt idx="1153">
                  <c:v>0.73896082489755599</c:v>
                </c:pt>
                <c:pt idx="1154">
                  <c:v>0.73807807083407517</c:v>
                </c:pt>
                <c:pt idx="1155">
                  <c:v>0.76055753386714864</c:v>
                </c:pt>
                <c:pt idx="1156">
                  <c:v>0.78394381158810134</c:v>
                </c:pt>
                <c:pt idx="1157">
                  <c:v>0.78545655533841008</c:v>
                </c:pt>
                <c:pt idx="1158">
                  <c:v>0.80037371629379594</c:v>
                </c:pt>
                <c:pt idx="1159">
                  <c:v>0.85446236777892404</c:v>
                </c:pt>
                <c:pt idx="1160">
                  <c:v>0.81252320496478714</c:v>
                </c:pt>
                <c:pt idx="1161">
                  <c:v>0.78868630508325888</c:v>
                </c:pt>
                <c:pt idx="1162">
                  <c:v>0.77491399950224005</c:v>
                </c:pt>
                <c:pt idx="1163">
                  <c:v>0.77906760171444389</c:v>
                </c:pt>
                <c:pt idx="1164">
                  <c:v>0.80964875368773359</c:v>
                </c:pt>
                <c:pt idx="1165">
                  <c:v>0.82361739050499017</c:v>
                </c:pt>
                <c:pt idx="1166">
                  <c:v>0.79183141601447182</c:v>
                </c:pt>
                <c:pt idx="1167">
                  <c:v>0.77110464654612287</c:v>
                </c:pt>
                <c:pt idx="1168">
                  <c:v>0.77995888585238593</c:v>
                </c:pt>
                <c:pt idx="1169">
                  <c:v>0.71529800437254465</c:v>
                </c:pt>
                <c:pt idx="1170">
                  <c:v>0.72375979078728836</c:v>
                </c:pt>
                <c:pt idx="1171">
                  <c:v>0.74563212364431697</c:v>
                </c:pt>
                <c:pt idx="1172">
                  <c:v>0.6957311729891047</c:v>
                </c:pt>
                <c:pt idx="1173">
                  <c:v>0.69039483439264859</c:v>
                </c:pt>
                <c:pt idx="1174">
                  <c:v>0.70473776101295216</c:v>
                </c:pt>
                <c:pt idx="1175">
                  <c:v>0.72689931314271128</c:v>
                </c:pt>
                <c:pt idx="1176">
                  <c:v>0.74598695658470626</c:v>
                </c:pt>
                <c:pt idx="1177">
                  <c:v>0.70534994576745891</c:v>
                </c:pt>
                <c:pt idx="1178">
                  <c:v>0.72763307649334252</c:v>
                </c:pt>
                <c:pt idx="1179">
                  <c:v>0.69291971126226204</c:v>
                </c:pt>
                <c:pt idx="1180">
                  <c:v>0.72199836221819202</c:v>
                </c:pt>
                <c:pt idx="1181">
                  <c:v>0.70403773220066646</c:v>
                </c:pt>
                <c:pt idx="1182">
                  <c:v>0.66431877404388928</c:v>
                </c:pt>
                <c:pt idx="1183">
                  <c:v>0.67471792774777339</c:v>
                </c:pt>
                <c:pt idx="1184">
                  <c:v>0.65416628854515102</c:v>
                </c:pt>
                <c:pt idx="1185">
                  <c:v>0.63823406070127631</c:v>
                </c:pt>
                <c:pt idx="1186">
                  <c:v>0.63417192892192875</c:v>
                </c:pt>
                <c:pt idx="1187">
                  <c:v>0.65793864845631411</c:v>
                </c:pt>
                <c:pt idx="1188">
                  <c:v>0.67164182843706088</c:v>
                </c:pt>
                <c:pt idx="1189">
                  <c:v>0.69331665904624451</c:v>
                </c:pt>
                <c:pt idx="1190">
                  <c:v>0.6891618335158386</c:v>
                </c:pt>
                <c:pt idx="1191">
                  <c:v>0.70725792757136208</c:v>
                </c:pt>
                <c:pt idx="1192">
                  <c:v>0.70265253979620079</c:v>
                </c:pt>
                <c:pt idx="1193">
                  <c:v>0.65755291606618538</c:v>
                </c:pt>
                <c:pt idx="1194">
                  <c:v>0.6402658831453758</c:v>
                </c:pt>
                <c:pt idx="1195">
                  <c:v>0.61831297380313155</c:v>
                </c:pt>
                <c:pt idx="1196">
                  <c:v>0.59857101438000515</c:v>
                </c:pt>
                <c:pt idx="1197">
                  <c:v>0.59431893093251464</c:v>
                </c:pt>
                <c:pt idx="1198">
                  <c:v>0.60846337638229131</c:v>
                </c:pt>
                <c:pt idx="1199">
                  <c:v>0.59985811945478862</c:v>
                </c:pt>
                <c:pt idx="1200">
                  <c:v>0.59544394214983187</c:v>
                </c:pt>
                <c:pt idx="1201">
                  <c:v>0.59710559159983312</c:v>
                </c:pt>
                <c:pt idx="1202">
                  <c:v>0.6133531464293025</c:v>
                </c:pt>
                <c:pt idx="1203">
                  <c:v>0.59124891574044003</c:v>
                </c:pt>
                <c:pt idx="1204">
                  <c:v>0.59388318057620137</c:v>
                </c:pt>
                <c:pt idx="1205">
                  <c:v>0.60494182295962495</c:v>
                </c:pt>
                <c:pt idx="1206">
                  <c:v>0.59065963205847583</c:v>
                </c:pt>
                <c:pt idx="1207">
                  <c:v>0.60022347696831324</c:v>
                </c:pt>
                <c:pt idx="1208">
                  <c:v>0.6256050338022322</c:v>
                </c:pt>
                <c:pt idx="1209">
                  <c:v>0.62614689347510011</c:v>
                </c:pt>
                <c:pt idx="1210">
                  <c:v>0.59989864734678922</c:v>
                </c:pt>
                <c:pt idx="1211">
                  <c:v>0.60793570998308222</c:v>
                </c:pt>
                <c:pt idx="1212">
                  <c:v>0.59396687252558711</c:v>
                </c:pt>
                <c:pt idx="1213">
                  <c:v>0.58173078012165791</c:v>
                </c:pt>
                <c:pt idx="1214">
                  <c:v>0.56094220744859302</c:v>
                </c:pt>
                <c:pt idx="1215">
                  <c:v>0.59156330652973721</c:v>
                </c:pt>
                <c:pt idx="1216">
                  <c:v>0.58710410817971015</c:v>
                </c:pt>
                <c:pt idx="1217">
                  <c:v>0.59930104831818942</c:v>
                </c:pt>
                <c:pt idx="1218">
                  <c:v>0.59237981594570999</c:v>
                </c:pt>
                <c:pt idx="1219">
                  <c:v>0.59616867805249285</c:v>
                </c:pt>
                <c:pt idx="1220">
                  <c:v>0.58459565277121939</c:v>
                </c:pt>
                <c:pt idx="1221">
                  <c:v>0.55911046470703052</c:v>
                </c:pt>
                <c:pt idx="1222">
                  <c:v>0.55122582974774603</c:v>
                </c:pt>
                <c:pt idx="1223">
                  <c:v>0.5553882697645367</c:v>
                </c:pt>
                <c:pt idx="1224">
                  <c:v>0.57791108565788185</c:v>
                </c:pt>
                <c:pt idx="1225">
                  <c:v>0.59570024648004283</c:v>
                </c:pt>
                <c:pt idx="1226">
                  <c:v>0.58610545388474966</c:v>
                </c:pt>
                <c:pt idx="1227">
                  <c:v>0.54248895751705062</c:v>
                </c:pt>
                <c:pt idx="1228">
                  <c:v>0.48149546611721417</c:v>
                </c:pt>
                <c:pt idx="1229">
                  <c:v>0.47432157845695599</c:v>
                </c:pt>
                <c:pt idx="1230">
                  <c:v>0.44669591069662523</c:v>
                </c:pt>
                <c:pt idx="1231">
                  <c:v>0.43315231127948167</c:v>
                </c:pt>
                <c:pt idx="1232">
                  <c:v>0.43078938616602852</c:v>
                </c:pt>
                <c:pt idx="1233">
                  <c:v>0.42771087072051805</c:v>
                </c:pt>
                <c:pt idx="1234">
                  <c:v>0.40804026510726082</c:v>
                </c:pt>
                <c:pt idx="1235">
                  <c:v>0.41592949854280947</c:v>
                </c:pt>
                <c:pt idx="1236">
                  <c:v>0.38847686573896506</c:v>
                </c:pt>
                <c:pt idx="1237">
                  <c:v>0.39753829078774006</c:v>
                </c:pt>
                <c:pt idx="1238">
                  <c:v>0.38901511939566213</c:v>
                </c:pt>
                <c:pt idx="1239">
                  <c:v>0.39303587493181746</c:v>
                </c:pt>
                <c:pt idx="1240">
                  <c:v>0.40752666463378756</c:v>
                </c:pt>
                <c:pt idx="1241">
                  <c:v>0.41403602040290555</c:v>
                </c:pt>
                <c:pt idx="1242">
                  <c:v>0.41185304895005903</c:v>
                </c:pt>
                <c:pt idx="1243">
                  <c:v>0.4159468728884676</c:v>
                </c:pt>
                <c:pt idx="1244">
                  <c:v>0.4128276268879939</c:v>
                </c:pt>
                <c:pt idx="1245">
                  <c:v>0.38904280184515011</c:v>
                </c:pt>
                <c:pt idx="1246">
                  <c:v>0.39221132536992603</c:v>
                </c:pt>
                <c:pt idx="1247">
                  <c:v>0.37397956409928446</c:v>
                </c:pt>
                <c:pt idx="1248">
                  <c:v>0.37137514662898813</c:v>
                </c:pt>
                <c:pt idx="1249">
                  <c:v>0.35581040811691322</c:v>
                </c:pt>
                <c:pt idx="1250">
                  <c:v>0.35284359799169918</c:v>
                </c:pt>
                <c:pt idx="1251">
                  <c:v>0.34314106670503153</c:v>
                </c:pt>
                <c:pt idx="1252">
                  <c:v>0.34969397791112944</c:v>
                </c:pt>
                <c:pt idx="1253">
                  <c:v>0.36202629398242442</c:v>
                </c:pt>
                <c:pt idx="1254">
                  <c:v>0.36402303484874288</c:v>
                </c:pt>
                <c:pt idx="1255">
                  <c:v>0.35610670204371347</c:v>
                </c:pt>
                <c:pt idx="1256">
                  <c:v>0.37462036622025663</c:v>
                </c:pt>
                <c:pt idx="1257">
                  <c:v>0.3663181162418126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5E-40E2-96D9-82C28B70D044}"/>
            </c:ext>
          </c:extLst>
        </c:ser>
        <c:ser>
          <c:idx val="5"/>
          <c:order val="5"/>
          <c:tx>
            <c:strRef>
              <c:f>Számolások!$P$2</c:f>
              <c:strCache>
                <c:ptCount val="1"/>
                <c:pt idx="0">
                  <c:v>VLO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Számolások!$AD$4:$AD$12560</c:f>
              <c:numCache>
                <c:formatCode>0</c:formatCode>
                <c:ptCount val="125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 formatCode="General">
                  <c:v>1250</c:v>
                </c:pt>
                <c:pt idx="1251" formatCode="General">
                  <c:v>1251</c:v>
                </c:pt>
                <c:pt idx="1252" formatCode="General">
                  <c:v>1252</c:v>
                </c:pt>
                <c:pt idx="1253" formatCode="General">
                  <c:v>1253</c:v>
                </c:pt>
                <c:pt idx="1254" formatCode="General">
                  <c:v>1254</c:v>
                </c:pt>
                <c:pt idx="1255" formatCode="General">
                  <c:v>1255</c:v>
                </c:pt>
                <c:pt idx="1256" formatCode="General">
                  <c:v>1256</c:v>
                </c:pt>
                <c:pt idx="1257" formatCode="General">
                  <c:v>1257</c:v>
                </c:pt>
              </c:numCache>
            </c:numRef>
          </c:xVal>
          <c:yVal>
            <c:numRef>
              <c:f>Számolások!$P$3:$P$1260</c:f>
              <c:numCache>
                <c:formatCode>0.00</c:formatCode>
                <c:ptCount val="1258"/>
                <c:pt idx="0">
                  <c:v>1</c:v>
                </c:pt>
                <c:pt idx="1">
                  <c:v>0.98200104505031882</c:v>
                </c:pt>
                <c:pt idx="2">
                  <c:v>1.0191901010902622</c:v>
                </c:pt>
                <c:pt idx="3">
                  <c:v>1.0202487829605291</c:v>
                </c:pt>
                <c:pt idx="4">
                  <c:v>1.0238221684442077</c:v>
                </c:pt>
                <c:pt idx="5">
                  <c:v>1.0228957523265156</c:v>
                </c:pt>
                <c:pt idx="6">
                  <c:v>1.024616199698682</c:v>
                </c:pt>
                <c:pt idx="7">
                  <c:v>1.0385124811676147</c:v>
                </c:pt>
                <c:pt idx="8">
                  <c:v>1.0448649958937268</c:v>
                </c:pt>
                <c:pt idx="9">
                  <c:v>1.0424827830196608</c:v>
                </c:pt>
                <c:pt idx="10">
                  <c:v>1.0455267613956263</c:v>
                </c:pt>
                <c:pt idx="11">
                  <c:v>1.0652461637174739</c:v>
                </c:pt>
                <c:pt idx="12">
                  <c:v>1.0930386207792118</c:v>
                </c:pt>
                <c:pt idx="13">
                  <c:v>1.0853626809254284</c:v>
                </c:pt>
                <c:pt idx="14">
                  <c:v>1.0558496706153964</c:v>
                </c:pt>
                <c:pt idx="15">
                  <c:v>1.0448649958937268</c:v>
                </c:pt>
                <c:pt idx="16">
                  <c:v>1.0877448937994945</c:v>
                </c:pt>
                <c:pt idx="17">
                  <c:v>1.072392815574188</c:v>
                </c:pt>
                <c:pt idx="18">
                  <c:v>1.0738486123305615</c:v>
                </c:pt>
                <c:pt idx="19">
                  <c:v>1.1021704765000127</c:v>
                </c:pt>
                <c:pt idx="20">
                  <c:v>1.1622551922248596</c:v>
                </c:pt>
                <c:pt idx="21">
                  <c:v>1.1283748578182864</c:v>
                </c:pt>
                <c:pt idx="22">
                  <c:v>1.1221546220792649</c:v>
                </c:pt>
                <c:pt idx="23">
                  <c:v>1.1376389792916617</c:v>
                </c:pt>
                <c:pt idx="24">
                  <c:v>1.1371095854184645</c:v>
                </c:pt>
                <c:pt idx="25">
                  <c:v>1.1105082877318235</c:v>
                </c:pt>
                <c:pt idx="26">
                  <c:v>1.1135521602316614</c:v>
                </c:pt>
                <c:pt idx="27">
                  <c:v>1.1029645077544867</c:v>
                </c:pt>
                <c:pt idx="28">
                  <c:v>1.089597726034879</c:v>
                </c:pt>
                <c:pt idx="29">
                  <c:v>1.1045526893740787</c:v>
                </c:pt>
                <c:pt idx="30">
                  <c:v>1.1065378932381655</c:v>
                </c:pt>
                <c:pt idx="31">
                  <c:v>1.1169931740866379</c:v>
                </c:pt>
                <c:pt idx="32">
                  <c:v>1.1221546220792649</c:v>
                </c:pt>
                <c:pt idx="33">
                  <c:v>1.1306246990636502</c:v>
                </c:pt>
                <c:pt idx="34">
                  <c:v>1.1180519485985165</c:v>
                </c:pt>
                <c:pt idx="35">
                  <c:v>1.1291689023072764</c:v>
                </c:pt>
                <c:pt idx="36">
                  <c:v>1.124669206582033</c:v>
                </c:pt>
                <c:pt idx="37">
                  <c:v>1.1171255457153402</c:v>
                </c:pt>
                <c:pt idx="38">
                  <c:v>1.0996558787627284</c:v>
                </c:pt>
                <c:pt idx="39">
                  <c:v>1.0794070958021995</c:v>
                </c:pt>
                <c:pt idx="40">
                  <c:v>1.0970090152728698</c:v>
                </c:pt>
                <c:pt idx="41">
                  <c:v>1.0922445895247379</c:v>
                </c:pt>
                <c:pt idx="42">
                  <c:v>1.0739809971937797</c:v>
                </c:pt>
                <c:pt idx="43">
                  <c:v>1.0766278474491227</c:v>
                </c:pt>
                <c:pt idx="44">
                  <c:v>1.0665695888451454</c:v>
                </c:pt>
                <c:pt idx="45">
                  <c:v>1.0554526483709012</c:v>
                </c:pt>
                <c:pt idx="46">
                  <c:v>1.1048174326314832</c:v>
                </c:pt>
                <c:pt idx="47">
                  <c:v>1.1097141373667057</c:v>
                </c:pt>
                <c:pt idx="48">
                  <c:v>1.1146109479780559</c:v>
                </c:pt>
                <c:pt idx="49">
                  <c:v>1.1241398127088358</c:v>
                </c:pt>
                <c:pt idx="50">
                  <c:v>1.1259926449442204</c:v>
                </c:pt>
                <c:pt idx="51">
                  <c:v>1.148094260140134</c:v>
                </c:pt>
                <c:pt idx="52">
                  <c:v>1.1438592150306834</c:v>
                </c:pt>
                <c:pt idx="53">
                  <c:v>1.1439915866593857</c:v>
                </c:pt>
                <c:pt idx="54">
                  <c:v>1.1431974495287838</c:v>
                </c:pt>
                <c:pt idx="55">
                  <c:v>1.1200370465864757</c:v>
                </c:pt>
                <c:pt idx="56">
                  <c:v>1.1312864645655496</c:v>
                </c:pt>
                <c:pt idx="57">
                  <c:v>1.1514028891318924</c:v>
                </c:pt>
                <c:pt idx="58">
                  <c:v>1.1384330237806519</c:v>
                </c:pt>
                <c:pt idx="59">
                  <c:v>1.122684015952462</c:v>
                </c:pt>
                <c:pt idx="60">
                  <c:v>1.122684015952462</c:v>
                </c:pt>
                <c:pt idx="61">
                  <c:v>1.1438592150306834</c:v>
                </c:pt>
                <c:pt idx="62">
                  <c:v>1.1176548337124097</c:v>
                </c:pt>
                <c:pt idx="63">
                  <c:v>1.1151403418512531</c:v>
                </c:pt>
                <c:pt idx="64">
                  <c:v>1.1163313953502223</c:v>
                </c:pt>
                <c:pt idx="65">
                  <c:v>1.147300215651144</c:v>
                </c:pt>
                <c:pt idx="66">
                  <c:v>1.1408152366547177</c:v>
                </c:pt>
                <c:pt idx="67">
                  <c:v>1.1263896671887155</c:v>
                </c:pt>
                <c:pt idx="68">
                  <c:v>1.17032824696475</c:v>
                </c:pt>
                <c:pt idx="69">
                  <c:v>1.1784013149391561</c:v>
                </c:pt>
                <c:pt idx="70">
                  <c:v>1.1700636095834731</c:v>
                </c:pt>
                <c:pt idx="71">
                  <c:v>1.1600053509794959</c:v>
                </c:pt>
                <c:pt idx="72">
                  <c:v>1.168872450208376</c:v>
                </c:pt>
                <c:pt idx="73">
                  <c:v>1.183430391303081</c:v>
                </c:pt>
                <c:pt idx="74">
                  <c:v>1.1651667989721231</c:v>
                </c:pt>
                <c:pt idx="75">
                  <c:v>1.2063261568641122</c:v>
                </c:pt>
                <c:pt idx="76">
                  <c:v>1.1948120882692455</c:v>
                </c:pt>
                <c:pt idx="77">
                  <c:v>1.1610641254913745</c:v>
                </c:pt>
                <c:pt idx="78">
                  <c:v>1.2020911117546615</c:v>
                </c:pt>
                <c:pt idx="79">
                  <c:v>1.1921652247793866</c:v>
                </c:pt>
                <c:pt idx="80">
                  <c:v>1.1858126041771468</c:v>
                </c:pt>
                <c:pt idx="81">
                  <c:v>1.199841270509298</c:v>
                </c:pt>
                <c:pt idx="82">
                  <c:v>1.1880624586570265</c:v>
                </c:pt>
                <c:pt idx="83">
                  <c:v>1.167946034090684</c:v>
                </c:pt>
                <c:pt idx="84">
                  <c:v>1.1704606185934523</c:v>
                </c:pt>
                <c:pt idx="85">
                  <c:v>1.143329821157486</c:v>
                </c:pt>
                <c:pt idx="86">
                  <c:v>1.1164637802134405</c:v>
                </c:pt>
                <c:pt idx="87">
                  <c:v>1.0905241421525713</c:v>
                </c:pt>
                <c:pt idx="88">
                  <c:v>1.0817893086762655</c:v>
                </c:pt>
                <c:pt idx="89">
                  <c:v>1.1081260616232416</c:v>
                </c:pt>
                <c:pt idx="90">
                  <c:v>1.0774219978142403</c:v>
                </c:pt>
                <c:pt idx="91">
                  <c:v>1.097935431390562</c:v>
                </c:pt>
                <c:pt idx="92">
                  <c:v>1.1033616358751095</c:v>
                </c:pt>
                <c:pt idx="93">
                  <c:v>1.1311540929368473</c:v>
                </c:pt>
                <c:pt idx="94">
                  <c:v>1.107861318365837</c:v>
                </c:pt>
                <c:pt idx="95">
                  <c:v>1.0862890970431207</c:v>
                </c:pt>
                <c:pt idx="96">
                  <c:v>1.0914505450357477</c:v>
                </c:pt>
                <c:pt idx="97">
                  <c:v>1.0633933314820894</c:v>
                </c:pt>
                <c:pt idx="98">
                  <c:v>0.99801490201204091</c:v>
                </c:pt>
                <c:pt idx="99">
                  <c:v>1.0087348202417898</c:v>
                </c:pt>
                <c:pt idx="100">
                  <c:v>0.99377975102646254</c:v>
                </c:pt>
                <c:pt idx="101">
                  <c:v>0.9907358785266247</c:v>
                </c:pt>
                <c:pt idx="102">
                  <c:v>0.9643992182212604</c:v>
                </c:pt>
                <c:pt idx="103">
                  <c:v>0.93170995054817241</c:v>
                </c:pt>
                <c:pt idx="104">
                  <c:v>0.9528851496263937</c:v>
                </c:pt>
                <c:pt idx="105">
                  <c:v>0.97736897769637321</c:v>
                </c:pt>
                <c:pt idx="106">
                  <c:v>0.96797248459429563</c:v>
                </c:pt>
                <c:pt idx="107">
                  <c:v>0.9855744172994817</c:v>
                </c:pt>
                <c:pt idx="108">
                  <c:v>0.9890154179199423</c:v>
                </c:pt>
                <c:pt idx="109">
                  <c:v>1.003970394493658</c:v>
                </c:pt>
                <c:pt idx="110">
                  <c:v>1.0105876524771746</c:v>
                </c:pt>
                <c:pt idx="111">
                  <c:v>1.0124404714780433</c:v>
                </c:pt>
                <c:pt idx="112">
                  <c:v>1.0224987300820205</c:v>
                </c:pt>
                <c:pt idx="113">
                  <c:v>1.0158814720985039</c:v>
                </c:pt>
                <c:pt idx="114">
                  <c:v>1.0181313133438676</c:v>
                </c:pt>
                <c:pt idx="115">
                  <c:v>1.0296453819387343</c:v>
                </c:pt>
                <c:pt idx="116">
                  <c:v>1.0344098209213823</c:v>
                </c:pt>
                <c:pt idx="117">
                  <c:v>1.0554526483709012</c:v>
                </c:pt>
                <c:pt idx="118">
                  <c:v>1.084039255797757</c:v>
                </c:pt>
                <c:pt idx="119">
                  <c:v>1.0688195359666368</c:v>
                </c:pt>
                <c:pt idx="120">
                  <c:v>1.0803334986853759</c:v>
                </c:pt>
                <c:pt idx="121">
                  <c:v>1.1240074410801337</c:v>
                </c:pt>
                <c:pt idx="122">
                  <c:v>1.1107729251131004</c:v>
                </c:pt>
                <c:pt idx="123">
                  <c:v>1.1330069251722321</c:v>
                </c:pt>
                <c:pt idx="124">
                  <c:v>1.1150079702225508</c:v>
                </c:pt>
                <c:pt idx="125">
                  <c:v>1.0680253988360349</c:v>
                </c:pt>
                <c:pt idx="126">
                  <c:v>1.0849656586809333</c:v>
                </c:pt>
                <c:pt idx="127">
                  <c:v>1.083112733803937</c:v>
                </c:pt>
                <c:pt idx="128">
                  <c:v>1.0767602323123409</c:v>
                </c:pt>
                <c:pt idx="129">
                  <c:v>1.0884065666597822</c:v>
                </c:pt>
                <c:pt idx="130">
                  <c:v>1.1037586581196046</c:v>
                </c:pt>
                <c:pt idx="131">
                  <c:v>1.1173901830966171</c:v>
                </c:pt>
                <c:pt idx="132">
                  <c:v>1.1216252282060675</c:v>
                </c:pt>
                <c:pt idx="133">
                  <c:v>1.1159343863402431</c:v>
                </c:pt>
                <c:pt idx="134">
                  <c:v>1.1144785763493537</c:v>
                </c:pt>
                <c:pt idx="135">
                  <c:v>1.1016410826268155</c:v>
                </c:pt>
                <c:pt idx="136">
                  <c:v>1.103096879383189</c:v>
                </c:pt>
                <c:pt idx="137">
                  <c:v>1.1070672871113629</c:v>
                </c:pt>
                <c:pt idx="138">
                  <c:v>1.1163313953502223</c:v>
                </c:pt>
                <c:pt idx="139">
                  <c:v>1.1218898788218603</c:v>
                </c:pt>
                <c:pt idx="140">
                  <c:v>1.1404182144102228</c:v>
                </c:pt>
                <c:pt idx="141">
                  <c:v>1.1044203177453764</c:v>
                </c:pt>
                <c:pt idx="142">
                  <c:v>1.1158020147115408</c:v>
                </c:pt>
                <c:pt idx="143">
                  <c:v>1.1120963634752876</c:v>
                </c:pt>
                <c:pt idx="144">
                  <c:v>1.1221546220792649</c:v>
                </c:pt>
                <c:pt idx="145">
                  <c:v>1.1282424861895841</c:v>
                </c:pt>
                <c:pt idx="146">
                  <c:v>1.11619902372152</c:v>
                </c:pt>
                <c:pt idx="147">
                  <c:v>1.0861567254144184</c:v>
                </c:pt>
                <c:pt idx="148">
                  <c:v>1.0029116067472634</c:v>
                </c:pt>
                <c:pt idx="149">
                  <c:v>1.0169401539687708</c:v>
                </c:pt>
                <c:pt idx="150">
                  <c:v>1.0033086289917583</c:v>
                </c:pt>
                <c:pt idx="151">
                  <c:v>1.0423505040325702</c:v>
                </c:pt>
                <c:pt idx="152">
                  <c:v>1.0435415575315394</c:v>
                </c:pt>
                <c:pt idx="153">
                  <c:v>1.0210429333256468</c:v>
                </c:pt>
                <c:pt idx="154">
                  <c:v>1.0420857607751659</c:v>
                </c:pt>
                <c:pt idx="155">
                  <c:v>1.0058232134945266</c:v>
                </c:pt>
                <c:pt idx="156">
                  <c:v>1.0153520782253065</c:v>
                </c:pt>
                <c:pt idx="157">
                  <c:v>1.0338804270481849</c:v>
                </c:pt>
                <c:pt idx="158">
                  <c:v>1.0547908828690018</c:v>
                </c:pt>
                <c:pt idx="159">
                  <c:v>1.0324246170572955</c:v>
                </c:pt>
                <c:pt idx="160">
                  <c:v>1.0375860782844384</c:v>
                </c:pt>
                <c:pt idx="161">
                  <c:v>1.024616199698682</c:v>
                </c:pt>
                <c:pt idx="162">
                  <c:v>0.98173639443452621</c:v>
                </c:pt>
                <c:pt idx="163">
                  <c:v>0.97551615869550445</c:v>
                </c:pt>
                <c:pt idx="164">
                  <c:v>0.94904712676143799</c:v>
                </c:pt>
                <c:pt idx="165">
                  <c:v>0.96294340823037083</c:v>
                </c:pt>
                <c:pt idx="166">
                  <c:v>0.9957649548905495</c:v>
                </c:pt>
                <c:pt idx="167">
                  <c:v>0.99629434876374678</c:v>
                </c:pt>
                <c:pt idx="168">
                  <c:v>0.98689785566166899</c:v>
                </c:pt>
                <c:pt idx="169">
                  <c:v>0.98967709078023014</c:v>
                </c:pt>
                <c:pt idx="170">
                  <c:v>1.016278494342999</c:v>
                </c:pt>
                <c:pt idx="171">
                  <c:v>1.0340126928007596</c:v>
                </c:pt>
                <c:pt idx="172">
                  <c:v>1.0505558377595512</c:v>
                </c:pt>
                <c:pt idx="173">
                  <c:v>1.0809952641872755</c:v>
                </c:pt>
                <c:pt idx="174">
                  <c:v>1.0940974085256066</c:v>
                </c:pt>
                <c:pt idx="175">
                  <c:v>1.1077289467371347</c:v>
                </c:pt>
                <c:pt idx="176">
                  <c:v>1.1319481374258376</c:v>
                </c:pt>
                <c:pt idx="177">
                  <c:v>1.0903917572893531</c:v>
                </c:pt>
                <c:pt idx="178">
                  <c:v>1.1158020147115408</c:v>
                </c:pt>
                <c:pt idx="179">
                  <c:v>1.1064055083749473</c:v>
                </c:pt>
                <c:pt idx="180">
                  <c:v>1.1057438487491755</c:v>
                </c:pt>
                <c:pt idx="181">
                  <c:v>1.0964796213996724</c:v>
                </c:pt>
                <c:pt idx="182">
                  <c:v>1.1135521602316614</c:v>
                </c:pt>
                <c:pt idx="183">
                  <c:v>1.0997882503914307</c:v>
                </c:pt>
                <c:pt idx="184">
                  <c:v>1.1071996587400652</c:v>
                </c:pt>
                <c:pt idx="185">
                  <c:v>1.1000530068833512</c:v>
                </c:pt>
                <c:pt idx="186">
                  <c:v>1.1175225547253194</c:v>
                </c:pt>
                <c:pt idx="187">
                  <c:v>1.1281101145608818</c:v>
                </c:pt>
                <c:pt idx="188">
                  <c:v>1.127845463945089</c:v>
                </c:pt>
                <c:pt idx="189">
                  <c:v>1.0958179617739008</c:v>
                </c:pt>
                <c:pt idx="190">
                  <c:v>1.1056114771204733</c:v>
                </c:pt>
                <c:pt idx="191">
                  <c:v>1.118581249830102</c:v>
                </c:pt>
                <c:pt idx="192">
                  <c:v>1.1040232955008815</c:v>
                </c:pt>
                <c:pt idx="193">
                  <c:v>1.1026998703732098</c:v>
                </c:pt>
                <c:pt idx="194">
                  <c:v>1.1258602733155181</c:v>
                </c:pt>
                <c:pt idx="195">
                  <c:v>1.1355215096750004</c:v>
                </c:pt>
                <c:pt idx="196">
                  <c:v>1.1646374050989257</c:v>
                </c:pt>
                <c:pt idx="197">
                  <c:v>1.1716516853269372</c:v>
                </c:pt>
                <c:pt idx="198">
                  <c:v>1.1838274135475759</c:v>
                </c:pt>
                <c:pt idx="199">
                  <c:v>1.1790629745649279</c:v>
                </c:pt>
                <c:pt idx="200">
                  <c:v>1.1924298621606635</c:v>
                </c:pt>
                <c:pt idx="201">
                  <c:v>1.2051349974890153</c:v>
                </c:pt>
                <c:pt idx="202">
                  <c:v>1.2335892200526528</c:v>
                </c:pt>
                <c:pt idx="203">
                  <c:v>1.2462943421464889</c:v>
                </c:pt>
                <c:pt idx="204">
                  <c:v>1.2420592970370381</c:v>
                </c:pt>
                <c:pt idx="205">
                  <c:v>1.2825569953032556</c:v>
                </c:pt>
                <c:pt idx="206">
                  <c:v>1.3137903603438423</c:v>
                </c:pt>
                <c:pt idx="207">
                  <c:v>1.3243780128210167</c:v>
                </c:pt>
                <c:pt idx="208">
                  <c:v>1.3343038997962917</c:v>
                </c:pt>
                <c:pt idx="209">
                  <c:v>1.3077024962335229</c:v>
                </c:pt>
                <c:pt idx="210">
                  <c:v>1.283483398186432</c:v>
                </c:pt>
                <c:pt idx="211">
                  <c:v>1.3215987777024558</c:v>
                </c:pt>
                <c:pt idx="212">
                  <c:v>1.3398623700334138</c:v>
                </c:pt>
                <c:pt idx="213">
                  <c:v>1.3378771661693269</c:v>
                </c:pt>
                <c:pt idx="214">
                  <c:v>1.3280836508227543</c:v>
                </c:pt>
                <c:pt idx="215">
                  <c:v>1.3419799455262029</c:v>
                </c:pt>
                <c:pt idx="216">
                  <c:v>1.3348332936694891</c:v>
                </c:pt>
                <c:pt idx="217">
                  <c:v>1.3324510675609071</c:v>
                </c:pt>
                <c:pt idx="218">
                  <c:v>1.3298042040710483</c:v>
                </c:pt>
                <c:pt idx="219">
                  <c:v>1.3267602256950828</c:v>
                </c:pt>
                <c:pt idx="220">
                  <c:v>1.3343038997962917</c:v>
                </c:pt>
                <c:pt idx="221">
                  <c:v>1.3315246646777308</c:v>
                </c:pt>
                <c:pt idx="222">
                  <c:v>1.3374801571593478</c:v>
                </c:pt>
                <c:pt idx="223">
                  <c:v>1.2919534884053332</c:v>
                </c:pt>
                <c:pt idx="224">
                  <c:v>1.2862626333049931</c:v>
                </c:pt>
                <c:pt idx="225">
                  <c:v>1.3024087692538056</c:v>
                </c:pt>
                <c:pt idx="226">
                  <c:v>1.2904976784144437</c:v>
                </c:pt>
                <c:pt idx="227">
                  <c:v>1.2883801029216544</c:v>
                </c:pt>
                <c:pt idx="228">
                  <c:v>1.2895712622967515</c:v>
                </c:pt>
                <c:pt idx="229">
                  <c:v>1.2850714739298963</c:v>
                </c:pt>
                <c:pt idx="230">
                  <c:v>1.2637639032229726</c:v>
                </c:pt>
                <c:pt idx="231">
                  <c:v>1.2652196999793464</c:v>
                </c:pt>
                <c:pt idx="232">
                  <c:v>1.2425886909102355</c:v>
                </c:pt>
                <c:pt idx="233">
                  <c:v>1.2335892200526528</c:v>
                </c:pt>
                <c:pt idx="234">
                  <c:v>1.2306776133053896</c:v>
                </c:pt>
                <c:pt idx="235">
                  <c:v>1.238883052908498</c:v>
                </c:pt>
                <c:pt idx="236">
                  <c:v>1.2244573775663681</c:v>
                </c:pt>
                <c:pt idx="237">
                  <c:v>1.2515881750023339</c:v>
                </c:pt>
                <c:pt idx="238">
                  <c:v>1.2293541749432022</c:v>
                </c:pt>
                <c:pt idx="239">
                  <c:v>1.2510587811291367</c:v>
                </c:pt>
                <c:pt idx="240">
                  <c:v>1.2415299163983566</c:v>
                </c:pt>
                <c:pt idx="241">
                  <c:v>1.2591318358690271</c:v>
                </c:pt>
                <c:pt idx="242">
                  <c:v>1.2662784877257409</c:v>
                </c:pt>
                <c:pt idx="243">
                  <c:v>1.2507941305133439</c:v>
                </c:pt>
                <c:pt idx="244">
                  <c:v>1.2518528123836108</c:v>
                </c:pt>
                <c:pt idx="245">
                  <c:v>1.2608522964757094</c:v>
                </c:pt>
                <c:pt idx="246">
                  <c:v>1.2604552742312143</c:v>
                </c:pt>
                <c:pt idx="247">
                  <c:v>1.2586024419958297</c:v>
                </c:pt>
                <c:pt idx="248">
                  <c:v>1.2496029711382473</c:v>
                </c:pt>
                <c:pt idx="249">
                  <c:v>1.2334568484239505</c:v>
                </c:pt>
                <c:pt idx="250">
                  <c:v>1.2292218033144999</c:v>
                </c:pt>
                <c:pt idx="251">
                  <c:v>1.2394124467816954</c:v>
                </c:pt>
                <c:pt idx="252">
                  <c:v>1.2589994642403248</c:v>
                </c:pt>
                <c:pt idx="253">
                  <c:v>1.2112228615993348</c:v>
                </c:pt>
                <c:pt idx="254">
                  <c:v>1.2113552332280371</c:v>
                </c:pt>
                <c:pt idx="255">
                  <c:v>1.2272367053265407</c:v>
                </c:pt>
                <c:pt idx="256">
                  <c:v>1.2320010384330609</c:v>
                </c:pt>
                <c:pt idx="257">
                  <c:v>1.2596612297422245</c:v>
                </c:pt>
                <c:pt idx="258">
                  <c:v>1.2822922388113351</c:v>
                </c:pt>
                <c:pt idx="259">
                  <c:v>1.2738221618269499</c:v>
                </c:pt>
                <c:pt idx="260">
                  <c:v>1.2625728497240036</c:v>
                </c:pt>
                <c:pt idx="261">
                  <c:v>1.2210164695875192</c:v>
                </c:pt>
                <c:pt idx="262">
                  <c:v>1.2173108183512658</c:v>
                </c:pt>
                <c:pt idx="263">
                  <c:v>1.2072525597472885</c:v>
                </c:pt>
                <c:pt idx="264">
                  <c:v>1.1944150660247503</c:v>
                </c:pt>
                <c:pt idx="265">
                  <c:v>1.1860773606690673</c:v>
                </c:pt>
                <c:pt idx="266">
                  <c:v>1.1846215506781776</c:v>
                </c:pt>
                <c:pt idx="267">
                  <c:v>1.1813129216864193</c:v>
                </c:pt>
                <c:pt idx="268">
                  <c:v>1.1255956226997255</c:v>
                </c:pt>
                <c:pt idx="269">
                  <c:v>1.1375066076629594</c:v>
                </c:pt>
                <c:pt idx="270">
                  <c:v>1.1442562372751783</c:v>
                </c:pt>
                <c:pt idx="271">
                  <c:v>1.167151989601694</c:v>
                </c:pt>
                <c:pt idx="272">
                  <c:v>1.1158020147115408</c:v>
                </c:pt>
                <c:pt idx="273">
                  <c:v>1.0620699063544179</c:v>
                </c:pt>
                <c:pt idx="274">
                  <c:v>1.0751720506927489</c:v>
                </c:pt>
                <c:pt idx="275">
                  <c:v>1.1087877344835293</c:v>
                </c:pt>
                <c:pt idx="276">
                  <c:v>1.1020381048713106</c:v>
                </c:pt>
                <c:pt idx="277">
                  <c:v>1.1122287351039899</c:v>
                </c:pt>
                <c:pt idx="278">
                  <c:v>1.1165961518421428</c:v>
                </c:pt>
                <c:pt idx="279">
                  <c:v>1.1148755985938488</c:v>
                </c:pt>
                <c:pt idx="280">
                  <c:v>1.1254632510710232</c:v>
                </c:pt>
                <c:pt idx="281">
                  <c:v>1.1077289467371347</c:v>
                </c:pt>
                <c:pt idx="282">
                  <c:v>1.0937003862811114</c:v>
                </c:pt>
                <c:pt idx="283">
                  <c:v>1.0921122178960356</c:v>
                </c:pt>
                <c:pt idx="284">
                  <c:v>1.1015088036397249</c:v>
                </c:pt>
                <c:pt idx="285">
                  <c:v>1.1139491824761565</c:v>
                </c:pt>
                <c:pt idx="286">
                  <c:v>1.097141400136088</c:v>
                </c:pt>
                <c:pt idx="287">
                  <c:v>1.0336156705562645</c:v>
                </c:pt>
                <c:pt idx="288">
                  <c:v>0.9851773950549868</c:v>
                </c:pt>
                <c:pt idx="289">
                  <c:v>0.94917949839014026</c:v>
                </c:pt>
                <c:pt idx="290">
                  <c:v>0.8759926383269625</c:v>
                </c:pt>
                <c:pt idx="291">
                  <c:v>0.87678668281595251</c:v>
                </c:pt>
                <c:pt idx="292">
                  <c:v>0.89822663838609418</c:v>
                </c:pt>
                <c:pt idx="293">
                  <c:v>0.85283223538465436</c:v>
                </c:pt>
                <c:pt idx="294">
                  <c:v>0.84899422575421468</c:v>
                </c:pt>
                <c:pt idx="295">
                  <c:v>0.8165696484004672</c:v>
                </c:pt>
                <c:pt idx="296">
                  <c:v>0.83496561236012745</c:v>
                </c:pt>
                <c:pt idx="297">
                  <c:v>0.77289575894377349</c:v>
                </c:pt>
                <c:pt idx="298">
                  <c:v>0.8000265034416757</c:v>
                </c:pt>
                <c:pt idx="299">
                  <c:v>0.72022233245691725</c:v>
                </c:pt>
                <c:pt idx="300">
                  <c:v>0.58178930867626555</c:v>
                </c:pt>
                <c:pt idx="301">
                  <c:v>0.66040237322399087</c:v>
                </c:pt>
                <c:pt idx="302">
                  <c:v>0.55095291294211002</c:v>
                </c:pt>
                <c:pt idx="303">
                  <c:v>0.51641081303363723</c:v>
                </c:pt>
                <c:pt idx="304">
                  <c:v>0.46347274916550429</c:v>
                </c:pt>
                <c:pt idx="305">
                  <c:v>0.49510324232671366</c:v>
                </c:pt>
                <c:pt idx="306">
                  <c:v>0.51164638728550527</c:v>
                </c:pt>
                <c:pt idx="307">
                  <c:v>0.43170989761010847</c:v>
                </c:pt>
                <c:pt idx="308">
                  <c:v>0.45857600472673388</c:v>
                </c:pt>
                <c:pt idx="309">
                  <c:v>0.52448388100804344</c:v>
                </c:pt>
                <c:pt idx="310">
                  <c:v>0.60349390162768402</c:v>
                </c:pt>
                <c:pt idx="311">
                  <c:v>0.59608261238969329</c:v>
                </c:pt>
                <c:pt idx="312">
                  <c:v>0.62453679524978289</c:v>
                </c:pt>
                <c:pt idx="313">
                  <c:v>0.6003176574991439</c:v>
                </c:pt>
                <c:pt idx="314">
                  <c:v>0.54261515464836307</c:v>
                </c:pt>
                <c:pt idx="315">
                  <c:v>0.54923241263187972</c:v>
                </c:pt>
                <c:pt idx="316">
                  <c:v>0.53388037411012113</c:v>
                </c:pt>
                <c:pt idx="317">
                  <c:v>0.61011115961120066</c:v>
                </c:pt>
                <c:pt idx="318">
                  <c:v>0.63538908510823422</c:v>
                </c:pt>
                <c:pt idx="319">
                  <c:v>0.68290099742988353</c:v>
                </c:pt>
                <c:pt idx="320">
                  <c:v>0.6630492234793337</c:v>
                </c:pt>
                <c:pt idx="321">
                  <c:v>0.65775545679606828</c:v>
                </c:pt>
                <c:pt idx="322">
                  <c:v>0.67429860175485978</c:v>
                </c:pt>
                <c:pt idx="323">
                  <c:v>0.61805190889496853</c:v>
                </c:pt>
                <c:pt idx="324">
                  <c:v>0.59555321851649601</c:v>
                </c:pt>
                <c:pt idx="325">
                  <c:v>0.68501851998460894</c:v>
                </c:pt>
                <c:pt idx="326">
                  <c:v>0.66582851153595857</c:v>
                </c:pt>
                <c:pt idx="327">
                  <c:v>0.65444682780430996</c:v>
                </c:pt>
                <c:pt idx="328">
                  <c:v>0.66926947245287127</c:v>
                </c:pt>
                <c:pt idx="329">
                  <c:v>0.68912124640342109</c:v>
                </c:pt>
                <c:pt idx="330">
                  <c:v>0.69481208826924534</c:v>
                </c:pt>
                <c:pt idx="331">
                  <c:v>0.7354420522880375</c:v>
                </c:pt>
                <c:pt idx="332">
                  <c:v>0.76588142577769791</c:v>
                </c:pt>
                <c:pt idx="333">
                  <c:v>0.87718370506044763</c:v>
                </c:pt>
                <c:pt idx="334">
                  <c:v>0.83840656004252412</c:v>
                </c:pt>
                <c:pt idx="335">
                  <c:v>0.77766013175384163</c:v>
                </c:pt>
                <c:pt idx="336">
                  <c:v>0.84250928646133638</c:v>
                </c:pt>
                <c:pt idx="337">
                  <c:v>0.83403919624243517</c:v>
                </c:pt>
                <c:pt idx="338">
                  <c:v>0.80611436755199495</c:v>
                </c:pt>
                <c:pt idx="339">
                  <c:v>0.81074642167142474</c:v>
                </c:pt>
                <c:pt idx="340">
                  <c:v>0.87241926607779974</c:v>
                </c:pt>
                <c:pt idx="341">
                  <c:v>0.86778721195836983</c:v>
                </c:pt>
                <c:pt idx="342">
                  <c:v>0.83827424135188577</c:v>
                </c:pt>
                <c:pt idx="343">
                  <c:v>0.78149815461879713</c:v>
                </c:pt>
                <c:pt idx="344">
                  <c:v>0.78626259360144501</c:v>
                </c:pt>
                <c:pt idx="345">
                  <c:v>0.77792483530769818</c:v>
                </c:pt>
                <c:pt idx="346">
                  <c:v>0.85164107600955741</c:v>
                </c:pt>
                <c:pt idx="347">
                  <c:v>0.84767078739202728</c:v>
                </c:pt>
                <c:pt idx="348">
                  <c:v>0.89121225228195489</c:v>
                </c:pt>
                <c:pt idx="349">
                  <c:v>0.86990477421664303</c:v>
                </c:pt>
                <c:pt idx="350">
                  <c:v>0.86924300871474369</c:v>
                </c:pt>
                <c:pt idx="351">
                  <c:v>0.90921120723163606</c:v>
                </c:pt>
                <c:pt idx="352">
                  <c:v>0.92879833056639327</c:v>
                </c:pt>
                <c:pt idx="353">
                  <c:v>0.88843301716339396</c:v>
                </c:pt>
                <c:pt idx="354">
                  <c:v>0.88194813080857959</c:v>
                </c:pt>
                <c:pt idx="355">
                  <c:v>0.88115409955410529</c:v>
                </c:pt>
                <c:pt idx="356">
                  <c:v>0.90246167026102908</c:v>
                </c:pt>
                <c:pt idx="357">
                  <c:v>0.93356276954904116</c:v>
                </c:pt>
                <c:pt idx="358">
                  <c:v>0.92707788319422679</c:v>
                </c:pt>
                <c:pt idx="359">
                  <c:v>0.98782425854484557</c:v>
                </c:pt>
                <c:pt idx="360">
                  <c:v>1.0007941371306019</c:v>
                </c:pt>
                <c:pt idx="361">
                  <c:v>0.94322391326691157</c:v>
                </c:pt>
                <c:pt idx="362">
                  <c:v>0.9138433672271935</c:v>
                </c:pt>
                <c:pt idx="363">
                  <c:v>0.80307042887957736</c:v>
                </c:pt>
                <c:pt idx="364">
                  <c:v>0.84422978677156668</c:v>
                </c:pt>
                <c:pt idx="365">
                  <c:v>0.8415828703436441</c:v>
                </c:pt>
                <c:pt idx="366">
                  <c:v>0.87559562931698343</c:v>
                </c:pt>
                <c:pt idx="367">
                  <c:v>0.82477503506551186</c:v>
                </c:pt>
                <c:pt idx="368">
                  <c:v>0.85534672724581085</c:v>
                </c:pt>
                <c:pt idx="369">
                  <c:v>0.83589202847781974</c:v>
                </c:pt>
                <c:pt idx="370">
                  <c:v>0.82927477049430309</c:v>
                </c:pt>
                <c:pt idx="371">
                  <c:v>0.82914245180366475</c:v>
                </c:pt>
                <c:pt idx="372">
                  <c:v>0.76786661640726894</c:v>
                </c:pt>
                <c:pt idx="373">
                  <c:v>0.75807306135714825</c:v>
                </c:pt>
                <c:pt idx="374">
                  <c:v>0.74536793926331235</c:v>
                </c:pt>
                <c:pt idx="375">
                  <c:v>0.7537056975570593</c:v>
                </c:pt>
                <c:pt idx="376">
                  <c:v>0.77845422918089546</c:v>
                </c:pt>
                <c:pt idx="377">
                  <c:v>0.74695606794484037</c:v>
                </c:pt>
                <c:pt idx="378">
                  <c:v>0.74563262958265308</c:v>
                </c:pt>
                <c:pt idx="379">
                  <c:v>0.74735312989288338</c:v>
                </c:pt>
                <c:pt idx="380">
                  <c:v>0.70301747493429001</c:v>
                </c:pt>
                <c:pt idx="381">
                  <c:v>0.70116465593342125</c:v>
                </c:pt>
                <c:pt idx="382">
                  <c:v>0.66463740509892555</c:v>
                </c:pt>
                <c:pt idx="383">
                  <c:v>0.71003180810036559</c:v>
                </c:pt>
                <c:pt idx="384">
                  <c:v>0.70447328492517958</c:v>
                </c:pt>
                <c:pt idx="385">
                  <c:v>0.71995769507564045</c:v>
                </c:pt>
                <c:pt idx="386">
                  <c:v>0.75741134879331262</c:v>
                </c:pt>
                <c:pt idx="387">
                  <c:v>0.74880893988377295</c:v>
                </c:pt>
                <c:pt idx="388">
                  <c:v>0.73411861392585009</c:v>
                </c:pt>
                <c:pt idx="389">
                  <c:v>0.71903127895794816</c:v>
                </c:pt>
                <c:pt idx="390">
                  <c:v>0.76204345585080624</c:v>
                </c:pt>
                <c:pt idx="391">
                  <c:v>0.75529382623858732</c:v>
                </c:pt>
                <c:pt idx="392">
                  <c:v>0.76323450934977533</c:v>
                </c:pt>
                <c:pt idx="393">
                  <c:v>0.76733723576858748</c:v>
                </c:pt>
                <c:pt idx="394">
                  <c:v>0.76799894833242321</c:v>
                </c:pt>
                <c:pt idx="395">
                  <c:v>0.75291160013000535</c:v>
                </c:pt>
                <c:pt idx="396">
                  <c:v>0.78996824483769845</c:v>
                </c:pt>
                <c:pt idx="397">
                  <c:v>0.74550031089201463</c:v>
                </c:pt>
                <c:pt idx="398">
                  <c:v>0.74417683282627933</c:v>
                </c:pt>
                <c:pt idx="399">
                  <c:v>0.71347275578276226</c:v>
                </c:pt>
                <c:pt idx="400">
                  <c:v>0.70169403657210272</c:v>
                </c:pt>
                <c:pt idx="401">
                  <c:v>0.68316570098374019</c:v>
                </c:pt>
                <c:pt idx="402">
                  <c:v>0.68131288198287143</c:v>
                </c:pt>
                <c:pt idx="403">
                  <c:v>0.69692961082397065</c:v>
                </c:pt>
                <c:pt idx="404">
                  <c:v>0.70870831680011437</c:v>
                </c:pt>
                <c:pt idx="405">
                  <c:v>0.71003180810036559</c:v>
                </c:pt>
                <c:pt idx="406">
                  <c:v>0.72948650686835648</c:v>
                </c:pt>
                <c:pt idx="407">
                  <c:v>0.70394389105198241</c:v>
                </c:pt>
                <c:pt idx="408">
                  <c:v>0.72075172633011464</c:v>
                </c:pt>
                <c:pt idx="409">
                  <c:v>0.73583906129801646</c:v>
                </c:pt>
                <c:pt idx="410">
                  <c:v>0.72445743050443179</c:v>
                </c:pt>
                <c:pt idx="411">
                  <c:v>0.71810480990219205</c:v>
                </c:pt>
                <c:pt idx="412">
                  <c:v>0.69745900469716804</c:v>
                </c:pt>
                <c:pt idx="413">
                  <c:v>0.69640021695077337</c:v>
                </c:pt>
                <c:pt idx="414">
                  <c:v>0.72776605949619011</c:v>
                </c:pt>
                <c:pt idx="415">
                  <c:v>0.7179724912115536</c:v>
                </c:pt>
                <c:pt idx="416">
                  <c:v>0.71069352066420122</c:v>
                </c:pt>
                <c:pt idx="417">
                  <c:v>0.70725252004374062</c:v>
                </c:pt>
                <c:pt idx="418">
                  <c:v>0.72644256819593889</c:v>
                </c:pt>
                <c:pt idx="419">
                  <c:v>0.69600319470627847</c:v>
                </c:pt>
                <c:pt idx="420">
                  <c:v>0.69441506602475045</c:v>
                </c:pt>
                <c:pt idx="421">
                  <c:v>0.70023823981572897</c:v>
                </c:pt>
                <c:pt idx="422">
                  <c:v>0.69256224702388169</c:v>
                </c:pt>
                <c:pt idx="423">
                  <c:v>0.67787192106595884</c:v>
                </c:pt>
                <c:pt idx="424">
                  <c:v>0.64491796307353</c:v>
                </c:pt>
                <c:pt idx="425">
                  <c:v>0.63194813742583744</c:v>
                </c:pt>
                <c:pt idx="426">
                  <c:v>0.60389097681024295</c:v>
                </c:pt>
                <c:pt idx="427">
                  <c:v>0.61394918247615637</c:v>
                </c:pt>
                <c:pt idx="428">
                  <c:v>0.62877182712471757</c:v>
                </c:pt>
                <c:pt idx="429">
                  <c:v>0.61619907665958384</c:v>
                </c:pt>
                <c:pt idx="430">
                  <c:v>0.64981470751230042</c:v>
                </c:pt>
                <c:pt idx="431">
                  <c:v>0.64849128238462905</c:v>
                </c:pt>
                <c:pt idx="432">
                  <c:v>0.64465325951967345</c:v>
                </c:pt>
                <c:pt idx="433">
                  <c:v>0.62678668943321048</c:v>
                </c:pt>
                <c:pt idx="434">
                  <c:v>0.62758072068768456</c:v>
                </c:pt>
                <c:pt idx="435">
                  <c:v>0.58906827922361782</c:v>
                </c:pt>
                <c:pt idx="436">
                  <c:v>0.58999474827937404</c:v>
                </c:pt>
                <c:pt idx="437">
                  <c:v>0.58125991480306816</c:v>
                </c:pt>
                <c:pt idx="438">
                  <c:v>0.59317100564243008</c:v>
                </c:pt>
                <c:pt idx="439">
                  <c:v>0.57451033812891317</c:v>
                </c:pt>
                <c:pt idx="440">
                  <c:v>0.57331923169188015</c:v>
                </c:pt>
                <c:pt idx="441">
                  <c:v>0.53308628991758311</c:v>
                </c:pt>
                <c:pt idx="442">
                  <c:v>0.53904183533726402</c:v>
                </c:pt>
                <c:pt idx="443">
                  <c:v>0.57001060270012194</c:v>
                </c:pt>
                <c:pt idx="444">
                  <c:v>0.56021708735354925</c:v>
                </c:pt>
                <c:pt idx="445">
                  <c:v>0.56048172473482605</c:v>
                </c:pt>
                <c:pt idx="446">
                  <c:v>0.58708314153211072</c:v>
                </c:pt>
                <c:pt idx="447">
                  <c:v>0.57755426356681494</c:v>
                </c:pt>
                <c:pt idx="448">
                  <c:v>0.57027529301946256</c:v>
                </c:pt>
                <c:pt idx="449">
                  <c:v>0.54830599651418732</c:v>
                </c:pt>
                <c:pt idx="450">
                  <c:v>0.55201164775044076</c:v>
                </c:pt>
                <c:pt idx="451">
                  <c:v>0.55002649682441762</c:v>
                </c:pt>
                <c:pt idx="452">
                  <c:v>0.5322922454285931</c:v>
                </c:pt>
                <c:pt idx="453">
                  <c:v>0.5199841455792521</c:v>
                </c:pt>
                <c:pt idx="454">
                  <c:v>0.53864481309276901</c:v>
                </c:pt>
                <c:pt idx="455">
                  <c:v>0.53652729053804371</c:v>
                </c:pt>
                <c:pt idx="456">
                  <c:v>0.5463208058846164</c:v>
                </c:pt>
                <c:pt idx="457">
                  <c:v>0.55545264837090136</c:v>
                </c:pt>
                <c:pt idx="458">
                  <c:v>0.52329277457101042</c:v>
                </c:pt>
                <c:pt idx="459">
                  <c:v>0.5063525544296601</c:v>
                </c:pt>
                <c:pt idx="460">
                  <c:v>0.47895711961241721</c:v>
                </c:pt>
                <c:pt idx="461">
                  <c:v>0.49669137100824168</c:v>
                </c:pt>
                <c:pt idx="462">
                  <c:v>0.51098467472166953</c:v>
                </c:pt>
                <c:pt idx="463">
                  <c:v>0.52805721355365842</c:v>
                </c:pt>
                <c:pt idx="464">
                  <c:v>0.52249869037847252</c:v>
                </c:pt>
                <c:pt idx="465">
                  <c:v>0.5157491004698016</c:v>
                </c:pt>
                <c:pt idx="466">
                  <c:v>0.52316040294230814</c:v>
                </c:pt>
                <c:pt idx="467">
                  <c:v>0.50516144799262708</c:v>
                </c:pt>
                <c:pt idx="468">
                  <c:v>0.6627845860980569</c:v>
                </c:pt>
                <c:pt idx="469">
                  <c:v>0.66119640447846506</c:v>
                </c:pt>
                <c:pt idx="470">
                  <c:v>0.65894656323310119</c:v>
                </c:pt>
                <c:pt idx="471">
                  <c:v>0.6257279016868158</c:v>
                </c:pt>
                <c:pt idx="472">
                  <c:v>0.67390152657230096</c:v>
                </c:pt>
                <c:pt idx="473">
                  <c:v>0.73676547741570886</c:v>
                </c:pt>
                <c:pt idx="474">
                  <c:v>0.71664906608388224</c:v>
                </c:pt>
                <c:pt idx="475">
                  <c:v>0.67826894331045384</c:v>
                </c:pt>
                <c:pt idx="476">
                  <c:v>0.67773954943725656</c:v>
                </c:pt>
                <c:pt idx="477">
                  <c:v>0.67257810144462948</c:v>
                </c:pt>
                <c:pt idx="478">
                  <c:v>0.74232400059089476</c:v>
                </c:pt>
                <c:pt idx="479">
                  <c:v>0.7740868653808064</c:v>
                </c:pt>
                <c:pt idx="480">
                  <c:v>0.74682373601968599</c:v>
                </c:pt>
                <c:pt idx="481">
                  <c:v>0.74933828081890641</c:v>
                </c:pt>
                <c:pt idx="482">
                  <c:v>0.71161992354737769</c:v>
                </c:pt>
                <c:pt idx="483">
                  <c:v>0.71995769507564045</c:v>
                </c:pt>
                <c:pt idx="484">
                  <c:v>0.76852834220562061</c:v>
                </c:pt>
                <c:pt idx="485">
                  <c:v>0.76641081965089519</c:v>
                </c:pt>
                <c:pt idx="486">
                  <c:v>0.81087879330012702</c:v>
                </c:pt>
                <c:pt idx="487">
                  <c:v>0.78692430616528086</c:v>
                </c:pt>
                <c:pt idx="488">
                  <c:v>0.78057175173562077</c:v>
                </c:pt>
                <c:pt idx="489">
                  <c:v>0.77818952562703891</c:v>
                </c:pt>
                <c:pt idx="490">
                  <c:v>0.79235045771176449</c:v>
                </c:pt>
                <c:pt idx="491">
                  <c:v>0.7812334642994565</c:v>
                </c:pt>
                <c:pt idx="492">
                  <c:v>0.74629434214648882</c:v>
                </c:pt>
                <c:pt idx="493">
                  <c:v>0.76071997778507094</c:v>
                </c:pt>
                <c:pt idx="494">
                  <c:v>0.75330862237450036</c:v>
                </c:pt>
                <c:pt idx="495">
                  <c:v>0.74563262958265308</c:v>
                </c:pt>
                <c:pt idx="496">
                  <c:v>0.72485443951441086</c:v>
                </c:pt>
                <c:pt idx="497">
                  <c:v>0.7153255747836309</c:v>
                </c:pt>
                <c:pt idx="498">
                  <c:v>0.71069352066420122</c:v>
                </c:pt>
                <c:pt idx="499">
                  <c:v>0.7383536590353007</c:v>
                </c:pt>
                <c:pt idx="500">
                  <c:v>0.73689784904441114</c:v>
                </c:pt>
                <c:pt idx="501">
                  <c:v>0.72908948462386158</c:v>
                </c:pt>
                <c:pt idx="502">
                  <c:v>0.73385392360650947</c:v>
                </c:pt>
                <c:pt idx="503">
                  <c:v>0.75066175888464171</c:v>
                </c:pt>
                <c:pt idx="504">
                  <c:v>0.74867656825507067</c:v>
                </c:pt>
                <c:pt idx="505">
                  <c:v>0.73755957484276269</c:v>
                </c:pt>
                <c:pt idx="506">
                  <c:v>0.75860245523034564</c:v>
                </c:pt>
                <c:pt idx="507">
                  <c:v>0.77554260919911622</c:v>
                </c:pt>
                <c:pt idx="508">
                  <c:v>0.78970354128384179</c:v>
                </c:pt>
                <c:pt idx="509">
                  <c:v>0.76376390322297272</c:v>
                </c:pt>
                <c:pt idx="510">
                  <c:v>0.77607200307231361</c:v>
                </c:pt>
                <c:pt idx="511">
                  <c:v>0.78758601872911649</c:v>
                </c:pt>
                <c:pt idx="512">
                  <c:v>0.76363158453233426</c:v>
                </c:pt>
                <c:pt idx="513">
                  <c:v>0.79764427733309373</c:v>
                </c:pt>
                <c:pt idx="514">
                  <c:v>0.77157226764352227</c:v>
                </c:pt>
                <c:pt idx="515">
                  <c:v>0.8012176098787086</c:v>
                </c:pt>
                <c:pt idx="516">
                  <c:v>0.80161463212320372</c:v>
                </c:pt>
                <c:pt idx="517">
                  <c:v>0.77898362305409274</c:v>
                </c:pt>
                <c:pt idx="518">
                  <c:v>0.78679198747464241</c:v>
                </c:pt>
                <c:pt idx="519">
                  <c:v>0.78626259360144501</c:v>
                </c:pt>
                <c:pt idx="520">
                  <c:v>0.76958712995201517</c:v>
                </c:pt>
                <c:pt idx="521">
                  <c:v>0.77726312274386244</c:v>
                </c:pt>
                <c:pt idx="522">
                  <c:v>0.7719693428260811</c:v>
                </c:pt>
                <c:pt idx="523">
                  <c:v>0.74682373601968599</c:v>
                </c:pt>
                <c:pt idx="524">
                  <c:v>0.74430920445498161</c:v>
                </c:pt>
                <c:pt idx="525">
                  <c:v>0.76455798741551062</c:v>
                </c:pt>
                <c:pt idx="526">
                  <c:v>0.79539438314966615</c:v>
                </c:pt>
                <c:pt idx="527">
                  <c:v>0.80809955818156598</c:v>
                </c:pt>
                <c:pt idx="528">
                  <c:v>0.81683433871980793</c:v>
                </c:pt>
                <c:pt idx="529">
                  <c:v>0.85746430273859997</c:v>
                </c:pt>
                <c:pt idx="530">
                  <c:v>0.85481733337261345</c:v>
                </c:pt>
                <c:pt idx="531">
                  <c:v>0.86169934784805058</c:v>
                </c:pt>
                <c:pt idx="532">
                  <c:v>0.85428804537554393</c:v>
                </c:pt>
                <c:pt idx="533">
                  <c:v>0.85680253723670041</c:v>
                </c:pt>
                <c:pt idx="534">
                  <c:v>0.88618317591803009</c:v>
                </c:pt>
                <c:pt idx="535">
                  <c:v>0.9015352673778525</c:v>
                </c:pt>
                <c:pt idx="536">
                  <c:v>0.8976972445128969</c:v>
                </c:pt>
                <c:pt idx="537">
                  <c:v>0.94666491388737217</c:v>
                </c:pt>
                <c:pt idx="538">
                  <c:v>0.98266281055221849</c:v>
                </c:pt>
                <c:pt idx="539">
                  <c:v>1.0033086289917583</c:v>
                </c:pt>
                <c:pt idx="540">
                  <c:v>1.0344098209213823</c:v>
                </c:pt>
                <c:pt idx="541">
                  <c:v>1.0342774492926801</c:v>
                </c:pt>
                <c:pt idx="542">
                  <c:v>1.0187930788457671</c:v>
                </c:pt>
                <c:pt idx="543">
                  <c:v>1.0296453819387343</c:v>
                </c:pt>
                <c:pt idx="544">
                  <c:v>1.0141609188502096</c:v>
                </c:pt>
                <c:pt idx="545">
                  <c:v>1.0260720096895717</c:v>
                </c:pt>
                <c:pt idx="546">
                  <c:v>1.0107200241058769</c:v>
                </c:pt>
                <c:pt idx="547">
                  <c:v>1.0459237836401214</c:v>
                </c:pt>
                <c:pt idx="548">
                  <c:v>1.0661725798351662</c:v>
                </c:pt>
                <c:pt idx="549">
                  <c:v>1.0134992592244378</c:v>
                </c:pt>
                <c:pt idx="550">
                  <c:v>1.0768926039410431</c:v>
                </c:pt>
                <c:pt idx="551">
                  <c:v>1.09158291666445</c:v>
                </c:pt>
                <c:pt idx="552">
                  <c:v>1.0907887795338482</c:v>
                </c:pt>
                <c:pt idx="553">
                  <c:v>1.0829804680513624</c:v>
                </c:pt>
                <c:pt idx="554">
                  <c:v>1.0497618065050769</c:v>
                </c:pt>
                <c:pt idx="555">
                  <c:v>1.0473795803964951</c:v>
                </c:pt>
                <c:pt idx="556">
                  <c:v>0.97538378706680229</c:v>
                </c:pt>
                <c:pt idx="557">
                  <c:v>0.97538378706680229</c:v>
                </c:pt>
                <c:pt idx="558">
                  <c:v>0.95659080086264703</c:v>
                </c:pt>
                <c:pt idx="559">
                  <c:v>0.92747490543872169</c:v>
                </c:pt>
                <c:pt idx="560">
                  <c:v>0.94997354287913038</c:v>
                </c:pt>
                <c:pt idx="561">
                  <c:v>0.95844361986351578</c:v>
                </c:pt>
                <c:pt idx="562">
                  <c:v>0.96757547558431645</c:v>
                </c:pt>
                <c:pt idx="563">
                  <c:v>0.95103233062552495</c:v>
                </c:pt>
                <c:pt idx="564">
                  <c:v>0.94997354287913038</c:v>
                </c:pt>
                <c:pt idx="565">
                  <c:v>0.94759131677054842</c:v>
                </c:pt>
                <c:pt idx="566">
                  <c:v>0.99655909202115134</c:v>
                </c:pt>
                <c:pt idx="567">
                  <c:v>0.98755962116356866</c:v>
                </c:pt>
                <c:pt idx="568">
                  <c:v>0.98173639443452621</c:v>
                </c:pt>
                <c:pt idx="569">
                  <c:v>0.98478038604500762</c:v>
                </c:pt>
                <c:pt idx="570">
                  <c:v>0.96453148397383504</c:v>
                </c:pt>
                <c:pt idx="571">
                  <c:v>0.9408416871583295</c:v>
                </c:pt>
                <c:pt idx="572">
                  <c:v>0.93038651218598512</c:v>
                </c:pt>
                <c:pt idx="573">
                  <c:v>0.93012176892858056</c:v>
                </c:pt>
                <c:pt idx="574">
                  <c:v>0.95659080086264703</c:v>
                </c:pt>
                <c:pt idx="575">
                  <c:v>0.94481208165198749</c:v>
                </c:pt>
                <c:pt idx="576">
                  <c:v>0.95950240760991035</c:v>
                </c:pt>
                <c:pt idx="577">
                  <c:v>0.93766542979527345</c:v>
                </c:pt>
                <c:pt idx="578">
                  <c:v>0.90894655661584334</c:v>
                </c:pt>
                <c:pt idx="579">
                  <c:v>0.93038651218598512</c:v>
                </c:pt>
                <c:pt idx="580">
                  <c:v>0.90629969312598446</c:v>
                </c:pt>
                <c:pt idx="581">
                  <c:v>0.92879833056639327</c:v>
                </c:pt>
                <c:pt idx="582">
                  <c:v>0.93329802629163661</c:v>
                </c:pt>
                <c:pt idx="583">
                  <c:v>0.95050293675232755</c:v>
                </c:pt>
                <c:pt idx="584">
                  <c:v>0.98094236318005201</c:v>
                </c:pt>
                <c:pt idx="585">
                  <c:v>0.9907358785266247</c:v>
                </c:pt>
                <c:pt idx="586">
                  <c:v>0.97882478768726278</c:v>
                </c:pt>
                <c:pt idx="587">
                  <c:v>1.0342774492926801</c:v>
                </c:pt>
                <c:pt idx="588">
                  <c:v>1.0344098209213823</c:v>
                </c:pt>
                <c:pt idx="589">
                  <c:v>1.0595553218516496</c:v>
                </c:pt>
                <c:pt idx="590">
                  <c:v>1.0648491414729788</c:v>
                </c:pt>
                <c:pt idx="591">
                  <c:v>1.0652461637174739</c:v>
                </c:pt>
                <c:pt idx="592">
                  <c:v>1.0539968383800118</c:v>
                </c:pt>
                <c:pt idx="593">
                  <c:v>1.0281895719478449</c:v>
                </c:pt>
                <c:pt idx="594">
                  <c:v>1.0583642551181645</c:v>
                </c:pt>
                <c:pt idx="595">
                  <c:v>1.0389095034121099</c:v>
                </c:pt>
                <c:pt idx="596">
                  <c:v>1.0747750284482538</c:v>
                </c:pt>
                <c:pt idx="597">
                  <c:v>1.0802012329328015</c:v>
                </c:pt>
                <c:pt idx="598">
                  <c:v>1.0532028071255375</c:v>
                </c:pt>
                <c:pt idx="599">
                  <c:v>1.0227633806978134</c:v>
                </c:pt>
                <c:pt idx="600">
                  <c:v>1.0189253578328576</c:v>
                </c:pt>
                <c:pt idx="601">
                  <c:v>1.0217045929514186</c:v>
                </c:pt>
                <c:pt idx="602">
                  <c:v>1.0363949189093413</c:v>
                </c:pt>
                <c:pt idx="603">
                  <c:v>1.0234251461997128</c:v>
                </c:pt>
                <c:pt idx="604">
                  <c:v>1.0467178148945955</c:v>
                </c:pt>
                <c:pt idx="605">
                  <c:v>1.0692165582111319</c:v>
                </c:pt>
                <c:pt idx="606">
                  <c:v>1.064055110218505</c:v>
                </c:pt>
                <c:pt idx="607">
                  <c:v>1.0876125221707922</c:v>
                </c:pt>
                <c:pt idx="608">
                  <c:v>1.1168607892234197</c:v>
                </c:pt>
                <c:pt idx="609">
                  <c:v>1.1026998703732098</c:v>
                </c:pt>
                <c:pt idx="610">
                  <c:v>1.1016410826268155</c:v>
                </c:pt>
                <c:pt idx="611">
                  <c:v>1.0943621517830111</c:v>
                </c:pt>
                <c:pt idx="612">
                  <c:v>1.10190582588422</c:v>
                </c:pt>
                <c:pt idx="613">
                  <c:v>1.0843038931790339</c:v>
                </c:pt>
                <c:pt idx="614">
                  <c:v>1.0844362648077361</c:v>
                </c:pt>
                <c:pt idx="615">
                  <c:v>1.0758338161946486</c:v>
                </c:pt>
                <c:pt idx="616">
                  <c:v>1.0845685437948265</c:v>
                </c:pt>
                <c:pt idx="617">
                  <c:v>1.0892007037903841</c:v>
                </c:pt>
                <c:pt idx="618">
                  <c:v>1.0780836574400121</c:v>
                </c:pt>
                <c:pt idx="619">
                  <c:v>1.0399682911585042</c:v>
                </c:pt>
                <c:pt idx="620">
                  <c:v>1.0060878641103195</c:v>
                </c:pt>
                <c:pt idx="621">
                  <c:v>1.0584966267468667</c:v>
                </c:pt>
                <c:pt idx="622">
                  <c:v>1.0717311427139</c:v>
                </c:pt>
                <c:pt idx="623">
                  <c:v>1.070010589465606</c:v>
                </c:pt>
                <c:pt idx="624">
                  <c:v>1.081657029689175</c:v>
                </c:pt>
                <c:pt idx="625">
                  <c:v>1.0864213627956953</c:v>
                </c:pt>
                <c:pt idx="626">
                  <c:v>1.0285865941923398</c:v>
                </c:pt>
                <c:pt idx="627">
                  <c:v>1.0179989417151654</c:v>
                </c:pt>
                <c:pt idx="628">
                  <c:v>1.0333510331749876</c:v>
                </c:pt>
                <c:pt idx="629">
                  <c:v>1.0297776609258249</c:v>
                </c:pt>
                <c:pt idx="630">
                  <c:v>1.0332186615462853</c:v>
                </c:pt>
                <c:pt idx="631">
                  <c:v>0.98861830303383547</c:v>
                </c:pt>
                <c:pt idx="632">
                  <c:v>0.95698782310714192</c:v>
                </c:pt>
                <c:pt idx="633">
                  <c:v>0.92985711831278772</c:v>
                </c:pt>
                <c:pt idx="634">
                  <c:v>0.95685554412005158</c:v>
                </c:pt>
                <c:pt idx="635">
                  <c:v>0.94865010451694309</c:v>
                </c:pt>
                <c:pt idx="636">
                  <c:v>0.93263635343134876</c:v>
                </c:pt>
                <c:pt idx="637">
                  <c:v>0.89557966902010788</c:v>
                </c:pt>
                <c:pt idx="638">
                  <c:v>0.88406570630136871</c:v>
                </c:pt>
                <c:pt idx="639">
                  <c:v>0.85865535623756906</c:v>
                </c:pt>
                <c:pt idx="640">
                  <c:v>0.81948120220966658</c:v>
                </c:pt>
                <c:pt idx="641">
                  <c:v>0.82808366405727019</c:v>
                </c:pt>
                <c:pt idx="642">
                  <c:v>0.85905248435819181</c:v>
                </c:pt>
                <c:pt idx="643">
                  <c:v>0.84012707358727035</c:v>
                </c:pt>
                <c:pt idx="644">
                  <c:v>0.84317099902517212</c:v>
                </c:pt>
                <c:pt idx="645">
                  <c:v>0.86739018971387494</c:v>
                </c:pt>
                <c:pt idx="646">
                  <c:v>0.86791958358707211</c:v>
                </c:pt>
                <c:pt idx="647">
                  <c:v>0.89068296428488536</c:v>
                </c:pt>
                <c:pt idx="648">
                  <c:v>0.89518264677561277</c:v>
                </c:pt>
                <c:pt idx="649">
                  <c:v>0.88631554754673236</c:v>
                </c:pt>
                <c:pt idx="650">
                  <c:v>0.87877188668003947</c:v>
                </c:pt>
                <c:pt idx="651">
                  <c:v>0.91331397335399622</c:v>
                </c:pt>
                <c:pt idx="652">
                  <c:v>0.84939123476419376</c:v>
                </c:pt>
                <c:pt idx="653">
                  <c:v>0.86964003095923859</c:v>
                </c:pt>
                <c:pt idx="654">
                  <c:v>0.88009531180771083</c:v>
                </c:pt>
                <c:pt idx="655">
                  <c:v>0.87347805382419419</c:v>
                </c:pt>
                <c:pt idx="656">
                  <c:v>0.88538914466355612</c:v>
                </c:pt>
                <c:pt idx="657">
                  <c:v>0.88459499429843824</c:v>
                </c:pt>
                <c:pt idx="658">
                  <c:v>0.8900211987829858</c:v>
                </c:pt>
                <c:pt idx="659">
                  <c:v>0.87678668281595251</c:v>
                </c:pt>
                <c:pt idx="660">
                  <c:v>0.85415567374684165</c:v>
                </c:pt>
                <c:pt idx="661">
                  <c:v>0.84052408259724953</c:v>
                </c:pt>
                <c:pt idx="662">
                  <c:v>0.82371630025718112</c:v>
                </c:pt>
                <c:pt idx="663">
                  <c:v>0.79724726832311454</c:v>
                </c:pt>
                <c:pt idx="664">
                  <c:v>0.79671787444991737</c:v>
                </c:pt>
                <c:pt idx="665">
                  <c:v>0.835230315913984</c:v>
                </c:pt>
                <c:pt idx="666">
                  <c:v>0.8632875162331265</c:v>
                </c:pt>
                <c:pt idx="667">
                  <c:v>0.8779777363149216</c:v>
                </c:pt>
                <c:pt idx="668">
                  <c:v>0.86633140196748026</c:v>
                </c:pt>
                <c:pt idx="669">
                  <c:v>0.88816837978211705</c:v>
                </c:pt>
                <c:pt idx="670">
                  <c:v>0.87374270443998703</c:v>
                </c:pt>
                <c:pt idx="671">
                  <c:v>0.87758072730494252</c:v>
                </c:pt>
                <c:pt idx="672">
                  <c:v>0.84634730932629199</c:v>
                </c:pt>
                <c:pt idx="673">
                  <c:v>0.86289040134701966</c:v>
                </c:pt>
                <c:pt idx="674">
                  <c:v>0.85627314336350302</c:v>
                </c:pt>
                <c:pt idx="675">
                  <c:v>0.86712544645647038</c:v>
                </c:pt>
                <c:pt idx="676">
                  <c:v>0.84303868033453366</c:v>
                </c:pt>
                <c:pt idx="677">
                  <c:v>0.84092115777980836</c:v>
                </c:pt>
                <c:pt idx="678">
                  <c:v>0.83920065746957806</c:v>
                </c:pt>
                <c:pt idx="679">
                  <c:v>0.87586026669826023</c:v>
                </c:pt>
                <c:pt idx="680">
                  <c:v>0.85627314336350302</c:v>
                </c:pt>
                <c:pt idx="681">
                  <c:v>0.88022768343641311</c:v>
                </c:pt>
                <c:pt idx="682">
                  <c:v>0.86633140196748026</c:v>
                </c:pt>
                <c:pt idx="683">
                  <c:v>0.86818422096834891</c:v>
                </c:pt>
                <c:pt idx="684">
                  <c:v>0.83337748367859943</c:v>
                </c:pt>
                <c:pt idx="685">
                  <c:v>0.83800955103254515</c:v>
                </c:pt>
                <c:pt idx="686">
                  <c:v>0.86447858296661151</c:v>
                </c:pt>
                <c:pt idx="687">
                  <c:v>0.88896241103659124</c:v>
                </c:pt>
                <c:pt idx="688">
                  <c:v>0.89505027514691049</c:v>
                </c:pt>
                <c:pt idx="689">
                  <c:v>0.93673902691209721</c:v>
                </c:pt>
                <c:pt idx="690">
                  <c:v>0.94190047490472428</c:v>
                </c:pt>
                <c:pt idx="691">
                  <c:v>0.93051879117307545</c:v>
                </c:pt>
                <c:pt idx="692">
                  <c:v>0.93395979179353605</c:v>
                </c:pt>
                <c:pt idx="693">
                  <c:v>0.97432510519653537</c:v>
                </c:pt>
                <c:pt idx="694">
                  <c:v>0.99285334814328619</c:v>
                </c:pt>
                <c:pt idx="695">
                  <c:v>0.98332457605411805</c:v>
                </c:pt>
                <c:pt idx="696">
                  <c:v>0.99748550813884362</c:v>
                </c:pt>
                <c:pt idx="697">
                  <c:v>1.0044997883668552</c:v>
                </c:pt>
                <c:pt idx="698">
                  <c:v>1.0402329285397811</c:v>
                </c:pt>
                <c:pt idx="699">
                  <c:v>1.0296453819387343</c:v>
                </c:pt>
                <c:pt idx="700">
                  <c:v>1.0444679736492319</c:v>
                </c:pt>
                <c:pt idx="701">
                  <c:v>1.0341450644294619</c:v>
                </c:pt>
                <c:pt idx="702">
                  <c:v>1.0477766026409903</c:v>
                </c:pt>
                <c:pt idx="703">
                  <c:v>1.041027078904899</c:v>
                </c:pt>
                <c:pt idx="704">
                  <c:v>1.0340126928007596</c:v>
                </c:pt>
                <c:pt idx="705">
                  <c:v>1.0607464812267466</c:v>
                </c:pt>
                <c:pt idx="706">
                  <c:v>1.0725251872028903</c:v>
                </c:pt>
                <c:pt idx="707">
                  <c:v>1.0852303092967261</c:v>
                </c:pt>
                <c:pt idx="708">
                  <c:v>1.0718634217009906</c:v>
                </c:pt>
                <c:pt idx="709">
                  <c:v>1.0943621517830111</c:v>
                </c:pt>
                <c:pt idx="710">
                  <c:v>1.0836421276771342</c:v>
                </c:pt>
                <c:pt idx="711">
                  <c:v>1.0411593446574736</c:v>
                </c:pt>
                <c:pt idx="712">
                  <c:v>1.0383801095389125</c:v>
                </c:pt>
                <c:pt idx="713">
                  <c:v>1.0234251461997128</c:v>
                </c:pt>
                <c:pt idx="714">
                  <c:v>1.0325568960443861</c:v>
                </c:pt>
                <c:pt idx="715">
                  <c:v>1.003970394493658</c:v>
                </c:pt>
                <c:pt idx="716">
                  <c:v>1.0042350318749349</c:v>
                </c:pt>
                <c:pt idx="717">
                  <c:v>1.0104552676139564</c:v>
                </c:pt>
                <c:pt idx="718">
                  <c:v>1.0312334576821987</c:v>
                </c:pt>
                <c:pt idx="719">
                  <c:v>1.02938063868133</c:v>
                </c:pt>
                <c:pt idx="720">
                  <c:v>1.0356008744203515</c:v>
                </c:pt>
                <c:pt idx="721">
                  <c:v>1.0172049104606913</c:v>
                </c:pt>
                <c:pt idx="722">
                  <c:v>1.0219693362088231</c:v>
                </c:pt>
                <c:pt idx="723">
                  <c:v>1.0134992592244378</c:v>
                </c:pt>
                <c:pt idx="724">
                  <c:v>1.0236897835809895</c:v>
                </c:pt>
                <c:pt idx="725">
                  <c:v>1.0314982009396032</c:v>
                </c:pt>
                <c:pt idx="726">
                  <c:v>0.97207515807504397</c:v>
                </c:pt>
                <c:pt idx="727">
                  <c:v>0.9655902717202296</c:v>
                </c:pt>
                <c:pt idx="728">
                  <c:v>0.91410801784298612</c:v>
                </c:pt>
                <c:pt idx="729">
                  <c:v>0.93501857953993073</c:v>
                </c:pt>
                <c:pt idx="730">
                  <c:v>0.9601641731118099</c:v>
                </c:pt>
                <c:pt idx="731">
                  <c:v>0.96545790009152732</c:v>
                </c:pt>
                <c:pt idx="732">
                  <c:v>0.90007945738696293</c:v>
                </c:pt>
                <c:pt idx="733">
                  <c:v>0.90219692700362453</c:v>
                </c:pt>
                <c:pt idx="734">
                  <c:v>0.88591852530223747</c:v>
                </c:pt>
                <c:pt idx="735">
                  <c:v>0.8908152432719757</c:v>
                </c:pt>
                <c:pt idx="736">
                  <c:v>0.94190047490472428</c:v>
                </c:pt>
                <c:pt idx="737">
                  <c:v>0.92257809482737152</c:v>
                </c:pt>
                <c:pt idx="738">
                  <c:v>0.93184232217687468</c:v>
                </c:pt>
                <c:pt idx="739">
                  <c:v>0.94798833901504354</c:v>
                </c:pt>
                <c:pt idx="740">
                  <c:v>0.93594498242310709</c:v>
                </c:pt>
                <c:pt idx="741">
                  <c:v>0.93051879117307545</c:v>
                </c:pt>
                <c:pt idx="742">
                  <c:v>0.93766542979527345</c:v>
                </c:pt>
                <c:pt idx="743">
                  <c:v>0.90285869250552397</c:v>
                </c:pt>
                <c:pt idx="744">
                  <c:v>0.90246167026102908</c:v>
                </c:pt>
                <c:pt idx="745">
                  <c:v>0.9031233431213167</c:v>
                </c:pt>
                <c:pt idx="746">
                  <c:v>0.90987297273353562</c:v>
                </c:pt>
                <c:pt idx="747">
                  <c:v>0.90907892824454561</c:v>
                </c:pt>
                <c:pt idx="748">
                  <c:v>0.90907892824454561</c:v>
                </c:pt>
                <c:pt idx="749">
                  <c:v>0.94388567876881102</c:v>
                </c:pt>
                <c:pt idx="750">
                  <c:v>0.9436210281530184</c:v>
                </c:pt>
                <c:pt idx="751">
                  <c:v>0.94931187001884254</c:v>
                </c:pt>
                <c:pt idx="752">
                  <c:v>0.96784011296559336</c:v>
                </c:pt>
                <c:pt idx="753">
                  <c:v>0.98597143954397681</c:v>
                </c:pt>
                <c:pt idx="754">
                  <c:v>0.98795664340806366</c:v>
                </c:pt>
                <c:pt idx="755">
                  <c:v>0.98305983279671361</c:v>
                </c:pt>
                <c:pt idx="756">
                  <c:v>0.99404450751838302</c:v>
                </c:pt>
                <c:pt idx="757">
                  <c:v>1.0209105484624286</c:v>
                </c:pt>
                <c:pt idx="758">
                  <c:v>1.0390418750408121</c:v>
                </c:pt>
                <c:pt idx="759">
                  <c:v>1.0349391089184519</c:v>
                </c:pt>
                <c:pt idx="760">
                  <c:v>1.0608788528554489</c:v>
                </c:pt>
                <c:pt idx="761">
                  <c:v>1.0719957933296929</c:v>
                </c:pt>
                <c:pt idx="762">
                  <c:v>1.072392815574188</c:v>
                </c:pt>
                <c:pt idx="763">
                  <c:v>1.1097141373667057</c:v>
                </c:pt>
                <c:pt idx="764">
                  <c:v>1.1165961518421428</c:v>
                </c:pt>
                <c:pt idx="765">
                  <c:v>1.1032292642464072</c:v>
                </c:pt>
                <c:pt idx="766">
                  <c:v>1.1275807206876847</c:v>
                </c:pt>
                <c:pt idx="767">
                  <c:v>1.1334039341822113</c:v>
                </c:pt>
                <c:pt idx="768">
                  <c:v>1.1144785763493537</c:v>
                </c:pt>
                <c:pt idx="769">
                  <c:v>1.0774219978142403</c:v>
                </c:pt>
                <c:pt idx="770">
                  <c:v>1.049364784260582</c:v>
                </c:pt>
                <c:pt idx="771">
                  <c:v>1.0401005569110788</c:v>
                </c:pt>
                <c:pt idx="772">
                  <c:v>1.074113368822482</c:v>
                </c:pt>
                <c:pt idx="773">
                  <c:v>1.0759661878233509</c:v>
                </c:pt>
                <c:pt idx="774">
                  <c:v>1.0849656586809333</c:v>
                </c:pt>
                <c:pt idx="775">
                  <c:v>1.0774219978142403</c:v>
                </c:pt>
                <c:pt idx="776">
                  <c:v>1.0980678030192643</c:v>
                </c:pt>
                <c:pt idx="777">
                  <c:v>1.1454473966502754</c:v>
                </c:pt>
                <c:pt idx="778">
                  <c:v>1.1462414411392654</c:v>
                </c:pt>
                <c:pt idx="779">
                  <c:v>1.126124910696795</c:v>
                </c:pt>
                <c:pt idx="780">
                  <c:v>1.1474324946382344</c:v>
                </c:pt>
                <c:pt idx="781">
                  <c:v>1.186209626421642</c:v>
                </c:pt>
                <c:pt idx="782">
                  <c:v>1.17112229145374</c:v>
                </c:pt>
                <c:pt idx="783">
                  <c:v>1.1757543455731696</c:v>
                </c:pt>
                <c:pt idx="784">
                  <c:v>1.1896506270421026</c:v>
                </c:pt>
                <c:pt idx="785">
                  <c:v>1.2175754689670586</c:v>
                </c:pt>
                <c:pt idx="786">
                  <c:v>1.1874007857967388</c:v>
                </c:pt>
                <c:pt idx="787">
                  <c:v>1.1716516853269372</c:v>
                </c:pt>
                <c:pt idx="788">
                  <c:v>1.1651667989721231</c:v>
                </c:pt>
                <c:pt idx="789">
                  <c:v>1.1519322830050898</c:v>
                </c:pt>
                <c:pt idx="790">
                  <c:v>1.1476972378956389</c:v>
                </c:pt>
                <c:pt idx="791">
                  <c:v>1.13605079767207</c:v>
                </c:pt>
                <c:pt idx="792">
                  <c:v>1.1428004272842889</c:v>
                </c:pt>
                <c:pt idx="793">
                  <c:v>1.1095817657380034</c:v>
                </c:pt>
                <c:pt idx="794">
                  <c:v>1.1232134098256594</c:v>
                </c:pt>
                <c:pt idx="795">
                  <c:v>1.1052144548759784</c:v>
                </c:pt>
                <c:pt idx="796">
                  <c:v>1.0670989827183428</c:v>
                </c:pt>
                <c:pt idx="797">
                  <c:v>1.1066702648668678</c:v>
                </c:pt>
                <c:pt idx="798">
                  <c:v>1.114213925733561</c:v>
                </c:pt>
                <c:pt idx="799">
                  <c:v>1.1379037225490662</c:v>
                </c:pt>
                <c:pt idx="800">
                  <c:v>1.1118317128594948</c:v>
                </c:pt>
                <c:pt idx="801">
                  <c:v>1.1982530888897061</c:v>
                </c:pt>
                <c:pt idx="802">
                  <c:v>1.153255708132761</c:v>
                </c:pt>
                <c:pt idx="803">
                  <c:v>1.1855479667958699</c:v>
                </c:pt>
                <c:pt idx="804">
                  <c:v>1.2132080522289057</c:v>
                </c:pt>
                <c:pt idx="805">
                  <c:v>1.1983854605184083</c:v>
                </c:pt>
                <c:pt idx="806">
                  <c:v>1.1171255457153402</c:v>
                </c:pt>
                <c:pt idx="807">
                  <c:v>1.1241398127088358</c:v>
                </c:pt>
                <c:pt idx="808">
                  <c:v>1.1790629745649279</c:v>
                </c:pt>
                <c:pt idx="809">
                  <c:v>1.1967972788988164</c:v>
                </c:pt>
                <c:pt idx="810">
                  <c:v>1.2474855015215855</c:v>
                </c:pt>
                <c:pt idx="811">
                  <c:v>1.2386182964165775</c:v>
                </c:pt>
                <c:pt idx="812">
                  <c:v>1.2641609254674677</c:v>
                </c:pt>
                <c:pt idx="813">
                  <c:v>1.2763367463297182</c:v>
                </c:pt>
                <c:pt idx="814">
                  <c:v>1.2870566777939831</c:v>
                </c:pt>
                <c:pt idx="815">
                  <c:v>1.2754103434465418</c:v>
                </c:pt>
                <c:pt idx="816">
                  <c:v>1.2795130036927742</c:v>
                </c:pt>
                <c:pt idx="817">
                  <c:v>1.3300688546868411</c:v>
                </c:pt>
                <c:pt idx="818">
                  <c:v>1.3438327645270718</c:v>
                </c:pt>
                <c:pt idx="819">
                  <c:v>1.3402593922779089</c:v>
                </c:pt>
                <c:pt idx="820">
                  <c:v>1.3332451120498972</c:v>
                </c:pt>
                <c:pt idx="821">
                  <c:v>1.342773976780677</c:v>
                </c:pt>
                <c:pt idx="822">
                  <c:v>1.3671255390980821</c:v>
                </c:pt>
                <c:pt idx="823">
                  <c:v>1.367522561342577</c:v>
                </c:pt>
                <c:pt idx="824">
                  <c:v>1.3660667513516875</c:v>
                </c:pt>
                <c:pt idx="825">
                  <c:v>1.3353626875426865</c:v>
                </c:pt>
                <c:pt idx="826">
                  <c:v>1.3339068775517968</c:v>
                </c:pt>
                <c:pt idx="827">
                  <c:v>1.3755956160824676</c:v>
                </c:pt>
                <c:pt idx="828">
                  <c:v>1.387771357537622</c:v>
                </c:pt>
                <c:pt idx="829">
                  <c:v>1.4604288104930867</c:v>
                </c:pt>
                <c:pt idx="830">
                  <c:v>1.42588672381913</c:v>
                </c:pt>
                <c:pt idx="831">
                  <c:v>1.4302541405572828</c:v>
                </c:pt>
                <c:pt idx="832">
                  <c:v>1.3884331230395217</c:v>
                </c:pt>
                <c:pt idx="833">
                  <c:v>1.363816910106324</c:v>
                </c:pt>
                <c:pt idx="834">
                  <c:v>1.335097931050766</c:v>
                </c:pt>
                <c:pt idx="835">
                  <c:v>1.3914769955393596</c:v>
                </c:pt>
                <c:pt idx="836">
                  <c:v>1.4493118700188425</c:v>
                </c:pt>
                <c:pt idx="837">
                  <c:v>1.5289836164368349</c:v>
                </c:pt>
                <c:pt idx="838">
                  <c:v>1.475383879708414</c:v>
                </c:pt>
                <c:pt idx="839">
                  <c:v>1.5431445352870445</c:v>
                </c:pt>
                <c:pt idx="840">
                  <c:v>1.606670264866868</c:v>
                </c:pt>
                <c:pt idx="841">
                  <c:v>1.6970619295146092</c:v>
                </c:pt>
                <c:pt idx="842">
                  <c:v>1.6652991706008251</c:v>
                </c:pt>
                <c:pt idx="843">
                  <c:v>1.7096346799797428</c:v>
                </c:pt>
                <c:pt idx="844">
                  <c:v>1.56762837659154</c:v>
                </c:pt>
                <c:pt idx="845">
                  <c:v>1.6009794097665275</c:v>
                </c:pt>
                <c:pt idx="846">
                  <c:v>1.5937003862811117</c:v>
                </c:pt>
                <c:pt idx="847">
                  <c:v>1.593568120528537</c:v>
                </c:pt>
                <c:pt idx="848">
                  <c:v>1.6503441013854978</c:v>
                </c:pt>
                <c:pt idx="849">
                  <c:v>1.6911064370329922</c:v>
                </c:pt>
                <c:pt idx="850">
                  <c:v>1.6948120882692457</c:v>
                </c:pt>
                <c:pt idx="851">
                  <c:v>1.6500794507697052</c:v>
                </c:pt>
                <c:pt idx="852">
                  <c:v>1.6445209805325831</c:v>
                </c:pt>
                <c:pt idx="853">
                  <c:v>1.6275808133292964</c:v>
                </c:pt>
                <c:pt idx="854">
                  <c:v>1.6405505860389251</c:v>
                </c:pt>
                <c:pt idx="855">
                  <c:v>1.6438592150306834</c:v>
                </c:pt>
                <c:pt idx="856">
                  <c:v>1.6852832103039497</c:v>
                </c:pt>
                <c:pt idx="857">
                  <c:v>1.6956061195237193</c:v>
                </c:pt>
                <c:pt idx="858">
                  <c:v>1.7444415231456203</c:v>
                </c:pt>
                <c:pt idx="859">
                  <c:v>1.7151933487346045</c:v>
                </c:pt>
                <c:pt idx="860">
                  <c:v>1.7542351311338047</c:v>
                </c:pt>
                <c:pt idx="861">
                  <c:v>1.7683959573424022</c:v>
                </c:pt>
                <c:pt idx="862">
                  <c:v>1.7922181257866101</c:v>
                </c:pt>
                <c:pt idx="863">
                  <c:v>1.8354950459368726</c:v>
                </c:pt>
                <c:pt idx="864">
                  <c:v>1.9200636029662153</c:v>
                </c:pt>
                <c:pt idx="865">
                  <c:v>1.9027264135184336</c:v>
                </c:pt>
                <c:pt idx="866">
                  <c:v>1.8979619877703013</c:v>
                </c:pt>
                <c:pt idx="867">
                  <c:v>1.8595817723552615</c:v>
                </c:pt>
                <c:pt idx="868">
                  <c:v>1.7417946596557616</c:v>
                </c:pt>
                <c:pt idx="869">
                  <c:v>1.7701165105906966</c:v>
                </c:pt>
                <c:pt idx="870">
                  <c:v>1.6979884382739134</c:v>
                </c:pt>
                <c:pt idx="871">
                  <c:v>1.5714663994564957</c:v>
                </c:pt>
                <c:pt idx="872">
                  <c:v>1.4880890018022501</c:v>
                </c:pt>
                <c:pt idx="873">
                  <c:v>1.5414240879148779</c:v>
                </c:pt>
                <c:pt idx="874">
                  <c:v>1.4972207516469231</c:v>
                </c:pt>
                <c:pt idx="875">
                  <c:v>1.3834039407994692</c:v>
                </c:pt>
                <c:pt idx="876">
                  <c:v>1.3754632444537653</c:v>
                </c:pt>
                <c:pt idx="877">
                  <c:v>1.4854420456707795</c:v>
                </c:pt>
                <c:pt idx="878">
                  <c:v>1.5385124811676147</c:v>
                </c:pt>
                <c:pt idx="879">
                  <c:v>1.4405770365425368</c:v>
                </c:pt>
                <c:pt idx="880">
                  <c:v>1.4065643437417774</c:v>
                </c:pt>
                <c:pt idx="881">
                  <c:v>1.4290630738237977</c:v>
                </c:pt>
                <c:pt idx="882">
                  <c:v>1.3709634560869099</c:v>
                </c:pt>
                <c:pt idx="883">
                  <c:v>1.3460826057724353</c:v>
                </c:pt>
                <c:pt idx="884">
                  <c:v>1.4073583749962515</c:v>
                </c:pt>
                <c:pt idx="885">
                  <c:v>1.4164902307170524</c:v>
                </c:pt>
                <c:pt idx="886">
                  <c:v>1.4265484893210296</c:v>
                </c:pt>
                <c:pt idx="887">
                  <c:v>1.387771357537622</c:v>
                </c:pt>
                <c:pt idx="888">
                  <c:v>1.355082076630018</c:v>
                </c:pt>
                <c:pt idx="889">
                  <c:v>1.3337745059230945</c:v>
                </c:pt>
                <c:pt idx="890">
                  <c:v>1.3841979720539432</c:v>
                </c:pt>
                <c:pt idx="891">
                  <c:v>1.4069613659862723</c:v>
                </c:pt>
                <c:pt idx="892">
                  <c:v>1.4391212397861632</c:v>
                </c:pt>
                <c:pt idx="893">
                  <c:v>1.4462678916428771</c:v>
                </c:pt>
                <c:pt idx="894">
                  <c:v>1.3783748644355445</c:v>
                </c:pt>
                <c:pt idx="895">
                  <c:v>1.3766543111872502</c:v>
                </c:pt>
                <c:pt idx="896">
                  <c:v>1.4467972855160742</c:v>
                </c:pt>
                <c:pt idx="897">
                  <c:v>1.4244309138282403</c:v>
                </c:pt>
                <c:pt idx="898">
                  <c:v>1.4756485303242068</c:v>
                </c:pt>
                <c:pt idx="899">
                  <c:v>1.4493118700188425</c:v>
                </c:pt>
                <c:pt idx="900">
                  <c:v>1.4659872939647247</c:v>
                </c:pt>
                <c:pt idx="901">
                  <c:v>1.4643992182212606</c:v>
                </c:pt>
                <c:pt idx="902">
                  <c:v>1.4953679326460545</c:v>
                </c:pt>
                <c:pt idx="903">
                  <c:v>1.4268131399368222</c:v>
                </c:pt>
                <c:pt idx="904">
                  <c:v>1.3807570773096103</c:v>
                </c:pt>
                <c:pt idx="905">
                  <c:v>1.3894918049097884</c:v>
                </c:pt>
                <c:pt idx="906">
                  <c:v>1.4080201404981512</c:v>
                </c:pt>
                <c:pt idx="907">
                  <c:v>1.4646638556025375</c:v>
                </c:pt>
                <c:pt idx="908">
                  <c:v>1.4790895309446674</c:v>
                </c:pt>
                <c:pt idx="909">
                  <c:v>1.509925873740759</c:v>
                </c:pt>
                <c:pt idx="910">
                  <c:v>1.5244839207115917</c:v>
                </c:pt>
                <c:pt idx="911">
                  <c:v>1.4816040228058238</c:v>
                </c:pt>
                <c:pt idx="912">
                  <c:v>1.4996029777555051</c:v>
                </c:pt>
                <c:pt idx="913">
                  <c:v>1.5583642551181647</c:v>
                </c:pt>
                <c:pt idx="914">
                  <c:v>1.5721281649583951</c:v>
                </c:pt>
                <c:pt idx="915">
                  <c:v>1.5689519075953391</c:v>
                </c:pt>
                <c:pt idx="916">
                  <c:v>1.5766278474491227</c:v>
                </c:pt>
                <c:pt idx="917">
                  <c:v>1.6160667579689456</c:v>
                </c:pt>
                <c:pt idx="918">
                  <c:v>1.6161991295976479</c:v>
                </c:pt>
                <c:pt idx="919">
                  <c:v>1.632609902927737</c:v>
                </c:pt>
                <c:pt idx="920">
                  <c:v>1.6130227663584642</c:v>
                </c:pt>
                <c:pt idx="921">
                  <c:v>1.6334039341822113</c:v>
                </c:pt>
                <c:pt idx="922">
                  <c:v>1.5620699063544181</c:v>
                </c:pt>
                <c:pt idx="923">
                  <c:v>1.5500265497624817</c:v>
                </c:pt>
                <c:pt idx="924">
                  <c:v>1.4642668333580424</c:v>
                </c:pt>
                <c:pt idx="925">
                  <c:v>1.5063526073677238</c:v>
                </c:pt>
                <c:pt idx="926">
                  <c:v>1.4925886975274936</c:v>
                </c:pt>
                <c:pt idx="927">
                  <c:v>1.4904712279108319</c:v>
                </c:pt>
                <c:pt idx="928">
                  <c:v>1.4813393721900312</c:v>
                </c:pt>
                <c:pt idx="929">
                  <c:v>1.4997353493842074</c:v>
                </c:pt>
                <c:pt idx="930">
                  <c:v>1.5120434492335484</c:v>
                </c:pt>
                <c:pt idx="931">
                  <c:v>1.4733986890788431</c:v>
                </c:pt>
                <c:pt idx="932">
                  <c:v>1.4503705518891095</c:v>
                </c:pt>
                <c:pt idx="933">
                  <c:v>1.39174175203128</c:v>
                </c:pt>
                <c:pt idx="934">
                  <c:v>1.3824775246817769</c:v>
                </c:pt>
                <c:pt idx="935">
                  <c:v>1.385256759800338</c:v>
                </c:pt>
                <c:pt idx="936">
                  <c:v>1.4216516787096793</c:v>
                </c:pt>
                <c:pt idx="937">
                  <c:v>1.3966384567665024</c:v>
                </c:pt>
                <c:pt idx="938">
                  <c:v>1.4239015199550431</c:v>
                </c:pt>
                <c:pt idx="939">
                  <c:v>1.3309952708045334</c:v>
                </c:pt>
                <c:pt idx="940">
                  <c:v>1.2955267547783684</c:v>
                </c:pt>
                <c:pt idx="941">
                  <c:v>1.3389359539157215</c:v>
                </c:pt>
                <c:pt idx="942">
                  <c:v>1.439915376916765</c:v>
                </c:pt>
                <c:pt idx="943">
                  <c:v>1.4192694658356133</c:v>
                </c:pt>
                <c:pt idx="944">
                  <c:v>1.4141080046084704</c:v>
                </c:pt>
                <c:pt idx="945">
                  <c:v>1.4863684617884718</c:v>
                </c:pt>
                <c:pt idx="946">
                  <c:v>1.5561144138728009</c:v>
                </c:pt>
                <c:pt idx="947">
                  <c:v>1.562863937608892</c:v>
                </c:pt>
                <c:pt idx="948">
                  <c:v>1.5778190068242195</c:v>
                </c:pt>
                <c:pt idx="949">
                  <c:v>1.5058232134945269</c:v>
                </c:pt>
                <c:pt idx="950">
                  <c:v>1.4671784533398216</c:v>
                </c:pt>
                <c:pt idx="951">
                  <c:v>1.4516940828929088</c:v>
                </c:pt>
                <c:pt idx="952">
                  <c:v>1.524616199698682</c:v>
                </c:pt>
                <c:pt idx="953">
                  <c:v>1.599523613010154</c:v>
                </c:pt>
                <c:pt idx="954">
                  <c:v>1.5103230018613818</c:v>
                </c:pt>
                <c:pt idx="955">
                  <c:v>1.5285865941923398</c:v>
                </c:pt>
                <c:pt idx="956">
                  <c:v>1.557702489616265</c:v>
                </c:pt>
                <c:pt idx="957">
                  <c:v>1.6405505860389251</c:v>
                </c:pt>
                <c:pt idx="958">
                  <c:v>1.6469031934066491</c:v>
                </c:pt>
                <c:pt idx="959">
                  <c:v>1.6905770431597948</c:v>
                </c:pt>
                <c:pt idx="960">
                  <c:v>1.7101641664945519</c:v>
                </c:pt>
                <c:pt idx="961">
                  <c:v>1.6781366643233635</c:v>
                </c:pt>
                <c:pt idx="962">
                  <c:v>1.6773425271927616</c:v>
                </c:pt>
                <c:pt idx="963">
                  <c:v>1.6975914160294183</c:v>
                </c:pt>
                <c:pt idx="964">
                  <c:v>1.667284361230396</c:v>
                </c:pt>
                <c:pt idx="965">
                  <c:v>1.6615935193645719</c:v>
                </c:pt>
                <c:pt idx="966">
                  <c:v>1.7204870757143218</c:v>
                </c:pt>
                <c:pt idx="967">
                  <c:v>1.6652991706008251</c:v>
                </c:pt>
                <c:pt idx="968">
                  <c:v>1.716649158725494</c:v>
                </c:pt>
                <c:pt idx="969">
                  <c:v>1.7035469085110353</c:v>
                </c:pt>
                <c:pt idx="970">
                  <c:v>1.7440445009011252</c:v>
                </c:pt>
                <c:pt idx="971">
                  <c:v>1.7502647366401467</c:v>
                </c:pt>
                <c:pt idx="972">
                  <c:v>1.6940180437802554</c:v>
                </c:pt>
                <c:pt idx="973">
                  <c:v>1.7529116001300054</c:v>
                </c:pt>
                <c:pt idx="974">
                  <c:v>1.7728958515853852</c:v>
                </c:pt>
                <c:pt idx="975">
                  <c:v>1.8104818239936959</c:v>
                </c:pt>
                <c:pt idx="976">
                  <c:v>1.8622288343628597</c:v>
                </c:pt>
                <c:pt idx="977">
                  <c:v>1.7936739357774998</c:v>
                </c:pt>
                <c:pt idx="978">
                  <c:v>1.8251721499516185</c:v>
                </c:pt>
                <c:pt idx="979">
                  <c:v>1.8213340212105353</c:v>
                </c:pt>
                <c:pt idx="980">
                  <c:v>1.7993648835194518</c:v>
                </c:pt>
                <c:pt idx="981">
                  <c:v>1.8790365240613163</c:v>
                </c:pt>
                <c:pt idx="982">
                  <c:v>1.8423770604123098</c:v>
                </c:pt>
                <c:pt idx="983">
                  <c:v>1.8316569304303052</c:v>
                </c:pt>
                <c:pt idx="984">
                  <c:v>1.7845420800566991</c:v>
                </c:pt>
                <c:pt idx="985">
                  <c:v>1.7893065190393469</c:v>
                </c:pt>
                <c:pt idx="986">
                  <c:v>1.7683959573424022</c:v>
                </c:pt>
                <c:pt idx="987">
                  <c:v>1.7473531298928835</c:v>
                </c:pt>
                <c:pt idx="988">
                  <c:v>1.6817099439309144</c:v>
                </c:pt>
                <c:pt idx="989">
                  <c:v>1.6008470381378253</c:v>
                </c:pt>
                <c:pt idx="990">
                  <c:v>1.5730545810760874</c:v>
                </c:pt>
                <c:pt idx="991">
                  <c:v>1.5906565005467579</c:v>
                </c:pt>
                <c:pt idx="992">
                  <c:v>1.5471149430152182</c:v>
                </c:pt>
                <c:pt idx="993">
                  <c:v>1.5173372820893936</c:v>
                </c:pt>
                <c:pt idx="994">
                  <c:v>1.5968767495202953</c:v>
                </c:pt>
                <c:pt idx="995">
                  <c:v>1.5951561962720011</c:v>
                </c:pt>
                <c:pt idx="996">
                  <c:v>1.5845686364364384</c:v>
                </c:pt>
                <c:pt idx="997">
                  <c:v>1.587083128297595</c:v>
                </c:pt>
                <c:pt idx="998">
                  <c:v>1.5798042106883063</c:v>
                </c:pt>
                <c:pt idx="999">
                  <c:v>1.5843038931790339</c:v>
                </c:pt>
                <c:pt idx="1000">
                  <c:v>1.6130227663584642</c:v>
                </c:pt>
                <c:pt idx="1001">
                  <c:v>1.6236104188356386</c:v>
                </c:pt>
                <c:pt idx="1002">
                  <c:v>1.5831128396800647</c:v>
                </c:pt>
                <c:pt idx="1003">
                  <c:v>1.6459767905234726</c:v>
                </c:pt>
                <c:pt idx="1004">
                  <c:v>1.6729752163307365</c:v>
                </c:pt>
                <c:pt idx="1005">
                  <c:v>1.6589465499985854</c:v>
                </c:pt>
                <c:pt idx="1006">
                  <c:v>1.6717840569556395</c:v>
                </c:pt>
                <c:pt idx="1007">
                  <c:v>1.6789307088123535</c:v>
                </c:pt>
                <c:pt idx="1008">
                  <c:v>1.5886713099171867</c:v>
                </c:pt>
                <c:pt idx="1009">
                  <c:v>1.5831128396800647</c:v>
                </c:pt>
                <c:pt idx="1010">
                  <c:v>1.6753573233286747</c:v>
                </c:pt>
                <c:pt idx="1011">
                  <c:v>1.6881948302857288</c:v>
                </c:pt>
                <c:pt idx="1012">
                  <c:v>1.7016940895101667</c:v>
                </c:pt>
                <c:pt idx="1013">
                  <c:v>1.7470883866354789</c:v>
                </c:pt>
                <c:pt idx="1014">
                  <c:v>1.7681314126027374</c:v>
                </c:pt>
                <c:pt idx="1015">
                  <c:v>1.7908947933005506</c:v>
                </c:pt>
                <c:pt idx="1016">
                  <c:v>1.8016147247648158</c:v>
                </c:pt>
                <c:pt idx="1017">
                  <c:v>1.8212017554579609</c:v>
                </c:pt>
                <c:pt idx="1018">
                  <c:v>1.7935416567904092</c:v>
                </c:pt>
                <c:pt idx="1019">
                  <c:v>1.8325834391896094</c:v>
                </c:pt>
                <c:pt idx="1020">
                  <c:v>1.8889624110365912</c:v>
                </c:pt>
                <c:pt idx="1021">
                  <c:v>1.8935945710321489</c:v>
                </c:pt>
                <c:pt idx="1022">
                  <c:v>1.9194018374643156</c:v>
                </c:pt>
                <c:pt idx="1023">
                  <c:v>1.8971679432813116</c:v>
                </c:pt>
                <c:pt idx="1024">
                  <c:v>1.9846481070579172</c:v>
                </c:pt>
                <c:pt idx="1025">
                  <c:v>1.8953151242804427</c:v>
                </c:pt>
                <c:pt idx="1026">
                  <c:v>1.8553468198874226</c:v>
                </c:pt>
                <c:pt idx="1027">
                  <c:v>1.8532292576291494</c:v>
                </c:pt>
                <c:pt idx="1028">
                  <c:v>1.8029380572508751</c:v>
                </c:pt>
                <c:pt idx="1029">
                  <c:v>1.7608523891173213</c:v>
                </c:pt>
                <c:pt idx="1030">
                  <c:v>1.7433827353992255</c:v>
                </c:pt>
                <c:pt idx="1031">
                  <c:v>1.6952090972792246</c:v>
                </c:pt>
                <c:pt idx="1032">
                  <c:v>1.7803071408233762</c:v>
                </c:pt>
                <c:pt idx="1033">
                  <c:v>1.7750132153259188</c:v>
                </c:pt>
                <c:pt idx="1034">
                  <c:v>1.7551614413753691</c:v>
                </c:pt>
                <c:pt idx="1035">
                  <c:v>1.8624933791025247</c:v>
                </c:pt>
                <c:pt idx="1036">
                  <c:v>1.8501853718947956</c:v>
                </c:pt>
                <c:pt idx="1037">
                  <c:v>1.8487295619039059</c:v>
                </c:pt>
                <c:pt idx="1038">
                  <c:v>1.8047908762517437</c:v>
                </c:pt>
                <c:pt idx="1039">
                  <c:v>1.7730281173379598</c:v>
                </c:pt>
                <c:pt idx="1040">
                  <c:v>1.7153256277216951</c:v>
                </c:pt>
                <c:pt idx="1041">
                  <c:v>1.749602971138247</c:v>
                </c:pt>
                <c:pt idx="1042">
                  <c:v>1.7296189182006068</c:v>
                </c:pt>
                <c:pt idx="1043">
                  <c:v>1.7526468568726008</c:v>
                </c:pt>
                <c:pt idx="1044">
                  <c:v>1.7568819946236633</c:v>
                </c:pt>
                <c:pt idx="1045">
                  <c:v>1.7873214210513877</c:v>
                </c:pt>
                <c:pt idx="1046">
                  <c:v>1.7433827353992255</c:v>
                </c:pt>
                <c:pt idx="1047">
                  <c:v>1.843435636406449</c:v>
                </c:pt>
                <c:pt idx="1048">
                  <c:v>1.8426416051519749</c:v>
                </c:pt>
                <c:pt idx="1049">
                  <c:v>1.8683165925970513</c:v>
                </c:pt>
                <c:pt idx="1050">
                  <c:v>1.8487295619039059</c:v>
                </c:pt>
                <c:pt idx="1051">
                  <c:v>1.8125993994864849</c:v>
                </c:pt>
                <c:pt idx="1052">
                  <c:v>1.7571467378810679</c:v>
                </c:pt>
                <c:pt idx="1053">
                  <c:v>1.7506617588846418</c:v>
                </c:pt>
                <c:pt idx="1054">
                  <c:v>1.7490736831411775</c:v>
                </c:pt>
                <c:pt idx="1055">
                  <c:v>1.6954738537711451</c:v>
                </c:pt>
                <c:pt idx="1056">
                  <c:v>1.7419269254083358</c:v>
                </c:pt>
                <c:pt idx="1057">
                  <c:v>1.6454473966502752</c:v>
                </c:pt>
                <c:pt idx="1058">
                  <c:v>1.6830333690585859</c:v>
                </c:pt>
                <c:pt idx="1059">
                  <c:v>1.6724458224575391</c:v>
                </c:pt>
                <c:pt idx="1060">
                  <c:v>1.7060615062483193</c:v>
                </c:pt>
                <c:pt idx="1061">
                  <c:v>1.7494706921511565</c:v>
                </c:pt>
                <c:pt idx="1062">
                  <c:v>1.7439122219140346</c:v>
                </c:pt>
                <c:pt idx="1063">
                  <c:v>1.7255162579543746</c:v>
                </c:pt>
                <c:pt idx="1064">
                  <c:v>1.7106934677261376</c:v>
                </c:pt>
                <c:pt idx="1065">
                  <c:v>1.7453680319049243</c:v>
                </c:pt>
                <c:pt idx="1066">
                  <c:v>1.8001589147739259</c:v>
                </c:pt>
                <c:pt idx="1067">
                  <c:v>1.8124669219816549</c:v>
                </c:pt>
                <c:pt idx="1068">
                  <c:v>1.8133934307409592</c:v>
                </c:pt>
                <c:pt idx="1069">
                  <c:v>1.8475385084049369</c:v>
                </c:pt>
                <c:pt idx="1070">
                  <c:v>1.8333774836785997</c:v>
                </c:pt>
                <c:pt idx="1071">
                  <c:v>1.6864743696790465</c:v>
                </c:pt>
                <c:pt idx="1072">
                  <c:v>1.7878507090484574</c:v>
                </c:pt>
                <c:pt idx="1073">
                  <c:v>1.7547644191308742</c:v>
                </c:pt>
                <c:pt idx="1074">
                  <c:v>1.7879831865532874</c:v>
                </c:pt>
                <c:pt idx="1075">
                  <c:v>1.8092907704947265</c:v>
                </c:pt>
                <c:pt idx="1076">
                  <c:v>1.7697194883462015</c:v>
                </c:pt>
                <c:pt idx="1077">
                  <c:v>1.7619111768637159</c:v>
                </c:pt>
                <c:pt idx="1078">
                  <c:v>1.74510328864752</c:v>
                </c:pt>
                <c:pt idx="1079">
                  <c:v>1.6979884382739134</c:v>
                </c:pt>
                <c:pt idx="1080">
                  <c:v>1.6822393378041118</c:v>
                </c:pt>
                <c:pt idx="1081">
                  <c:v>1.6463738127679677</c:v>
                </c:pt>
                <c:pt idx="1082">
                  <c:v>1.6271836984431896</c:v>
                </c:pt>
                <c:pt idx="1083">
                  <c:v>1.5832451054326393</c:v>
                </c:pt>
                <c:pt idx="1084">
                  <c:v>1.5881419160439894</c:v>
                </c:pt>
                <c:pt idx="1085">
                  <c:v>1.5596876802458359</c:v>
                </c:pt>
                <c:pt idx="1086">
                  <c:v>1.5436739291602419</c:v>
                </c:pt>
                <c:pt idx="1087">
                  <c:v>1.5172048972261754</c:v>
                </c:pt>
                <c:pt idx="1088">
                  <c:v>1.5176019194706705</c:v>
                </c:pt>
                <c:pt idx="1089">
                  <c:v>1.5273955406933708</c:v>
                </c:pt>
                <c:pt idx="1090">
                  <c:v>1.466119665593427</c:v>
                </c:pt>
                <c:pt idx="1091">
                  <c:v>1.4168872529615473</c:v>
                </c:pt>
                <c:pt idx="1092">
                  <c:v>1.3804923340522057</c:v>
                </c:pt>
                <c:pt idx="1093">
                  <c:v>1.4166226023457547</c:v>
                </c:pt>
                <c:pt idx="1094">
                  <c:v>1.421122284836482</c:v>
                </c:pt>
                <c:pt idx="1095">
                  <c:v>1.4346215572954357</c:v>
                </c:pt>
                <c:pt idx="1096">
                  <c:v>1.4691636439693925</c:v>
                </c:pt>
                <c:pt idx="1097">
                  <c:v>1.4645315898499629</c:v>
                </c:pt>
                <c:pt idx="1098">
                  <c:v>1.4626786649729664</c:v>
                </c:pt>
                <c:pt idx="1099">
                  <c:v>1.4943092507757876</c:v>
                </c:pt>
                <c:pt idx="1100">
                  <c:v>1.4510323173910091</c:v>
                </c:pt>
                <c:pt idx="1101">
                  <c:v>1.483589213435395</c:v>
                </c:pt>
                <c:pt idx="1102">
                  <c:v>1.4763102958261065</c:v>
                </c:pt>
                <c:pt idx="1103">
                  <c:v>1.4726045519482414</c:v>
                </c:pt>
                <c:pt idx="1104">
                  <c:v>1.4927210691561958</c:v>
                </c:pt>
                <c:pt idx="1105">
                  <c:v>1.4888830462912401</c:v>
                </c:pt>
                <c:pt idx="1106">
                  <c:v>1.5191901010902622</c:v>
                </c:pt>
                <c:pt idx="1107">
                  <c:v>1.4978825171488228</c:v>
                </c:pt>
                <c:pt idx="1108">
                  <c:v>1.5063526073677238</c:v>
                </c:pt>
                <c:pt idx="1109">
                  <c:v>1.477766105816996</c:v>
                </c:pt>
                <c:pt idx="1110">
                  <c:v>1.4166226023457547</c:v>
                </c:pt>
                <c:pt idx="1111">
                  <c:v>1.4019322763878317</c:v>
                </c:pt>
                <c:pt idx="1112">
                  <c:v>1.4461355200141748</c:v>
                </c:pt>
                <c:pt idx="1113">
                  <c:v>1.4212546564651842</c:v>
                </c:pt>
                <c:pt idx="1114">
                  <c:v>1.4461355200141748</c:v>
                </c:pt>
                <c:pt idx="1115">
                  <c:v>1.5023822128740663</c:v>
                </c:pt>
                <c:pt idx="1116">
                  <c:v>1.4880890018022501</c:v>
                </c:pt>
                <c:pt idx="1117">
                  <c:v>1.5006617522673837</c:v>
                </c:pt>
                <c:pt idx="1118">
                  <c:v>1.4965590920211513</c:v>
                </c:pt>
                <c:pt idx="1119">
                  <c:v>1.4965590920211513</c:v>
                </c:pt>
                <c:pt idx="1120">
                  <c:v>1.4800159470623597</c:v>
                </c:pt>
                <c:pt idx="1121">
                  <c:v>1.509131842486285</c:v>
                </c:pt>
                <c:pt idx="1122">
                  <c:v>1.511514055360351</c:v>
                </c:pt>
                <c:pt idx="1123">
                  <c:v>1.4685018784674928</c:v>
                </c:pt>
                <c:pt idx="1124">
                  <c:v>1.4772367119437988</c:v>
                </c:pt>
                <c:pt idx="1125">
                  <c:v>1.4609582043662841</c:v>
                </c:pt>
                <c:pt idx="1126">
                  <c:v>1.4730016668343482</c:v>
                </c:pt>
                <c:pt idx="1127">
                  <c:v>1.4953679326460545</c:v>
                </c:pt>
                <c:pt idx="1128">
                  <c:v>1.5266013903282529</c:v>
                </c:pt>
                <c:pt idx="1129">
                  <c:v>1.5311011786951081</c:v>
                </c:pt>
                <c:pt idx="1130">
                  <c:v>1.5432769201502627</c:v>
                </c:pt>
                <c:pt idx="1131">
                  <c:v>1.5524087626365477</c:v>
                </c:pt>
                <c:pt idx="1132">
                  <c:v>1.5541292100087141</c:v>
                </c:pt>
                <c:pt idx="1133">
                  <c:v>1.5451297391511314</c:v>
                </c:pt>
                <c:pt idx="1134">
                  <c:v>1.501588168385076</c:v>
                </c:pt>
                <c:pt idx="1135">
                  <c:v>1.5203811545892314</c:v>
                </c:pt>
                <c:pt idx="1136">
                  <c:v>1.4903388562821296</c:v>
                </c:pt>
                <c:pt idx="1137">
                  <c:v>1.5345420866739568</c:v>
                </c:pt>
                <c:pt idx="1138">
                  <c:v>1.5224987300820205</c:v>
                </c:pt>
                <c:pt idx="1139">
                  <c:v>1.5287189658210421</c:v>
                </c:pt>
                <c:pt idx="1140">
                  <c:v>1.5018529116424806</c:v>
                </c:pt>
                <c:pt idx="1141">
                  <c:v>1.5048967973768343</c:v>
                </c:pt>
                <c:pt idx="1142">
                  <c:v>1.5275278064459454</c:v>
                </c:pt>
                <c:pt idx="1143">
                  <c:v>1.5619375347257158</c:v>
                </c:pt>
                <c:pt idx="1144">
                  <c:v>1.5978031524034715</c:v>
                </c:pt>
                <c:pt idx="1145">
                  <c:v>1.6277130923163869</c:v>
                </c:pt>
                <c:pt idx="1146">
                  <c:v>1.6637109889812334</c:v>
                </c:pt>
                <c:pt idx="1147">
                  <c:v>1.6482266317688363</c:v>
                </c:pt>
                <c:pt idx="1148">
                  <c:v>1.6699312247202549</c:v>
                </c:pt>
                <c:pt idx="1149">
                  <c:v>1.6605347316181773</c:v>
                </c:pt>
                <c:pt idx="1150">
                  <c:v>1.7081790685065927</c:v>
                </c:pt>
                <c:pt idx="1151">
                  <c:v>1.7060615062483193</c:v>
                </c:pt>
                <c:pt idx="1152">
                  <c:v>1.704208674012935</c:v>
                </c:pt>
                <c:pt idx="1153">
                  <c:v>1.6716516853269372</c:v>
                </c:pt>
                <c:pt idx="1154">
                  <c:v>1.6622551789903437</c:v>
                </c:pt>
                <c:pt idx="1155">
                  <c:v>1.6793277178223325</c:v>
                </c:pt>
                <c:pt idx="1156">
                  <c:v>1.7110904767361166</c:v>
                </c:pt>
                <c:pt idx="1157">
                  <c:v>1.7382212741720828</c:v>
                </c:pt>
                <c:pt idx="1158">
                  <c:v>1.7727633740805553</c:v>
                </c:pt>
                <c:pt idx="1159">
                  <c:v>1.7848068365486196</c:v>
                </c:pt>
                <c:pt idx="1160">
                  <c:v>1.8403917639066112</c:v>
                </c:pt>
                <c:pt idx="1161">
                  <c:v>1.806511429500038</c:v>
                </c:pt>
                <c:pt idx="1162">
                  <c:v>1.7355744106822237</c:v>
                </c:pt>
                <c:pt idx="1163">
                  <c:v>1.7329275471923651</c:v>
                </c:pt>
                <c:pt idx="1164">
                  <c:v>1.7472208509057929</c:v>
                </c:pt>
                <c:pt idx="1165">
                  <c:v>1.7678666693453329</c:v>
                </c:pt>
                <c:pt idx="1166">
                  <c:v>1.7358391671741442</c:v>
                </c:pt>
                <c:pt idx="1167">
                  <c:v>1.7322657816904654</c:v>
                </c:pt>
                <c:pt idx="1168">
                  <c:v>1.7121492644825109</c:v>
                </c:pt>
                <c:pt idx="1169">
                  <c:v>1.7133405297337356</c:v>
                </c:pt>
                <c:pt idx="1170">
                  <c:v>1.7617786993588858</c:v>
                </c:pt>
                <c:pt idx="1171">
                  <c:v>1.7416623806686711</c:v>
                </c:pt>
                <c:pt idx="1172">
                  <c:v>1.7388830396739821</c:v>
                </c:pt>
                <c:pt idx="1173">
                  <c:v>1.7396770841629721</c:v>
                </c:pt>
                <c:pt idx="1174">
                  <c:v>1.7191635447105227</c:v>
                </c:pt>
                <c:pt idx="1175">
                  <c:v>1.7678666693453329</c:v>
                </c:pt>
                <c:pt idx="1176">
                  <c:v>1.7617786993588858</c:v>
                </c:pt>
                <c:pt idx="1177">
                  <c:v>1.7738221618269501</c:v>
                </c:pt>
                <c:pt idx="1178">
                  <c:v>1.8032028005082796</c:v>
                </c:pt>
                <c:pt idx="1179">
                  <c:v>1.8800953118077111</c:v>
                </c:pt>
                <c:pt idx="1180">
                  <c:v>1.9023293912739385</c:v>
                </c:pt>
                <c:pt idx="1181">
                  <c:v>1.9356802391657026</c:v>
                </c:pt>
                <c:pt idx="1182">
                  <c:v>1.9253573299459328</c:v>
                </c:pt>
                <c:pt idx="1183">
                  <c:v>1.9315775656849543</c:v>
                </c:pt>
                <c:pt idx="1184">
                  <c:v>1.9015351615017249</c:v>
                </c:pt>
                <c:pt idx="1185">
                  <c:v>1.9359449824231072</c:v>
                </c:pt>
                <c:pt idx="1186">
                  <c:v>1.8880361007950264</c:v>
                </c:pt>
                <c:pt idx="1187">
                  <c:v>1.892138761041259</c:v>
                </c:pt>
                <c:pt idx="1188">
                  <c:v>1.9362097256805118</c:v>
                </c:pt>
                <c:pt idx="1189">
                  <c:v>1.9225781874689833</c:v>
                </c:pt>
                <c:pt idx="1190">
                  <c:v>1.9393858771674402</c:v>
                </c:pt>
                <c:pt idx="1191">
                  <c:v>1.873742797081599</c:v>
                </c:pt>
                <c:pt idx="1192">
                  <c:v>1.9051085337508877</c:v>
                </c:pt>
                <c:pt idx="1193">
                  <c:v>1.9478559673863411</c:v>
                </c:pt>
                <c:pt idx="1194">
                  <c:v>1.8754633503298928</c:v>
                </c:pt>
                <c:pt idx="1195">
                  <c:v>1.8275542569495571</c:v>
                </c:pt>
                <c:pt idx="1196">
                  <c:v>1.7678666693453329</c:v>
                </c:pt>
                <c:pt idx="1197">
                  <c:v>1.7028851430091356</c:v>
                </c:pt>
                <c:pt idx="1198">
                  <c:v>1.687136135180946</c:v>
                </c:pt>
                <c:pt idx="1199">
                  <c:v>1.6745632920742006</c:v>
                </c:pt>
                <c:pt idx="1200">
                  <c:v>1.6801217623113225</c:v>
                </c:pt>
                <c:pt idx="1201">
                  <c:v>1.7232664167090106</c:v>
                </c:pt>
                <c:pt idx="1202">
                  <c:v>1.7151933487346045</c:v>
                </c:pt>
                <c:pt idx="1203">
                  <c:v>1.6705929902221544</c:v>
                </c:pt>
                <c:pt idx="1204">
                  <c:v>1.6682107773480885</c:v>
                </c:pt>
                <c:pt idx="1205">
                  <c:v>1.7098994232371474</c:v>
                </c:pt>
                <c:pt idx="1206">
                  <c:v>1.7300159404451017</c:v>
                </c:pt>
                <c:pt idx="1207">
                  <c:v>1.7738221618269501</c:v>
                </c:pt>
                <c:pt idx="1208">
                  <c:v>1.7525145778855102</c:v>
                </c:pt>
                <c:pt idx="1209">
                  <c:v>1.7361037119138094</c:v>
                </c:pt>
                <c:pt idx="1210">
                  <c:v>1.7301482194321922</c:v>
                </c:pt>
                <c:pt idx="1211">
                  <c:v>1.7046056962574299</c:v>
                </c:pt>
                <c:pt idx="1212">
                  <c:v>1.6789307088123535</c:v>
                </c:pt>
                <c:pt idx="1213">
                  <c:v>1.6590789348618036</c:v>
                </c:pt>
                <c:pt idx="1214">
                  <c:v>1.6352567664175959</c:v>
                </c:pt>
                <c:pt idx="1215">
                  <c:v>1.6442562372751786</c:v>
                </c:pt>
                <c:pt idx="1216">
                  <c:v>1.6807835278132222</c:v>
                </c:pt>
                <c:pt idx="1217">
                  <c:v>1.6904447641727043</c:v>
                </c:pt>
                <c:pt idx="1218">
                  <c:v>1.706723271750219</c:v>
                </c:pt>
                <c:pt idx="1219">
                  <c:v>1.6732398537120132</c:v>
                </c:pt>
                <c:pt idx="1220">
                  <c:v>1.6651667989721228</c:v>
                </c:pt>
                <c:pt idx="1221">
                  <c:v>1.6285072294469889</c:v>
                </c:pt>
                <c:pt idx="1222">
                  <c:v>1.6090524777409339</c:v>
                </c:pt>
                <c:pt idx="1223">
                  <c:v>1.587083128297595</c:v>
                </c:pt>
                <c:pt idx="1224">
                  <c:v>1.6234780472069363</c:v>
                </c:pt>
                <c:pt idx="1225">
                  <c:v>1.6446532595196734</c:v>
                </c:pt>
                <c:pt idx="1226">
                  <c:v>1.6686077995925834</c:v>
                </c:pt>
                <c:pt idx="1227">
                  <c:v>1.6768131333195642</c:v>
                </c:pt>
                <c:pt idx="1228">
                  <c:v>1.6135521602316614</c:v>
                </c:pt>
                <c:pt idx="1229">
                  <c:v>1.642535789903012</c:v>
                </c:pt>
                <c:pt idx="1230">
                  <c:v>1.6507412162716046</c:v>
                </c:pt>
                <c:pt idx="1231">
                  <c:v>1.630095305190453</c:v>
                </c:pt>
                <c:pt idx="1232">
                  <c:v>1.6590789348618036</c:v>
                </c:pt>
                <c:pt idx="1233">
                  <c:v>1.6537851020059584</c:v>
                </c:pt>
                <c:pt idx="1234">
                  <c:v>1.6623875638535619</c:v>
                </c:pt>
                <c:pt idx="1235">
                  <c:v>1.6574907532422116</c:v>
                </c:pt>
                <c:pt idx="1236">
                  <c:v>1.6421387676585169</c:v>
                </c:pt>
                <c:pt idx="1237">
                  <c:v>1.6590789348618036</c:v>
                </c:pt>
                <c:pt idx="1238">
                  <c:v>1.6725780882101138</c:v>
                </c:pt>
                <c:pt idx="1239">
                  <c:v>1.6736368759565081</c:v>
                </c:pt>
                <c:pt idx="1240">
                  <c:v>1.6629169577267593</c:v>
                </c:pt>
                <c:pt idx="1241">
                  <c:v>1.6242721843375381</c:v>
                </c:pt>
                <c:pt idx="1242">
                  <c:v>1.6155373640957482</c:v>
                </c:pt>
                <c:pt idx="1243">
                  <c:v>1.6244044633246286</c:v>
                </c:pt>
                <c:pt idx="1244">
                  <c:v>1.634198071312813</c:v>
                </c:pt>
                <c:pt idx="1245">
                  <c:v>1.6000530068833514</c:v>
                </c:pt>
                <c:pt idx="1246">
                  <c:v>1.6516676323892969</c:v>
                </c:pt>
                <c:pt idx="1247">
                  <c:v>1.7096346799797428</c:v>
                </c:pt>
                <c:pt idx="1248">
                  <c:v>1.7015618105230761</c:v>
                </c:pt>
                <c:pt idx="1249">
                  <c:v>1.7458973199019938</c:v>
                </c:pt>
                <c:pt idx="1250">
                  <c:v>1.7681314126027374</c:v>
                </c:pt>
                <c:pt idx="1251">
                  <c:v>1.7541026536289748</c:v>
                </c:pt>
                <c:pt idx="1252">
                  <c:v>1.7458973199019938</c:v>
                </c:pt>
                <c:pt idx="1253">
                  <c:v>1.749602971138247</c:v>
                </c:pt>
                <c:pt idx="1254">
                  <c:v>1.7627052081181898</c:v>
                </c:pt>
                <c:pt idx="1255">
                  <c:v>1.7445739874159343</c:v>
                </c:pt>
                <c:pt idx="1256">
                  <c:v>1.7216781292132912</c:v>
                </c:pt>
                <c:pt idx="1257">
                  <c:v>1.7204870757143218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5E-40E2-96D9-82C28B70D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39456"/>
        <c:axId val="266560576"/>
      </c:scatterChart>
      <c:valAx>
        <c:axId val="266539456"/>
        <c:scaling>
          <c:orientation val="minMax"/>
          <c:max val="12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Napok száma</a:t>
                </a:r>
              </a:p>
            </c:rich>
          </c:tx>
          <c:layout>
            <c:manualLayout>
              <c:xMode val="edge"/>
              <c:yMode val="edge"/>
              <c:x val="0.49521832908182561"/>
              <c:y val="0.9339899592215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66560576"/>
        <c:crosses val="autoZero"/>
        <c:crossBetween val="midCat"/>
        <c:majorUnit val="60"/>
      </c:valAx>
      <c:valAx>
        <c:axId val="266560576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Bázisindexek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66539456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3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ayout>
        <c:manualLayout>
          <c:xMode val="edge"/>
          <c:yMode val="edge"/>
          <c:x val="0.12514352492681929"/>
          <c:y val="0.13557828369279928"/>
          <c:w val="0.3705337085025755"/>
          <c:h val="0.1385895241355700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Napi loghozamok empirikus sűrűségfüggvényei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>
        <c:manualLayout>
          <c:layoutTarget val="inner"/>
          <c:xMode val="edge"/>
          <c:yMode val="edge"/>
          <c:x val="5.7704508266574285E-2"/>
          <c:y val="0.11791569754656023"/>
          <c:w val="0.9025637527551148"/>
          <c:h val="0.76539105019020093"/>
        </c:manualLayout>
      </c:layout>
      <c:scatterChart>
        <c:scatterStyle val="lineMarker"/>
        <c:varyColors val="0"/>
        <c:ser>
          <c:idx val="0"/>
          <c:order val="0"/>
          <c:tx>
            <c:v>RHI_szim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Számolások!$AV$4:$AV$40</c:f>
              <c:numCache>
                <c:formatCode>0.00000</c:formatCode>
                <c:ptCount val="37"/>
                <c:pt idx="0">
                  <c:v>-6.4701638139742348E-2</c:v>
                </c:pt>
                <c:pt idx="1">
                  <c:v>-6.0984332170470772E-2</c:v>
                </c:pt>
                <c:pt idx="2">
                  <c:v>-5.7267026201199195E-2</c:v>
                </c:pt>
                <c:pt idx="3">
                  <c:v>-5.3549720231927618E-2</c:v>
                </c:pt>
                <c:pt idx="4">
                  <c:v>-4.9832414262656041E-2</c:v>
                </c:pt>
                <c:pt idx="5">
                  <c:v>-4.6115108293384464E-2</c:v>
                </c:pt>
                <c:pt idx="6">
                  <c:v>-4.2397802324112888E-2</c:v>
                </c:pt>
                <c:pt idx="7">
                  <c:v>-3.8680496354841311E-2</c:v>
                </c:pt>
                <c:pt idx="8">
                  <c:v>-3.4963190385569734E-2</c:v>
                </c:pt>
                <c:pt idx="9">
                  <c:v>-3.1245884416298157E-2</c:v>
                </c:pt>
                <c:pt idx="10">
                  <c:v>-2.752857844702658E-2</c:v>
                </c:pt>
                <c:pt idx="11">
                  <c:v>-2.3811272477755004E-2</c:v>
                </c:pt>
                <c:pt idx="12">
                  <c:v>-2.0093966508483427E-2</c:v>
                </c:pt>
                <c:pt idx="13">
                  <c:v>-1.637666053921185E-2</c:v>
                </c:pt>
                <c:pt idx="14">
                  <c:v>-1.2659354569940273E-2</c:v>
                </c:pt>
                <c:pt idx="15">
                  <c:v>-8.9420486006686964E-3</c:v>
                </c:pt>
                <c:pt idx="16">
                  <c:v>-5.2247426313971196E-3</c:v>
                </c:pt>
                <c:pt idx="17">
                  <c:v>-1.5074366621255428E-3</c:v>
                </c:pt>
                <c:pt idx="18">
                  <c:v>2.209869307146034E-3</c:v>
                </c:pt>
                <c:pt idx="19">
                  <c:v>5.9271752764176108E-3</c:v>
                </c:pt>
                <c:pt idx="20">
                  <c:v>9.6444812456891876E-3</c:v>
                </c:pt>
                <c:pt idx="21">
                  <c:v>1.3361787214960764E-2</c:v>
                </c:pt>
                <c:pt idx="22">
                  <c:v>1.7079093184232341E-2</c:v>
                </c:pt>
                <c:pt idx="23">
                  <c:v>2.0796399153503918E-2</c:v>
                </c:pt>
                <c:pt idx="24">
                  <c:v>2.4513705122775495E-2</c:v>
                </c:pt>
                <c:pt idx="25">
                  <c:v>2.8231011092047072E-2</c:v>
                </c:pt>
                <c:pt idx="26">
                  <c:v>3.1948317061318648E-2</c:v>
                </c:pt>
                <c:pt idx="27">
                  <c:v>3.5665623030590225E-2</c:v>
                </c:pt>
                <c:pt idx="28">
                  <c:v>3.9382928999861802E-2</c:v>
                </c:pt>
                <c:pt idx="29">
                  <c:v>4.3100234969133379E-2</c:v>
                </c:pt>
                <c:pt idx="30">
                  <c:v>4.6817540938404956E-2</c:v>
                </c:pt>
                <c:pt idx="31">
                  <c:v>5.0534846907676532E-2</c:v>
                </c:pt>
                <c:pt idx="32">
                  <c:v>5.4252152876948109E-2</c:v>
                </c:pt>
                <c:pt idx="33">
                  <c:v>5.7969458846219686E-2</c:v>
                </c:pt>
                <c:pt idx="34">
                  <c:v>6.1686764815491263E-2</c:v>
                </c:pt>
                <c:pt idx="35">
                  <c:v>6.5404070784762847E-2</c:v>
                </c:pt>
                <c:pt idx="36">
                  <c:v>6.912137675403443E-2</c:v>
                </c:pt>
              </c:numCache>
            </c:numRef>
          </c:xVal>
          <c:yVal>
            <c:numRef>
              <c:f>Számolások!$BB$4:$BB$40</c:f>
              <c:numCache>
                <c:formatCode>0.0000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0.65132066814241762</c:v>
                </c:pt>
                <c:pt idx="3">
                  <c:v>1.0855344469040293</c:v>
                </c:pt>
                <c:pt idx="4">
                  <c:v>0.86842755752322354</c:v>
                </c:pt>
                <c:pt idx="5">
                  <c:v>1.5197482256656412</c:v>
                </c:pt>
                <c:pt idx="6">
                  <c:v>1.9539620044272528</c:v>
                </c:pt>
                <c:pt idx="7">
                  <c:v>2.8223895619504762</c:v>
                </c:pt>
                <c:pt idx="8">
                  <c:v>4.7763515663777287</c:v>
                </c:pt>
                <c:pt idx="9">
                  <c:v>6.2960997920433703</c:v>
                </c:pt>
                <c:pt idx="10">
                  <c:v>8.0329549070898167</c:v>
                </c:pt>
                <c:pt idx="11">
                  <c:v>8.2500617964706233</c:v>
                </c:pt>
                <c:pt idx="12">
                  <c:v>13.026413362848352</c:v>
                </c:pt>
                <c:pt idx="13">
                  <c:v>11.289558247801905</c:v>
                </c:pt>
                <c:pt idx="14">
                  <c:v>14.980375367275604</c:v>
                </c:pt>
                <c:pt idx="15">
                  <c:v>16.283016703560438</c:v>
                </c:pt>
                <c:pt idx="16">
                  <c:v>19.756726933653333</c:v>
                </c:pt>
                <c:pt idx="17">
                  <c:v>19.539620044272528</c:v>
                </c:pt>
                <c:pt idx="18">
                  <c:v>16.717230482322051</c:v>
                </c:pt>
                <c:pt idx="19">
                  <c:v>17.151444261083665</c:v>
                </c:pt>
                <c:pt idx="20">
                  <c:v>19.539620044272528</c:v>
                </c:pt>
                <c:pt idx="21">
                  <c:v>16.500123592941247</c:v>
                </c:pt>
                <c:pt idx="22">
                  <c:v>16.500123592941247</c:v>
                </c:pt>
                <c:pt idx="23">
                  <c:v>11.289558247801905</c:v>
                </c:pt>
                <c:pt idx="24">
                  <c:v>10.638237579659487</c:v>
                </c:pt>
                <c:pt idx="25">
                  <c:v>7.8158480177090111</c:v>
                </c:pt>
                <c:pt idx="26">
                  <c:v>6.2960997920433703</c:v>
                </c:pt>
                <c:pt idx="27">
                  <c:v>4.3421377876161174</c:v>
                </c:pt>
                <c:pt idx="28">
                  <c:v>5.210565345139341</c:v>
                </c:pt>
                <c:pt idx="29">
                  <c:v>3.6908171194736994</c:v>
                </c:pt>
                <c:pt idx="30">
                  <c:v>2.1710688938080587</c:v>
                </c:pt>
                <c:pt idx="31">
                  <c:v>1.5197482256656412</c:v>
                </c:pt>
                <c:pt idx="32">
                  <c:v>1.0855344469040293</c:v>
                </c:pt>
                <c:pt idx="33">
                  <c:v>0.86842755752322354</c:v>
                </c:pt>
                <c:pt idx="34">
                  <c:v>0.21710688938080588</c:v>
                </c:pt>
                <c:pt idx="35">
                  <c:v>0</c:v>
                </c:pt>
                <c:pt idx="36">
                  <c:v>0.21710688938080588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9E-4561-86FD-965FEDD1B31A}"/>
            </c:ext>
          </c:extLst>
        </c:ser>
        <c:ser>
          <c:idx val="1"/>
          <c:order val="1"/>
          <c:tx>
            <c:v>RHI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Számolások!$AV$4:$AV$40</c:f>
              <c:numCache>
                <c:formatCode>0.00000</c:formatCode>
                <c:ptCount val="37"/>
                <c:pt idx="0">
                  <c:v>-6.4701638139742348E-2</c:v>
                </c:pt>
                <c:pt idx="1">
                  <c:v>-6.0984332170470772E-2</c:v>
                </c:pt>
                <c:pt idx="2">
                  <c:v>-5.7267026201199195E-2</c:v>
                </c:pt>
                <c:pt idx="3">
                  <c:v>-5.3549720231927618E-2</c:v>
                </c:pt>
                <c:pt idx="4">
                  <c:v>-4.9832414262656041E-2</c:v>
                </c:pt>
                <c:pt idx="5">
                  <c:v>-4.6115108293384464E-2</c:v>
                </c:pt>
                <c:pt idx="6">
                  <c:v>-4.2397802324112888E-2</c:v>
                </c:pt>
                <c:pt idx="7">
                  <c:v>-3.8680496354841311E-2</c:v>
                </c:pt>
                <c:pt idx="8">
                  <c:v>-3.4963190385569734E-2</c:v>
                </c:pt>
                <c:pt idx="9">
                  <c:v>-3.1245884416298157E-2</c:v>
                </c:pt>
                <c:pt idx="10">
                  <c:v>-2.752857844702658E-2</c:v>
                </c:pt>
                <c:pt idx="11">
                  <c:v>-2.3811272477755004E-2</c:v>
                </c:pt>
                <c:pt idx="12">
                  <c:v>-2.0093966508483427E-2</c:v>
                </c:pt>
                <c:pt idx="13">
                  <c:v>-1.637666053921185E-2</c:v>
                </c:pt>
                <c:pt idx="14">
                  <c:v>-1.2659354569940273E-2</c:v>
                </c:pt>
                <c:pt idx="15">
                  <c:v>-8.9420486006686964E-3</c:v>
                </c:pt>
                <c:pt idx="16">
                  <c:v>-5.2247426313971196E-3</c:v>
                </c:pt>
                <c:pt idx="17">
                  <c:v>-1.5074366621255428E-3</c:v>
                </c:pt>
                <c:pt idx="18">
                  <c:v>2.209869307146034E-3</c:v>
                </c:pt>
                <c:pt idx="19">
                  <c:v>5.9271752764176108E-3</c:v>
                </c:pt>
                <c:pt idx="20">
                  <c:v>9.6444812456891876E-3</c:v>
                </c:pt>
                <c:pt idx="21">
                  <c:v>1.3361787214960764E-2</c:v>
                </c:pt>
                <c:pt idx="22">
                  <c:v>1.7079093184232341E-2</c:v>
                </c:pt>
                <c:pt idx="23">
                  <c:v>2.0796399153503918E-2</c:v>
                </c:pt>
                <c:pt idx="24">
                  <c:v>2.4513705122775495E-2</c:v>
                </c:pt>
                <c:pt idx="25">
                  <c:v>2.8231011092047072E-2</c:v>
                </c:pt>
                <c:pt idx="26">
                  <c:v>3.1948317061318648E-2</c:v>
                </c:pt>
                <c:pt idx="27">
                  <c:v>3.5665623030590225E-2</c:v>
                </c:pt>
                <c:pt idx="28">
                  <c:v>3.9382928999861802E-2</c:v>
                </c:pt>
                <c:pt idx="29">
                  <c:v>4.3100234969133379E-2</c:v>
                </c:pt>
                <c:pt idx="30">
                  <c:v>4.6817540938404956E-2</c:v>
                </c:pt>
                <c:pt idx="31">
                  <c:v>5.0534846907676532E-2</c:v>
                </c:pt>
                <c:pt idx="32">
                  <c:v>5.4252152876948109E-2</c:v>
                </c:pt>
                <c:pt idx="33">
                  <c:v>5.7969458846219686E-2</c:v>
                </c:pt>
                <c:pt idx="34">
                  <c:v>6.1686764815491263E-2</c:v>
                </c:pt>
                <c:pt idx="35">
                  <c:v>6.5404070784762847E-2</c:v>
                </c:pt>
                <c:pt idx="36">
                  <c:v>6.912137675403443E-2</c:v>
                </c:pt>
              </c:numCache>
            </c:numRef>
          </c:xVal>
          <c:yVal>
            <c:numRef>
              <c:f>Számolások!$AX$4:$AX$40</c:f>
              <c:numCache>
                <c:formatCode>0.0000</c:formatCode>
                <c:ptCount val="37"/>
                <c:pt idx="0">
                  <c:v>2.9961561862599564</c:v>
                </c:pt>
                <c:pt idx="1">
                  <c:v>0.42802231232285087</c:v>
                </c:pt>
                <c:pt idx="2">
                  <c:v>0.42802231232285087</c:v>
                </c:pt>
                <c:pt idx="3">
                  <c:v>0.64203346848427634</c:v>
                </c:pt>
                <c:pt idx="4">
                  <c:v>1.0700557808071272</c:v>
                </c:pt>
                <c:pt idx="5">
                  <c:v>1.4980780931299782</c:v>
                </c:pt>
                <c:pt idx="6">
                  <c:v>0.21401115616142544</c:v>
                </c:pt>
                <c:pt idx="7">
                  <c:v>1.0700557808071272</c:v>
                </c:pt>
                <c:pt idx="8">
                  <c:v>2.1401115616142543</c:v>
                </c:pt>
                <c:pt idx="9">
                  <c:v>3.6381896547442323</c:v>
                </c:pt>
                <c:pt idx="10">
                  <c:v>5.1362677478742107</c:v>
                </c:pt>
                <c:pt idx="11">
                  <c:v>5.7783012163584866</c:v>
                </c:pt>
                <c:pt idx="12">
                  <c:v>8.9884685587798678</c:v>
                </c:pt>
                <c:pt idx="13">
                  <c:v>9.4164908711027184</c:v>
                </c:pt>
                <c:pt idx="14">
                  <c:v>12.626658213524102</c:v>
                </c:pt>
                <c:pt idx="15">
                  <c:v>17.976937117559736</c:v>
                </c:pt>
                <c:pt idx="16">
                  <c:v>18.190948273721162</c:v>
                </c:pt>
                <c:pt idx="17">
                  <c:v>27.393427988662456</c:v>
                </c:pt>
                <c:pt idx="18">
                  <c:v>27.821450300985305</c:v>
                </c:pt>
                <c:pt idx="19">
                  <c:v>22.899193709272524</c:v>
                </c:pt>
                <c:pt idx="20">
                  <c:v>19.475015210689715</c:v>
                </c:pt>
                <c:pt idx="21">
                  <c:v>17.976937117559736</c:v>
                </c:pt>
                <c:pt idx="22">
                  <c:v>15.194792087461206</c:v>
                </c:pt>
                <c:pt idx="23">
                  <c:v>14.338747462815505</c:v>
                </c:pt>
                <c:pt idx="24">
                  <c:v>8.1324239341341666</c:v>
                </c:pt>
                <c:pt idx="25">
                  <c:v>7.704401621811316</c:v>
                </c:pt>
                <c:pt idx="26">
                  <c:v>2.9961561862599564</c:v>
                </c:pt>
                <c:pt idx="27">
                  <c:v>4.2802231232285086</c:v>
                </c:pt>
                <c:pt idx="28">
                  <c:v>2.5681338739371053</c:v>
                </c:pt>
                <c:pt idx="29">
                  <c:v>1.0700557808071272</c:v>
                </c:pt>
                <c:pt idx="30">
                  <c:v>0.64203346848427634</c:v>
                </c:pt>
                <c:pt idx="31">
                  <c:v>0.42802231232285087</c:v>
                </c:pt>
                <c:pt idx="32">
                  <c:v>0.64203346848427634</c:v>
                </c:pt>
                <c:pt idx="33">
                  <c:v>0.21401115616142544</c:v>
                </c:pt>
                <c:pt idx="34">
                  <c:v>0.21401115616142544</c:v>
                </c:pt>
                <c:pt idx="35">
                  <c:v>0.42802231232285087</c:v>
                </c:pt>
                <c:pt idx="36">
                  <c:v>2.3541227177756796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9E-4561-86FD-965FEDD1B31A}"/>
            </c:ext>
          </c:extLst>
        </c:ser>
        <c:ser>
          <c:idx val="2"/>
          <c:order val="2"/>
          <c:tx>
            <c:v>RL_szim</c:v>
          </c:tx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Számolások!$BD$4:$BD$40</c:f>
              <c:numCache>
                <c:formatCode>0.00000</c:formatCode>
                <c:ptCount val="37"/>
                <c:pt idx="0">
                  <c:v>-8.0106726880532428E-2</c:v>
                </c:pt>
                <c:pt idx="1">
                  <c:v>-7.5514968053249629E-2</c:v>
                </c:pt>
                <c:pt idx="2">
                  <c:v>-7.092320922596683E-2</c:v>
                </c:pt>
                <c:pt idx="3">
                  <c:v>-6.633145039868403E-2</c:v>
                </c:pt>
                <c:pt idx="4">
                  <c:v>-6.1739691571401231E-2</c:v>
                </c:pt>
                <c:pt idx="5">
                  <c:v>-5.7147932744118432E-2</c:v>
                </c:pt>
                <c:pt idx="6">
                  <c:v>-5.2556173916835633E-2</c:v>
                </c:pt>
                <c:pt idx="7">
                  <c:v>-4.7964415089552834E-2</c:v>
                </c:pt>
                <c:pt idx="8">
                  <c:v>-4.3372656262270035E-2</c:v>
                </c:pt>
                <c:pt idx="9">
                  <c:v>-3.8780897434987235E-2</c:v>
                </c:pt>
                <c:pt idx="10">
                  <c:v>-3.4189138607704436E-2</c:v>
                </c:pt>
                <c:pt idx="11">
                  <c:v>-2.9597379780421637E-2</c:v>
                </c:pt>
                <c:pt idx="12">
                  <c:v>-2.5005620953138838E-2</c:v>
                </c:pt>
                <c:pt idx="13">
                  <c:v>-2.0413862125856039E-2</c:v>
                </c:pt>
                <c:pt idx="14">
                  <c:v>-1.582210329857324E-2</c:v>
                </c:pt>
                <c:pt idx="15">
                  <c:v>-1.1230344471290442E-2</c:v>
                </c:pt>
                <c:pt idx="16">
                  <c:v>-6.6385856440076448E-3</c:v>
                </c:pt>
                <c:pt idx="17">
                  <c:v>-2.0468268167248473E-3</c:v>
                </c:pt>
                <c:pt idx="18">
                  <c:v>2.5449320105579501E-3</c:v>
                </c:pt>
                <c:pt idx="19">
                  <c:v>7.1366908378407475E-3</c:v>
                </c:pt>
                <c:pt idx="20">
                  <c:v>1.1728449665123545E-2</c:v>
                </c:pt>
                <c:pt idx="21">
                  <c:v>1.6320208492406341E-2</c:v>
                </c:pt>
                <c:pt idx="22">
                  <c:v>2.091196731968914E-2</c:v>
                </c:pt>
                <c:pt idx="23">
                  <c:v>2.5503726146971939E-2</c:v>
                </c:pt>
                <c:pt idx="24">
                  <c:v>3.0095484974254738E-2</c:v>
                </c:pt>
                <c:pt idx="25">
                  <c:v>3.4687243801537537E-2</c:v>
                </c:pt>
                <c:pt idx="26">
                  <c:v>3.9279002628820336E-2</c:v>
                </c:pt>
                <c:pt idx="27">
                  <c:v>4.3870761456103136E-2</c:v>
                </c:pt>
                <c:pt idx="28">
                  <c:v>4.8462520283385935E-2</c:v>
                </c:pt>
                <c:pt idx="29">
                  <c:v>5.3054279110668734E-2</c:v>
                </c:pt>
                <c:pt idx="30">
                  <c:v>5.7646037937951533E-2</c:v>
                </c:pt>
                <c:pt idx="31">
                  <c:v>6.2237796765234332E-2</c:v>
                </c:pt>
                <c:pt idx="32">
                  <c:v>6.6829555592517131E-2</c:v>
                </c:pt>
                <c:pt idx="33">
                  <c:v>7.1421314419799931E-2</c:v>
                </c:pt>
                <c:pt idx="34">
                  <c:v>7.601307324708273E-2</c:v>
                </c:pt>
                <c:pt idx="35">
                  <c:v>8.0604832074365529E-2</c:v>
                </c:pt>
                <c:pt idx="36">
                  <c:v>8.5196590901648328E-2</c:v>
                </c:pt>
              </c:numCache>
            </c:numRef>
          </c:xVal>
          <c:yVal>
            <c:numRef>
              <c:f>Számolások!$BJ$4:$BJ$40</c:f>
              <c:numCache>
                <c:formatCode>0.0000</c:formatCode>
                <c:ptCount val="37"/>
                <c:pt idx="0">
                  <c:v>0.17342809820689048</c:v>
                </c:pt>
                <c:pt idx="1">
                  <c:v>0.17342809820689048</c:v>
                </c:pt>
                <c:pt idx="2">
                  <c:v>0.17342809820689048</c:v>
                </c:pt>
                <c:pt idx="3">
                  <c:v>0.69371239282756192</c:v>
                </c:pt>
                <c:pt idx="4">
                  <c:v>0.86714049103445234</c:v>
                </c:pt>
                <c:pt idx="5">
                  <c:v>1.2139966874482333</c:v>
                </c:pt>
                <c:pt idx="6">
                  <c:v>1.7342809820689047</c:v>
                </c:pt>
                <c:pt idx="7">
                  <c:v>2.9482776695171378</c:v>
                </c:pt>
                <c:pt idx="8">
                  <c:v>3.81541816055159</c:v>
                </c:pt>
                <c:pt idx="9">
                  <c:v>3.988846258758481</c:v>
                </c:pt>
                <c:pt idx="10">
                  <c:v>6.5902677318618377</c:v>
                </c:pt>
                <c:pt idx="11">
                  <c:v>7.804264419310071</c:v>
                </c:pt>
                <c:pt idx="12">
                  <c:v>10.405685892413427</c:v>
                </c:pt>
                <c:pt idx="13">
                  <c:v>9.3651173031720845</c:v>
                </c:pt>
                <c:pt idx="14">
                  <c:v>12.139966874482331</c:v>
                </c:pt>
                <c:pt idx="15">
                  <c:v>12.313394972689222</c:v>
                </c:pt>
                <c:pt idx="16">
                  <c:v>13.874247856551237</c:v>
                </c:pt>
                <c:pt idx="17">
                  <c:v>13.180535463723675</c:v>
                </c:pt>
                <c:pt idx="18">
                  <c:v>11.966538776275442</c:v>
                </c:pt>
                <c:pt idx="19">
                  <c:v>15.608528838620142</c:v>
                </c:pt>
                <c:pt idx="20">
                  <c:v>14.741388347585691</c:v>
                </c:pt>
                <c:pt idx="21">
                  <c:v>12.660251169103004</c:v>
                </c:pt>
                <c:pt idx="22">
                  <c:v>13.180535463723675</c:v>
                </c:pt>
                <c:pt idx="23">
                  <c:v>10.9259701870341</c:v>
                </c:pt>
                <c:pt idx="24">
                  <c:v>8.3245487139307421</c:v>
                </c:pt>
                <c:pt idx="25">
                  <c:v>8.1511206157238512</c:v>
                </c:pt>
                <c:pt idx="26">
                  <c:v>7.1105520264825079</c:v>
                </c:pt>
                <c:pt idx="27">
                  <c:v>3.4685619641378094</c:v>
                </c:pt>
                <c:pt idx="28">
                  <c:v>3.4685619641378094</c:v>
                </c:pt>
                <c:pt idx="29">
                  <c:v>2.0811371784826855</c:v>
                </c:pt>
                <c:pt idx="30">
                  <c:v>1.3874247856551238</c:v>
                </c:pt>
                <c:pt idx="31">
                  <c:v>1.3874247856551238</c:v>
                </c:pt>
                <c:pt idx="32">
                  <c:v>1.0405685892413428</c:v>
                </c:pt>
                <c:pt idx="33">
                  <c:v>0.34685619641378096</c:v>
                </c:pt>
                <c:pt idx="34">
                  <c:v>0.34685619641378096</c:v>
                </c:pt>
                <c:pt idx="35">
                  <c:v>0.17342809820689048</c:v>
                </c:pt>
                <c:pt idx="36">
                  <c:v>0.17342809820689048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9E-4561-86FD-965FEDD1B31A}"/>
            </c:ext>
          </c:extLst>
        </c:ser>
        <c:ser>
          <c:idx val="3"/>
          <c:order val="3"/>
          <c:tx>
            <c:v>RL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Számolások!$BH$4:$BH$40</c:f>
              <c:numCache>
                <c:formatCode>0.00000</c:formatCode>
                <c:ptCount val="37"/>
                <c:pt idx="0">
                  <c:v>-8.0106726880532428E-2</c:v>
                </c:pt>
                <c:pt idx="1">
                  <c:v>-7.5514968053249629E-2</c:v>
                </c:pt>
                <c:pt idx="2">
                  <c:v>-7.092320922596683E-2</c:v>
                </c:pt>
                <c:pt idx="3">
                  <c:v>-6.633145039868403E-2</c:v>
                </c:pt>
                <c:pt idx="4">
                  <c:v>-6.1739691571401231E-2</c:v>
                </c:pt>
                <c:pt idx="5">
                  <c:v>-5.7147932744118432E-2</c:v>
                </c:pt>
                <c:pt idx="6">
                  <c:v>-5.2556173916835633E-2</c:v>
                </c:pt>
                <c:pt idx="7">
                  <c:v>-4.7964415089552834E-2</c:v>
                </c:pt>
                <c:pt idx="8">
                  <c:v>-4.3372656262270035E-2</c:v>
                </c:pt>
                <c:pt idx="9">
                  <c:v>-3.8780897434987235E-2</c:v>
                </c:pt>
                <c:pt idx="10">
                  <c:v>-3.4189138607704436E-2</c:v>
                </c:pt>
                <c:pt idx="11">
                  <c:v>-2.9597379780421637E-2</c:v>
                </c:pt>
                <c:pt idx="12">
                  <c:v>-2.5005620953138838E-2</c:v>
                </c:pt>
                <c:pt idx="13">
                  <c:v>-2.0413862125856039E-2</c:v>
                </c:pt>
                <c:pt idx="14">
                  <c:v>-1.582210329857324E-2</c:v>
                </c:pt>
                <c:pt idx="15">
                  <c:v>-1.1230344471290442E-2</c:v>
                </c:pt>
                <c:pt idx="16">
                  <c:v>-6.6385856440076448E-3</c:v>
                </c:pt>
                <c:pt idx="17">
                  <c:v>-2.0468268167248473E-3</c:v>
                </c:pt>
                <c:pt idx="18">
                  <c:v>2.5449320105579501E-3</c:v>
                </c:pt>
                <c:pt idx="19">
                  <c:v>7.1366908378407475E-3</c:v>
                </c:pt>
                <c:pt idx="20">
                  <c:v>1.1728449665123545E-2</c:v>
                </c:pt>
                <c:pt idx="21">
                  <c:v>1.6320208492406341E-2</c:v>
                </c:pt>
                <c:pt idx="22">
                  <c:v>2.091196731968914E-2</c:v>
                </c:pt>
                <c:pt idx="23">
                  <c:v>2.5503726146971939E-2</c:v>
                </c:pt>
                <c:pt idx="24">
                  <c:v>3.0095484974254738E-2</c:v>
                </c:pt>
                <c:pt idx="25">
                  <c:v>3.4687243801537537E-2</c:v>
                </c:pt>
                <c:pt idx="26">
                  <c:v>3.9279002628820336E-2</c:v>
                </c:pt>
                <c:pt idx="27">
                  <c:v>4.3870761456103136E-2</c:v>
                </c:pt>
                <c:pt idx="28">
                  <c:v>4.8462520283385935E-2</c:v>
                </c:pt>
                <c:pt idx="29">
                  <c:v>5.3054279110668734E-2</c:v>
                </c:pt>
                <c:pt idx="30">
                  <c:v>5.7646037937951533E-2</c:v>
                </c:pt>
                <c:pt idx="31">
                  <c:v>6.2237796765234332E-2</c:v>
                </c:pt>
                <c:pt idx="32">
                  <c:v>6.6829555592517131E-2</c:v>
                </c:pt>
                <c:pt idx="33">
                  <c:v>7.1421314419799931E-2</c:v>
                </c:pt>
                <c:pt idx="34">
                  <c:v>7.601307324708273E-2</c:v>
                </c:pt>
                <c:pt idx="35">
                  <c:v>8.0604832074365529E-2</c:v>
                </c:pt>
                <c:pt idx="36">
                  <c:v>8.5196590901648328E-2</c:v>
                </c:pt>
              </c:numCache>
            </c:numRef>
          </c:xVal>
          <c:yVal>
            <c:numRef>
              <c:f>Számolások!$BF$4:$BF$40</c:f>
              <c:numCache>
                <c:formatCode>0.0000</c:formatCode>
                <c:ptCount val="37"/>
                <c:pt idx="0">
                  <c:v>1.905804455405995</c:v>
                </c:pt>
                <c:pt idx="1">
                  <c:v>0.17325495049145409</c:v>
                </c:pt>
                <c:pt idx="2">
                  <c:v>0.34650990098290818</c:v>
                </c:pt>
                <c:pt idx="3">
                  <c:v>0.69301980196581636</c:v>
                </c:pt>
                <c:pt idx="4">
                  <c:v>0.86627475245727048</c:v>
                </c:pt>
                <c:pt idx="5">
                  <c:v>1.0395297029487245</c:v>
                </c:pt>
                <c:pt idx="6">
                  <c:v>1.732549504914541</c:v>
                </c:pt>
                <c:pt idx="7">
                  <c:v>0.86627475245727048</c:v>
                </c:pt>
                <c:pt idx="8">
                  <c:v>2.079059405897449</c:v>
                </c:pt>
                <c:pt idx="9">
                  <c:v>2.252314356388903</c:v>
                </c:pt>
                <c:pt idx="10">
                  <c:v>3.9848638613034444</c:v>
                </c:pt>
                <c:pt idx="11">
                  <c:v>5.5441584157265309</c:v>
                </c:pt>
                <c:pt idx="12">
                  <c:v>5.8906683167094389</c:v>
                </c:pt>
                <c:pt idx="13">
                  <c:v>8.6627475245727048</c:v>
                </c:pt>
                <c:pt idx="14">
                  <c:v>11.608081682927425</c:v>
                </c:pt>
                <c:pt idx="15">
                  <c:v>13.16737623735051</c:v>
                </c:pt>
                <c:pt idx="16">
                  <c:v>16.80573019767105</c:v>
                </c:pt>
                <c:pt idx="17">
                  <c:v>21.65686881143176</c:v>
                </c:pt>
                <c:pt idx="18">
                  <c:v>19.231299504551405</c:v>
                </c:pt>
                <c:pt idx="19">
                  <c:v>19.751064356025765</c:v>
                </c:pt>
                <c:pt idx="20">
                  <c:v>16.80573019767105</c:v>
                </c:pt>
                <c:pt idx="21">
                  <c:v>12.647611385876148</c:v>
                </c:pt>
                <c:pt idx="22">
                  <c:v>11.781336633418878</c:v>
                </c:pt>
                <c:pt idx="23">
                  <c:v>10.395297029487246</c:v>
                </c:pt>
                <c:pt idx="24">
                  <c:v>7.2767079206410719</c:v>
                </c:pt>
                <c:pt idx="25">
                  <c:v>5.0243935642521684</c:v>
                </c:pt>
                <c:pt idx="26">
                  <c:v>3.9848638613034444</c:v>
                </c:pt>
                <c:pt idx="27">
                  <c:v>2.5988242573718114</c:v>
                </c:pt>
                <c:pt idx="28">
                  <c:v>1.559294554423087</c:v>
                </c:pt>
                <c:pt idx="29">
                  <c:v>2.4255693068803574</c:v>
                </c:pt>
                <c:pt idx="30">
                  <c:v>1.2127846534401787</c:v>
                </c:pt>
                <c:pt idx="31">
                  <c:v>1.0395297029487245</c:v>
                </c:pt>
                <c:pt idx="32">
                  <c:v>0.34650990098290818</c:v>
                </c:pt>
                <c:pt idx="33">
                  <c:v>0.34650990098290818</c:v>
                </c:pt>
                <c:pt idx="34">
                  <c:v>0.34650990098290818</c:v>
                </c:pt>
                <c:pt idx="35">
                  <c:v>0.34650990098290818</c:v>
                </c:pt>
                <c:pt idx="36">
                  <c:v>1.3860396039316327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D9E-4561-86FD-965FEDD1B31A}"/>
            </c:ext>
          </c:extLst>
        </c:ser>
        <c:ser>
          <c:idx val="4"/>
          <c:order val="4"/>
          <c:tx>
            <c:v>VLO_szim</c:v>
          </c:tx>
          <c:spPr>
            <a:ln w="190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Számolások!$BL$4:$BL$40</c:f>
              <c:numCache>
                <c:formatCode>0.00000</c:formatCode>
                <c:ptCount val="37"/>
                <c:pt idx="0">
                  <c:v>-9.0774997944899447E-2</c:v>
                </c:pt>
                <c:pt idx="1">
                  <c:v>-8.5563188427862064E-2</c:v>
                </c:pt>
                <c:pt idx="2">
                  <c:v>-8.0351378910824681E-2</c:v>
                </c:pt>
                <c:pt idx="3">
                  <c:v>-7.5139569393787298E-2</c:v>
                </c:pt>
                <c:pt idx="4">
                  <c:v>-6.9927759876749915E-2</c:v>
                </c:pt>
                <c:pt idx="5">
                  <c:v>-6.4715950359712532E-2</c:v>
                </c:pt>
                <c:pt idx="6">
                  <c:v>-5.9504140842675149E-2</c:v>
                </c:pt>
                <c:pt idx="7">
                  <c:v>-5.4292331325637766E-2</c:v>
                </c:pt>
                <c:pt idx="8">
                  <c:v>-4.9080521808600383E-2</c:v>
                </c:pt>
                <c:pt idx="9">
                  <c:v>-4.3868712291563E-2</c:v>
                </c:pt>
                <c:pt idx="10">
                  <c:v>-3.8656902774525617E-2</c:v>
                </c:pt>
                <c:pt idx="11">
                  <c:v>-3.3445093257488234E-2</c:v>
                </c:pt>
                <c:pt idx="12">
                  <c:v>-2.8233283740450848E-2</c:v>
                </c:pt>
                <c:pt idx="13">
                  <c:v>-2.3021474223413461E-2</c:v>
                </c:pt>
                <c:pt idx="14">
                  <c:v>-1.7809664706376075E-2</c:v>
                </c:pt>
                <c:pt idx="15">
                  <c:v>-1.2597855189338689E-2</c:v>
                </c:pt>
                <c:pt idx="16">
                  <c:v>-7.3860456723013022E-3</c:v>
                </c:pt>
                <c:pt idx="17">
                  <c:v>-2.1742361552639158E-3</c:v>
                </c:pt>
                <c:pt idx="18">
                  <c:v>3.0375733617734706E-3</c:v>
                </c:pt>
                <c:pt idx="19">
                  <c:v>8.249382878810857E-3</c:v>
                </c:pt>
                <c:pt idx="20">
                  <c:v>1.3461192395848243E-2</c:v>
                </c:pt>
                <c:pt idx="21">
                  <c:v>1.867300191288563E-2</c:v>
                </c:pt>
                <c:pt idx="22">
                  <c:v>2.3884811429923016E-2</c:v>
                </c:pt>
                <c:pt idx="23">
                  <c:v>2.9096620946960403E-2</c:v>
                </c:pt>
                <c:pt idx="24">
                  <c:v>3.4308430463997786E-2</c:v>
                </c:pt>
                <c:pt idx="25">
                  <c:v>3.9520239981035168E-2</c:v>
                </c:pt>
                <c:pt idx="26">
                  <c:v>4.4732049498072551E-2</c:v>
                </c:pt>
                <c:pt idx="27">
                  <c:v>4.9943859015109934E-2</c:v>
                </c:pt>
                <c:pt idx="28">
                  <c:v>5.5155668532147317E-2</c:v>
                </c:pt>
                <c:pt idx="29">
                  <c:v>6.03674780491847E-2</c:v>
                </c:pt>
                <c:pt idx="30">
                  <c:v>6.5579287566222083E-2</c:v>
                </c:pt>
                <c:pt idx="31">
                  <c:v>7.0791097083259466E-2</c:v>
                </c:pt>
                <c:pt idx="32">
                  <c:v>7.6002906600296849E-2</c:v>
                </c:pt>
                <c:pt idx="33">
                  <c:v>8.1214716117334232E-2</c:v>
                </c:pt>
                <c:pt idx="34">
                  <c:v>8.6426525634371615E-2</c:v>
                </c:pt>
                <c:pt idx="35">
                  <c:v>9.1638335151408998E-2</c:v>
                </c:pt>
                <c:pt idx="36">
                  <c:v>9.6850144668446381E-2</c:v>
                </c:pt>
              </c:numCache>
            </c:numRef>
          </c:xVal>
          <c:yVal>
            <c:numRef>
              <c:f>Számolások!$BR$4:$BR$40</c:f>
              <c:numCache>
                <c:formatCode>0.0000</c:formatCode>
                <c:ptCount val="37"/>
                <c:pt idx="0">
                  <c:v>0.15414291712993258</c:v>
                </c:pt>
                <c:pt idx="1">
                  <c:v>0.46242875138979778</c:v>
                </c:pt>
                <c:pt idx="2">
                  <c:v>0.30828583425986517</c:v>
                </c:pt>
                <c:pt idx="3">
                  <c:v>0.61657166851973033</c:v>
                </c:pt>
                <c:pt idx="4">
                  <c:v>0.770714585649663</c:v>
                </c:pt>
                <c:pt idx="5">
                  <c:v>1.2331433370394607</c:v>
                </c:pt>
                <c:pt idx="6">
                  <c:v>0.92485750277959555</c:v>
                </c:pt>
                <c:pt idx="7">
                  <c:v>2.3121437569489887</c:v>
                </c:pt>
                <c:pt idx="8">
                  <c:v>3.082858342598652</c:v>
                </c:pt>
                <c:pt idx="9">
                  <c:v>3.2370012597285842</c:v>
                </c:pt>
                <c:pt idx="10">
                  <c:v>6.4740025194571684</c:v>
                </c:pt>
                <c:pt idx="11">
                  <c:v>6.9364312708469669</c:v>
                </c:pt>
                <c:pt idx="12">
                  <c:v>8.1695746078864264</c:v>
                </c:pt>
                <c:pt idx="13">
                  <c:v>9.2485750277959546</c:v>
                </c:pt>
                <c:pt idx="14">
                  <c:v>11.869004619004809</c:v>
                </c:pt>
                <c:pt idx="15">
                  <c:v>10.481718364835416</c:v>
                </c:pt>
                <c:pt idx="16">
                  <c:v>14.797720044473529</c:v>
                </c:pt>
                <c:pt idx="17">
                  <c:v>13.410433790304134</c:v>
                </c:pt>
                <c:pt idx="18">
                  <c:v>14.489434210213663</c:v>
                </c:pt>
                <c:pt idx="19">
                  <c:v>11.714861701874877</c:v>
                </c:pt>
                <c:pt idx="20">
                  <c:v>13.564576707434068</c:v>
                </c:pt>
                <c:pt idx="21">
                  <c:v>11.252432950485078</c:v>
                </c:pt>
                <c:pt idx="22">
                  <c:v>8.4778604421462926</c:v>
                </c:pt>
                <c:pt idx="23">
                  <c:v>7.7071458564966298</c:v>
                </c:pt>
                <c:pt idx="24">
                  <c:v>7.2447171051068313</c:v>
                </c:pt>
                <c:pt idx="25">
                  <c:v>5.7032879338075055</c:v>
                </c:pt>
                <c:pt idx="26">
                  <c:v>5.7032879338075055</c:v>
                </c:pt>
                <c:pt idx="27">
                  <c:v>3.2370012597285842</c:v>
                </c:pt>
                <c:pt idx="28">
                  <c:v>3.082858342598652</c:v>
                </c:pt>
                <c:pt idx="29">
                  <c:v>2.7745725083387867</c:v>
                </c:pt>
                <c:pt idx="30">
                  <c:v>1.6955720884292584</c:v>
                </c:pt>
                <c:pt idx="31">
                  <c:v>1.2331433370394607</c:v>
                </c:pt>
                <c:pt idx="32">
                  <c:v>0.46242875138979778</c:v>
                </c:pt>
                <c:pt idx="33">
                  <c:v>0.61657166851973033</c:v>
                </c:pt>
                <c:pt idx="34">
                  <c:v>0.30828583425986517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9E-4561-86FD-965FEDD1B31A}"/>
            </c:ext>
          </c:extLst>
        </c:ser>
        <c:ser>
          <c:idx val="5"/>
          <c:order val="5"/>
          <c:tx>
            <c:v>VLO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Számolások!$BP$4:$BP$40</c:f>
              <c:numCache>
                <c:formatCode>0.00000</c:formatCode>
                <c:ptCount val="37"/>
                <c:pt idx="0">
                  <c:v>-9.0774997944899447E-2</c:v>
                </c:pt>
                <c:pt idx="1">
                  <c:v>-8.5563188427862064E-2</c:v>
                </c:pt>
                <c:pt idx="2">
                  <c:v>-8.0351378910824681E-2</c:v>
                </c:pt>
                <c:pt idx="3">
                  <c:v>-7.5139569393787298E-2</c:v>
                </c:pt>
                <c:pt idx="4">
                  <c:v>-6.9927759876749915E-2</c:v>
                </c:pt>
                <c:pt idx="5">
                  <c:v>-6.4715950359712532E-2</c:v>
                </c:pt>
                <c:pt idx="6">
                  <c:v>-5.9504140842675149E-2</c:v>
                </c:pt>
                <c:pt idx="7">
                  <c:v>-5.4292331325637766E-2</c:v>
                </c:pt>
                <c:pt idx="8">
                  <c:v>-4.9080521808600383E-2</c:v>
                </c:pt>
                <c:pt idx="9">
                  <c:v>-4.3868712291563E-2</c:v>
                </c:pt>
                <c:pt idx="10">
                  <c:v>-3.8656902774525617E-2</c:v>
                </c:pt>
                <c:pt idx="11">
                  <c:v>-3.3445093257488234E-2</c:v>
                </c:pt>
                <c:pt idx="12">
                  <c:v>-2.8233283740450848E-2</c:v>
                </c:pt>
                <c:pt idx="13">
                  <c:v>-2.3021474223413461E-2</c:v>
                </c:pt>
                <c:pt idx="14">
                  <c:v>-1.7809664706376075E-2</c:v>
                </c:pt>
                <c:pt idx="15">
                  <c:v>-1.2597855189338689E-2</c:v>
                </c:pt>
                <c:pt idx="16">
                  <c:v>-7.3860456723013022E-3</c:v>
                </c:pt>
                <c:pt idx="17">
                  <c:v>-2.1742361552639158E-3</c:v>
                </c:pt>
                <c:pt idx="18">
                  <c:v>3.0375733617734706E-3</c:v>
                </c:pt>
                <c:pt idx="19">
                  <c:v>8.249382878810857E-3</c:v>
                </c:pt>
                <c:pt idx="20">
                  <c:v>1.3461192395848243E-2</c:v>
                </c:pt>
                <c:pt idx="21">
                  <c:v>1.867300191288563E-2</c:v>
                </c:pt>
                <c:pt idx="22">
                  <c:v>2.3884811429923016E-2</c:v>
                </c:pt>
                <c:pt idx="23">
                  <c:v>2.9096620946960403E-2</c:v>
                </c:pt>
                <c:pt idx="24">
                  <c:v>3.4308430463997786E-2</c:v>
                </c:pt>
                <c:pt idx="25">
                  <c:v>3.9520239981035168E-2</c:v>
                </c:pt>
                <c:pt idx="26">
                  <c:v>4.4732049498072551E-2</c:v>
                </c:pt>
                <c:pt idx="27">
                  <c:v>4.9943859015109934E-2</c:v>
                </c:pt>
                <c:pt idx="28">
                  <c:v>5.5155668532147317E-2</c:v>
                </c:pt>
                <c:pt idx="29">
                  <c:v>6.03674780491847E-2</c:v>
                </c:pt>
                <c:pt idx="30">
                  <c:v>6.5579287566222083E-2</c:v>
                </c:pt>
                <c:pt idx="31">
                  <c:v>7.0791097083259466E-2</c:v>
                </c:pt>
                <c:pt idx="32">
                  <c:v>7.6002906600296849E-2</c:v>
                </c:pt>
                <c:pt idx="33">
                  <c:v>8.1214716117334232E-2</c:v>
                </c:pt>
                <c:pt idx="34">
                  <c:v>8.6426525634371615E-2</c:v>
                </c:pt>
                <c:pt idx="35">
                  <c:v>9.1638335151408998E-2</c:v>
                </c:pt>
                <c:pt idx="36">
                  <c:v>9.6850144668446381E-2</c:v>
                </c:pt>
              </c:numCache>
            </c:numRef>
          </c:xVal>
          <c:yVal>
            <c:numRef>
              <c:f>Számolások!$BN$4:$BN$40</c:f>
              <c:numCache>
                <c:formatCode>0.0000</c:formatCode>
                <c:ptCount val="37"/>
                <c:pt idx="0">
                  <c:v>1.0684992649525302</c:v>
                </c:pt>
                <c:pt idx="1">
                  <c:v>0.30528550427215151</c:v>
                </c:pt>
                <c:pt idx="2">
                  <c:v>0.15264275213607575</c:v>
                </c:pt>
                <c:pt idx="3">
                  <c:v>1.0684992649525302</c:v>
                </c:pt>
                <c:pt idx="4">
                  <c:v>0.91585651281645442</c:v>
                </c:pt>
                <c:pt idx="5">
                  <c:v>0.61057100854430302</c:v>
                </c:pt>
                <c:pt idx="6">
                  <c:v>0.91585651281645442</c:v>
                </c:pt>
                <c:pt idx="7">
                  <c:v>1.8317130256329088</c:v>
                </c:pt>
                <c:pt idx="8">
                  <c:v>1.221142017088606</c:v>
                </c:pt>
                <c:pt idx="9">
                  <c:v>2.1369985299050605</c:v>
                </c:pt>
                <c:pt idx="10">
                  <c:v>2.7475695384493632</c:v>
                </c:pt>
                <c:pt idx="11">
                  <c:v>3.9687115555379688</c:v>
                </c:pt>
                <c:pt idx="12">
                  <c:v>6.4109955897151805</c:v>
                </c:pt>
                <c:pt idx="13">
                  <c:v>7.6321376068037869</c:v>
                </c:pt>
                <c:pt idx="14">
                  <c:v>8.0900658632120148</c:v>
                </c:pt>
                <c:pt idx="15">
                  <c:v>10.6849926495253</c:v>
                </c:pt>
                <c:pt idx="16">
                  <c:v>17.553916495648711</c:v>
                </c:pt>
                <c:pt idx="17">
                  <c:v>17.859201999920863</c:v>
                </c:pt>
                <c:pt idx="18">
                  <c:v>20.148843281961998</c:v>
                </c:pt>
                <c:pt idx="19">
                  <c:v>17.706559247784785</c:v>
                </c:pt>
                <c:pt idx="20">
                  <c:v>16.027488974287952</c:v>
                </c:pt>
                <c:pt idx="21">
                  <c:v>10.6849926495253</c:v>
                </c:pt>
                <c:pt idx="22">
                  <c:v>12.058777418749983</c:v>
                </c:pt>
                <c:pt idx="23">
                  <c:v>8.5479941196202418</c:v>
                </c:pt>
                <c:pt idx="24">
                  <c:v>4.4266398119461963</c:v>
                </c:pt>
                <c:pt idx="25">
                  <c:v>4.4266398119461963</c:v>
                </c:pt>
                <c:pt idx="26">
                  <c:v>2.9002122905854391</c:v>
                </c:pt>
                <c:pt idx="27">
                  <c:v>2.7475695384493632</c:v>
                </c:pt>
                <c:pt idx="28">
                  <c:v>2.1369985299050605</c:v>
                </c:pt>
                <c:pt idx="29">
                  <c:v>1.3737847692246816</c:v>
                </c:pt>
                <c:pt idx="30">
                  <c:v>0.61057100854430302</c:v>
                </c:pt>
                <c:pt idx="31">
                  <c:v>0.30528550427215151</c:v>
                </c:pt>
                <c:pt idx="32">
                  <c:v>0.76321376068037872</c:v>
                </c:pt>
                <c:pt idx="33">
                  <c:v>0.30528550427215151</c:v>
                </c:pt>
                <c:pt idx="34">
                  <c:v>0</c:v>
                </c:pt>
                <c:pt idx="35">
                  <c:v>0.30528550427215151</c:v>
                </c:pt>
                <c:pt idx="36">
                  <c:v>1.221142017088606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D9E-4561-86FD-965FEDD1B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633072"/>
        <c:axId val="1792633552"/>
      </c:scatterChart>
      <c:valAx>
        <c:axId val="1792633072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napi loghozamok, y</a:t>
                </a:r>
              </a:p>
            </c:rich>
          </c:tx>
          <c:layout>
            <c:manualLayout>
              <c:xMode val="edge"/>
              <c:yMode val="edge"/>
              <c:x val="0.42020695504901723"/>
              <c:y val="0.946073336260706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792633552"/>
        <c:crosses val="autoZero"/>
        <c:crossBetween val="midCat"/>
      </c:valAx>
      <c:valAx>
        <c:axId val="1792633552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edf(y)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79263307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3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4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</c:legendEntry>
      <c:layout>
        <c:manualLayout>
          <c:xMode val="edge"/>
          <c:yMode val="edge"/>
          <c:x val="6.7392369602503208E-2"/>
          <c:y val="0.13240391938771448"/>
          <c:w val="0.33345886621162313"/>
          <c:h val="0.136610877854997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9605</xdr:colOff>
      <xdr:row>4</xdr:row>
      <xdr:rowOff>26670</xdr:rowOff>
    </xdr:from>
    <xdr:to>
      <xdr:col>17</xdr:col>
      <xdr:colOff>708660</xdr:colOff>
      <xdr:row>24</xdr:row>
      <xdr:rowOff>179294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717FBEAA-E830-9569-DCD2-C2D4E160F6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175260</xdr:colOff>
      <xdr:row>4</xdr:row>
      <xdr:rowOff>38100</xdr:rowOff>
    </xdr:from>
    <xdr:to>
      <xdr:col>11</xdr:col>
      <xdr:colOff>422622</xdr:colOff>
      <xdr:row>25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69A3DBC0-F082-092A-AC7C-69D299B93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167013</xdr:colOff>
      <xdr:row>25</xdr:row>
      <xdr:rowOff>74112</xdr:rowOff>
    </xdr:from>
    <xdr:to>
      <xdr:col>11</xdr:col>
      <xdr:colOff>428090</xdr:colOff>
      <xdr:row>38</xdr:row>
      <xdr:rowOff>231168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82C1E6E7-001B-0B6C-A400-45178396F3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BDE7-878B-4D73-8EFD-03F50F37BC9F}">
  <sheetPr codeName="Munka1"/>
  <dimension ref="A1:BR1261"/>
  <sheetViews>
    <sheetView showGridLines="0" topLeftCell="AM2" zoomScale="55" workbookViewId="0">
      <selection activeCell="BV24" sqref="BV24"/>
    </sheetView>
  </sheetViews>
  <sheetFormatPr defaultRowHeight="14.4" x14ac:dyDescent="0.3"/>
  <cols>
    <col min="1" max="4" width="13.44140625" customWidth="1"/>
    <col min="6" max="17" width="13.109375" customWidth="1"/>
    <col min="19" max="22" width="16.44140625" customWidth="1"/>
    <col min="24" max="27" width="16.44140625" customWidth="1"/>
    <col min="43" max="45" width="9" bestFit="1" customWidth="1"/>
    <col min="48" max="49" width="9" bestFit="1" customWidth="1"/>
    <col min="50" max="50" width="13.21875" bestFit="1" customWidth="1"/>
    <col min="52" max="53" width="9" bestFit="1" customWidth="1"/>
    <col min="54" max="54" width="13.21875" bestFit="1" customWidth="1"/>
  </cols>
  <sheetData>
    <row r="1" spans="1:70" x14ac:dyDescent="0.3">
      <c r="A1" s="77" t="s">
        <v>0</v>
      </c>
      <c r="B1" s="77"/>
      <c r="C1" s="77"/>
      <c r="D1" s="77"/>
      <c r="F1" s="78" t="s">
        <v>5</v>
      </c>
      <c r="G1" s="78"/>
      <c r="H1" s="78"/>
      <c r="I1" s="78"/>
      <c r="J1" s="78"/>
      <c r="K1" s="23"/>
      <c r="L1" s="78" t="s">
        <v>28</v>
      </c>
      <c r="M1" s="78"/>
      <c r="N1" s="78"/>
      <c r="O1" s="78"/>
      <c r="P1" s="78"/>
      <c r="Q1" s="24"/>
      <c r="S1" s="78" t="s">
        <v>16</v>
      </c>
      <c r="T1" s="78"/>
      <c r="U1" s="78"/>
      <c r="V1" s="78"/>
      <c r="X1" s="78" t="s">
        <v>16</v>
      </c>
      <c r="Y1" s="78"/>
      <c r="Z1" s="78"/>
      <c r="AA1" s="78"/>
      <c r="AD1" s="82" t="s">
        <v>15</v>
      </c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50"/>
      <c r="AV1" s="77" t="s">
        <v>2</v>
      </c>
      <c r="AW1" s="77"/>
      <c r="AX1" s="77"/>
      <c r="AY1" s="87"/>
      <c r="AZ1" s="77"/>
      <c r="BA1" s="77"/>
      <c r="BB1" s="77"/>
      <c r="BD1" s="77" t="s">
        <v>3</v>
      </c>
      <c r="BE1" s="77"/>
      <c r="BF1" s="77"/>
      <c r="BG1" s="87"/>
      <c r="BH1" s="77"/>
      <c r="BI1" s="77"/>
      <c r="BJ1" s="77"/>
      <c r="BL1" s="77" t="s">
        <v>4</v>
      </c>
      <c r="BM1" s="77"/>
      <c r="BN1" s="77"/>
      <c r="BO1" s="87"/>
      <c r="BP1" s="77"/>
      <c r="BQ1" s="77"/>
      <c r="BR1" s="77"/>
    </row>
    <row r="2" spans="1:70" ht="15" thickBot="1" x14ac:dyDescent="0.35">
      <c r="A2" s="2" t="s">
        <v>1</v>
      </c>
      <c r="B2" s="2" t="s">
        <v>2</v>
      </c>
      <c r="C2" s="2" t="s">
        <v>3</v>
      </c>
      <c r="D2" s="2" t="s">
        <v>4</v>
      </c>
      <c r="F2" s="2" t="s">
        <v>6</v>
      </c>
      <c r="G2" s="2" t="s">
        <v>1</v>
      </c>
      <c r="H2" s="2" t="s">
        <v>2</v>
      </c>
      <c r="I2" s="2" t="s">
        <v>3</v>
      </c>
      <c r="J2" s="2" t="s">
        <v>4</v>
      </c>
      <c r="K2" s="25"/>
      <c r="L2" s="2" t="s">
        <v>6</v>
      </c>
      <c r="M2" s="2" t="s">
        <v>1</v>
      </c>
      <c r="N2" s="2" t="s">
        <v>2</v>
      </c>
      <c r="O2" s="2" t="s">
        <v>3</v>
      </c>
      <c r="P2" s="2" t="s">
        <v>4</v>
      </c>
      <c r="Q2" s="25"/>
      <c r="S2" s="16"/>
      <c r="T2" s="1" t="s">
        <v>2</v>
      </c>
      <c r="U2" s="1" t="s">
        <v>3</v>
      </c>
      <c r="V2" s="1" t="s">
        <v>4</v>
      </c>
      <c r="X2" s="16" t="s">
        <v>9</v>
      </c>
      <c r="Y2" s="1" t="s">
        <v>2</v>
      </c>
      <c r="Z2" s="1" t="s">
        <v>3</v>
      </c>
      <c r="AA2" s="1" t="s">
        <v>4</v>
      </c>
      <c r="AD2" s="79" t="s">
        <v>11</v>
      </c>
      <c r="AE2" s="80"/>
      <c r="AF2" s="80"/>
      <c r="AG2" s="81"/>
      <c r="AH2" s="19"/>
      <c r="AI2" s="83" t="s">
        <v>13</v>
      </c>
      <c r="AJ2" s="83"/>
      <c r="AK2" s="83"/>
      <c r="AL2" s="19"/>
      <c r="AM2" s="83" t="s">
        <v>14</v>
      </c>
      <c r="AN2" s="83"/>
      <c r="AO2" s="83"/>
      <c r="AP2" s="19"/>
      <c r="AQ2" s="84" t="s">
        <v>12</v>
      </c>
      <c r="AR2" s="85"/>
      <c r="AS2" s="86"/>
      <c r="AT2" s="51"/>
      <c r="AV2" s="77" t="s">
        <v>20</v>
      </c>
      <c r="AW2" s="77"/>
      <c r="AX2" s="77"/>
      <c r="AY2" s="40"/>
      <c r="AZ2" s="77" t="s">
        <v>15</v>
      </c>
      <c r="BA2" s="77"/>
      <c r="BB2" s="77"/>
      <c r="BD2" s="77" t="s">
        <v>20</v>
      </c>
      <c r="BE2" s="77"/>
      <c r="BF2" s="77"/>
      <c r="BG2" s="40"/>
      <c r="BH2" s="77" t="s">
        <v>15</v>
      </c>
      <c r="BI2" s="77"/>
      <c r="BJ2" s="77"/>
      <c r="BL2" s="77" t="s">
        <v>20</v>
      </c>
      <c r="BM2" s="77"/>
      <c r="BN2" s="77"/>
      <c r="BO2" s="40"/>
      <c r="BP2" s="77" t="s">
        <v>15</v>
      </c>
      <c r="BQ2" s="77"/>
      <c r="BR2" s="77"/>
    </row>
    <row r="3" spans="1:70" ht="15" thickBot="1" x14ac:dyDescent="0.35">
      <c r="A3" s="3">
        <v>43467</v>
      </c>
      <c r="B3" s="4">
        <v>56.540000999999997</v>
      </c>
      <c r="C3" s="4">
        <v>105.44000200000001</v>
      </c>
      <c r="D3" s="4">
        <v>75.559997999999993</v>
      </c>
      <c r="F3" s="8">
        <v>0</v>
      </c>
      <c r="G3" s="9">
        <v>43467</v>
      </c>
      <c r="H3" s="10"/>
      <c r="I3" s="11"/>
      <c r="J3" s="12"/>
      <c r="L3" s="8">
        <v>0</v>
      </c>
      <c r="M3" s="9">
        <v>43467</v>
      </c>
      <c r="N3" s="26">
        <f>B3/B$3</f>
        <v>1</v>
      </c>
      <c r="O3" s="26">
        <f t="shared" ref="O3:P3" si="0">C3/C$3</f>
        <v>1</v>
      </c>
      <c r="P3" s="26">
        <f t="shared" si="0"/>
        <v>1</v>
      </c>
      <c r="S3" s="7" t="s">
        <v>7</v>
      </c>
      <c r="T3" s="17">
        <f>AVERAGE(H4:H1260)</f>
        <v>3.5121632251024421E-4</v>
      </c>
      <c r="U3" s="17">
        <f>AVERAGE(I4:I1260)</f>
        <v>2.4905259691653068E-4</v>
      </c>
      <c r="V3" s="17">
        <f>AVERAGE(J4:J1260)</f>
        <v>4.3166860325481824E-4</v>
      </c>
      <c r="X3" s="7" t="s">
        <v>2</v>
      </c>
      <c r="Y3" s="17" cm="1">
        <f t="array" ref="Y3:AA5">1/(T5-1)*(MMULT(TRANSPOSE(H4:J1260),H4:J1260)-T5*MMULT(TRANSPOSE(T3:V3),T3:V3))</f>
        <v>4.7020820818744624E-4</v>
      </c>
      <c r="Z3" s="17">
        <v>3.3940975352299193E-4</v>
      </c>
      <c r="AA3" s="17">
        <v>3.2039714905658412E-4</v>
      </c>
      <c r="AD3" s="2" t="s">
        <v>6</v>
      </c>
      <c r="AE3" s="2" t="s">
        <v>2</v>
      </c>
      <c r="AF3" s="2" t="s">
        <v>3</v>
      </c>
      <c r="AG3" s="2" t="s">
        <v>4</v>
      </c>
      <c r="AH3" s="19"/>
      <c r="AI3" s="2" t="s">
        <v>2</v>
      </c>
      <c r="AJ3" s="2" t="s">
        <v>3</v>
      </c>
      <c r="AK3" s="2" t="s">
        <v>4</v>
      </c>
      <c r="AL3" s="19"/>
      <c r="AM3" s="2" t="s">
        <v>2</v>
      </c>
      <c r="AN3" s="2" t="s">
        <v>3</v>
      </c>
      <c r="AO3" s="2" t="s">
        <v>4</v>
      </c>
      <c r="AP3" s="19"/>
      <c r="AQ3" s="2" t="s">
        <v>2</v>
      </c>
      <c r="AR3" s="2" t="s">
        <v>3</v>
      </c>
      <c r="AS3" s="2" t="s">
        <v>4</v>
      </c>
      <c r="AT3" s="25"/>
      <c r="AV3" s="41" t="s">
        <v>21</v>
      </c>
      <c r="AW3" s="41" t="s">
        <v>22</v>
      </c>
      <c r="AX3" s="42" t="s">
        <v>23</v>
      </c>
      <c r="AY3" s="43"/>
      <c r="AZ3" s="41" t="s">
        <v>21</v>
      </c>
      <c r="BA3" s="41" t="s">
        <v>22</v>
      </c>
      <c r="BB3" s="41" t="s">
        <v>23</v>
      </c>
      <c r="BD3" s="41" t="s">
        <v>21</v>
      </c>
      <c r="BE3" s="41" t="s">
        <v>22</v>
      </c>
      <c r="BF3" s="42" t="s">
        <v>23</v>
      </c>
      <c r="BG3" s="43"/>
      <c r="BH3" s="41" t="s">
        <v>21</v>
      </c>
      <c r="BI3" s="41" t="s">
        <v>22</v>
      </c>
      <c r="BJ3" s="41" t="s">
        <v>23</v>
      </c>
      <c r="BL3" s="41" t="s">
        <v>21</v>
      </c>
      <c r="BM3" s="41" t="s">
        <v>22</v>
      </c>
      <c r="BN3" s="42" t="s">
        <v>23</v>
      </c>
      <c r="BO3" s="43"/>
      <c r="BP3" s="41" t="s">
        <v>21</v>
      </c>
      <c r="BQ3" s="41" t="s">
        <v>22</v>
      </c>
      <c r="BR3" s="41" t="s">
        <v>23</v>
      </c>
    </row>
    <row r="4" spans="1:70" x14ac:dyDescent="0.3">
      <c r="A4" s="5">
        <v>43468</v>
      </c>
      <c r="B4" s="6">
        <v>52.900002000000001</v>
      </c>
      <c r="C4" s="6">
        <v>100.68</v>
      </c>
      <c r="D4" s="6">
        <v>74.199996999999996</v>
      </c>
      <c r="F4" s="13">
        <v>1</v>
      </c>
      <c r="G4" s="5">
        <v>43468</v>
      </c>
      <c r="H4" s="14">
        <f>LN(B4/B3)</f>
        <v>-6.6544993280601317E-2</v>
      </c>
      <c r="I4" s="14">
        <f t="shared" ref="I4:J19" si="1">LN(C4/C3)</f>
        <v>-4.6194919455215366E-2</v>
      </c>
      <c r="J4" s="14">
        <f t="shared" si="1"/>
        <v>-1.8162906422210117E-2</v>
      </c>
      <c r="K4" s="22"/>
      <c r="L4" s="13">
        <v>1</v>
      </c>
      <c r="M4" s="5">
        <v>43468</v>
      </c>
      <c r="N4" s="26">
        <f t="shared" ref="N4:N67" si="2">B4/B$3</f>
        <v>0.93562081825927101</v>
      </c>
      <c r="O4" s="26">
        <f t="shared" ref="O4:O67" si="3">C4/C$3</f>
        <v>0.95485582407329617</v>
      </c>
      <c r="P4" s="26">
        <f t="shared" ref="P4:P67" si="4">D4/D$3</f>
        <v>0.98200104505031882</v>
      </c>
      <c r="Q4" s="22"/>
      <c r="S4" s="7" t="s">
        <v>8</v>
      </c>
      <c r="T4" s="17">
        <f>_xlfn.STDEV.S(H4:H1260)</f>
        <v>2.1684284820750861E-2</v>
      </c>
      <c r="U4" s="17">
        <f>_xlfn.STDEV.S(I4:I1260)</f>
        <v>2.678525982581632E-2</v>
      </c>
      <c r="V4" s="17">
        <f>_xlfn.STDEV.S(J4:J1260)</f>
        <v>3.040222218271809E-2</v>
      </c>
      <c r="X4" s="7" t="s">
        <v>3</v>
      </c>
      <c r="Y4" s="17">
        <v>3.3940975352299193E-4</v>
      </c>
      <c r="Z4" s="17">
        <v>7.174501439364898E-4</v>
      </c>
      <c r="AA4" s="17">
        <v>3.8434688918636336E-4</v>
      </c>
      <c r="AD4" s="53">
        <v>0</v>
      </c>
      <c r="AE4" s="54"/>
      <c r="AF4" s="55"/>
      <c r="AG4" s="56"/>
      <c r="AH4" s="19"/>
      <c r="AI4" s="57"/>
      <c r="AJ4" s="57"/>
      <c r="AK4" s="57"/>
      <c r="AL4" s="19"/>
      <c r="AM4" s="57"/>
      <c r="AN4" s="57"/>
      <c r="AO4" s="57"/>
      <c r="AP4" s="19"/>
      <c r="AQ4" s="58">
        <v>1</v>
      </c>
      <c r="AR4" s="58">
        <v>1</v>
      </c>
      <c r="AS4" s="58">
        <v>1</v>
      </c>
      <c r="AT4" s="52"/>
      <c r="AV4" s="67">
        <f>T3-3*T4</f>
        <v>-6.4701638139742348E-2</v>
      </c>
      <c r="AW4" s="44">
        <f>COUNTIFS($H$4:$H$1260,"&lt;="&amp;AV4)</f>
        <v>14</v>
      </c>
      <c r="AX4" s="45">
        <f>(AW4/$T$5)/$T$7</f>
        <v>2.9961561862599564</v>
      </c>
      <c r="AY4" s="46"/>
      <c r="AZ4" s="67">
        <f>AV4</f>
        <v>-6.4701638139742348E-2</v>
      </c>
      <c r="BA4" s="44">
        <f ca="1">COUNTIFS($AM$5:$AM$1261,"&lt;="&amp;AZ4)</f>
        <v>0</v>
      </c>
      <c r="BB4" s="45">
        <f ca="1">(BA4/$T$5)/$T$26</f>
        <v>0</v>
      </c>
      <c r="BD4" s="67">
        <f>U3-3*U4</f>
        <v>-8.0106726880532428E-2</v>
      </c>
      <c r="BE4" s="44">
        <f>COUNTIFS($I$4:$I$1260,"&lt;="&amp;BD4)</f>
        <v>11</v>
      </c>
      <c r="BF4" s="28">
        <f>(BE4/$U$5)/$U$7</f>
        <v>1.905804455405995</v>
      </c>
      <c r="BG4" s="46"/>
      <c r="BH4" s="67">
        <f>BD4</f>
        <v>-8.0106726880532428E-2</v>
      </c>
      <c r="BI4" s="44">
        <f ca="1">COUNTIFS($AN$5:$AN$1261,"&lt;="&amp;BH4)</f>
        <v>1</v>
      </c>
      <c r="BJ4" s="28">
        <f ca="1">(BI4/$U$5)/$U$26</f>
        <v>0.17342809820689048</v>
      </c>
      <c r="BL4" s="67">
        <f>V3-3*V4</f>
        <v>-9.0774997944899447E-2</v>
      </c>
      <c r="BM4" s="44">
        <f>COUNTIFS($J$4:$J$1260,"&lt;="&amp;BL4)</f>
        <v>7</v>
      </c>
      <c r="BN4" s="28">
        <f>(BM4/$V$5)/$V$7</f>
        <v>1.0684992649525302</v>
      </c>
      <c r="BO4" s="46"/>
      <c r="BP4" s="67">
        <f>BL4</f>
        <v>-9.0774997944899447E-2</v>
      </c>
      <c r="BQ4" s="44">
        <f ca="1">COUNTIFS($AO$5:$AO$1261,"&lt;="&amp;BP4)</f>
        <v>1</v>
      </c>
      <c r="BR4" s="28">
        <f ca="1">(BQ4/$V$5)/$V$26</f>
        <v>0.15414291712993258</v>
      </c>
    </row>
    <row r="5" spans="1:70" x14ac:dyDescent="0.3">
      <c r="A5" s="5">
        <v>43469</v>
      </c>
      <c r="B5" s="6">
        <v>56.09</v>
      </c>
      <c r="C5" s="6">
        <v>104.790001</v>
      </c>
      <c r="D5" s="6">
        <v>77.010002</v>
      </c>
      <c r="F5" s="13">
        <v>2</v>
      </c>
      <c r="G5" s="5">
        <v>43469</v>
      </c>
      <c r="H5" s="15">
        <f t="shared" ref="H5:J68" si="5">LN(B5/B4)</f>
        <v>5.8554166848809146E-2</v>
      </c>
      <c r="I5" s="15">
        <f t="shared" si="1"/>
        <v>4.0011186762630463E-2</v>
      </c>
      <c r="J5" s="15">
        <f t="shared" si="1"/>
        <v>3.7171199779744431E-2</v>
      </c>
      <c r="K5" s="22"/>
      <c r="L5" s="13">
        <v>2</v>
      </c>
      <c r="M5" s="5">
        <v>43469</v>
      </c>
      <c r="N5" s="26">
        <f t="shared" si="2"/>
        <v>0.9920410153512379</v>
      </c>
      <c r="O5" s="26">
        <f t="shared" si="3"/>
        <v>0.99383534723377565</v>
      </c>
      <c r="P5" s="26">
        <f t="shared" si="4"/>
        <v>1.0191901010902622</v>
      </c>
      <c r="Q5" s="22"/>
      <c r="S5" s="7" t="s">
        <v>27</v>
      </c>
      <c r="T5" s="64">
        <f>COUNT(H4:H1260)</f>
        <v>1257</v>
      </c>
      <c r="U5" s="64">
        <f t="shared" ref="U5:V5" si="6">COUNT(I4:I1260)</f>
        <v>1257</v>
      </c>
      <c r="V5" s="64">
        <f t="shared" si="6"/>
        <v>1257</v>
      </c>
      <c r="X5" s="7" t="s">
        <v>4</v>
      </c>
      <c r="Y5" s="17">
        <v>3.2039714905658412E-4</v>
      </c>
      <c r="Z5" s="17">
        <v>3.8434688918636336E-4</v>
      </c>
      <c r="AA5" s="17">
        <v>9.2429511364735607E-4</v>
      </c>
      <c r="AD5" s="59">
        <v>1</v>
      </c>
      <c r="AE5" s="60">
        <f ca="1">_xlfn.NORM.S.INV(RAND())</f>
        <v>-0.50988139916679442</v>
      </c>
      <c r="AF5" s="60">
        <f t="shared" ref="AF5:AG19" ca="1" si="7">_xlfn.NORM.S.INV(RAND())</f>
        <v>-0.53406879320638712</v>
      </c>
      <c r="AG5" s="60">
        <f t="shared" ca="1" si="7"/>
        <v>1.6463064500432616</v>
      </c>
      <c r="AH5" s="57"/>
      <c r="AI5" s="61" cm="1">
        <f t="array" aca="1" ref="AI5:AK1261" ca="1">MMULT(AE5:AG1261,TRANSPOSE(_xlfn.ANCHORARRAY(T13)))</f>
        <v>-1.1056413484335731E-2</v>
      </c>
      <c r="AJ5" s="61">
        <f ca="1"/>
        <v>-1.9589364653104881E-2</v>
      </c>
      <c r="AK5" s="61">
        <f ca="1"/>
        <v>3.0883362777557502E-2</v>
      </c>
      <c r="AL5" s="19"/>
      <c r="AM5" s="61">
        <f ca="1">AI5+T$3</f>
        <v>-1.0705197161825487E-2</v>
      </c>
      <c r="AN5" s="61">
        <f ca="1">AJ5+U$3</f>
        <v>-1.9340312056188351E-2</v>
      </c>
      <c r="AO5" s="61">
        <f t="shared" ref="AO5" ca="1" si="8">AK5+V$3</f>
        <v>3.1315031380812319E-2</v>
      </c>
      <c r="AP5" s="19"/>
      <c r="AQ5" s="62">
        <f ca="1">AQ4*EXP(AM5)</f>
        <v>0.98935189953587921</v>
      </c>
      <c r="AR5" s="62">
        <f t="shared" ref="AR5" ca="1" si="9">AR4*EXP(AN5)</f>
        <v>0.98084551188642422</v>
      </c>
      <c r="AS5" s="62">
        <f ca="1">AS4*EXP(AO5)</f>
        <v>1.0318105053792466</v>
      </c>
      <c r="AT5" s="49"/>
      <c r="AV5" s="27">
        <f>AV4+$T$7</f>
        <v>-6.0984332170470772E-2</v>
      </c>
      <c r="AW5" s="64">
        <f>COUNTIFS($H$4:$H$1260,"&lt;="&amp;AV5)-SUM($AW$4:AW4)</f>
        <v>2</v>
      </c>
      <c r="AX5" s="28">
        <f>(AW5/$T$5)/$T$7</f>
        <v>0.42802231232285087</v>
      </c>
      <c r="AY5" s="46"/>
      <c r="AZ5" s="27">
        <f t="shared" ref="AZ5:AZ38" si="10">AV5</f>
        <v>-6.0984332170470772E-2</v>
      </c>
      <c r="BA5" s="64">
        <f ca="1">COUNTIFS($AM$5:$AM$1261,"&lt;="&amp;AZ5)-SUM($BA$4:BA4)</f>
        <v>0</v>
      </c>
      <c r="BB5" s="28">
        <f ca="1">(BA5/$T$5)/$T$26</f>
        <v>0</v>
      </c>
      <c r="BD5" s="27">
        <f>BD4+$U$7</f>
        <v>-7.5514968053249629E-2</v>
      </c>
      <c r="BE5" s="64">
        <f>COUNTIFS($I$4:$I$1260,"&lt;="&amp;BD5)-SUM($BE$4:BE4)</f>
        <v>1</v>
      </c>
      <c r="BF5" s="28">
        <f>(BE5/$U$5)/$U$7</f>
        <v>0.17325495049145409</v>
      </c>
      <c r="BG5" s="46"/>
      <c r="BH5" s="27">
        <f t="shared" ref="BH5:BH38" si="11">BD5</f>
        <v>-7.5514968053249629E-2</v>
      </c>
      <c r="BI5" s="64">
        <f ca="1">COUNTIFS($AN$5:$AN$1261,"&lt;="&amp;BH5)-SUM($BI$4:BI4)</f>
        <v>1</v>
      </c>
      <c r="BJ5" s="28">
        <f ca="1">(BI5/$U$5)/$U$26</f>
        <v>0.17342809820689048</v>
      </c>
      <c r="BL5" s="27">
        <f>BL4+$V$7</f>
        <v>-8.5563188427862064E-2</v>
      </c>
      <c r="BM5" s="64">
        <f>COUNTIFS($J$4:$J$1260,"&lt;="&amp;BL5)-SUM($BM$4:BM4)</f>
        <v>2</v>
      </c>
      <c r="BN5" s="28">
        <f t="shared" ref="BN5:BN40" si="12">(BM5/$V$5)/$V$7</f>
        <v>0.30528550427215151</v>
      </c>
      <c r="BO5" s="46"/>
      <c r="BP5" s="27">
        <f t="shared" ref="BP5:BP38" si="13">BL5</f>
        <v>-8.5563188427862064E-2</v>
      </c>
      <c r="BQ5" s="64">
        <f ca="1">COUNTIFS($AO$5:$AO$1261,"&lt;="&amp;BP5)-SUM($BQ$4:BQ4)</f>
        <v>3</v>
      </c>
      <c r="BR5" s="28">
        <f t="shared" ref="BR5:BR40" ca="1" si="14">(BQ5/$V$5)/$V$26</f>
        <v>0.46242875138979778</v>
      </c>
    </row>
    <row r="6" spans="1:70" x14ac:dyDescent="0.3">
      <c r="A6" s="5">
        <v>43472</v>
      </c>
      <c r="B6" s="6">
        <v>55.900002000000001</v>
      </c>
      <c r="C6" s="6">
        <v>106.699997</v>
      </c>
      <c r="D6" s="6">
        <v>77.089995999999999</v>
      </c>
      <c r="F6" s="13">
        <v>3</v>
      </c>
      <c r="G6" s="5">
        <v>43472</v>
      </c>
      <c r="H6" s="15">
        <f t="shared" si="5"/>
        <v>-3.3931275810174014E-3</v>
      </c>
      <c r="I6" s="15">
        <f t="shared" si="1"/>
        <v>1.8062773161748029E-2</v>
      </c>
      <c r="J6" s="15">
        <f t="shared" si="1"/>
        <v>1.0382090619536419E-3</v>
      </c>
      <c r="K6" s="22"/>
      <c r="L6" s="13">
        <v>3</v>
      </c>
      <c r="M6" s="5">
        <v>43472</v>
      </c>
      <c r="N6" s="26">
        <f t="shared" si="2"/>
        <v>0.98868059800706409</v>
      </c>
      <c r="O6" s="26">
        <f t="shared" si="3"/>
        <v>1.0119498764804651</v>
      </c>
      <c r="P6" s="26">
        <f t="shared" si="4"/>
        <v>1.0202487829605291</v>
      </c>
      <c r="Q6" s="22"/>
      <c r="S6" s="63" t="s">
        <v>26</v>
      </c>
      <c r="T6" s="64">
        <f>INT(T5^0.5)+1+MOD(INT(T5^0.5),2)</f>
        <v>37</v>
      </c>
      <c r="U6" s="64">
        <f t="shared" ref="U6:V6" si="15">INT(U5^0.5)+1+MOD(INT(U5^0.5),2)</f>
        <v>37</v>
      </c>
      <c r="V6" s="64">
        <f t="shared" si="15"/>
        <v>37</v>
      </c>
      <c r="AD6" s="59">
        <v>2</v>
      </c>
      <c r="AE6" s="61">
        <f t="shared" ref="AE6:AG68" ca="1" si="16">_xlfn.NORM.S.INV(RAND())</f>
        <v>0.33011181827918396</v>
      </c>
      <c r="AF6" s="61">
        <f t="shared" ca="1" si="7"/>
        <v>-0.24333644273884536</v>
      </c>
      <c r="AG6" s="61">
        <f t="shared" ca="1" si="7"/>
        <v>1.0072339242132655</v>
      </c>
      <c r="AH6" s="19"/>
      <c r="AI6" s="61">
        <f ca="1"/>
        <v>7.1582386902617756E-3</v>
      </c>
      <c r="AJ6" s="61">
        <f ca="1"/>
        <v>-1.2214347466318713E-4</v>
      </c>
      <c r="AK6" s="61">
        <f ca="1"/>
        <v>2.8969182970168702E-2</v>
      </c>
      <c r="AL6" s="19"/>
      <c r="AM6" s="61">
        <f ca="1">AI6+T$3</f>
        <v>7.5094550127720195E-3</v>
      </c>
      <c r="AN6" s="61">
        <f ca="1">AJ6+U$3</f>
        <v>1.2690912225334354E-4</v>
      </c>
      <c r="AO6" s="61">
        <f ca="1">AK6+V$3</f>
        <v>2.9400851573423519E-2</v>
      </c>
      <c r="AP6" s="19"/>
      <c r="AQ6" s="62">
        <f t="shared" ref="AQ6:AQ69" ca="1" si="17">AQ5*EXP(AM6)</f>
        <v>0.99680935879966903</v>
      </c>
      <c r="AR6" s="62">
        <f t="shared" ref="AR6:AR69" ca="1" si="18">AR5*EXP(AN6)</f>
        <v>0.98096999802845031</v>
      </c>
      <c r="AS6" s="62">
        <f t="shared" ref="AS6:AS69" ca="1" si="19">AS5*EXP(AO6)</f>
        <v>1.0625969693836144</v>
      </c>
      <c r="AT6" s="49"/>
      <c r="AV6" s="27">
        <f t="shared" ref="AV6:AV40" si="20">AV5+$T$7</f>
        <v>-5.7267026201199195E-2</v>
      </c>
      <c r="AW6" s="64">
        <f>COUNTIFS($H$4:$H$1260,"&lt;="&amp;AV6)-SUM($AW$4:AW5)</f>
        <v>2</v>
      </c>
      <c r="AX6" s="28">
        <f t="shared" ref="AX6:AX40" si="21">(AW6/$T$5)/$T$7</f>
        <v>0.42802231232285087</v>
      </c>
      <c r="AY6" s="46"/>
      <c r="AZ6" s="27">
        <f t="shared" si="10"/>
        <v>-5.7267026201199195E-2</v>
      </c>
      <c r="BA6" s="64">
        <f ca="1">COUNTIFS($AM$5:$AM$1261,"&lt;="&amp;AZ6)-SUM($BA$4:BA5)</f>
        <v>3</v>
      </c>
      <c r="BB6" s="28">
        <f t="shared" ref="BB6:BB40" ca="1" si="22">(BA6/$T$5)/$T$26</f>
        <v>0.65132066814241762</v>
      </c>
      <c r="BD6" s="27">
        <f t="shared" ref="BD6:BD40" si="23">BD5+$U$7</f>
        <v>-7.092320922596683E-2</v>
      </c>
      <c r="BE6" s="64">
        <f>COUNTIFS($I$4:$I$1260,"&lt;="&amp;BD6)-SUM($BE$4:BE5)</f>
        <v>2</v>
      </c>
      <c r="BF6" s="28">
        <f t="shared" ref="BF6:BF40" si="24">(BE6/$U$5)/$U$7</f>
        <v>0.34650990098290818</v>
      </c>
      <c r="BG6" s="46"/>
      <c r="BH6" s="27">
        <f t="shared" si="11"/>
        <v>-7.092320922596683E-2</v>
      </c>
      <c r="BI6" s="64">
        <f ca="1">COUNTIFS($AN$5:$AN$1261,"&lt;="&amp;BH6)-SUM($BI$4:BI5)</f>
        <v>1</v>
      </c>
      <c r="BJ6" s="28">
        <f t="shared" ref="BJ6:BJ40" ca="1" si="25">(BI6/$U$5)/$U$26</f>
        <v>0.17342809820689048</v>
      </c>
      <c r="BL6" s="27">
        <f t="shared" ref="BL6:BL40" si="26">BL5+$V$7</f>
        <v>-8.0351378910824681E-2</v>
      </c>
      <c r="BM6" s="64">
        <f>COUNTIFS($J$4:$J$1260,"&lt;="&amp;BL6)-SUM($BM$4:BM5)</f>
        <v>1</v>
      </c>
      <c r="BN6" s="28">
        <f t="shared" si="12"/>
        <v>0.15264275213607575</v>
      </c>
      <c r="BO6" s="46"/>
      <c r="BP6" s="27">
        <f t="shared" si="13"/>
        <v>-8.0351378910824681E-2</v>
      </c>
      <c r="BQ6" s="64">
        <f ca="1">COUNTIFS($AO$5:$AO$1261,"&lt;="&amp;BP6)-SUM($BQ$4:BQ5)</f>
        <v>2</v>
      </c>
      <c r="BR6" s="28">
        <f t="shared" ca="1" si="14"/>
        <v>0.30828583425986517</v>
      </c>
    </row>
    <row r="7" spans="1:70" x14ac:dyDescent="0.3">
      <c r="A7" s="5">
        <v>43473</v>
      </c>
      <c r="B7" s="6">
        <v>57.34</v>
      </c>
      <c r="C7" s="6">
        <v>108.33000199999999</v>
      </c>
      <c r="D7" s="6">
        <v>77.360000999999997</v>
      </c>
      <c r="F7" s="13">
        <v>4</v>
      </c>
      <c r="G7" s="5">
        <v>43473</v>
      </c>
      <c r="H7" s="15">
        <f t="shared" si="5"/>
        <v>2.5434044515995593E-2</v>
      </c>
      <c r="I7" s="15">
        <f t="shared" si="1"/>
        <v>1.5161012228088853E-2</v>
      </c>
      <c r="J7" s="15">
        <f t="shared" si="1"/>
        <v>3.4963454878507291E-3</v>
      </c>
      <c r="K7" s="22"/>
      <c r="L7" s="13">
        <v>4</v>
      </c>
      <c r="M7" s="5">
        <v>43473</v>
      </c>
      <c r="N7" s="26">
        <f t="shared" si="2"/>
        <v>1.0141492569128183</v>
      </c>
      <c r="O7" s="26">
        <f t="shared" si="3"/>
        <v>1.0274089524391321</v>
      </c>
      <c r="P7" s="26">
        <f t="shared" si="4"/>
        <v>1.0238221684442077</v>
      </c>
      <c r="Q7" s="22"/>
      <c r="S7" s="7" t="s">
        <v>25</v>
      </c>
      <c r="T7" s="47">
        <f>6*T4/(T6-2)</f>
        <v>3.7173059692715768E-3</v>
      </c>
      <c r="U7" s="47">
        <f t="shared" ref="U7:V7" si="27">6*U4/(U6-2)</f>
        <v>4.5917588272827974E-3</v>
      </c>
      <c r="V7" s="47">
        <f t="shared" si="27"/>
        <v>5.2118095170373864E-3</v>
      </c>
      <c r="Y7" s="18">
        <v>0</v>
      </c>
      <c r="Z7" s="18">
        <v>1</v>
      </c>
      <c r="AA7" s="18">
        <v>2</v>
      </c>
      <c r="AD7" s="59">
        <v>3</v>
      </c>
      <c r="AE7" s="61">
        <f t="shared" ca="1" si="16"/>
        <v>-0.18821814260874675</v>
      </c>
      <c r="AF7" s="61">
        <f t="shared" ca="1" si="7"/>
        <v>0.35298947609868681</v>
      </c>
      <c r="AG7" s="61">
        <f t="shared" ca="1" si="7"/>
        <v>2.1707126795218405</v>
      </c>
      <c r="AH7" s="19"/>
      <c r="AI7" s="61">
        <f ca="1"/>
        <v>-4.0813758127607683E-3</v>
      </c>
      <c r="AJ7" s="61">
        <f ca="1"/>
        <v>4.7265314990184975E-3</v>
      </c>
      <c r="AK7" s="61">
        <f ca="1"/>
        <v>5.5318450082587539E-2</v>
      </c>
      <c r="AL7" s="19"/>
      <c r="AM7" s="61">
        <f t="shared" ref="AM7:AM70" ca="1" si="28">AI7+T$3</f>
        <v>-3.730159490250524E-3</v>
      </c>
      <c r="AN7" s="61">
        <f t="shared" ref="AN7:AN70" ca="1" si="29">AJ7+U$3</f>
        <v>4.9755840959350281E-3</v>
      </c>
      <c r="AO7" s="61">
        <f t="shared" ref="AO7:AO70" ca="1" si="30">AK7+V$3</f>
        <v>5.5750118685842356E-2</v>
      </c>
      <c r="AP7" s="19"/>
      <c r="AQ7" s="62">
        <f t="shared" ca="1" si="17"/>
        <v>0.9930980271427885</v>
      </c>
      <c r="AR7" s="62">
        <f t="shared" ca="1" si="18"/>
        <v>0.985863059574274</v>
      </c>
      <c r="AS7" s="62">
        <f t="shared" ca="1" si="19"/>
        <v>1.1235193120039166</v>
      </c>
      <c r="AT7" s="49"/>
      <c r="AV7" s="27">
        <f t="shared" si="20"/>
        <v>-5.3549720231927618E-2</v>
      </c>
      <c r="AW7" s="64">
        <f>COUNTIFS($H$4:$H$1260,"&lt;="&amp;AV7)-SUM($AW$4:AW6)</f>
        <v>3</v>
      </c>
      <c r="AX7" s="28">
        <f t="shared" si="21"/>
        <v>0.64203346848427634</v>
      </c>
      <c r="AY7" s="46"/>
      <c r="AZ7" s="27">
        <f t="shared" si="10"/>
        <v>-5.3549720231927618E-2</v>
      </c>
      <c r="BA7" s="64">
        <f ca="1">COUNTIFS($AM$5:$AM$1261,"&lt;="&amp;AZ7)-SUM($BA$4:BA6)</f>
        <v>5</v>
      </c>
      <c r="BB7" s="28">
        <f ca="1">(BA7/$T$5)/$T$26</f>
        <v>1.0855344469040293</v>
      </c>
      <c r="BD7" s="27">
        <f t="shared" si="23"/>
        <v>-6.633145039868403E-2</v>
      </c>
      <c r="BE7" s="64">
        <f>COUNTIFS($I$4:$I$1260,"&lt;="&amp;BD7)-SUM($BE$4:BE6)</f>
        <v>4</v>
      </c>
      <c r="BF7" s="28">
        <f t="shared" si="24"/>
        <v>0.69301980196581636</v>
      </c>
      <c r="BG7" s="46"/>
      <c r="BH7" s="27">
        <f t="shared" si="11"/>
        <v>-6.633145039868403E-2</v>
      </c>
      <c r="BI7" s="64">
        <f ca="1">COUNTIFS($AN$5:$AN$1261,"&lt;="&amp;BH7)-SUM($BI$4:BI6)</f>
        <v>4</v>
      </c>
      <c r="BJ7" s="28">
        <f t="shared" ca="1" si="25"/>
        <v>0.69371239282756192</v>
      </c>
      <c r="BL7" s="27">
        <f t="shared" si="26"/>
        <v>-7.5139569393787298E-2</v>
      </c>
      <c r="BM7" s="64">
        <f>COUNTIFS($J$4:$J$1260,"&lt;="&amp;BL7)-SUM($BM$4:BM6)</f>
        <v>7</v>
      </c>
      <c r="BN7" s="28">
        <f t="shared" si="12"/>
        <v>1.0684992649525302</v>
      </c>
      <c r="BO7" s="46"/>
      <c r="BP7" s="27">
        <f t="shared" si="13"/>
        <v>-7.5139569393787298E-2</v>
      </c>
      <c r="BQ7" s="64">
        <f ca="1">COUNTIFS($AO$5:$AO$1261,"&lt;="&amp;BP7)-SUM($BQ$4:BQ6)</f>
        <v>4</v>
      </c>
      <c r="BR7" s="28">
        <f t="shared" ca="1" si="14"/>
        <v>0.61657166851973033</v>
      </c>
    </row>
    <row r="8" spans="1:70" x14ac:dyDescent="0.3">
      <c r="A8" s="5">
        <v>43474</v>
      </c>
      <c r="B8" s="6">
        <v>58.330002</v>
      </c>
      <c r="C8" s="6">
        <v>109.459999</v>
      </c>
      <c r="D8" s="6">
        <v>77.290001000000004</v>
      </c>
      <c r="F8" s="13">
        <v>5</v>
      </c>
      <c r="G8" s="5">
        <v>43474</v>
      </c>
      <c r="H8" s="15">
        <f t="shared" si="5"/>
        <v>1.7118114597995306E-2</v>
      </c>
      <c r="I8" s="15">
        <f t="shared" si="1"/>
        <v>1.0377034160432314E-2</v>
      </c>
      <c r="J8" s="15">
        <f t="shared" si="1"/>
        <v>-9.0527001455185669E-4</v>
      </c>
      <c r="K8" s="22"/>
      <c r="L8" s="13">
        <v>5</v>
      </c>
      <c r="M8" s="5">
        <v>43474</v>
      </c>
      <c r="N8" s="26">
        <f t="shared" si="2"/>
        <v>1.0316590196027766</v>
      </c>
      <c r="O8" s="26">
        <f t="shared" si="3"/>
        <v>1.0381259192312988</v>
      </c>
      <c r="P8" s="26">
        <f t="shared" si="4"/>
        <v>1.0228957523265156</v>
      </c>
      <c r="Q8" s="22"/>
      <c r="AD8" s="59">
        <v>4</v>
      </c>
      <c r="AE8" s="61">
        <f t="shared" ca="1" si="16"/>
        <v>4.65692253014016E-3</v>
      </c>
      <c r="AF8" s="61">
        <f t="shared" ca="1" si="7"/>
        <v>-0.10403899567520543</v>
      </c>
      <c r="AG8" s="61">
        <f t="shared" ca="1" si="7"/>
        <v>-0.18723960107098811</v>
      </c>
      <c r="AH8" s="19"/>
      <c r="AI8" s="61">
        <f ca="1"/>
        <v>1.0098203453173097E-4</v>
      </c>
      <c r="AJ8" s="61">
        <f ca="1"/>
        <v>-2.1885017172563531E-3</v>
      </c>
      <c r="AK8" s="61">
        <f ca="1"/>
        <v>-5.4609521377015323E-3</v>
      </c>
      <c r="AL8" s="19"/>
      <c r="AM8" s="61">
        <f t="shared" ca="1" si="28"/>
        <v>4.521983570419752E-4</v>
      </c>
      <c r="AN8" s="61">
        <f t="shared" ca="1" si="29"/>
        <v>-1.9394491203398225E-3</v>
      </c>
      <c r="AO8" s="61">
        <f t="shared" ca="1" si="30"/>
        <v>-5.0292835344467142E-3</v>
      </c>
      <c r="AP8" s="19"/>
      <c r="AQ8" s="62">
        <f t="shared" ca="1" si="17"/>
        <v>0.9935472059903584</v>
      </c>
      <c r="AR8" s="62">
        <f t="shared" ca="1" si="18"/>
        <v>0.98395288127617242</v>
      </c>
      <c r="AS8" s="62">
        <f t="shared" ca="1" si="19"/>
        <v>1.1178830000132245</v>
      </c>
      <c r="AT8" s="49"/>
      <c r="AV8" s="27">
        <f t="shared" si="20"/>
        <v>-4.9832414262656041E-2</v>
      </c>
      <c r="AW8" s="64">
        <f>COUNTIFS($H$4:$H$1260,"&lt;="&amp;AV8)-SUM($AW$4:AW7)</f>
        <v>5</v>
      </c>
      <c r="AX8" s="28">
        <f t="shared" si="21"/>
        <v>1.0700557808071272</v>
      </c>
      <c r="AY8" s="46"/>
      <c r="AZ8" s="27">
        <f t="shared" si="10"/>
        <v>-4.9832414262656041E-2</v>
      </c>
      <c r="BA8" s="64">
        <f ca="1">COUNTIFS($AM$5:$AM$1261,"&lt;="&amp;AZ8)-SUM($BA$4:BA7)</f>
        <v>4</v>
      </c>
      <c r="BB8" s="28">
        <f t="shared" ca="1" si="22"/>
        <v>0.86842755752322354</v>
      </c>
      <c r="BD8" s="27">
        <f t="shared" si="23"/>
        <v>-6.1739691571401231E-2</v>
      </c>
      <c r="BE8" s="64">
        <f>COUNTIFS($I$4:$I$1260,"&lt;="&amp;BD8)-SUM($BE$4:BE7)</f>
        <v>5</v>
      </c>
      <c r="BF8" s="28">
        <f t="shared" si="24"/>
        <v>0.86627475245727048</v>
      </c>
      <c r="BG8" s="46"/>
      <c r="BH8" s="27">
        <f t="shared" si="11"/>
        <v>-6.1739691571401231E-2</v>
      </c>
      <c r="BI8" s="64">
        <f ca="1">COUNTIFS($AN$5:$AN$1261,"&lt;="&amp;BH8)-SUM($BI$4:BI7)</f>
        <v>5</v>
      </c>
      <c r="BJ8" s="28">
        <f t="shared" ca="1" si="25"/>
        <v>0.86714049103445234</v>
      </c>
      <c r="BL8" s="27">
        <f t="shared" si="26"/>
        <v>-6.9927759876749915E-2</v>
      </c>
      <c r="BM8" s="64">
        <f>COUNTIFS($J$4:$J$1260,"&lt;="&amp;BL8)-SUM($BM$4:BM7)</f>
        <v>6</v>
      </c>
      <c r="BN8" s="28">
        <f t="shared" si="12"/>
        <v>0.91585651281645442</v>
      </c>
      <c r="BO8" s="46"/>
      <c r="BP8" s="27">
        <f t="shared" si="13"/>
        <v>-6.9927759876749915E-2</v>
      </c>
      <c r="BQ8" s="64">
        <f ca="1">COUNTIFS($AO$5:$AO$1261,"&lt;="&amp;BP8)-SUM($BQ$4:BQ7)</f>
        <v>5</v>
      </c>
      <c r="BR8" s="28">
        <f t="shared" ca="1" si="14"/>
        <v>0.770714585649663</v>
      </c>
    </row>
    <row r="9" spans="1:70" x14ac:dyDescent="0.3">
      <c r="A9" s="5">
        <v>43475</v>
      </c>
      <c r="B9" s="6">
        <v>58.189999</v>
      </c>
      <c r="C9" s="6">
        <v>106.860001</v>
      </c>
      <c r="D9" s="6">
        <v>77.419998000000007</v>
      </c>
      <c r="F9" s="13">
        <v>6</v>
      </c>
      <c r="G9" s="5">
        <v>43475</v>
      </c>
      <c r="H9" s="15">
        <f t="shared" si="5"/>
        <v>-2.4030735697242222E-3</v>
      </c>
      <c r="I9" s="15">
        <f t="shared" si="1"/>
        <v>-2.4039600692350945E-2</v>
      </c>
      <c r="J9" s="15">
        <f t="shared" si="1"/>
        <v>1.680525259319833E-3</v>
      </c>
      <c r="K9" s="22"/>
      <c r="L9" s="13">
        <v>6</v>
      </c>
      <c r="M9" s="5">
        <v>43475</v>
      </c>
      <c r="N9" s="26">
        <f t="shared" si="2"/>
        <v>1.0291828434880999</v>
      </c>
      <c r="O9" s="26">
        <f t="shared" si="3"/>
        <v>1.013467365070801</v>
      </c>
      <c r="P9" s="26">
        <f t="shared" si="4"/>
        <v>1.024616199698682</v>
      </c>
      <c r="Q9" s="22"/>
      <c r="AB9" s="18">
        <v>0</v>
      </c>
      <c r="AD9" s="59">
        <v>5</v>
      </c>
      <c r="AE9" s="61">
        <f t="shared" ca="1" si="16"/>
        <v>1.1201056982619582</v>
      </c>
      <c r="AF9" s="61">
        <f t="shared" ca="1" si="7"/>
        <v>-2.4562669783258873</v>
      </c>
      <c r="AG9" s="61">
        <f t="shared" ca="1" si="7"/>
        <v>-0.36236256762093244</v>
      </c>
      <c r="AH9" s="19"/>
      <c r="AI9" s="61">
        <f ca="1"/>
        <v>2.4288690990458325E-2</v>
      </c>
      <c r="AJ9" s="61">
        <f ca="1"/>
        <v>-3.5857189408254775E-2</v>
      </c>
      <c r="AK9" s="61">
        <f ca="1"/>
        <v>-1.0031703001991582E-2</v>
      </c>
      <c r="AL9" s="19"/>
      <c r="AM9" s="61">
        <f t="shared" ca="1" si="28"/>
        <v>2.463990731296857E-2</v>
      </c>
      <c r="AN9" s="61">
        <f t="shared" ca="1" si="29"/>
        <v>-3.5608136811338245E-2</v>
      </c>
      <c r="AO9" s="61">
        <f t="shared" ca="1" si="30"/>
        <v>-9.6000343987367627E-3</v>
      </c>
      <c r="AP9" s="19"/>
      <c r="AQ9" s="62">
        <f t="shared" ca="1" si="17"/>
        <v>1.0183322132439199</v>
      </c>
      <c r="AR9" s="62">
        <f t="shared" ca="1" si="18"/>
        <v>0.94953261015011015</v>
      </c>
      <c r="AS9" s="62">
        <f t="shared" ca="1" si="19"/>
        <v>1.107202632731664</v>
      </c>
      <c r="AT9" s="49"/>
      <c r="AV9" s="27">
        <f t="shared" si="20"/>
        <v>-4.6115108293384464E-2</v>
      </c>
      <c r="AW9" s="64">
        <f>COUNTIFS($H$4:$H$1260,"&lt;="&amp;AV9)-SUM($AW$4:AW8)</f>
        <v>7</v>
      </c>
      <c r="AX9" s="28">
        <f t="shared" si="21"/>
        <v>1.4980780931299782</v>
      </c>
      <c r="AY9" s="46"/>
      <c r="AZ9" s="27">
        <f t="shared" si="10"/>
        <v>-4.6115108293384464E-2</v>
      </c>
      <c r="BA9" s="64">
        <f ca="1">COUNTIFS($AM$5:$AM$1261,"&lt;="&amp;AZ9)-SUM($BA$4:BA8)</f>
        <v>7</v>
      </c>
      <c r="BB9" s="28">
        <f t="shared" ca="1" si="22"/>
        <v>1.5197482256656412</v>
      </c>
      <c r="BD9" s="27">
        <f t="shared" si="23"/>
        <v>-5.7147932744118432E-2</v>
      </c>
      <c r="BE9" s="64">
        <f>COUNTIFS($I$4:$I$1260,"&lt;="&amp;BD9)-SUM($BE$4:BE8)</f>
        <v>6</v>
      </c>
      <c r="BF9" s="28">
        <f t="shared" si="24"/>
        <v>1.0395297029487245</v>
      </c>
      <c r="BG9" s="46"/>
      <c r="BH9" s="27">
        <f t="shared" si="11"/>
        <v>-5.7147932744118432E-2</v>
      </c>
      <c r="BI9" s="64">
        <f ca="1">COUNTIFS($AN$5:$AN$1261,"&lt;="&amp;BH9)-SUM($BI$4:BI8)</f>
        <v>7</v>
      </c>
      <c r="BJ9" s="28">
        <f t="shared" ca="1" si="25"/>
        <v>1.2139966874482333</v>
      </c>
      <c r="BL9" s="27">
        <f t="shared" si="26"/>
        <v>-6.4715950359712532E-2</v>
      </c>
      <c r="BM9" s="64">
        <f>COUNTIFS($J$4:$J$1260,"&lt;="&amp;BL9)-SUM($BM$4:BM8)</f>
        <v>4</v>
      </c>
      <c r="BN9" s="28">
        <f t="shared" si="12"/>
        <v>0.61057100854430302</v>
      </c>
      <c r="BO9" s="46"/>
      <c r="BP9" s="27">
        <f t="shared" si="13"/>
        <v>-6.4715950359712532E-2</v>
      </c>
      <c r="BQ9" s="64">
        <f ca="1">COUNTIFS($AO$5:$AO$1261,"&lt;="&amp;BP9)-SUM($BQ$4:BQ8)</f>
        <v>8</v>
      </c>
      <c r="BR9" s="28">
        <f t="shared" ca="1" si="14"/>
        <v>1.2331433370394607</v>
      </c>
    </row>
    <row r="10" spans="1:70" x14ac:dyDescent="0.3">
      <c r="A10" s="5">
        <v>43476</v>
      </c>
      <c r="B10" s="6">
        <v>58.380001</v>
      </c>
      <c r="C10" s="6">
        <v>105.43</v>
      </c>
      <c r="D10" s="6">
        <v>78.470000999999996</v>
      </c>
      <c r="F10" s="13">
        <v>7</v>
      </c>
      <c r="G10" s="5">
        <v>43476</v>
      </c>
      <c r="H10" s="15">
        <f t="shared" si="5"/>
        <v>3.2598810716272459E-3</v>
      </c>
      <c r="I10" s="15">
        <f t="shared" si="1"/>
        <v>-1.3472350298805374E-2</v>
      </c>
      <c r="J10" s="15">
        <f t="shared" si="1"/>
        <v>1.347127956672173E-2</v>
      </c>
      <c r="K10" s="22"/>
      <c r="L10" s="13">
        <v>7</v>
      </c>
      <c r="M10" s="5">
        <v>43476</v>
      </c>
      <c r="N10" s="26">
        <f t="shared" si="2"/>
        <v>1.0325433315786465</v>
      </c>
      <c r="O10" s="26">
        <f t="shared" si="3"/>
        <v>0.99990514036598743</v>
      </c>
      <c r="P10" s="26">
        <f t="shared" si="4"/>
        <v>1.0385124811676147</v>
      </c>
      <c r="Q10" s="22"/>
      <c r="AB10" s="18">
        <v>1</v>
      </c>
      <c r="AD10" s="59">
        <v>6</v>
      </c>
      <c r="AE10" s="61">
        <f t="shared" ca="1" si="16"/>
        <v>0.58426532908413287</v>
      </c>
      <c r="AF10" s="61">
        <f t="shared" ca="1" si="7"/>
        <v>-0.96828140455570377</v>
      </c>
      <c r="AG10" s="61">
        <f t="shared" ca="1" si="7"/>
        <v>-0.68602679405014222</v>
      </c>
      <c r="AH10" s="19"/>
      <c r="AI10" s="61">
        <f ca="1"/>
        <v>1.266937580675007E-2</v>
      </c>
      <c r="AJ10" s="61">
        <f ca="1"/>
        <v>-1.1901463298470083E-2</v>
      </c>
      <c r="AK10" s="61">
        <f ca="1"/>
        <v>-1.5762220110530547E-2</v>
      </c>
      <c r="AL10" s="19"/>
      <c r="AM10" s="61">
        <f t="shared" ca="1" si="28"/>
        <v>1.3020592129260313E-2</v>
      </c>
      <c r="AN10" s="61">
        <f t="shared" ca="1" si="29"/>
        <v>-1.1652410701553552E-2</v>
      </c>
      <c r="AO10" s="61">
        <f t="shared" ca="1" si="30"/>
        <v>-1.5330551507275728E-2</v>
      </c>
      <c r="AP10" s="19"/>
      <c r="AQ10" s="62">
        <f t="shared" ca="1" si="17"/>
        <v>1.0316781994145421</v>
      </c>
      <c r="AR10" s="62">
        <f t="shared" ca="1" si="18"/>
        <v>0.9385324796860719</v>
      </c>
      <c r="AS10" s="62">
        <f t="shared" ca="1" si="19"/>
        <v>1.0903580539905218</v>
      </c>
      <c r="AT10" s="49"/>
      <c r="AV10" s="27">
        <f t="shared" si="20"/>
        <v>-4.2397802324112888E-2</v>
      </c>
      <c r="AW10" s="64">
        <f>COUNTIFS($H$4:$H$1260,"&lt;="&amp;AV10)-SUM($AW$4:AW9)</f>
        <v>1</v>
      </c>
      <c r="AX10" s="28">
        <f t="shared" si="21"/>
        <v>0.21401115616142544</v>
      </c>
      <c r="AY10" s="46"/>
      <c r="AZ10" s="27">
        <f t="shared" si="10"/>
        <v>-4.2397802324112888E-2</v>
      </c>
      <c r="BA10" s="64">
        <f ca="1">COUNTIFS($AM$5:$AM$1261,"&lt;="&amp;AZ10)-SUM($BA$4:BA9)</f>
        <v>9</v>
      </c>
      <c r="BB10" s="28">
        <f t="shared" ca="1" si="22"/>
        <v>1.9539620044272528</v>
      </c>
      <c r="BD10" s="27">
        <f t="shared" si="23"/>
        <v>-5.2556173916835633E-2</v>
      </c>
      <c r="BE10" s="64">
        <f>COUNTIFS($I$4:$I$1260,"&lt;="&amp;BD10)-SUM($BE$4:BE9)</f>
        <v>10</v>
      </c>
      <c r="BF10" s="28">
        <f t="shared" si="24"/>
        <v>1.732549504914541</v>
      </c>
      <c r="BG10" s="46"/>
      <c r="BH10" s="27">
        <f t="shared" si="11"/>
        <v>-5.2556173916835633E-2</v>
      </c>
      <c r="BI10" s="64">
        <f ca="1">COUNTIFS($AN$5:$AN$1261,"&lt;="&amp;BH10)-SUM($BI$4:BI9)</f>
        <v>10</v>
      </c>
      <c r="BJ10" s="28">
        <f t="shared" ca="1" si="25"/>
        <v>1.7342809820689047</v>
      </c>
      <c r="BL10" s="27">
        <f t="shared" si="26"/>
        <v>-5.9504140842675149E-2</v>
      </c>
      <c r="BM10" s="64">
        <f>COUNTIFS($J$4:$J$1260,"&lt;="&amp;BL10)-SUM($BM$4:BM9)</f>
        <v>6</v>
      </c>
      <c r="BN10" s="28">
        <f t="shared" si="12"/>
        <v>0.91585651281645442</v>
      </c>
      <c r="BO10" s="46"/>
      <c r="BP10" s="27">
        <f t="shared" si="13"/>
        <v>-5.9504140842675149E-2</v>
      </c>
      <c r="BQ10" s="64">
        <f ca="1">COUNTIFS($AO$5:$AO$1261,"&lt;="&amp;BP10)-SUM($BQ$4:BQ9)</f>
        <v>6</v>
      </c>
      <c r="BR10" s="28">
        <f t="shared" ca="1" si="14"/>
        <v>0.92485750277959555</v>
      </c>
    </row>
    <row r="11" spans="1:70" x14ac:dyDescent="0.3">
      <c r="A11" s="5">
        <v>43479</v>
      </c>
      <c r="B11" s="6">
        <v>58.299999</v>
      </c>
      <c r="C11" s="6">
        <v>106.66999800000001</v>
      </c>
      <c r="D11" s="6">
        <v>78.949996999999996</v>
      </c>
      <c r="F11" s="13">
        <v>8</v>
      </c>
      <c r="G11" s="5">
        <v>43479</v>
      </c>
      <c r="H11" s="15">
        <f t="shared" si="5"/>
        <v>-1.3713063513345137E-3</v>
      </c>
      <c r="I11" s="15">
        <f t="shared" si="1"/>
        <v>1.1692712299118892E-2</v>
      </c>
      <c r="J11" s="15">
        <f t="shared" si="1"/>
        <v>6.0983038198115912E-3</v>
      </c>
      <c r="K11" s="22"/>
      <c r="L11" s="13">
        <v>8</v>
      </c>
      <c r="M11" s="5">
        <v>43479</v>
      </c>
      <c r="N11" s="26">
        <f t="shared" si="2"/>
        <v>1.0311283687455188</v>
      </c>
      <c r="O11" s="26">
        <f t="shared" si="3"/>
        <v>1.0116653639668938</v>
      </c>
      <c r="P11" s="26">
        <f t="shared" si="4"/>
        <v>1.0448649958937268</v>
      </c>
      <c r="Q11" s="22"/>
      <c r="S11" s="78" t="s">
        <v>16</v>
      </c>
      <c r="T11" s="78"/>
      <c r="U11" s="78"/>
      <c r="V11" s="78"/>
      <c r="X11" s="78" t="s">
        <v>16</v>
      </c>
      <c r="Y11" s="78"/>
      <c r="Z11" s="78"/>
      <c r="AA11" s="78"/>
      <c r="AB11" s="18">
        <v>2</v>
      </c>
      <c r="AD11" s="59">
        <v>7</v>
      </c>
      <c r="AE11" s="61">
        <f t="shared" ca="1" si="16"/>
        <v>-1.3835735554887769</v>
      </c>
      <c r="AF11" s="61">
        <f t="shared" ca="1" si="7"/>
        <v>2.2641333115357352</v>
      </c>
      <c r="AG11" s="61">
        <f t="shared" ca="1" si="7"/>
        <v>-1.1725368915021437</v>
      </c>
      <c r="AH11" s="19"/>
      <c r="AI11" s="61">
        <f ca="1"/>
        <v>-3.0001803047677585E-2</v>
      </c>
      <c r="AJ11" s="61">
        <f ca="1"/>
        <v>2.7557080711173729E-2</v>
      </c>
      <c r="AK11" s="61">
        <f ca="1"/>
        <v>-3.4538327495150664E-2</v>
      </c>
      <c r="AL11" s="19"/>
      <c r="AM11" s="61">
        <f t="shared" ca="1" si="28"/>
        <v>-2.9650586725167339E-2</v>
      </c>
      <c r="AN11" s="61">
        <f t="shared" ca="1" si="29"/>
        <v>2.7806133308090258E-2</v>
      </c>
      <c r="AO11" s="61">
        <f t="shared" ca="1" si="30"/>
        <v>-3.4106658891895847E-2</v>
      </c>
      <c r="AP11" s="19"/>
      <c r="AQ11" s="62">
        <f t="shared" ca="1" si="17"/>
        <v>1.0015373900089721</v>
      </c>
      <c r="AR11" s="62">
        <f t="shared" ca="1" si="18"/>
        <v>0.96499565314799973</v>
      </c>
      <c r="AS11" s="62">
        <f t="shared" ca="1" si="19"/>
        <v>1.0537966220649782</v>
      </c>
      <c r="AT11" s="49"/>
      <c r="AV11" s="27">
        <f t="shared" si="20"/>
        <v>-3.8680496354841311E-2</v>
      </c>
      <c r="AW11" s="64">
        <f>COUNTIFS($H$4:$H$1260,"&lt;="&amp;AV11)-SUM($AW$4:AW10)</f>
        <v>5</v>
      </c>
      <c r="AX11" s="28">
        <f t="shared" si="21"/>
        <v>1.0700557808071272</v>
      </c>
      <c r="AY11" s="46"/>
      <c r="AZ11" s="27">
        <f t="shared" si="10"/>
        <v>-3.8680496354841311E-2</v>
      </c>
      <c r="BA11" s="64">
        <f ca="1">COUNTIFS($AM$5:$AM$1261,"&lt;="&amp;AZ11)-SUM($BA$4:BA10)</f>
        <v>13</v>
      </c>
      <c r="BB11" s="28">
        <f t="shared" ca="1" si="22"/>
        <v>2.8223895619504762</v>
      </c>
      <c r="BD11" s="27">
        <f t="shared" si="23"/>
        <v>-4.7964415089552834E-2</v>
      </c>
      <c r="BE11" s="64">
        <f>COUNTIFS($I$4:$I$1260,"&lt;="&amp;BD11)-SUM($BE$4:BE10)</f>
        <v>5</v>
      </c>
      <c r="BF11" s="28">
        <f t="shared" si="24"/>
        <v>0.86627475245727048</v>
      </c>
      <c r="BG11" s="46"/>
      <c r="BH11" s="27">
        <f t="shared" si="11"/>
        <v>-4.7964415089552834E-2</v>
      </c>
      <c r="BI11" s="64">
        <f ca="1">COUNTIFS($AN$5:$AN$1261,"&lt;="&amp;BH11)-SUM($BI$4:BI10)</f>
        <v>17</v>
      </c>
      <c r="BJ11" s="28">
        <f t="shared" ca="1" si="25"/>
        <v>2.9482776695171378</v>
      </c>
      <c r="BL11" s="27">
        <f t="shared" si="26"/>
        <v>-5.4292331325637766E-2</v>
      </c>
      <c r="BM11" s="64">
        <f>COUNTIFS($J$4:$J$1260,"&lt;="&amp;BL11)-SUM($BM$4:BM10)</f>
        <v>12</v>
      </c>
      <c r="BN11" s="28">
        <f t="shared" si="12"/>
        <v>1.8317130256329088</v>
      </c>
      <c r="BO11" s="46"/>
      <c r="BP11" s="27">
        <f t="shared" si="13"/>
        <v>-5.4292331325637766E-2</v>
      </c>
      <c r="BQ11" s="64">
        <f ca="1">COUNTIFS($AO$5:$AO$1261,"&lt;="&amp;BP11)-SUM($BQ$4:BQ10)</f>
        <v>15</v>
      </c>
      <c r="BR11" s="28">
        <f t="shared" ca="1" si="14"/>
        <v>2.3121437569489887</v>
      </c>
    </row>
    <row r="12" spans="1:70" x14ac:dyDescent="0.3">
      <c r="A12" s="5">
        <v>43480</v>
      </c>
      <c r="B12" s="6">
        <v>58.610000999999997</v>
      </c>
      <c r="C12" s="6">
        <v>106.16999800000001</v>
      </c>
      <c r="D12" s="6">
        <v>78.769997000000004</v>
      </c>
      <c r="F12" s="13">
        <v>9</v>
      </c>
      <c r="G12" s="5">
        <v>43480</v>
      </c>
      <c r="H12" s="15">
        <f t="shared" si="5"/>
        <v>5.3032713464845147E-3</v>
      </c>
      <c r="I12" s="15">
        <f t="shared" si="1"/>
        <v>-4.6983737002087387E-3</v>
      </c>
      <c r="J12" s="15">
        <f t="shared" si="1"/>
        <v>-2.2825270732501949E-3</v>
      </c>
      <c r="K12" s="22"/>
      <c r="L12" s="13">
        <v>9</v>
      </c>
      <c r="M12" s="5">
        <v>43480</v>
      </c>
      <c r="N12" s="26">
        <f t="shared" si="2"/>
        <v>1.0366112480259773</v>
      </c>
      <c r="O12" s="26">
        <f t="shared" si="3"/>
        <v>1.0069233306729262</v>
      </c>
      <c r="P12" s="26">
        <f t="shared" si="4"/>
        <v>1.0424827830196608</v>
      </c>
      <c r="Q12" s="22"/>
      <c r="S12" s="20" t="s">
        <v>17</v>
      </c>
      <c r="T12" s="21" t="s">
        <v>2</v>
      </c>
      <c r="U12" s="21" t="s">
        <v>3</v>
      </c>
      <c r="V12" s="21" t="s">
        <v>4</v>
      </c>
      <c r="X12" s="20" t="s">
        <v>10</v>
      </c>
      <c r="Y12" s="21" t="s">
        <v>2</v>
      </c>
      <c r="Z12" s="21" t="s">
        <v>3</v>
      </c>
      <c r="AA12" s="21" t="s">
        <v>4</v>
      </c>
      <c r="AD12" s="59">
        <v>8</v>
      </c>
      <c r="AE12" s="61">
        <f t="shared" ca="1" si="16"/>
        <v>-1.4700185790125981</v>
      </c>
      <c r="AF12" s="61">
        <f t="shared" ca="1" si="7"/>
        <v>0.67969165454815572</v>
      </c>
      <c r="AG12" s="61">
        <f t="shared" ca="1" si="7"/>
        <v>-1.3822909427794348</v>
      </c>
      <c r="AH12" s="19"/>
      <c r="AI12" s="61">
        <f ca="1"/>
        <v>-3.1876301559104633E-2</v>
      </c>
      <c r="AJ12" s="61">
        <f ca="1"/>
        <v>-8.2354377701884512E-3</v>
      </c>
      <c r="AK12" s="61">
        <f ca="1"/>
        <v>-5.2347857370755556E-2</v>
      </c>
      <c r="AL12" s="19"/>
      <c r="AM12" s="61">
        <f t="shared" ca="1" si="28"/>
        <v>-3.1525085236594391E-2</v>
      </c>
      <c r="AN12" s="61">
        <f t="shared" ca="1" si="29"/>
        <v>-7.9863851732719197E-3</v>
      </c>
      <c r="AO12" s="61">
        <f t="shared" ca="1" si="30"/>
        <v>-5.1916188767500739E-2</v>
      </c>
      <c r="AP12" s="19"/>
      <c r="AQ12" s="62">
        <f t="shared" ca="1" si="17"/>
        <v>0.97045632903701595</v>
      </c>
      <c r="AR12" s="62">
        <f t="shared" ca="1" si="18"/>
        <v>0.95731951925250258</v>
      </c>
      <c r="AS12" s="62">
        <f t="shared" ca="1" si="19"/>
        <v>1.0004834013410111</v>
      </c>
      <c r="AT12" s="49"/>
      <c r="AV12" s="27">
        <f t="shared" si="20"/>
        <v>-3.4963190385569734E-2</v>
      </c>
      <c r="AW12" s="64">
        <f>COUNTIFS($H$4:$H$1260,"&lt;="&amp;AV12)-SUM($AW$4:AW11)</f>
        <v>10</v>
      </c>
      <c r="AX12" s="28">
        <f t="shared" si="21"/>
        <v>2.1401115616142543</v>
      </c>
      <c r="AY12" s="46"/>
      <c r="AZ12" s="27">
        <f t="shared" si="10"/>
        <v>-3.4963190385569734E-2</v>
      </c>
      <c r="BA12" s="64">
        <f ca="1">COUNTIFS($AM$5:$AM$1261,"&lt;="&amp;AZ12)-SUM($BA$4:BA11)</f>
        <v>22</v>
      </c>
      <c r="BB12" s="28">
        <f t="shared" ca="1" si="22"/>
        <v>4.7763515663777287</v>
      </c>
      <c r="BD12" s="27">
        <f t="shared" si="23"/>
        <v>-4.3372656262270035E-2</v>
      </c>
      <c r="BE12" s="64">
        <f>COUNTIFS($I$4:$I$1260,"&lt;="&amp;BD12)-SUM($BE$4:BE11)</f>
        <v>12</v>
      </c>
      <c r="BF12" s="28">
        <f t="shared" si="24"/>
        <v>2.079059405897449</v>
      </c>
      <c r="BG12" s="46"/>
      <c r="BH12" s="27">
        <f t="shared" si="11"/>
        <v>-4.3372656262270035E-2</v>
      </c>
      <c r="BI12" s="64">
        <f ca="1">COUNTIFS($AN$5:$AN$1261,"&lt;="&amp;BH12)-SUM($BI$4:BI11)</f>
        <v>22</v>
      </c>
      <c r="BJ12" s="28">
        <f t="shared" ca="1" si="25"/>
        <v>3.81541816055159</v>
      </c>
      <c r="BL12" s="27">
        <f t="shared" si="26"/>
        <v>-4.9080521808600383E-2</v>
      </c>
      <c r="BM12" s="64">
        <f>COUNTIFS($J$4:$J$1260,"&lt;="&amp;BL12)-SUM($BM$4:BM11)</f>
        <v>8</v>
      </c>
      <c r="BN12" s="28">
        <f t="shared" si="12"/>
        <v>1.221142017088606</v>
      </c>
      <c r="BO12" s="46"/>
      <c r="BP12" s="27">
        <f t="shared" si="13"/>
        <v>-4.9080521808600383E-2</v>
      </c>
      <c r="BQ12" s="64">
        <f ca="1">COUNTIFS($AO$5:$AO$1261,"&lt;="&amp;BP12)-SUM($BQ$4:BQ11)</f>
        <v>20</v>
      </c>
      <c r="BR12" s="28">
        <f t="shared" ca="1" si="14"/>
        <v>3.082858342598652</v>
      </c>
    </row>
    <row r="13" spans="1:70" x14ac:dyDescent="0.3">
      <c r="A13" s="5">
        <v>43481</v>
      </c>
      <c r="B13" s="6">
        <v>58.790000999999997</v>
      </c>
      <c r="C13" s="6">
        <v>105.629997</v>
      </c>
      <c r="D13" s="6">
        <v>79</v>
      </c>
      <c r="F13" s="13">
        <v>10</v>
      </c>
      <c r="G13" s="5">
        <v>43481</v>
      </c>
      <c r="H13" s="15">
        <f t="shared" si="5"/>
        <v>3.0664418735864194E-3</v>
      </c>
      <c r="I13" s="15">
        <f t="shared" si="1"/>
        <v>-5.0991707537205045E-3</v>
      </c>
      <c r="J13" s="15">
        <f t="shared" si="1"/>
        <v>2.915676837354901E-3</v>
      </c>
      <c r="K13" s="22"/>
      <c r="L13" s="13">
        <v>10</v>
      </c>
      <c r="M13" s="5">
        <v>43481</v>
      </c>
      <c r="N13" s="26">
        <f t="shared" si="2"/>
        <v>1.0397948348108448</v>
      </c>
      <c r="O13" s="26">
        <f t="shared" si="3"/>
        <v>1.0018019252313746</v>
      </c>
      <c r="P13" s="26">
        <f t="shared" si="4"/>
        <v>1.0455267613956263</v>
      </c>
      <c r="Q13" s="22"/>
      <c r="S13" s="7" t="s">
        <v>2</v>
      </c>
      <c r="T13" s="17" cm="1">
        <f t="array" ref="T13:V15">Cholesky(_xlfn.ANCHORARRAY(Y3))</f>
        <v>2.1684284820750861E-2</v>
      </c>
      <c r="U13" s="17">
        <v>0</v>
      </c>
      <c r="V13" s="17">
        <v>0</v>
      </c>
      <c r="X13" s="7" t="s">
        <v>2</v>
      </c>
      <c r="Y13" s="17">
        <f t="shared" ref="Y13:AA15" ca="1" si="31">Y3/(OFFSET($Y$3,Y$7,Y$7)*OFFSET($Y$3,$AB9,$AB9))^0.5</f>
        <v>1</v>
      </c>
      <c r="Z13" s="17">
        <f t="shared" ca="1" si="31"/>
        <v>0.58436386354714376</v>
      </c>
      <c r="AA13" s="17">
        <f t="shared" ca="1" si="31"/>
        <v>0.48600217336158635</v>
      </c>
      <c r="AD13" s="59">
        <v>9</v>
      </c>
      <c r="AE13" s="61">
        <f t="shared" ca="1" si="16"/>
        <v>-0.6273595306660007</v>
      </c>
      <c r="AF13" s="61">
        <f t="shared" ca="1" si="7"/>
        <v>-2.4550754876657681</v>
      </c>
      <c r="AG13" s="61">
        <f t="shared" ca="1" si="7"/>
        <v>-0.76798760390654652</v>
      </c>
      <c r="AH13" s="19"/>
      <c r="AI13" s="61">
        <f ca="1"/>
        <v>-1.3603842747974144E-2</v>
      </c>
      <c r="AJ13" s="61">
        <f ca="1"/>
        <v>-6.3183207409291633E-2</v>
      </c>
      <c r="AK13" s="61">
        <f ca="1"/>
        <v>-4.6235160168886166E-2</v>
      </c>
      <c r="AL13" s="19"/>
      <c r="AM13" s="61">
        <f t="shared" ca="1" si="28"/>
        <v>-1.32526264254639E-2</v>
      </c>
      <c r="AN13" s="61">
        <f t="shared" ca="1" si="29"/>
        <v>-6.2934154812375104E-2</v>
      </c>
      <c r="AO13" s="61">
        <f t="shared" ca="1" si="30"/>
        <v>-4.5803491565631349E-2</v>
      </c>
      <c r="AP13" s="19"/>
      <c r="AQ13" s="62">
        <f t="shared" ca="1" si="17"/>
        <v>0.95768008026485318</v>
      </c>
      <c r="AR13" s="62">
        <f t="shared" ca="1" si="18"/>
        <v>0.89892810297830916</v>
      </c>
      <c r="AS13" s="62">
        <f t="shared" ca="1" si="19"/>
        <v>0.95569141372833755</v>
      </c>
      <c r="AT13" s="49"/>
      <c r="AV13" s="27">
        <f t="shared" si="20"/>
        <v>-3.1245884416298157E-2</v>
      </c>
      <c r="AW13" s="64">
        <f>COUNTIFS($H$4:$H$1260,"&lt;="&amp;AV13)-SUM($AW$4:AW12)</f>
        <v>17</v>
      </c>
      <c r="AX13" s="28">
        <f t="shared" si="21"/>
        <v>3.6381896547442323</v>
      </c>
      <c r="AY13" s="46"/>
      <c r="AZ13" s="27">
        <f t="shared" si="10"/>
        <v>-3.1245884416298157E-2</v>
      </c>
      <c r="BA13" s="64">
        <f ca="1">COUNTIFS($AM$5:$AM$1261,"&lt;="&amp;AZ13)-SUM($BA$4:BA12)</f>
        <v>29</v>
      </c>
      <c r="BB13" s="28">
        <f t="shared" ca="1" si="22"/>
        <v>6.2960997920433703</v>
      </c>
      <c r="BD13" s="27">
        <f t="shared" si="23"/>
        <v>-3.8780897434987235E-2</v>
      </c>
      <c r="BE13" s="64">
        <f>COUNTIFS($I$4:$I$1260,"&lt;="&amp;BD13)-SUM($BE$4:BE12)</f>
        <v>13</v>
      </c>
      <c r="BF13" s="28">
        <f t="shared" si="24"/>
        <v>2.252314356388903</v>
      </c>
      <c r="BG13" s="46"/>
      <c r="BH13" s="27">
        <f t="shared" si="11"/>
        <v>-3.8780897434987235E-2</v>
      </c>
      <c r="BI13" s="64">
        <f ca="1">COUNTIFS($AN$5:$AN$1261,"&lt;="&amp;BH13)-SUM($BI$4:BI12)</f>
        <v>23</v>
      </c>
      <c r="BJ13" s="28">
        <f t="shared" ca="1" si="25"/>
        <v>3.988846258758481</v>
      </c>
      <c r="BL13" s="27">
        <f t="shared" si="26"/>
        <v>-4.3868712291563E-2</v>
      </c>
      <c r="BM13" s="64">
        <f>COUNTIFS($J$4:$J$1260,"&lt;="&amp;BL13)-SUM($BM$4:BM12)</f>
        <v>14</v>
      </c>
      <c r="BN13" s="28">
        <f t="shared" si="12"/>
        <v>2.1369985299050605</v>
      </c>
      <c r="BO13" s="46"/>
      <c r="BP13" s="27">
        <f t="shared" si="13"/>
        <v>-4.3868712291563E-2</v>
      </c>
      <c r="BQ13" s="64">
        <f ca="1">COUNTIFS($AO$5:$AO$1261,"&lt;="&amp;BP13)-SUM($BQ$4:BQ12)</f>
        <v>21</v>
      </c>
      <c r="BR13" s="28">
        <f t="shared" ca="1" si="14"/>
        <v>3.2370012597285842</v>
      </c>
    </row>
    <row r="14" spans="1:70" x14ac:dyDescent="0.3">
      <c r="A14" s="5">
        <v>43482</v>
      </c>
      <c r="B14" s="6">
        <v>60.18</v>
      </c>
      <c r="C14" s="6">
        <v>107.879997</v>
      </c>
      <c r="D14" s="6">
        <v>80.489998</v>
      </c>
      <c r="F14" s="13">
        <v>11</v>
      </c>
      <c r="G14" s="5">
        <v>43482</v>
      </c>
      <c r="H14" s="15">
        <f t="shared" si="5"/>
        <v>2.3368281778040373E-2</v>
      </c>
      <c r="I14" s="15">
        <f t="shared" si="1"/>
        <v>2.1077077028804528E-2</v>
      </c>
      <c r="J14" s="15">
        <f t="shared" si="1"/>
        <v>1.868507579081341E-2</v>
      </c>
      <c r="K14" s="22"/>
      <c r="L14" s="13">
        <v>11</v>
      </c>
      <c r="M14" s="5">
        <v>43482</v>
      </c>
      <c r="N14" s="26">
        <f t="shared" si="2"/>
        <v>1.0643791817407291</v>
      </c>
      <c r="O14" s="26">
        <f t="shared" si="3"/>
        <v>1.0231410750542285</v>
      </c>
      <c r="P14" s="26">
        <f t="shared" si="4"/>
        <v>1.0652461637174739</v>
      </c>
      <c r="Q14" s="22"/>
      <c r="S14" s="7" t="s">
        <v>3</v>
      </c>
      <c r="T14" s="17">
        <v>1.5652337917928121E-2</v>
      </c>
      <c r="U14" s="17">
        <v>2.1736017612237053E-2</v>
      </c>
      <c r="V14" s="17">
        <v>0</v>
      </c>
      <c r="X14" s="7" t="s">
        <v>3</v>
      </c>
      <c r="Y14" s="17">
        <f t="shared" ca="1" si="31"/>
        <v>0.58436386354714376</v>
      </c>
      <c r="Z14" s="17">
        <f t="shared" ca="1" si="31"/>
        <v>1</v>
      </c>
      <c r="AA14" s="17">
        <f t="shared" ca="1" si="31"/>
        <v>0.47197845930557242</v>
      </c>
      <c r="AD14" s="59">
        <v>10</v>
      </c>
      <c r="AE14" s="61">
        <f t="shared" ca="1" si="16"/>
        <v>2.0848067805099171</v>
      </c>
      <c r="AF14" s="61">
        <f t="shared" ca="1" si="7"/>
        <v>-0.14994091074499771</v>
      </c>
      <c r="AG14" s="61">
        <f t="shared" ca="1" si="7"/>
        <v>-1.2021689218890199</v>
      </c>
      <c r="AH14" s="19"/>
      <c r="AI14" s="61">
        <f ca="1"/>
        <v>4.520754402480967E-2</v>
      </c>
      <c r="AJ14" s="61">
        <f ca="1"/>
        <v>2.9372981945380894E-2</v>
      </c>
      <c r="AK14" s="61">
        <f ca="1"/>
        <v>-1.0513081816508028E-3</v>
      </c>
      <c r="AL14" s="19"/>
      <c r="AM14" s="61">
        <f t="shared" ca="1" si="28"/>
        <v>4.5558760347319913E-2</v>
      </c>
      <c r="AN14" s="61">
        <f t="shared" ca="1" si="29"/>
        <v>2.9622034542297424E-2</v>
      </c>
      <c r="AO14" s="61">
        <f t="shared" ca="1" si="30"/>
        <v>-6.196395783959846E-4</v>
      </c>
      <c r="AP14" s="19"/>
      <c r="AQ14" s="62">
        <f t="shared" ca="1" si="17"/>
        <v>1.0023199450376847</v>
      </c>
      <c r="AR14" s="62">
        <f t="shared" ca="1" si="18"/>
        <v>0.92595449444964106</v>
      </c>
      <c r="AS14" s="62">
        <f t="shared" ca="1" si="19"/>
        <v>0.95509941293616063</v>
      </c>
      <c r="AT14" s="49"/>
      <c r="AV14" s="27">
        <f t="shared" si="20"/>
        <v>-2.752857844702658E-2</v>
      </c>
      <c r="AW14" s="64">
        <f>COUNTIFS($H$4:$H$1260,"&lt;="&amp;AV14)-SUM($AW$4:AW13)</f>
        <v>24</v>
      </c>
      <c r="AX14" s="28">
        <f t="shared" si="21"/>
        <v>5.1362677478742107</v>
      </c>
      <c r="AY14" s="46"/>
      <c r="AZ14" s="27">
        <f t="shared" si="10"/>
        <v>-2.752857844702658E-2</v>
      </c>
      <c r="BA14" s="64">
        <f ca="1">COUNTIFS($AM$5:$AM$1261,"&lt;="&amp;AZ14)-SUM($BA$4:BA13)</f>
        <v>37</v>
      </c>
      <c r="BB14" s="28">
        <f t="shared" ca="1" si="22"/>
        <v>8.0329549070898167</v>
      </c>
      <c r="BD14" s="27">
        <f t="shared" si="23"/>
        <v>-3.4189138607704436E-2</v>
      </c>
      <c r="BE14" s="64">
        <f>COUNTIFS($I$4:$I$1260,"&lt;="&amp;BD14)-SUM($BE$4:BE13)</f>
        <v>23</v>
      </c>
      <c r="BF14" s="28">
        <f t="shared" si="24"/>
        <v>3.9848638613034444</v>
      </c>
      <c r="BG14" s="46"/>
      <c r="BH14" s="27">
        <f t="shared" si="11"/>
        <v>-3.4189138607704436E-2</v>
      </c>
      <c r="BI14" s="64">
        <f ca="1">COUNTIFS($AN$5:$AN$1261,"&lt;="&amp;BH14)-SUM($BI$4:BI13)</f>
        <v>38</v>
      </c>
      <c r="BJ14" s="28">
        <f t="shared" ca="1" si="25"/>
        <v>6.5902677318618377</v>
      </c>
      <c r="BL14" s="27">
        <f t="shared" si="26"/>
        <v>-3.8656902774525617E-2</v>
      </c>
      <c r="BM14" s="64">
        <f>COUNTIFS($J$4:$J$1260,"&lt;="&amp;BL14)-SUM($BM$4:BM13)</f>
        <v>18</v>
      </c>
      <c r="BN14" s="28">
        <f t="shared" si="12"/>
        <v>2.7475695384493632</v>
      </c>
      <c r="BO14" s="46"/>
      <c r="BP14" s="27">
        <f t="shared" si="13"/>
        <v>-3.8656902774525617E-2</v>
      </c>
      <c r="BQ14" s="64">
        <f ca="1">COUNTIFS($AO$5:$AO$1261,"&lt;="&amp;BP14)-SUM($BQ$4:BQ13)</f>
        <v>42</v>
      </c>
      <c r="BR14" s="28">
        <f t="shared" ca="1" si="14"/>
        <v>6.4740025194571684</v>
      </c>
    </row>
    <row r="15" spans="1:70" x14ac:dyDescent="0.3">
      <c r="A15" s="5">
        <v>43483</v>
      </c>
      <c r="B15" s="6">
        <v>60.869999</v>
      </c>
      <c r="C15" s="6">
        <v>111.57</v>
      </c>
      <c r="D15" s="6">
        <v>82.589995999999999</v>
      </c>
      <c r="F15" s="13">
        <v>12</v>
      </c>
      <c r="G15" s="5">
        <v>43483</v>
      </c>
      <c r="H15" s="15">
        <f t="shared" si="5"/>
        <v>1.1400354875479598E-2</v>
      </c>
      <c r="I15" s="15">
        <f t="shared" si="1"/>
        <v>3.363272614223578E-2</v>
      </c>
      <c r="J15" s="15">
        <f t="shared" si="1"/>
        <v>2.575563113277585E-2</v>
      </c>
      <c r="K15" s="22"/>
      <c r="L15" s="13">
        <v>12</v>
      </c>
      <c r="M15" s="5">
        <v>43483</v>
      </c>
      <c r="N15" s="26">
        <f t="shared" si="2"/>
        <v>1.0765829133961282</v>
      </c>
      <c r="O15" s="26">
        <f t="shared" si="3"/>
        <v>1.0581373092159083</v>
      </c>
      <c r="P15" s="26">
        <f t="shared" si="4"/>
        <v>1.0930386207792118</v>
      </c>
      <c r="Q15" s="22"/>
      <c r="S15" s="7" t="s">
        <v>4</v>
      </c>
      <c r="T15" s="17">
        <v>1.4775546055822824E-2</v>
      </c>
      <c r="U15" s="17">
        <v>7.0424606811385496E-3</v>
      </c>
      <c r="V15" s="17">
        <v>2.5619955112260291E-2</v>
      </c>
      <c r="X15" s="7" t="s">
        <v>4</v>
      </c>
      <c r="Y15" s="17">
        <f t="shared" ca="1" si="31"/>
        <v>0.48600217336158635</v>
      </c>
      <c r="Z15" s="17">
        <f t="shared" ca="1" si="31"/>
        <v>0.47197845930557242</v>
      </c>
      <c r="AA15" s="17">
        <f t="shared" ca="1" si="31"/>
        <v>1</v>
      </c>
      <c r="AD15" s="59">
        <v>11</v>
      </c>
      <c r="AE15" s="61">
        <f t="shared" ca="1" si="16"/>
        <v>0.64684983299105325</v>
      </c>
      <c r="AF15" s="61">
        <f t="shared" ca="1" si="7"/>
        <v>-0.13122082344102431</v>
      </c>
      <c r="AG15" s="61">
        <f t="shared" ca="1" si="7"/>
        <v>-1.3851340795149976</v>
      </c>
      <c r="AH15" s="19"/>
      <c r="AI15" s="61">
        <f ca="1"/>
        <v>1.4026476014833126E-2</v>
      </c>
      <c r="AJ15" s="61">
        <f ca="1"/>
        <v>7.2724940387249824E-3</v>
      </c>
      <c r="AK15" s="61">
        <f ca="1"/>
        <v>-2.6853630932705645E-2</v>
      </c>
      <c r="AL15" s="19"/>
      <c r="AM15" s="61">
        <f t="shared" ca="1" si="28"/>
        <v>1.4377692337343369E-2</v>
      </c>
      <c r="AN15" s="61">
        <f t="shared" ca="1" si="29"/>
        <v>7.521546635641513E-3</v>
      </c>
      <c r="AO15" s="61">
        <f t="shared" ca="1" si="30"/>
        <v>-2.6421962329450828E-2</v>
      </c>
      <c r="AP15" s="19"/>
      <c r="AQ15" s="62">
        <f t="shared" ca="1" si="17"/>
        <v>1.0168350899304428</v>
      </c>
      <c r="AR15" s="62">
        <f t="shared" ca="1" si="18"/>
        <v>0.9329453624738393</v>
      </c>
      <c r="AS15" s="62">
        <f t="shared" ca="1" si="19"/>
        <v>0.93019428231898704</v>
      </c>
      <c r="AT15" s="49"/>
      <c r="AV15" s="27">
        <f t="shared" si="20"/>
        <v>-2.3811272477755004E-2</v>
      </c>
      <c r="AW15" s="64">
        <f>COUNTIFS($H$4:$H$1260,"&lt;="&amp;AV15)-SUM($AW$4:AW14)</f>
        <v>27</v>
      </c>
      <c r="AX15" s="28">
        <f t="shared" si="21"/>
        <v>5.7783012163584866</v>
      </c>
      <c r="AY15" s="46"/>
      <c r="AZ15" s="27">
        <f t="shared" si="10"/>
        <v>-2.3811272477755004E-2</v>
      </c>
      <c r="BA15" s="64">
        <f ca="1">COUNTIFS($AM$5:$AM$1261,"&lt;="&amp;AZ15)-SUM($BA$4:BA14)</f>
        <v>38</v>
      </c>
      <c r="BB15" s="28">
        <f t="shared" ca="1" si="22"/>
        <v>8.2500617964706233</v>
      </c>
      <c r="BD15" s="27">
        <f t="shared" si="23"/>
        <v>-2.9597379780421637E-2</v>
      </c>
      <c r="BE15" s="64">
        <f>COUNTIFS($I$4:$I$1260,"&lt;="&amp;BD15)-SUM($BE$4:BE14)</f>
        <v>32</v>
      </c>
      <c r="BF15" s="28">
        <f t="shared" si="24"/>
        <v>5.5441584157265309</v>
      </c>
      <c r="BG15" s="46"/>
      <c r="BH15" s="27">
        <f t="shared" si="11"/>
        <v>-2.9597379780421637E-2</v>
      </c>
      <c r="BI15" s="64">
        <f ca="1">COUNTIFS($AN$5:$AN$1261,"&lt;="&amp;BH15)-SUM($BI$4:BI14)</f>
        <v>45</v>
      </c>
      <c r="BJ15" s="28">
        <f t="shared" ca="1" si="25"/>
        <v>7.804264419310071</v>
      </c>
      <c r="BL15" s="27">
        <f t="shared" si="26"/>
        <v>-3.3445093257488234E-2</v>
      </c>
      <c r="BM15" s="64">
        <f>COUNTIFS($J$4:$J$1260,"&lt;="&amp;BL15)-SUM($BM$4:BM14)</f>
        <v>26</v>
      </c>
      <c r="BN15" s="28">
        <f t="shared" si="12"/>
        <v>3.9687115555379688</v>
      </c>
      <c r="BO15" s="46"/>
      <c r="BP15" s="27">
        <f t="shared" si="13"/>
        <v>-3.3445093257488234E-2</v>
      </c>
      <c r="BQ15" s="64">
        <f ca="1">COUNTIFS($AO$5:$AO$1261,"&lt;="&amp;BP15)-SUM($BQ$4:BQ14)</f>
        <v>45</v>
      </c>
      <c r="BR15" s="28">
        <f t="shared" ca="1" si="14"/>
        <v>6.9364312708469669</v>
      </c>
    </row>
    <row r="16" spans="1:70" x14ac:dyDescent="0.3">
      <c r="A16" s="5">
        <v>43487</v>
      </c>
      <c r="B16" s="6">
        <v>59.759998000000003</v>
      </c>
      <c r="C16" s="6">
        <v>109.33000199999999</v>
      </c>
      <c r="D16" s="6">
        <v>82.010002</v>
      </c>
      <c r="F16" s="13">
        <v>13</v>
      </c>
      <c r="G16" s="5">
        <v>43487</v>
      </c>
      <c r="H16" s="15">
        <f t="shared" si="5"/>
        <v>-1.8403918720019657E-2</v>
      </c>
      <c r="I16" s="15">
        <f t="shared" si="1"/>
        <v>-2.0281346865454471E-2</v>
      </c>
      <c r="J16" s="15">
        <f t="shared" si="1"/>
        <v>-7.0473439550215351E-3</v>
      </c>
      <c r="K16" s="22"/>
      <c r="L16" s="13">
        <v>13</v>
      </c>
      <c r="M16" s="5">
        <v>43487</v>
      </c>
      <c r="N16" s="26">
        <f t="shared" si="2"/>
        <v>1.0569507772028517</v>
      </c>
      <c r="O16" s="26">
        <f t="shared" si="3"/>
        <v>1.0368930190270671</v>
      </c>
      <c r="P16" s="26">
        <f t="shared" si="4"/>
        <v>1.0853626809254284</v>
      </c>
      <c r="Q16" s="22"/>
      <c r="AD16" s="59">
        <v>12</v>
      </c>
      <c r="AE16" s="61">
        <f t="shared" ca="1" si="16"/>
        <v>-1.8208040320468897</v>
      </c>
      <c r="AF16" s="61">
        <f t="shared" ca="1" si="7"/>
        <v>-1.7980316013317639</v>
      </c>
      <c r="AG16" s="61">
        <f t="shared" ca="1" si="7"/>
        <v>-0.22358047813897361</v>
      </c>
      <c r="AH16" s="19"/>
      <c r="AI16" s="61">
        <f ca="1"/>
        <v>-3.9482833233676337E-2</v>
      </c>
      <c r="AJ16" s="61">
        <f ca="1"/>
        <v>-6.7581886545829958E-2</v>
      </c>
      <c r="AK16" s="61">
        <f ca="1"/>
        <v>-4.5294062503858444E-2</v>
      </c>
      <c r="AL16" s="19"/>
      <c r="AM16" s="61">
        <f t="shared" ca="1" si="28"/>
        <v>-3.9131616911166095E-2</v>
      </c>
      <c r="AN16" s="61">
        <f t="shared" ca="1" si="29"/>
        <v>-6.7332833948913429E-2</v>
      </c>
      <c r="AO16" s="61">
        <f t="shared" ca="1" si="30"/>
        <v>-4.4862393900603627E-2</v>
      </c>
      <c r="AP16" s="19"/>
      <c r="AQ16" s="62">
        <f t="shared" ca="1" si="17"/>
        <v>0.97781316360751547</v>
      </c>
      <c r="AR16" s="62">
        <f t="shared" ca="1" si="18"/>
        <v>0.87219568144645554</v>
      </c>
      <c r="AS16" s="62">
        <f t="shared" ca="1" si="19"/>
        <v>0.88938576799882363</v>
      </c>
      <c r="AT16" s="49"/>
      <c r="AV16" s="27">
        <f t="shared" si="20"/>
        <v>-2.0093966508483427E-2</v>
      </c>
      <c r="AW16" s="64">
        <f>COUNTIFS($H$4:$H$1260,"&lt;="&amp;AV16)-SUM($AW$4:AW15)</f>
        <v>42</v>
      </c>
      <c r="AX16" s="28">
        <f t="shared" si="21"/>
        <v>8.9884685587798678</v>
      </c>
      <c r="AY16" s="46"/>
      <c r="AZ16" s="27">
        <f t="shared" si="10"/>
        <v>-2.0093966508483427E-2</v>
      </c>
      <c r="BA16" s="64">
        <f ca="1">COUNTIFS($AM$5:$AM$1261,"&lt;="&amp;AZ16)-SUM($BA$4:BA15)</f>
        <v>60</v>
      </c>
      <c r="BB16" s="28">
        <f t="shared" ca="1" si="22"/>
        <v>13.026413362848352</v>
      </c>
      <c r="BD16" s="27">
        <f t="shared" si="23"/>
        <v>-2.5005620953138838E-2</v>
      </c>
      <c r="BE16" s="64">
        <f>COUNTIFS($I$4:$I$1260,"&lt;="&amp;BD16)-SUM($BE$4:BE15)</f>
        <v>34</v>
      </c>
      <c r="BF16" s="28">
        <f t="shared" si="24"/>
        <v>5.8906683167094389</v>
      </c>
      <c r="BG16" s="46"/>
      <c r="BH16" s="27">
        <f t="shared" si="11"/>
        <v>-2.5005620953138838E-2</v>
      </c>
      <c r="BI16" s="64">
        <f ca="1">COUNTIFS($AN$5:$AN$1261,"&lt;="&amp;BH16)-SUM($BI$4:BI15)</f>
        <v>60</v>
      </c>
      <c r="BJ16" s="28">
        <f t="shared" ca="1" si="25"/>
        <v>10.405685892413427</v>
      </c>
      <c r="BL16" s="27">
        <f t="shared" si="26"/>
        <v>-2.8233283740450848E-2</v>
      </c>
      <c r="BM16" s="64">
        <f>COUNTIFS($J$4:$J$1260,"&lt;="&amp;BL16)-SUM($BM$4:BM15)</f>
        <v>42</v>
      </c>
      <c r="BN16" s="28">
        <f t="shared" si="12"/>
        <v>6.4109955897151805</v>
      </c>
      <c r="BO16" s="46"/>
      <c r="BP16" s="27">
        <f t="shared" si="13"/>
        <v>-2.8233283740450848E-2</v>
      </c>
      <c r="BQ16" s="64">
        <f ca="1">COUNTIFS($AO$5:$AO$1261,"&lt;="&amp;BP16)-SUM($BQ$4:BQ15)</f>
        <v>53</v>
      </c>
      <c r="BR16" s="28">
        <f t="shared" ca="1" si="14"/>
        <v>8.1695746078864264</v>
      </c>
    </row>
    <row r="17" spans="1:70" x14ac:dyDescent="0.3">
      <c r="A17" s="5">
        <v>43488</v>
      </c>
      <c r="B17" s="6">
        <v>59.400002000000001</v>
      </c>
      <c r="C17" s="6">
        <v>110.279999</v>
      </c>
      <c r="D17" s="6">
        <v>79.779999000000004</v>
      </c>
      <c r="F17" s="13">
        <v>14</v>
      </c>
      <c r="G17" s="5">
        <v>43488</v>
      </c>
      <c r="H17" s="15">
        <f t="shared" si="5"/>
        <v>-6.0422473187268034E-3</v>
      </c>
      <c r="I17" s="15">
        <f t="shared" si="1"/>
        <v>8.6517273481348401E-3</v>
      </c>
      <c r="J17" s="15">
        <f t="shared" si="1"/>
        <v>-2.7568381492798597E-2</v>
      </c>
      <c r="K17" s="22"/>
      <c r="L17" s="13">
        <v>14</v>
      </c>
      <c r="M17" s="5">
        <v>43488</v>
      </c>
      <c r="N17" s="26">
        <f t="shared" si="2"/>
        <v>1.0505836743794894</v>
      </c>
      <c r="O17" s="26">
        <f t="shared" si="3"/>
        <v>1.0459028538334056</v>
      </c>
      <c r="P17" s="26">
        <f t="shared" si="4"/>
        <v>1.0558496706153964</v>
      </c>
      <c r="Q17" s="22"/>
      <c r="AD17" s="59">
        <v>13</v>
      </c>
      <c r="AE17" s="61">
        <f t="shared" ca="1" si="16"/>
        <v>-1.06577040249707</v>
      </c>
      <c r="AF17" s="61">
        <f t="shared" ca="1" si="7"/>
        <v>0.9701685291314136</v>
      </c>
      <c r="AG17" s="61">
        <f t="shared" ca="1" si="7"/>
        <v>-1.2404065634108388</v>
      </c>
      <c r="AH17" s="19"/>
      <c r="AI17" s="61">
        <f ca="1"/>
        <v>-2.3110468961272751E-2</v>
      </c>
      <c r="AJ17" s="61">
        <f ca="1"/>
        <v>4.4058017532281196E-3</v>
      </c>
      <c r="AK17" s="61">
        <f ca="1"/>
        <v>-4.0694126422081027E-2</v>
      </c>
      <c r="AL17" s="19"/>
      <c r="AM17" s="61">
        <f t="shared" ca="1" si="28"/>
        <v>-2.2759252638762505E-2</v>
      </c>
      <c r="AN17" s="61">
        <f t="shared" ca="1" si="29"/>
        <v>4.6548543501446502E-3</v>
      </c>
      <c r="AO17" s="61">
        <f t="shared" ca="1" si="30"/>
        <v>-4.026245781882621E-2</v>
      </c>
      <c r="AP17" s="19"/>
      <c r="AQ17" s="62">
        <f t="shared" ca="1" si="17"/>
        <v>0.95581020202044797</v>
      </c>
      <c r="AR17" s="62">
        <f t="shared" ca="1" si="18"/>
        <v>0.87626508921075208</v>
      </c>
      <c r="AS17" s="62">
        <f t="shared" ca="1" si="19"/>
        <v>0.85428820917960335</v>
      </c>
      <c r="AT17" s="49"/>
      <c r="AV17" s="27">
        <f t="shared" si="20"/>
        <v>-1.637666053921185E-2</v>
      </c>
      <c r="AW17" s="64">
        <f>COUNTIFS($H$4:$H$1260,"&lt;="&amp;AV17)-SUM($AW$4:AW16)</f>
        <v>44</v>
      </c>
      <c r="AX17" s="28">
        <f t="shared" si="21"/>
        <v>9.4164908711027184</v>
      </c>
      <c r="AY17" s="46"/>
      <c r="AZ17" s="27">
        <f t="shared" si="10"/>
        <v>-1.637666053921185E-2</v>
      </c>
      <c r="BA17" s="64">
        <f ca="1">COUNTIFS($AM$5:$AM$1261,"&lt;="&amp;AZ17)-SUM($BA$4:BA16)</f>
        <v>52</v>
      </c>
      <c r="BB17" s="28">
        <f t="shared" ca="1" si="22"/>
        <v>11.289558247801905</v>
      </c>
      <c r="BD17" s="27">
        <f t="shared" si="23"/>
        <v>-2.0413862125856039E-2</v>
      </c>
      <c r="BE17" s="64">
        <f>COUNTIFS($I$4:$I$1260,"&lt;="&amp;BD17)-SUM($BE$4:BE16)</f>
        <v>50</v>
      </c>
      <c r="BF17" s="28">
        <f t="shared" si="24"/>
        <v>8.6627475245727048</v>
      </c>
      <c r="BG17" s="46"/>
      <c r="BH17" s="27">
        <f t="shared" si="11"/>
        <v>-2.0413862125856039E-2</v>
      </c>
      <c r="BI17" s="64">
        <f ca="1">COUNTIFS($AN$5:$AN$1261,"&lt;="&amp;BH17)-SUM($BI$4:BI16)</f>
        <v>54</v>
      </c>
      <c r="BJ17" s="28">
        <f t="shared" ca="1" si="25"/>
        <v>9.3651173031720845</v>
      </c>
      <c r="BL17" s="27">
        <f t="shared" si="26"/>
        <v>-2.3021474223413461E-2</v>
      </c>
      <c r="BM17" s="64">
        <f>COUNTIFS($J$4:$J$1260,"&lt;="&amp;BL17)-SUM($BM$4:BM16)</f>
        <v>50</v>
      </c>
      <c r="BN17" s="28">
        <f t="shared" si="12"/>
        <v>7.6321376068037869</v>
      </c>
      <c r="BO17" s="46"/>
      <c r="BP17" s="27">
        <f t="shared" si="13"/>
        <v>-2.3021474223413461E-2</v>
      </c>
      <c r="BQ17" s="64">
        <f ca="1">COUNTIFS($AO$5:$AO$1261,"&lt;="&amp;BP17)-SUM($BQ$4:BQ16)</f>
        <v>60</v>
      </c>
      <c r="BR17" s="28">
        <f t="shared" ca="1" si="14"/>
        <v>9.2485750277959546</v>
      </c>
    </row>
    <row r="18" spans="1:70" x14ac:dyDescent="0.3">
      <c r="A18" s="5">
        <v>43489</v>
      </c>
      <c r="B18" s="6">
        <v>60.34</v>
      </c>
      <c r="C18" s="6">
        <v>110.94000200000001</v>
      </c>
      <c r="D18" s="6">
        <v>78.949996999999996</v>
      </c>
      <c r="F18" s="13">
        <v>15</v>
      </c>
      <c r="G18" s="5">
        <v>43489</v>
      </c>
      <c r="H18" s="15">
        <f t="shared" si="5"/>
        <v>1.5700973692282693E-2</v>
      </c>
      <c r="I18" s="15">
        <f t="shared" si="1"/>
        <v>5.9669555670826017E-3</v>
      </c>
      <c r="J18" s="15">
        <f t="shared" si="1"/>
        <v>-1.045813123987376E-2</v>
      </c>
      <c r="K18" s="22"/>
      <c r="L18" s="13">
        <v>15</v>
      </c>
      <c r="M18" s="5">
        <v>43489</v>
      </c>
      <c r="N18" s="26">
        <f t="shared" si="2"/>
        <v>1.0672090366606115</v>
      </c>
      <c r="O18" s="26">
        <f t="shared" si="3"/>
        <v>1.0521623662336426</v>
      </c>
      <c r="P18" s="26">
        <f t="shared" si="4"/>
        <v>1.0448649958937268</v>
      </c>
      <c r="Q18" s="22"/>
      <c r="AD18" s="59">
        <v>14</v>
      </c>
      <c r="AE18" s="61">
        <f t="shared" ca="1" si="16"/>
        <v>-2.8902884028414247E-2</v>
      </c>
      <c r="AF18" s="61">
        <f t="shared" ca="1" si="7"/>
        <v>0.88102106948741754</v>
      </c>
      <c r="AG18" s="61">
        <f t="shared" ca="1" si="7"/>
        <v>1.6757617421890301</v>
      </c>
      <c r="AH18" s="19"/>
      <c r="AI18" s="61">
        <f ca="1"/>
        <v>-6.2673836941326555E-4</v>
      </c>
      <c r="AJ18" s="61">
        <f ca="1"/>
        <v>1.8697491775515003E-2</v>
      </c>
      <c r="AK18" s="61">
        <f ca="1"/>
        <v>4.8710440960737886E-2</v>
      </c>
      <c r="AL18" s="19"/>
      <c r="AM18" s="61">
        <f t="shared" ca="1" si="28"/>
        <v>-2.7552204690302134E-4</v>
      </c>
      <c r="AN18" s="61">
        <f t="shared" ca="1" si="29"/>
        <v>1.8946544372431533E-2</v>
      </c>
      <c r="AO18" s="61">
        <f t="shared" ca="1" si="30"/>
        <v>4.9142109563992703E-2</v>
      </c>
      <c r="AP18" s="19"/>
      <c r="AQ18" s="62">
        <f t="shared" ca="1" si="17"/>
        <v>0.9555468915127272</v>
      </c>
      <c r="AR18" s="62">
        <f t="shared" ca="1" si="18"/>
        <v>0.89302555973002951</v>
      </c>
      <c r="AS18" s="62">
        <f t="shared" ca="1" si="19"/>
        <v>0.89731837113985835</v>
      </c>
      <c r="AT18" s="49"/>
      <c r="AV18" s="27">
        <f t="shared" si="20"/>
        <v>-1.2659354569940273E-2</v>
      </c>
      <c r="AW18" s="64">
        <f>COUNTIFS($H$4:$H$1260,"&lt;="&amp;AV18)-SUM($AW$4:AW17)</f>
        <v>59</v>
      </c>
      <c r="AX18" s="28">
        <f t="shared" si="21"/>
        <v>12.626658213524102</v>
      </c>
      <c r="AY18" s="46"/>
      <c r="AZ18" s="27">
        <f t="shared" si="10"/>
        <v>-1.2659354569940273E-2</v>
      </c>
      <c r="BA18" s="64">
        <f ca="1">COUNTIFS($AM$5:$AM$1261,"&lt;="&amp;AZ18)-SUM($BA$4:BA17)</f>
        <v>69</v>
      </c>
      <c r="BB18" s="28">
        <f t="shared" ca="1" si="22"/>
        <v>14.980375367275604</v>
      </c>
      <c r="BD18" s="27">
        <f t="shared" si="23"/>
        <v>-1.582210329857324E-2</v>
      </c>
      <c r="BE18" s="64">
        <f>COUNTIFS($I$4:$I$1260,"&lt;="&amp;BD18)-SUM($BE$4:BE17)</f>
        <v>67</v>
      </c>
      <c r="BF18" s="28">
        <f t="shared" si="24"/>
        <v>11.608081682927425</v>
      </c>
      <c r="BG18" s="46"/>
      <c r="BH18" s="27">
        <f t="shared" si="11"/>
        <v>-1.582210329857324E-2</v>
      </c>
      <c r="BI18" s="64">
        <f ca="1">COUNTIFS($AN$5:$AN$1261,"&lt;="&amp;BH18)-SUM($BI$4:BI17)</f>
        <v>70</v>
      </c>
      <c r="BJ18" s="28">
        <f t="shared" ca="1" si="25"/>
        <v>12.139966874482331</v>
      </c>
      <c r="BL18" s="27">
        <f t="shared" si="26"/>
        <v>-1.7809664706376075E-2</v>
      </c>
      <c r="BM18" s="64">
        <f>COUNTIFS($J$4:$J$1260,"&lt;="&amp;BL18)-SUM($BM$4:BM17)</f>
        <v>53</v>
      </c>
      <c r="BN18" s="28">
        <f t="shared" si="12"/>
        <v>8.0900658632120148</v>
      </c>
      <c r="BO18" s="46"/>
      <c r="BP18" s="27">
        <f t="shared" si="13"/>
        <v>-1.7809664706376075E-2</v>
      </c>
      <c r="BQ18" s="64">
        <f ca="1">COUNTIFS($AO$5:$AO$1261,"&lt;="&amp;BP18)-SUM($BQ$4:BQ17)</f>
        <v>77</v>
      </c>
      <c r="BR18" s="28">
        <f t="shared" ca="1" si="14"/>
        <v>11.869004619004809</v>
      </c>
    </row>
    <row r="19" spans="1:70" x14ac:dyDescent="0.3">
      <c r="A19" s="5">
        <v>43490</v>
      </c>
      <c r="B19" s="6">
        <v>60.990001999999997</v>
      </c>
      <c r="C19" s="6">
        <v>113.639999</v>
      </c>
      <c r="D19" s="6">
        <v>82.190002000000007</v>
      </c>
      <c r="F19" s="13">
        <v>16</v>
      </c>
      <c r="G19" s="5">
        <v>43490</v>
      </c>
      <c r="H19" s="15">
        <f t="shared" si="5"/>
        <v>1.0714715369710234E-2</v>
      </c>
      <c r="I19" s="15">
        <f t="shared" si="1"/>
        <v>2.4046015531417737E-2</v>
      </c>
      <c r="J19" s="15">
        <f t="shared" si="1"/>
        <v>4.0218961791352148E-2</v>
      </c>
      <c r="K19" s="22"/>
      <c r="L19" s="13">
        <v>16</v>
      </c>
      <c r="M19" s="5">
        <v>43490</v>
      </c>
      <c r="N19" s="26">
        <f t="shared" si="2"/>
        <v>1.0787053576458197</v>
      </c>
      <c r="O19" s="26">
        <f t="shared" si="3"/>
        <v>1.0777693175688672</v>
      </c>
      <c r="P19" s="26">
        <f t="shared" si="4"/>
        <v>1.0877448937994945</v>
      </c>
      <c r="Q19" s="22"/>
      <c r="AD19" s="59">
        <v>15</v>
      </c>
      <c r="AE19" s="61">
        <f t="shared" ca="1" si="16"/>
        <v>-2.3606191970303295E-2</v>
      </c>
      <c r="AF19" s="61">
        <f t="shared" ca="1" si="7"/>
        <v>6.405003837831702E-2</v>
      </c>
      <c r="AG19" s="61">
        <f t="shared" ca="1" si="7"/>
        <v>-1.9855939722772016</v>
      </c>
      <c r="AH19" s="19"/>
      <c r="AI19" s="61">
        <f ca="1"/>
        <v>-5.1188339021737857E-4</v>
      </c>
      <c r="AJ19" s="61">
        <f ca="1"/>
        <v>1.0227006685808893E-3</v>
      </c>
      <c r="AK19" s="61">
        <f ca="1"/>
        <v>-5.0768552940671612E-2</v>
      </c>
      <c r="AL19" s="19"/>
      <c r="AM19" s="61">
        <f t="shared" ca="1" si="28"/>
        <v>-1.6066706770713436E-4</v>
      </c>
      <c r="AN19" s="61">
        <f t="shared" ca="1" si="29"/>
        <v>1.2717532654974201E-3</v>
      </c>
      <c r="AO19" s="61">
        <f t="shared" ca="1" si="30"/>
        <v>-5.0336884337416794E-2</v>
      </c>
      <c r="AP19" s="19"/>
      <c r="AQ19" s="62">
        <f t="shared" ca="1" si="17"/>
        <v>0.95539337892814979</v>
      </c>
      <c r="AR19" s="62">
        <f t="shared" ca="1" si="18"/>
        <v>0.89416199037831512</v>
      </c>
      <c r="AS19" s="62">
        <f t="shared" ca="1" si="19"/>
        <v>0.85326813667783297</v>
      </c>
      <c r="AT19" s="49"/>
      <c r="AV19" s="27">
        <f t="shared" si="20"/>
        <v>-8.9420486006686964E-3</v>
      </c>
      <c r="AW19" s="64">
        <f>COUNTIFS($H$4:$H$1260,"&lt;="&amp;AV19)-SUM($AW$4:AW18)</f>
        <v>84</v>
      </c>
      <c r="AX19" s="28">
        <f t="shared" si="21"/>
        <v>17.976937117559736</v>
      </c>
      <c r="AY19" s="46"/>
      <c r="AZ19" s="27">
        <f t="shared" si="10"/>
        <v>-8.9420486006686964E-3</v>
      </c>
      <c r="BA19" s="64">
        <f ca="1">COUNTIFS($AM$5:$AM$1261,"&lt;="&amp;AZ19)-SUM($BA$4:BA18)</f>
        <v>75</v>
      </c>
      <c r="BB19" s="28">
        <f t="shared" ca="1" si="22"/>
        <v>16.283016703560438</v>
      </c>
      <c r="BD19" s="27">
        <f t="shared" si="23"/>
        <v>-1.1230344471290442E-2</v>
      </c>
      <c r="BE19" s="64">
        <f>COUNTIFS($I$4:$I$1260,"&lt;="&amp;BD19)-SUM($BE$4:BE18)</f>
        <v>76</v>
      </c>
      <c r="BF19" s="28">
        <f t="shared" si="24"/>
        <v>13.16737623735051</v>
      </c>
      <c r="BG19" s="46"/>
      <c r="BH19" s="27">
        <f t="shared" si="11"/>
        <v>-1.1230344471290442E-2</v>
      </c>
      <c r="BI19" s="64">
        <f ca="1">COUNTIFS($AN$5:$AN$1261,"&lt;="&amp;BH19)-SUM($BI$4:BI18)</f>
        <v>71</v>
      </c>
      <c r="BJ19" s="28">
        <f t="shared" ca="1" si="25"/>
        <v>12.313394972689222</v>
      </c>
      <c r="BL19" s="27">
        <f t="shared" si="26"/>
        <v>-1.2597855189338689E-2</v>
      </c>
      <c r="BM19" s="64">
        <f>COUNTIFS($J$4:$J$1260,"&lt;="&amp;BL19)-SUM($BM$4:BM18)</f>
        <v>70</v>
      </c>
      <c r="BN19" s="28">
        <f t="shared" si="12"/>
        <v>10.6849926495253</v>
      </c>
      <c r="BO19" s="46"/>
      <c r="BP19" s="27">
        <f t="shared" si="13"/>
        <v>-1.2597855189338689E-2</v>
      </c>
      <c r="BQ19" s="64">
        <f ca="1">COUNTIFS($AO$5:$AO$1261,"&lt;="&amp;BP19)-SUM($BQ$4:BQ18)</f>
        <v>68</v>
      </c>
      <c r="BR19" s="28">
        <f t="shared" ca="1" si="14"/>
        <v>10.481718364835416</v>
      </c>
    </row>
    <row r="20" spans="1:70" x14ac:dyDescent="0.3">
      <c r="A20" s="5">
        <v>43493</v>
      </c>
      <c r="B20" s="6">
        <v>60.779998999999997</v>
      </c>
      <c r="C20" s="6">
        <v>115.089996</v>
      </c>
      <c r="D20" s="6">
        <v>81.029999000000004</v>
      </c>
      <c r="F20" s="13">
        <v>17</v>
      </c>
      <c r="G20" s="5">
        <v>43493</v>
      </c>
      <c r="H20" s="15">
        <f t="shared" si="5"/>
        <v>-3.4491780647591353E-3</v>
      </c>
      <c r="I20" s="15">
        <f t="shared" si="5"/>
        <v>1.2678848038721539E-2</v>
      </c>
      <c r="J20" s="15">
        <f t="shared" si="5"/>
        <v>-1.4214220362743337E-2</v>
      </c>
      <c r="K20" s="22"/>
      <c r="L20" s="13">
        <v>17</v>
      </c>
      <c r="M20" s="5">
        <v>43493</v>
      </c>
      <c r="N20" s="26">
        <f t="shared" si="2"/>
        <v>1.0749911200036943</v>
      </c>
      <c r="O20" s="26">
        <f t="shared" si="3"/>
        <v>1.0915211856691731</v>
      </c>
      <c r="P20" s="26">
        <f t="shared" si="4"/>
        <v>1.072392815574188</v>
      </c>
      <c r="Q20" s="22"/>
      <c r="AD20" s="59">
        <v>16</v>
      </c>
      <c r="AE20" s="61">
        <f t="shared" ca="1" si="16"/>
        <v>-0.54380564003579235</v>
      </c>
      <c r="AF20" s="61">
        <f t="shared" ca="1" si="16"/>
        <v>-0.25302789619540533</v>
      </c>
      <c r="AG20" s="61">
        <f t="shared" ca="1" si="16"/>
        <v>0.69231775814467178</v>
      </c>
      <c r="AH20" s="19"/>
      <c r="AI20" s="61">
        <f ca="1"/>
        <v>-1.1792036385666839E-2</v>
      </c>
      <c r="AJ20" s="61">
        <f ca="1"/>
        <v>-1.4011648447606022E-2</v>
      </c>
      <c r="AK20" s="61">
        <f ca="1"/>
        <v>7.9201855971347615E-3</v>
      </c>
      <c r="AL20" s="19"/>
      <c r="AM20" s="61">
        <f t="shared" ca="1" si="28"/>
        <v>-1.1440820063156595E-2</v>
      </c>
      <c r="AN20" s="61">
        <f t="shared" ca="1" si="29"/>
        <v>-1.376259585068949E-2</v>
      </c>
      <c r="AO20" s="61">
        <f t="shared" ca="1" si="30"/>
        <v>8.3518542003895805E-3</v>
      </c>
      <c r="AP20" s="19"/>
      <c r="AQ20" s="62">
        <f t="shared" ca="1" si="17"/>
        <v>0.94452518426678311</v>
      </c>
      <c r="AR20" s="62">
        <f t="shared" ca="1" si="18"/>
        <v>0.88194029431913201</v>
      </c>
      <c r="AS20" s="62">
        <f t="shared" ca="1" si="19"/>
        <v>0.86042434997674411</v>
      </c>
      <c r="AT20" s="49"/>
      <c r="AV20" s="27">
        <f t="shared" si="20"/>
        <v>-5.2247426313971196E-3</v>
      </c>
      <c r="AW20" s="64">
        <f>COUNTIFS($H$4:$H$1260,"&lt;="&amp;AV20)-SUM($AW$4:AW19)</f>
        <v>85</v>
      </c>
      <c r="AX20" s="28">
        <f t="shared" si="21"/>
        <v>18.190948273721162</v>
      </c>
      <c r="AY20" s="46"/>
      <c r="AZ20" s="27">
        <f t="shared" si="10"/>
        <v>-5.2247426313971196E-3</v>
      </c>
      <c r="BA20" s="64">
        <f ca="1">COUNTIFS($AM$5:$AM$1261,"&lt;="&amp;AZ20)-SUM($BA$4:BA19)</f>
        <v>91</v>
      </c>
      <c r="BB20" s="28">
        <f t="shared" ca="1" si="22"/>
        <v>19.756726933653333</v>
      </c>
      <c r="BD20" s="27">
        <f t="shared" si="23"/>
        <v>-6.6385856440076448E-3</v>
      </c>
      <c r="BE20" s="64">
        <f>COUNTIFS($I$4:$I$1260,"&lt;="&amp;BD20)-SUM($BE$4:BE19)</f>
        <v>97</v>
      </c>
      <c r="BF20" s="28">
        <f t="shared" si="24"/>
        <v>16.80573019767105</v>
      </c>
      <c r="BG20" s="46"/>
      <c r="BH20" s="27">
        <f t="shared" si="11"/>
        <v>-6.6385856440076448E-3</v>
      </c>
      <c r="BI20" s="64">
        <f ca="1">COUNTIFS($AN$5:$AN$1261,"&lt;="&amp;BH20)-SUM($BI$4:BI19)</f>
        <v>80</v>
      </c>
      <c r="BJ20" s="28">
        <f t="shared" ca="1" si="25"/>
        <v>13.874247856551237</v>
      </c>
      <c r="BL20" s="27">
        <f t="shared" si="26"/>
        <v>-7.3860456723013022E-3</v>
      </c>
      <c r="BM20" s="64">
        <f>COUNTIFS($J$4:$J$1260,"&lt;="&amp;BL20)-SUM($BM$4:BM19)</f>
        <v>115</v>
      </c>
      <c r="BN20" s="28">
        <f t="shared" si="12"/>
        <v>17.553916495648711</v>
      </c>
      <c r="BO20" s="46"/>
      <c r="BP20" s="27">
        <f t="shared" si="13"/>
        <v>-7.3860456723013022E-3</v>
      </c>
      <c r="BQ20" s="64">
        <f ca="1">COUNTIFS($AO$5:$AO$1261,"&lt;="&amp;BP20)-SUM($BQ$4:BQ19)</f>
        <v>96</v>
      </c>
      <c r="BR20" s="28">
        <f t="shared" ca="1" si="14"/>
        <v>14.797720044473529</v>
      </c>
    </row>
    <row r="21" spans="1:70" x14ac:dyDescent="0.3">
      <c r="A21" s="5">
        <v>43494</v>
      </c>
      <c r="B21" s="6">
        <v>60.720001000000003</v>
      </c>
      <c r="C21" s="6">
        <v>116.150002</v>
      </c>
      <c r="D21" s="6">
        <v>81.139999000000003</v>
      </c>
      <c r="F21" s="13">
        <v>18</v>
      </c>
      <c r="G21" s="5">
        <v>43494</v>
      </c>
      <c r="H21" s="15">
        <f t="shared" si="5"/>
        <v>-9.8762147945370953E-4</v>
      </c>
      <c r="I21" s="15">
        <f t="shared" si="5"/>
        <v>9.1680802105408993E-3</v>
      </c>
      <c r="J21" s="15">
        <f t="shared" si="5"/>
        <v>1.3566013223978389E-3</v>
      </c>
      <c r="K21" s="22"/>
      <c r="L21" s="13">
        <v>18</v>
      </c>
      <c r="M21" s="5">
        <v>43494</v>
      </c>
      <c r="N21" s="26">
        <f t="shared" si="2"/>
        <v>1.0739299597819252</v>
      </c>
      <c r="O21" s="26">
        <f t="shared" si="3"/>
        <v>1.1015743531567839</v>
      </c>
      <c r="P21" s="26">
        <f t="shared" si="4"/>
        <v>1.0738486123305615</v>
      </c>
      <c r="Q21" s="22"/>
      <c r="S21" s="74" t="s">
        <v>18</v>
      </c>
      <c r="T21" s="75"/>
      <c r="U21" s="75"/>
      <c r="V21" s="76"/>
      <c r="X21" s="74" t="s">
        <v>18</v>
      </c>
      <c r="Y21" s="75"/>
      <c r="Z21" s="75"/>
      <c r="AA21" s="76"/>
      <c r="AD21" s="59">
        <v>17</v>
      </c>
      <c r="AE21" s="61">
        <f t="shared" ca="1" si="16"/>
        <v>0.75172177773034288</v>
      </c>
      <c r="AF21" s="61">
        <f t="shared" ca="1" si="16"/>
        <v>-8.1372919335899824E-2</v>
      </c>
      <c r="AG21" s="61">
        <f t="shared" ca="1" si="16"/>
        <v>1.6890686134681254</v>
      </c>
      <c r="AH21" s="19"/>
      <c r="AI21" s="61">
        <f ca="1"/>
        <v>1.6300549134265926E-2</v>
      </c>
      <c r="AJ21" s="61">
        <f ca="1"/>
        <v>9.9974800774567159E-3</v>
      </c>
      <c r="AK21" s="61">
        <f ca="1"/>
        <v>5.3807896221668261E-2</v>
      </c>
      <c r="AL21" s="19"/>
      <c r="AM21" s="61">
        <f t="shared" ca="1" si="28"/>
        <v>1.6651765456776171E-2</v>
      </c>
      <c r="AN21" s="61">
        <f t="shared" ca="1" si="29"/>
        <v>1.0246532674373247E-2</v>
      </c>
      <c r="AO21" s="61">
        <f t="shared" ca="1" si="30"/>
        <v>5.4239564824923078E-2</v>
      </c>
      <c r="AP21" s="19"/>
      <c r="AQ21" s="62">
        <f t="shared" ca="1" si="17"/>
        <v>0.96038487556848284</v>
      </c>
      <c r="AR21" s="62">
        <f t="shared" ca="1" si="18"/>
        <v>0.89102358098639911</v>
      </c>
      <c r="AS21" s="62">
        <f t="shared" ca="1" si="19"/>
        <v>0.90838224308823579</v>
      </c>
      <c r="AT21" s="49"/>
      <c r="AV21" s="27">
        <f t="shared" si="20"/>
        <v>-1.5074366621255428E-3</v>
      </c>
      <c r="AW21" s="64">
        <f>COUNTIFS($H$4:$H$1260,"&lt;="&amp;AV21)-SUM($AW$4:AW20)</f>
        <v>128</v>
      </c>
      <c r="AX21" s="28">
        <f t="shared" si="21"/>
        <v>27.393427988662456</v>
      </c>
      <c r="AY21" s="46"/>
      <c r="AZ21" s="27">
        <f t="shared" si="10"/>
        <v>-1.5074366621255428E-3</v>
      </c>
      <c r="BA21" s="64">
        <f ca="1">COUNTIFS($AM$5:$AM$1261,"&lt;="&amp;AZ21)-SUM($BA$4:BA20)</f>
        <v>90</v>
      </c>
      <c r="BB21" s="28">
        <f t="shared" ca="1" si="22"/>
        <v>19.539620044272528</v>
      </c>
      <c r="BD21" s="27">
        <f t="shared" si="23"/>
        <v>-2.0468268167248473E-3</v>
      </c>
      <c r="BE21" s="64">
        <f>COUNTIFS($I$4:$I$1260,"&lt;="&amp;BD21)-SUM($BE$4:BE20)</f>
        <v>125</v>
      </c>
      <c r="BF21" s="28">
        <f t="shared" si="24"/>
        <v>21.65686881143176</v>
      </c>
      <c r="BG21" s="46"/>
      <c r="BH21" s="27">
        <f t="shared" si="11"/>
        <v>-2.0468268167248473E-3</v>
      </c>
      <c r="BI21" s="64">
        <f ca="1">COUNTIFS($AN$5:$AN$1261,"&lt;="&amp;BH21)-SUM($BI$4:BI20)</f>
        <v>76</v>
      </c>
      <c r="BJ21" s="28">
        <f t="shared" ca="1" si="25"/>
        <v>13.180535463723675</v>
      </c>
      <c r="BL21" s="27">
        <f t="shared" si="26"/>
        <v>-2.1742361552639158E-3</v>
      </c>
      <c r="BM21" s="64">
        <f>COUNTIFS($J$4:$J$1260,"&lt;="&amp;BL21)-SUM($BM$4:BM20)</f>
        <v>117</v>
      </c>
      <c r="BN21" s="28">
        <f t="shared" si="12"/>
        <v>17.859201999920863</v>
      </c>
      <c r="BO21" s="46"/>
      <c r="BP21" s="27">
        <f t="shared" si="13"/>
        <v>-2.1742361552639158E-3</v>
      </c>
      <c r="BQ21" s="64">
        <f ca="1">COUNTIFS($AO$5:$AO$1261,"&lt;="&amp;BP21)-SUM($BQ$4:BQ20)</f>
        <v>87</v>
      </c>
      <c r="BR21" s="28">
        <f t="shared" ca="1" si="14"/>
        <v>13.410433790304134</v>
      </c>
    </row>
    <row r="22" spans="1:70" x14ac:dyDescent="0.3">
      <c r="A22" s="5">
        <v>43495</v>
      </c>
      <c r="B22" s="6">
        <v>65.190002000000007</v>
      </c>
      <c r="C22" s="6">
        <v>116.949997</v>
      </c>
      <c r="D22" s="6">
        <v>83.279999000000004</v>
      </c>
      <c r="F22" s="13">
        <v>19</v>
      </c>
      <c r="G22" s="5">
        <v>43495</v>
      </c>
      <c r="H22" s="15">
        <f t="shared" si="5"/>
        <v>7.103296405958702E-2</v>
      </c>
      <c r="I22" s="15">
        <f t="shared" si="5"/>
        <v>6.863990942668402E-3</v>
      </c>
      <c r="J22" s="15">
        <f t="shared" si="5"/>
        <v>2.6032366845105015E-2</v>
      </c>
      <c r="K22" s="22"/>
      <c r="L22" s="13">
        <v>19</v>
      </c>
      <c r="M22" s="5">
        <v>43495</v>
      </c>
      <c r="N22" s="26">
        <f t="shared" si="2"/>
        <v>1.1529890492927302</v>
      </c>
      <c r="O22" s="26">
        <f t="shared" si="3"/>
        <v>1.1091615590067989</v>
      </c>
      <c r="P22" s="26">
        <f t="shared" si="4"/>
        <v>1.1021704765000127</v>
      </c>
      <c r="Q22" s="22"/>
      <c r="S22" s="16"/>
      <c r="T22" s="1" t="s">
        <v>2</v>
      </c>
      <c r="U22" s="1" t="s">
        <v>3</v>
      </c>
      <c r="V22" s="1" t="s">
        <v>4</v>
      </c>
      <c r="X22" s="16" t="s">
        <v>9</v>
      </c>
      <c r="Y22" s="1" t="s">
        <v>2</v>
      </c>
      <c r="Z22" s="1" t="s">
        <v>3</v>
      </c>
      <c r="AA22" s="1" t="s">
        <v>4</v>
      </c>
      <c r="AD22" s="59">
        <v>18</v>
      </c>
      <c r="AE22" s="61">
        <f t="shared" ca="1" si="16"/>
        <v>-2.0150764559594365</v>
      </c>
      <c r="AF22" s="61">
        <f t="shared" ca="1" si="16"/>
        <v>-1.2414815206533212</v>
      </c>
      <c r="AG22" s="61">
        <f t="shared" ca="1" si="16"/>
        <v>1.2913869950061907</v>
      </c>
      <c r="AH22" s="19"/>
      <c r="AI22" s="61">
        <f ca="1"/>
        <v>-4.3695491806613654E-2</v>
      </c>
      <c r="AJ22" s="61">
        <f ca="1"/>
        <v>-5.8525521817325524E-2</v>
      </c>
      <c r="AK22" s="61">
        <f ca="1"/>
        <v>-5.4316629319786855E-3</v>
      </c>
      <c r="AL22" s="19"/>
      <c r="AM22" s="61">
        <f t="shared" ca="1" si="28"/>
        <v>-4.3344275484103412E-2</v>
      </c>
      <c r="AN22" s="61">
        <f t="shared" ca="1" si="29"/>
        <v>-5.8276469220408994E-2</v>
      </c>
      <c r="AO22" s="61">
        <f t="shared" ca="1" si="30"/>
        <v>-4.9999943287238674E-3</v>
      </c>
      <c r="AP22" s="19"/>
      <c r="AQ22" s="62">
        <f t="shared" ca="1" si="17"/>
        <v>0.91964694475093733</v>
      </c>
      <c r="AR22" s="62">
        <f t="shared" ca="1" si="18"/>
        <v>0.84058192820438571</v>
      </c>
      <c r="AS22" s="62">
        <f t="shared" ca="1" si="19"/>
        <v>0.90385167287582768</v>
      </c>
      <c r="AT22" s="49"/>
      <c r="AV22" s="27">
        <f t="shared" si="20"/>
        <v>2.209869307146034E-3</v>
      </c>
      <c r="AW22" s="64">
        <f>COUNTIFS($H$4:$H$1260,"&lt;="&amp;AV22)-SUM($AW$4:AW21)</f>
        <v>130</v>
      </c>
      <c r="AX22" s="28">
        <f t="shared" si="21"/>
        <v>27.821450300985305</v>
      </c>
      <c r="AY22" s="46"/>
      <c r="AZ22" s="27">
        <f t="shared" si="10"/>
        <v>2.209869307146034E-3</v>
      </c>
      <c r="BA22" s="64">
        <f ca="1">COUNTIFS($AM$5:$AM$1261,"&lt;="&amp;AZ22)-SUM($BA$4:BA21)</f>
        <v>77</v>
      </c>
      <c r="BB22" s="28">
        <f t="shared" ca="1" si="22"/>
        <v>16.717230482322051</v>
      </c>
      <c r="BD22" s="27">
        <f t="shared" si="23"/>
        <v>2.5449320105579501E-3</v>
      </c>
      <c r="BE22" s="64">
        <f>COUNTIFS($I$4:$I$1260,"&lt;="&amp;BD22)-SUM($BE$4:BE21)</f>
        <v>111</v>
      </c>
      <c r="BF22" s="28">
        <f t="shared" si="24"/>
        <v>19.231299504551405</v>
      </c>
      <c r="BG22" s="46"/>
      <c r="BH22" s="27">
        <f t="shared" si="11"/>
        <v>2.5449320105579501E-3</v>
      </c>
      <c r="BI22" s="64">
        <f ca="1">COUNTIFS($AN$5:$AN$1261,"&lt;="&amp;BH22)-SUM($BI$4:BI21)</f>
        <v>69</v>
      </c>
      <c r="BJ22" s="28">
        <f t="shared" ca="1" si="25"/>
        <v>11.966538776275442</v>
      </c>
      <c r="BL22" s="27">
        <f t="shared" si="26"/>
        <v>3.0375733617734706E-3</v>
      </c>
      <c r="BM22" s="64">
        <f>COUNTIFS($J$4:$J$1260,"&lt;="&amp;BL22)-SUM($BM$4:BM21)</f>
        <v>132</v>
      </c>
      <c r="BN22" s="28">
        <f t="shared" si="12"/>
        <v>20.148843281961998</v>
      </c>
      <c r="BO22" s="46"/>
      <c r="BP22" s="27">
        <f t="shared" si="13"/>
        <v>3.0375733617734706E-3</v>
      </c>
      <c r="BQ22" s="64">
        <f ca="1">COUNTIFS($AO$5:$AO$1261,"&lt;="&amp;BP22)-SUM($BQ$4:BQ21)</f>
        <v>94</v>
      </c>
      <c r="BR22" s="28">
        <f t="shared" ca="1" si="14"/>
        <v>14.489434210213663</v>
      </c>
    </row>
    <row r="23" spans="1:70" x14ac:dyDescent="0.3">
      <c r="A23" s="5">
        <v>43496</v>
      </c>
      <c r="B23" s="6">
        <v>64.430000000000007</v>
      </c>
      <c r="C23" s="6">
        <v>116.139999</v>
      </c>
      <c r="D23" s="6">
        <v>87.82</v>
      </c>
      <c r="F23" s="13">
        <v>20</v>
      </c>
      <c r="G23" s="5">
        <v>43496</v>
      </c>
      <c r="H23" s="15">
        <f t="shared" si="5"/>
        <v>-1.1726750465448554E-2</v>
      </c>
      <c r="I23" s="15">
        <f t="shared" si="5"/>
        <v>-6.9501160445937602E-3</v>
      </c>
      <c r="J23" s="15">
        <f t="shared" si="5"/>
        <v>5.3080852834542891E-2</v>
      </c>
      <c r="K23" s="22"/>
      <c r="L23" s="13">
        <v>20</v>
      </c>
      <c r="M23" s="5">
        <v>43496</v>
      </c>
      <c r="N23" s="26">
        <f t="shared" si="2"/>
        <v>1.1395472030501028</v>
      </c>
      <c r="O23" s="26">
        <f t="shared" si="3"/>
        <v>1.1014794840387048</v>
      </c>
      <c r="P23" s="26">
        <f t="shared" si="4"/>
        <v>1.1622551922248596</v>
      </c>
      <c r="Q23" s="22"/>
      <c r="S23" s="7" t="s">
        <v>7</v>
      </c>
      <c r="T23" s="17">
        <f ca="1">AVERAGE(AM5:AM1261)</f>
        <v>-8.8168923777204213E-5</v>
      </c>
      <c r="U23" s="17">
        <f ca="1">AVERAGE(AN5:AN1261)</f>
        <v>1.3815961958938108E-4</v>
      </c>
      <c r="V23" s="17">
        <f ca="1">AVERAGE(AO5:AO1261)</f>
        <v>-7.9892852269748639E-4</v>
      </c>
      <c r="X23" s="7" t="s">
        <v>2</v>
      </c>
      <c r="Y23" s="17" cm="1">
        <f t="array" aca="1" ref="Y23:AA25" ca="1">1/(T25-1)*(MMULT(TRANSPOSE(AM5:AO1261),AM5:AO1261)-T25*MMULT(TRANSPOSE(T23:V23),T23:V23))</f>
        <v>4.5689438683083159E-4</v>
      </c>
      <c r="Z23" s="17">
        <f ca="1"/>
        <v>3.4406527927746395E-4</v>
      </c>
      <c r="AA23" s="17">
        <f ca="1"/>
        <v>3.0941975369406084E-4</v>
      </c>
      <c r="AD23" s="59">
        <v>19</v>
      </c>
      <c r="AE23" s="61">
        <f t="shared" ca="1" si="16"/>
        <v>-1.2997154537834865</v>
      </c>
      <c r="AF23" s="61">
        <f t="shared" ca="1" si="16"/>
        <v>9.0967117261504127E-3</v>
      </c>
      <c r="AG23" s="61">
        <f t="shared" ca="1" si="16"/>
        <v>1.596835117261622</v>
      </c>
      <c r="AH23" s="19"/>
      <c r="AI23" s="61">
        <f ca="1"/>
        <v>-2.8183400085772574E-2</v>
      </c>
      <c r="AJ23" s="61">
        <f ca="1"/>
        <v>-2.0145859193479373E-2</v>
      </c>
      <c r="AK23" s="61">
        <f ca="1"/>
        <v>2.1770901713740153E-2</v>
      </c>
      <c r="AL23" s="19"/>
      <c r="AM23" s="61">
        <f t="shared" ca="1" si="28"/>
        <v>-2.7832183763262328E-2</v>
      </c>
      <c r="AN23" s="61">
        <f t="shared" ca="1" si="29"/>
        <v>-1.9896806596562844E-2</v>
      </c>
      <c r="AO23" s="61">
        <f t="shared" ca="1" si="30"/>
        <v>2.220257031699497E-2</v>
      </c>
      <c r="AP23" s="19"/>
      <c r="AQ23" s="62">
        <f t="shared" ca="1" si="17"/>
        <v>0.89440407357234164</v>
      </c>
      <c r="AR23" s="62">
        <f t="shared" ca="1" si="18"/>
        <v>0.82402232011198784</v>
      </c>
      <c r="AS23" s="62">
        <f t="shared" ca="1" si="19"/>
        <v>0.92414393985164744</v>
      </c>
      <c r="AT23" s="49"/>
      <c r="AV23" s="27">
        <f t="shared" si="20"/>
        <v>5.9271752764176108E-3</v>
      </c>
      <c r="AW23" s="64">
        <f>COUNTIFS($H$4:$H$1260,"&lt;="&amp;AV23)-SUM($AW$4:AW22)</f>
        <v>107</v>
      </c>
      <c r="AX23" s="28">
        <f t="shared" si="21"/>
        <v>22.899193709272524</v>
      </c>
      <c r="AY23" s="46"/>
      <c r="AZ23" s="27">
        <f t="shared" si="10"/>
        <v>5.9271752764176108E-3</v>
      </c>
      <c r="BA23" s="64">
        <f ca="1">COUNTIFS($AM$5:$AM$1261,"&lt;="&amp;AZ23)-SUM($BA$4:BA22)</f>
        <v>79</v>
      </c>
      <c r="BB23" s="28">
        <f t="shared" ca="1" si="22"/>
        <v>17.151444261083665</v>
      </c>
      <c r="BD23" s="27">
        <f t="shared" si="23"/>
        <v>7.1366908378407475E-3</v>
      </c>
      <c r="BE23" s="64">
        <f>COUNTIFS($I$4:$I$1260,"&lt;="&amp;BD23)-SUM($BE$4:BE22)</f>
        <v>114</v>
      </c>
      <c r="BF23" s="28">
        <f t="shared" si="24"/>
        <v>19.751064356025765</v>
      </c>
      <c r="BG23" s="46"/>
      <c r="BH23" s="27">
        <f t="shared" si="11"/>
        <v>7.1366908378407475E-3</v>
      </c>
      <c r="BI23" s="64">
        <f ca="1">COUNTIFS($AN$5:$AN$1261,"&lt;="&amp;BH23)-SUM($BI$4:BI22)</f>
        <v>90</v>
      </c>
      <c r="BJ23" s="28">
        <f t="shared" ca="1" si="25"/>
        <v>15.608528838620142</v>
      </c>
      <c r="BL23" s="27">
        <f t="shared" si="26"/>
        <v>8.249382878810857E-3</v>
      </c>
      <c r="BM23" s="64">
        <f>COUNTIFS($J$4:$J$1260,"&lt;="&amp;BL23)-SUM($BM$4:BM22)</f>
        <v>116</v>
      </c>
      <c r="BN23" s="28">
        <f t="shared" si="12"/>
        <v>17.706559247784785</v>
      </c>
      <c r="BO23" s="46"/>
      <c r="BP23" s="27">
        <f t="shared" si="13"/>
        <v>8.249382878810857E-3</v>
      </c>
      <c r="BQ23" s="64">
        <f ca="1">COUNTIFS($AO$5:$AO$1261,"&lt;="&amp;BP23)-SUM($BQ$4:BQ22)</f>
        <v>76</v>
      </c>
      <c r="BR23" s="28">
        <f t="shared" ca="1" si="14"/>
        <v>11.714861701874877</v>
      </c>
    </row>
    <row r="24" spans="1:70" x14ac:dyDescent="0.3">
      <c r="A24" s="5">
        <v>43497</v>
      </c>
      <c r="B24" s="6">
        <v>63.5</v>
      </c>
      <c r="C24" s="6">
        <v>115.779999</v>
      </c>
      <c r="D24" s="6">
        <v>85.260002</v>
      </c>
      <c r="F24" s="13">
        <v>21</v>
      </c>
      <c r="G24" s="5">
        <v>43497</v>
      </c>
      <c r="H24" s="15">
        <f t="shared" si="5"/>
        <v>-1.4539457251905218E-2</v>
      </c>
      <c r="I24" s="15">
        <f t="shared" si="5"/>
        <v>-3.1045213198176739E-3</v>
      </c>
      <c r="J24" s="15">
        <f t="shared" si="5"/>
        <v>-2.9583830338848417E-2</v>
      </c>
      <c r="K24" s="22"/>
      <c r="L24" s="13">
        <v>21</v>
      </c>
      <c r="M24" s="5">
        <v>43497</v>
      </c>
      <c r="N24" s="26">
        <f t="shared" si="2"/>
        <v>1.1230986713282867</v>
      </c>
      <c r="O24" s="26">
        <f t="shared" si="3"/>
        <v>1.0980652200670482</v>
      </c>
      <c r="P24" s="26">
        <f t="shared" si="4"/>
        <v>1.1283748578182864</v>
      </c>
      <c r="Q24" s="22"/>
      <c r="S24" s="7" t="s">
        <v>8</v>
      </c>
      <c r="T24" s="17">
        <f ca="1">_xlfn.STDEV.S(AM5:AM1261)</f>
        <v>2.1375087995861713E-2</v>
      </c>
      <c r="U24" s="17">
        <f ca="1">_xlfn.STDEV.S(AN5:AN1261)</f>
        <v>2.675851786996164E-2</v>
      </c>
      <c r="V24" s="17">
        <f ca="1">_xlfn.STDEV.S(AO5:AO1261)</f>
        <v>3.0106338659146734E-2</v>
      </c>
      <c r="X24" s="7" t="s">
        <v>3</v>
      </c>
      <c r="Y24" s="17">
        <f ca="1"/>
        <v>3.4406527927746395E-4</v>
      </c>
      <c r="Z24" s="17">
        <f ca="1"/>
        <v>7.1601827859705657E-4</v>
      </c>
      <c r="AA24" s="17">
        <f ca="1"/>
        <v>3.6628748607713197E-4</v>
      </c>
      <c r="AD24" s="59">
        <v>20</v>
      </c>
      <c r="AE24" s="61">
        <f t="shared" ca="1" si="16"/>
        <v>-0.31292324322121218</v>
      </c>
      <c r="AF24" s="61">
        <f t="shared" ca="1" si="16"/>
        <v>-0.14335784961690667</v>
      </c>
      <c r="AG24" s="61">
        <f t="shared" ca="1" si="16"/>
        <v>0.24815320621428269</v>
      </c>
      <c r="AH24" s="19"/>
      <c r="AI24" s="61">
        <f ca="1"/>
        <v>-6.7855167330418608E-3</v>
      </c>
      <c r="AJ24" s="61">
        <f ca="1"/>
        <v>-8.0140090893979377E-3</v>
      </c>
      <c r="AK24" s="61">
        <f ca="1"/>
        <v>7.2447019276128746E-4</v>
      </c>
      <c r="AL24" s="19"/>
      <c r="AM24" s="61">
        <f t="shared" ca="1" si="28"/>
        <v>-6.4343004105316169E-3</v>
      </c>
      <c r="AN24" s="61">
        <f t="shared" ca="1" si="29"/>
        <v>-7.7649564924814072E-3</v>
      </c>
      <c r="AO24" s="61">
        <f t="shared" ca="1" si="30"/>
        <v>1.1561387960161056E-3</v>
      </c>
      <c r="AP24" s="19"/>
      <c r="AQ24" s="62">
        <f t="shared" ca="1" si="17"/>
        <v>0.88866768369308891</v>
      </c>
      <c r="AR24" s="62">
        <f t="shared" ca="1" si="18"/>
        <v>0.81764860050023869</v>
      </c>
      <c r="AS24" s="62">
        <f t="shared" ca="1" si="19"/>
        <v>0.9252129963833986</v>
      </c>
      <c r="AT24" s="49"/>
      <c r="AV24" s="27">
        <f t="shared" si="20"/>
        <v>9.6444812456891876E-3</v>
      </c>
      <c r="AW24" s="64">
        <f>COUNTIFS($H$4:$H$1260,"&lt;="&amp;AV24)-SUM($AW$4:AW23)</f>
        <v>91</v>
      </c>
      <c r="AX24" s="28">
        <f t="shared" si="21"/>
        <v>19.475015210689715</v>
      </c>
      <c r="AY24" s="46"/>
      <c r="AZ24" s="27">
        <f t="shared" si="10"/>
        <v>9.6444812456891876E-3</v>
      </c>
      <c r="BA24" s="64">
        <f ca="1">COUNTIFS($AM$5:$AM$1261,"&lt;="&amp;AZ24)-SUM($BA$4:BA23)</f>
        <v>90</v>
      </c>
      <c r="BB24" s="28">
        <f t="shared" ca="1" si="22"/>
        <v>19.539620044272528</v>
      </c>
      <c r="BD24" s="27">
        <f t="shared" si="23"/>
        <v>1.1728449665123545E-2</v>
      </c>
      <c r="BE24" s="64">
        <f>COUNTIFS($I$4:$I$1260,"&lt;="&amp;BD24)-SUM($BE$4:BE23)</f>
        <v>97</v>
      </c>
      <c r="BF24" s="28">
        <f t="shared" si="24"/>
        <v>16.80573019767105</v>
      </c>
      <c r="BG24" s="46"/>
      <c r="BH24" s="27">
        <f t="shared" si="11"/>
        <v>1.1728449665123545E-2</v>
      </c>
      <c r="BI24" s="64">
        <f ca="1">COUNTIFS($AN$5:$AN$1261,"&lt;="&amp;BH24)-SUM($BI$4:BI23)</f>
        <v>85</v>
      </c>
      <c r="BJ24" s="28">
        <f t="shared" ca="1" si="25"/>
        <v>14.741388347585691</v>
      </c>
      <c r="BL24" s="27">
        <f t="shared" si="26"/>
        <v>1.3461192395848243E-2</v>
      </c>
      <c r="BM24" s="64">
        <f>COUNTIFS($J$4:$J$1260,"&lt;="&amp;BL24)-SUM($BM$4:BM23)</f>
        <v>105</v>
      </c>
      <c r="BN24" s="28">
        <f t="shared" si="12"/>
        <v>16.027488974287952</v>
      </c>
      <c r="BO24" s="46"/>
      <c r="BP24" s="27">
        <f t="shared" si="13"/>
        <v>1.3461192395848243E-2</v>
      </c>
      <c r="BQ24" s="64">
        <f ca="1">COUNTIFS($AO$5:$AO$1261,"&lt;="&amp;BP24)-SUM($BQ$4:BQ23)</f>
        <v>88</v>
      </c>
      <c r="BR24" s="28">
        <f t="shared" ca="1" si="14"/>
        <v>13.564576707434068</v>
      </c>
    </row>
    <row r="25" spans="1:70" x14ac:dyDescent="0.3">
      <c r="A25" s="5">
        <v>43500</v>
      </c>
      <c r="B25" s="6">
        <v>64.230002999999996</v>
      </c>
      <c r="C25" s="6">
        <v>114.550003</v>
      </c>
      <c r="D25" s="6">
        <v>84.790001000000004</v>
      </c>
      <c r="F25" s="13">
        <v>22</v>
      </c>
      <c r="G25" s="5">
        <v>43500</v>
      </c>
      <c r="H25" s="15">
        <f t="shared" si="5"/>
        <v>1.1430532078200113E-2</v>
      </c>
      <c r="I25" s="15">
        <f t="shared" si="5"/>
        <v>-1.0680394924847065E-2</v>
      </c>
      <c r="J25" s="15">
        <f t="shared" si="5"/>
        <v>-5.527811684967663E-3</v>
      </c>
      <c r="K25" s="22"/>
      <c r="L25" s="13">
        <v>22</v>
      </c>
      <c r="M25" s="5">
        <v>43500</v>
      </c>
      <c r="N25" s="26">
        <f t="shared" si="2"/>
        <v>1.1360099374600294</v>
      </c>
      <c r="O25" s="26">
        <f t="shared" si="3"/>
        <v>1.0863998561001544</v>
      </c>
      <c r="P25" s="26">
        <f t="shared" si="4"/>
        <v>1.1221546220792649</v>
      </c>
      <c r="Q25" s="22"/>
      <c r="S25" s="7" t="s">
        <v>27</v>
      </c>
      <c r="T25" s="69">
        <f ca="1">COUNT(AM5:AM1261)</f>
        <v>1257</v>
      </c>
      <c r="U25" s="69">
        <f t="shared" ref="U25:V25" ca="1" si="32">COUNT(AN5:AN1261)</f>
        <v>1257</v>
      </c>
      <c r="V25" s="59">
        <f t="shared" ca="1" si="32"/>
        <v>1257</v>
      </c>
      <c r="X25" s="7" t="s">
        <v>4</v>
      </c>
      <c r="Y25" s="17">
        <f ca="1"/>
        <v>3.0941975369406084E-4</v>
      </c>
      <c r="Z25" s="17">
        <f ca="1"/>
        <v>3.6628748607713197E-4</v>
      </c>
      <c r="AA25" s="17">
        <f ca="1"/>
        <v>9.0639162745923321E-4</v>
      </c>
      <c r="AD25" s="59">
        <v>21</v>
      </c>
      <c r="AE25" s="61">
        <f t="shared" ca="1" si="16"/>
        <v>-0.57647392650829821</v>
      </c>
      <c r="AF25" s="61">
        <f t="shared" ca="1" si="16"/>
        <v>2.1459098273289419</v>
      </c>
      <c r="AG25" s="61">
        <f t="shared" ca="1" si="16"/>
        <v>9.4660319919156771E-2</v>
      </c>
      <c r="AH25" s="19"/>
      <c r="AI25" s="61">
        <f ca="1"/>
        <v>-1.2500424814142538E-2</v>
      </c>
      <c r="AJ25" s="61">
        <f ca="1"/>
        <v>3.7620369102511708E-2</v>
      </c>
      <c r="AK25" s="61">
        <f ca="1"/>
        <v>9.0199616803695003E-3</v>
      </c>
      <c r="AL25" s="19"/>
      <c r="AM25" s="61">
        <f t="shared" ca="1" si="28"/>
        <v>-1.2149208491632294E-2</v>
      </c>
      <c r="AN25" s="61">
        <f t="shared" ca="1" si="29"/>
        <v>3.7869421699428238E-2</v>
      </c>
      <c r="AO25" s="61">
        <f t="shared" ca="1" si="30"/>
        <v>9.4516302836243193E-3</v>
      </c>
      <c r="AP25" s="19"/>
      <c r="AQ25" s="62">
        <f t="shared" ca="1" si="17"/>
        <v>0.87793639505310828</v>
      </c>
      <c r="AR25" s="62">
        <f t="shared" ca="1" si="18"/>
        <v>0.84920624371076003</v>
      </c>
      <c r="AS25" s="62">
        <f t="shared" ca="1" si="19"/>
        <v>0.93399922423898363</v>
      </c>
      <c r="AT25" s="49"/>
      <c r="AV25" s="27">
        <f t="shared" si="20"/>
        <v>1.3361787214960764E-2</v>
      </c>
      <c r="AW25" s="64">
        <f>COUNTIFS($H$4:$H$1260,"&lt;="&amp;AV25)-SUM($AW$4:AW24)</f>
        <v>84</v>
      </c>
      <c r="AX25" s="28">
        <f t="shared" si="21"/>
        <v>17.976937117559736</v>
      </c>
      <c r="AY25" s="46"/>
      <c r="AZ25" s="27">
        <f t="shared" si="10"/>
        <v>1.3361787214960764E-2</v>
      </c>
      <c r="BA25" s="64">
        <f ca="1">COUNTIFS($AM$5:$AM$1261,"&lt;="&amp;AZ25)-SUM($BA$4:BA24)</f>
        <v>76</v>
      </c>
      <c r="BB25" s="28">
        <f t="shared" ca="1" si="22"/>
        <v>16.500123592941247</v>
      </c>
      <c r="BD25" s="27">
        <f t="shared" si="23"/>
        <v>1.6320208492406341E-2</v>
      </c>
      <c r="BE25" s="64">
        <f>COUNTIFS($I$4:$I$1260,"&lt;="&amp;BD25)-SUM($BE$4:BE24)</f>
        <v>73</v>
      </c>
      <c r="BF25" s="28">
        <f t="shared" si="24"/>
        <v>12.647611385876148</v>
      </c>
      <c r="BG25" s="46"/>
      <c r="BH25" s="27">
        <f t="shared" si="11"/>
        <v>1.6320208492406341E-2</v>
      </c>
      <c r="BI25" s="64">
        <f ca="1">COUNTIFS($AN$5:$AN$1261,"&lt;="&amp;BH25)-SUM($BI$4:BI24)</f>
        <v>73</v>
      </c>
      <c r="BJ25" s="28">
        <f t="shared" ca="1" si="25"/>
        <v>12.660251169103004</v>
      </c>
      <c r="BL25" s="27">
        <f t="shared" si="26"/>
        <v>1.867300191288563E-2</v>
      </c>
      <c r="BM25" s="64">
        <f>COUNTIFS($J$4:$J$1260,"&lt;="&amp;BL25)-SUM($BM$4:BM24)</f>
        <v>70</v>
      </c>
      <c r="BN25" s="28">
        <f t="shared" si="12"/>
        <v>10.6849926495253</v>
      </c>
      <c r="BO25" s="46"/>
      <c r="BP25" s="27">
        <f t="shared" si="13"/>
        <v>1.867300191288563E-2</v>
      </c>
      <c r="BQ25" s="64">
        <f ca="1">COUNTIFS($AO$5:$AO$1261,"&lt;="&amp;BP25)-SUM($BQ$4:BQ24)</f>
        <v>73</v>
      </c>
      <c r="BR25" s="28">
        <f t="shared" ca="1" si="14"/>
        <v>11.252432950485078</v>
      </c>
    </row>
    <row r="26" spans="1:70" x14ac:dyDescent="0.3">
      <c r="A26" s="5">
        <v>43501</v>
      </c>
      <c r="B26" s="6">
        <v>63.610000999999997</v>
      </c>
      <c r="C26" s="6">
        <v>124.160004</v>
      </c>
      <c r="D26" s="6">
        <v>85.959998999999996</v>
      </c>
      <c r="F26" s="13">
        <v>23</v>
      </c>
      <c r="G26" s="5">
        <v>43501</v>
      </c>
      <c r="H26" s="15">
        <f t="shared" si="5"/>
        <v>-9.6997315653348376E-3</v>
      </c>
      <c r="I26" s="15">
        <f t="shared" si="5"/>
        <v>8.0559653562461864E-2</v>
      </c>
      <c r="J26" s="15">
        <f t="shared" si="5"/>
        <v>1.3704437031236576E-2</v>
      </c>
      <c r="K26" s="22"/>
      <c r="L26" s="13">
        <v>23</v>
      </c>
      <c r="M26" s="5">
        <v>43501</v>
      </c>
      <c r="N26" s="26">
        <f t="shared" si="2"/>
        <v>1.1250442142722989</v>
      </c>
      <c r="O26" s="26">
        <f t="shared" si="3"/>
        <v>1.1775417454942765</v>
      </c>
      <c r="P26" s="26">
        <f t="shared" si="4"/>
        <v>1.1376389792916617</v>
      </c>
      <c r="Q26" s="22"/>
      <c r="S26" s="7" t="s">
        <v>25</v>
      </c>
      <c r="T26" s="68">
        <f ca="1">6*T24/(T6-2)</f>
        <v>3.6643007992905796E-3</v>
      </c>
      <c r="U26" s="68">
        <f t="shared" ref="U26:V26" ca="1" si="33">6*U24/(U6-2)</f>
        <v>4.5871744919934237E-3</v>
      </c>
      <c r="V26" s="68">
        <f t="shared" ca="1" si="33"/>
        <v>5.1610866272822969E-3</v>
      </c>
      <c r="AB26" s="18"/>
      <c r="AD26" s="59">
        <v>22</v>
      </c>
      <c r="AE26" s="61">
        <f t="shared" ca="1" si="16"/>
        <v>-0.16179338963828754</v>
      </c>
      <c r="AF26" s="61">
        <f t="shared" ca="1" si="16"/>
        <v>-0.52112220804069631</v>
      </c>
      <c r="AG26" s="61">
        <f t="shared" ca="1" si="16"/>
        <v>2.0984250163665052</v>
      </c>
      <c r="AH26" s="19"/>
      <c r="AI26" s="61">
        <f ca="1"/>
        <v>-3.5083739430313483E-3</v>
      </c>
      <c r="AJ26" s="61">
        <f ca="1"/>
        <v>-1.3859566299605924E-2</v>
      </c>
      <c r="AK26" s="61">
        <f ca="1"/>
        <v>4.7700986385431021E-2</v>
      </c>
      <c r="AL26" s="19"/>
      <c r="AM26" s="61">
        <f t="shared" ca="1" si="28"/>
        <v>-3.157157620521104E-3</v>
      </c>
      <c r="AN26" s="61">
        <f t="shared" ca="1" si="29"/>
        <v>-1.3610513702689392E-2</v>
      </c>
      <c r="AO26" s="61">
        <f t="shared" ca="1" si="30"/>
        <v>4.8132654988685838E-2</v>
      </c>
      <c r="AP26" s="19"/>
      <c r="AQ26" s="62">
        <f t="shared" ca="1" si="17"/>
        <v>0.87516898235089957</v>
      </c>
      <c r="AR26" s="62">
        <f t="shared" ca="1" si="18"/>
        <v>0.83772641092069677</v>
      </c>
      <c r="AS26" s="62">
        <f t="shared" ca="1" si="19"/>
        <v>0.98005457867360857</v>
      </c>
      <c r="AT26" s="49"/>
      <c r="AV26" s="27">
        <f t="shared" si="20"/>
        <v>1.7079093184232341E-2</v>
      </c>
      <c r="AW26" s="64">
        <f>COUNTIFS($H$4:$H$1260,"&lt;="&amp;AV26)-SUM($AW$4:AW25)</f>
        <v>71</v>
      </c>
      <c r="AX26" s="28">
        <f t="shared" si="21"/>
        <v>15.194792087461206</v>
      </c>
      <c r="AY26" s="46"/>
      <c r="AZ26" s="27">
        <f t="shared" si="10"/>
        <v>1.7079093184232341E-2</v>
      </c>
      <c r="BA26" s="64">
        <f ca="1">COUNTIFS($AM$5:$AM$1261,"&lt;="&amp;AZ26)-SUM($BA$4:BA25)</f>
        <v>76</v>
      </c>
      <c r="BB26" s="28">
        <f t="shared" ca="1" si="22"/>
        <v>16.500123592941247</v>
      </c>
      <c r="BD26" s="27">
        <f t="shared" si="23"/>
        <v>2.091196731968914E-2</v>
      </c>
      <c r="BE26" s="64">
        <f>COUNTIFS($I$4:$I$1260,"&lt;="&amp;BD26)-SUM($BE$4:BE25)</f>
        <v>68</v>
      </c>
      <c r="BF26" s="28">
        <f t="shared" si="24"/>
        <v>11.781336633418878</v>
      </c>
      <c r="BG26" s="46"/>
      <c r="BH26" s="27">
        <f t="shared" si="11"/>
        <v>2.091196731968914E-2</v>
      </c>
      <c r="BI26" s="64">
        <f ca="1">COUNTIFS($AN$5:$AN$1261,"&lt;="&amp;BH26)-SUM($BI$4:BI25)</f>
        <v>76</v>
      </c>
      <c r="BJ26" s="28">
        <f t="shared" ca="1" si="25"/>
        <v>13.180535463723675</v>
      </c>
      <c r="BL26" s="27">
        <f t="shared" si="26"/>
        <v>2.3884811429923016E-2</v>
      </c>
      <c r="BM26" s="64">
        <f>COUNTIFS($J$4:$J$1260,"&lt;="&amp;BL26)-SUM($BM$4:BM25)</f>
        <v>79</v>
      </c>
      <c r="BN26" s="28">
        <f t="shared" si="12"/>
        <v>12.058777418749983</v>
      </c>
      <c r="BO26" s="46"/>
      <c r="BP26" s="27">
        <f t="shared" si="13"/>
        <v>2.3884811429923016E-2</v>
      </c>
      <c r="BQ26" s="64">
        <f ca="1">COUNTIFS($AO$5:$AO$1261,"&lt;="&amp;BP26)-SUM($BQ$4:BQ25)</f>
        <v>55</v>
      </c>
      <c r="BR26" s="28">
        <f t="shared" ca="1" si="14"/>
        <v>8.4778604421462926</v>
      </c>
    </row>
    <row r="27" spans="1:70" x14ac:dyDescent="0.3">
      <c r="A27" s="5">
        <v>43502</v>
      </c>
      <c r="B27" s="6">
        <v>63.66</v>
      </c>
      <c r="C27" s="6">
        <v>126.08000199999999</v>
      </c>
      <c r="D27" s="6">
        <v>85.919998000000007</v>
      </c>
      <c r="F27" s="13">
        <v>24</v>
      </c>
      <c r="G27" s="5">
        <v>43502</v>
      </c>
      <c r="H27" s="15">
        <f t="shared" si="5"/>
        <v>7.8571544243539809E-4</v>
      </c>
      <c r="I27" s="15">
        <f t="shared" si="5"/>
        <v>1.5345553321109918E-2</v>
      </c>
      <c r="J27" s="15">
        <f t="shared" si="5"/>
        <v>-4.6545265790484089E-4</v>
      </c>
      <c r="K27" s="22"/>
      <c r="L27" s="13">
        <v>24</v>
      </c>
      <c r="M27" s="5">
        <v>43502</v>
      </c>
      <c r="N27" s="26">
        <f t="shared" si="2"/>
        <v>1.1259285262481691</v>
      </c>
      <c r="O27" s="26">
        <f t="shared" si="3"/>
        <v>1.1957511343749783</v>
      </c>
      <c r="P27" s="26">
        <f t="shared" si="4"/>
        <v>1.1371095854184645</v>
      </c>
      <c r="Q27" s="22"/>
      <c r="T27" s="18"/>
      <c r="U27" s="18"/>
      <c r="V27" s="18"/>
      <c r="Y27" s="18">
        <v>0</v>
      </c>
      <c r="Z27" s="18">
        <v>1</v>
      </c>
      <c r="AA27" s="18">
        <v>2</v>
      </c>
      <c r="AB27" s="18">
        <v>0</v>
      </c>
      <c r="AD27" s="59">
        <v>23</v>
      </c>
      <c r="AE27" s="61">
        <f t="shared" ca="1" si="16"/>
        <v>-0.5072186182599252</v>
      </c>
      <c r="AF27" s="61">
        <f t="shared" ca="1" si="16"/>
        <v>-0.38126157433242031</v>
      </c>
      <c r="AG27" s="61">
        <f t="shared" ca="1" si="16"/>
        <v>0.82223511927037596</v>
      </c>
      <c r="AH27" s="19"/>
      <c r="AI27" s="61">
        <f ca="1"/>
        <v>-1.0998672984735922E-2</v>
      </c>
      <c r="AJ27" s="61">
        <f ca="1"/>
        <v>-1.6226265505827651E-2</v>
      </c>
      <c r="AK27" s="61">
        <f ca="1"/>
        <v>1.0886175146495626E-2</v>
      </c>
      <c r="AL27" s="19"/>
      <c r="AM27" s="61">
        <f t="shared" ca="1" si="28"/>
        <v>-1.0647456662225678E-2</v>
      </c>
      <c r="AN27" s="61">
        <f t="shared" ca="1" si="29"/>
        <v>-1.5977212908911121E-2</v>
      </c>
      <c r="AO27" s="61">
        <f t="shared" ca="1" si="30"/>
        <v>1.1317843749750445E-2</v>
      </c>
      <c r="AP27" s="19"/>
      <c r="AQ27" s="62">
        <f t="shared" ca="1" si="17"/>
        <v>0.86590009116419953</v>
      </c>
      <c r="AR27" s="62">
        <f t="shared" ca="1" si="18"/>
        <v>0.82444823428188418</v>
      </c>
      <c r="AS27" s="62">
        <f t="shared" ca="1" si="19"/>
        <v>0.99120969009067994</v>
      </c>
      <c r="AT27" s="49"/>
      <c r="AV27" s="27">
        <f t="shared" si="20"/>
        <v>2.0796399153503918E-2</v>
      </c>
      <c r="AW27" s="64">
        <f>COUNTIFS($H$4:$H$1260,"&lt;="&amp;AV27)-SUM($AW$4:AW26)</f>
        <v>67</v>
      </c>
      <c r="AX27" s="28">
        <f t="shared" si="21"/>
        <v>14.338747462815505</v>
      </c>
      <c r="AY27" s="46"/>
      <c r="AZ27" s="27">
        <f t="shared" si="10"/>
        <v>2.0796399153503918E-2</v>
      </c>
      <c r="BA27" s="64">
        <f ca="1">COUNTIFS($AM$5:$AM$1261,"&lt;="&amp;AZ27)-SUM($BA$4:BA26)</f>
        <v>52</v>
      </c>
      <c r="BB27" s="28">
        <f t="shared" ca="1" si="22"/>
        <v>11.289558247801905</v>
      </c>
      <c r="BD27" s="27">
        <f t="shared" si="23"/>
        <v>2.5503726146971939E-2</v>
      </c>
      <c r="BE27" s="64">
        <f>COUNTIFS($I$4:$I$1260,"&lt;="&amp;BD27)-SUM($BE$4:BE26)</f>
        <v>60</v>
      </c>
      <c r="BF27" s="28">
        <f t="shared" si="24"/>
        <v>10.395297029487246</v>
      </c>
      <c r="BG27" s="46"/>
      <c r="BH27" s="27">
        <f t="shared" si="11"/>
        <v>2.5503726146971939E-2</v>
      </c>
      <c r="BI27" s="64">
        <f ca="1">COUNTIFS($AN$5:$AN$1261,"&lt;="&amp;BH27)-SUM($BI$4:BI26)</f>
        <v>63</v>
      </c>
      <c r="BJ27" s="28">
        <f t="shared" ca="1" si="25"/>
        <v>10.9259701870341</v>
      </c>
      <c r="BL27" s="27">
        <f t="shared" si="26"/>
        <v>2.9096620946960403E-2</v>
      </c>
      <c r="BM27" s="64">
        <f>COUNTIFS($J$4:$J$1260,"&lt;="&amp;BL27)-SUM($BM$4:BM26)</f>
        <v>56</v>
      </c>
      <c r="BN27" s="28">
        <f t="shared" si="12"/>
        <v>8.5479941196202418</v>
      </c>
      <c r="BO27" s="46"/>
      <c r="BP27" s="27">
        <f t="shared" si="13"/>
        <v>2.9096620946960403E-2</v>
      </c>
      <c r="BQ27" s="64">
        <f ca="1">COUNTIFS($AO$5:$AO$1261,"&lt;="&amp;BP27)-SUM($BQ$4:BQ26)</f>
        <v>50</v>
      </c>
      <c r="BR27" s="28">
        <f t="shared" ca="1" si="14"/>
        <v>7.7071458564966298</v>
      </c>
    </row>
    <row r="28" spans="1:70" x14ac:dyDescent="0.3">
      <c r="A28" s="5">
        <v>43503</v>
      </c>
      <c r="B28" s="6">
        <v>63.060001</v>
      </c>
      <c r="C28" s="6">
        <v>125.5</v>
      </c>
      <c r="D28" s="6">
        <v>83.910004000000001</v>
      </c>
      <c r="F28" s="13">
        <v>25</v>
      </c>
      <c r="G28" s="5">
        <v>43503</v>
      </c>
      <c r="H28" s="15">
        <f t="shared" si="5"/>
        <v>-9.4697518791190399E-3</v>
      </c>
      <c r="I28" s="15">
        <f t="shared" si="5"/>
        <v>-4.6108834006744473E-3</v>
      </c>
      <c r="J28" s="15">
        <f t="shared" si="5"/>
        <v>-2.3671763930987234E-2</v>
      </c>
      <c r="K28" s="22"/>
      <c r="L28" s="13">
        <v>25</v>
      </c>
      <c r="M28" s="5">
        <v>43503</v>
      </c>
      <c r="N28" s="26">
        <f t="shared" si="2"/>
        <v>1.1153165879852036</v>
      </c>
      <c r="O28" s="26">
        <f t="shared" si="3"/>
        <v>1.1902503567858429</v>
      </c>
      <c r="P28" s="26">
        <f t="shared" si="4"/>
        <v>1.1105082877318235</v>
      </c>
      <c r="Q28" s="22"/>
      <c r="X28" s="74" t="s">
        <v>18</v>
      </c>
      <c r="Y28" s="75"/>
      <c r="Z28" s="75"/>
      <c r="AA28" s="76"/>
      <c r="AB28" s="18">
        <v>1</v>
      </c>
      <c r="AD28" s="59">
        <v>24</v>
      </c>
      <c r="AE28" s="61">
        <f t="shared" ca="1" si="16"/>
        <v>0.42314793641621129</v>
      </c>
      <c r="AF28" s="61">
        <f t="shared" ca="1" si="16"/>
        <v>-1.4670465253088416</v>
      </c>
      <c r="AG28" s="61">
        <f t="shared" ca="1" si="16"/>
        <v>-0.16740691593417653</v>
      </c>
      <c r="AH28" s="19"/>
      <c r="AI28" s="61">
        <f ca="1"/>
        <v>9.1756603745621005E-3</v>
      </c>
      <c r="AJ28" s="61">
        <f ca="1"/>
        <v>-2.5264494622023653E-2</v>
      </c>
      <c r="AK28" s="61">
        <f ca="1"/>
        <v>-8.3683333206598636E-3</v>
      </c>
      <c r="AL28" s="19"/>
      <c r="AM28" s="61">
        <f t="shared" ca="1" si="28"/>
        <v>9.5268766970723444E-3</v>
      </c>
      <c r="AN28" s="61">
        <f t="shared" ca="1" si="29"/>
        <v>-2.5015442025107124E-2</v>
      </c>
      <c r="AO28" s="61">
        <f t="shared" ca="1" si="30"/>
        <v>-7.9366647174050446E-3</v>
      </c>
      <c r="AP28" s="19"/>
      <c r="AQ28" s="62">
        <f t="shared" ca="1" si="17"/>
        <v>0.87418883479257603</v>
      </c>
      <c r="AR28" s="62">
        <f t="shared" ca="1" si="18"/>
        <v>0.80408011812813696</v>
      </c>
      <c r="AS28" s="62">
        <f t="shared" ca="1" si="19"/>
        <v>0.98337392715898897</v>
      </c>
      <c r="AT28" s="49"/>
      <c r="AV28" s="27">
        <f t="shared" si="20"/>
        <v>2.4513705122775495E-2</v>
      </c>
      <c r="AW28" s="64">
        <f>COUNTIFS($H$4:$H$1260,"&lt;="&amp;AV28)-SUM($AW$4:AW27)</f>
        <v>38</v>
      </c>
      <c r="AX28" s="28">
        <f t="shared" si="21"/>
        <v>8.1324239341341666</v>
      </c>
      <c r="AY28" s="46"/>
      <c r="AZ28" s="27">
        <f t="shared" si="10"/>
        <v>2.4513705122775495E-2</v>
      </c>
      <c r="BA28" s="64">
        <f ca="1">COUNTIFS($AM$5:$AM$1261,"&lt;="&amp;AZ28)-SUM($BA$4:BA27)</f>
        <v>49</v>
      </c>
      <c r="BB28" s="28">
        <f t="shared" ca="1" si="22"/>
        <v>10.638237579659487</v>
      </c>
      <c r="BD28" s="27">
        <f t="shared" si="23"/>
        <v>3.0095484974254738E-2</v>
      </c>
      <c r="BE28" s="64">
        <f>COUNTIFS($I$4:$I$1260,"&lt;="&amp;BD28)-SUM($BE$4:BE27)</f>
        <v>42</v>
      </c>
      <c r="BF28" s="28">
        <f t="shared" si="24"/>
        <v>7.2767079206410719</v>
      </c>
      <c r="BG28" s="46"/>
      <c r="BH28" s="27">
        <f t="shared" si="11"/>
        <v>3.0095484974254738E-2</v>
      </c>
      <c r="BI28" s="64">
        <f ca="1">COUNTIFS($AN$5:$AN$1261,"&lt;="&amp;BH28)-SUM($BI$4:BI27)</f>
        <v>48</v>
      </c>
      <c r="BJ28" s="28">
        <f t="shared" ca="1" si="25"/>
        <v>8.3245487139307421</v>
      </c>
      <c r="BL28" s="27">
        <f t="shared" si="26"/>
        <v>3.4308430463997786E-2</v>
      </c>
      <c r="BM28" s="64">
        <f>COUNTIFS($J$4:$J$1260,"&lt;="&amp;BL28)-SUM($BM$4:BM27)</f>
        <v>29</v>
      </c>
      <c r="BN28" s="28">
        <f t="shared" si="12"/>
        <v>4.4266398119461963</v>
      </c>
      <c r="BO28" s="46"/>
      <c r="BP28" s="27">
        <f t="shared" si="13"/>
        <v>3.4308430463997786E-2</v>
      </c>
      <c r="BQ28" s="64">
        <f ca="1">COUNTIFS($AO$5:$AO$1261,"&lt;="&amp;BP28)-SUM($BQ$4:BQ27)</f>
        <v>47</v>
      </c>
      <c r="BR28" s="28">
        <f t="shared" ca="1" si="14"/>
        <v>7.2447171051068313</v>
      </c>
    </row>
    <row r="29" spans="1:70" x14ac:dyDescent="0.3">
      <c r="A29" s="5">
        <v>43504</v>
      </c>
      <c r="B29" s="6">
        <v>63.400002000000001</v>
      </c>
      <c r="C29" s="6">
        <v>125.029999</v>
      </c>
      <c r="D29" s="6">
        <v>84.139999000000003</v>
      </c>
      <c r="F29" s="13">
        <v>26</v>
      </c>
      <c r="G29" s="5">
        <v>43504</v>
      </c>
      <c r="H29" s="15">
        <f t="shared" si="5"/>
        <v>5.3772230140934421E-3</v>
      </c>
      <c r="I29" s="15">
        <f t="shared" si="5"/>
        <v>-3.7520580630107771E-3</v>
      </c>
      <c r="J29" s="15">
        <f t="shared" si="5"/>
        <v>2.7372227253215373E-3</v>
      </c>
      <c r="K29" s="22"/>
      <c r="L29" s="13">
        <v>26</v>
      </c>
      <c r="M29" s="5">
        <v>43504</v>
      </c>
      <c r="N29" s="26">
        <f t="shared" si="2"/>
        <v>1.1213300473765468</v>
      </c>
      <c r="O29" s="26">
        <f t="shared" si="3"/>
        <v>1.1857928360054468</v>
      </c>
      <c r="P29" s="26">
        <f t="shared" si="4"/>
        <v>1.1135521602316614</v>
      </c>
      <c r="Q29" s="22"/>
      <c r="X29" s="20" t="s">
        <v>10</v>
      </c>
      <c r="Y29" s="21" t="s">
        <v>2</v>
      </c>
      <c r="Z29" s="21" t="s">
        <v>3</v>
      </c>
      <c r="AA29" s="21" t="s">
        <v>4</v>
      </c>
      <c r="AB29" s="18">
        <v>2</v>
      </c>
      <c r="AD29" s="59">
        <v>25</v>
      </c>
      <c r="AE29" s="61">
        <f t="shared" ca="1" si="16"/>
        <v>-0.99031007394862169</v>
      </c>
      <c r="AF29" s="61">
        <f t="shared" ca="1" si="16"/>
        <v>-1.3736433607929863</v>
      </c>
      <c r="AG29" s="61">
        <f t="shared" ca="1" si="16"/>
        <v>-0.92262809706277382</v>
      </c>
      <c r="AH29" s="19"/>
      <c r="AI29" s="61">
        <f ca="1"/>
        <v>-2.1474165704360761E-2</v>
      </c>
      <c r="AJ29" s="61">
        <f ca="1"/>
        <v>-4.5358204204101062E-2</v>
      </c>
      <c r="AK29" s="61">
        <f ca="1"/>
        <v>-4.7943891897523183E-2</v>
      </c>
      <c r="AL29" s="19"/>
      <c r="AM29" s="61">
        <f t="shared" ca="1" si="28"/>
        <v>-2.1122949381850515E-2</v>
      </c>
      <c r="AN29" s="61">
        <f t="shared" ca="1" si="29"/>
        <v>-4.5109151607184532E-2</v>
      </c>
      <c r="AO29" s="61">
        <f t="shared" ca="1" si="30"/>
        <v>-4.7512223294268366E-2</v>
      </c>
      <c r="AP29" s="19"/>
      <c r="AQ29" s="62">
        <f t="shared" ca="1" si="17"/>
        <v>0.85591704470268537</v>
      </c>
      <c r="AR29" s="62">
        <f t="shared" ca="1" si="18"/>
        <v>0.76861466801740841</v>
      </c>
      <c r="AS29" s="62">
        <f t="shared" ca="1" si="19"/>
        <v>0.93774421355084769</v>
      </c>
      <c r="AT29" s="49"/>
      <c r="AV29" s="27">
        <f t="shared" si="20"/>
        <v>2.8231011092047072E-2</v>
      </c>
      <c r="AW29" s="64">
        <f>COUNTIFS($H$4:$H$1260,"&lt;="&amp;AV29)-SUM($AW$4:AW28)</f>
        <v>36</v>
      </c>
      <c r="AX29" s="28">
        <f t="shared" si="21"/>
        <v>7.704401621811316</v>
      </c>
      <c r="AY29" s="46"/>
      <c r="AZ29" s="27">
        <f t="shared" si="10"/>
        <v>2.8231011092047072E-2</v>
      </c>
      <c r="BA29" s="64">
        <f ca="1">COUNTIFS($AM$5:$AM$1261,"&lt;="&amp;AZ29)-SUM($BA$4:BA28)</f>
        <v>36</v>
      </c>
      <c r="BB29" s="28">
        <f t="shared" ca="1" si="22"/>
        <v>7.8158480177090111</v>
      </c>
      <c r="BD29" s="27">
        <f t="shared" si="23"/>
        <v>3.4687243801537537E-2</v>
      </c>
      <c r="BE29" s="64">
        <f>COUNTIFS($I$4:$I$1260,"&lt;="&amp;BD29)-SUM($BE$4:BE28)</f>
        <v>29</v>
      </c>
      <c r="BF29" s="28">
        <f t="shared" si="24"/>
        <v>5.0243935642521684</v>
      </c>
      <c r="BG29" s="46"/>
      <c r="BH29" s="27">
        <f t="shared" si="11"/>
        <v>3.4687243801537537E-2</v>
      </c>
      <c r="BI29" s="64">
        <f ca="1">COUNTIFS($AN$5:$AN$1261,"&lt;="&amp;BH29)-SUM($BI$4:BI28)</f>
        <v>47</v>
      </c>
      <c r="BJ29" s="28">
        <f t="shared" ca="1" si="25"/>
        <v>8.1511206157238512</v>
      </c>
      <c r="BL29" s="27">
        <f t="shared" si="26"/>
        <v>3.9520239981035168E-2</v>
      </c>
      <c r="BM29" s="64">
        <f>COUNTIFS($J$4:$J$1260,"&lt;="&amp;BL29)-SUM($BM$4:BM28)</f>
        <v>29</v>
      </c>
      <c r="BN29" s="28">
        <f t="shared" si="12"/>
        <v>4.4266398119461963</v>
      </c>
      <c r="BO29" s="46"/>
      <c r="BP29" s="27">
        <f t="shared" si="13"/>
        <v>3.9520239981035168E-2</v>
      </c>
      <c r="BQ29" s="64">
        <f ca="1">COUNTIFS($AO$5:$AO$1261,"&lt;="&amp;BP29)-SUM($BQ$4:BQ28)</f>
        <v>37</v>
      </c>
      <c r="BR29" s="28">
        <f t="shared" ca="1" si="14"/>
        <v>5.7032879338075055</v>
      </c>
    </row>
    <row r="30" spans="1:70" x14ac:dyDescent="0.3">
      <c r="A30" s="5">
        <v>43507</v>
      </c>
      <c r="B30" s="6">
        <v>64.739998</v>
      </c>
      <c r="C30" s="6">
        <v>125.599998</v>
      </c>
      <c r="D30" s="6">
        <v>83.339995999999999</v>
      </c>
      <c r="F30" s="13">
        <v>27</v>
      </c>
      <c r="G30" s="5">
        <v>43507</v>
      </c>
      <c r="H30" s="15">
        <f t="shared" si="5"/>
        <v>2.0915324616374707E-2</v>
      </c>
      <c r="I30" s="15">
        <f t="shared" si="5"/>
        <v>4.5485376017035126E-3</v>
      </c>
      <c r="J30" s="15">
        <f t="shared" si="5"/>
        <v>-9.5534882792752216E-3</v>
      </c>
      <c r="K30" s="22"/>
      <c r="L30" s="13">
        <v>27</v>
      </c>
      <c r="M30" s="5">
        <v>43507</v>
      </c>
      <c r="N30" s="26">
        <f t="shared" si="2"/>
        <v>1.145030011584188</v>
      </c>
      <c r="O30" s="26">
        <f t="shared" si="3"/>
        <v>1.1911987444765033</v>
      </c>
      <c r="P30" s="26">
        <f t="shared" si="4"/>
        <v>1.1029645077544867</v>
      </c>
      <c r="Q30" s="22"/>
      <c r="X30" s="7" t="s">
        <v>2</v>
      </c>
      <c r="Y30" s="17">
        <f t="shared" ref="Y30:AA32" ca="1" si="34">Y23/(OFFSET($Y$23,Y$27,Y$27)*OFFSET($Y$23,$AB27,$AB27))^0.5</f>
        <v>1</v>
      </c>
      <c r="Z30" s="17">
        <f t="shared" ca="1" si="34"/>
        <v>0.60154882513410013</v>
      </c>
      <c r="AA30" s="17">
        <f t="shared" ca="1" si="34"/>
        <v>0.4808196214541704</v>
      </c>
      <c r="AB30" s="18"/>
      <c r="AD30" s="59">
        <v>26</v>
      </c>
      <c r="AE30" s="61">
        <f t="shared" ca="1" si="16"/>
        <v>-0.39027796710894636</v>
      </c>
      <c r="AF30" s="61">
        <f t="shared" ca="1" si="16"/>
        <v>-0.50049587671030615</v>
      </c>
      <c r="AG30" s="61">
        <f t="shared" ca="1" si="16"/>
        <v>0.64620489627347677</v>
      </c>
      <c r="AH30" s="19"/>
      <c r="AI30" s="61">
        <f ca="1"/>
        <v>-8.4628985980540299E-3</v>
      </c>
      <c r="AJ30" s="61">
        <f ca="1"/>
        <v>-1.6987549814138504E-2</v>
      </c>
      <c r="AK30" s="61">
        <f ca="1"/>
        <v>7.2644478254538531E-3</v>
      </c>
      <c r="AL30" s="19"/>
      <c r="AM30" s="61">
        <f t="shared" ca="1" si="28"/>
        <v>-8.111682275543786E-3</v>
      </c>
      <c r="AN30" s="61">
        <f t="shared" ca="1" si="29"/>
        <v>-1.6738497217221975E-2</v>
      </c>
      <c r="AO30" s="61">
        <f t="shared" ca="1" si="30"/>
        <v>7.6961164287086712E-3</v>
      </c>
      <c r="AP30" s="19"/>
      <c r="AQ30" s="62">
        <f t="shared" ca="1" si="17"/>
        <v>0.84900220100536317</v>
      </c>
      <c r="AR30" s="62">
        <f t="shared" ca="1" si="18"/>
        <v>0.75585628946027261</v>
      </c>
      <c r="AS30" s="62">
        <f t="shared" ca="1" si="19"/>
        <v>0.94498904497237535</v>
      </c>
      <c r="AT30" s="49"/>
      <c r="AV30" s="27">
        <f t="shared" si="20"/>
        <v>3.1948317061318648E-2</v>
      </c>
      <c r="AW30" s="64">
        <f>COUNTIFS($H$4:$H$1260,"&lt;="&amp;AV30)-SUM($AW$4:AW29)</f>
        <v>14</v>
      </c>
      <c r="AX30" s="28">
        <f t="shared" si="21"/>
        <v>2.9961561862599564</v>
      </c>
      <c r="AY30" s="46"/>
      <c r="AZ30" s="27">
        <f t="shared" si="10"/>
        <v>3.1948317061318648E-2</v>
      </c>
      <c r="BA30" s="64">
        <f ca="1">COUNTIFS($AM$5:$AM$1261,"&lt;="&amp;AZ30)-SUM($BA$4:BA29)</f>
        <v>29</v>
      </c>
      <c r="BB30" s="28">
        <f t="shared" ca="1" si="22"/>
        <v>6.2960997920433703</v>
      </c>
      <c r="BD30" s="27">
        <f t="shared" si="23"/>
        <v>3.9279002628820336E-2</v>
      </c>
      <c r="BE30" s="64">
        <f>COUNTIFS($I$4:$I$1260,"&lt;="&amp;BD30)-SUM($BE$4:BE29)</f>
        <v>23</v>
      </c>
      <c r="BF30" s="28">
        <f t="shared" si="24"/>
        <v>3.9848638613034444</v>
      </c>
      <c r="BG30" s="46"/>
      <c r="BH30" s="27">
        <f t="shared" si="11"/>
        <v>3.9279002628820336E-2</v>
      </c>
      <c r="BI30" s="64">
        <f ca="1">COUNTIFS($AN$5:$AN$1261,"&lt;="&amp;BH30)-SUM($BI$4:BI29)</f>
        <v>41</v>
      </c>
      <c r="BJ30" s="28">
        <f t="shared" ca="1" si="25"/>
        <v>7.1105520264825079</v>
      </c>
      <c r="BL30" s="27">
        <f t="shared" si="26"/>
        <v>4.4732049498072551E-2</v>
      </c>
      <c r="BM30" s="64">
        <f>COUNTIFS($J$4:$J$1260,"&lt;="&amp;BL30)-SUM($BM$4:BM29)</f>
        <v>19</v>
      </c>
      <c r="BN30" s="28">
        <f t="shared" si="12"/>
        <v>2.9002122905854391</v>
      </c>
      <c r="BO30" s="46"/>
      <c r="BP30" s="27">
        <f t="shared" si="13"/>
        <v>4.4732049498072551E-2</v>
      </c>
      <c r="BQ30" s="64">
        <f ca="1">COUNTIFS($AO$5:$AO$1261,"&lt;="&amp;BP30)-SUM($BQ$4:BQ29)</f>
        <v>37</v>
      </c>
      <c r="BR30" s="28">
        <f t="shared" ca="1" si="14"/>
        <v>5.7032879338075055</v>
      </c>
    </row>
    <row r="31" spans="1:70" x14ac:dyDescent="0.3">
      <c r="A31" s="5">
        <v>43508</v>
      </c>
      <c r="B31" s="6">
        <v>65.489998</v>
      </c>
      <c r="C31" s="6">
        <v>126.660004</v>
      </c>
      <c r="D31" s="6">
        <v>82.330001999999993</v>
      </c>
      <c r="F31" s="13">
        <v>28</v>
      </c>
      <c r="G31" s="5">
        <v>43508</v>
      </c>
      <c r="H31" s="15">
        <f t="shared" si="5"/>
        <v>1.1518211085652368E-2</v>
      </c>
      <c r="I31" s="15">
        <f t="shared" si="5"/>
        <v>8.4041245583620187E-3</v>
      </c>
      <c r="J31" s="15">
        <f t="shared" si="5"/>
        <v>-1.2192992395330213E-2</v>
      </c>
      <c r="K31" s="22"/>
      <c r="L31" s="13">
        <v>28</v>
      </c>
      <c r="M31" s="5">
        <v>43508</v>
      </c>
      <c r="N31" s="26">
        <f t="shared" si="2"/>
        <v>1.1582949565211362</v>
      </c>
      <c r="O31" s="26">
        <f t="shared" si="3"/>
        <v>1.2012519119641138</v>
      </c>
      <c r="P31" s="26">
        <f t="shared" si="4"/>
        <v>1.089597726034879</v>
      </c>
      <c r="Q31" s="22"/>
      <c r="X31" s="7" t="s">
        <v>3</v>
      </c>
      <c r="Y31" s="17">
        <f t="shared" ca="1" si="34"/>
        <v>0.60154882513410013</v>
      </c>
      <c r="Z31" s="17">
        <f t="shared" ca="1" si="34"/>
        <v>1</v>
      </c>
      <c r="AA31" s="17">
        <f t="shared" ca="1" si="34"/>
        <v>0.45467605628339203</v>
      </c>
      <c r="AD31" s="59">
        <v>27</v>
      </c>
      <c r="AE31" s="61">
        <f t="shared" ca="1" si="16"/>
        <v>0.62129617033307771</v>
      </c>
      <c r="AF31" s="61">
        <f t="shared" ca="1" si="16"/>
        <v>0.17774092523523977</v>
      </c>
      <c r="AG31" s="61">
        <f t="shared" ca="1" si="16"/>
        <v>-1.4545769117336553</v>
      </c>
      <c r="AH31" s="19"/>
      <c r="AI31" s="61">
        <f ca="1"/>
        <v>1.3472363115544199E-2</v>
      </c>
      <c r="AJ31" s="61">
        <f ca="1"/>
        <v>1.3588117486496442E-2</v>
      </c>
      <c r="AK31" s="61">
        <f ca="1"/>
        <v>-2.6834471529485353E-2</v>
      </c>
      <c r="AL31" s="19"/>
      <c r="AM31" s="61">
        <f t="shared" ca="1" si="28"/>
        <v>1.3823579438054442E-2</v>
      </c>
      <c r="AN31" s="61">
        <f t="shared" ca="1" si="29"/>
        <v>1.3837170083412974E-2</v>
      </c>
      <c r="AO31" s="61">
        <f t="shared" ca="1" si="30"/>
        <v>-2.6402802926230536E-2</v>
      </c>
      <c r="AP31" s="19"/>
      <c r="AQ31" s="62">
        <f t="shared" ca="1" si="17"/>
        <v>0.86081994393972283</v>
      </c>
      <c r="AR31" s="62">
        <f t="shared" ca="1" si="18"/>
        <v>0.76638789728284606</v>
      </c>
      <c r="AS31" s="62">
        <f t="shared" ca="1" si="19"/>
        <v>0.92036518534784439</v>
      </c>
      <c r="AT31" s="49"/>
      <c r="AV31" s="27">
        <f t="shared" si="20"/>
        <v>3.5665623030590225E-2</v>
      </c>
      <c r="AW31" s="64">
        <f>COUNTIFS($H$4:$H$1260,"&lt;="&amp;AV31)-SUM($AW$4:AW30)</f>
        <v>20</v>
      </c>
      <c r="AX31" s="28">
        <f t="shared" si="21"/>
        <v>4.2802231232285086</v>
      </c>
      <c r="AY31" s="46"/>
      <c r="AZ31" s="27">
        <f t="shared" si="10"/>
        <v>3.5665623030590225E-2</v>
      </c>
      <c r="BA31" s="64">
        <f ca="1">COUNTIFS($AM$5:$AM$1261,"&lt;="&amp;AZ31)-SUM($BA$4:BA30)</f>
        <v>20</v>
      </c>
      <c r="BB31" s="28">
        <f t="shared" ca="1" si="22"/>
        <v>4.3421377876161174</v>
      </c>
      <c r="BD31" s="27">
        <f t="shared" si="23"/>
        <v>4.3870761456103136E-2</v>
      </c>
      <c r="BE31" s="64">
        <f>COUNTIFS($I$4:$I$1260,"&lt;="&amp;BD31)-SUM($BE$4:BE30)</f>
        <v>15</v>
      </c>
      <c r="BF31" s="28">
        <f t="shared" si="24"/>
        <v>2.5988242573718114</v>
      </c>
      <c r="BG31" s="46"/>
      <c r="BH31" s="27">
        <f t="shared" si="11"/>
        <v>4.3870761456103136E-2</v>
      </c>
      <c r="BI31" s="64">
        <f ca="1">COUNTIFS($AN$5:$AN$1261,"&lt;="&amp;BH31)-SUM($BI$4:BI30)</f>
        <v>20</v>
      </c>
      <c r="BJ31" s="28">
        <f t="shared" ca="1" si="25"/>
        <v>3.4685619641378094</v>
      </c>
      <c r="BL31" s="27">
        <f t="shared" si="26"/>
        <v>4.9943859015109934E-2</v>
      </c>
      <c r="BM31" s="64">
        <f>COUNTIFS($J$4:$J$1260,"&lt;="&amp;BL31)-SUM($BM$4:BM30)</f>
        <v>18</v>
      </c>
      <c r="BN31" s="28">
        <f t="shared" si="12"/>
        <v>2.7475695384493632</v>
      </c>
      <c r="BO31" s="46"/>
      <c r="BP31" s="27">
        <f t="shared" si="13"/>
        <v>4.9943859015109934E-2</v>
      </c>
      <c r="BQ31" s="64">
        <f ca="1">COUNTIFS($AO$5:$AO$1261,"&lt;="&amp;BP31)-SUM($BQ$4:BQ30)</f>
        <v>21</v>
      </c>
      <c r="BR31" s="28">
        <f t="shared" ca="1" si="14"/>
        <v>3.2370012597285842</v>
      </c>
    </row>
    <row r="32" spans="1:70" x14ac:dyDescent="0.3">
      <c r="A32" s="5">
        <v>43509</v>
      </c>
      <c r="B32" s="6">
        <v>66.279999000000004</v>
      </c>
      <c r="C32" s="6">
        <v>123.239998</v>
      </c>
      <c r="D32" s="6">
        <v>83.459998999999996</v>
      </c>
      <c r="F32" s="13">
        <v>29</v>
      </c>
      <c r="G32" s="5">
        <v>43509</v>
      </c>
      <c r="H32" s="15">
        <f t="shared" si="5"/>
        <v>1.1990748779906335E-2</v>
      </c>
      <c r="I32" s="15">
        <f t="shared" si="5"/>
        <v>-2.7372705168923407E-2</v>
      </c>
      <c r="J32" s="15">
        <f t="shared" si="5"/>
        <v>1.3631877578803084E-2</v>
      </c>
      <c r="K32" s="22"/>
      <c r="L32" s="13">
        <v>29</v>
      </c>
      <c r="M32" s="5">
        <v>43509</v>
      </c>
      <c r="N32" s="26">
        <f t="shared" si="2"/>
        <v>1.1722673828746484</v>
      </c>
      <c r="O32" s="26">
        <f t="shared" si="3"/>
        <v>1.1688163473289765</v>
      </c>
      <c r="P32" s="26">
        <f t="shared" si="4"/>
        <v>1.1045526893740787</v>
      </c>
      <c r="Q32" s="22"/>
      <c r="X32" s="7" t="s">
        <v>4</v>
      </c>
      <c r="Y32" s="17">
        <f t="shared" ca="1" si="34"/>
        <v>0.4808196214541704</v>
      </c>
      <c r="Z32" s="17">
        <f t="shared" ca="1" si="34"/>
        <v>0.45467605628339203</v>
      </c>
      <c r="AA32" s="17">
        <f t="shared" ca="1" si="34"/>
        <v>1</v>
      </c>
      <c r="AD32" s="59">
        <v>28</v>
      </c>
      <c r="AE32" s="61">
        <f t="shared" ca="1" si="16"/>
        <v>0.23149698475460159</v>
      </c>
      <c r="AF32" s="61">
        <f t="shared" ca="1" si="16"/>
        <v>0.92536299349463658</v>
      </c>
      <c r="AG32" s="61">
        <f t="shared" ca="1" si="16"/>
        <v>-0.59818355961566949</v>
      </c>
      <c r="AH32" s="19"/>
      <c r="AI32" s="61">
        <f ca="1"/>
        <v>5.0198465525638008E-3</v>
      </c>
      <c r="AJ32" s="61">
        <f ca="1"/>
        <v>2.3737175356672302E-2</v>
      </c>
      <c r="AK32" s="61">
        <f ca="1"/>
        <v>-5.3881090887531544E-3</v>
      </c>
      <c r="AL32" s="19"/>
      <c r="AM32" s="61">
        <f t="shared" ca="1" si="28"/>
        <v>5.3710628750740447E-3</v>
      </c>
      <c r="AN32" s="61">
        <f t="shared" ca="1" si="29"/>
        <v>2.3986227953588832E-2</v>
      </c>
      <c r="AO32" s="61">
        <f t="shared" ca="1" si="30"/>
        <v>-4.9564404854983363E-3</v>
      </c>
      <c r="AP32" s="19"/>
      <c r="AQ32" s="62">
        <f t="shared" ca="1" si="17"/>
        <v>0.86545590084579793</v>
      </c>
      <c r="AR32" s="62">
        <f t="shared" ca="1" si="18"/>
        <v>0.78499289190238675</v>
      </c>
      <c r="AS32" s="62">
        <f t="shared" ca="1" si="19"/>
        <v>0.91581473641204769</v>
      </c>
      <c r="AT32" s="49"/>
      <c r="AV32" s="27">
        <f t="shared" si="20"/>
        <v>3.9382928999861802E-2</v>
      </c>
      <c r="AW32" s="64">
        <f>COUNTIFS($H$4:$H$1260,"&lt;="&amp;AV32)-SUM($AW$4:AW31)</f>
        <v>12</v>
      </c>
      <c r="AX32" s="28">
        <f t="shared" si="21"/>
        <v>2.5681338739371053</v>
      </c>
      <c r="AY32" s="46"/>
      <c r="AZ32" s="27">
        <f t="shared" si="10"/>
        <v>3.9382928999861802E-2</v>
      </c>
      <c r="BA32" s="64">
        <f ca="1">COUNTIFS($AM$5:$AM$1261,"&lt;="&amp;AZ32)-SUM($BA$4:BA31)</f>
        <v>24</v>
      </c>
      <c r="BB32" s="28">
        <f t="shared" ca="1" si="22"/>
        <v>5.210565345139341</v>
      </c>
      <c r="BD32" s="27">
        <f t="shared" si="23"/>
        <v>4.8462520283385935E-2</v>
      </c>
      <c r="BE32" s="64">
        <f>COUNTIFS($I$4:$I$1260,"&lt;="&amp;BD32)-SUM($BE$4:BE31)</f>
        <v>9</v>
      </c>
      <c r="BF32" s="28">
        <f t="shared" si="24"/>
        <v>1.559294554423087</v>
      </c>
      <c r="BG32" s="46"/>
      <c r="BH32" s="27">
        <f t="shared" si="11"/>
        <v>4.8462520283385935E-2</v>
      </c>
      <c r="BI32" s="64">
        <f ca="1">COUNTIFS($AN$5:$AN$1261,"&lt;="&amp;BH32)-SUM($BI$4:BI31)</f>
        <v>20</v>
      </c>
      <c r="BJ32" s="28">
        <f t="shared" ca="1" si="25"/>
        <v>3.4685619641378094</v>
      </c>
      <c r="BL32" s="27">
        <f t="shared" si="26"/>
        <v>5.5155668532147317E-2</v>
      </c>
      <c r="BM32" s="64">
        <f>COUNTIFS($J$4:$J$1260,"&lt;="&amp;BL32)-SUM($BM$4:BM31)</f>
        <v>14</v>
      </c>
      <c r="BN32" s="28">
        <f t="shared" si="12"/>
        <v>2.1369985299050605</v>
      </c>
      <c r="BO32" s="46"/>
      <c r="BP32" s="27">
        <f t="shared" si="13"/>
        <v>5.5155668532147317E-2</v>
      </c>
      <c r="BQ32" s="64">
        <f ca="1">COUNTIFS($AO$5:$AO$1261,"&lt;="&amp;BP32)-SUM($BQ$4:BQ31)</f>
        <v>20</v>
      </c>
      <c r="BR32" s="28">
        <f t="shared" ca="1" si="14"/>
        <v>3.082858342598652</v>
      </c>
    </row>
    <row r="33" spans="1:70" x14ac:dyDescent="0.3">
      <c r="A33" s="5">
        <v>43510</v>
      </c>
      <c r="B33" s="6">
        <v>66.279999000000004</v>
      </c>
      <c r="C33" s="6">
        <v>122.790001</v>
      </c>
      <c r="D33" s="6">
        <v>83.610000999999997</v>
      </c>
      <c r="F33" s="13">
        <v>30</v>
      </c>
      <c r="G33" s="5">
        <v>43510</v>
      </c>
      <c r="H33" s="15">
        <f t="shared" si="5"/>
        <v>0</v>
      </c>
      <c r="I33" s="15">
        <f t="shared" si="5"/>
        <v>-3.6580701835628496E-3</v>
      </c>
      <c r="J33" s="15">
        <f t="shared" si="5"/>
        <v>1.7956789406394734E-3</v>
      </c>
      <c r="K33" s="22"/>
      <c r="L33" s="13">
        <v>30</v>
      </c>
      <c r="M33" s="5">
        <v>43510</v>
      </c>
      <c r="N33" s="26">
        <f t="shared" si="2"/>
        <v>1.1722673828746484</v>
      </c>
      <c r="O33" s="26">
        <f t="shared" si="3"/>
        <v>1.1645485458166056</v>
      </c>
      <c r="P33" s="26">
        <f t="shared" si="4"/>
        <v>1.1065378932381655</v>
      </c>
      <c r="Q33" s="22"/>
      <c r="AD33" s="59">
        <v>29</v>
      </c>
      <c r="AE33" s="61">
        <f t="shared" ca="1" si="16"/>
        <v>-0.59838019462220715</v>
      </c>
      <c r="AF33" s="61">
        <f t="shared" ca="1" si="16"/>
        <v>-1.3811636464471799</v>
      </c>
      <c r="AG33" s="61">
        <f t="shared" ca="1" si="16"/>
        <v>-9.5629820386771078E-2</v>
      </c>
      <c r="AH33" s="19"/>
      <c r="AI33" s="61">
        <f ca="1"/>
        <v>-1.2975446571284273E-2</v>
      </c>
      <c r="AJ33" s="61">
        <f ca="1"/>
        <v>-3.9387046354179833E-2</v>
      </c>
      <c r="AK33" s="61">
        <f ca="1"/>
        <v>-2.1018216504557447E-2</v>
      </c>
      <c r="AL33" s="19"/>
      <c r="AM33" s="61">
        <f t="shared" ca="1" si="28"/>
        <v>-1.2624230248774029E-2</v>
      </c>
      <c r="AN33" s="61">
        <f t="shared" ca="1" si="29"/>
        <v>-3.9137993757263304E-2</v>
      </c>
      <c r="AO33" s="61">
        <f t="shared" ca="1" si="30"/>
        <v>-2.058654790130263E-2</v>
      </c>
      <c r="AP33" s="19"/>
      <c r="AQ33" s="62">
        <f t="shared" ca="1" si="17"/>
        <v>0.85459886135774399</v>
      </c>
      <c r="AR33" s="62">
        <f t="shared" ca="1" si="18"/>
        <v>0.75486329685193632</v>
      </c>
      <c r="AS33" s="62">
        <f t="shared" ca="1" si="19"/>
        <v>0.89715401146538332</v>
      </c>
      <c r="AT33" s="49"/>
      <c r="AV33" s="27">
        <f t="shared" si="20"/>
        <v>4.3100234969133379E-2</v>
      </c>
      <c r="AW33" s="64">
        <f>COUNTIFS($H$4:$H$1260,"&lt;="&amp;AV33)-SUM($AW$4:AW32)</f>
        <v>5</v>
      </c>
      <c r="AX33" s="28">
        <f t="shared" si="21"/>
        <v>1.0700557808071272</v>
      </c>
      <c r="AY33" s="46"/>
      <c r="AZ33" s="27">
        <f t="shared" si="10"/>
        <v>4.3100234969133379E-2</v>
      </c>
      <c r="BA33" s="64">
        <f ca="1">COUNTIFS($AM$5:$AM$1261,"&lt;="&amp;AZ33)-SUM($BA$4:BA32)</f>
        <v>17</v>
      </c>
      <c r="BB33" s="28">
        <f t="shared" ca="1" si="22"/>
        <v>3.6908171194736994</v>
      </c>
      <c r="BD33" s="27">
        <f t="shared" si="23"/>
        <v>5.3054279110668734E-2</v>
      </c>
      <c r="BE33" s="64">
        <f>COUNTIFS($I$4:$I$1260,"&lt;="&amp;BD33)-SUM($BE$4:BE32)</f>
        <v>14</v>
      </c>
      <c r="BF33" s="28">
        <f t="shared" si="24"/>
        <v>2.4255693068803574</v>
      </c>
      <c r="BG33" s="46"/>
      <c r="BH33" s="27">
        <f t="shared" si="11"/>
        <v>5.3054279110668734E-2</v>
      </c>
      <c r="BI33" s="64">
        <f ca="1">COUNTIFS($AN$5:$AN$1261,"&lt;="&amp;BH33)-SUM($BI$4:BI32)</f>
        <v>12</v>
      </c>
      <c r="BJ33" s="28">
        <f t="shared" ca="1" si="25"/>
        <v>2.0811371784826855</v>
      </c>
      <c r="BL33" s="27">
        <f t="shared" si="26"/>
        <v>6.03674780491847E-2</v>
      </c>
      <c r="BM33" s="64">
        <f>COUNTIFS($J$4:$J$1260,"&lt;="&amp;BL33)-SUM($BM$4:BM32)</f>
        <v>9</v>
      </c>
      <c r="BN33" s="28">
        <f t="shared" si="12"/>
        <v>1.3737847692246816</v>
      </c>
      <c r="BO33" s="46"/>
      <c r="BP33" s="27">
        <f t="shared" si="13"/>
        <v>6.03674780491847E-2</v>
      </c>
      <c r="BQ33" s="64">
        <f ca="1">COUNTIFS($AO$5:$AO$1261,"&lt;="&amp;BP33)-SUM($BQ$4:BQ32)</f>
        <v>18</v>
      </c>
      <c r="BR33" s="28">
        <f t="shared" ca="1" si="14"/>
        <v>2.7745725083387867</v>
      </c>
    </row>
    <row r="34" spans="1:70" x14ac:dyDescent="0.3">
      <c r="A34" s="5">
        <v>43511</v>
      </c>
      <c r="B34" s="6">
        <v>66.980002999999996</v>
      </c>
      <c r="C34" s="6">
        <v>125.089996</v>
      </c>
      <c r="D34" s="6">
        <v>84.400002000000001</v>
      </c>
      <c r="F34" s="13">
        <v>31</v>
      </c>
      <c r="G34" s="5">
        <v>43511</v>
      </c>
      <c r="H34" s="15">
        <f t="shared" si="5"/>
        <v>1.0505934684692419E-2</v>
      </c>
      <c r="I34" s="15">
        <f t="shared" si="5"/>
        <v>1.8557858933265788E-2</v>
      </c>
      <c r="J34" s="15">
        <f t="shared" si="5"/>
        <v>9.4042831763353416E-3</v>
      </c>
      <c r="K34" s="22"/>
      <c r="L34" s="13">
        <v>31</v>
      </c>
      <c r="M34" s="5">
        <v>43511</v>
      </c>
      <c r="N34" s="26">
        <f t="shared" si="2"/>
        <v>1.1846480688955063</v>
      </c>
      <c r="O34" s="26">
        <f t="shared" si="3"/>
        <v>1.1863618515485232</v>
      </c>
      <c r="P34" s="26">
        <f t="shared" si="4"/>
        <v>1.1169931740866379</v>
      </c>
      <c r="Q34" s="22"/>
      <c r="AD34" s="59">
        <v>30</v>
      </c>
      <c r="AE34" s="61">
        <f t="shared" ca="1" si="16"/>
        <v>0.1383412884974482</v>
      </c>
      <c r="AF34" s="61">
        <f t="shared" ca="1" si="16"/>
        <v>-1.2638368001372255</v>
      </c>
      <c r="AG34" s="61">
        <f t="shared" ca="1" si="16"/>
        <v>0.71800941161497167</v>
      </c>
      <c r="AH34" s="19"/>
      <c r="AI34" s="61">
        <f ca="1"/>
        <v>2.9998319022483317E-3</v>
      </c>
      <c r="AJ34" s="61">
        <f ca="1"/>
        <v>-2.5305414351212412E-2</v>
      </c>
      <c r="AK34" s="61">
        <f ca="1"/>
        <v>1.1538916003029543E-2</v>
      </c>
      <c r="AL34" s="19"/>
      <c r="AM34" s="61">
        <f t="shared" ca="1" si="28"/>
        <v>3.351048224758576E-3</v>
      </c>
      <c r="AN34" s="61">
        <f t="shared" ca="1" si="29"/>
        <v>-2.5056361754295882E-2</v>
      </c>
      <c r="AO34" s="61">
        <f t="shared" ca="1" si="30"/>
        <v>1.1970584606284362E-2</v>
      </c>
      <c r="AP34" s="19"/>
      <c r="AQ34" s="62">
        <f t="shared" ca="1" si="17"/>
        <v>0.85746746708862598</v>
      </c>
      <c r="AR34" s="62">
        <f t="shared" ca="1" si="18"/>
        <v>0.73618416184591207</v>
      </c>
      <c r="AS34" s="62">
        <f t="shared" ca="1" si="19"/>
        <v>0.9079580055141282</v>
      </c>
      <c r="AT34" s="49"/>
      <c r="AV34" s="27">
        <f t="shared" si="20"/>
        <v>4.6817540938404956E-2</v>
      </c>
      <c r="AW34" s="64">
        <f>COUNTIFS($H$4:$H$1260,"&lt;="&amp;AV34)-SUM($AW$4:AW33)</f>
        <v>3</v>
      </c>
      <c r="AX34" s="28">
        <f t="shared" si="21"/>
        <v>0.64203346848427634</v>
      </c>
      <c r="AY34" s="46"/>
      <c r="AZ34" s="27">
        <f t="shared" si="10"/>
        <v>4.6817540938404956E-2</v>
      </c>
      <c r="BA34" s="64">
        <f ca="1">COUNTIFS($AM$5:$AM$1261,"&lt;="&amp;AZ34)-SUM($BA$4:BA33)</f>
        <v>10</v>
      </c>
      <c r="BB34" s="28">
        <f t="shared" ca="1" si="22"/>
        <v>2.1710688938080587</v>
      </c>
      <c r="BD34" s="27">
        <f t="shared" si="23"/>
        <v>5.7646037937951533E-2</v>
      </c>
      <c r="BE34" s="64">
        <f>COUNTIFS($I$4:$I$1260,"&lt;="&amp;BD34)-SUM($BE$4:BE33)</f>
        <v>7</v>
      </c>
      <c r="BF34" s="28">
        <f t="shared" si="24"/>
        <v>1.2127846534401787</v>
      </c>
      <c r="BG34" s="46"/>
      <c r="BH34" s="27">
        <f t="shared" si="11"/>
        <v>5.7646037937951533E-2</v>
      </c>
      <c r="BI34" s="64">
        <f ca="1">COUNTIFS($AN$5:$AN$1261,"&lt;="&amp;BH34)-SUM($BI$4:BI33)</f>
        <v>8</v>
      </c>
      <c r="BJ34" s="28">
        <f t="shared" ca="1" si="25"/>
        <v>1.3874247856551238</v>
      </c>
      <c r="BL34" s="27">
        <f t="shared" si="26"/>
        <v>6.5579287566222083E-2</v>
      </c>
      <c r="BM34" s="64">
        <f>COUNTIFS($J$4:$J$1260,"&lt;="&amp;BL34)-SUM($BM$4:BM33)</f>
        <v>4</v>
      </c>
      <c r="BN34" s="28">
        <f t="shared" si="12"/>
        <v>0.61057100854430302</v>
      </c>
      <c r="BO34" s="46"/>
      <c r="BP34" s="27">
        <f t="shared" si="13"/>
        <v>6.5579287566222083E-2</v>
      </c>
      <c r="BQ34" s="64">
        <f ca="1">COUNTIFS($AO$5:$AO$1261,"&lt;="&amp;BP34)-SUM($BQ$4:BQ33)</f>
        <v>11</v>
      </c>
      <c r="BR34" s="28">
        <f t="shared" ca="1" si="14"/>
        <v>1.6955720884292584</v>
      </c>
    </row>
    <row r="35" spans="1:70" x14ac:dyDescent="0.3">
      <c r="A35" s="5">
        <v>43515</v>
      </c>
      <c r="B35" s="6">
        <v>67.449996999999996</v>
      </c>
      <c r="C35" s="6">
        <v>125.449997</v>
      </c>
      <c r="D35" s="6">
        <v>84.790001000000004</v>
      </c>
      <c r="F35" s="13">
        <v>32</v>
      </c>
      <c r="G35" s="5">
        <v>43515</v>
      </c>
      <c r="H35" s="15">
        <f t="shared" si="5"/>
        <v>6.9924260208262187E-3</v>
      </c>
      <c r="I35" s="15">
        <f t="shared" si="5"/>
        <v>2.8738026488481783E-3</v>
      </c>
      <c r="J35" s="15">
        <f t="shared" si="5"/>
        <v>4.6101978111615536E-3</v>
      </c>
      <c r="K35" s="22"/>
      <c r="L35" s="13">
        <v>32</v>
      </c>
      <c r="M35" s="5">
        <v>43515</v>
      </c>
      <c r="N35" s="26">
        <f t="shared" si="2"/>
        <v>1.1929606616031012</v>
      </c>
      <c r="O35" s="26">
        <f t="shared" si="3"/>
        <v>1.1897761250042465</v>
      </c>
      <c r="P35" s="26">
        <f t="shared" si="4"/>
        <v>1.1221546220792649</v>
      </c>
      <c r="Q35" s="22"/>
      <c r="AD35" s="59">
        <v>31</v>
      </c>
      <c r="AE35" s="61">
        <f t="shared" ca="1" si="16"/>
        <v>0.31581733972786868</v>
      </c>
      <c r="AF35" s="61">
        <f t="shared" ca="1" si="16"/>
        <v>-0.22338309248941451</v>
      </c>
      <c r="AG35" s="61">
        <f t="shared" ca="1" si="16"/>
        <v>5.7686811049686808E-3</v>
      </c>
      <c r="AH35" s="19"/>
      <c r="AI35" s="61">
        <f ca="1"/>
        <v>6.8482731459909409E-3</v>
      </c>
      <c r="AJ35" s="61">
        <f ca="1"/>
        <v>8.7820889135813325E-5</v>
      </c>
      <c r="AK35" s="61">
        <f ca="1"/>
        <v>3.2410003536549712E-3</v>
      </c>
      <c r="AL35" s="19"/>
      <c r="AM35" s="61">
        <f t="shared" ca="1" si="28"/>
        <v>7.1994894685011848E-3</v>
      </c>
      <c r="AN35" s="61">
        <f t="shared" ca="1" si="29"/>
        <v>3.36873486052344E-4</v>
      </c>
      <c r="AO35" s="61">
        <f t="shared" ca="1" si="30"/>
        <v>3.6726689569097893E-3</v>
      </c>
      <c r="AP35" s="19"/>
      <c r="AQ35" s="62">
        <f t="shared" ca="1" si="17"/>
        <v>0.86366307091858541</v>
      </c>
      <c r="AR35" s="62">
        <f t="shared" ca="1" si="18"/>
        <v>0.7364322045480487</v>
      </c>
      <c r="AS35" s="62">
        <f t="shared" ca="1" si="19"/>
        <v>0.91129876569310653</v>
      </c>
      <c r="AT35" s="49"/>
      <c r="AV35" s="27">
        <f t="shared" si="20"/>
        <v>5.0534846907676532E-2</v>
      </c>
      <c r="AW35" s="64">
        <f>COUNTIFS($H$4:$H$1260,"&lt;="&amp;AV35)-SUM($AW$4:AW34)</f>
        <v>2</v>
      </c>
      <c r="AX35" s="28">
        <f t="shared" si="21"/>
        <v>0.42802231232285087</v>
      </c>
      <c r="AY35" s="46"/>
      <c r="AZ35" s="27">
        <f t="shared" si="10"/>
        <v>5.0534846907676532E-2</v>
      </c>
      <c r="BA35" s="64">
        <f ca="1">COUNTIFS($AM$5:$AM$1261,"&lt;="&amp;AZ35)-SUM($BA$4:BA34)</f>
        <v>7</v>
      </c>
      <c r="BB35" s="28">
        <f t="shared" ca="1" si="22"/>
        <v>1.5197482256656412</v>
      </c>
      <c r="BD35" s="27">
        <f t="shared" si="23"/>
        <v>6.2237796765234332E-2</v>
      </c>
      <c r="BE35" s="64">
        <f>COUNTIFS($I$4:$I$1260,"&lt;="&amp;BD35)-SUM($BE$4:BE34)</f>
        <v>6</v>
      </c>
      <c r="BF35" s="28">
        <f t="shared" si="24"/>
        <v>1.0395297029487245</v>
      </c>
      <c r="BG35" s="46"/>
      <c r="BH35" s="27">
        <f t="shared" si="11"/>
        <v>6.2237796765234332E-2</v>
      </c>
      <c r="BI35" s="64">
        <f ca="1">COUNTIFS($AN$5:$AN$1261,"&lt;="&amp;BH35)-SUM($BI$4:BI34)</f>
        <v>8</v>
      </c>
      <c r="BJ35" s="28">
        <f t="shared" ca="1" si="25"/>
        <v>1.3874247856551238</v>
      </c>
      <c r="BL35" s="27">
        <f t="shared" si="26"/>
        <v>7.0791097083259466E-2</v>
      </c>
      <c r="BM35" s="64">
        <f>COUNTIFS($J$4:$J$1260,"&lt;="&amp;BL35)-SUM($BM$4:BM34)</f>
        <v>2</v>
      </c>
      <c r="BN35" s="28">
        <f t="shared" si="12"/>
        <v>0.30528550427215151</v>
      </c>
      <c r="BO35" s="46"/>
      <c r="BP35" s="27">
        <f t="shared" si="13"/>
        <v>7.0791097083259466E-2</v>
      </c>
      <c r="BQ35" s="64">
        <f ca="1">COUNTIFS($AO$5:$AO$1261,"&lt;="&amp;BP35)-SUM($BQ$4:BQ34)</f>
        <v>8</v>
      </c>
      <c r="BR35" s="28">
        <f t="shared" ca="1" si="14"/>
        <v>1.2331433370394607</v>
      </c>
    </row>
    <row r="36" spans="1:70" x14ac:dyDescent="0.3">
      <c r="A36" s="5">
        <v>43516</v>
      </c>
      <c r="B36" s="6">
        <v>67.730002999999996</v>
      </c>
      <c r="C36" s="6">
        <v>125.33000199999999</v>
      </c>
      <c r="D36" s="6">
        <v>85.43</v>
      </c>
      <c r="F36" s="13">
        <v>33</v>
      </c>
      <c r="G36" s="5">
        <v>43516</v>
      </c>
      <c r="H36" s="15">
        <f t="shared" si="5"/>
        <v>4.1427193439564124E-3</v>
      </c>
      <c r="I36" s="15">
        <f t="shared" si="5"/>
        <v>-9.5697431721909439E-4</v>
      </c>
      <c r="J36" s="15">
        <f t="shared" si="5"/>
        <v>7.5197040537721841E-3</v>
      </c>
      <c r="K36" s="22"/>
      <c r="L36" s="13">
        <v>33</v>
      </c>
      <c r="M36" s="5">
        <v>43516</v>
      </c>
      <c r="N36" s="26">
        <f t="shared" si="2"/>
        <v>1.1979130138324547</v>
      </c>
      <c r="O36" s="26">
        <f t="shared" si="3"/>
        <v>1.1886380844340272</v>
      </c>
      <c r="P36" s="26">
        <f t="shared" si="4"/>
        <v>1.1306246990636502</v>
      </c>
      <c r="Q36" s="22"/>
      <c r="AD36" s="59">
        <v>32</v>
      </c>
      <c r="AE36" s="61">
        <f t="shared" ca="1" si="16"/>
        <v>-0.42877515192272087</v>
      </c>
      <c r="AF36" s="61">
        <f t="shared" ca="1" si="16"/>
        <v>-5.1958256448054206E-2</v>
      </c>
      <c r="AG36" s="61">
        <f t="shared" ca="1" si="16"/>
        <v>0.91341117762888824</v>
      </c>
      <c r="AH36" s="19"/>
      <c r="AI36" s="61">
        <f ca="1"/>
        <v>-9.297682518353001E-3</v>
      </c>
      <c r="AJ36" s="61">
        <f ca="1"/>
        <v>-7.84069914596143E-3</v>
      </c>
      <c r="AK36" s="61">
        <f ca="1"/>
        <v>1.6700252386966402E-2</v>
      </c>
      <c r="AL36" s="19"/>
      <c r="AM36" s="61">
        <f t="shared" ca="1" si="28"/>
        <v>-8.9464661958427571E-3</v>
      </c>
      <c r="AN36" s="61">
        <f t="shared" ca="1" si="29"/>
        <v>-7.5916465490448995E-3</v>
      </c>
      <c r="AO36" s="61">
        <f t="shared" ca="1" si="30"/>
        <v>1.7131920990221219E-2</v>
      </c>
      <c r="AP36" s="19"/>
      <c r="AQ36" s="62">
        <f t="shared" ca="1" si="17"/>
        <v>0.85597079908190121</v>
      </c>
      <c r="AR36" s="62">
        <f t="shared" ca="1" si="18"/>
        <v>0.73086263937813545</v>
      </c>
      <c r="AS36" s="62">
        <f t="shared" ca="1" si="19"/>
        <v>0.92704556546808503</v>
      </c>
      <c r="AT36" s="49"/>
      <c r="AV36" s="27">
        <f t="shared" si="20"/>
        <v>5.4252152876948109E-2</v>
      </c>
      <c r="AW36" s="64">
        <f>COUNTIFS($H$4:$H$1260,"&lt;="&amp;AV36)-SUM($AW$4:AW35)</f>
        <v>3</v>
      </c>
      <c r="AX36" s="28">
        <f t="shared" si="21"/>
        <v>0.64203346848427634</v>
      </c>
      <c r="AY36" s="46"/>
      <c r="AZ36" s="27">
        <f t="shared" si="10"/>
        <v>5.4252152876948109E-2</v>
      </c>
      <c r="BA36" s="64">
        <f ca="1">COUNTIFS($AM$5:$AM$1261,"&lt;="&amp;AZ36)-SUM($BA$4:BA35)</f>
        <v>5</v>
      </c>
      <c r="BB36" s="28">
        <f t="shared" ca="1" si="22"/>
        <v>1.0855344469040293</v>
      </c>
      <c r="BD36" s="27">
        <f t="shared" si="23"/>
        <v>6.6829555592517131E-2</v>
      </c>
      <c r="BE36" s="64">
        <f>COUNTIFS($I$4:$I$1260,"&lt;="&amp;BD36)-SUM($BE$4:BE35)</f>
        <v>2</v>
      </c>
      <c r="BF36" s="28">
        <f t="shared" si="24"/>
        <v>0.34650990098290818</v>
      </c>
      <c r="BG36" s="46"/>
      <c r="BH36" s="27">
        <f t="shared" si="11"/>
        <v>6.6829555592517131E-2</v>
      </c>
      <c r="BI36" s="64">
        <f ca="1">COUNTIFS($AN$5:$AN$1261,"&lt;="&amp;BH36)-SUM($BI$4:BI35)</f>
        <v>6</v>
      </c>
      <c r="BJ36" s="28">
        <f t="shared" ca="1" si="25"/>
        <v>1.0405685892413428</v>
      </c>
      <c r="BL36" s="27">
        <f t="shared" si="26"/>
        <v>7.6002906600296849E-2</v>
      </c>
      <c r="BM36" s="64">
        <f>COUNTIFS($J$4:$J$1260,"&lt;="&amp;BL36)-SUM($BM$4:BM35)</f>
        <v>5</v>
      </c>
      <c r="BN36" s="28">
        <f t="shared" si="12"/>
        <v>0.76321376068037872</v>
      </c>
      <c r="BO36" s="46"/>
      <c r="BP36" s="27">
        <f t="shared" si="13"/>
        <v>7.6002906600296849E-2</v>
      </c>
      <c r="BQ36" s="64">
        <f ca="1">COUNTIFS($AO$5:$AO$1261,"&lt;="&amp;BP36)-SUM($BQ$4:BQ35)</f>
        <v>3</v>
      </c>
      <c r="BR36" s="28">
        <f t="shared" ca="1" si="14"/>
        <v>0.46242875138979778</v>
      </c>
    </row>
    <row r="37" spans="1:70" x14ac:dyDescent="0.3">
      <c r="A37" s="5">
        <v>43517</v>
      </c>
      <c r="B37" s="6">
        <v>67.389999000000003</v>
      </c>
      <c r="C37" s="6">
        <v>126.239998</v>
      </c>
      <c r="D37" s="6">
        <v>84.480002999999996</v>
      </c>
      <c r="F37" s="13">
        <v>34</v>
      </c>
      <c r="G37" s="5">
        <v>43517</v>
      </c>
      <c r="H37" s="15">
        <f t="shared" si="5"/>
        <v>-5.0326334012009057E-3</v>
      </c>
      <c r="I37" s="15">
        <f t="shared" si="5"/>
        <v>7.2345666734229836E-3</v>
      </c>
      <c r="J37" s="15">
        <f t="shared" si="5"/>
        <v>-1.1182471694213061E-2</v>
      </c>
      <c r="K37" s="22"/>
      <c r="L37" s="13">
        <v>34</v>
      </c>
      <c r="M37" s="5">
        <v>43517</v>
      </c>
      <c r="N37" s="26">
        <f t="shared" si="2"/>
        <v>1.1918995013813318</v>
      </c>
      <c r="O37" s="26">
        <f t="shared" si="3"/>
        <v>1.1972685470927817</v>
      </c>
      <c r="P37" s="26">
        <f t="shared" si="4"/>
        <v>1.1180519485985165</v>
      </c>
      <c r="Q37" s="22"/>
      <c r="AD37" s="59">
        <v>33</v>
      </c>
      <c r="AE37" s="61">
        <f t="shared" ca="1" si="16"/>
        <v>0.45433256970035224</v>
      </c>
      <c r="AF37" s="61">
        <f t="shared" ca="1" si="16"/>
        <v>-1.1843702775501108</v>
      </c>
      <c r="AG37" s="61">
        <f t="shared" ca="1" si="16"/>
        <v>-0.77943655785555099</v>
      </c>
      <c r="AH37" s="19"/>
      <c r="AI37" s="61">
        <f ca="1"/>
        <v>9.8518768447260815E-3</v>
      </c>
      <c r="AJ37" s="61">
        <f ca="1"/>
        <v>-1.8632126304168752E-2</v>
      </c>
      <c r="AK37" s="61">
        <f ca="1"/>
        <v>-2.1596998928401806E-2</v>
      </c>
      <c r="AL37" s="19"/>
      <c r="AM37" s="61">
        <f t="shared" ca="1" si="28"/>
        <v>1.0203093167236325E-2</v>
      </c>
      <c r="AN37" s="61">
        <f t="shared" ca="1" si="29"/>
        <v>-1.8383073707252222E-2</v>
      </c>
      <c r="AO37" s="61">
        <f t="shared" ca="1" si="30"/>
        <v>-2.1165330325146989E-2</v>
      </c>
      <c r="AP37" s="19"/>
      <c r="AQ37" s="62">
        <f t="shared" ca="1" si="17"/>
        <v>0.86474905542350045</v>
      </c>
      <c r="AR37" s="62">
        <f t="shared" ca="1" si="18"/>
        <v>0.71754987725680419</v>
      </c>
      <c r="AS37" s="62">
        <f t="shared" ca="1" si="19"/>
        <v>0.9076305274708244</v>
      </c>
      <c r="AT37" s="49"/>
      <c r="AV37" s="27">
        <f t="shared" si="20"/>
        <v>5.7969458846219686E-2</v>
      </c>
      <c r="AW37" s="64">
        <f>COUNTIFS($H$4:$H$1260,"&lt;="&amp;AV37)-SUM($AW$4:AW36)</f>
        <v>1</v>
      </c>
      <c r="AX37" s="28">
        <f t="shared" si="21"/>
        <v>0.21401115616142544</v>
      </c>
      <c r="AY37" s="46"/>
      <c r="AZ37" s="27">
        <f t="shared" si="10"/>
        <v>5.7969458846219686E-2</v>
      </c>
      <c r="BA37" s="64">
        <f ca="1">COUNTIFS($AM$5:$AM$1261,"&lt;="&amp;AZ37)-SUM($BA$4:BA36)</f>
        <v>4</v>
      </c>
      <c r="BB37" s="28">
        <f t="shared" ca="1" si="22"/>
        <v>0.86842755752322354</v>
      </c>
      <c r="BD37" s="27">
        <f t="shared" si="23"/>
        <v>7.1421314419799931E-2</v>
      </c>
      <c r="BE37" s="64">
        <f>COUNTIFS($I$4:$I$1260,"&lt;="&amp;BD37)-SUM($BE$4:BE36)</f>
        <v>2</v>
      </c>
      <c r="BF37" s="28">
        <f t="shared" si="24"/>
        <v>0.34650990098290818</v>
      </c>
      <c r="BG37" s="46"/>
      <c r="BH37" s="27">
        <f t="shared" si="11"/>
        <v>7.1421314419799931E-2</v>
      </c>
      <c r="BI37" s="64">
        <f ca="1">COUNTIFS($AN$5:$AN$1261,"&lt;="&amp;BH37)-SUM($BI$4:BI36)</f>
        <v>2</v>
      </c>
      <c r="BJ37" s="28">
        <f t="shared" ca="1" si="25"/>
        <v>0.34685619641378096</v>
      </c>
      <c r="BL37" s="27">
        <f t="shared" si="26"/>
        <v>8.1214716117334232E-2</v>
      </c>
      <c r="BM37" s="64">
        <f>COUNTIFS($J$4:$J$1260,"&lt;="&amp;BL37)-SUM($BM$4:BM36)</f>
        <v>2</v>
      </c>
      <c r="BN37" s="28">
        <f t="shared" si="12"/>
        <v>0.30528550427215151</v>
      </c>
      <c r="BO37" s="46"/>
      <c r="BP37" s="27">
        <f t="shared" si="13"/>
        <v>8.1214716117334232E-2</v>
      </c>
      <c r="BQ37" s="64">
        <f ca="1">COUNTIFS($AO$5:$AO$1261,"&lt;="&amp;BP37)-SUM($BQ$4:BQ36)</f>
        <v>4</v>
      </c>
      <c r="BR37" s="28">
        <f t="shared" ca="1" si="14"/>
        <v>0.61657166851973033</v>
      </c>
    </row>
    <row r="38" spans="1:70" x14ac:dyDescent="0.3">
      <c r="A38" s="5">
        <v>43518</v>
      </c>
      <c r="B38" s="6">
        <v>68.260002</v>
      </c>
      <c r="C38" s="6">
        <v>127.120003</v>
      </c>
      <c r="D38" s="6">
        <v>85.32</v>
      </c>
      <c r="F38" s="13">
        <v>35</v>
      </c>
      <c r="G38" s="5">
        <v>43518</v>
      </c>
      <c r="H38" s="15">
        <f t="shared" si="5"/>
        <v>1.2827348659168274E-2</v>
      </c>
      <c r="I38" s="15">
        <f t="shared" si="5"/>
        <v>6.9467045734835095E-3</v>
      </c>
      <c r="J38" s="15">
        <f t="shared" si="5"/>
        <v>9.8940381338353256E-3</v>
      </c>
      <c r="K38" s="22"/>
      <c r="L38" s="13">
        <v>35</v>
      </c>
      <c r="M38" s="5">
        <v>43518</v>
      </c>
      <c r="N38" s="26">
        <f t="shared" si="2"/>
        <v>1.2072868905679717</v>
      </c>
      <c r="O38" s="26">
        <f t="shared" si="3"/>
        <v>1.2056145731104975</v>
      </c>
      <c r="P38" s="26">
        <f t="shared" si="4"/>
        <v>1.1291689023072764</v>
      </c>
      <c r="Q38" s="22"/>
      <c r="AD38" s="59">
        <v>34</v>
      </c>
      <c r="AE38" s="61">
        <f t="shared" ca="1" si="16"/>
        <v>-0.59570419976865541</v>
      </c>
      <c r="AF38" s="61">
        <f t="shared" ca="1" si="16"/>
        <v>-1.1222218358327505</v>
      </c>
      <c r="AG38" s="61">
        <f t="shared" ca="1" si="16"/>
        <v>-1.6744561934465763</v>
      </c>
      <c r="AH38" s="19"/>
      <c r="AI38" s="61">
        <f ca="1"/>
        <v>-1.2917419536700994E-2</v>
      </c>
      <c r="AJ38" s="61">
        <f ca="1"/>
        <v>-3.3716797022405619E-2</v>
      </c>
      <c r="AK38" s="61">
        <f ca="1"/>
        <v>-5.9604550507243635E-2</v>
      </c>
      <c r="AL38" s="19"/>
      <c r="AM38" s="61">
        <f t="shared" ca="1" si="28"/>
        <v>-1.256620321419075E-2</v>
      </c>
      <c r="AN38" s="61">
        <f t="shared" ca="1" si="29"/>
        <v>-3.3467744425489089E-2</v>
      </c>
      <c r="AO38" s="61">
        <f t="shared" ca="1" si="30"/>
        <v>-5.9172881903988818E-2</v>
      </c>
      <c r="AP38" s="19"/>
      <c r="AQ38" s="62">
        <f t="shared" ca="1" si="17"/>
        <v>0.85395043399939552</v>
      </c>
      <c r="AR38" s="62">
        <f t="shared" ca="1" si="18"/>
        <v>0.69393251568566061</v>
      </c>
      <c r="AS38" s="62">
        <f t="shared" ca="1" si="19"/>
        <v>0.85548153207916389</v>
      </c>
      <c r="AT38" s="49"/>
      <c r="AV38" s="27">
        <f t="shared" si="20"/>
        <v>6.1686764815491263E-2</v>
      </c>
      <c r="AW38" s="64">
        <f>COUNTIFS($H$4:$H$1260,"&lt;="&amp;AV38)-SUM($AW$4:AW37)</f>
        <v>1</v>
      </c>
      <c r="AX38" s="28">
        <f t="shared" si="21"/>
        <v>0.21401115616142544</v>
      </c>
      <c r="AY38" s="46"/>
      <c r="AZ38" s="27">
        <f t="shared" si="10"/>
        <v>6.1686764815491263E-2</v>
      </c>
      <c r="BA38" s="64">
        <f ca="1">COUNTIFS($AM$5:$AM$1261,"&lt;="&amp;AZ38)-SUM($BA$4:BA37)</f>
        <v>1</v>
      </c>
      <c r="BB38" s="28">
        <f t="shared" ca="1" si="22"/>
        <v>0.21710688938080588</v>
      </c>
      <c r="BD38" s="27">
        <f t="shared" si="23"/>
        <v>7.601307324708273E-2</v>
      </c>
      <c r="BE38" s="64">
        <f>COUNTIFS($I$4:$I$1260,"&lt;="&amp;BD38)-SUM($BE$4:BE37)</f>
        <v>2</v>
      </c>
      <c r="BF38" s="28">
        <f t="shared" si="24"/>
        <v>0.34650990098290818</v>
      </c>
      <c r="BG38" s="46"/>
      <c r="BH38" s="27">
        <f t="shared" si="11"/>
        <v>7.601307324708273E-2</v>
      </c>
      <c r="BI38" s="64">
        <f ca="1">COUNTIFS($AN$5:$AN$1261,"&lt;="&amp;BH38)-SUM($BI$4:BI37)</f>
        <v>2</v>
      </c>
      <c r="BJ38" s="28">
        <f t="shared" ca="1" si="25"/>
        <v>0.34685619641378096</v>
      </c>
      <c r="BL38" s="27">
        <f t="shared" si="26"/>
        <v>8.6426525634371615E-2</v>
      </c>
      <c r="BM38" s="64">
        <f>COUNTIFS($J$4:$J$1260,"&lt;="&amp;BL38)-SUM($BM$4:BM37)</f>
        <v>0</v>
      </c>
      <c r="BN38" s="28">
        <f t="shared" si="12"/>
        <v>0</v>
      </c>
      <c r="BO38" s="46"/>
      <c r="BP38" s="27">
        <f t="shared" si="13"/>
        <v>8.6426525634371615E-2</v>
      </c>
      <c r="BQ38" s="64">
        <f ca="1">COUNTIFS($AO$5:$AO$1261,"&lt;="&amp;BP38)-SUM($BQ$4:BQ37)</f>
        <v>2</v>
      </c>
      <c r="BR38" s="28">
        <f t="shared" ca="1" si="14"/>
        <v>0.30828583425986517</v>
      </c>
    </row>
    <row r="39" spans="1:70" x14ac:dyDescent="0.3">
      <c r="A39" s="5">
        <v>43521</v>
      </c>
      <c r="B39" s="6">
        <v>67.819999999999993</v>
      </c>
      <c r="C39" s="6">
        <v>127.150002</v>
      </c>
      <c r="D39" s="6">
        <v>84.980002999999996</v>
      </c>
      <c r="F39" s="13">
        <v>36</v>
      </c>
      <c r="G39" s="5">
        <v>43521</v>
      </c>
      <c r="H39" s="15">
        <f t="shared" si="5"/>
        <v>-6.4668360808044422E-3</v>
      </c>
      <c r="I39" s="15">
        <f t="shared" si="5"/>
        <v>2.3596176937342131E-4</v>
      </c>
      <c r="J39" s="15">
        <f t="shared" si="5"/>
        <v>-3.9929236140608341E-3</v>
      </c>
      <c r="K39" s="22"/>
      <c r="L39" s="13">
        <v>36</v>
      </c>
      <c r="M39" s="5">
        <v>43521</v>
      </c>
      <c r="N39" s="26">
        <f t="shared" si="2"/>
        <v>1.1995047541651087</v>
      </c>
      <c r="O39" s="26">
        <f t="shared" si="3"/>
        <v>1.2058990856240688</v>
      </c>
      <c r="P39" s="26">
        <f t="shared" si="4"/>
        <v>1.124669206582033</v>
      </c>
      <c r="Q39" s="22"/>
      <c r="AD39" s="59">
        <v>35</v>
      </c>
      <c r="AE39" s="61">
        <f t="shared" ca="1" si="16"/>
        <v>1.0495140545225357</v>
      </c>
      <c r="AF39" s="61">
        <f t="shared" ca="1" si="16"/>
        <v>0.35305650358607965</v>
      </c>
      <c r="AG39" s="61">
        <f t="shared" ca="1" si="16"/>
        <v>-0.18912682501763473</v>
      </c>
      <c r="AH39" s="19"/>
      <c r="AI39" s="61">
        <f ca="1"/>
        <v>2.2757961681647711E-2</v>
      </c>
      <c r="AJ39" s="61">
        <f ca="1"/>
        <v>2.4101391011063428E-2</v>
      </c>
      <c r="AK39" s="61">
        <f ca="1"/>
        <v>1.3148109026080183E-2</v>
      </c>
      <c r="AL39" s="19"/>
      <c r="AM39" s="61">
        <f t="shared" ca="1" si="28"/>
        <v>2.3109178004157956E-2</v>
      </c>
      <c r="AN39" s="61">
        <f t="shared" ca="1" si="29"/>
        <v>2.4350443607979957E-2</v>
      </c>
      <c r="AO39" s="61">
        <f t="shared" ca="1" si="30"/>
        <v>1.3579777629335002E-2</v>
      </c>
      <c r="AP39" s="19"/>
      <c r="AQ39" s="62">
        <f t="shared" ca="1" si="17"/>
        <v>0.87391431255558738</v>
      </c>
      <c r="AR39" s="62">
        <f t="shared" ca="1" si="18"/>
        <v>0.71103749197398625</v>
      </c>
      <c r="AS39" s="62">
        <f t="shared" ca="1" si="19"/>
        <v>0.86717801915198445</v>
      </c>
      <c r="AT39" s="49"/>
      <c r="AV39" s="27">
        <f t="shared" si="20"/>
        <v>6.5404070784762847E-2</v>
      </c>
      <c r="AW39" s="64">
        <f>COUNTIFS($H$4:$H$1260,"&lt;="&amp;AV39)-SUM($AW$4:AW38)</f>
        <v>2</v>
      </c>
      <c r="AX39" s="28">
        <f t="shared" si="21"/>
        <v>0.42802231232285087</v>
      </c>
      <c r="AY39" s="46"/>
      <c r="AZ39" s="27">
        <f>AV39</f>
        <v>6.5404070784762847E-2</v>
      </c>
      <c r="BA39" s="64">
        <f ca="1">COUNTIFS($AM$5:$AM$1261,"&lt;="&amp;AZ39)-SUM($BA$4:BA38)</f>
        <v>0</v>
      </c>
      <c r="BB39" s="28">
        <f t="shared" ca="1" si="22"/>
        <v>0</v>
      </c>
      <c r="BD39" s="27">
        <f t="shared" si="23"/>
        <v>8.0604832074365529E-2</v>
      </c>
      <c r="BE39" s="64">
        <f>COUNTIFS($I$4:$I$1260,"&lt;="&amp;BD39)-SUM($BE$4:BE38)</f>
        <v>2</v>
      </c>
      <c r="BF39" s="28">
        <f t="shared" si="24"/>
        <v>0.34650990098290818</v>
      </c>
      <c r="BG39" s="46"/>
      <c r="BH39" s="27">
        <f>BD39</f>
        <v>8.0604832074365529E-2</v>
      </c>
      <c r="BI39" s="64">
        <f ca="1">COUNTIFS($AN$5:$AN$1261,"&lt;="&amp;BH39)-SUM($BI$4:BI38)</f>
        <v>1</v>
      </c>
      <c r="BJ39" s="28">
        <f t="shared" ca="1" si="25"/>
        <v>0.17342809820689048</v>
      </c>
      <c r="BL39" s="27">
        <f t="shared" si="26"/>
        <v>9.1638335151408998E-2</v>
      </c>
      <c r="BM39" s="64">
        <f>COUNTIFS($J$4:$J$1260,"&lt;="&amp;BL39)-SUM($BM$4:BM38)</f>
        <v>2</v>
      </c>
      <c r="BN39" s="28">
        <f t="shared" si="12"/>
        <v>0.30528550427215151</v>
      </c>
      <c r="BO39" s="46"/>
      <c r="BP39" s="27">
        <f>BL39</f>
        <v>9.1638335151408998E-2</v>
      </c>
      <c r="BQ39" s="64">
        <f ca="1">COUNTIFS($AO$5:$AO$1261,"&lt;="&amp;BP39)-SUM($BQ$4:BQ38)</f>
        <v>0</v>
      </c>
      <c r="BR39" s="28">
        <f t="shared" ca="1" si="14"/>
        <v>0</v>
      </c>
    </row>
    <row r="40" spans="1:70" x14ac:dyDescent="0.3">
      <c r="A40" s="5">
        <v>43522</v>
      </c>
      <c r="B40" s="6">
        <v>67.580001999999993</v>
      </c>
      <c r="C40" s="6">
        <v>126.510002</v>
      </c>
      <c r="D40" s="6">
        <v>84.410004000000001</v>
      </c>
      <c r="F40" s="13">
        <v>37</v>
      </c>
      <c r="G40" s="5">
        <v>43522</v>
      </c>
      <c r="H40" s="15">
        <f t="shared" si="5"/>
        <v>-3.5450258167944526E-3</v>
      </c>
      <c r="I40" s="15">
        <f t="shared" si="5"/>
        <v>-5.0461353619769035E-3</v>
      </c>
      <c r="J40" s="15">
        <f t="shared" si="5"/>
        <v>-6.7300446057112374E-3</v>
      </c>
      <c r="K40" s="22"/>
      <c r="L40" s="13">
        <v>37</v>
      </c>
      <c r="M40" s="5">
        <v>43522</v>
      </c>
      <c r="N40" s="26">
        <f t="shared" si="2"/>
        <v>1.1952600071584718</v>
      </c>
      <c r="O40" s="26">
        <f t="shared" si="3"/>
        <v>1.1998292830077903</v>
      </c>
      <c r="P40" s="26">
        <f t="shared" si="4"/>
        <v>1.1171255457153402</v>
      </c>
      <c r="Q40" s="22"/>
      <c r="AD40" s="59">
        <v>36</v>
      </c>
      <c r="AE40" s="61">
        <f t="shared" ca="1" si="16"/>
        <v>-0.18837833668577461</v>
      </c>
      <c r="AF40" s="61">
        <f t="shared" ca="1" si="16"/>
        <v>-0.46058343176991162</v>
      </c>
      <c r="AG40" s="61">
        <f t="shared" ca="1" si="16"/>
        <v>-0.42572067167043837</v>
      </c>
      <c r="AH40" s="19"/>
      <c r="AI40" s="61">
        <f ca="1"/>
        <v>-4.0848495067536371E-3</v>
      </c>
      <c r="AJ40" s="61">
        <f ca="1"/>
        <v>-1.2959810967078361E-2</v>
      </c>
      <c r="AK40" s="61">
        <f ca="1"/>
        <v>-1.6933977996801356E-2</v>
      </c>
      <c r="AL40" s="19"/>
      <c r="AM40" s="61">
        <f t="shared" ca="1" si="28"/>
        <v>-3.7336331842433928E-3</v>
      </c>
      <c r="AN40" s="61">
        <f t="shared" ca="1" si="29"/>
        <v>-1.2710758370161829E-2</v>
      </c>
      <c r="AO40" s="61">
        <f t="shared" ca="1" si="30"/>
        <v>-1.6502309393546539E-2</v>
      </c>
      <c r="AP40" s="19"/>
      <c r="AQ40" s="62">
        <f t="shared" ca="1" si="17"/>
        <v>0.87065752069443836</v>
      </c>
      <c r="AR40" s="62">
        <f t="shared" ca="1" si="18"/>
        <v>0.70205686243880749</v>
      </c>
      <c r="AS40" s="62">
        <f t="shared" ca="1" si="19"/>
        <v>0.85298500998746207</v>
      </c>
      <c r="AT40" s="49"/>
      <c r="AV40" s="27">
        <f t="shared" si="20"/>
        <v>6.912137675403443E-2</v>
      </c>
      <c r="AW40" s="64">
        <f>COUNTIFS($H$4:$H$1260,"&gt;="&amp;AV39)</f>
        <v>11</v>
      </c>
      <c r="AX40" s="28">
        <f t="shared" si="21"/>
        <v>2.3541227177756796</v>
      </c>
      <c r="AY40" s="48"/>
      <c r="AZ40" s="27">
        <f>AV40</f>
        <v>6.912137675403443E-2</v>
      </c>
      <c r="BA40" s="64">
        <f ca="1">COUNTIFS($AM$5:$AM$1261,"&gt;="&amp;AZ39)</f>
        <v>1</v>
      </c>
      <c r="BB40" s="28">
        <f t="shared" ca="1" si="22"/>
        <v>0.21710688938080588</v>
      </c>
      <c r="BD40" s="27">
        <f t="shared" si="23"/>
        <v>8.5196590901648328E-2</v>
      </c>
      <c r="BE40" s="64">
        <f>COUNTIFS($I$4:$I$1260,"&gt;="&amp;BD39)</f>
        <v>8</v>
      </c>
      <c r="BF40" s="28">
        <f t="shared" si="24"/>
        <v>1.3860396039316327</v>
      </c>
      <c r="BG40" s="48"/>
      <c r="BH40" s="27">
        <f>BD40</f>
        <v>8.5196590901648328E-2</v>
      </c>
      <c r="BI40" s="64">
        <f ca="1">COUNTIFS($AN$5:$AN$1261,"&gt;="&amp;BH39)</f>
        <v>1</v>
      </c>
      <c r="BJ40" s="28">
        <f t="shared" ca="1" si="25"/>
        <v>0.17342809820689048</v>
      </c>
      <c r="BL40" s="27">
        <f t="shared" si="26"/>
        <v>9.6850144668446381E-2</v>
      </c>
      <c r="BM40" s="64">
        <f>COUNTIFS($J$4:$J$1260,"&gt;="&amp;BL39)</f>
        <v>8</v>
      </c>
      <c r="BN40" s="28">
        <f t="shared" si="12"/>
        <v>1.221142017088606</v>
      </c>
      <c r="BO40" s="48"/>
      <c r="BP40" s="27">
        <f>BL40</f>
        <v>9.6850144668446381E-2</v>
      </c>
      <c r="BQ40" s="64">
        <f ca="1">COUNTIFS($AO$5:$AO$1261,"&gt;="&amp;BP39)</f>
        <v>0</v>
      </c>
      <c r="BR40" s="28">
        <f t="shared" ca="1" si="14"/>
        <v>0</v>
      </c>
    </row>
    <row r="41" spans="1:70" x14ac:dyDescent="0.3">
      <c r="A41" s="5">
        <v>43523</v>
      </c>
      <c r="B41" s="6">
        <v>68.269997000000004</v>
      </c>
      <c r="C41" s="6">
        <v>127.230003</v>
      </c>
      <c r="D41" s="6">
        <v>83.089995999999999</v>
      </c>
      <c r="F41" s="13">
        <v>38</v>
      </c>
      <c r="G41" s="5">
        <v>43523</v>
      </c>
      <c r="H41" s="15">
        <f t="shared" si="5"/>
        <v>1.015827660632327E-2</v>
      </c>
      <c r="I41" s="15">
        <f t="shared" si="5"/>
        <v>5.6751234983482019E-3</v>
      </c>
      <c r="J41" s="15">
        <f t="shared" si="5"/>
        <v>-1.576161584705937E-2</v>
      </c>
      <c r="K41" s="22"/>
      <c r="L41" s="13">
        <v>38</v>
      </c>
      <c r="M41" s="5">
        <v>43523</v>
      </c>
      <c r="N41" s="26">
        <f t="shared" si="2"/>
        <v>1.2074636680674979</v>
      </c>
      <c r="O41" s="26">
        <f t="shared" si="3"/>
        <v>1.2066578204351701</v>
      </c>
      <c r="P41" s="26">
        <f t="shared" si="4"/>
        <v>1.0996558787627284</v>
      </c>
      <c r="Q41" s="22"/>
      <c r="AD41" s="59">
        <v>37</v>
      </c>
      <c r="AE41" s="61">
        <f t="shared" ca="1" si="16"/>
        <v>1.0040496872113627</v>
      </c>
      <c r="AF41" s="61">
        <f t="shared" ca="1" si="16"/>
        <v>-1.1909543585861384</v>
      </c>
      <c r="AG41" s="61">
        <f t="shared" ca="1" si="16"/>
        <v>8.4229784832970649E-3</v>
      </c>
      <c r="AH41" s="19"/>
      <c r="AI41" s="61">
        <f ca="1"/>
        <v>2.1772099391677003E-2</v>
      </c>
      <c r="AJ41" s="61">
        <f ca="1"/>
        <v>-1.0170879922976505E-2</v>
      </c>
      <c r="AK41" s="61">
        <f ca="1"/>
        <v>6.6639294830061332E-3</v>
      </c>
      <c r="AL41" s="19"/>
      <c r="AM41" s="61">
        <f t="shared" ca="1" si="28"/>
        <v>2.2123315714187249E-2</v>
      </c>
      <c r="AN41" s="61">
        <f t="shared" ca="1" si="29"/>
        <v>-9.9218273260599735E-3</v>
      </c>
      <c r="AO41" s="61">
        <f t="shared" ca="1" si="30"/>
        <v>7.0955980862609513E-3</v>
      </c>
      <c r="AP41" s="19"/>
      <c r="AQ41" s="62">
        <f t="shared" ca="1" si="17"/>
        <v>0.89013399967447249</v>
      </c>
      <c r="AR41" s="62">
        <f t="shared" ca="1" si="18"/>
        <v>0.69512561764436986</v>
      </c>
      <c r="AS41" s="62">
        <f t="shared" ca="1" si="19"/>
        <v>0.85905897250629693</v>
      </c>
      <c r="AT41" s="49"/>
      <c r="AW41" s="65"/>
      <c r="AX41" s="66"/>
    </row>
    <row r="42" spans="1:70" x14ac:dyDescent="0.3">
      <c r="A42" s="5">
        <v>43524</v>
      </c>
      <c r="B42" s="6">
        <v>68.190002000000007</v>
      </c>
      <c r="C42" s="6">
        <v>125.16999800000001</v>
      </c>
      <c r="D42" s="6">
        <v>81.559997999999993</v>
      </c>
      <c r="F42" s="13">
        <v>39</v>
      </c>
      <c r="G42" s="5">
        <v>43524</v>
      </c>
      <c r="H42" s="15">
        <f t="shared" si="5"/>
        <v>-1.1724316246461794E-3</v>
      </c>
      <c r="I42" s="15">
        <f t="shared" si="5"/>
        <v>-1.632369837229071E-2</v>
      </c>
      <c r="J42" s="15">
        <f t="shared" si="5"/>
        <v>-1.8585388351888738E-2</v>
      </c>
      <c r="K42" s="22"/>
      <c r="L42" s="13">
        <v>39</v>
      </c>
      <c r="M42" s="5">
        <v>43524</v>
      </c>
      <c r="N42" s="26">
        <f t="shared" si="2"/>
        <v>1.2060488290405231</v>
      </c>
      <c r="O42" s="26">
        <f t="shared" si="3"/>
        <v>1.1871205958436912</v>
      </c>
      <c r="P42" s="26">
        <f t="shared" si="4"/>
        <v>1.0794070958021995</v>
      </c>
      <c r="Q42" s="22"/>
      <c r="AD42" s="59">
        <v>38</v>
      </c>
      <c r="AE42" s="61">
        <f t="shared" ca="1" si="16"/>
        <v>-1.2373350762579651</v>
      </c>
      <c r="AF42" s="61">
        <f t="shared" ca="1" si="16"/>
        <v>0.17897580919708808</v>
      </c>
      <c r="AG42" s="61">
        <f t="shared" ca="1" si="16"/>
        <v>-0.43603328121691998</v>
      </c>
      <c r="AH42" s="19"/>
      <c r="AI42" s="61">
        <f ca="1"/>
        <v>-2.6830726212283204E-2</v>
      </c>
      <c r="AJ42" s="61">
        <f ca="1"/>
        <v>-1.5476965390422745E-2</v>
      </c>
      <c r="AK42" s="61">
        <f ca="1"/>
        <v>-2.8193024398818219E-2</v>
      </c>
      <c r="AL42" s="19"/>
      <c r="AM42" s="61">
        <f t="shared" ca="1" si="28"/>
        <v>-2.6479509889772958E-2</v>
      </c>
      <c r="AN42" s="61">
        <f t="shared" ca="1" si="29"/>
        <v>-1.5227912793506214E-2</v>
      </c>
      <c r="AO42" s="61">
        <f t="shared" ca="1" si="30"/>
        <v>-2.7761355795563401E-2</v>
      </c>
      <c r="AP42" s="19"/>
      <c r="AQ42" s="62">
        <f t="shared" ca="1" si="17"/>
        <v>0.86687301647617154</v>
      </c>
      <c r="AR42" s="62">
        <f t="shared" ca="1" si="18"/>
        <v>0.68462049391376556</v>
      </c>
      <c r="AS42" s="62">
        <f t="shared" ca="1" si="19"/>
        <v>0.83553832384942406</v>
      </c>
      <c r="AT42" s="49"/>
    </row>
    <row r="43" spans="1:70" x14ac:dyDescent="0.3">
      <c r="A43" s="5">
        <v>43525</v>
      </c>
      <c r="B43" s="6">
        <v>68.199996999999996</v>
      </c>
      <c r="C43" s="6">
        <v>126.970001</v>
      </c>
      <c r="D43" s="6">
        <v>82.889999000000003</v>
      </c>
      <c r="F43" s="13">
        <v>40</v>
      </c>
      <c r="G43" s="5">
        <v>43525</v>
      </c>
      <c r="H43" s="15">
        <f t="shared" si="5"/>
        <v>1.4656499877062381E-4</v>
      </c>
      <c r="I43" s="15">
        <f t="shared" si="5"/>
        <v>1.4278048595913667E-2</v>
      </c>
      <c r="J43" s="15">
        <f t="shared" si="5"/>
        <v>1.61754943548237E-2</v>
      </c>
      <c r="K43" s="22"/>
      <c r="L43" s="13">
        <v>40</v>
      </c>
      <c r="M43" s="5">
        <v>43525</v>
      </c>
      <c r="N43" s="26">
        <f t="shared" si="2"/>
        <v>1.2062256065400494</v>
      </c>
      <c r="O43" s="26">
        <f t="shared" si="3"/>
        <v>1.204191944154174</v>
      </c>
      <c r="P43" s="26">
        <f t="shared" si="4"/>
        <v>1.0970090152728698</v>
      </c>
      <c r="Q43" s="22"/>
      <c r="AD43" s="59">
        <v>39</v>
      </c>
      <c r="AE43" s="61">
        <f t="shared" ca="1" si="16"/>
        <v>1.0838883481745052</v>
      </c>
      <c r="AF43" s="61">
        <f t="shared" ca="1" si="16"/>
        <v>-0.55533746493197533</v>
      </c>
      <c r="AG43" s="61">
        <f t="shared" ca="1" si="16"/>
        <v>-0.45344213376034348</v>
      </c>
      <c r="AH43" s="19"/>
      <c r="AI43" s="61">
        <f ca="1"/>
        <v>2.3503343655709146E-2</v>
      </c>
      <c r="AJ43" s="61">
        <f ca="1"/>
        <v>4.8945617724357928E-3</v>
      </c>
      <c r="AK43" s="61">
        <f ca="1"/>
        <v>4.8693283332800624E-4</v>
      </c>
      <c r="AL43" s="19"/>
      <c r="AM43" s="61">
        <f t="shared" ca="1" si="28"/>
        <v>2.3854559978219392E-2</v>
      </c>
      <c r="AN43" s="61">
        <f t="shared" ca="1" si="29"/>
        <v>5.1436143693523234E-3</v>
      </c>
      <c r="AO43" s="61">
        <f t="shared" ca="1" si="30"/>
        <v>9.1860143658282448E-4</v>
      </c>
      <c r="AP43" s="19"/>
      <c r="AQ43" s="62">
        <f t="shared" ca="1" si="17"/>
        <v>0.88780050650198872</v>
      </c>
      <c r="AR43" s="62">
        <f t="shared" ca="1" si="18"/>
        <v>0.68815098969443855</v>
      </c>
      <c r="AS43" s="62">
        <f t="shared" ca="1" si="19"/>
        <v>0.8363062031875671</v>
      </c>
      <c r="AT43" s="49"/>
    </row>
    <row r="44" spans="1:70" x14ac:dyDescent="0.3">
      <c r="A44" s="5">
        <v>43528</v>
      </c>
      <c r="B44" s="6">
        <v>67.589995999999999</v>
      </c>
      <c r="C44" s="6">
        <v>125.41999800000001</v>
      </c>
      <c r="D44" s="6">
        <v>82.529999000000004</v>
      </c>
      <c r="F44" s="13">
        <v>41</v>
      </c>
      <c r="G44" s="5">
        <v>43528</v>
      </c>
      <c r="H44" s="15">
        <f t="shared" si="5"/>
        <v>-8.9845369292367392E-3</v>
      </c>
      <c r="I44" s="15">
        <f t="shared" si="5"/>
        <v>-1.2282756789121493E-2</v>
      </c>
      <c r="J44" s="15">
        <f t="shared" si="5"/>
        <v>-4.3525640514665278E-3</v>
      </c>
      <c r="K44" s="22"/>
      <c r="L44" s="13">
        <v>41</v>
      </c>
      <c r="M44" s="5">
        <v>43528</v>
      </c>
      <c r="N44" s="26">
        <f t="shared" si="2"/>
        <v>1.195436766971405</v>
      </c>
      <c r="O44" s="26">
        <f t="shared" si="3"/>
        <v>1.1894916124906749</v>
      </c>
      <c r="P44" s="26">
        <f t="shared" si="4"/>
        <v>1.0922445895247379</v>
      </c>
      <c r="Q44" s="22"/>
      <c r="AD44" s="59">
        <v>40</v>
      </c>
      <c r="AE44" s="61">
        <f t="shared" ca="1" si="16"/>
        <v>-0.16272701701660477</v>
      </c>
      <c r="AF44" s="61">
        <f t="shared" ca="1" si="16"/>
        <v>-5.017866637949002E-2</v>
      </c>
      <c r="AG44" s="61">
        <f t="shared" ca="1" si="16"/>
        <v>-0.83897071273982449</v>
      </c>
      <c r="AH44" s="19"/>
      <c r="AI44" s="61">
        <f ca="1"/>
        <v>-3.5286189850192301E-3</v>
      </c>
      <c r="AJ44" s="61">
        <f ca="1"/>
        <v>-3.6377426349034998E-3</v>
      </c>
      <c r="AK44" s="61">
        <f ca="1"/>
        <v>-2.4252153820360361E-2</v>
      </c>
      <c r="AL44" s="19"/>
      <c r="AM44" s="61">
        <f t="shared" ca="1" si="28"/>
        <v>-3.1774026625089858E-3</v>
      </c>
      <c r="AN44" s="61">
        <f t="shared" ca="1" si="29"/>
        <v>-3.3886900379869692E-3</v>
      </c>
      <c r="AO44" s="61">
        <f t="shared" ca="1" si="30"/>
        <v>-2.3820485217105544E-2</v>
      </c>
      <c r="AP44" s="19"/>
      <c r="AQ44" s="62">
        <f t="shared" ca="1" si="17"/>
        <v>0.8849840836331373</v>
      </c>
      <c r="AR44" s="62">
        <f t="shared" ca="1" si="18"/>
        <v>0.6858230059264605</v>
      </c>
      <c r="AS44" s="62">
        <f t="shared" ca="1" si="19"/>
        <v>0.81662037742644111</v>
      </c>
      <c r="AT44" s="49"/>
    </row>
    <row r="45" spans="1:70" x14ac:dyDescent="0.3">
      <c r="A45" s="5">
        <v>43529</v>
      </c>
      <c r="B45" s="6">
        <v>67.089995999999999</v>
      </c>
      <c r="C45" s="6">
        <v>124.870003</v>
      </c>
      <c r="D45" s="6">
        <v>81.150002000000001</v>
      </c>
      <c r="F45" s="13">
        <v>42</v>
      </c>
      <c r="G45" s="5">
        <v>43529</v>
      </c>
      <c r="H45" s="15">
        <f t="shared" si="5"/>
        <v>-7.4250419785180845E-3</v>
      </c>
      <c r="I45" s="15">
        <f t="shared" si="5"/>
        <v>-4.3948690164152425E-3</v>
      </c>
      <c r="J45" s="15">
        <f t="shared" si="5"/>
        <v>-1.6862532881469123E-2</v>
      </c>
      <c r="K45" s="22"/>
      <c r="L45" s="13">
        <v>42</v>
      </c>
      <c r="M45" s="5">
        <v>43529</v>
      </c>
      <c r="N45" s="26">
        <f t="shared" si="2"/>
        <v>1.1865934703467729</v>
      </c>
      <c r="O45" s="26">
        <f t="shared" si="3"/>
        <v>1.1842754232876436</v>
      </c>
      <c r="P45" s="26">
        <f t="shared" si="4"/>
        <v>1.0739809971937797</v>
      </c>
      <c r="Q45" s="22"/>
      <c r="AD45" s="59">
        <v>41</v>
      </c>
      <c r="AE45" s="61">
        <f t="shared" ca="1" si="16"/>
        <v>1.0485272999185717</v>
      </c>
      <c r="AF45" s="61">
        <f t="shared" ca="1" si="16"/>
        <v>0.34827546630415684</v>
      </c>
      <c r="AG45" s="61">
        <f t="shared" ca="1" si="16"/>
        <v>0.63245213339193385</v>
      </c>
      <c r="AH45" s="19"/>
      <c r="AI45" s="61">
        <f ca="1"/>
        <v>2.273656461376717E-2</v>
      </c>
      <c r="AJ45" s="61">
        <f ca="1"/>
        <v>2.3982025283995477E-2</v>
      </c>
      <c r="AK45" s="61">
        <f ca="1"/>
        <v>3.4148674956541225E-2</v>
      </c>
      <c r="AL45" s="19"/>
      <c r="AM45" s="61">
        <f t="shared" ca="1" si="28"/>
        <v>2.3087780936277415E-2</v>
      </c>
      <c r="AN45" s="61">
        <f t="shared" ca="1" si="29"/>
        <v>2.4231077880912007E-2</v>
      </c>
      <c r="AO45" s="61">
        <f t="shared" ca="1" si="30"/>
        <v>3.4580343559796042E-2</v>
      </c>
      <c r="AP45" s="19"/>
      <c r="AQ45" s="62">
        <f t="shared" ca="1" si="17"/>
        <v>0.90565409648902562</v>
      </c>
      <c r="AR45" s="62">
        <f t="shared" ca="1" si="18"/>
        <v>0.70264421153445533</v>
      </c>
      <c r="AS45" s="62">
        <f t="shared" ca="1" si="19"/>
        <v>0.84535332505445571</v>
      </c>
      <c r="AT45" s="49"/>
    </row>
    <row r="46" spans="1:70" x14ac:dyDescent="0.3">
      <c r="A46" s="5">
        <v>43530</v>
      </c>
      <c r="B46" s="6">
        <v>65.779999000000004</v>
      </c>
      <c r="C46" s="6">
        <v>124.089996</v>
      </c>
      <c r="D46" s="6">
        <v>81.349997999999999</v>
      </c>
      <c r="F46" s="13">
        <v>43</v>
      </c>
      <c r="G46" s="5">
        <v>43530</v>
      </c>
      <c r="H46" s="15">
        <f t="shared" si="5"/>
        <v>-1.971911639466907E-2</v>
      </c>
      <c r="I46" s="15">
        <f t="shared" si="5"/>
        <v>-6.2661436001800672E-3</v>
      </c>
      <c r="J46" s="15">
        <f t="shared" si="5"/>
        <v>2.4614904736028186E-3</v>
      </c>
      <c r="K46" s="22"/>
      <c r="L46" s="13">
        <v>43</v>
      </c>
      <c r="M46" s="5">
        <v>43530</v>
      </c>
      <c r="N46" s="26">
        <f t="shared" si="2"/>
        <v>1.1634240862500163</v>
      </c>
      <c r="O46" s="26">
        <f t="shared" si="3"/>
        <v>1.1768777849605883</v>
      </c>
      <c r="P46" s="26">
        <f t="shared" si="4"/>
        <v>1.0766278474491227</v>
      </c>
      <c r="Q46" s="22"/>
      <c r="AD46" s="59">
        <v>42</v>
      </c>
      <c r="AE46" s="61">
        <f t="shared" ca="1" si="16"/>
        <v>1.6979616068261942</v>
      </c>
      <c r="AF46" s="61">
        <f t="shared" ca="1" si="16"/>
        <v>0.83499740081706164</v>
      </c>
      <c r="AG46" s="61">
        <f t="shared" ca="1" si="16"/>
        <v>1.4156985682627965E-2</v>
      </c>
      <c r="AH46" s="19"/>
      <c r="AI46" s="61">
        <f ca="1"/>
        <v>3.6819083097118989E-2</v>
      </c>
      <c r="AJ46" s="61">
        <f ca="1"/>
        <v>4.4726587052043618E-2</v>
      </c>
      <c r="AK46" s="61">
        <f ca="1"/>
        <v>3.1331447624500242E-2</v>
      </c>
      <c r="AL46" s="19"/>
      <c r="AM46" s="61">
        <f t="shared" ca="1" si="28"/>
        <v>3.7170299419629231E-2</v>
      </c>
      <c r="AN46" s="61">
        <f t="shared" ca="1" si="29"/>
        <v>4.4975639648960147E-2</v>
      </c>
      <c r="AO46" s="61">
        <f t="shared" ca="1" si="30"/>
        <v>3.1763116227755059E-2</v>
      </c>
      <c r="AP46" s="19"/>
      <c r="AQ46" s="62">
        <f t="shared" ca="1" si="17"/>
        <v>0.93995099469962107</v>
      </c>
      <c r="AR46" s="62">
        <f t="shared" ca="1" si="18"/>
        <v>0.73496751658385073</v>
      </c>
      <c r="AS46" s="62">
        <f t="shared" ca="1" si="19"/>
        <v>0.87263536864326519</v>
      </c>
      <c r="AT46" s="49"/>
    </row>
    <row r="47" spans="1:70" x14ac:dyDescent="0.3">
      <c r="A47" s="5">
        <v>43531</v>
      </c>
      <c r="B47" s="6">
        <v>65.440002000000007</v>
      </c>
      <c r="C47" s="6">
        <v>123.349998</v>
      </c>
      <c r="D47" s="6">
        <v>80.589995999999999</v>
      </c>
      <c r="F47" s="13">
        <v>44</v>
      </c>
      <c r="G47" s="5">
        <v>43531</v>
      </c>
      <c r="H47" s="15">
        <f t="shared" si="5"/>
        <v>-5.1821027018832694E-3</v>
      </c>
      <c r="I47" s="15">
        <f t="shared" si="5"/>
        <v>-5.9812497905188337E-3</v>
      </c>
      <c r="J47" s="15">
        <f t="shared" si="5"/>
        <v>-9.3862863774513521E-3</v>
      </c>
      <c r="K47" s="22"/>
      <c r="L47" s="13">
        <v>44</v>
      </c>
      <c r="M47" s="5">
        <v>43531</v>
      </c>
      <c r="N47" s="26">
        <f t="shared" si="2"/>
        <v>1.1574106976050462</v>
      </c>
      <c r="O47" s="26">
        <f t="shared" si="3"/>
        <v>1.1698595946536494</v>
      </c>
      <c r="P47" s="26">
        <f t="shared" si="4"/>
        <v>1.0665695888451454</v>
      </c>
      <c r="Q47" s="22"/>
      <c r="AD47" s="59">
        <v>43</v>
      </c>
      <c r="AE47" s="61">
        <f t="shared" ca="1" si="16"/>
        <v>0.48528516249209652</v>
      </c>
      <c r="AF47" s="61">
        <f t="shared" ca="1" si="16"/>
        <v>0.31976496753006806</v>
      </c>
      <c r="AG47" s="61">
        <f t="shared" ca="1" si="16"/>
        <v>0.34153271534283763</v>
      </c>
      <c r="AH47" s="19"/>
      <c r="AI47" s="61">
        <f ca="1"/>
        <v>1.0523061682762984E-2</v>
      </c>
      <c r="AJ47" s="61">
        <f ca="1"/>
        <v>1.4546264315892919E-2</v>
      </c>
      <c r="AK47" s="61">
        <f ca="1"/>
        <v>1.8172338316097356E-2</v>
      </c>
      <c r="AL47" s="19"/>
      <c r="AM47" s="61">
        <f t="shared" ca="1" si="28"/>
        <v>1.0874278005273227E-2</v>
      </c>
      <c r="AN47" s="61">
        <f t="shared" ca="1" si="29"/>
        <v>1.4795316912809451E-2</v>
      </c>
      <c r="AO47" s="61">
        <f t="shared" ca="1" si="30"/>
        <v>1.8604006919352174E-2</v>
      </c>
      <c r="AP47" s="19"/>
      <c r="AQ47" s="62">
        <f t="shared" ca="1" si="17"/>
        <v>0.95022805968654589</v>
      </c>
      <c r="AR47" s="62">
        <f t="shared" ca="1" si="18"/>
        <v>0.74592243481933507</v>
      </c>
      <c r="AS47" s="62">
        <f t="shared" ca="1" si="19"/>
        <v>0.889021837446339</v>
      </c>
      <c r="AT47" s="49"/>
    </row>
    <row r="48" spans="1:70" x14ac:dyDescent="0.3">
      <c r="A48" s="5">
        <v>43532</v>
      </c>
      <c r="B48" s="6">
        <v>64.680000000000007</v>
      </c>
      <c r="C48" s="6">
        <v>122.05999799999999</v>
      </c>
      <c r="D48" s="6">
        <v>79.75</v>
      </c>
      <c r="F48" s="13">
        <v>45</v>
      </c>
      <c r="G48" s="5">
        <v>43532</v>
      </c>
      <c r="H48" s="15">
        <f t="shared" si="5"/>
        <v>-1.1681688147932278E-2</v>
      </c>
      <c r="I48" s="15">
        <f t="shared" si="5"/>
        <v>-1.0513116030376E-2</v>
      </c>
      <c r="J48" s="15">
        <f t="shared" si="5"/>
        <v>-1.0477781037515187E-2</v>
      </c>
      <c r="K48" s="22"/>
      <c r="L48" s="13">
        <v>45</v>
      </c>
      <c r="M48" s="5">
        <v>43532</v>
      </c>
      <c r="N48" s="26">
        <f t="shared" si="2"/>
        <v>1.1439688513624189</v>
      </c>
      <c r="O48" s="26">
        <f t="shared" si="3"/>
        <v>1.1576251487552134</v>
      </c>
      <c r="P48" s="26">
        <f t="shared" si="4"/>
        <v>1.0554526483709012</v>
      </c>
      <c r="Q48" s="22"/>
      <c r="AD48" s="59">
        <v>44</v>
      </c>
      <c r="AE48" s="61">
        <f t="shared" ca="1" si="16"/>
        <v>0.92730717439476662</v>
      </c>
      <c r="AF48" s="61">
        <f t="shared" ca="1" si="16"/>
        <v>-0.78576611005110752</v>
      </c>
      <c r="AG48" s="61">
        <f t="shared" ca="1" si="16"/>
        <v>-0.20742008072773374</v>
      </c>
      <c r="AH48" s="19"/>
      <c r="AI48" s="61">
        <f ca="1"/>
        <v>2.0107992885901808E-2</v>
      </c>
      <c r="AJ48" s="61">
        <f ca="1"/>
        <v>-2.5649007598238793E-3</v>
      </c>
      <c r="AK48" s="61">
        <f ca="1"/>
        <v>2.8536497709327462E-3</v>
      </c>
      <c r="AL48" s="19"/>
      <c r="AM48" s="61">
        <f t="shared" ca="1" si="28"/>
        <v>2.0459209208412054E-2</v>
      </c>
      <c r="AN48" s="61">
        <f t="shared" ca="1" si="29"/>
        <v>-2.3158481629073488E-3</v>
      </c>
      <c r="AO48" s="61">
        <f t="shared" ca="1" si="30"/>
        <v>3.2853183741875644E-3</v>
      </c>
      <c r="AP48" s="19"/>
      <c r="AQ48" s="62">
        <f t="shared" ca="1" si="17"/>
        <v>0.96986921045162178</v>
      </c>
      <c r="AR48" s="62">
        <f t="shared" ca="1" si="18"/>
        <v>0.74419699042375587</v>
      </c>
      <c r="AS48" s="62">
        <f t="shared" ca="1" si="19"/>
        <v>0.8919473602294915</v>
      </c>
      <c r="AT48" s="49"/>
    </row>
    <row r="49" spans="1:46" x14ac:dyDescent="0.3">
      <c r="A49" s="5">
        <v>43535</v>
      </c>
      <c r="B49" s="6">
        <v>65.010002</v>
      </c>
      <c r="C49" s="6">
        <v>123.459999</v>
      </c>
      <c r="D49" s="6">
        <v>83.480002999999996</v>
      </c>
      <c r="F49" s="13">
        <v>46</v>
      </c>
      <c r="G49" s="5">
        <v>43535</v>
      </c>
      <c r="H49" s="15">
        <f t="shared" si="5"/>
        <v>5.0891002719684253E-3</v>
      </c>
      <c r="I49" s="15">
        <f t="shared" si="5"/>
        <v>1.1404498134995958E-2</v>
      </c>
      <c r="J49" s="15">
        <f t="shared" si="5"/>
        <v>4.5710376480796677E-2</v>
      </c>
      <c r="K49" s="22"/>
      <c r="L49" s="13">
        <v>46</v>
      </c>
      <c r="M49" s="5">
        <v>43535</v>
      </c>
      <c r="N49" s="26">
        <f t="shared" si="2"/>
        <v>1.1498054625078624</v>
      </c>
      <c r="O49" s="26">
        <f t="shared" si="3"/>
        <v>1.1709028514623889</v>
      </c>
      <c r="P49" s="26">
        <f t="shared" si="4"/>
        <v>1.1048174326314832</v>
      </c>
      <c r="Q49" s="22"/>
      <c r="AD49" s="59">
        <v>45</v>
      </c>
      <c r="AE49" s="61">
        <f t="shared" ca="1" si="16"/>
        <v>-1.2472959519381326</v>
      </c>
      <c r="AF49" s="61">
        <f t="shared" ca="1" si="16"/>
        <v>-0.6884503445507697</v>
      </c>
      <c r="AG49" s="61">
        <f t="shared" ca="1" si="16"/>
        <v>0.86313485364332698</v>
      </c>
      <c r="AH49" s="19"/>
      <c r="AI49" s="61">
        <f ca="1"/>
        <v>-2.7046720677596045E-2</v>
      </c>
      <c r="AJ49" s="61">
        <f ca="1"/>
        <v>-3.4487266537705681E-2</v>
      </c>
      <c r="AK49" s="61">
        <f ca="1"/>
        <v>-1.1643870593489383E-3</v>
      </c>
      <c r="AL49" s="19"/>
      <c r="AM49" s="61">
        <f t="shared" ca="1" si="28"/>
        <v>-2.6695504355085799E-2</v>
      </c>
      <c r="AN49" s="61">
        <f t="shared" ca="1" si="29"/>
        <v>-3.4238213940789151E-2</v>
      </c>
      <c r="AO49" s="61">
        <f t="shared" ca="1" si="30"/>
        <v>-7.3271845609412009E-4</v>
      </c>
      <c r="AP49" s="19"/>
      <c r="AQ49" s="62">
        <f t="shared" ca="1" si="17"/>
        <v>0.94432059653734168</v>
      </c>
      <c r="AR49" s="62">
        <f t="shared" ca="1" si="18"/>
        <v>0.71914827323044417</v>
      </c>
      <c r="AS49" s="62">
        <f t="shared" ca="1" si="19"/>
        <v>0.89129405331103406</v>
      </c>
      <c r="AT49" s="49"/>
    </row>
    <row r="50" spans="1:46" x14ac:dyDescent="0.3">
      <c r="A50" s="5">
        <v>43536</v>
      </c>
      <c r="B50" s="6">
        <v>65.160004000000001</v>
      </c>
      <c r="C50" s="6">
        <v>122.849998</v>
      </c>
      <c r="D50" s="6">
        <v>83.849997999999999</v>
      </c>
      <c r="F50" s="13">
        <v>47</v>
      </c>
      <c r="G50" s="5">
        <v>43536</v>
      </c>
      <c r="H50" s="15">
        <f t="shared" si="5"/>
        <v>2.3047101403221187E-3</v>
      </c>
      <c r="I50" s="15">
        <f t="shared" si="5"/>
        <v>-4.9531261787886744E-3</v>
      </c>
      <c r="J50" s="15">
        <f t="shared" si="5"/>
        <v>4.4223462713499813E-3</v>
      </c>
      <c r="K50" s="22"/>
      <c r="L50" s="13">
        <v>47</v>
      </c>
      <c r="M50" s="5">
        <v>43536</v>
      </c>
      <c r="N50" s="26">
        <f t="shared" si="2"/>
        <v>1.1524584868684387</v>
      </c>
      <c r="O50" s="26">
        <f t="shared" si="3"/>
        <v>1.165117561359682</v>
      </c>
      <c r="P50" s="26">
        <f t="shared" si="4"/>
        <v>1.1097141373667057</v>
      </c>
      <c r="Q50" s="22"/>
      <c r="AD50" s="59">
        <v>46</v>
      </c>
      <c r="AE50" s="61">
        <f t="shared" ca="1" si="16"/>
        <v>-0.84244477716041932</v>
      </c>
      <c r="AF50" s="61">
        <f t="shared" ca="1" si="16"/>
        <v>5.2714837479705422E-2</v>
      </c>
      <c r="AG50" s="61">
        <f t="shared" ca="1" si="16"/>
        <v>4.9863030760343208E-2</v>
      </c>
      <c r="AH50" s="19"/>
      <c r="AI50" s="61">
        <f ca="1"/>
        <v>-1.8267812493700523E-2</v>
      </c>
      <c r="AJ50" s="61">
        <f ca="1"/>
        <v>-1.2040419693423447E-2</v>
      </c>
      <c r="AK50" s="61">
        <f ca="1"/>
        <v>-1.0798850824316491E-2</v>
      </c>
      <c r="AL50" s="19"/>
      <c r="AM50" s="61">
        <f t="shared" ca="1" si="28"/>
        <v>-1.7916596171190277E-2</v>
      </c>
      <c r="AN50" s="61">
        <f t="shared" ca="1" si="29"/>
        <v>-1.1791367096506916E-2</v>
      </c>
      <c r="AO50" s="61">
        <f t="shared" ca="1" si="30"/>
        <v>-1.0367182221061672E-2</v>
      </c>
      <c r="AP50" s="19"/>
      <c r="AQ50" s="62">
        <f t="shared" ca="1" si="17"/>
        <v>0.92755225015537679</v>
      </c>
      <c r="AR50" s="62">
        <f t="shared" ca="1" si="18"/>
        <v>0.7107183298943488</v>
      </c>
      <c r="AS50" s="62">
        <f t="shared" ca="1" si="19"/>
        <v>0.88210157781469367</v>
      </c>
      <c r="AT50" s="49"/>
    </row>
    <row r="51" spans="1:46" x14ac:dyDescent="0.3">
      <c r="A51" s="5">
        <v>43537</v>
      </c>
      <c r="B51" s="6">
        <v>65.620002999999997</v>
      </c>
      <c r="C51" s="6">
        <v>121.68</v>
      </c>
      <c r="D51" s="6">
        <v>84.220000999999996</v>
      </c>
      <c r="F51" s="13">
        <v>48</v>
      </c>
      <c r="G51" s="5">
        <v>43537</v>
      </c>
      <c r="H51" s="15">
        <f t="shared" si="5"/>
        <v>7.0347281295267778E-3</v>
      </c>
      <c r="I51" s="15">
        <f t="shared" si="5"/>
        <v>-9.5694347361342229E-3</v>
      </c>
      <c r="J51" s="15">
        <f t="shared" si="5"/>
        <v>4.4029701903451979E-3</v>
      </c>
      <c r="K51" s="22"/>
      <c r="L51" s="13">
        <v>48</v>
      </c>
      <c r="M51" s="5">
        <v>43537</v>
      </c>
      <c r="N51" s="26">
        <f t="shared" si="2"/>
        <v>1.1605943020765068</v>
      </c>
      <c r="O51" s="26">
        <f t="shared" si="3"/>
        <v>1.1540212224199313</v>
      </c>
      <c r="P51" s="26">
        <f t="shared" si="4"/>
        <v>1.1146109479780559</v>
      </c>
      <c r="Q51" s="22"/>
      <c r="AD51" s="59">
        <v>47</v>
      </c>
      <c r="AE51" s="61">
        <f t="shared" ca="1" si="16"/>
        <v>-1.5150904016556126</v>
      </c>
      <c r="AF51" s="61">
        <f t="shared" ca="1" si="16"/>
        <v>-1.5066266894775953</v>
      </c>
      <c r="AG51" s="61">
        <f t="shared" ca="1" si="16"/>
        <v>-0.27627116470488394</v>
      </c>
      <c r="AH51" s="19"/>
      <c r="AI51" s="61">
        <f ca="1"/>
        <v>-3.2853651798686129E-2</v>
      </c>
      <c r="AJ51" s="61">
        <f ca="1"/>
        <v>-5.6462771200474507E-2</v>
      </c>
      <c r="AK51" s="61">
        <f ca="1"/>
        <v>-4.0074702068748511E-2</v>
      </c>
      <c r="AL51" s="19"/>
      <c r="AM51" s="61">
        <f t="shared" ca="1" si="28"/>
        <v>-3.2502435476175887E-2</v>
      </c>
      <c r="AN51" s="61">
        <f t="shared" ca="1" si="29"/>
        <v>-5.6213718603557977E-2</v>
      </c>
      <c r="AO51" s="61">
        <f t="shared" ca="1" si="30"/>
        <v>-3.9643033465493693E-2</v>
      </c>
      <c r="AP51" s="19"/>
      <c r="AQ51" s="62">
        <f t="shared" ca="1" si="17"/>
        <v>0.89788921475149419</v>
      </c>
      <c r="AR51" s="62">
        <f t="shared" ca="1" si="18"/>
        <v>0.67186838939070981</v>
      </c>
      <c r="AS51" s="62">
        <f t="shared" ca="1" si="19"/>
        <v>0.84781646832042745</v>
      </c>
      <c r="AT51" s="49"/>
    </row>
    <row r="52" spans="1:46" x14ac:dyDescent="0.3">
      <c r="A52" s="5">
        <v>43538</v>
      </c>
      <c r="B52" s="6">
        <v>65.339995999999999</v>
      </c>
      <c r="C52" s="6">
        <v>121.529999</v>
      </c>
      <c r="D52" s="6">
        <v>84.940002000000007</v>
      </c>
      <c r="F52" s="13">
        <v>49</v>
      </c>
      <c r="G52" s="5">
        <v>43538</v>
      </c>
      <c r="H52" s="15">
        <f t="shared" si="5"/>
        <v>-4.2762282960442993E-3</v>
      </c>
      <c r="I52" s="15">
        <f t="shared" si="5"/>
        <v>-1.2335102967495667E-3</v>
      </c>
      <c r="J52" s="15">
        <f t="shared" si="5"/>
        <v>8.5127138237116942E-3</v>
      </c>
      <c r="K52" s="22"/>
      <c r="L52" s="13">
        <v>49</v>
      </c>
      <c r="M52" s="5">
        <v>43538</v>
      </c>
      <c r="N52" s="26">
        <f t="shared" si="2"/>
        <v>1.1556419321605602</v>
      </c>
      <c r="O52" s="26">
        <f t="shared" si="3"/>
        <v>1.1525986029476745</v>
      </c>
      <c r="P52" s="26">
        <f t="shared" si="4"/>
        <v>1.1241398127088358</v>
      </c>
      <c r="Q52" s="22"/>
      <c r="AD52" s="59">
        <v>48</v>
      </c>
      <c r="AE52" s="61">
        <f t="shared" ca="1" si="16"/>
        <v>-0.64047990880328343</v>
      </c>
      <c r="AF52" s="61">
        <f t="shared" ca="1" si="16"/>
        <v>0.30436936009240728</v>
      </c>
      <c r="AG52" s="61">
        <f t="shared" ca="1" si="16"/>
        <v>-2.2055455568636213</v>
      </c>
      <c r="AH52" s="19"/>
      <c r="AI52" s="61">
        <f ca="1"/>
        <v>-1.3888348764458935E-2</v>
      </c>
      <c r="AJ52" s="61">
        <f ca="1"/>
        <v>-3.4092301906388928E-3</v>
      </c>
      <c r="AK52" s="61">
        <f ca="1"/>
        <v>-6.382590930424914E-2</v>
      </c>
      <c r="AL52" s="19"/>
      <c r="AM52" s="61">
        <f t="shared" ca="1" si="28"/>
        <v>-1.3537132441948692E-2</v>
      </c>
      <c r="AN52" s="61">
        <f t="shared" ca="1" si="29"/>
        <v>-3.1601775937223622E-3</v>
      </c>
      <c r="AO52" s="61">
        <f t="shared" ca="1" si="30"/>
        <v>-6.3394240700994323E-2</v>
      </c>
      <c r="AP52" s="19"/>
      <c r="AQ52" s="62">
        <f t="shared" ca="1" si="17"/>
        <v>0.88581627042370703</v>
      </c>
      <c r="AR52" s="62">
        <f t="shared" ca="1" si="18"/>
        <v>0.66974851731096519</v>
      </c>
      <c r="AS52" s="62">
        <f t="shared" ca="1" si="19"/>
        <v>0.79573796567503507</v>
      </c>
      <c r="AT52" s="49"/>
    </row>
    <row r="53" spans="1:46" x14ac:dyDescent="0.3">
      <c r="A53" s="5">
        <v>43539</v>
      </c>
      <c r="B53" s="6">
        <v>65.930000000000007</v>
      </c>
      <c r="C53" s="6">
        <v>120.779999</v>
      </c>
      <c r="D53" s="6">
        <v>85.080001999999993</v>
      </c>
      <c r="F53" s="13">
        <v>50</v>
      </c>
      <c r="G53" s="5">
        <v>43539</v>
      </c>
      <c r="H53" s="15">
        <f t="shared" si="5"/>
        <v>8.9892281705291743E-3</v>
      </c>
      <c r="I53" s="15">
        <f t="shared" si="5"/>
        <v>-6.1904370540492425E-3</v>
      </c>
      <c r="J53" s="15">
        <f t="shared" si="5"/>
        <v>1.6468654081659229E-3</v>
      </c>
      <c r="K53" s="22"/>
      <c r="L53" s="13">
        <v>50</v>
      </c>
      <c r="M53" s="5">
        <v>43539</v>
      </c>
      <c r="N53" s="26">
        <f t="shared" si="2"/>
        <v>1.1660770929239992</v>
      </c>
      <c r="O53" s="26">
        <f t="shared" si="3"/>
        <v>1.1454855530067232</v>
      </c>
      <c r="P53" s="26">
        <f t="shared" si="4"/>
        <v>1.1259926449442204</v>
      </c>
      <c r="Q53" s="22"/>
      <c r="AD53" s="59">
        <v>49</v>
      </c>
      <c r="AE53" s="61">
        <f t="shared" ca="1" si="16"/>
        <v>0.71504227590262515</v>
      </c>
      <c r="AF53" s="61">
        <f t="shared" ca="1" si="16"/>
        <v>0.21438961428621245</v>
      </c>
      <c r="AG53" s="61">
        <f t="shared" ca="1" si="16"/>
        <v>-1.8379348674272971</v>
      </c>
      <c r="AH53" s="19"/>
      <c r="AI53" s="61">
        <f ca="1"/>
        <v>1.5505180369550444E-2</v>
      </c>
      <c r="AJ53" s="61">
        <f ca="1"/>
        <v>1.5852059760038104E-2</v>
      </c>
      <c r="AK53" s="61">
        <f ca="1"/>
        <v>-3.50128382942307E-2</v>
      </c>
      <c r="AL53" s="19"/>
      <c r="AM53" s="61">
        <f t="shared" ca="1" si="28"/>
        <v>1.5856396692060688E-2</v>
      </c>
      <c r="AN53" s="61">
        <f t="shared" ca="1" si="29"/>
        <v>1.6101112356954633E-2</v>
      </c>
      <c r="AO53" s="61">
        <f t="shared" ca="1" si="30"/>
        <v>-3.4581169690975883E-2</v>
      </c>
      <c r="AP53" s="19"/>
      <c r="AQ53" s="62">
        <f t="shared" ca="1" si="17"/>
        <v>0.89997407384287131</v>
      </c>
      <c r="AR53" s="62">
        <f t="shared" ca="1" si="18"/>
        <v>0.68061949601019256</v>
      </c>
      <c r="AS53" s="62">
        <f t="shared" ca="1" si="19"/>
        <v>0.7686907731596524</v>
      </c>
      <c r="AT53" s="49"/>
    </row>
    <row r="54" spans="1:46" x14ac:dyDescent="0.3">
      <c r="A54" s="5">
        <v>43542</v>
      </c>
      <c r="B54" s="6">
        <v>66.620002999999997</v>
      </c>
      <c r="C54" s="6">
        <v>124.209999</v>
      </c>
      <c r="D54" s="6">
        <v>86.75</v>
      </c>
      <c r="F54" s="13">
        <v>51</v>
      </c>
      <c r="G54" s="5">
        <v>43542</v>
      </c>
      <c r="H54" s="15">
        <f t="shared" si="5"/>
        <v>1.0411304671846238E-2</v>
      </c>
      <c r="I54" s="15">
        <f t="shared" si="5"/>
        <v>2.8002972904982035E-2</v>
      </c>
      <c r="J54" s="15">
        <f t="shared" si="5"/>
        <v>1.9438404987645291E-2</v>
      </c>
      <c r="K54" s="22"/>
      <c r="L54" s="13">
        <v>51</v>
      </c>
      <c r="M54" s="5">
        <v>43542</v>
      </c>
      <c r="N54" s="26">
        <f t="shared" si="2"/>
        <v>1.1782808953257713</v>
      </c>
      <c r="O54" s="26">
        <f t="shared" si="3"/>
        <v>1.1780159014033402</v>
      </c>
      <c r="P54" s="26">
        <f t="shared" si="4"/>
        <v>1.148094260140134</v>
      </c>
      <c r="Q54" s="22"/>
      <c r="AD54" s="59">
        <v>50</v>
      </c>
      <c r="AE54" s="61">
        <f t="shared" ca="1" si="16"/>
        <v>-0.36315192582681605</v>
      </c>
      <c r="AF54" s="61">
        <f t="shared" ca="1" si="16"/>
        <v>-0.17673731184211638</v>
      </c>
      <c r="AG54" s="61">
        <f t="shared" ca="1" si="16"/>
        <v>0.38856186308714197</v>
      </c>
      <c r="AH54" s="19"/>
      <c r="AI54" s="61">
        <f ca="1"/>
        <v>-7.8746897928328695E-3</v>
      </c>
      <c r="AJ54" s="61">
        <f ca="1"/>
        <v>-9.5257419815273671E-3</v>
      </c>
      <c r="AK54" s="61">
        <f ca="1"/>
        <v>3.3445039157757039E-3</v>
      </c>
      <c r="AL54" s="19"/>
      <c r="AM54" s="61">
        <f t="shared" ca="1" si="28"/>
        <v>-7.5234734703226256E-3</v>
      </c>
      <c r="AN54" s="61">
        <f t="shared" ca="1" si="29"/>
        <v>-9.2766893846108357E-3</v>
      </c>
      <c r="AO54" s="61">
        <f t="shared" ca="1" si="30"/>
        <v>3.7761725190305221E-3</v>
      </c>
      <c r="AP54" s="19"/>
      <c r="AQ54" s="62">
        <f t="shared" ca="1" si="17"/>
        <v>0.89322854947898511</v>
      </c>
      <c r="AR54" s="62">
        <f t="shared" ca="1" si="18"/>
        <v>0.67433479603150415</v>
      </c>
      <c r="AS54" s="62">
        <f t="shared" ca="1" si="19"/>
        <v>0.7715989696028549</v>
      </c>
      <c r="AT54" s="49"/>
    </row>
    <row r="55" spans="1:46" x14ac:dyDescent="0.3">
      <c r="A55" s="5">
        <v>43543</v>
      </c>
      <c r="B55" s="6">
        <v>66.690002000000007</v>
      </c>
      <c r="C55" s="6">
        <v>124.80999799999999</v>
      </c>
      <c r="D55" s="6">
        <v>86.43</v>
      </c>
      <c r="F55" s="13">
        <v>52</v>
      </c>
      <c r="G55" s="5">
        <v>43543</v>
      </c>
      <c r="H55" s="15">
        <f t="shared" si="5"/>
        <v>1.0501688366635544E-3</v>
      </c>
      <c r="I55" s="15">
        <f t="shared" si="5"/>
        <v>4.8188914007844166E-3</v>
      </c>
      <c r="J55" s="15">
        <f t="shared" si="5"/>
        <v>-3.6955810624217204E-3</v>
      </c>
      <c r="K55" s="22"/>
      <c r="L55" s="13">
        <v>52</v>
      </c>
      <c r="M55" s="5">
        <v>43543</v>
      </c>
      <c r="N55" s="26">
        <f t="shared" si="2"/>
        <v>1.1795189391666268</v>
      </c>
      <c r="O55" s="26">
        <f t="shared" si="3"/>
        <v>1.1837063318720344</v>
      </c>
      <c r="P55" s="26">
        <f t="shared" si="4"/>
        <v>1.1438592150306834</v>
      </c>
      <c r="Q55" s="22"/>
      <c r="AD55" s="59">
        <v>51</v>
      </c>
      <c r="AE55" s="61">
        <f t="shared" ca="1" si="16"/>
        <v>-1.2964197800621369</v>
      </c>
      <c r="AF55" s="61">
        <f t="shared" ca="1" si="16"/>
        <v>-0.48146975431094008</v>
      </c>
      <c r="AG55" s="61">
        <f t="shared" ca="1" si="16"/>
        <v>0.87034970325043026</v>
      </c>
      <c r="AH55" s="19"/>
      <c r="AI55" s="61">
        <f ca="1"/>
        <v>-2.8111935758122566E-2</v>
      </c>
      <c r="AJ55" s="61">
        <f ca="1"/>
        <v>-3.0757235540480661E-2</v>
      </c>
      <c r="AK55" s="61">
        <f ca="1"/>
        <v>-2.4772165263494197E-4</v>
      </c>
      <c r="AL55" s="19"/>
      <c r="AM55" s="61">
        <f t="shared" ca="1" si="28"/>
        <v>-2.776071943561232E-2</v>
      </c>
      <c r="AN55" s="61">
        <f t="shared" ca="1" si="29"/>
        <v>-3.0508182943564131E-2</v>
      </c>
      <c r="AO55" s="61">
        <f t="shared" ca="1" si="30"/>
        <v>1.8394695061987626E-4</v>
      </c>
      <c r="AP55" s="19"/>
      <c r="AQ55" s="62">
        <f t="shared" ca="1" si="17"/>
        <v>0.86877290601049728</v>
      </c>
      <c r="AR55" s="62">
        <f t="shared" ca="1" si="18"/>
        <v>0.65407271785463639</v>
      </c>
      <c r="AS55" s="62">
        <f t="shared" ca="1" si="19"/>
        <v>0.77174091593531191</v>
      </c>
      <c r="AT55" s="49"/>
    </row>
    <row r="56" spans="1:46" x14ac:dyDescent="0.3">
      <c r="A56" s="5">
        <v>43544</v>
      </c>
      <c r="B56" s="6">
        <v>65.199996999999996</v>
      </c>
      <c r="C56" s="6">
        <v>122.75</v>
      </c>
      <c r="D56" s="6">
        <v>86.440002000000007</v>
      </c>
      <c r="F56" s="13">
        <v>53</v>
      </c>
      <c r="G56" s="5">
        <v>43544</v>
      </c>
      <c r="H56" s="15">
        <f t="shared" si="5"/>
        <v>-2.2595623713382033E-2</v>
      </c>
      <c r="I56" s="15">
        <f t="shared" si="5"/>
        <v>-1.6642798231375225E-2</v>
      </c>
      <c r="J56" s="15">
        <f t="shared" si="5"/>
        <v>1.157170115745145E-4</v>
      </c>
      <c r="K56" s="22"/>
      <c r="L56" s="13">
        <v>53</v>
      </c>
      <c r="M56" s="5">
        <v>43544</v>
      </c>
      <c r="N56" s="26">
        <f t="shared" si="2"/>
        <v>1.1531658267922564</v>
      </c>
      <c r="O56" s="26">
        <f t="shared" si="3"/>
        <v>1.1641691736690216</v>
      </c>
      <c r="P56" s="26">
        <f t="shared" si="4"/>
        <v>1.1439915866593857</v>
      </c>
      <c r="Q56" s="22"/>
      <c r="AD56" s="59">
        <v>52</v>
      </c>
      <c r="AE56" s="61">
        <f t="shared" ca="1" si="16"/>
        <v>-0.12116640367932169</v>
      </c>
      <c r="AF56" s="61">
        <f t="shared" ca="1" si="16"/>
        <v>5.592392900340222E-2</v>
      </c>
      <c r="AG56" s="61">
        <f t="shared" ca="1" si="16"/>
        <v>-1.0813870835514321</v>
      </c>
      <c r="AH56" s="19"/>
      <c r="AI56" s="61">
        <f ca="1"/>
        <v>-2.6274068080884864E-3</v>
      </c>
      <c r="AJ56" s="61">
        <f ca="1"/>
        <v>-6.8097398892538697E-4</v>
      </c>
      <c r="AK56" s="61">
        <f ca="1"/>
        <v>-2.9101546246406752E-2</v>
      </c>
      <c r="AL56" s="19"/>
      <c r="AM56" s="61">
        <f t="shared" ca="1" si="28"/>
        <v>-2.2761904855782421E-3</v>
      </c>
      <c r="AN56" s="61">
        <f t="shared" ca="1" si="29"/>
        <v>-4.319213920088563E-4</v>
      </c>
      <c r="AO56" s="61">
        <f t="shared" ca="1" si="30"/>
        <v>-2.8669877643151934E-2</v>
      </c>
      <c r="AP56" s="19"/>
      <c r="AQ56" s="62">
        <f t="shared" ca="1" si="17"/>
        <v>0.86679766225604693</v>
      </c>
      <c r="AR56" s="62">
        <f t="shared" ca="1" si="18"/>
        <v>0.65379027085770669</v>
      </c>
      <c r="AS56" s="62">
        <f t="shared" ca="1" si="19"/>
        <v>0.74992935963032736</v>
      </c>
      <c r="AT56" s="49"/>
    </row>
    <row r="57" spans="1:46" x14ac:dyDescent="0.3">
      <c r="A57" s="5">
        <v>43545</v>
      </c>
      <c r="B57" s="6">
        <v>66.370002999999997</v>
      </c>
      <c r="C57" s="6">
        <v>124.639999</v>
      </c>
      <c r="D57" s="6">
        <v>86.379997000000003</v>
      </c>
      <c r="F57" s="13">
        <v>54</v>
      </c>
      <c r="G57" s="5">
        <v>43545</v>
      </c>
      <c r="H57" s="15">
        <f t="shared" si="5"/>
        <v>1.7785769438641408E-2</v>
      </c>
      <c r="I57" s="15">
        <f t="shared" si="5"/>
        <v>1.5279807424701697E-2</v>
      </c>
      <c r="J57" s="15">
        <f t="shared" si="5"/>
        <v>-6.9442197382853417E-4</v>
      </c>
      <c r="K57" s="22"/>
      <c r="L57" s="13">
        <v>54</v>
      </c>
      <c r="M57" s="5">
        <v>43545</v>
      </c>
      <c r="N57" s="26">
        <f t="shared" si="2"/>
        <v>1.1738592470134552</v>
      </c>
      <c r="O57" s="26">
        <f t="shared" si="3"/>
        <v>1.1820940500361523</v>
      </c>
      <c r="P57" s="26">
        <f t="shared" si="4"/>
        <v>1.1431974495287838</v>
      </c>
      <c r="Q57" s="22"/>
      <c r="AD57" s="59">
        <v>53</v>
      </c>
      <c r="AE57" s="61">
        <f t="shared" ca="1" si="16"/>
        <v>-1.4223027224616138</v>
      </c>
      <c r="AF57" s="61">
        <f t="shared" ca="1" si="16"/>
        <v>0.49523717016859847</v>
      </c>
      <c r="AG57" s="61">
        <f t="shared" ca="1" si="16"/>
        <v>-1.3837148314656427</v>
      </c>
      <c r="AH57" s="19"/>
      <c r="AI57" s="61">
        <f ca="1"/>
        <v>-3.0841617335186998E-2</v>
      </c>
      <c r="AJ57" s="61">
        <f ca="1"/>
        <v>-1.1497878980539219E-2</v>
      </c>
      <c r="AK57" s="61">
        <f ca="1"/>
        <v>-5.2978322952621663E-2</v>
      </c>
      <c r="AL57" s="19"/>
      <c r="AM57" s="61">
        <f t="shared" ca="1" si="28"/>
        <v>-3.0490401012676752E-2</v>
      </c>
      <c r="AN57" s="61">
        <f t="shared" ca="1" si="29"/>
        <v>-1.1248826383622687E-2</v>
      </c>
      <c r="AO57" s="61">
        <f t="shared" ca="1" si="30"/>
        <v>-5.2546654349366846E-2</v>
      </c>
      <c r="AP57" s="19"/>
      <c r="AQ57" s="62">
        <f t="shared" ca="1" si="17"/>
        <v>0.84076750547461587</v>
      </c>
      <c r="AR57" s="62">
        <f t="shared" ca="1" si="18"/>
        <v>0.64647710697968674</v>
      </c>
      <c r="AS57" s="62">
        <f t="shared" ca="1" si="19"/>
        <v>0.71154051613762581</v>
      </c>
      <c r="AT57" s="49"/>
    </row>
    <row r="58" spans="1:46" x14ac:dyDescent="0.3">
      <c r="A58" s="5">
        <v>43546</v>
      </c>
      <c r="B58" s="6">
        <v>63.73</v>
      </c>
      <c r="C58" s="6">
        <v>120.230003</v>
      </c>
      <c r="D58" s="6">
        <v>84.629997000000003</v>
      </c>
      <c r="F58" s="13">
        <v>55</v>
      </c>
      <c r="G58" s="5">
        <v>43546</v>
      </c>
      <c r="H58" s="15">
        <f t="shared" si="5"/>
        <v>-4.0589783032774919E-2</v>
      </c>
      <c r="I58" s="15">
        <f t="shared" si="5"/>
        <v>-3.6022974160339165E-2</v>
      </c>
      <c r="J58" s="15">
        <f t="shared" si="5"/>
        <v>-2.0467354568701412E-2</v>
      </c>
      <c r="K58" s="22"/>
      <c r="L58" s="13">
        <v>55</v>
      </c>
      <c r="M58" s="5">
        <v>43546</v>
      </c>
      <c r="N58" s="26">
        <f t="shared" si="2"/>
        <v>1.1271665877756174</v>
      </c>
      <c r="O58" s="26">
        <f t="shared" si="3"/>
        <v>1.1402693543196252</v>
      </c>
      <c r="P58" s="26">
        <f t="shared" si="4"/>
        <v>1.1200370465864757</v>
      </c>
      <c r="Q58" s="22"/>
      <c r="AD58" s="59">
        <v>54</v>
      </c>
      <c r="AE58" s="61">
        <f t="shared" ca="1" si="16"/>
        <v>2.1866403237525565</v>
      </c>
      <c r="AF58" s="61">
        <f t="shared" ca="1" si="16"/>
        <v>-1.2891628964937204E-2</v>
      </c>
      <c r="AG58" s="61">
        <f t="shared" ca="1" si="16"/>
        <v>0.72883311051442001</v>
      </c>
      <c r="AH58" s="19"/>
      <c r="AI58" s="61">
        <f ca="1"/>
        <v>4.7415731580789308E-2</v>
      </c>
      <c r="AJ58" s="61">
        <f ca="1"/>
        <v>3.3945820578110464E-2</v>
      </c>
      <c r="AK58" s="61">
        <f ca="1"/>
        <v>5.089068759673232E-2</v>
      </c>
      <c r="AL58" s="19"/>
      <c r="AM58" s="61">
        <f t="shared" ca="1" si="28"/>
        <v>4.776694790329955E-2</v>
      </c>
      <c r="AN58" s="61">
        <f t="shared" ca="1" si="29"/>
        <v>3.4194873175026994E-2</v>
      </c>
      <c r="AO58" s="61">
        <f t="shared" ca="1" si="30"/>
        <v>5.1322356199987137E-2</v>
      </c>
      <c r="AP58" s="19"/>
      <c r="AQ58" s="62">
        <f t="shared" ca="1" si="17"/>
        <v>0.88190304139005682</v>
      </c>
      <c r="AR58" s="62">
        <f t="shared" ca="1" si="18"/>
        <v>0.66896561423519563</v>
      </c>
      <c r="AS58" s="62">
        <f t="shared" ca="1" si="19"/>
        <v>0.74901178431066251</v>
      </c>
      <c r="AT58" s="49"/>
    </row>
    <row r="59" spans="1:46" x14ac:dyDescent="0.3">
      <c r="A59" s="5">
        <v>43549</v>
      </c>
      <c r="B59" s="6">
        <v>63.150002000000001</v>
      </c>
      <c r="C59" s="6">
        <v>122.589996</v>
      </c>
      <c r="D59" s="6">
        <v>85.480002999999996</v>
      </c>
      <c r="F59" s="13">
        <v>56</v>
      </c>
      <c r="G59" s="5">
        <v>43549</v>
      </c>
      <c r="H59" s="15">
        <f t="shared" si="5"/>
        <v>-9.1425288590775387E-3</v>
      </c>
      <c r="I59" s="15">
        <f t="shared" si="5"/>
        <v>1.9438821538821163E-2</v>
      </c>
      <c r="J59" s="15">
        <f t="shared" si="5"/>
        <v>9.9936873132835061E-3</v>
      </c>
      <c r="K59" s="22"/>
      <c r="L59" s="13">
        <v>56</v>
      </c>
      <c r="M59" s="5">
        <v>43549</v>
      </c>
      <c r="N59" s="26">
        <f t="shared" si="2"/>
        <v>1.1169083990642308</v>
      </c>
      <c r="O59" s="26">
        <f t="shared" si="3"/>
        <v>1.1626516850786857</v>
      </c>
      <c r="P59" s="26">
        <f t="shared" si="4"/>
        <v>1.1312864645655496</v>
      </c>
      <c r="Q59" s="22"/>
      <c r="AD59" s="59">
        <v>55</v>
      </c>
      <c r="AE59" s="61">
        <f t="shared" ca="1" si="16"/>
        <v>1.2381301032698144</v>
      </c>
      <c r="AF59" s="61">
        <f t="shared" ca="1" si="16"/>
        <v>-1.8728511216407782</v>
      </c>
      <c r="AG59" s="61">
        <f t="shared" ca="1" si="16"/>
        <v>-1.4632857661276639</v>
      </c>
      <c r="AH59" s="19"/>
      <c r="AI59" s="61">
        <f ca="1"/>
        <v>2.6847965804448332E-2</v>
      </c>
      <c r="AJ59" s="61">
        <f ca="1"/>
        <v>-2.1328694202343495E-2</v>
      </c>
      <c r="AK59" s="61">
        <f ca="1"/>
        <v>-3.238474766641776E-2</v>
      </c>
      <c r="AL59" s="19"/>
      <c r="AM59" s="61">
        <f t="shared" ca="1" si="28"/>
        <v>2.7199182126958578E-2</v>
      </c>
      <c r="AN59" s="61">
        <f t="shared" ca="1" si="29"/>
        <v>-2.1079641605426965E-2</v>
      </c>
      <c r="AO59" s="61">
        <f t="shared" ca="1" si="30"/>
        <v>-3.1953079063162942E-2</v>
      </c>
      <c r="AP59" s="19"/>
      <c r="AQ59" s="62">
        <f t="shared" ca="1" si="17"/>
        <v>0.90621927459068452</v>
      </c>
      <c r="AR59" s="62">
        <f t="shared" ca="1" si="18"/>
        <v>0.65501164784739863</v>
      </c>
      <c r="AS59" s="62">
        <f t="shared" ca="1" si="19"/>
        <v>0.72545688147771359</v>
      </c>
      <c r="AT59" s="49"/>
    </row>
    <row r="60" spans="1:46" x14ac:dyDescent="0.3">
      <c r="A60" s="5">
        <v>43550</v>
      </c>
      <c r="B60" s="6">
        <v>63.5</v>
      </c>
      <c r="C60" s="6">
        <v>122.269997</v>
      </c>
      <c r="D60" s="6">
        <v>87</v>
      </c>
      <c r="F60" s="13">
        <v>57</v>
      </c>
      <c r="G60" s="5">
        <v>43550</v>
      </c>
      <c r="H60" s="15">
        <f t="shared" si="5"/>
        <v>5.5270254315208959E-3</v>
      </c>
      <c r="I60" s="15">
        <f t="shared" si="5"/>
        <v>-2.6137318575782634E-3</v>
      </c>
      <c r="J60" s="15">
        <f t="shared" si="5"/>
        <v>1.7625653107708555E-2</v>
      </c>
      <c r="K60" s="22"/>
      <c r="L60" s="13">
        <v>57</v>
      </c>
      <c r="M60" s="5">
        <v>43550</v>
      </c>
      <c r="N60" s="26">
        <f t="shared" si="2"/>
        <v>1.1230986713282867</v>
      </c>
      <c r="O60" s="26">
        <f t="shared" si="3"/>
        <v>1.1596167932546131</v>
      </c>
      <c r="P60" s="26">
        <f t="shared" si="4"/>
        <v>1.1514028891318924</v>
      </c>
      <c r="Q60" s="22"/>
      <c r="AD60" s="59">
        <v>56</v>
      </c>
      <c r="AE60" s="61">
        <f t="shared" ca="1" si="16"/>
        <v>-0.78202101794371393</v>
      </c>
      <c r="AF60" s="61">
        <f t="shared" ca="1" si="16"/>
        <v>1.4584445659089256</v>
      </c>
      <c r="AG60" s="61">
        <f t="shared" ca="1" si="16"/>
        <v>-1.6428547855521838</v>
      </c>
      <c r="AH60" s="19"/>
      <c r="AI60" s="61">
        <f ca="1"/>
        <v>-1.6957566488905014E-2</v>
      </c>
      <c r="AJ60" s="61">
        <f ca="1"/>
        <v>1.9460319539290685E-2</v>
      </c>
      <c r="AK60" s="61">
        <f ca="1"/>
        <v>-4.337361491802396E-2</v>
      </c>
      <c r="AL60" s="19"/>
      <c r="AM60" s="61">
        <f t="shared" ca="1" si="28"/>
        <v>-1.6606350166394768E-2</v>
      </c>
      <c r="AN60" s="61">
        <f t="shared" ca="1" si="29"/>
        <v>1.9709372136207215E-2</v>
      </c>
      <c r="AO60" s="61">
        <f t="shared" ca="1" si="30"/>
        <v>-4.2941946314769143E-2</v>
      </c>
      <c r="AP60" s="19"/>
      <c r="AQ60" s="62">
        <f t="shared" ca="1" si="17"/>
        <v>0.89129454560930677</v>
      </c>
      <c r="AR60" s="62">
        <f t="shared" ca="1" si="18"/>
        <v>0.66804957882905813</v>
      </c>
      <c r="AS60" s="62">
        <f t="shared" ca="1" si="19"/>
        <v>0.69496375380594866</v>
      </c>
      <c r="AT60" s="49"/>
    </row>
    <row r="61" spans="1:46" x14ac:dyDescent="0.3">
      <c r="A61" s="5">
        <v>43551</v>
      </c>
      <c r="B61" s="6">
        <v>63.23</v>
      </c>
      <c r="C61" s="6">
        <v>125.339996</v>
      </c>
      <c r="D61" s="6">
        <v>86.019997000000004</v>
      </c>
      <c r="F61" s="13">
        <v>58</v>
      </c>
      <c r="G61" s="5">
        <v>43551</v>
      </c>
      <c r="H61" s="15">
        <f t="shared" si="5"/>
        <v>-4.2610338281241725E-3</v>
      </c>
      <c r="I61" s="15">
        <f t="shared" si="5"/>
        <v>2.4798323263097586E-2</v>
      </c>
      <c r="J61" s="15">
        <f t="shared" si="5"/>
        <v>-1.1328326174604324E-2</v>
      </c>
      <c r="K61" s="22"/>
      <c r="L61" s="13">
        <v>58</v>
      </c>
      <c r="M61" s="5">
        <v>43551</v>
      </c>
      <c r="N61" s="26">
        <f t="shared" si="2"/>
        <v>1.1183232911509853</v>
      </c>
      <c r="O61" s="26">
        <f t="shared" si="3"/>
        <v>1.1887328681955069</v>
      </c>
      <c r="P61" s="26">
        <f t="shared" si="4"/>
        <v>1.1384330237806519</v>
      </c>
      <c r="Q61" s="22"/>
      <c r="AD61" s="59">
        <v>57</v>
      </c>
      <c r="AE61" s="61">
        <f t="shared" ca="1" si="16"/>
        <v>1.6862652384843961</v>
      </c>
      <c r="AF61" s="61">
        <f t="shared" ca="1" si="16"/>
        <v>0.95009114366935565</v>
      </c>
      <c r="AG61" s="61">
        <f t="shared" ca="1" si="16"/>
        <v>-0.4184889751240104</v>
      </c>
      <c r="AH61" s="19"/>
      <c r="AI61" s="61">
        <f ca="1"/>
        <v>3.6565455714627021E-2</v>
      </c>
      <c r="AJ61" s="61">
        <f ca="1"/>
        <v>4.7045191164040975E-2</v>
      </c>
      <c r="AK61" s="61">
        <f ca="1"/>
        <v>2.0884800458695688E-2</v>
      </c>
      <c r="AL61" s="19"/>
      <c r="AM61" s="61">
        <f t="shared" ca="1" si="28"/>
        <v>3.6916672037137263E-2</v>
      </c>
      <c r="AN61" s="61">
        <f t="shared" ca="1" si="29"/>
        <v>4.7294243760957505E-2</v>
      </c>
      <c r="AO61" s="61">
        <f t="shared" ca="1" si="30"/>
        <v>2.1316469061950505E-2</v>
      </c>
      <c r="AP61" s="19"/>
      <c r="AQ61" s="62">
        <f t="shared" ca="1" si="17"/>
        <v>0.92481306349045289</v>
      </c>
      <c r="AR61" s="62">
        <f t="shared" ca="1" si="18"/>
        <v>0.70040352577746123</v>
      </c>
      <c r="AS61" s="62">
        <f t="shared" ca="1" si="19"/>
        <v>0.70993694800812002</v>
      </c>
      <c r="AT61" s="49"/>
    </row>
    <row r="62" spans="1:46" x14ac:dyDescent="0.3">
      <c r="A62" s="5">
        <v>43552</v>
      </c>
      <c r="B62" s="6">
        <v>64.449996999999996</v>
      </c>
      <c r="C62" s="6">
        <v>129.39999399999999</v>
      </c>
      <c r="D62" s="6">
        <v>84.830001999999993</v>
      </c>
      <c r="F62" s="13">
        <v>59</v>
      </c>
      <c r="G62" s="5">
        <v>43552</v>
      </c>
      <c r="H62" s="15">
        <f t="shared" si="5"/>
        <v>1.9110810766961986E-2</v>
      </c>
      <c r="I62" s="15">
        <f t="shared" si="5"/>
        <v>3.1878322815614694E-2</v>
      </c>
      <c r="J62" s="15">
        <f t="shared" si="5"/>
        <v>-1.3930515083771508E-2</v>
      </c>
      <c r="K62" s="22"/>
      <c r="L62" s="13">
        <v>59</v>
      </c>
      <c r="M62" s="5">
        <v>43552</v>
      </c>
      <c r="N62" s="26">
        <f t="shared" si="2"/>
        <v>1.139900881855308</v>
      </c>
      <c r="O62" s="26">
        <f t="shared" si="3"/>
        <v>1.2272381595743898</v>
      </c>
      <c r="P62" s="26">
        <f t="shared" si="4"/>
        <v>1.122684015952462</v>
      </c>
      <c r="Q62" s="22"/>
      <c r="AD62" s="59">
        <v>58</v>
      </c>
      <c r="AE62" s="61">
        <f t="shared" ca="1" si="16"/>
        <v>0.16538959212240631</v>
      </c>
      <c r="AF62" s="61">
        <f t="shared" ca="1" si="16"/>
        <v>-0.42753088769976966</v>
      </c>
      <c r="AG62" s="61">
        <f t="shared" ca="1" si="16"/>
        <v>-0.74671276783130391</v>
      </c>
      <c r="AH62" s="19"/>
      <c r="AI62" s="61">
        <f ca="1"/>
        <v>3.5863550219700714E-3</v>
      </c>
      <c r="AJ62" s="61">
        <f ca="1"/>
        <v>-6.7040851208093281E-3</v>
      </c>
      <c r="AK62" s="61">
        <f ca="1"/>
        <v>-1.969789552462917E-2</v>
      </c>
      <c r="AL62" s="19"/>
      <c r="AM62" s="61">
        <f t="shared" ca="1" si="28"/>
        <v>3.9375713444803158E-3</v>
      </c>
      <c r="AN62" s="61">
        <f t="shared" ca="1" si="29"/>
        <v>-6.4550325238927975E-3</v>
      </c>
      <c r="AO62" s="61">
        <f t="shared" ca="1" si="30"/>
        <v>-1.9266226921374353E-2</v>
      </c>
      <c r="AP62" s="19"/>
      <c r="AQ62" s="62">
        <f t="shared" ca="1" si="17"/>
        <v>0.92846175969480693</v>
      </c>
      <c r="AR62" s="62">
        <f t="shared" ca="1" si="18"/>
        <v>0.69589695890466907</v>
      </c>
      <c r="AS62" s="62">
        <f t="shared" ca="1" si="19"/>
        <v>0.69639005941648657</v>
      </c>
      <c r="AT62" s="49"/>
    </row>
    <row r="63" spans="1:46" x14ac:dyDescent="0.3">
      <c r="A63" s="5">
        <v>43553</v>
      </c>
      <c r="B63" s="6">
        <v>65.160004000000001</v>
      </c>
      <c r="C63" s="6">
        <v>129.679993</v>
      </c>
      <c r="D63" s="6">
        <v>84.830001999999993</v>
      </c>
      <c r="F63" s="13">
        <v>60</v>
      </c>
      <c r="G63" s="5">
        <v>43553</v>
      </c>
      <c r="H63" s="15">
        <f t="shared" si="5"/>
        <v>1.0956162283712869E-2</v>
      </c>
      <c r="I63" s="15">
        <f t="shared" si="5"/>
        <v>2.1614877494465019E-3</v>
      </c>
      <c r="J63" s="15">
        <f t="shared" si="5"/>
        <v>0</v>
      </c>
      <c r="K63" s="22"/>
      <c r="L63" s="13">
        <v>60</v>
      </c>
      <c r="M63" s="5">
        <v>43553</v>
      </c>
      <c r="N63" s="26">
        <f t="shared" si="2"/>
        <v>1.1524584868684387</v>
      </c>
      <c r="O63" s="26">
        <f t="shared" si="3"/>
        <v>1.229893688734945</v>
      </c>
      <c r="P63" s="26">
        <f t="shared" si="4"/>
        <v>1.122684015952462</v>
      </c>
      <c r="Q63" s="22"/>
      <c r="AD63" s="59">
        <v>59</v>
      </c>
      <c r="AE63" s="61">
        <f t="shared" ca="1" si="16"/>
        <v>-0.85167474440565116</v>
      </c>
      <c r="AF63" s="61">
        <f t="shared" ca="1" si="16"/>
        <v>0.17362436045768068</v>
      </c>
      <c r="AG63" s="61">
        <f t="shared" ca="1" si="16"/>
        <v>2.8638151945290278</v>
      </c>
      <c r="AH63" s="19"/>
      <c r="AI63" s="61">
        <f ca="1"/>
        <v>-1.846795773233233E-2</v>
      </c>
      <c r="AJ63" s="61">
        <f ca="1"/>
        <v>-9.5567987387807744E-3</v>
      </c>
      <c r="AK63" s="61">
        <f ca="1"/>
        <v>6.2009600054906876E-2</v>
      </c>
      <c r="AL63" s="19"/>
      <c r="AM63" s="61">
        <f t="shared" ca="1" si="28"/>
        <v>-1.8116741409822085E-2</v>
      </c>
      <c r="AN63" s="61">
        <f t="shared" ca="1" si="29"/>
        <v>-9.307746141864243E-3</v>
      </c>
      <c r="AO63" s="61">
        <f t="shared" ca="1" si="30"/>
        <v>6.2441268658161693E-2</v>
      </c>
      <c r="AP63" s="19"/>
      <c r="AQ63" s="62">
        <f t="shared" ca="1" si="17"/>
        <v>0.91179251025049446</v>
      </c>
      <c r="AR63" s="62">
        <f t="shared" ca="1" si="18"/>
        <v>0.68944977757927539</v>
      </c>
      <c r="AS63" s="62">
        <f t="shared" ca="1" si="19"/>
        <v>0.74125982303180649</v>
      </c>
      <c r="AT63" s="49"/>
    </row>
    <row r="64" spans="1:46" x14ac:dyDescent="0.3">
      <c r="A64" s="5">
        <v>43556</v>
      </c>
      <c r="B64" s="6">
        <v>66.569999999999993</v>
      </c>
      <c r="C64" s="6">
        <v>128.990005</v>
      </c>
      <c r="D64" s="6">
        <v>86.43</v>
      </c>
      <c r="F64" s="13">
        <v>61</v>
      </c>
      <c r="G64" s="5">
        <v>43556</v>
      </c>
      <c r="H64" s="15">
        <f t="shared" si="5"/>
        <v>2.1408180491415418E-2</v>
      </c>
      <c r="I64" s="15">
        <f t="shared" si="5"/>
        <v>-5.3349027086551778E-3</v>
      </c>
      <c r="J64" s="15">
        <f t="shared" si="5"/>
        <v>1.8685560368339064E-2</v>
      </c>
      <c r="K64" s="22"/>
      <c r="L64" s="13">
        <v>61</v>
      </c>
      <c r="M64" s="5">
        <v>43556</v>
      </c>
      <c r="N64" s="26">
        <f t="shared" si="2"/>
        <v>1.1773965126035282</v>
      </c>
      <c r="O64" s="26">
        <f t="shared" si="3"/>
        <v>1.2233497965980691</v>
      </c>
      <c r="P64" s="26">
        <f t="shared" si="4"/>
        <v>1.1438592150306834</v>
      </c>
      <c r="Q64" s="22"/>
      <c r="AD64" s="59">
        <v>60</v>
      </c>
      <c r="AE64" s="61">
        <f t="shared" ca="1" si="16"/>
        <v>-1.1405900445469812</v>
      </c>
      <c r="AF64" s="61">
        <f t="shared" ca="1" si="16"/>
        <v>0.17146722527956007</v>
      </c>
      <c r="AG64" s="61">
        <f t="shared" ca="1" si="16"/>
        <v>0.60776739368592103</v>
      </c>
      <c r="AH64" s="19"/>
      <c r="AI64" s="61">
        <f ca="1"/>
        <v>-2.4732879389669653E-2</v>
      </c>
      <c r="AJ64" s="61">
        <f ca="1"/>
        <v>-1.4125886174476103E-2</v>
      </c>
      <c r="AK64" s="61">
        <f ca="1"/>
        <v>-7.4316196952972646E-5</v>
      </c>
      <c r="AL64" s="19"/>
      <c r="AM64" s="61">
        <f t="shared" ca="1" si="28"/>
        <v>-2.4381663067159408E-2</v>
      </c>
      <c r="AN64" s="61">
        <f t="shared" ca="1" si="29"/>
        <v>-1.3876833577559571E-2</v>
      </c>
      <c r="AO64" s="61">
        <f t="shared" ca="1" si="30"/>
        <v>3.5735240630184559E-4</v>
      </c>
      <c r="AP64" s="19"/>
      <c r="AQ64" s="62">
        <f t="shared" ca="1" si="17"/>
        <v>0.8898303178359257</v>
      </c>
      <c r="AR64" s="62">
        <f t="shared" ca="1" si="18"/>
        <v>0.67994847422732774</v>
      </c>
      <c r="AS64" s="62">
        <f t="shared" ca="1" si="19"/>
        <v>0.74152476134861489</v>
      </c>
      <c r="AT64" s="49"/>
    </row>
    <row r="65" spans="1:46" x14ac:dyDescent="0.3">
      <c r="A65" s="5">
        <v>43557</v>
      </c>
      <c r="B65" s="6">
        <v>66.209998999999996</v>
      </c>
      <c r="C65" s="6">
        <v>127.290001</v>
      </c>
      <c r="D65" s="6">
        <v>84.449996999999996</v>
      </c>
      <c r="F65" s="13">
        <v>62</v>
      </c>
      <c r="G65" s="5">
        <v>43557</v>
      </c>
      <c r="H65" s="15">
        <f t="shared" si="5"/>
        <v>-5.4225317793162569E-3</v>
      </c>
      <c r="I65" s="15">
        <f t="shared" si="5"/>
        <v>-1.3266965001318895E-2</v>
      </c>
      <c r="J65" s="15">
        <f t="shared" si="5"/>
        <v>-2.3175230034717199E-2</v>
      </c>
      <c r="K65" s="22"/>
      <c r="L65" s="13">
        <v>62</v>
      </c>
      <c r="M65" s="5">
        <v>43557</v>
      </c>
      <c r="N65" s="26">
        <f t="shared" si="2"/>
        <v>1.1710293213471998</v>
      </c>
      <c r="O65" s="26">
        <f t="shared" si="3"/>
        <v>1.2072268454623132</v>
      </c>
      <c r="P65" s="26">
        <f t="shared" si="4"/>
        <v>1.1176548337124097</v>
      </c>
      <c r="Q65" s="22"/>
      <c r="AD65" s="59">
        <v>61</v>
      </c>
      <c r="AE65" s="61">
        <f t="shared" ca="1" si="16"/>
        <v>-0.40688769453220153</v>
      </c>
      <c r="AF65" s="61">
        <f t="shared" ca="1" si="16"/>
        <v>-1.3523252724356218</v>
      </c>
      <c r="AG65" s="61">
        <f t="shared" ca="1" si="16"/>
        <v>0.51352175730409821</v>
      </c>
      <c r="AH65" s="19"/>
      <c r="AI65" s="61">
        <f ca="1"/>
        <v>-8.8230686582949306E-3</v>
      </c>
      <c r="AJ65" s="61">
        <f ca="1"/>
        <v>-3.5762909628598682E-2</v>
      </c>
      <c r="AK65" s="61">
        <f ca="1"/>
        <v>-2.3792810580459366E-3</v>
      </c>
      <c r="AL65" s="19"/>
      <c r="AM65" s="61">
        <f t="shared" ca="1" si="28"/>
        <v>-8.4718523357846867E-3</v>
      </c>
      <c r="AN65" s="61">
        <f t="shared" ca="1" si="29"/>
        <v>-3.5513857031682153E-2</v>
      </c>
      <c r="AO65" s="61">
        <f t="shared" ca="1" si="30"/>
        <v>-1.9476124547911184E-3</v>
      </c>
      <c r="AP65" s="19"/>
      <c r="AQ65" s="62">
        <f t="shared" ca="1" si="17"/>
        <v>0.88232364937020979</v>
      </c>
      <c r="AR65" s="62">
        <f t="shared" ca="1" si="18"/>
        <v>0.65622463719320379</v>
      </c>
      <c r="AS65" s="62">
        <f t="shared" ca="1" si="19"/>
        <v>0.74008196394903647</v>
      </c>
      <c r="AT65" s="49"/>
    </row>
    <row r="66" spans="1:46" x14ac:dyDescent="0.3">
      <c r="A66" s="5">
        <v>43558</v>
      </c>
      <c r="B66" s="6">
        <v>67.639999000000003</v>
      </c>
      <c r="C66" s="6">
        <v>127.32</v>
      </c>
      <c r="D66" s="6">
        <v>84.260002</v>
      </c>
      <c r="F66" s="13">
        <v>63</v>
      </c>
      <c r="G66" s="5">
        <v>43558</v>
      </c>
      <c r="H66" s="15">
        <f t="shared" si="5"/>
        <v>2.1368015412932127E-2</v>
      </c>
      <c r="I66" s="15">
        <f t="shared" si="5"/>
        <v>2.3564667547223598E-4</v>
      </c>
      <c r="J66" s="15">
        <f t="shared" si="5"/>
        <v>-2.2523274429044702E-3</v>
      </c>
      <c r="K66" s="22"/>
      <c r="L66" s="13">
        <v>63</v>
      </c>
      <c r="M66" s="5">
        <v>43558</v>
      </c>
      <c r="N66" s="26">
        <f t="shared" si="2"/>
        <v>1.1963211496936479</v>
      </c>
      <c r="O66" s="26">
        <f t="shared" si="3"/>
        <v>1.2075113579758845</v>
      </c>
      <c r="P66" s="26">
        <f t="shared" si="4"/>
        <v>1.1151403418512531</v>
      </c>
      <c r="Q66" s="22"/>
      <c r="AD66" s="59">
        <v>62</v>
      </c>
      <c r="AE66" s="61">
        <f t="shared" ca="1" si="16"/>
        <v>-1.3534456460267359</v>
      </c>
      <c r="AF66" s="61">
        <f t="shared" ca="1" si="16"/>
        <v>-1.0256202719100787</v>
      </c>
      <c r="AG66" s="61">
        <f t="shared" ca="1" si="16"/>
        <v>-0.31129158470270168</v>
      </c>
      <c r="AH66" s="19"/>
      <c r="AI66" s="61">
        <f ca="1"/>
        <v>-2.9348500877848894E-2</v>
      </c>
      <c r="AJ66" s="61">
        <f ca="1"/>
        <v>-4.3477488898863825E-2</v>
      </c>
      <c r="AK66" s="61">
        <f ca="1"/>
        <v>-3.5196065342533861E-2</v>
      </c>
      <c r="AL66" s="19"/>
      <c r="AM66" s="61">
        <f t="shared" ca="1" si="28"/>
        <v>-2.8997284555338648E-2</v>
      </c>
      <c r="AN66" s="61">
        <f t="shared" ca="1" si="29"/>
        <v>-4.3228436301947296E-2</v>
      </c>
      <c r="AO66" s="61">
        <f t="shared" ca="1" si="30"/>
        <v>-3.4764396739279044E-2</v>
      </c>
      <c r="AP66" s="19"/>
      <c r="AQ66" s="62">
        <f t="shared" ca="1" si="17"/>
        <v>0.85710604740736218</v>
      </c>
      <c r="AR66" s="62">
        <f t="shared" ca="1" si="18"/>
        <v>0.62846147459600521</v>
      </c>
      <c r="AS66" s="62">
        <f t="shared" ca="1" si="19"/>
        <v>0.71479554118678124</v>
      </c>
      <c r="AT66" s="49"/>
    </row>
    <row r="67" spans="1:46" x14ac:dyDescent="0.3">
      <c r="A67" s="5">
        <v>43559</v>
      </c>
      <c r="B67" s="6">
        <v>67.319999999999993</v>
      </c>
      <c r="C67" s="6">
        <v>128.36999499999999</v>
      </c>
      <c r="D67" s="6">
        <v>84.349997999999999</v>
      </c>
      <c r="F67" s="13">
        <v>64</v>
      </c>
      <c r="G67" s="5">
        <v>43559</v>
      </c>
      <c r="H67" s="15">
        <f t="shared" si="5"/>
        <v>-4.7421399236229735E-3</v>
      </c>
      <c r="I67" s="15">
        <f t="shared" si="5"/>
        <v>8.2130777330318584E-3</v>
      </c>
      <c r="J67" s="15">
        <f t="shared" si="5"/>
        <v>1.0675049943225671E-3</v>
      </c>
      <c r="K67" s="22"/>
      <c r="L67" s="13">
        <v>64</v>
      </c>
      <c r="M67" s="5">
        <v>43559</v>
      </c>
      <c r="N67" s="26">
        <f t="shared" si="2"/>
        <v>1.1906614575404764</v>
      </c>
      <c r="O67" s="26">
        <f t="shared" si="3"/>
        <v>1.2174695804728835</v>
      </c>
      <c r="P67" s="26">
        <f t="shared" si="4"/>
        <v>1.1163313953502223</v>
      </c>
      <c r="Q67" s="22"/>
      <c r="AD67" s="59">
        <v>63</v>
      </c>
      <c r="AE67" s="61">
        <f t="shared" ca="1" si="16"/>
        <v>0.62929895600799524</v>
      </c>
      <c r="AF67" s="61">
        <f t="shared" ca="1" si="16"/>
        <v>0.45031163041257521</v>
      </c>
      <c r="AG67" s="61">
        <f t="shared" ca="1" si="16"/>
        <v>-1.2264055922402273</v>
      </c>
      <c r="AH67" s="19"/>
      <c r="AI67" s="61">
        <f ca="1"/>
        <v>1.3645897799478534E-2</v>
      </c>
      <c r="AJ67" s="61">
        <f ca="1"/>
        <v>1.9637981440479443E-2</v>
      </c>
      <c r="AK67" s="61">
        <f ca="1"/>
        <v>-1.8950918563802314E-2</v>
      </c>
      <c r="AL67" s="19"/>
      <c r="AM67" s="61">
        <f t="shared" ca="1" si="28"/>
        <v>1.3997114121988778E-2</v>
      </c>
      <c r="AN67" s="61">
        <f t="shared" ca="1" si="29"/>
        <v>1.9887034037395973E-2</v>
      </c>
      <c r="AO67" s="61">
        <f t="shared" ca="1" si="30"/>
        <v>-1.8519249960547497E-2</v>
      </c>
      <c r="AP67" s="19"/>
      <c r="AQ67" s="62">
        <f t="shared" ca="1" si="17"/>
        <v>0.86918741345020489</v>
      </c>
      <c r="AR67" s="62">
        <f t="shared" ca="1" si="18"/>
        <v>0.64108481368425208</v>
      </c>
      <c r="AS67" s="62">
        <f t="shared" ca="1" si="19"/>
        <v>0.70167988479459986</v>
      </c>
      <c r="AT67" s="49"/>
    </row>
    <row r="68" spans="1:46" x14ac:dyDescent="0.3">
      <c r="A68" s="5">
        <v>43560</v>
      </c>
      <c r="B68" s="6">
        <v>67.449996999999996</v>
      </c>
      <c r="C68" s="6">
        <v>127.589996</v>
      </c>
      <c r="D68" s="6">
        <v>86.690002000000007</v>
      </c>
      <c r="F68" s="13">
        <v>65</v>
      </c>
      <c r="G68" s="5">
        <v>43560</v>
      </c>
      <c r="H68" s="15">
        <f t="shared" si="5"/>
        <v>1.9291688537679775E-3</v>
      </c>
      <c r="I68" s="15">
        <f t="shared" si="5"/>
        <v>-6.0947135636918474E-3</v>
      </c>
      <c r="J68" s="15">
        <f t="shared" si="5"/>
        <v>2.7363774670012601E-2</v>
      </c>
      <c r="K68" s="22"/>
      <c r="L68" s="13">
        <v>65</v>
      </c>
      <c r="M68" s="5">
        <v>43560</v>
      </c>
      <c r="N68" s="26">
        <f t="shared" ref="N68:N131" si="35">B68/B$3</f>
        <v>1.1929606616031012</v>
      </c>
      <c r="O68" s="26">
        <f t="shared" ref="O68:O131" si="36">C68/C$3</f>
        <v>1.2100720180183606</v>
      </c>
      <c r="P68" s="26">
        <f t="shared" ref="P68:P131" si="37">D68/D$3</f>
        <v>1.147300215651144</v>
      </c>
      <c r="Q68" s="22"/>
      <c r="AD68" s="59">
        <v>64</v>
      </c>
      <c r="AE68" s="61">
        <f t="shared" ca="1" si="16"/>
        <v>-2.0406576143344028</v>
      </c>
      <c r="AF68" s="61">
        <f t="shared" ca="1" si="16"/>
        <v>0.11893203715391172</v>
      </c>
      <c r="AG68" s="61">
        <f t="shared" ca="1" si="16"/>
        <v>-0.7859215280450822</v>
      </c>
      <c r="AH68" s="19"/>
      <c r="AI68" s="61">
        <f ca="1"/>
        <v>-4.4250200930861155E-2</v>
      </c>
      <c r="AJ68" s="61">
        <f ca="1"/>
        <v>-2.935595370011846E-2</v>
      </c>
      <c r="AK68" s="61">
        <f ca="1"/>
        <v>-4.9449530639653391E-2</v>
      </c>
      <c r="AL68" s="19"/>
      <c r="AM68" s="61">
        <f t="shared" ca="1" si="28"/>
        <v>-4.3898984608350913E-2</v>
      </c>
      <c r="AN68" s="61">
        <f t="shared" ca="1" si="29"/>
        <v>-2.9106901103201931E-2</v>
      </c>
      <c r="AO68" s="61">
        <f t="shared" ca="1" si="30"/>
        <v>-4.9017862036398574E-2</v>
      </c>
      <c r="AP68" s="19"/>
      <c r="AQ68" s="62">
        <f t="shared" ca="1" si="17"/>
        <v>0.83185636113901729</v>
      </c>
      <c r="AR68" s="62">
        <f t="shared" ca="1" si="18"/>
        <v>0.6226937729229548</v>
      </c>
      <c r="AS68" s="62">
        <f t="shared" ca="1" si="19"/>
        <v>0.66811441139992167</v>
      </c>
      <c r="AT68" s="49"/>
    </row>
    <row r="69" spans="1:46" x14ac:dyDescent="0.3">
      <c r="A69" s="5">
        <v>43563</v>
      </c>
      <c r="B69" s="6">
        <v>67.139999000000003</v>
      </c>
      <c r="C69" s="6">
        <v>127.400002</v>
      </c>
      <c r="D69" s="6">
        <v>86.199996999999996</v>
      </c>
      <c r="F69" s="13">
        <v>66</v>
      </c>
      <c r="G69" s="5">
        <v>43563</v>
      </c>
      <c r="H69" s="15">
        <f t="shared" ref="H69:J132" si="38">LN(B69/B68)</f>
        <v>-4.6065615187351489E-3</v>
      </c>
      <c r="I69" s="15">
        <f t="shared" si="38"/>
        <v>-1.4902077465820897E-3</v>
      </c>
      <c r="J69" s="15">
        <f t="shared" si="38"/>
        <v>-5.6684170843980365E-3</v>
      </c>
      <c r="K69" s="22"/>
      <c r="L69" s="13">
        <v>66</v>
      </c>
      <c r="M69" s="5">
        <v>43563</v>
      </c>
      <c r="N69" s="26">
        <f t="shared" si="35"/>
        <v>1.1874778530690158</v>
      </c>
      <c r="O69" s="26">
        <f t="shared" si="36"/>
        <v>1.2082701022710527</v>
      </c>
      <c r="P69" s="26">
        <f t="shared" si="37"/>
        <v>1.1408152366547177</v>
      </c>
      <c r="Q69" s="22"/>
      <c r="AD69" s="59">
        <v>65</v>
      </c>
      <c r="AE69" s="61">
        <f t="shared" ref="AE69:AG132" ca="1" si="39">_xlfn.NORM.S.INV(RAND())</f>
        <v>9.99262276537176E-2</v>
      </c>
      <c r="AF69" s="61">
        <f t="shared" ca="1" si="39"/>
        <v>0.2955250157395829</v>
      </c>
      <c r="AG69" s="61">
        <f t="shared" ca="1" si="39"/>
        <v>0.19498685794099058</v>
      </c>
      <c r="AH69" s="19"/>
      <c r="AI69" s="61">
        <f ca="1"/>
        <v>2.1668287815064034E-3</v>
      </c>
      <c r="AJ69" s="61">
        <f ca="1"/>
        <v>7.9876160290720082E-3</v>
      </c>
      <c r="AK69" s="61">
        <f ca="1"/>
        <v>8.5532424304498571E-3</v>
      </c>
      <c r="AL69" s="19"/>
      <c r="AM69" s="61">
        <f t="shared" ca="1" si="28"/>
        <v>2.5180451040166477E-3</v>
      </c>
      <c r="AN69" s="61">
        <f t="shared" ca="1" si="29"/>
        <v>8.2366686259885396E-3</v>
      </c>
      <c r="AO69" s="61">
        <f t="shared" ca="1" si="30"/>
        <v>8.9849110337046761E-3</v>
      </c>
      <c r="AP69" s="19"/>
      <c r="AQ69" s="62">
        <f t="shared" ca="1" si="17"/>
        <v>0.83395365240526576</v>
      </c>
      <c r="AR69" s="62">
        <f t="shared" ca="1" si="18"/>
        <v>0.62784387591547819</v>
      </c>
      <c r="AS69" s="62">
        <f t="shared" ca="1" si="19"/>
        <v>0.67414440887605098</v>
      </c>
      <c r="AT69" s="49"/>
    </row>
    <row r="70" spans="1:46" x14ac:dyDescent="0.3">
      <c r="A70" s="5">
        <v>43564</v>
      </c>
      <c r="B70" s="6">
        <v>65.599997999999999</v>
      </c>
      <c r="C70" s="6">
        <v>125.949997</v>
      </c>
      <c r="D70" s="6">
        <v>85.110000999999997</v>
      </c>
      <c r="F70" s="13">
        <v>67</v>
      </c>
      <c r="G70" s="5">
        <v>43564</v>
      </c>
      <c r="H70" s="15">
        <f t="shared" si="38"/>
        <v>-2.3204311195399972E-2</v>
      </c>
      <c r="I70" s="15">
        <f t="shared" si="38"/>
        <v>-1.1446779857006829E-2</v>
      </c>
      <c r="J70" s="15">
        <f t="shared" si="38"/>
        <v>-1.2725593628492328E-2</v>
      </c>
      <c r="K70" s="22"/>
      <c r="L70" s="13">
        <v>67</v>
      </c>
      <c r="M70" s="5">
        <v>43564</v>
      </c>
      <c r="N70" s="26">
        <f t="shared" si="35"/>
        <v>1.1602404817785554</v>
      </c>
      <c r="O70" s="26">
        <f t="shared" si="36"/>
        <v>1.1945181582982138</v>
      </c>
      <c r="P70" s="26">
        <f t="shared" si="37"/>
        <v>1.1263896671887155</v>
      </c>
      <c r="Q70" s="22"/>
      <c r="AD70" s="59">
        <v>66</v>
      </c>
      <c r="AE70" s="61">
        <f t="shared" ca="1" si="39"/>
        <v>1.0394348789914958</v>
      </c>
      <c r="AF70" s="61">
        <f t="shared" ca="1" si="39"/>
        <v>1.0939465428835666</v>
      </c>
      <c r="AG70" s="61">
        <f t="shared" ca="1" si="39"/>
        <v>-0.59286936654860656</v>
      </c>
      <c r="AH70" s="19"/>
      <c r="AI70" s="61">
        <f ca="1"/>
        <v>2.2539401968674301E-2</v>
      </c>
      <c r="AJ70" s="61">
        <f ca="1"/>
        <v>4.0047627292618661E-2</v>
      </c>
      <c r="AK70" s="61">
        <f ca="1"/>
        <v>7.8730068836829429E-3</v>
      </c>
      <c r="AL70" s="19"/>
      <c r="AM70" s="61">
        <f t="shared" ca="1" si="28"/>
        <v>2.2890618291184547E-2</v>
      </c>
      <c r="AN70" s="61">
        <f t="shared" ca="1" si="29"/>
        <v>4.029667988953519E-2</v>
      </c>
      <c r="AO70" s="61">
        <f t="shared" ca="1" si="30"/>
        <v>8.3046754869377619E-3</v>
      </c>
      <c r="AP70" s="19"/>
      <c r="AQ70" s="62">
        <f t="shared" ref="AQ70:AQ133" ca="1" si="40">AQ69*EXP(AM70)</f>
        <v>0.85326353151179124</v>
      </c>
      <c r="AR70" s="62">
        <f t="shared" ref="AR70:AR133" ca="1" si="41">AR69*EXP(AN70)</f>
        <v>0.65366056974474784</v>
      </c>
      <c r="AS70" s="62">
        <f t="shared" ref="AS70:AS133" ca="1" si="42">AS69*EXP(AO70)</f>
        <v>0.67976627098280717</v>
      </c>
      <c r="AT70" s="49"/>
    </row>
    <row r="71" spans="1:46" x14ac:dyDescent="0.3">
      <c r="A71" s="5">
        <v>43565</v>
      </c>
      <c r="B71" s="6">
        <v>65.599997999999999</v>
      </c>
      <c r="C71" s="6">
        <v>126.459999</v>
      </c>
      <c r="D71" s="6">
        <v>88.43</v>
      </c>
      <c r="F71" s="13">
        <v>68</v>
      </c>
      <c r="G71" s="5">
        <v>43565</v>
      </c>
      <c r="H71" s="15">
        <f t="shared" si="38"/>
        <v>0</v>
      </c>
      <c r="I71" s="15">
        <f t="shared" si="38"/>
        <v>4.04106574318518E-3</v>
      </c>
      <c r="J71" s="15">
        <f t="shared" si="38"/>
        <v>3.8266729349273533E-2</v>
      </c>
      <c r="K71" s="22"/>
      <c r="L71" s="13">
        <v>68</v>
      </c>
      <c r="M71" s="5">
        <v>43565</v>
      </c>
      <c r="N71" s="26">
        <f t="shared" si="35"/>
        <v>1.1602404817785554</v>
      </c>
      <c r="O71" s="26">
        <f t="shared" si="36"/>
        <v>1.1993550512261939</v>
      </c>
      <c r="P71" s="26">
        <f t="shared" si="37"/>
        <v>1.17032824696475</v>
      </c>
      <c r="Q71" s="22"/>
      <c r="AD71" s="59">
        <v>67</v>
      </c>
      <c r="AE71" s="61">
        <f t="shared" ca="1" si="39"/>
        <v>-1.9776395317074593</v>
      </c>
      <c r="AF71" s="61">
        <f t="shared" ca="1" si="39"/>
        <v>-0.95265102808355917</v>
      </c>
      <c r="AG71" s="61">
        <f t="shared" ca="1" si="39"/>
        <v>0.90847674181331584</v>
      </c>
      <c r="AH71" s="19"/>
      <c r="AI71" s="61">
        <f ca="1"/>
        <v>-4.28836988783209E-2</v>
      </c>
      <c r="AJ71" s="61">
        <f ca="1"/>
        <v>-5.1661521754878259E-2</v>
      </c>
      <c r="AK71" s="61">
        <f ca="1"/>
        <v>-1.2654578044894494E-2</v>
      </c>
      <c r="AL71" s="19"/>
      <c r="AM71" s="61">
        <f t="shared" ref="AM71:AM134" ca="1" si="43">AI71+T$3</f>
        <v>-4.2532482555810658E-2</v>
      </c>
      <c r="AN71" s="61">
        <f t="shared" ref="AN71:AN134" ca="1" si="44">AJ71+U$3</f>
        <v>-5.1412469157961729E-2</v>
      </c>
      <c r="AO71" s="61">
        <f t="shared" ref="AO71:AO134" ca="1" si="45">AK71+V$3</f>
        <v>-1.2222909441639675E-2</v>
      </c>
      <c r="AP71" s="19"/>
      <c r="AQ71" s="62">
        <f t="shared" ca="1" si="40"/>
        <v>0.81773307068611956</v>
      </c>
      <c r="AR71" s="62">
        <f t="shared" ca="1" si="41"/>
        <v>0.62090354081118126</v>
      </c>
      <c r="AS71" s="62">
        <f t="shared" ca="1" si="42"/>
        <v>0.6715081215309272</v>
      </c>
      <c r="AT71" s="49"/>
    </row>
    <row r="72" spans="1:46" x14ac:dyDescent="0.3">
      <c r="A72" s="5">
        <v>43566</v>
      </c>
      <c r="B72" s="6">
        <v>66.489998</v>
      </c>
      <c r="C72" s="6">
        <v>126.55999799999999</v>
      </c>
      <c r="D72" s="6">
        <v>89.040001000000004</v>
      </c>
      <c r="F72" s="13">
        <v>69</v>
      </c>
      <c r="G72" s="5">
        <v>43566</v>
      </c>
      <c r="H72" s="15">
        <f t="shared" si="38"/>
        <v>1.3475864872413923E-2</v>
      </c>
      <c r="I72" s="15">
        <f t="shared" si="38"/>
        <v>7.9044349373404285E-4</v>
      </c>
      <c r="J72" s="15">
        <f t="shared" si="38"/>
        <v>6.8744396105530547E-3</v>
      </c>
      <c r="K72" s="22"/>
      <c r="L72" s="13">
        <v>69</v>
      </c>
      <c r="M72" s="5">
        <v>43566</v>
      </c>
      <c r="N72" s="26">
        <f t="shared" si="35"/>
        <v>1.1759815497704007</v>
      </c>
      <c r="O72" s="26">
        <f t="shared" si="36"/>
        <v>1.2003034484009207</v>
      </c>
      <c r="P72" s="26">
        <f t="shared" si="37"/>
        <v>1.1784013149391561</v>
      </c>
      <c r="Q72" s="22"/>
      <c r="AD72" s="59">
        <v>68</v>
      </c>
      <c r="AE72" s="61">
        <f t="shared" ca="1" si="39"/>
        <v>-0.1417463250821662</v>
      </c>
      <c r="AF72" s="61">
        <f t="shared" ca="1" si="39"/>
        <v>1.2091529532201886</v>
      </c>
      <c r="AG72" s="61">
        <f t="shared" ca="1" si="39"/>
        <v>-0.17325277343896978</v>
      </c>
      <c r="AH72" s="19"/>
      <c r="AI72" s="61">
        <f ca="1"/>
        <v>-3.0736676853764335E-3</v>
      </c>
      <c r="AJ72" s="61">
        <f ca="1"/>
        <v>2.4063508508271908E-2</v>
      </c>
      <c r="AK72" s="61">
        <f ca="1"/>
        <v>1.9823044974595508E-3</v>
      </c>
      <c r="AL72" s="19"/>
      <c r="AM72" s="61">
        <f t="shared" ca="1" si="43"/>
        <v>-2.7224513628661892E-3</v>
      </c>
      <c r="AN72" s="61">
        <f t="shared" ca="1" si="44"/>
        <v>2.4312561105188438E-2</v>
      </c>
      <c r="AO72" s="61">
        <f t="shared" ca="1" si="45"/>
        <v>2.4139731007143689E-3</v>
      </c>
      <c r="AP72" s="19"/>
      <c r="AQ72" s="62">
        <f t="shared" ca="1" si="40"/>
        <v>0.81550985983822599</v>
      </c>
      <c r="AR72" s="62">
        <f t="shared" ca="1" si="41"/>
        <v>0.63618430059239561</v>
      </c>
      <c r="AS72" s="62">
        <f t="shared" ca="1" si="42"/>
        <v>0.67313108217676687</v>
      </c>
      <c r="AT72" s="49"/>
    </row>
    <row r="73" spans="1:46" x14ac:dyDescent="0.3">
      <c r="A73" s="5">
        <v>43567</v>
      </c>
      <c r="B73" s="6">
        <v>66.959998999999996</v>
      </c>
      <c r="C73" s="6">
        <v>128.14999399999999</v>
      </c>
      <c r="D73" s="6">
        <v>88.410004000000001</v>
      </c>
      <c r="F73" s="13">
        <v>70</v>
      </c>
      <c r="G73" s="5">
        <v>43567</v>
      </c>
      <c r="H73" s="15">
        <f t="shared" si="38"/>
        <v>7.0438809122787471E-3</v>
      </c>
      <c r="I73" s="15">
        <f t="shared" si="38"/>
        <v>1.2484917773384107E-2</v>
      </c>
      <c r="J73" s="15">
        <f t="shared" si="38"/>
        <v>-7.1005875367340498E-3</v>
      </c>
      <c r="K73" s="22"/>
      <c r="L73" s="13">
        <v>70</v>
      </c>
      <c r="M73" s="5">
        <v>43567</v>
      </c>
      <c r="N73" s="26">
        <f t="shared" si="35"/>
        <v>1.184294266284148</v>
      </c>
      <c r="O73" s="26">
        <f t="shared" si="36"/>
        <v>1.2153830763394711</v>
      </c>
      <c r="P73" s="26">
        <f t="shared" si="37"/>
        <v>1.1700636095834731</v>
      </c>
      <c r="Q73" s="22"/>
      <c r="AD73" s="59">
        <v>69</v>
      </c>
      <c r="AE73" s="61">
        <f t="shared" ca="1" si="39"/>
        <v>0.13010525362937805</v>
      </c>
      <c r="AF73" s="61">
        <f t="shared" ca="1" si="39"/>
        <v>-1.532617992734586</v>
      </c>
      <c r="AG73" s="61">
        <f t="shared" ca="1" si="39"/>
        <v>0.41449876462137769</v>
      </c>
      <c r="AH73" s="19"/>
      <c r="AI73" s="61">
        <f ca="1"/>
        <v>2.8212393763754635E-3</v>
      </c>
      <c r="AJ73" s="61">
        <f ca="1"/>
        <v>-3.1276560288205586E-2</v>
      </c>
      <c r="AK73" s="61">
        <f ca="1"/>
        <v>1.7484139577536167E-3</v>
      </c>
      <c r="AL73" s="19"/>
      <c r="AM73" s="61">
        <f t="shared" ca="1" si="43"/>
        <v>3.1724556988857078E-3</v>
      </c>
      <c r="AN73" s="61">
        <f t="shared" ca="1" si="44"/>
        <v>-3.1027507691289057E-2</v>
      </c>
      <c r="AO73" s="61">
        <f t="shared" ca="1" si="45"/>
        <v>2.1800825610084349E-3</v>
      </c>
      <c r="AP73" s="19"/>
      <c r="AQ73" s="62">
        <f t="shared" ca="1" si="40"/>
        <v>0.81810113692312503</v>
      </c>
      <c r="AR73" s="62">
        <f t="shared" ca="1" si="41"/>
        <v>0.6167481738470737</v>
      </c>
      <c r="AS73" s="62">
        <f t="shared" ca="1" si="42"/>
        <v>0.67460016428858993</v>
      </c>
      <c r="AT73" s="49"/>
    </row>
    <row r="74" spans="1:46" x14ac:dyDescent="0.3">
      <c r="A74" s="5">
        <v>43570</v>
      </c>
      <c r="B74" s="6">
        <v>66.989998</v>
      </c>
      <c r="C74" s="6">
        <v>127.18</v>
      </c>
      <c r="D74" s="6">
        <v>87.650002000000001</v>
      </c>
      <c r="F74" s="13">
        <v>71</v>
      </c>
      <c r="G74" s="5">
        <v>43570</v>
      </c>
      <c r="H74" s="15">
        <f t="shared" si="38"/>
        <v>4.4791341804289905E-4</v>
      </c>
      <c r="I74" s="15">
        <f t="shared" si="38"/>
        <v>-7.5980001506845496E-3</v>
      </c>
      <c r="J74" s="15">
        <f t="shared" si="38"/>
        <v>-8.6334964761932385E-3</v>
      </c>
      <c r="K74" s="22"/>
      <c r="L74" s="13">
        <v>71</v>
      </c>
      <c r="M74" s="5">
        <v>43570</v>
      </c>
      <c r="N74" s="26">
        <f t="shared" si="35"/>
        <v>1.1848248463950328</v>
      </c>
      <c r="O74" s="26">
        <f t="shared" si="36"/>
        <v>1.2061835886535739</v>
      </c>
      <c r="P74" s="26">
        <f t="shared" si="37"/>
        <v>1.1600053509794959</v>
      </c>
      <c r="Q74" s="22"/>
      <c r="AD74" s="59">
        <v>70</v>
      </c>
      <c r="AE74" s="61">
        <f t="shared" ca="1" si="39"/>
        <v>2.1102282698528425</v>
      </c>
      <c r="AF74" s="61">
        <f t="shared" ca="1" si="39"/>
        <v>0.76539379283331266</v>
      </c>
      <c r="AG74" s="61">
        <f t="shared" ca="1" si="39"/>
        <v>-0.51450138420693181</v>
      </c>
      <c r="AH74" s="19"/>
      <c r="AI74" s="61">
        <f ca="1"/>
        <v>4.5758790840289346E-2</v>
      </c>
      <c r="AJ74" s="61">
        <f ca="1"/>
        <v>4.9666618925023304E-2</v>
      </c>
      <c r="AK74" s="61">
        <f ca="1"/>
        <v>2.3388528312548718E-2</v>
      </c>
      <c r="AL74" s="19"/>
      <c r="AM74" s="61">
        <f t="shared" ca="1" si="43"/>
        <v>4.6110007162799588E-2</v>
      </c>
      <c r="AN74" s="61">
        <f t="shared" ca="1" si="44"/>
        <v>4.9915671521939833E-2</v>
      </c>
      <c r="AO74" s="61">
        <f t="shared" ca="1" si="45"/>
        <v>2.3820196915803536E-2</v>
      </c>
      <c r="AP74" s="19"/>
      <c r="AQ74" s="62">
        <f t="shared" ca="1" si="40"/>
        <v>0.85670700477036477</v>
      </c>
      <c r="AR74" s="62">
        <f t="shared" ca="1" si="41"/>
        <v>0.64831485519783816</v>
      </c>
      <c r="AS74" s="62">
        <f t="shared" ca="1" si="42"/>
        <v>0.69086218640819175</v>
      </c>
      <c r="AT74" s="49"/>
    </row>
    <row r="75" spans="1:46" x14ac:dyDescent="0.3">
      <c r="A75" s="5">
        <v>43571</v>
      </c>
      <c r="B75" s="6">
        <v>67.220000999999996</v>
      </c>
      <c r="C75" s="6">
        <v>129.55999800000001</v>
      </c>
      <c r="D75" s="6">
        <v>88.32</v>
      </c>
      <c r="F75" s="13">
        <v>72</v>
      </c>
      <c r="G75" s="5">
        <v>43571</v>
      </c>
      <c r="H75" s="15">
        <f t="shared" si="38"/>
        <v>3.4275125085108031E-3</v>
      </c>
      <c r="I75" s="15">
        <f t="shared" si="38"/>
        <v>1.8540673027003407E-2</v>
      </c>
      <c r="J75" s="15">
        <f t="shared" si="38"/>
        <v>7.6149483435156368E-3</v>
      </c>
      <c r="K75" s="22"/>
      <c r="L75" s="13">
        <v>72</v>
      </c>
      <c r="M75" s="5">
        <v>43571</v>
      </c>
      <c r="N75" s="26">
        <f t="shared" si="35"/>
        <v>1.1888928159021432</v>
      </c>
      <c r="O75" s="26">
        <f t="shared" si="36"/>
        <v>1.2287556481647259</v>
      </c>
      <c r="P75" s="26">
        <f t="shared" si="37"/>
        <v>1.168872450208376</v>
      </c>
      <c r="Q75" s="22"/>
      <c r="AD75" s="59">
        <v>71</v>
      </c>
      <c r="AE75" s="61">
        <f t="shared" ca="1" si="39"/>
        <v>-1.1655661774634576</v>
      </c>
      <c r="AF75" s="61">
        <f t="shared" ca="1" si="39"/>
        <v>0.49826530193363228</v>
      </c>
      <c r="AG75" s="61">
        <f t="shared" ca="1" si="39"/>
        <v>2.1796262374850737</v>
      </c>
      <c r="AH75" s="19"/>
      <c r="AI75" s="61">
        <f ca="1"/>
        <v>-2.5274468969551458E-2</v>
      </c>
      <c r="AJ75" s="61">
        <f ca="1"/>
        <v>-7.4135322969697721E-3</v>
      </c>
      <c r="AK75" s="61">
        <f ca="1"/>
        <v>4.212906342729493E-2</v>
      </c>
      <c r="AL75" s="19"/>
      <c r="AM75" s="61">
        <f t="shared" ca="1" si="43"/>
        <v>-2.4923252647041212E-2</v>
      </c>
      <c r="AN75" s="61">
        <f t="shared" ca="1" si="44"/>
        <v>-7.1644797000532416E-3</v>
      </c>
      <c r="AO75" s="61">
        <f t="shared" ca="1" si="45"/>
        <v>4.2560732030549747E-2</v>
      </c>
      <c r="AP75" s="19"/>
      <c r="AQ75" s="62">
        <f t="shared" ca="1" si="40"/>
        <v>0.83561896253919776</v>
      </c>
      <c r="AR75" s="62">
        <f t="shared" ca="1" si="41"/>
        <v>0.6436866158391843</v>
      </c>
      <c r="AS75" s="62">
        <f t="shared" ca="1" si="42"/>
        <v>0.72090047846016314</v>
      </c>
      <c r="AT75" s="49"/>
    </row>
    <row r="76" spans="1:46" x14ac:dyDescent="0.3">
      <c r="A76" s="5">
        <v>43572</v>
      </c>
      <c r="B76" s="6">
        <v>67.199996999999996</v>
      </c>
      <c r="C76" s="6">
        <v>131.759995</v>
      </c>
      <c r="D76" s="6">
        <v>89.419998000000007</v>
      </c>
      <c r="F76" s="13">
        <v>73</v>
      </c>
      <c r="G76" s="5">
        <v>43572</v>
      </c>
      <c r="H76" s="15">
        <f t="shared" si="38"/>
        <v>-2.9763428723864787E-4</v>
      </c>
      <c r="I76" s="15">
        <f t="shared" si="38"/>
        <v>1.6837969055334981E-2</v>
      </c>
      <c r="J76" s="15">
        <f t="shared" si="38"/>
        <v>1.2377765910688374E-2</v>
      </c>
      <c r="K76" s="22"/>
      <c r="L76" s="13">
        <v>73</v>
      </c>
      <c r="M76" s="5">
        <v>43572</v>
      </c>
      <c r="N76" s="26">
        <f t="shared" si="35"/>
        <v>1.1885390132907852</v>
      </c>
      <c r="O76" s="26">
        <f t="shared" si="36"/>
        <v>1.2496205662059832</v>
      </c>
      <c r="P76" s="26">
        <f t="shared" si="37"/>
        <v>1.183430391303081</v>
      </c>
      <c r="Q76" s="22"/>
      <c r="AD76" s="59">
        <v>72</v>
      </c>
      <c r="AE76" s="61">
        <f t="shared" ca="1" si="39"/>
        <v>0.37064651860935688</v>
      </c>
      <c r="AF76" s="61">
        <f t="shared" ca="1" si="39"/>
        <v>0.63479324357279954</v>
      </c>
      <c r="AG76" s="61">
        <f t="shared" ca="1" si="39"/>
        <v>-1.1235543116111424</v>
      </c>
      <c r="AH76" s="19"/>
      <c r="AI76" s="61">
        <f ca="1"/>
        <v>8.0372046773450282E-3</v>
      </c>
      <c r="AJ76" s="61">
        <f ca="1"/>
        <v>1.9599361679804743E-2</v>
      </c>
      <c r="AK76" s="61">
        <f ca="1"/>
        <v>-1.883839986500719E-2</v>
      </c>
      <c r="AL76" s="19"/>
      <c r="AM76" s="61">
        <f t="shared" ca="1" si="43"/>
        <v>8.3884209998552721E-3</v>
      </c>
      <c r="AN76" s="61">
        <f t="shared" ca="1" si="44"/>
        <v>1.9848414276721273E-2</v>
      </c>
      <c r="AO76" s="61">
        <f t="shared" ca="1" si="45"/>
        <v>-1.8406731261752372E-2</v>
      </c>
      <c r="AP76" s="19"/>
      <c r="AQ76" s="62">
        <f t="shared" ca="1" si="40"/>
        <v>0.8426579679877243</v>
      </c>
      <c r="AR76" s="62">
        <f t="shared" ca="1" si="41"/>
        <v>0.65659041076008606</v>
      </c>
      <c r="AS76" s="62">
        <f t="shared" ca="1" si="42"/>
        <v>0.70775243456151582</v>
      </c>
      <c r="AT76" s="49"/>
    </row>
    <row r="77" spans="1:46" x14ac:dyDescent="0.3">
      <c r="A77" s="5">
        <v>43573</v>
      </c>
      <c r="B77" s="6">
        <v>68.150002000000001</v>
      </c>
      <c r="C77" s="6">
        <v>131.10000600000001</v>
      </c>
      <c r="D77" s="6">
        <v>88.040001000000004</v>
      </c>
      <c r="F77" s="13">
        <v>74</v>
      </c>
      <c r="G77" s="5">
        <v>43573</v>
      </c>
      <c r="H77" s="15">
        <f t="shared" si="38"/>
        <v>1.4037984603324191E-2</v>
      </c>
      <c r="I77" s="15">
        <f t="shared" si="38"/>
        <v>-5.0216113853567435E-3</v>
      </c>
      <c r="J77" s="15">
        <f t="shared" si="38"/>
        <v>-1.5553080422739033E-2</v>
      </c>
      <c r="K77" s="22"/>
      <c r="L77" s="13">
        <v>74</v>
      </c>
      <c r="M77" s="5">
        <v>43573</v>
      </c>
      <c r="N77" s="26">
        <f t="shared" si="35"/>
        <v>1.2053413653105525</v>
      </c>
      <c r="O77" s="26">
        <f t="shared" si="36"/>
        <v>1.2433611865826786</v>
      </c>
      <c r="P77" s="26">
        <f t="shared" si="37"/>
        <v>1.1651667989721231</v>
      </c>
      <c r="Q77" s="22"/>
      <c r="AD77" s="59">
        <v>73</v>
      </c>
      <c r="AE77" s="61">
        <f t="shared" ca="1" si="39"/>
        <v>-0.50418222733339213</v>
      </c>
      <c r="AF77" s="61">
        <f t="shared" ca="1" si="39"/>
        <v>1.7299971549667246</v>
      </c>
      <c r="AG77" s="61">
        <f t="shared" ca="1" si="39"/>
        <v>1.7891322026759657</v>
      </c>
      <c r="AH77" s="19"/>
      <c r="AI77" s="61">
        <f ca="1"/>
        <v>-1.0932831019057836E-2</v>
      </c>
      <c r="AJ77" s="61">
        <f ca="1"/>
        <v>2.9711618035040809E-2</v>
      </c>
      <c r="AK77" s="61">
        <f ca="1"/>
        <v>5.057135594430047E-2</v>
      </c>
      <c r="AL77" s="19"/>
      <c r="AM77" s="61">
        <f t="shared" ca="1" si="43"/>
        <v>-1.0581614696547592E-2</v>
      </c>
      <c r="AN77" s="61">
        <f t="shared" ca="1" si="44"/>
        <v>2.9960670631957339E-2</v>
      </c>
      <c r="AO77" s="61">
        <f t="shared" ca="1" si="45"/>
        <v>5.1003024547555287E-2</v>
      </c>
      <c r="AP77" s="19"/>
      <c r="AQ77" s="62">
        <f t="shared" ca="1" si="40"/>
        <v>0.83378829653409869</v>
      </c>
      <c r="AR77" s="62">
        <f t="shared" ca="1" si="41"/>
        <v>0.67655995651934175</v>
      </c>
      <c r="AS77" s="62">
        <f t="shared" ca="1" si="42"/>
        <v>0.74478634230431007</v>
      </c>
      <c r="AT77" s="49"/>
    </row>
    <row r="78" spans="1:46" x14ac:dyDescent="0.3">
      <c r="A78" s="5">
        <v>43577</v>
      </c>
      <c r="B78" s="6">
        <v>67.389999000000003</v>
      </c>
      <c r="C78" s="6">
        <v>130.75</v>
      </c>
      <c r="D78" s="6">
        <v>91.150002000000001</v>
      </c>
      <c r="F78" s="13">
        <v>75</v>
      </c>
      <c r="G78" s="5">
        <v>43577</v>
      </c>
      <c r="H78" s="15">
        <f t="shared" si="38"/>
        <v>-1.1214563370441162E-2</v>
      </c>
      <c r="I78" s="15">
        <f t="shared" si="38"/>
        <v>-2.6733335912113233E-3</v>
      </c>
      <c r="J78" s="15">
        <f t="shared" si="38"/>
        <v>3.4715255049791588E-2</v>
      </c>
      <c r="K78" s="22"/>
      <c r="L78" s="13">
        <v>75</v>
      </c>
      <c r="M78" s="5">
        <v>43577</v>
      </c>
      <c r="N78" s="26">
        <f t="shared" si="35"/>
        <v>1.1918995013813318</v>
      </c>
      <c r="O78" s="26">
        <f t="shared" si="36"/>
        <v>1.2400417063725018</v>
      </c>
      <c r="P78" s="26">
        <f t="shared" si="37"/>
        <v>1.2063261568641122</v>
      </c>
      <c r="Q78" s="22"/>
      <c r="AD78" s="59">
        <v>74</v>
      </c>
      <c r="AE78" s="61">
        <f t="shared" ca="1" si="39"/>
        <v>-1.1227230064490399</v>
      </c>
      <c r="AF78" s="61">
        <f t="shared" ca="1" si="39"/>
        <v>-0.37300201877847056</v>
      </c>
      <c r="AG78" s="61">
        <f t="shared" ca="1" si="39"/>
        <v>-0.80380656739167633</v>
      </c>
      <c r="AH78" s="19"/>
      <c r="AI78" s="61">
        <f ca="1"/>
        <v>-2.4345445446650685E-2</v>
      </c>
      <c r="AJ78" s="61">
        <f ca="1"/>
        <v>-2.5680818334741375E-2</v>
      </c>
      <c r="AK78" s="61">
        <f ca="1"/>
        <v>-3.9809185716467105E-2</v>
      </c>
      <c r="AL78" s="19"/>
      <c r="AM78" s="61">
        <f t="shared" ca="1" si="43"/>
        <v>-2.399422912414044E-2</v>
      </c>
      <c r="AN78" s="61">
        <f t="shared" ca="1" si="44"/>
        <v>-2.5431765737824845E-2</v>
      </c>
      <c r="AO78" s="61">
        <f t="shared" ca="1" si="45"/>
        <v>-3.9377517113212288E-2</v>
      </c>
      <c r="AP78" s="19"/>
      <c r="AQ78" s="62">
        <f t="shared" ca="1" si="40"/>
        <v>0.81402029646615415</v>
      </c>
      <c r="AR78" s="62">
        <f t="shared" ca="1" si="41"/>
        <v>0.6595707901179414</v>
      </c>
      <c r="AS78" s="62">
        <f t="shared" ca="1" si="42"/>
        <v>0.71602842885794804</v>
      </c>
      <c r="AT78" s="49"/>
    </row>
    <row r="79" spans="1:46" x14ac:dyDescent="0.3">
      <c r="A79" s="5">
        <v>43578</v>
      </c>
      <c r="B79" s="6">
        <v>68.790001000000004</v>
      </c>
      <c r="C79" s="6">
        <v>132.070007</v>
      </c>
      <c r="D79" s="6">
        <v>90.279999000000004</v>
      </c>
      <c r="F79" s="13">
        <v>76</v>
      </c>
      <c r="G79" s="5">
        <v>43578</v>
      </c>
      <c r="H79" s="15">
        <f t="shared" si="38"/>
        <v>2.0561775955790607E-2</v>
      </c>
      <c r="I79" s="15">
        <f t="shared" si="38"/>
        <v>1.0045035112875132E-2</v>
      </c>
      <c r="J79" s="15">
        <f t="shared" si="38"/>
        <v>-9.5905821938413495E-3</v>
      </c>
      <c r="K79" s="22"/>
      <c r="L79" s="13">
        <v>76</v>
      </c>
      <c r="M79" s="5">
        <v>43578</v>
      </c>
      <c r="N79" s="26">
        <f t="shared" si="35"/>
        <v>1.2166607673034886</v>
      </c>
      <c r="O79" s="26">
        <f t="shared" si="36"/>
        <v>1.252560740657042</v>
      </c>
      <c r="P79" s="26">
        <f t="shared" si="37"/>
        <v>1.1948120882692455</v>
      </c>
      <c r="Q79" s="22"/>
      <c r="AD79" s="59">
        <v>75</v>
      </c>
      <c r="AE79" s="61">
        <f t="shared" ca="1" si="39"/>
        <v>0.71078680053976218</v>
      </c>
      <c r="AF79" s="61">
        <f t="shared" ca="1" si="39"/>
        <v>1.0871589898009022</v>
      </c>
      <c r="AG79" s="61">
        <f t="shared" ca="1" si="39"/>
        <v>-0.95816289049207415</v>
      </c>
      <c r="AH79" s="19"/>
      <c r="AI79" s="61">
        <f ca="1"/>
        <v>1.5412903429734434E-2</v>
      </c>
      <c r="AJ79" s="61">
        <f ca="1"/>
        <v>3.4755982139265583E-2</v>
      </c>
      <c r="AK79" s="61">
        <f ca="1"/>
        <v>-6.3895526975751467E-3</v>
      </c>
      <c r="AL79" s="19"/>
      <c r="AM79" s="61">
        <f t="shared" ca="1" si="43"/>
        <v>1.576411975224468E-2</v>
      </c>
      <c r="AN79" s="61">
        <f t="shared" ca="1" si="44"/>
        <v>3.5005034736182113E-2</v>
      </c>
      <c r="AO79" s="61">
        <f t="shared" ca="1" si="45"/>
        <v>-5.9578840943203286E-3</v>
      </c>
      <c r="AP79" s="19"/>
      <c r="AQ79" s="62">
        <f t="shared" ca="1" si="40"/>
        <v>0.82695428855209985</v>
      </c>
      <c r="AR79" s="62">
        <f t="shared" ca="1" si="41"/>
        <v>0.68306794865293841</v>
      </c>
      <c r="AS79" s="62">
        <f t="shared" ca="1" si="42"/>
        <v>0.71177509747973966</v>
      </c>
      <c r="AT79" s="49"/>
    </row>
    <row r="80" spans="1:46" x14ac:dyDescent="0.3">
      <c r="A80" s="5">
        <v>43579</v>
      </c>
      <c r="B80" s="6">
        <v>63</v>
      </c>
      <c r="C80" s="6">
        <v>132.029999</v>
      </c>
      <c r="D80" s="6">
        <v>87.730002999999996</v>
      </c>
      <c r="F80" s="13">
        <v>77</v>
      </c>
      <c r="G80" s="5">
        <v>43579</v>
      </c>
      <c r="H80" s="15">
        <f t="shared" si="38"/>
        <v>-8.7923673683386688E-2</v>
      </c>
      <c r="I80" s="15">
        <f t="shared" si="38"/>
        <v>-3.0297614083387922E-4</v>
      </c>
      <c r="J80" s="15">
        <f t="shared" si="38"/>
        <v>-2.865199053656451E-2</v>
      </c>
      <c r="K80" s="22"/>
      <c r="L80" s="13">
        <v>77</v>
      </c>
      <c r="M80" s="5">
        <v>43579</v>
      </c>
      <c r="N80" s="26">
        <f t="shared" si="35"/>
        <v>1.1142553747036545</v>
      </c>
      <c r="O80" s="26">
        <f t="shared" si="36"/>
        <v>1.252181302120992</v>
      </c>
      <c r="P80" s="26">
        <f t="shared" si="37"/>
        <v>1.1610641254913745</v>
      </c>
      <c r="Q80" s="22"/>
      <c r="AD80" s="59">
        <v>76</v>
      </c>
      <c r="AE80" s="61">
        <f t="shared" ca="1" si="39"/>
        <v>1.6099061028541262</v>
      </c>
      <c r="AF80" s="61">
        <f t="shared" ca="1" si="39"/>
        <v>-0.80794000001694422</v>
      </c>
      <c r="AG80" s="61">
        <f t="shared" ca="1" si="39"/>
        <v>1.3096467715426894</v>
      </c>
      <c r="AH80" s="19"/>
      <c r="AI80" s="61">
        <f ca="1"/>
        <v>3.4909662468953905E-2</v>
      </c>
      <c r="AJ80" s="61">
        <f ca="1"/>
        <v>7.6373962680084256E-3</v>
      </c>
      <c r="AK80" s="61">
        <f ca="1"/>
        <v>5.1650447585273276E-2</v>
      </c>
      <c r="AL80" s="19"/>
      <c r="AM80" s="61">
        <f t="shared" ca="1" si="43"/>
        <v>3.5260878791464147E-2</v>
      </c>
      <c r="AN80" s="61">
        <f t="shared" ca="1" si="44"/>
        <v>7.8864488649249571E-3</v>
      </c>
      <c r="AO80" s="61">
        <f t="shared" ca="1" si="45"/>
        <v>5.2082116188528094E-2</v>
      </c>
      <c r="AP80" s="19"/>
      <c r="AQ80" s="62">
        <f t="shared" ca="1" si="40"/>
        <v>0.85663360789353948</v>
      </c>
      <c r="AR80" s="62">
        <f t="shared" ca="1" si="41"/>
        <v>0.68847622712595891</v>
      </c>
      <c r="AS80" s="62">
        <f t="shared" ca="1" si="42"/>
        <v>0.74982819231544495</v>
      </c>
      <c r="AT80" s="49"/>
    </row>
    <row r="81" spans="1:46" x14ac:dyDescent="0.3">
      <c r="A81" s="5">
        <v>43580</v>
      </c>
      <c r="B81" s="6">
        <v>62.099997999999999</v>
      </c>
      <c r="C81" s="6">
        <v>129.729996</v>
      </c>
      <c r="D81" s="6">
        <v>90.830001999999993</v>
      </c>
      <c r="F81" s="13">
        <v>78</v>
      </c>
      <c r="G81" s="5">
        <v>43580</v>
      </c>
      <c r="H81" s="15">
        <f t="shared" si="38"/>
        <v>-1.4388769658219294E-2</v>
      </c>
      <c r="I81" s="15">
        <f t="shared" si="38"/>
        <v>-1.7573825167422071E-2</v>
      </c>
      <c r="J81" s="15">
        <f t="shared" si="38"/>
        <v>3.4725699197158538E-2</v>
      </c>
      <c r="K81" s="22"/>
      <c r="L81" s="13">
        <v>78</v>
      </c>
      <c r="M81" s="5">
        <v>43580</v>
      </c>
      <c r="N81" s="26">
        <f t="shared" si="35"/>
        <v>1.0983374054061301</v>
      </c>
      <c r="O81" s="26">
        <f t="shared" si="36"/>
        <v>1.2303679205165416</v>
      </c>
      <c r="P81" s="26">
        <f t="shared" si="37"/>
        <v>1.2020911117546615</v>
      </c>
      <c r="Q81" s="22"/>
      <c r="AD81" s="59">
        <v>77</v>
      </c>
      <c r="AE81" s="61">
        <f t="shared" ca="1" si="39"/>
        <v>-1.0221732529088912</v>
      </c>
      <c r="AF81" s="61">
        <f t="shared" ca="1" si="39"/>
        <v>0.49998156362228757</v>
      </c>
      <c r="AG81" s="61">
        <f t="shared" ca="1" si="39"/>
        <v>0.67858014797027211</v>
      </c>
      <c r="AH81" s="19"/>
      <c r="AI81" s="61">
        <f ca="1"/>
        <v>-2.2165095952229801E-2</v>
      </c>
      <c r="AJ81" s="61">
        <f ca="1"/>
        <v>-5.1317930925099051E-3</v>
      </c>
      <c r="AK81" s="61">
        <f ca="1"/>
        <v>5.8031254587878958E-3</v>
      </c>
      <c r="AL81" s="19"/>
      <c r="AM81" s="61">
        <f t="shared" ca="1" si="43"/>
        <v>-2.1813879629719556E-2</v>
      </c>
      <c r="AN81" s="61">
        <f t="shared" ca="1" si="44"/>
        <v>-4.8827404955933745E-3</v>
      </c>
      <c r="AO81" s="61">
        <f t="shared" ca="1" si="45"/>
        <v>6.2347940620427139E-3</v>
      </c>
      <c r="AP81" s="19"/>
      <c r="AQ81" s="62">
        <f t="shared" ca="1" si="40"/>
        <v>0.83814944410725001</v>
      </c>
      <c r="AR81" s="62">
        <f t="shared" ca="1" si="41"/>
        <v>0.68512277006433653</v>
      </c>
      <c r="AS81" s="62">
        <f t="shared" ca="1" si="42"/>
        <v>0.75451782091921427</v>
      </c>
      <c r="AT81" s="49"/>
    </row>
    <row r="82" spans="1:46" x14ac:dyDescent="0.3">
      <c r="A82" s="5">
        <v>43581</v>
      </c>
      <c r="B82" s="6">
        <v>62.450001</v>
      </c>
      <c r="C82" s="6">
        <v>131.19000199999999</v>
      </c>
      <c r="D82" s="6">
        <v>90.080001999999993</v>
      </c>
      <c r="F82" s="13">
        <v>79</v>
      </c>
      <c r="G82" s="5">
        <v>43581</v>
      </c>
      <c r="H82" s="15">
        <f t="shared" si="38"/>
        <v>5.6202958510834988E-3</v>
      </c>
      <c r="I82" s="15">
        <f t="shared" si="38"/>
        <v>1.1191332588351754E-2</v>
      </c>
      <c r="J82" s="15">
        <f t="shared" si="38"/>
        <v>-8.2914629394119296E-3</v>
      </c>
      <c r="K82" s="22"/>
      <c r="L82" s="13">
        <v>79</v>
      </c>
      <c r="M82" s="5">
        <v>43581</v>
      </c>
      <c r="N82" s="26">
        <f t="shared" si="35"/>
        <v>1.1045277661031525</v>
      </c>
      <c r="O82" s="26">
        <f t="shared" si="36"/>
        <v>1.2442147146393263</v>
      </c>
      <c r="P82" s="26">
        <f t="shared" si="37"/>
        <v>1.1921652247793866</v>
      </c>
      <c r="Q82" s="22"/>
      <c r="AD82" s="59">
        <v>78</v>
      </c>
      <c r="AE82" s="61">
        <f t="shared" ca="1" si="39"/>
        <v>0.55522821434299607</v>
      </c>
      <c r="AF82" s="61">
        <f t="shared" ca="1" si="39"/>
        <v>8.58105670073053E-2</v>
      </c>
      <c r="AG82" s="61">
        <f t="shared" ca="1" si="39"/>
        <v>1.0736997865146674</v>
      </c>
      <c r="AH82" s="19"/>
      <c r="AI82" s="61">
        <f ca="1"/>
        <v>1.2039726740330435E-2</v>
      </c>
      <c r="AJ82" s="61">
        <f ca="1"/>
        <v>1.0555799628251237E-2</v>
      </c>
      <c r="AK82" s="61">
        <f ca="1"/>
        <v>3.6316257931241595E-2</v>
      </c>
      <c r="AL82" s="19"/>
      <c r="AM82" s="61">
        <f t="shared" ca="1" si="43"/>
        <v>1.2390943062840679E-2</v>
      </c>
      <c r="AN82" s="61">
        <f t="shared" ca="1" si="44"/>
        <v>1.0804852225167768E-2</v>
      </c>
      <c r="AO82" s="61">
        <f t="shared" ca="1" si="45"/>
        <v>3.6747926534496413E-2</v>
      </c>
      <c r="AP82" s="19"/>
      <c r="AQ82" s="62">
        <f t="shared" ca="1" si="40"/>
        <v>0.84859951556316371</v>
      </c>
      <c r="AR82" s="62">
        <f t="shared" ca="1" si="41"/>
        <v>0.69256555704896683</v>
      </c>
      <c r="AS82" s="62">
        <f t="shared" ca="1" si="42"/>
        <v>0.78276053883340391</v>
      </c>
      <c r="AT82" s="49"/>
    </row>
    <row r="83" spans="1:46" x14ac:dyDescent="0.3">
      <c r="A83" s="5">
        <v>43584</v>
      </c>
      <c r="B83" s="6">
        <v>62.290000999999997</v>
      </c>
      <c r="C83" s="6">
        <v>132.08999600000001</v>
      </c>
      <c r="D83" s="6">
        <v>89.599997999999999</v>
      </c>
      <c r="F83" s="13">
        <v>80</v>
      </c>
      <c r="G83" s="5">
        <v>43584</v>
      </c>
      <c r="H83" s="15">
        <f t="shared" si="38"/>
        <v>-2.5653372644015987E-3</v>
      </c>
      <c r="I83" s="15">
        <f t="shared" si="38"/>
        <v>6.8368088153855011E-3</v>
      </c>
      <c r="J83" s="15">
        <f t="shared" si="38"/>
        <v>-5.3428889344106717E-3</v>
      </c>
      <c r="K83" s="22"/>
      <c r="L83" s="13">
        <v>80</v>
      </c>
      <c r="M83" s="5">
        <v>43584</v>
      </c>
      <c r="N83" s="26">
        <f t="shared" si="35"/>
        <v>1.1016979111832701</v>
      </c>
      <c r="O83" s="26">
        <f t="shared" si="36"/>
        <v>1.2527503176640684</v>
      </c>
      <c r="P83" s="26">
        <f t="shared" si="37"/>
        <v>1.1858126041771468</v>
      </c>
      <c r="Q83" s="22"/>
      <c r="AD83" s="59">
        <v>79</v>
      </c>
      <c r="AE83" s="61">
        <f t="shared" ca="1" si="39"/>
        <v>0.41503578579381478</v>
      </c>
      <c r="AF83" s="61">
        <f t="shared" ca="1" si="39"/>
        <v>-1.191022983831528</v>
      </c>
      <c r="AG83" s="61">
        <f t="shared" ca="1" si="39"/>
        <v>0.32410530165798368</v>
      </c>
      <c r="AH83" s="19"/>
      <c r="AI83" s="61">
        <f ca="1"/>
        <v>8.999754189957224E-3</v>
      </c>
      <c r="AJ83" s="61">
        <f ca="1"/>
        <v>-1.9391816185863598E-2</v>
      </c>
      <c r="AK83" s="61">
        <f ca="1"/>
        <v>6.0482111139683985E-3</v>
      </c>
      <c r="AL83" s="19"/>
      <c r="AM83" s="61">
        <f t="shared" ca="1" si="43"/>
        <v>9.3509705124674679E-3</v>
      </c>
      <c r="AN83" s="61">
        <f t="shared" ca="1" si="44"/>
        <v>-1.9142763588947068E-2</v>
      </c>
      <c r="AO83" s="61">
        <f t="shared" ca="1" si="45"/>
        <v>6.4798797172232166E-3</v>
      </c>
      <c r="AP83" s="19"/>
      <c r="AQ83" s="62">
        <f t="shared" ca="1" si="40"/>
        <v>0.85657196157095117</v>
      </c>
      <c r="AR83" s="62">
        <f t="shared" ca="1" si="41"/>
        <v>0.67943402621235194</v>
      </c>
      <c r="AS83" s="62">
        <f t="shared" ca="1" si="42"/>
        <v>0.78784920212989751</v>
      </c>
      <c r="AT83" s="49"/>
    </row>
    <row r="84" spans="1:46" x14ac:dyDescent="0.3">
      <c r="A84" s="5">
        <v>43585</v>
      </c>
      <c r="B84" s="6">
        <v>62.09</v>
      </c>
      <c r="C84" s="6">
        <v>131.58000200000001</v>
      </c>
      <c r="D84" s="6">
        <v>90.660004000000001</v>
      </c>
      <c r="F84" s="13">
        <v>81</v>
      </c>
      <c r="G84" s="5">
        <v>43585</v>
      </c>
      <c r="H84" s="15">
        <f t="shared" si="38"/>
        <v>-3.2159699431936789E-3</v>
      </c>
      <c r="I84" s="15">
        <f t="shared" si="38"/>
        <v>-3.8684312956583987E-3</v>
      </c>
      <c r="J84" s="15">
        <f t="shared" si="38"/>
        <v>1.1760991974137517E-2</v>
      </c>
      <c r="K84" s="22"/>
      <c r="L84" s="13">
        <v>81</v>
      </c>
      <c r="M84" s="5">
        <v>43585</v>
      </c>
      <c r="N84" s="26">
        <f t="shared" si="35"/>
        <v>1.0981605748468242</v>
      </c>
      <c r="O84" s="26">
        <f t="shared" si="36"/>
        <v>1.2479135006086211</v>
      </c>
      <c r="P84" s="26">
        <f t="shared" si="37"/>
        <v>1.199841270509298</v>
      </c>
      <c r="Q84" s="22"/>
      <c r="AD84" s="59">
        <v>80</v>
      </c>
      <c r="AE84" s="61">
        <f t="shared" ca="1" si="39"/>
        <v>0.29529233804461319</v>
      </c>
      <c r="AF84" s="61">
        <f t="shared" ca="1" si="39"/>
        <v>1.4522753180555406</v>
      </c>
      <c r="AG84" s="61">
        <f t="shared" ca="1" si="39"/>
        <v>-1.4711361290453322</v>
      </c>
      <c r="AH84" s="19"/>
      <c r="AI84" s="61">
        <f ca="1"/>
        <v>6.4032031635448379E-3</v>
      </c>
      <c r="AJ84" s="61">
        <f ca="1"/>
        <v>3.6188697350721742E-2</v>
      </c>
      <c r="AK84" s="61">
        <f ca="1"/>
        <v>-2.3099744223861865E-2</v>
      </c>
      <c r="AL84" s="19"/>
      <c r="AM84" s="61">
        <f t="shared" ca="1" si="43"/>
        <v>6.7544194860550818E-3</v>
      </c>
      <c r="AN84" s="61">
        <f t="shared" ca="1" si="44"/>
        <v>3.6437749947638272E-2</v>
      </c>
      <c r="AO84" s="61">
        <f t="shared" ca="1" si="45"/>
        <v>-2.2668075620607048E-2</v>
      </c>
      <c r="AP84" s="19"/>
      <c r="AQ84" s="62">
        <f t="shared" ca="1" si="40"/>
        <v>0.86237719132730062</v>
      </c>
      <c r="AR84" s="62">
        <f t="shared" ca="1" si="41"/>
        <v>0.70464764754450993</v>
      </c>
      <c r="AS84" s="62">
        <f t="shared" ca="1" si="42"/>
        <v>0.77019107088273286</v>
      </c>
      <c r="AT84" s="49"/>
    </row>
    <row r="85" spans="1:46" x14ac:dyDescent="0.3">
      <c r="A85" s="5">
        <v>43586</v>
      </c>
      <c r="B85" s="6">
        <v>60.889999000000003</v>
      </c>
      <c r="C85" s="6">
        <v>129.71000699999999</v>
      </c>
      <c r="D85" s="6">
        <v>89.769997000000004</v>
      </c>
      <c r="F85" s="13">
        <v>82</v>
      </c>
      <c r="G85" s="5">
        <v>43586</v>
      </c>
      <c r="H85" s="15">
        <f t="shared" si="38"/>
        <v>-1.9516004179376795E-2</v>
      </c>
      <c r="I85" s="15">
        <f t="shared" si="38"/>
        <v>-1.4313803538609202E-2</v>
      </c>
      <c r="J85" s="15">
        <f t="shared" si="38"/>
        <v>-9.8654792837336771E-3</v>
      </c>
      <c r="K85" s="22"/>
      <c r="L85" s="13">
        <v>82</v>
      </c>
      <c r="M85" s="5">
        <v>43586</v>
      </c>
      <c r="N85" s="26">
        <f t="shared" si="35"/>
        <v>1.0769366452611135</v>
      </c>
      <c r="O85" s="26">
        <f t="shared" si="36"/>
        <v>1.2301783435095153</v>
      </c>
      <c r="P85" s="26">
        <f t="shared" si="37"/>
        <v>1.1880624586570265</v>
      </c>
      <c r="Q85" s="22"/>
      <c r="AD85" s="59">
        <v>81</v>
      </c>
      <c r="AE85" s="61">
        <f t="shared" ca="1" si="39"/>
        <v>0.3799170379916183</v>
      </c>
      <c r="AF85" s="61">
        <f t="shared" ca="1" si="39"/>
        <v>-0.48472178085902706</v>
      </c>
      <c r="AG85" s="61">
        <f t="shared" ca="1" si="39"/>
        <v>-0.98946754776276336</v>
      </c>
      <c r="AH85" s="19"/>
      <c r="AI85" s="61">
        <f ca="1"/>
        <v>8.2382292600662772E-3</v>
      </c>
      <c r="AJ85" s="61">
        <f ca="1"/>
        <v>-4.5893313063635754E-3</v>
      </c>
      <c r="AK85" s="61">
        <f ca="1"/>
        <v>-2.3150266549474472E-2</v>
      </c>
      <c r="AL85" s="19"/>
      <c r="AM85" s="61">
        <f t="shared" ca="1" si="43"/>
        <v>8.5894455825765211E-3</v>
      </c>
      <c r="AN85" s="61">
        <f t="shared" ca="1" si="44"/>
        <v>-4.3402787094470449E-3</v>
      </c>
      <c r="AO85" s="61">
        <f t="shared" ca="1" si="45"/>
        <v>-2.2718597946219655E-2</v>
      </c>
      <c r="AP85" s="19"/>
      <c r="AQ85" s="62">
        <f t="shared" ca="1" si="40"/>
        <v>0.86981643704396805</v>
      </c>
      <c r="AR85" s="62">
        <f t="shared" ca="1" si="41"/>
        <v>0.70159590785334081</v>
      </c>
      <c r="AS85" s="62">
        <f t="shared" ca="1" si="42"/>
        <v>0.75289067408599497</v>
      </c>
      <c r="AT85" s="49"/>
    </row>
    <row r="86" spans="1:46" x14ac:dyDescent="0.3">
      <c r="A86" s="5">
        <v>43587</v>
      </c>
      <c r="B86" s="6">
        <v>61.32</v>
      </c>
      <c r="C86" s="6">
        <v>131.88999899999999</v>
      </c>
      <c r="D86" s="6">
        <v>88.25</v>
      </c>
      <c r="F86" s="13">
        <v>83</v>
      </c>
      <c r="G86" s="5">
        <v>43587</v>
      </c>
      <c r="H86" s="15">
        <f t="shared" si="38"/>
        <v>7.0371128061887432E-3</v>
      </c>
      <c r="I86" s="15">
        <f t="shared" si="38"/>
        <v>1.6666990936596369E-2</v>
      </c>
      <c r="J86" s="15">
        <f t="shared" si="38"/>
        <v>-1.7077114536453705E-2</v>
      </c>
      <c r="K86" s="22"/>
      <c r="L86" s="13">
        <v>83</v>
      </c>
      <c r="M86" s="5">
        <v>43587</v>
      </c>
      <c r="N86" s="26">
        <f t="shared" si="35"/>
        <v>1.0845418980448904</v>
      </c>
      <c r="O86" s="26">
        <f t="shared" si="36"/>
        <v>1.2508535327986809</v>
      </c>
      <c r="P86" s="26">
        <f t="shared" si="37"/>
        <v>1.167946034090684</v>
      </c>
      <c r="Q86" s="22"/>
      <c r="AD86" s="59">
        <v>82</v>
      </c>
      <c r="AE86" s="61">
        <f t="shared" ca="1" si="39"/>
        <v>-1.6431740967726356</v>
      </c>
      <c r="AF86" s="61">
        <f t="shared" ca="1" si="39"/>
        <v>0.25667962432597174</v>
      </c>
      <c r="AG86" s="61">
        <f t="shared" ca="1" si="39"/>
        <v>0.2407752137151653</v>
      </c>
      <c r="AH86" s="19"/>
      <c r="AI86" s="61">
        <f ca="1"/>
        <v>-3.5631055124497872E-2</v>
      </c>
      <c r="AJ86" s="61">
        <f ca="1"/>
        <v>-2.0140323385619906E-2</v>
      </c>
      <c r="AK86" s="61">
        <f ca="1"/>
        <v>-1.6302488215106662E-2</v>
      </c>
      <c r="AL86" s="19"/>
      <c r="AM86" s="61">
        <f t="shared" ca="1" si="43"/>
        <v>-3.527983880198763E-2</v>
      </c>
      <c r="AN86" s="61">
        <f t="shared" ca="1" si="44"/>
        <v>-1.9891270788703376E-2</v>
      </c>
      <c r="AO86" s="61">
        <f t="shared" ca="1" si="45"/>
        <v>-1.5870819611851845E-2</v>
      </c>
      <c r="AP86" s="19"/>
      <c r="AQ86" s="62">
        <f t="shared" ca="1" si="40"/>
        <v>0.83966445918315868</v>
      </c>
      <c r="AR86" s="62">
        <f t="shared" ca="1" si="41"/>
        <v>0.68777815558637356</v>
      </c>
      <c r="AS86" s="62">
        <f t="shared" ca="1" si="42"/>
        <v>0.74103600251852453</v>
      </c>
      <c r="AT86" s="49"/>
    </row>
    <row r="87" spans="1:46" x14ac:dyDescent="0.3">
      <c r="A87" s="5">
        <v>43588</v>
      </c>
      <c r="B87" s="6">
        <v>61.57</v>
      </c>
      <c r="C87" s="6">
        <v>131.28999300000001</v>
      </c>
      <c r="D87" s="6">
        <v>88.440002000000007</v>
      </c>
      <c r="F87" s="13">
        <v>84</v>
      </c>
      <c r="G87" s="5">
        <v>43588</v>
      </c>
      <c r="H87" s="15">
        <f t="shared" si="38"/>
        <v>4.0686849195053446E-3</v>
      </c>
      <c r="I87" s="15">
        <f t="shared" si="38"/>
        <v>-4.5596706267840032E-3</v>
      </c>
      <c r="J87" s="15">
        <f t="shared" si="38"/>
        <v>2.1506827900408428E-3</v>
      </c>
      <c r="K87" s="22"/>
      <c r="L87" s="13">
        <v>84</v>
      </c>
      <c r="M87" s="5">
        <v>43588</v>
      </c>
      <c r="N87" s="26">
        <f t="shared" si="35"/>
        <v>1.0889635463572065</v>
      </c>
      <c r="O87" s="26">
        <f t="shared" si="36"/>
        <v>1.2451630359415207</v>
      </c>
      <c r="P87" s="26">
        <f t="shared" si="37"/>
        <v>1.1704606185934523</v>
      </c>
      <c r="Q87" s="22"/>
      <c r="AD87" s="59">
        <v>83</v>
      </c>
      <c r="AE87" s="61">
        <f t="shared" ca="1" si="39"/>
        <v>-0.35939193597463887</v>
      </c>
      <c r="AF87" s="61">
        <f t="shared" ca="1" si="39"/>
        <v>1.1121339165646129</v>
      </c>
      <c r="AG87" s="61">
        <f t="shared" ca="1" si="39"/>
        <v>-0.71647430840708826</v>
      </c>
      <c r="AH87" s="19"/>
      <c r="AI87" s="61">
        <f ca="1"/>
        <v>-7.7931571019551268E-3</v>
      </c>
      <c r="AJ87" s="61">
        <f ca="1"/>
        <v>1.8548038370761161E-2</v>
      </c>
      <c r="AK87" s="61">
        <f ca="1"/>
        <v>-1.5834092342995036E-2</v>
      </c>
      <c r="AL87" s="19"/>
      <c r="AM87" s="61">
        <f t="shared" ca="1" si="43"/>
        <v>-7.441940779444883E-3</v>
      </c>
      <c r="AN87" s="61">
        <f t="shared" ca="1" si="44"/>
        <v>1.879709096767769E-2</v>
      </c>
      <c r="AO87" s="61">
        <f t="shared" ca="1" si="45"/>
        <v>-1.5402423739740217E-2</v>
      </c>
      <c r="AP87" s="19"/>
      <c r="AQ87" s="62">
        <f t="shared" ca="1" si="40"/>
        <v>0.83343891978320594</v>
      </c>
      <c r="AR87" s="62">
        <f t="shared" ca="1" si="41"/>
        <v>0.70082865560096763</v>
      </c>
      <c r="AS87" s="62">
        <f t="shared" ca="1" si="42"/>
        <v>0.72970970215516096</v>
      </c>
      <c r="AT87" s="49"/>
    </row>
    <row r="88" spans="1:46" x14ac:dyDescent="0.3">
      <c r="A88" s="5">
        <v>43591</v>
      </c>
      <c r="B88" s="6">
        <v>60.889999000000003</v>
      </c>
      <c r="C88" s="6">
        <v>128.220001</v>
      </c>
      <c r="D88" s="6">
        <v>86.389999000000003</v>
      </c>
      <c r="F88" s="13">
        <v>85</v>
      </c>
      <c r="G88" s="5">
        <v>43591</v>
      </c>
      <c r="H88" s="15">
        <f t="shared" si="38"/>
        <v>-1.1105797725694096E-2</v>
      </c>
      <c r="I88" s="15">
        <f t="shared" si="38"/>
        <v>-2.3661017270726881E-2</v>
      </c>
      <c r="J88" s="15">
        <f t="shared" si="38"/>
        <v>-2.3452461808068165E-2</v>
      </c>
      <c r="K88" s="22"/>
      <c r="L88" s="13">
        <v>85</v>
      </c>
      <c r="M88" s="5">
        <v>43591</v>
      </c>
      <c r="N88" s="26">
        <f t="shared" si="35"/>
        <v>1.0769366452611135</v>
      </c>
      <c r="O88" s="26">
        <f t="shared" si="36"/>
        <v>1.2160470273890926</v>
      </c>
      <c r="P88" s="26">
        <f t="shared" si="37"/>
        <v>1.143329821157486</v>
      </c>
      <c r="Q88" s="22"/>
      <c r="AD88" s="59">
        <v>84</v>
      </c>
      <c r="AE88" s="61">
        <f t="shared" ca="1" si="39"/>
        <v>-0.36103853705514011</v>
      </c>
      <c r="AF88" s="61">
        <f t="shared" ca="1" si="39"/>
        <v>-1.1142338148423578</v>
      </c>
      <c r="AG88" s="61">
        <f t="shared" ca="1" si="39"/>
        <v>-1.8678801340792592</v>
      </c>
      <c r="AH88" s="19"/>
      <c r="AI88" s="61">
        <f ca="1"/>
        <v>-7.8288624687708717E-3</v>
      </c>
      <c r="AJ88" s="61">
        <f ca="1"/>
        <v>-2.9870103006945037E-2</v>
      </c>
      <c r="AK88" s="61">
        <f ca="1"/>
        <v>-6.1036494553000788E-2</v>
      </c>
      <c r="AL88" s="19"/>
      <c r="AM88" s="61">
        <f t="shared" ca="1" si="43"/>
        <v>-7.4776461462606279E-3</v>
      </c>
      <c r="AN88" s="61">
        <f t="shared" ca="1" si="44"/>
        <v>-2.9621050410028507E-2</v>
      </c>
      <c r="AO88" s="61">
        <f t="shared" ca="1" si="45"/>
        <v>-6.060482594974597E-2</v>
      </c>
      <c r="AP88" s="19"/>
      <c r="AQ88" s="62">
        <f t="shared" ca="1" si="40"/>
        <v>0.82723000143477055</v>
      </c>
      <c r="AR88" s="62">
        <f t="shared" ca="1" si="41"/>
        <v>0.68037381714417922</v>
      </c>
      <c r="AS88" s="62">
        <f t="shared" ca="1" si="42"/>
        <v>0.68679919767917685</v>
      </c>
      <c r="AT88" s="49"/>
    </row>
    <row r="89" spans="1:46" x14ac:dyDescent="0.3">
      <c r="A89" s="5">
        <v>43592</v>
      </c>
      <c r="B89" s="6">
        <v>59.41</v>
      </c>
      <c r="C89" s="6">
        <v>123.910004</v>
      </c>
      <c r="D89" s="6">
        <v>84.360000999999997</v>
      </c>
      <c r="F89" s="13">
        <v>86</v>
      </c>
      <c r="G89" s="5">
        <v>43592</v>
      </c>
      <c r="H89" s="15">
        <f t="shared" si="38"/>
        <v>-2.460637882977464E-2</v>
      </c>
      <c r="I89" s="15">
        <f t="shared" si="38"/>
        <v>-3.419201844831081E-2</v>
      </c>
      <c r="J89" s="15">
        <f t="shared" si="38"/>
        <v>-2.3778549330846003E-2</v>
      </c>
      <c r="K89" s="22"/>
      <c r="L89" s="13">
        <v>86</v>
      </c>
      <c r="M89" s="5">
        <v>43592</v>
      </c>
      <c r="N89" s="26">
        <f t="shared" si="35"/>
        <v>1.0507605049387954</v>
      </c>
      <c r="O89" s="26">
        <f t="shared" si="36"/>
        <v>1.1751707288472926</v>
      </c>
      <c r="P89" s="26">
        <f t="shared" si="37"/>
        <v>1.1164637802134405</v>
      </c>
      <c r="Q89" s="22"/>
      <c r="AD89" s="59">
        <v>85</v>
      </c>
      <c r="AE89" s="61">
        <f t="shared" ca="1" si="39"/>
        <v>-0.64759366221573222</v>
      </c>
      <c r="AF89" s="61">
        <f t="shared" ca="1" si="39"/>
        <v>-0.65181347420229274</v>
      </c>
      <c r="AG89" s="61">
        <f t="shared" ca="1" si="39"/>
        <v>2.4030125145401655</v>
      </c>
      <c r="AH89" s="19"/>
      <c r="AI89" s="61">
        <f ca="1"/>
        <v>-1.4042605419599063E-2</v>
      </c>
      <c r="AJ89" s="61">
        <f ca="1"/>
        <v>-2.4304183989663698E-2</v>
      </c>
      <c r="AK89" s="61">
        <f ca="1"/>
        <v>4.7406152011685285E-2</v>
      </c>
      <c r="AL89" s="19"/>
      <c r="AM89" s="61">
        <f t="shared" ca="1" si="43"/>
        <v>-1.369138909708882E-2</v>
      </c>
      <c r="AN89" s="61">
        <f t="shared" ca="1" si="44"/>
        <v>-2.4055131392747169E-2</v>
      </c>
      <c r="AO89" s="61">
        <f t="shared" ca="1" si="45"/>
        <v>4.7837820614940102E-2</v>
      </c>
      <c r="AP89" s="19"/>
      <c r="AQ89" s="62">
        <f t="shared" ca="1" si="40"/>
        <v>0.81598125481388606</v>
      </c>
      <c r="AR89" s="62">
        <f t="shared" ca="1" si="41"/>
        <v>0.66420261554661097</v>
      </c>
      <c r="AS89" s="62">
        <f t="shared" ca="1" si="42"/>
        <v>0.7204527122523039</v>
      </c>
      <c r="AT89" s="49"/>
    </row>
    <row r="90" spans="1:46" x14ac:dyDescent="0.3">
      <c r="A90" s="5">
        <v>43593</v>
      </c>
      <c r="B90" s="6">
        <v>58.549999</v>
      </c>
      <c r="C90" s="6">
        <v>124.389999</v>
      </c>
      <c r="D90" s="6">
        <v>82.400002000000001</v>
      </c>
      <c r="F90" s="13">
        <v>87</v>
      </c>
      <c r="G90" s="5">
        <v>43593</v>
      </c>
      <c r="H90" s="15">
        <f t="shared" si="38"/>
        <v>-1.4581489403343124E-2</v>
      </c>
      <c r="I90" s="15">
        <f t="shared" si="38"/>
        <v>3.8662552727460543E-3</v>
      </c>
      <c r="J90" s="15">
        <f t="shared" si="38"/>
        <v>-2.3507906277262531E-2</v>
      </c>
      <c r="K90" s="22"/>
      <c r="L90" s="13">
        <v>87</v>
      </c>
      <c r="M90" s="5">
        <v>43593</v>
      </c>
      <c r="N90" s="26">
        <f t="shared" si="35"/>
        <v>1.0355500170578349</v>
      </c>
      <c r="O90" s="26">
        <f t="shared" si="36"/>
        <v>1.1797230333891686</v>
      </c>
      <c r="P90" s="26">
        <f t="shared" si="37"/>
        <v>1.0905241421525713</v>
      </c>
      <c r="Q90" s="22"/>
      <c r="AD90" s="59">
        <v>86</v>
      </c>
      <c r="AE90" s="61">
        <f t="shared" ca="1" si="39"/>
        <v>0.66115389164562965</v>
      </c>
      <c r="AF90" s="61">
        <f t="shared" ca="1" si="39"/>
        <v>0.50846133087002243</v>
      </c>
      <c r="AG90" s="61">
        <f t="shared" ca="1" si="39"/>
        <v>-0.60719299361571999</v>
      </c>
      <c r="AH90" s="19"/>
      <c r="AI90" s="61">
        <f ca="1"/>
        <v>1.4336649296791687E-2</v>
      </c>
      <c r="AJ90" s="61">
        <f ca="1"/>
        <v>2.1400528570722929E-2</v>
      </c>
      <c r="AK90" s="61">
        <f ca="1"/>
        <v>-2.2065285343856912E-3</v>
      </c>
      <c r="AL90" s="19"/>
      <c r="AM90" s="61">
        <f t="shared" ca="1" si="43"/>
        <v>1.4687865619301931E-2</v>
      </c>
      <c r="AN90" s="61">
        <f t="shared" ca="1" si="44"/>
        <v>2.1649581167639459E-2</v>
      </c>
      <c r="AO90" s="61">
        <f t="shared" ca="1" si="45"/>
        <v>-1.7748599311308731E-3</v>
      </c>
      <c r="AP90" s="19"/>
      <c r="AQ90" s="62">
        <f t="shared" ca="1" si="40"/>
        <v>0.82805472755153331</v>
      </c>
      <c r="AR90" s="62">
        <f t="shared" ca="1" si="41"/>
        <v>0.67873911072767712</v>
      </c>
      <c r="AS90" s="62">
        <f t="shared" ca="1" si="42"/>
        <v>0.71917514368905422</v>
      </c>
      <c r="AT90" s="49"/>
    </row>
    <row r="91" spans="1:46" x14ac:dyDescent="0.3">
      <c r="A91" s="5">
        <v>43594</v>
      </c>
      <c r="B91" s="6">
        <v>57.450001</v>
      </c>
      <c r="C91" s="6">
        <v>125.68</v>
      </c>
      <c r="D91" s="6">
        <v>81.739998</v>
      </c>
      <c r="F91" s="13">
        <v>88</v>
      </c>
      <c r="G91" s="5">
        <v>43594</v>
      </c>
      <c r="H91" s="15">
        <f t="shared" si="38"/>
        <v>-1.896605126310201E-2</v>
      </c>
      <c r="I91" s="15">
        <f t="shared" si="38"/>
        <v>1.0317210764723972E-2</v>
      </c>
      <c r="J91" s="15">
        <f t="shared" si="38"/>
        <v>-8.0420075189642226E-3</v>
      </c>
      <c r="K91" s="22"/>
      <c r="L91" s="13">
        <v>88</v>
      </c>
      <c r="M91" s="5">
        <v>43594</v>
      </c>
      <c r="N91" s="26">
        <f t="shared" si="35"/>
        <v>1.0160947998568306</v>
      </c>
      <c r="O91" s="26">
        <f t="shared" si="36"/>
        <v>1.1919574887716713</v>
      </c>
      <c r="P91" s="26">
        <f t="shared" si="37"/>
        <v>1.0817893086762655</v>
      </c>
      <c r="Q91" s="22"/>
      <c r="AD91" s="59">
        <v>87</v>
      </c>
      <c r="AE91" s="61">
        <f t="shared" ca="1" si="39"/>
        <v>-1.0329708286811359</v>
      </c>
      <c r="AF91" s="61">
        <f t="shared" ca="1" si="39"/>
        <v>-0.22313245639420928</v>
      </c>
      <c r="AG91" s="61">
        <f t="shared" ca="1" si="39"/>
        <v>0.47050678457196071</v>
      </c>
      <c r="AH91" s="19"/>
      <c r="AI91" s="61">
        <f ca="1"/>
        <v>-2.2399233660648794E-2</v>
      </c>
      <c r="AJ91" s="61">
        <f ca="1"/>
        <v>-2.1018419471925627E-2</v>
      </c>
      <c r="AK91" s="61">
        <f ca="1"/>
        <v>-4.7797469035941176E-3</v>
      </c>
      <c r="AL91" s="19"/>
      <c r="AM91" s="61">
        <f t="shared" ca="1" si="43"/>
        <v>-2.2048017338138548E-2</v>
      </c>
      <c r="AN91" s="61">
        <f t="shared" ca="1" si="44"/>
        <v>-2.0769366875009097E-2</v>
      </c>
      <c r="AO91" s="61">
        <f t="shared" ca="1" si="45"/>
        <v>-4.3480783003392994E-3</v>
      </c>
      <c r="AP91" s="19"/>
      <c r="AQ91" s="62">
        <f t="shared" ca="1" si="40"/>
        <v>0.80999755645491156</v>
      </c>
      <c r="AR91" s="62">
        <f t="shared" ca="1" si="41"/>
        <v>0.66478751356205013</v>
      </c>
      <c r="AS91" s="62">
        <f t="shared" ca="1" si="42"/>
        <v>0.71605490229546687</v>
      </c>
      <c r="AT91" s="49"/>
    </row>
    <row r="92" spans="1:46" x14ac:dyDescent="0.3">
      <c r="A92" s="5">
        <v>43595</v>
      </c>
      <c r="B92" s="6">
        <v>57.700001</v>
      </c>
      <c r="C92" s="6">
        <v>124.269997</v>
      </c>
      <c r="D92" s="6">
        <v>83.730002999999996</v>
      </c>
      <c r="F92" s="13">
        <v>89</v>
      </c>
      <c r="G92" s="5">
        <v>43595</v>
      </c>
      <c r="H92" s="15">
        <f t="shared" si="38"/>
        <v>4.3421691438713609E-3</v>
      </c>
      <c r="I92" s="15">
        <f t="shared" si="38"/>
        <v>-1.1282400270446215E-2</v>
      </c>
      <c r="J92" s="15">
        <f t="shared" si="38"/>
        <v>2.405391837748545E-2</v>
      </c>
      <c r="K92" s="22"/>
      <c r="L92" s="13">
        <v>89</v>
      </c>
      <c r="M92" s="5">
        <v>43595</v>
      </c>
      <c r="N92" s="26">
        <f t="shared" si="35"/>
        <v>1.0205164481691467</v>
      </c>
      <c r="O92" s="26">
        <f t="shared" si="36"/>
        <v>1.1785849264304831</v>
      </c>
      <c r="P92" s="26">
        <f t="shared" si="37"/>
        <v>1.1081260616232416</v>
      </c>
      <c r="Q92" s="22"/>
      <c r="AD92" s="59">
        <v>88</v>
      </c>
      <c r="AE92" s="61">
        <f t="shared" ca="1" si="39"/>
        <v>0.61984136737929652</v>
      </c>
      <c r="AF92" s="61">
        <f t="shared" ca="1" si="39"/>
        <v>-0.35386632356529152</v>
      </c>
      <c r="AG92" s="61">
        <f t="shared" ca="1" si="39"/>
        <v>0.95800381850423766</v>
      </c>
      <c r="AH92" s="19"/>
      <c r="AI92" s="61">
        <f ca="1"/>
        <v>1.3440816753936338E-2</v>
      </c>
      <c r="AJ92" s="61">
        <f ca="1"/>
        <v>2.0103218963386255E-3</v>
      </c>
      <c r="AK92" s="61">
        <f ca="1"/>
        <v>3.1210419828381897E-2</v>
      </c>
      <c r="AL92" s="19"/>
      <c r="AM92" s="61">
        <f t="shared" ca="1" si="43"/>
        <v>1.3792033076446582E-2</v>
      </c>
      <c r="AN92" s="61">
        <f t="shared" ca="1" si="44"/>
        <v>2.2593744932551561E-3</v>
      </c>
      <c r="AO92" s="61">
        <f t="shared" ca="1" si="45"/>
        <v>3.1642088431636718E-2</v>
      </c>
      <c r="AP92" s="19"/>
      <c r="AQ92" s="62">
        <f t="shared" ca="1" si="40"/>
        <v>0.82124646388351219</v>
      </c>
      <c r="AR92" s="62">
        <f t="shared" ca="1" si="41"/>
        <v>0.66629121558695559</v>
      </c>
      <c r="AS92" s="62">
        <f t="shared" ca="1" si="42"/>
        <v>0.73907465066862266</v>
      </c>
      <c r="AT92" s="49"/>
    </row>
    <row r="93" spans="1:46" x14ac:dyDescent="0.3">
      <c r="A93" s="5">
        <v>43598</v>
      </c>
      <c r="B93" s="6">
        <v>55.650002000000001</v>
      </c>
      <c r="C93" s="6">
        <v>118.279999</v>
      </c>
      <c r="D93" s="6">
        <v>81.410004000000001</v>
      </c>
      <c r="F93" s="13">
        <v>90</v>
      </c>
      <c r="G93" s="5">
        <v>43598</v>
      </c>
      <c r="H93" s="15">
        <f t="shared" si="38"/>
        <v>-3.6175077184619174E-2</v>
      </c>
      <c r="I93" s="15">
        <f t="shared" si="38"/>
        <v>-4.9401907147157913E-2</v>
      </c>
      <c r="J93" s="15">
        <f t="shared" si="38"/>
        <v>-2.8099207325893404E-2</v>
      </c>
      <c r="K93" s="22"/>
      <c r="L93" s="13">
        <v>90</v>
      </c>
      <c r="M93" s="5">
        <v>43598</v>
      </c>
      <c r="N93" s="26">
        <f t="shared" si="35"/>
        <v>0.98425894969474803</v>
      </c>
      <c r="O93" s="26">
        <f t="shared" si="36"/>
        <v>1.1217753865368856</v>
      </c>
      <c r="P93" s="26">
        <f t="shared" si="37"/>
        <v>1.0774219978142403</v>
      </c>
      <c r="Q93" s="22"/>
      <c r="AD93" s="59">
        <v>89</v>
      </c>
      <c r="AE93" s="61">
        <f t="shared" ca="1" si="39"/>
        <v>1.3636856124125998</v>
      </c>
      <c r="AF93" s="61">
        <f t="shared" ca="1" si="39"/>
        <v>-1.2435682776657901</v>
      </c>
      <c r="AG93" s="61">
        <f t="shared" ca="1" si="39"/>
        <v>-1.0432276286453424</v>
      </c>
      <c r="AH93" s="19"/>
      <c r="AI93" s="61">
        <f ca="1"/>
        <v>2.957054722551488E-2</v>
      </c>
      <c r="AJ93" s="61">
        <f ca="1"/>
        <v>-5.685353966064146E-3</v>
      </c>
      <c r="AK93" s="61">
        <f ca="1"/>
        <v>-1.533602614567061E-2</v>
      </c>
      <c r="AL93" s="19"/>
      <c r="AM93" s="61">
        <f t="shared" ca="1" si="43"/>
        <v>2.9921763548025126E-2</v>
      </c>
      <c r="AN93" s="61">
        <f t="shared" ca="1" si="44"/>
        <v>-5.4363013691476154E-3</v>
      </c>
      <c r="AO93" s="61">
        <f t="shared" ca="1" si="45"/>
        <v>-1.4904357542415791E-2</v>
      </c>
      <c r="AP93" s="19"/>
      <c r="AQ93" s="62">
        <f t="shared" ca="1" si="40"/>
        <v>0.84619093663567213</v>
      </c>
      <c r="AR93" s="62">
        <f t="shared" ca="1" si="41"/>
        <v>0.66267888349872628</v>
      </c>
      <c r="AS93" s="62">
        <f t="shared" ca="1" si="42"/>
        <v>0.72814090048659208</v>
      </c>
      <c r="AT93" s="49"/>
    </row>
    <row r="94" spans="1:46" x14ac:dyDescent="0.3">
      <c r="A94" s="5">
        <v>43599</v>
      </c>
      <c r="B94" s="6">
        <v>56.080002</v>
      </c>
      <c r="C94" s="6">
        <v>113.949997</v>
      </c>
      <c r="D94" s="6">
        <v>82.959998999999996</v>
      </c>
      <c r="F94" s="13">
        <v>91</v>
      </c>
      <c r="G94" s="5">
        <v>43599</v>
      </c>
      <c r="H94" s="15">
        <f t="shared" si="38"/>
        <v>7.6971647292150298E-3</v>
      </c>
      <c r="I94" s="15">
        <f t="shared" si="38"/>
        <v>-3.7294957165405415E-2</v>
      </c>
      <c r="J94" s="15">
        <f t="shared" si="38"/>
        <v>1.8860387147371638E-2</v>
      </c>
      <c r="K94" s="22"/>
      <c r="L94" s="13">
        <v>91</v>
      </c>
      <c r="M94" s="5">
        <v>43599</v>
      </c>
      <c r="N94" s="26">
        <f t="shared" si="35"/>
        <v>0.99186418479193172</v>
      </c>
      <c r="O94" s="26">
        <f t="shared" si="36"/>
        <v>1.0807093592429939</v>
      </c>
      <c r="P94" s="26">
        <f t="shared" si="37"/>
        <v>1.097935431390562</v>
      </c>
      <c r="Q94" s="22"/>
      <c r="AD94" s="59">
        <v>90</v>
      </c>
      <c r="AE94" s="61">
        <f t="shared" ca="1" si="39"/>
        <v>0.13386925461020219</v>
      </c>
      <c r="AF94" s="61">
        <f t="shared" ca="1" si="39"/>
        <v>0.68279212072984885</v>
      </c>
      <c r="AG94" s="61">
        <f t="shared" ca="1" si="39"/>
        <v>-2.5650290814957848</v>
      </c>
      <c r="AH94" s="19"/>
      <c r="AI94" s="61">
        <f ca="1"/>
        <v>2.9028590457092396E-3</v>
      </c>
      <c r="AJ94" s="61">
        <f ca="1"/>
        <v>1.6936548371660726E-2</v>
      </c>
      <c r="AK94" s="61">
        <f ca="1"/>
        <v>-5.892940192898137E-2</v>
      </c>
      <c r="AL94" s="19"/>
      <c r="AM94" s="61">
        <f t="shared" ca="1" si="43"/>
        <v>3.2540753682194839E-3</v>
      </c>
      <c r="AN94" s="61">
        <f t="shared" ca="1" si="44"/>
        <v>1.7185600968577255E-2</v>
      </c>
      <c r="AO94" s="61">
        <f t="shared" ca="1" si="45"/>
        <v>-5.8497733325726553E-2</v>
      </c>
      <c r="AP94" s="19"/>
      <c r="AQ94" s="62">
        <f t="shared" ca="1" si="40"/>
        <v>0.8489489907436033</v>
      </c>
      <c r="AR94" s="62">
        <f t="shared" ca="1" si="41"/>
        <v>0.67416584077645281</v>
      </c>
      <c r="AS94" s="62">
        <f t="shared" ca="1" si="42"/>
        <v>0.6867682099620418</v>
      </c>
      <c r="AT94" s="49"/>
    </row>
    <row r="95" spans="1:46" x14ac:dyDescent="0.3">
      <c r="A95" s="5">
        <v>43600</v>
      </c>
      <c r="B95" s="6">
        <v>56.02</v>
      </c>
      <c r="C95" s="6">
        <v>115.68</v>
      </c>
      <c r="D95" s="6">
        <v>83.370002999999997</v>
      </c>
      <c r="F95" s="13">
        <v>92</v>
      </c>
      <c r="G95" s="5">
        <v>43600</v>
      </c>
      <c r="H95" s="15">
        <f t="shared" si="38"/>
        <v>-1.0705085577095517E-3</v>
      </c>
      <c r="I95" s="15">
        <f t="shared" si="38"/>
        <v>1.5068029046098375E-2</v>
      </c>
      <c r="J95" s="15">
        <f t="shared" si="38"/>
        <v>4.9300165394185625E-3</v>
      </c>
      <c r="K95" s="22"/>
      <c r="L95" s="13">
        <v>92</v>
      </c>
      <c r="M95" s="5">
        <v>43600</v>
      </c>
      <c r="N95" s="26">
        <f t="shared" si="35"/>
        <v>0.99080295382378936</v>
      </c>
      <c r="O95" s="26">
        <f t="shared" si="36"/>
        <v>1.0971168228923212</v>
      </c>
      <c r="P95" s="26">
        <f t="shared" si="37"/>
        <v>1.1033616358751095</v>
      </c>
      <c r="Q95" s="22"/>
      <c r="AD95" s="59">
        <v>91</v>
      </c>
      <c r="AE95" s="61">
        <f t="shared" ca="1" si="39"/>
        <v>-0.75296557751387505</v>
      </c>
      <c r="AF95" s="61">
        <f t="shared" ca="1" si="39"/>
        <v>-0.95748025024975736</v>
      </c>
      <c r="AG95" s="61">
        <f t="shared" ca="1" si="39"/>
        <v>9.9934328886297941E-2</v>
      </c>
      <c r="AH95" s="19"/>
      <c r="AI95" s="61">
        <f ca="1"/>
        <v>-1.6327520043032027E-2</v>
      </c>
      <c r="AJ95" s="61">
        <f ca="1"/>
        <v>-3.2597479242612942E-2</v>
      </c>
      <c r="AK95" s="61">
        <f ca="1"/>
        <v>-1.5308181564115297E-2</v>
      </c>
      <c r="AL95" s="19"/>
      <c r="AM95" s="61">
        <f t="shared" ca="1" si="43"/>
        <v>-1.5976303720521782E-2</v>
      </c>
      <c r="AN95" s="61">
        <f t="shared" ca="1" si="44"/>
        <v>-3.2348426645696413E-2</v>
      </c>
      <c r="AO95" s="61">
        <f t="shared" ca="1" si="45"/>
        <v>-1.4876512960860478E-2</v>
      </c>
      <c r="AP95" s="19"/>
      <c r="AQ95" s="62">
        <f t="shared" ca="1" si="40"/>
        <v>0.83549369298162379</v>
      </c>
      <c r="AR95" s="62">
        <f t="shared" ca="1" si="41"/>
        <v>0.65270659421144561</v>
      </c>
      <c r="AS95" s="62">
        <f t="shared" ca="1" si="42"/>
        <v>0.67662711289345545</v>
      </c>
      <c r="AT95" s="49"/>
    </row>
    <row r="96" spans="1:46" x14ac:dyDescent="0.3">
      <c r="A96" s="5">
        <v>43601</v>
      </c>
      <c r="B96" s="6">
        <v>56.18</v>
      </c>
      <c r="C96" s="6">
        <v>114.75</v>
      </c>
      <c r="D96" s="6">
        <v>85.470000999999996</v>
      </c>
      <c r="F96" s="13">
        <v>93</v>
      </c>
      <c r="G96" s="5">
        <v>43601</v>
      </c>
      <c r="H96" s="15">
        <f t="shared" si="38"/>
        <v>2.8520518441350214E-3</v>
      </c>
      <c r="I96" s="15">
        <f t="shared" si="38"/>
        <v>-8.0719094698001037E-3</v>
      </c>
      <c r="J96" s="15">
        <f t="shared" si="38"/>
        <v>2.4876880471249897E-2</v>
      </c>
      <c r="K96" s="22"/>
      <c r="L96" s="13">
        <v>93</v>
      </c>
      <c r="M96" s="5">
        <v>43601</v>
      </c>
      <c r="N96" s="26">
        <f t="shared" si="35"/>
        <v>0.99363280874367166</v>
      </c>
      <c r="O96" s="26">
        <f t="shared" si="36"/>
        <v>1.0882966409655417</v>
      </c>
      <c r="P96" s="26">
        <f t="shared" si="37"/>
        <v>1.1311540929368473</v>
      </c>
      <c r="Q96" s="22"/>
      <c r="AD96" s="59">
        <v>92</v>
      </c>
      <c r="AE96" s="61">
        <f t="shared" ca="1" si="39"/>
        <v>8.5657622592295854E-2</v>
      </c>
      <c r="AF96" s="61">
        <f t="shared" ca="1" si="39"/>
        <v>0.53509869960870871</v>
      </c>
      <c r="AG96" s="61">
        <f t="shared" ca="1" si="39"/>
        <v>-1.4231880237885568</v>
      </c>
      <c r="AH96" s="19"/>
      <c r="AI96" s="61">
        <f ca="1"/>
        <v>1.857424285359727E-3</v>
      </c>
      <c r="AJ96" s="61">
        <f ca="1"/>
        <v>1.2971656813041004E-2</v>
      </c>
      <c r="AK96" s="61">
        <f ca="1"/>
        <v>-3.1427963585601799E-2</v>
      </c>
      <c r="AL96" s="19"/>
      <c r="AM96" s="61">
        <f t="shared" ca="1" si="43"/>
        <v>2.2086406078699714E-3</v>
      </c>
      <c r="AN96" s="61">
        <f t="shared" ca="1" si="44"/>
        <v>1.3220709409957536E-2</v>
      </c>
      <c r="AO96" s="61">
        <f t="shared" ca="1" si="45"/>
        <v>-3.0996294982346982E-2</v>
      </c>
      <c r="AP96" s="19"/>
      <c r="AQ96" s="62">
        <f t="shared" ca="1" si="40"/>
        <v>0.83734103758876033</v>
      </c>
      <c r="AR96" s="62">
        <f t="shared" ca="1" si="41"/>
        <v>0.66139313300179103</v>
      </c>
      <c r="AS96" s="62">
        <f t="shared" ca="1" si="42"/>
        <v>0.65597588842890386</v>
      </c>
      <c r="AT96" s="49"/>
    </row>
    <row r="97" spans="1:46" x14ac:dyDescent="0.3">
      <c r="A97" s="5">
        <v>43602</v>
      </c>
      <c r="B97" s="6">
        <v>56</v>
      </c>
      <c r="C97" s="6">
        <v>112.510002</v>
      </c>
      <c r="D97" s="6">
        <v>83.709998999999996</v>
      </c>
      <c r="F97" s="13">
        <v>94</v>
      </c>
      <c r="G97" s="5">
        <v>43602</v>
      </c>
      <c r="H97" s="15">
        <f t="shared" si="38"/>
        <v>-3.2091309409483502E-3</v>
      </c>
      <c r="I97" s="15">
        <f t="shared" si="38"/>
        <v>-1.9713724581476494E-2</v>
      </c>
      <c r="J97" s="15">
        <f t="shared" si="38"/>
        <v>-2.0807016151977425E-2</v>
      </c>
      <c r="K97" s="22"/>
      <c r="L97" s="13">
        <v>94</v>
      </c>
      <c r="M97" s="5">
        <v>43602</v>
      </c>
      <c r="N97" s="26">
        <f t="shared" si="35"/>
        <v>0.99044922195880403</v>
      </c>
      <c r="O97" s="26">
        <f t="shared" si="36"/>
        <v>1.0670523507767005</v>
      </c>
      <c r="P97" s="26">
        <f t="shared" si="37"/>
        <v>1.107861318365837</v>
      </c>
      <c r="Q97" s="22"/>
      <c r="AD97" s="59">
        <v>93</v>
      </c>
      <c r="AE97" s="61">
        <f t="shared" ca="1" si="39"/>
        <v>0.40064400194178829</v>
      </c>
      <c r="AF97" s="61">
        <f t="shared" ca="1" si="39"/>
        <v>0.34888057207369633</v>
      </c>
      <c r="AG97" s="61">
        <f t="shared" ca="1" si="39"/>
        <v>0.58850390046447232</v>
      </c>
      <c r="AH97" s="19"/>
      <c r="AI97" s="61">
        <f ca="1"/>
        <v>8.6876786498311983E-3</v>
      </c>
      <c r="AJ97" s="61">
        <f ca="1"/>
        <v>1.3854289562345122E-2</v>
      </c>
      <c r="AK97" s="61">
        <f ca="1"/>
        <v>2.3454155127212072E-2</v>
      </c>
      <c r="AL97" s="19"/>
      <c r="AM97" s="61">
        <f t="shared" ca="1" si="43"/>
        <v>9.0388949723414422E-3</v>
      </c>
      <c r="AN97" s="61">
        <f t="shared" ca="1" si="44"/>
        <v>1.4103342159261654E-2</v>
      </c>
      <c r="AO97" s="61">
        <f t="shared" ca="1" si="45"/>
        <v>2.3885823730466889E-2</v>
      </c>
      <c r="AP97" s="19"/>
      <c r="AQ97" s="62">
        <f t="shared" ca="1" si="40"/>
        <v>0.84494398463913567</v>
      </c>
      <c r="AR97" s="62">
        <f t="shared" ca="1" si="41"/>
        <v>0.67078707393249648</v>
      </c>
      <c r="AS97" s="62">
        <f t="shared" ca="1" si="42"/>
        <v>0.67183303951797513</v>
      </c>
      <c r="AT97" s="49"/>
    </row>
    <row r="98" spans="1:46" x14ac:dyDescent="0.3">
      <c r="A98" s="5">
        <v>43605</v>
      </c>
      <c r="B98" s="6">
        <v>55.84</v>
      </c>
      <c r="C98" s="6">
        <v>111.91999800000001</v>
      </c>
      <c r="D98" s="6">
        <v>82.080001999999993</v>
      </c>
      <c r="F98" s="13">
        <v>95</v>
      </c>
      <c r="G98" s="5">
        <v>43605</v>
      </c>
      <c r="H98" s="15">
        <f t="shared" si="38"/>
        <v>-2.8612322810321234E-3</v>
      </c>
      <c r="I98" s="15">
        <f t="shared" si="38"/>
        <v>-5.2578118718594833E-3</v>
      </c>
      <c r="J98" s="15">
        <f t="shared" si="38"/>
        <v>-1.9664026937030028E-2</v>
      </c>
      <c r="K98" s="22"/>
      <c r="L98" s="13">
        <v>95</v>
      </c>
      <c r="M98" s="5">
        <v>43605</v>
      </c>
      <c r="N98" s="26">
        <f t="shared" si="35"/>
        <v>0.98761936703892184</v>
      </c>
      <c r="O98" s="26">
        <f t="shared" si="36"/>
        <v>1.0614567135535524</v>
      </c>
      <c r="P98" s="26">
        <f t="shared" si="37"/>
        <v>1.0862890970431207</v>
      </c>
      <c r="Q98" s="22"/>
      <c r="AD98" s="59">
        <v>94</v>
      </c>
      <c r="AE98" s="61">
        <f t="shared" ca="1" si="39"/>
        <v>8.703624264201763E-3</v>
      </c>
      <c r="AF98" s="61">
        <f t="shared" ca="1" si="39"/>
        <v>1.4876925979530078</v>
      </c>
      <c r="AG98" s="61">
        <f t="shared" ca="1" si="39"/>
        <v>-1.1675170762883031</v>
      </c>
      <c r="AH98" s="19"/>
      <c r="AI98" s="61">
        <f ca="1"/>
        <v>1.8873186751774918E-4</v>
      </c>
      <c r="AJ98" s="61">
        <f ca="1"/>
        <v>3.2472744578795232E-2</v>
      </c>
      <c r="AK98" s="61">
        <f ca="1"/>
        <v>-1.9306117659430494E-2</v>
      </c>
      <c r="AL98" s="19"/>
      <c r="AM98" s="61">
        <f t="shared" ca="1" si="43"/>
        <v>5.399481900279934E-4</v>
      </c>
      <c r="AN98" s="61">
        <f t="shared" ca="1" si="44"/>
        <v>3.2721797175711761E-2</v>
      </c>
      <c r="AO98" s="61">
        <f t="shared" ca="1" si="45"/>
        <v>-1.8874449056175677E-2</v>
      </c>
      <c r="AP98" s="19"/>
      <c r="AQ98" s="62">
        <f t="shared" ca="1" si="40"/>
        <v>0.8454003338056828</v>
      </c>
      <c r="AR98" s="62">
        <f t="shared" ca="1" si="41"/>
        <v>0.69309949291825368</v>
      </c>
      <c r="AS98" s="62">
        <f t="shared" ca="1" si="42"/>
        <v>0.65927148020862569</v>
      </c>
      <c r="AT98" s="49"/>
    </row>
    <row r="99" spans="1:46" x14ac:dyDescent="0.3">
      <c r="A99" s="5">
        <v>43606</v>
      </c>
      <c r="B99" s="6">
        <v>57.009998000000003</v>
      </c>
      <c r="C99" s="6">
        <v>113.970001</v>
      </c>
      <c r="D99" s="6">
        <v>82.470000999999996</v>
      </c>
      <c r="F99" s="13">
        <v>96</v>
      </c>
      <c r="G99" s="5">
        <v>43606</v>
      </c>
      <c r="H99" s="15">
        <f t="shared" si="38"/>
        <v>2.0736197507808311E-2</v>
      </c>
      <c r="I99" s="15">
        <f t="shared" si="38"/>
        <v>1.8150952154564012E-2</v>
      </c>
      <c r="J99" s="15">
        <f t="shared" si="38"/>
        <v>4.7401971819545944E-3</v>
      </c>
      <c r="K99" s="22"/>
      <c r="L99" s="13">
        <v>96</v>
      </c>
      <c r="M99" s="5">
        <v>43606</v>
      </c>
      <c r="N99" s="26">
        <f t="shared" si="35"/>
        <v>1.0083126457673746</v>
      </c>
      <c r="O99" s="26">
        <f t="shared" si="36"/>
        <v>1.0808990785110189</v>
      </c>
      <c r="P99" s="26">
        <f t="shared" si="37"/>
        <v>1.0914505450357477</v>
      </c>
      <c r="Q99" s="22"/>
      <c r="AD99" s="59">
        <v>95</v>
      </c>
      <c r="AE99" s="61">
        <f t="shared" ca="1" si="39"/>
        <v>1.2552450532262471</v>
      </c>
      <c r="AF99" s="61">
        <f t="shared" ca="1" si="39"/>
        <v>0.83693073772150128</v>
      </c>
      <c r="AG99" s="61">
        <f t="shared" ca="1" si="39"/>
        <v>-6.3764813802923301E-2</v>
      </c>
      <c r="AH99" s="19"/>
      <c r="AI99" s="61">
        <f ca="1"/>
        <v>2.7219091253996519E-2</v>
      </c>
      <c r="AJ99" s="61">
        <f ca="1"/>
        <v>3.783906099824199E-2</v>
      </c>
      <c r="AK99" s="61">
        <f ca="1"/>
        <v>2.280733124115561E-2</v>
      </c>
      <c r="AL99" s="19"/>
      <c r="AM99" s="61">
        <f t="shared" ca="1" si="43"/>
        <v>2.7570307576506765E-2</v>
      </c>
      <c r="AN99" s="61">
        <f t="shared" ca="1" si="44"/>
        <v>3.808811359515852E-2</v>
      </c>
      <c r="AO99" s="61">
        <f t="shared" ca="1" si="45"/>
        <v>2.3238999844410427E-2</v>
      </c>
      <c r="AP99" s="19"/>
      <c r="AQ99" s="62">
        <f t="shared" ca="1" si="40"/>
        <v>0.86903255794961953</v>
      </c>
      <c r="AR99" s="62">
        <f t="shared" ca="1" si="41"/>
        <v>0.72000753044349863</v>
      </c>
      <c r="AS99" s="62">
        <f t="shared" ca="1" si="42"/>
        <v>0.67477169723564734</v>
      </c>
      <c r="AT99" s="49"/>
    </row>
    <row r="100" spans="1:46" x14ac:dyDescent="0.3">
      <c r="A100" s="5">
        <v>43607</v>
      </c>
      <c r="B100" s="6">
        <v>56.549999</v>
      </c>
      <c r="C100" s="6">
        <v>112.790001</v>
      </c>
      <c r="D100" s="6">
        <v>80.349997999999999</v>
      </c>
      <c r="F100" s="13">
        <v>97</v>
      </c>
      <c r="G100" s="5">
        <v>43607</v>
      </c>
      <c r="H100" s="15">
        <f t="shared" si="38"/>
        <v>-8.1014710832619952E-3</v>
      </c>
      <c r="I100" s="15">
        <f t="shared" si="38"/>
        <v>-1.0407573124022991E-2</v>
      </c>
      <c r="J100" s="15">
        <f t="shared" si="38"/>
        <v>-2.6042535678465522E-2</v>
      </c>
      <c r="K100" s="22"/>
      <c r="L100" s="13">
        <v>97</v>
      </c>
      <c r="M100" s="5">
        <v>43607</v>
      </c>
      <c r="N100" s="26">
        <f t="shared" si="35"/>
        <v>1.0001768305593062</v>
      </c>
      <c r="O100" s="26">
        <f t="shared" si="36"/>
        <v>1.0697078799372557</v>
      </c>
      <c r="P100" s="26">
        <f t="shared" si="37"/>
        <v>1.0633933314820894</v>
      </c>
      <c r="Q100" s="22"/>
      <c r="AD100" s="59">
        <v>96</v>
      </c>
      <c r="AE100" s="61">
        <f t="shared" ca="1" si="39"/>
        <v>-1.521043439328456</v>
      </c>
      <c r="AF100" s="61">
        <f t="shared" ca="1" si="39"/>
        <v>-0.12109502700760334</v>
      </c>
      <c r="AG100" s="61">
        <f t="shared" ca="1" si="39"/>
        <v>1.2826896728576389</v>
      </c>
      <c r="AH100" s="19"/>
      <c r="AI100" s="61">
        <f ca="1"/>
        <v>-3.298273916313272E-2</v>
      </c>
      <c r="AJ100" s="61">
        <f ca="1"/>
        <v>-2.6440009540008181E-2</v>
      </c>
      <c r="AK100" s="61">
        <f ca="1"/>
        <v>9.5353974844853383E-3</v>
      </c>
      <c r="AL100" s="19"/>
      <c r="AM100" s="61">
        <f t="shared" ca="1" si="43"/>
        <v>-3.2631522840622477E-2</v>
      </c>
      <c r="AN100" s="61">
        <f t="shared" ca="1" si="44"/>
        <v>-2.6190956943091651E-2</v>
      </c>
      <c r="AO100" s="61">
        <f t="shared" ca="1" si="45"/>
        <v>9.9670660877401573E-3</v>
      </c>
      <c r="AP100" s="19"/>
      <c r="AQ100" s="62">
        <f t="shared" ca="1" si="40"/>
        <v>0.84113239033285969</v>
      </c>
      <c r="AR100" s="62">
        <f t="shared" ca="1" si="41"/>
        <v>0.70139465272601953</v>
      </c>
      <c r="AS100" s="62">
        <f t="shared" ca="1" si="42"/>
        <v>0.68153081969070251</v>
      </c>
      <c r="AT100" s="49"/>
    </row>
    <row r="101" spans="1:46" x14ac:dyDescent="0.3">
      <c r="A101" s="5">
        <v>43608</v>
      </c>
      <c r="B101" s="6">
        <v>56.200001</v>
      </c>
      <c r="C101" s="6">
        <v>109.239998</v>
      </c>
      <c r="D101" s="6">
        <v>75.410004000000001</v>
      </c>
      <c r="F101" s="13">
        <v>98</v>
      </c>
      <c r="G101" s="5">
        <v>43608</v>
      </c>
      <c r="H101" s="15">
        <f t="shared" si="38"/>
        <v>-6.2084101854237919E-3</v>
      </c>
      <c r="I101" s="15">
        <f t="shared" si="38"/>
        <v>-3.1980413220667588E-2</v>
      </c>
      <c r="J101" s="15">
        <f t="shared" si="38"/>
        <v>-6.3452122034502678E-2</v>
      </c>
      <c r="K101" s="22"/>
      <c r="L101" s="13">
        <v>98</v>
      </c>
      <c r="M101" s="5">
        <v>43608</v>
      </c>
      <c r="N101" s="26">
        <f t="shared" si="35"/>
        <v>0.99398655829525018</v>
      </c>
      <c r="O101" s="26">
        <f t="shared" si="36"/>
        <v>1.0360394150978867</v>
      </c>
      <c r="P101" s="26">
        <f t="shared" si="37"/>
        <v>0.99801490201204091</v>
      </c>
      <c r="Q101" s="22"/>
      <c r="AD101" s="59">
        <v>97</v>
      </c>
      <c r="AE101" s="61">
        <f t="shared" ca="1" si="39"/>
        <v>-1.6918151888437531</v>
      </c>
      <c r="AF101" s="61">
        <f t="shared" ca="1" si="39"/>
        <v>-1.0105271076487339</v>
      </c>
      <c r="AG101" s="61">
        <f t="shared" ca="1" si="39"/>
        <v>-0.20629267405109306</v>
      </c>
      <c r="AH101" s="19"/>
      <c r="AI101" s="61">
        <f ca="1"/>
        <v>-3.6685802418960349E-2</v>
      </c>
      <c r="AJ101" s="61">
        <f ca="1"/>
        <v>-4.8445698039961654E-2</v>
      </c>
      <c r="AK101" s="61">
        <f ca="1"/>
        <v>-3.7399299712719485E-2</v>
      </c>
      <c r="AL101" s="19"/>
      <c r="AM101" s="61">
        <f t="shared" ca="1" si="43"/>
        <v>-3.6334586096450107E-2</v>
      </c>
      <c r="AN101" s="61">
        <f t="shared" ca="1" si="44"/>
        <v>-4.8196645443045125E-2</v>
      </c>
      <c r="AO101" s="61">
        <f t="shared" ca="1" si="45"/>
        <v>-3.6967631109464667E-2</v>
      </c>
      <c r="AP101" s="19"/>
      <c r="AQ101" s="62">
        <f t="shared" ca="1" si="40"/>
        <v>0.81111876140214845</v>
      </c>
      <c r="AR101" s="62">
        <f t="shared" ca="1" si="41"/>
        <v>0.66839149252348118</v>
      </c>
      <c r="AS101" s="62">
        <f t="shared" ca="1" si="42"/>
        <v>0.65679624586252128</v>
      </c>
      <c r="AT101" s="49"/>
    </row>
    <row r="102" spans="1:46" x14ac:dyDescent="0.3">
      <c r="A102" s="5">
        <v>43609</v>
      </c>
      <c r="B102" s="6">
        <v>56.310001</v>
      </c>
      <c r="C102" s="6">
        <v>109.239998</v>
      </c>
      <c r="D102" s="6">
        <v>76.220000999999996</v>
      </c>
      <c r="F102" s="13">
        <v>99</v>
      </c>
      <c r="G102" s="5">
        <v>43609</v>
      </c>
      <c r="H102" s="15">
        <f t="shared" si="38"/>
        <v>1.9553823321225659E-3</v>
      </c>
      <c r="I102" s="15">
        <f t="shared" si="38"/>
        <v>0</v>
      </c>
      <c r="J102" s="15">
        <f t="shared" si="38"/>
        <v>1.0683963307712842E-2</v>
      </c>
      <c r="K102" s="22"/>
      <c r="L102" s="13">
        <v>99</v>
      </c>
      <c r="M102" s="5">
        <v>43609</v>
      </c>
      <c r="N102" s="26">
        <f t="shared" si="35"/>
        <v>0.99593208355266927</v>
      </c>
      <c r="O102" s="26">
        <f t="shared" si="36"/>
        <v>1.0360394150978867</v>
      </c>
      <c r="P102" s="26">
        <f t="shared" si="37"/>
        <v>1.0087348202417898</v>
      </c>
      <c r="Q102" s="22"/>
      <c r="AD102" s="59">
        <v>98</v>
      </c>
      <c r="AE102" s="61">
        <f t="shared" ca="1" si="39"/>
        <v>0.50331672129790617</v>
      </c>
      <c r="AF102" s="61">
        <f t="shared" ca="1" si="39"/>
        <v>0.9337982141993697</v>
      </c>
      <c r="AG102" s="61">
        <f t="shared" ca="1" si="39"/>
        <v>0.16287390861810286</v>
      </c>
      <c r="AH102" s="19"/>
      <c r="AI102" s="61">
        <f ca="1"/>
        <v>1.0914063139670279E-2</v>
      </c>
      <c r="AJ102" s="61">
        <f ca="1"/>
        <v>2.8175137831611484E-2</v>
      </c>
      <c r="AK102" s="61">
        <f ca="1"/>
        <v>1.8185838831573587E-2</v>
      </c>
      <c r="AL102" s="19"/>
      <c r="AM102" s="61">
        <f t="shared" ca="1" si="43"/>
        <v>1.1265279462180523E-2</v>
      </c>
      <c r="AN102" s="61">
        <f t="shared" ca="1" si="44"/>
        <v>2.8424190428528014E-2</v>
      </c>
      <c r="AO102" s="61">
        <f t="shared" ca="1" si="45"/>
        <v>1.8617507434828404E-2</v>
      </c>
      <c r="AP102" s="19"/>
      <c r="AQ102" s="62">
        <f t="shared" ca="1" si="40"/>
        <v>0.82030790286972699</v>
      </c>
      <c r="AR102" s="62">
        <f t="shared" ca="1" si="41"/>
        <v>0.68766256443363194</v>
      </c>
      <c r="AS102" s="62">
        <f t="shared" ca="1" si="42"/>
        <v>0.66913869113553603</v>
      </c>
      <c r="AT102" s="49"/>
    </row>
    <row r="103" spans="1:46" x14ac:dyDescent="0.3">
      <c r="A103" s="5">
        <v>43613</v>
      </c>
      <c r="B103" s="6">
        <v>55.689999</v>
      </c>
      <c r="C103" s="6">
        <v>108.019997</v>
      </c>
      <c r="D103" s="6">
        <v>75.089995999999999</v>
      </c>
      <c r="F103" s="13">
        <v>100</v>
      </c>
      <c r="G103" s="5">
        <v>43613</v>
      </c>
      <c r="H103" s="15">
        <f t="shared" si="38"/>
        <v>-1.1071577380330046E-2</v>
      </c>
      <c r="I103" s="15">
        <f t="shared" si="38"/>
        <v>-1.1230910905082114E-2</v>
      </c>
      <c r="J103" s="15">
        <f t="shared" si="38"/>
        <v>-1.4936567723248933E-2</v>
      </c>
      <c r="K103" s="22"/>
      <c r="L103" s="13">
        <v>100</v>
      </c>
      <c r="M103" s="5">
        <v>43613</v>
      </c>
      <c r="N103" s="26">
        <f t="shared" si="35"/>
        <v>0.9849663603649389</v>
      </c>
      <c r="O103" s="26">
        <f t="shared" si="36"/>
        <v>1.0244688443765393</v>
      </c>
      <c r="P103" s="26">
        <f t="shared" si="37"/>
        <v>0.99377975102646254</v>
      </c>
      <c r="Q103" s="22"/>
      <c r="AD103" s="59">
        <v>99</v>
      </c>
      <c r="AE103" s="61">
        <f t="shared" ca="1" si="39"/>
        <v>-1.1543196697954401</v>
      </c>
      <c r="AF103" s="61">
        <f t="shared" ca="1" si="39"/>
        <v>0.4075285007456258</v>
      </c>
      <c r="AG103" s="61">
        <f t="shared" ca="1" si="39"/>
        <v>-2.7674095734943498E-2</v>
      </c>
      <c r="AH103" s="19"/>
      <c r="AI103" s="61">
        <f ca="1"/>
        <v>-2.5030596494039409E-2</v>
      </c>
      <c r="AJ103" s="61">
        <f ca="1"/>
        <v>-9.2097548672539515E-3</v>
      </c>
      <c r="AK103" s="61">
        <f ca="1"/>
        <v>-1.4894709091761955E-2</v>
      </c>
      <c r="AL103" s="19"/>
      <c r="AM103" s="61">
        <f t="shared" ca="1" si="43"/>
        <v>-2.4679380171529163E-2</v>
      </c>
      <c r="AN103" s="61">
        <f t="shared" ca="1" si="44"/>
        <v>-8.9607022703374201E-3</v>
      </c>
      <c r="AO103" s="61">
        <f t="shared" ca="1" si="45"/>
        <v>-1.4463040488507136E-2</v>
      </c>
      <c r="AP103" s="19"/>
      <c r="AQ103" s="62">
        <f t="shared" ca="1" si="40"/>
        <v>0.80031098302370196</v>
      </c>
      <c r="AR103" s="62">
        <f t="shared" ca="1" si="41"/>
        <v>0.68152815030700831</v>
      </c>
      <c r="AS103" s="62">
        <f t="shared" ca="1" si="42"/>
        <v>0.65953056003258315</v>
      </c>
      <c r="AT103" s="49"/>
    </row>
    <row r="104" spans="1:46" x14ac:dyDescent="0.3">
      <c r="A104" s="5">
        <v>43614</v>
      </c>
      <c r="B104" s="6">
        <v>55.509998000000003</v>
      </c>
      <c r="C104" s="6">
        <v>105.989998</v>
      </c>
      <c r="D104" s="6">
        <v>74.860000999999997</v>
      </c>
      <c r="F104" s="13">
        <v>101</v>
      </c>
      <c r="G104" s="5">
        <v>43614</v>
      </c>
      <c r="H104" s="15">
        <f t="shared" si="38"/>
        <v>-3.237430972506861E-3</v>
      </c>
      <c r="I104" s="15">
        <f t="shared" si="38"/>
        <v>-1.8971636222651387E-2</v>
      </c>
      <c r="J104" s="15">
        <f t="shared" si="38"/>
        <v>-3.0676250078294828E-3</v>
      </c>
      <c r="K104" s="22"/>
      <c r="L104" s="13">
        <v>101</v>
      </c>
      <c r="M104" s="5">
        <v>43614</v>
      </c>
      <c r="N104" s="26">
        <f t="shared" si="35"/>
        <v>0.98178275589347808</v>
      </c>
      <c r="O104" s="26">
        <f t="shared" si="36"/>
        <v>1.0052161986870978</v>
      </c>
      <c r="P104" s="26">
        <f t="shared" si="37"/>
        <v>0.9907358785266247</v>
      </c>
      <c r="Q104" s="22"/>
      <c r="AD104" s="59">
        <v>100</v>
      </c>
      <c r="AE104" s="61">
        <f t="shared" ca="1" si="39"/>
        <v>-0.56406539451190163</v>
      </c>
      <c r="AF104" s="61">
        <f t="shared" ca="1" si="39"/>
        <v>-0.12655256250122318</v>
      </c>
      <c r="AG104" s="61">
        <f t="shared" ca="1" si="39"/>
        <v>-0.5758488406558443</v>
      </c>
      <c r="AH104" s="19"/>
      <c r="AI104" s="61">
        <f ca="1"/>
        <v>-1.2231354672125275E-2</v>
      </c>
      <c r="AJ104" s="61">
        <f ca="1"/>
        <v>-1.1579690890110041E-2</v>
      </c>
      <c r="AK104" s="61">
        <f ca="1"/>
        <v>-2.3978837109668527E-2</v>
      </c>
      <c r="AL104" s="19"/>
      <c r="AM104" s="61">
        <f t="shared" ca="1" si="43"/>
        <v>-1.1880138349615032E-2</v>
      </c>
      <c r="AN104" s="61">
        <f t="shared" ca="1" si="44"/>
        <v>-1.133063829319351E-2</v>
      </c>
      <c r="AO104" s="61">
        <f t="shared" ca="1" si="45"/>
        <v>-2.354716850641371E-2</v>
      </c>
      <c r="AP104" s="19"/>
      <c r="AQ104" s="62">
        <f t="shared" ca="1" si="40"/>
        <v>0.7908594318543305</v>
      </c>
      <c r="AR104" s="62">
        <f t="shared" ca="1" si="41"/>
        <v>0.67384958502200576</v>
      </c>
      <c r="AS104" s="62">
        <f t="shared" ca="1" si="42"/>
        <v>0.64418190072385773</v>
      </c>
      <c r="AT104" s="49"/>
    </row>
    <row r="105" spans="1:46" x14ac:dyDescent="0.3">
      <c r="A105" s="5">
        <v>43615</v>
      </c>
      <c r="B105" s="6">
        <v>55.09</v>
      </c>
      <c r="C105" s="6">
        <v>105.029999</v>
      </c>
      <c r="D105" s="6">
        <v>72.870002999999997</v>
      </c>
      <c r="F105" s="13">
        <v>102</v>
      </c>
      <c r="G105" s="5">
        <v>43615</v>
      </c>
      <c r="H105" s="15">
        <f t="shared" si="38"/>
        <v>-7.5949371878998636E-3</v>
      </c>
      <c r="I105" s="15">
        <f t="shared" si="38"/>
        <v>-9.0987170558638718E-3</v>
      </c>
      <c r="J105" s="15">
        <f t="shared" si="38"/>
        <v>-2.694264298315616E-2</v>
      </c>
      <c r="K105" s="22"/>
      <c r="L105" s="13">
        <v>102</v>
      </c>
      <c r="M105" s="5">
        <v>43615</v>
      </c>
      <c r="N105" s="26">
        <f t="shared" si="35"/>
        <v>0.97435442210197354</v>
      </c>
      <c r="O105" s="26">
        <f t="shared" si="36"/>
        <v>0.99611150424674688</v>
      </c>
      <c r="P105" s="26">
        <f t="shared" si="37"/>
        <v>0.9643992182212604</v>
      </c>
      <c r="Q105" s="22"/>
      <c r="AD105" s="59">
        <v>101</v>
      </c>
      <c r="AE105" s="61">
        <f t="shared" ca="1" si="39"/>
        <v>0.83344011267029827</v>
      </c>
      <c r="AF105" s="61">
        <f t="shared" ca="1" si="39"/>
        <v>-0.11668820207831763</v>
      </c>
      <c r="AG105" s="61">
        <f t="shared" ca="1" si="39"/>
        <v>1.6509710607724777</v>
      </c>
      <c r="AH105" s="19"/>
      <c r="AI105" s="61">
        <f ca="1"/>
        <v>1.8072552784181437E-2</v>
      </c>
      <c r="AJ105" s="61">
        <f ca="1"/>
        <v>1.0508949462357007E-2</v>
      </c>
      <c r="AK105" s="61">
        <f ca="1"/>
        <v>5.3790565163072492E-2</v>
      </c>
      <c r="AL105" s="19"/>
      <c r="AM105" s="61">
        <f t="shared" ca="1" si="43"/>
        <v>1.8423769106691683E-2</v>
      </c>
      <c r="AN105" s="61">
        <f t="shared" ca="1" si="44"/>
        <v>1.0758002059273538E-2</v>
      </c>
      <c r="AO105" s="61">
        <f t="shared" ca="1" si="45"/>
        <v>5.4222233766327309E-2</v>
      </c>
      <c r="AP105" s="19"/>
      <c r="AQ105" s="62">
        <f t="shared" ca="1" si="40"/>
        <v>0.80556509432157242</v>
      </c>
      <c r="AR105" s="62">
        <f t="shared" ca="1" si="41"/>
        <v>0.68113799431309707</v>
      </c>
      <c r="AS105" s="62">
        <f t="shared" ca="1" si="42"/>
        <v>0.68007519608075417</v>
      </c>
      <c r="AT105" s="49"/>
    </row>
    <row r="106" spans="1:46" x14ac:dyDescent="0.3">
      <c r="A106" s="5">
        <v>43616</v>
      </c>
      <c r="B106" s="6">
        <v>53.66</v>
      </c>
      <c r="C106" s="6">
        <v>105.129997</v>
      </c>
      <c r="D106" s="6">
        <v>70.400002000000001</v>
      </c>
      <c r="F106" s="13">
        <v>103</v>
      </c>
      <c r="G106" s="5">
        <v>43616</v>
      </c>
      <c r="H106" s="15">
        <f t="shared" si="38"/>
        <v>-2.6300366487147245E-2</v>
      </c>
      <c r="I106" s="15">
        <f t="shared" si="38"/>
        <v>9.5163693804610884E-4</v>
      </c>
      <c r="J106" s="15">
        <f t="shared" si="38"/>
        <v>-3.4483781278308111E-2</v>
      </c>
      <c r="K106" s="22"/>
      <c r="L106" s="13">
        <v>103</v>
      </c>
      <c r="M106" s="5">
        <v>43616</v>
      </c>
      <c r="N106" s="26">
        <f t="shared" si="35"/>
        <v>0.94906259375552537</v>
      </c>
      <c r="O106" s="26">
        <f t="shared" si="36"/>
        <v>0.99705989193740718</v>
      </c>
      <c r="P106" s="26">
        <f t="shared" si="37"/>
        <v>0.93170995054817241</v>
      </c>
      <c r="Q106" s="22"/>
      <c r="AD106" s="59">
        <v>102</v>
      </c>
      <c r="AE106" s="61">
        <f t="shared" ca="1" si="39"/>
        <v>0.56233143157699861</v>
      </c>
      <c r="AF106" s="61">
        <f t="shared" ca="1" si="39"/>
        <v>-2.038942795003043</v>
      </c>
      <c r="AG106" s="61">
        <f t="shared" ca="1" si="39"/>
        <v>0.52647941019308431</v>
      </c>
      <c r="AH106" s="19"/>
      <c r="AI106" s="61">
        <f ca="1"/>
        <v>1.2193754925976212E-2</v>
      </c>
      <c r="AJ106" s="61">
        <f ca="1"/>
        <v>-3.5516694913614526E-2</v>
      </c>
      <c r="AK106" s="61">
        <f ca="1"/>
        <v>7.4379583576791499E-3</v>
      </c>
      <c r="AL106" s="19"/>
      <c r="AM106" s="61">
        <f t="shared" ca="1" si="43"/>
        <v>1.2544971248486456E-2</v>
      </c>
      <c r="AN106" s="61">
        <f t="shared" ca="1" si="44"/>
        <v>-3.5267642316697996E-2</v>
      </c>
      <c r="AO106" s="61">
        <f t="shared" ca="1" si="45"/>
        <v>7.8696269609339689E-3</v>
      </c>
      <c r="AP106" s="19"/>
      <c r="AQ106" s="62">
        <f t="shared" ca="1" si="40"/>
        <v>0.81573453959913833</v>
      </c>
      <c r="AR106" s="62">
        <f t="shared" ca="1" si="41"/>
        <v>0.65753452891042297</v>
      </c>
      <c r="AS106" s="62">
        <f t="shared" ca="1" si="42"/>
        <v>0.68544824840816343</v>
      </c>
      <c r="AT106" s="49"/>
    </row>
    <row r="107" spans="1:46" x14ac:dyDescent="0.3">
      <c r="A107" s="5">
        <v>43619</v>
      </c>
      <c r="B107" s="6">
        <v>54.59</v>
      </c>
      <c r="C107" s="6">
        <v>107.25</v>
      </c>
      <c r="D107" s="6">
        <v>72</v>
      </c>
      <c r="F107" s="13">
        <v>104</v>
      </c>
      <c r="G107" s="5">
        <v>43619</v>
      </c>
      <c r="H107" s="15">
        <f t="shared" si="38"/>
        <v>1.7182870796188226E-2</v>
      </c>
      <c r="I107" s="15">
        <f t="shared" si="38"/>
        <v>1.9964906756485299E-2</v>
      </c>
      <c r="J107" s="15">
        <f t="shared" si="38"/>
        <v>2.2472827442968038E-2</v>
      </c>
      <c r="K107" s="22"/>
      <c r="L107" s="13">
        <v>104</v>
      </c>
      <c r="M107" s="5">
        <v>43619</v>
      </c>
      <c r="N107" s="26">
        <f t="shared" si="35"/>
        <v>0.96551112547734141</v>
      </c>
      <c r="O107" s="26">
        <f t="shared" si="36"/>
        <v>1.0171661415560291</v>
      </c>
      <c r="P107" s="26">
        <f t="shared" si="37"/>
        <v>0.9528851496263937</v>
      </c>
      <c r="Q107" s="22"/>
      <c r="AD107" s="59">
        <v>103</v>
      </c>
      <c r="AE107" s="61">
        <f t="shared" ca="1" si="39"/>
        <v>-7.5244229847042696E-2</v>
      </c>
      <c r="AF107" s="61">
        <f t="shared" ca="1" si="39"/>
        <v>0.13482345350051728</v>
      </c>
      <c r="AG107" s="61">
        <f t="shared" ca="1" si="39"/>
        <v>0.89661971246703953</v>
      </c>
      <c r="AH107" s="19"/>
      <c r="AI107" s="61">
        <f ca="1"/>
        <v>-1.6316173111213168E-3</v>
      </c>
      <c r="AJ107" s="61">
        <f ca="1"/>
        <v>1.7527768478897018E-3</v>
      </c>
      <c r="AK107" s="61">
        <f ca="1"/>
        <v>2.2809071072806088E-2</v>
      </c>
      <c r="AL107" s="19"/>
      <c r="AM107" s="61">
        <f t="shared" ca="1" si="43"/>
        <v>-1.2804009886110725E-3</v>
      </c>
      <c r="AN107" s="61">
        <f t="shared" ca="1" si="44"/>
        <v>2.0018294448062323E-3</v>
      </c>
      <c r="AO107" s="61">
        <f t="shared" ca="1" si="45"/>
        <v>2.3240739676060905E-2</v>
      </c>
      <c r="AP107" s="19"/>
      <c r="AQ107" s="62">
        <f t="shared" ca="1" si="40"/>
        <v>0.81469074067138358</v>
      </c>
      <c r="AR107" s="62">
        <f t="shared" ca="1" si="41"/>
        <v>0.65885211924693798</v>
      </c>
      <c r="AS107" s="62">
        <f t="shared" ca="1" si="42"/>
        <v>0.70156513142161714</v>
      </c>
      <c r="AT107" s="49"/>
    </row>
    <row r="108" spans="1:46" x14ac:dyDescent="0.3">
      <c r="A108" s="5">
        <v>43620</v>
      </c>
      <c r="B108" s="6">
        <v>55.400002000000001</v>
      </c>
      <c r="C108" s="6">
        <v>111.760002</v>
      </c>
      <c r="D108" s="6">
        <v>73.849997999999999</v>
      </c>
      <c r="F108" s="13">
        <v>105</v>
      </c>
      <c r="G108" s="5">
        <v>43620</v>
      </c>
      <c r="H108" s="15">
        <f t="shared" si="38"/>
        <v>1.4728914060654241E-2</v>
      </c>
      <c r="I108" s="15">
        <f t="shared" si="38"/>
        <v>4.1191175036070136E-2</v>
      </c>
      <c r="J108" s="15">
        <f t="shared" si="38"/>
        <v>2.5369862879410256E-2</v>
      </c>
      <c r="K108" s="22"/>
      <c r="L108" s="13">
        <v>105</v>
      </c>
      <c r="M108" s="5">
        <v>43620</v>
      </c>
      <c r="N108" s="26">
        <f t="shared" si="35"/>
        <v>0.97983730138243197</v>
      </c>
      <c r="O108" s="26">
        <f t="shared" si="36"/>
        <v>1.0599393008357492</v>
      </c>
      <c r="P108" s="26">
        <f t="shared" si="37"/>
        <v>0.97736897769637321</v>
      </c>
      <c r="Q108" s="22"/>
      <c r="AD108" s="59">
        <v>104</v>
      </c>
      <c r="AE108" s="61">
        <f t="shared" ca="1" si="39"/>
        <v>-0.29742739432204596</v>
      </c>
      <c r="AF108" s="61">
        <f t="shared" ca="1" si="39"/>
        <v>0.10500983238422204</v>
      </c>
      <c r="AG108" s="61">
        <f t="shared" ca="1" si="39"/>
        <v>1.3726448715545885</v>
      </c>
      <c r="AH108" s="19"/>
      <c r="AI108" s="61">
        <f ca="1"/>
        <v>-6.4495003319730224E-3</v>
      </c>
      <c r="AJ108" s="61">
        <f ca="1"/>
        <v>-2.3729385158160082E-3</v>
      </c>
      <c r="AK108" s="61">
        <f ca="1"/>
        <v>3.1511975446932919E-2</v>
      </c>
      <c r="AL108" s="19"/>
      <c r="AM108" s="61">
        <f t="shared" ca="1" si="43"/>
        <v>-6.0982840094627785E-3</v>
      </c>
      <c r="AN108" s="61">
        <f t="shared" ca="1" si="44"/>
        <v>-2.1238859188994776E-3</v>
      </c>
      <c r="AO108" s="61">
        <f t="shared" ca="1" si="45"/>
        <v>3.1943644050187736E-2</v>
      </c>
      <c r="AP108" s="19"/>
      <c r="AQ108" s="62">
        <f t="shared" ca="1" si="40"/>
        <v>0.80973764320251607</v>
      </c>
      <c r="AR108" s="62">
        <f t="shared" ca="1" si="41"/>
        <v>0.65745427746193363</v>
      </c>
      <c r="AS108" s="62">
        <f t="shared" ca="1" si="42"/>
        <v>0.7243374574288407</v>
      </c>
      <c r="AT108" s="49"/>
    </row>
    <row r="109" spans="1:46" x14ac:dyDescent="0.3">
      <c r="A109" s="5">
        <v>43621</v>
      </c>
      <c r="B109" s="6">
        <v>55.119999</v>
      </c>
      <c r="C109" s="6">
        <v>110.980003</v>
      </c>
      <c r="D109" s="6">
        <v>73.139999000000003</v>
      </c>
      <c r="F109" s="13">
        <v>106</v>
      </c>
      <c r="G109" s="5">
        <v>43621</v>
      </c>
      <c r="H109" s="15">
        <f t="shared" si="38"/>
        <v>-5.0670212911526217E-3</v>
      </c>
      <c r="I109" s="15">
        <f t="shared" si="38"/>
        <v>-7.0037009145440827E-3</v>
      </c>
      <c r="J109" s="15">
        <f t="shared" si="38"/>
        <v>-9.6605828466396412E-3</v>
      </c>
      <c r="K109" s="22"/>
      <c r="L109" s="13">
        <v>106</v>
      </c>
      <c r="M109" s="5">
        <v>43621</v>
      </c>
      <c r="N109" s="26">
        <f t="shared" si="35"/>
        <v>0.97488500221285812</v>
      </c>
      <c r="O109" s="26">
        <f t="shared" si="36"/>
        <v>1.0525417383812263</v>
      </c>
      <c r="P109" s="26">
        <f t="shared" si="37"/>
        <v>0.96797248459429563</v>
      </c>
      <c r="Q109" s="22"/>
      <c r="AD109" s="59">
        <v>105</v>
      </c>
      <c r="AE109" s="61">
        <f t="shared" ca="1" si="39"/>
        <v>0.17445731415380406</v>
      </c>
      <c r="AF109" s="61">
        <f t="shared" ca="1" si="39"/>
        <v>-0.82366725440602451</v>
      </c>
      <c r="AG109" s="61">
        <f t="shared" ca="1" si="39"/>
        <v>-0.29351770378365549</v>
      </c>
      <c r="AH109" s="19"/>
      <c r="AI109" s="61">
        <f ca="1"/>
        <v>3.7829820891742976E-3</v>
      </c>
      <c r="AJ109" s="61">
        <f ca="1"/>
        <v>-1.51725811150028E-2</v>
      </c>
      <c r="AK109" s="61">
        <f ca="1"/>
        <v>-1.0742852569032055E-2</v>
      </c>
      <c r="AL109" s="19"/>
      <c r="AM109" s="61">
        <f t="shared" ca="1" si="43"/>
        <v>4.1341984116845419E-3</v>
      </c>
      <c r="AN109" s="61">
        <f t="shared" ca="1" si="44"/>
        <v>-1.4923528518086268E-2</v>
      </c>
      <c r="AO109" s="61">
        <f t="shared" ca="1" si="45"/>
        <v>-1.0311183965777236E-2</v>
      </c>
      <c r="AP109" s="19"/>
      <c r="AQ109" s="62">
        <f t="shared" ca="1" si="40"/>
        <v>0.81309218868134359</v>
      </c>
      <c r="AR109" s="62">
        <f t="shared" ca="1" si="41"/>
        <v>0.64771558834791942</v>
      </c>
      <c r="AS109" s="62">
        <f t="shared" ca="1" si="42"/>
        <v>0.71690705461075821</v>
      </c>
      <c r="AT109" s="49"/>
    </row>
    <row r="110" spans="1:46" x14ac:dyDescent="0.3">
      <c r="A110" s="5">
        <v>43622</v>
      </c>
      <c r="B110" s="6">
        <v>54.209999000000003</v>
      </c>
      <c r="C110" s="6">
        <v>109.470001</v>
      </c>
      <c r="D110" s="6">
        <v>74.470000999999996</v>
      </c>
      <c r="F110" s="13">
        <v>107</v>
      </c>
      <c r="G110" s="5">
        <v>43622</v>
      </c>
      <c r="H110" s="15">
        <f t="shared" si="38"/>
        <v>-1.6647233737702126E-2</v>
      </c>
      <c r="I110" s="15">
        <f t="shared" si="38"/>
        <v>-1.369948367826373E-2</v>
      </c>
      <c r="J110" s="15">
        <f t="shared" si="38"/>
        <v>1.8020974101954173E-2</v>
      </c>
      <c r="K110" s="22"/>
      <c r="L110" s="13">
        <v>107</v>
      </c>
      <c r="M110" s="5">
        <v>43622</v>
      </c>
      <c r="N110" s="26">
        <f t="shared" si="35"/>
        <v>0.95879020235602763</v>
      </c>
      <c r="O110" s="26">
        <f t="shared" si="36"/>
        <v>1.0382207788653113</v>
      </c>
      <c r="P110" s="26">
        <f t="shared" si="37"/>
        <v>0.9855744172994817</v>
      </c>
      <c r="Q110" s="22"/>
      <c r="AD110" s="59">
        <v>106</v>
      </c>
      <c r="AE110" s="61">
        <f t="shared" ca="1" si="39"/>
        <v>-1.1793771391717562</v>
      </c>
      <c r="AF110" s="61">
        <f t="shared" ca="1" si="39"/>
        <v>0.36990254750904777</v>
      </c>
      <c r="AG110" s="61">
        <f t="shared" ca="1" si="39"/>
        <v>3.2625664314168574</v>
      </c>
      <c r="AH110" s="19"/>
      <c r="AI110" s="61">
        <f ca="1"/>
        <v>-2.557394979688269E-2</v>
      </c>
      <c r="AJ110" s="61">
        <f ca="1"/>
        <v>-1.0419801227527656E-2</v>
      </c>
      <c r="AK110" s="61">
        <f ca="1"/>
        <v>6.876588843333574E-2</v>
      </c>
      <c r="AL110" s="19"/>
      <c r="AM110" s="61">
        <f t="shared" ca="1" si="43"/>
        <v>-2.5222733474372445E-2</v>
      </c>
      <c r="AN110" s="61">
        <f t="shared" ca="1" si="44"/>
        <v>-1.0170748630611124E-2</v>
      </c>
      <c r="AO110" s="61">
        <f t="shared" ca="1" si="45"/>
        <v>6.9197557036590557E-2</v>
      </c>
      <c r="AP110" s="19"/>
      <c r="AQ110" s="62">
        <f t="shared" ca="1" si="40"/>
        <v>0.79284025928021151</v>
      </c>
      <c r="AR110" s="62">
        <f t="shared" ca="1" si="41"/>
        <v>0.64116122381254514</v>
      </c>
      <c r="AS110" s="62">
        <f t="shared" ca="1" si="42"/>
        <v>0.76827193944013661</v>
      </c>
      <c r="AT110" s="49"/>
    </row>
    <row r="111" spans="1:46" x14ac:dyDescent="0.3">
      <c r="A111" s="5">
        <v>43623</v>
      </c>
      <c r="B111" s="6">
        <v>53.84</v>
      </c>
      <c r="C111" s="6">
        <v>110.879997</v>
      </c>
      <c r="D111" s="6">
        <v>74.730002999999996</v>
      </c>
      <c r="F111" s="13">
        <v>108</v>
      </c>
      <c r="G111" s="5">
        <v>43623</v>
      </c>
      <c r="H111" s="15">
        <f t="shared" si="38"/>
        <v>-6.8486894889932598E-3</v>
      </c>
      <c r="I111" s="15">
        <f t="shared" si="38"/>
        <v>1.2797960133926926E-2</v>
      </c>
      <c r="J111" s="15">
        <f t="shared" si="38"/>
        <v>3.4852849359380605E-3</v>
      </c>
      <c r="K111" s="22"/>
      <c r="L111" s="13">
        <v>108</v>
      </c>
      <c r="M111" s="5">
        <v>43623</v>
      </c>
      <c r="N111" s="26">
        <f t="shared" si="35"/>
        <v>0.95224618054039312</v>
      </c>
      <c r="O111" s="26">
        <f t="shared" si="36"/>
        <v>1.0515932748180334</v>
      </c>
      <c r="P111" s="26">
        <f t="shared" si="37"/>
        <v>0.9890154179199423</v>
      </c>
      <c r="Q111" s="22"/>
      <c r="AD111" s="59">
        <v>107</v>
      </c>
      <c r="AE111" s="61">
        <f t="shared" ca="1" si="39"/>
        <v>-0.27944490137736339</v>
      </c>
      <c r="AF111" s="61">
        <f t="shared" ca="1" si="39"/>
        <v>1.5882145162083081</v>
      </c>
      <c r="AG111" s="61">
        <f t="shared" ca="1" si="39"/>
        <v>-0.83225583569979567</v>
      </c>
      <c r="AH111" s="19"/>
      <c r="AI111" s="61">
        <f ca="1"/>
        <v>-6.059562833173382E-3</v>
      </c>
      <c r="AJ111" s="61">
        <f ca="1"/>
        <v>3.0147492670513747E-2</v>
      </c>
      <c r="AK111" s="61">
        <f ca="1"/>
        <v>-1.426636987930105E-2</v>
      </c>
      <c r="AL111" s="19"/>
      <c r="AM111" s="61">
        <f t="shared" ca="1" si="43"/>
        <v>-5.7083465106631381E-3</v>
      </c>
      <c r="AN111" s="61">
        <f t="shared" ca="1" si="44"/>
        <v>3.0396545267430276E-2</v>
      </c>
      <c r="AO111" s="61">
        <f t="shared" ca="1" si="45"/>
        <v>-1.3834701276046231E-2</v>
      </c>
      <c r="AP111" s="19"/>
      <c r="AQ111" s="62">
        <f t="shared" ca="1" si="40"/>
        <v>0.78832734524569503</v>
      </c>
      <c r="AR111" s="62">
        <f t="shared" ca="1" si="41"/>
        <v>0.66094953452307093</v>
      </c>
      <c r="AS111" s="62">
        <f t="shared" ca="1" si="42"/>
        <v>0.75771631199625256</v>
      </c>
      <c r="AT111" s="49"/>
    </row>
    <row r="112" spans="1:46" x14ac:dyDescent="0.3">
      <c r="A112" s="5">
        <v>43626</v>
      </c>
      <c r="B112" s="6">
        <v>54.939999</v>
      </c>
      <c r="C112" s="6">
        <v>113.660004</v>
      </c>
      <c r="D112" s="6">
        <v>75.860000999999997</v>
      </c>
      <c r="F112" s="13">
        <v>109</v>
      </c>
      <c r="G112" s="5">
        <v>43626</v>
      </c>
      <c r="H112" s="15">
        <f t="shared" si="38"/>
        <v>2.0224977128980769E-2</v>
      </c>
      <c r="I112" s="15">
        <f t="shared" si="38"/>
        <v>2.4763062676339102E-2</v>
      </c>
      <c r="J112" s="15">
        <f t="shared" si="38"/>
        <v>1.5007891356212329E-2</v>
      </c>
      <c r="K112" s="22"/>
      <c r="L112" s="13">
        <v>109</v>
      </c>
      <c r="M112" s="5">
        <v>43626</v>
      </c>
      <c r="N112" s="26">
        <f t="shared" si="35"/>
        <v>0.9717014154279906</v>
      </c>
      <c r="O112" s="26">
        <f t="shared" si="36"/>
        <v>1.0779590463209587</v>
      </c>
      <c r="P112" s="26">
        <f t="shared" si="37"/>
        <v>1.003970394493658</v>
      </c>
      <c r="Q112" s="22"/>
      <c r="AD112" s="59">
        <v>108</v>
      </c>
      <c r="AE112" s="61">
        <f t="shared" ca="1" si="39"/>
        <v>0.69346547960805083</v>
      </c>
      <c r="AF112" s="61">
        <f t="shared" ca="1" si="39"/>
        <v>-0.53871638277679146</v>
      </c>
      <c r="AG112" s="61">
        <f t="shared" ca="1" si="39"/>
        <v>-1.4651307628970365</v>
      </c>
      <c r="AH112" s="19"/>
      <c r="AI112" s="61">
        <f ca="1"/>
        <v>1.5037302973179572E-2</v>
      </c>
      <c r="AJ112" s="61">
        <f ca="1"/>
        <v>-8.5519276279367139E-4</v>
      </c>
      <c r="AK112" s="61">
        <f ca="1"/>
        <v>-3.1084142190932466E-2</v>
      </c>
      <c r="AL112" s="19"/>
      <c r="AM112" s="61">
        <f t="shared" ca="1" si="43"/>
        <v>1.5388519295689816E-2</v>
      </c>
      <c r="AN112" s="61">
        <f t="shared" ca="1" si="44"/>
        <v>-6.0614016587714071E-4</v>
      </c>
      <c r="AO112" s="61">
        <f t="shared" ca="1" si="45"/>
        <v>-3.0652473587677649E-2</v>
      </c>
      <c r="AP112" s="19"/>
      <c r="AQ112" s="62">
        <f t="shared" ca="1" si="40"/>
        <v>0.80055235697786575</v>
      </c>
      <c r="AR112" s="62">
        <f t="shared" ca="1" si="41"/>
        <v>0.66054902785642977</v>
      </c>
      <c r="AS112" s="62">
        <f t="shared" ca="1" si="42"/>
        <v>0.73484278870956643</v>
      </c>
      <c r="AT112" s="49"/>
    </row>
    <row r="113" spans="1:46" x14ac:dyDescent="0.3">
      <c r="A113" s="5">
        <v>43627</v>
      </c>
      <c r="B113" s="6">
        <v>55.950001</v>
      </c>
      <c r="C113" s="6">
        <v>113.860001</v>
      </c>
      <c r="D113" s="6">
        <v>76.360000999999997</v>
      </c>
      <c r="F113" s="13">
        <v>110</v>
      </c>
      <c r="G113" s="5">
        <v>43627</v>
      </c>
      <c r="H113" s="15">
        <f t="shared" si="38"/>
        <v>1.8216790165582055E-2</v>
      </c>
      <c r="I113" s="15">
        <f t="shared" si="38"/>
        <v>1.7580612439966144E-3</v>
      </c>
      <c r="J113" s="15">
        <f t="shared" si="38"/>
        <v>6.5694625104780243E-3</v>
      </c>
      <c r="K113" s="22"/>
      <c r="L113" s="13">
        <v>110</v>
      </c>
      <c r="M113" s="5">
        <v>43627</v>
      </c>
      <c r="N113" s="26">
        <f t="shared" si="35"/>
        <v>0.98956490998293412</v>
      </c>
      <c r="O113" s="26">
        <f t="shared" si="36"/>
        <v>1.079855831186346</v>
      </c>
      <c r="P113" s="26">
        <f t="shared" si="37"/>
        <v>1.0105876524771746</v>
      </c>
      <c r="Q113" s="22"/>
      <c r="AD113" s="59">
        <v>109</v>
      </c>
      <c r="AE113" s="61">
        <f t="shared" ca="1" si="39"/>
        <v>0.36727105746711325</v>
      </c>
      <c r="AF113" s="61">
        <f t="shared" ca="1" si="39"/>
        <v>0.85987726894095007</v>
      </c>
      <c r="AG113" s="61">
        <f t="shared" ca="1" si="39"/>
        <v>-0.88760908654129345</v>
      </c>
      <c r="AH113" s="19"/>
      <c r="AI113" s="61">
        <f ca="1"/>
        <v>7.9640102165352417E-3</v>
      </c>
      <c r="AJ113" s="61">
        <f ca="1"/>
        <v>2.4438958161012842E-2</v>
      </c>
      <c r="AK113" s="61">
        <f ca="1"/>
        <v>-1.1258222672724777E-2</v>
      </c>
      <c r="AL113" s="19"/>
      <c r="AM113" s="61">
        <f t="shared" ca="1" si="43"/>
        <v>8.3152265390454855E-3</v>
      </c>
      <c r="AN113" s="61">
        <f t="shared" ca="1" si="44"/>
        <v>2.4688010757929372E-2</v>
      </c>
      <c r="AO113" s="61">
        <f t="shared" ca="1" si="45"/>
        <v>-1.0826554069469958E-2</v>
      </c>
      <c r="AP113" s="19"/>
      <c r="AQ113" s="62">
        <f t="shared" ca="1" si="40"/>
        <v>0.80723688434655105</v>
      </c>
      <c r="AR113" s="62">
        <f t="shared" ca="1" si="41"/>
        <v>0.67705963783066481</v>
      </c>
      <c r="AS113" s="62">
        <f t="shared" ca="1" si="42"/>
        <v>0.72692988555392102</v>
      </c>
      <c r="AT113" s="49"/>
    </row>
    <row r="114" spans="1:46" x14ac:dyDescent="0.3">
      <c r="A114" s="5">
        <v>43628</v>
      </c>
      <c r="B114" s="6">
        <v>55.48</v>
      </c>
      <c r="C114" s="6">
        <v>112.66999800000001</v>
      </c>
      <c r="D114" s="6">
        <v>76.5</v>
      </c>
      <c r="F114" s="13">
        <v>111</v>
      </c>
      <c r="G114" s="5">
        <v>43628</v>
      </c>
      <c r="H114" s="15">
        <f t="shared" si="38"/>
        <v>-8.4358571844042694E-3</v>
      </c>
      <c r="I114" s="15">
        <f t="shared" si="38"/>
        <v>-1.050645788053103E-2</v>
      </c>
      <c r="J114" s="15">
        <f t="shared" si="38"/>
        <v>1.8317288790817279E-3</v>
      </c>
      <c r="K114" s="22"/>
      <c r="L114" s="13">
        <v>111</v>
      </c>
      <c r="M114" s="5">
        <v>43628</v>
      </c>
      <c r="N114" s="26">
        <f t="shared" si="35"/>
        <v>0.98125219346918657</v>
      </c>
      <c r="O114" s="26">
        <f t="shared" si="36"/>
        <v>1.0685697634945037</v>
      </c>
      <c r="P114" s="26">
        <f t="shared" si="37"/>
        <v>1.0124404714780433</v>
      </c>
      <c r="Q114" s="22"/>
      <c r="AD114" s="59">
        <v>110</v>
      </c>
      <c r="AE114" s="61">
        <f t="shared" ca="1" si="39"/>
        <v>5.8108397930165409E-2</v>
      </c>
      <c r="AF114" s="61">
        <f t="shared" ca="1" si="39"/>
        <v>0.11686873462672985</v>
      </c>
      <c r="AG114" s="61">
        <f t="shared" ca="1" si="39"/>
        <v>0.85801288517109398</v>
      </c>
      <c r="AH114" s="19"/>
      <c r="AI114" s="61">
        <f ca="1"/>
        <v>1.2600390511952365E-3</v>
      </c>
      <c r="AJ114" s="61">
        <f ca="1"/>
        <v>3.4497931544388424E-3</v>
      </c>
      <c r="AK114" s="61">
        <f ca="1"/>
        <v>2.3663878382134768E-2</v>
      </c>
      <c r="AL114" s="19"/>
      <c r="AM114" s="61">
        <f t="shared" ca="1" si="43"/>
        <v>1.6112553737054809E-3</v>
      </c>
      <c r="AN114" s="61">
        <f t="shared" ca="1" si="44"/>
        <v>3.698845751355373E-3</v>
      </c>
      <c r="AO114" s="61">
        <f t="shared" ca="1" si="45"/>
        <v>2.4095546985389585E-2</v>
      </c>
      <c r="AP114" s="19"/>
      <c r="AQ114" s="62">
        <f t="shared" ca="1" si="40"/>
        <v>0.80853859752886814</v>
      </c>
      <c r="AR114" s="62">
        <f t="shared" ca="1" si="41"/>
        <v>0.67956861429339599</v>
      </c>
      <c r="AS114" s="62">
        <f t="shared" ca="1" si="42"/>
        <v>0.74465839002356138</v>
      </c>
      <c r="AT114" s="49"/>
    </row>
    <row r="115" spans="1:46" x14ac:dyDescent="0.3">
      <c r="A115" s="5">
        <v>43629</v>
      </c>
      <c r="B115" s="6">
        <v>56.709999000000003</v>
      </c>
      <c r="C115" s="6">
        <v>112.620003</v>
      </c>
      <c r="D115" s="6">
        <v>77.260002</v>
      </c>
      <c r="F115" s="13">
        <v>112</v>
      </c>
      <c r="G115" s="5">
        <v>43629</v>
      </c>
      <c r="H115" s="15">
        <f t="shared" si="38"/>
        <v>2.1927948945731451E-2</v>
      </c>
      <c r="I115" s="15">
        <f t="shared" si="38"/>
        <v>-4.4382796039575987E-4</v>
      </c>
      <c r="J115" s="15">
        <f t="shared" si="38"/>
        <v>9.8856422922613575E-3</v>
      </c>
      <c r="K115" s="22"/>
      <c r="L115" s="13">
        <v>112</v>
      </c>
      <c r="M115" s="5">
        <v>43629</v>
      </c>
      <c r="N115" s="26">
        <f t="shared" si="35"/>
        <v>1.0030066854791886</v>
      </c>
      <c r="O115" s="26">
        <f t="shared" si="36"/>
        <v>1.0680956075854398</v>
      </c>
      <c r="P115" s="26">
        <f t="shared" si="37"/>
        <v>1.0224987300820205</v>
      </c>
      <c r="Q115" s="22"/>
      <c r="AD115" s="59">
        <v>111</v>
      </c>
      <c r="AE115" s="61">
        <f t="shared" ca="1" si="39"/>
        <v>0.27655460546764676</v>
      </c>
      <c r="AF115" s="61">
        <f t="shared" ca="1" si="39"/>
        <v>2.9412725519409308</v>
      </c>
      <c r="AG115" s="61">
        <f t="shared" ca="1" si="39"/>
        <v>1.40004768390249</v>
      </c>
      <c r="AH115" s="19"/>
      <c r="AI115" s="61">
        <f ca="1"/>
        <v>5.9968888334508358E-3</v>
      </c>
      <c r="AJ115" s="61">
        <f ca="1"/>
        <v>6.8260278128916399E-2</v>
      </c>
      <c r="AK115" s="61">
        <f ca="1"/>
        <v>6.0669200426198958E-2</v>
      </c>
      <c r="AL115" s="19"/>
      <c r="AM115" s="61">
        <f t="shared" ca="1" si="43"/>
        <v>6.3481051559610797E-3</v>
      </c>
      <c r="AN115" s="61">
        <f t="shared" ca="1" si="44"/>
        <v>6.8509330725832929E-2</v>
      </c>
      <c r="AO115" s="61">
        <f t="shared" ca="1" si="45"/>
        <v>6.1100869029453775E-2</v>
      </c>
      <c r="AP115" s="19"/>
      <c r="AQ115" s="62">
        <f t="shared" ca="1" si="40"/>
        <v>0.81368761151833802</v>
      </c>
      <c r="AR115" s="62">
        <f t="shared" ca="1" si="41"/>
        <v>0.72775724421550758</v>
      </c>
      <c r="AS115" s="62">
        <f t="shared" ca="1" si="42"/>
        <v>0.79157643571640146</v>
      </c>
      <c r="AT115" s="49"/>
    </row>
    <row r="116" spans="1:46" x14ac:dyDescent="0.3">
      <c r="A116" s="5">
        <v>43630</v>
      </c>
      <c r="B116" s="6">
        <v>56.25</v>
      </c>
      <c r="C116" s="6">
        <v>112.129997</v>
      </c>
      <c r="D116" s="6">
        <v>76.760002</v>
      </c>
      <c r="F116" s="13">
        <v>113</v>
      </c>
      <c r="G116" s="5">
        <v>43630</v>
      </c>
      <c r="H116" s="15">
        <f t="shared" si="38"/>
        <v>-8.1445033078326665E-3</v>
      </c>
      <c r="I116" s="15">
        <f t="shared" si="38"/>
        <v>-4.360460746595368E-3</v>
      </c>
      <c r="J116" s="15">
        <f t="shared" si="38"/>
        <v>-6.4926859300156502E-3</v>
      </c>
      <c r="K116" s="22"/>
      <c r="L116" s="13">
        <v>113</v>
      </c>
      <c r="M116" s="5">
        <v>43630</v>
      </c>
      <c r="N116" s="26">
        <f t="shared" si="35"/>
        <v>0.9948708702711202</v>
      </c>
      <c r="O116" s="26">
        <f t="shared" si="36"/>
        <v>1.0634483580529521</v>
      </c>
      <c r="P116" s="26">
        <f t="shared" si="37"/>
        <v>1.0158814720985039</v>
      </c>
      <c r="Q116" s="22"/>
      <c r="AD116" s="59">
        <v>112</v>
      </c>
      <c r="AE116" s="61">
        <f t="shared" ca="1" si="39"/>
        <v>1.2320686217246311</v>
      </c>
      <c r="AF116" s="61">
        <f t="shared" ca="1" si="39"/>
        <v>0.73647378122332618</v>
      </c>
      <c r="AG116" s="61">
        <f t="shared" ca="1" si="39"/>
        <v>0.19348234411067894</v>
      </c>
      <c r="AH116" s="19"/>
      <c r="AI116" s="61">
        <f ca="1"/>
        <v>2.6716526912186851E-2</v>
      </c>
      <c r="AJ116" s="61">
        <f ca="1"/>
        <v>3.5292761484930921E-2</v>
      </c>
      <c r="AK116" s="61">
        <f ca="1"/>
        <v>2.8348083282311639E-2</v>
      </c>
      <c r="AL116" s="19"/>
      <c r="AM116" s="61">
        <f t="shared" ca="1" si="43"/>
        <v>2.7067743234697097E-2</v>
      </c>
      <c r="AN116" s="61">
        <f t="shared" ca="1" si="44"/>
        <v>3.554181408184745E-2</v>
      </c>
      <c r="AO116" s="61">
        <f t="shared" ca="1" si="45"/>
        <v>2.8779751885566456E-2</v>
      </c>
      <c r="AP116" s="19"/>
      <c r="AQ116" s="62">
        <f t="shared" ca="1" si="40"/>
        <v>0.83601308589390455</v>
      </c>
      <c r="AR116" s="62">
        <f t="shared" ca="1" si="41"/>
        <v>0.75408821027654116</v>
      </c>
      <c r="AS116" s="62">
        <f t="shared" ca="1" si="42"/>
        <v>0.81468879790042359</v>
      </c>
      <c r="AT116" s="49"/>
    </row>
    <row r="117" spans="1:46" x14ac:dyDescent="0.3">
      <c r="A117" s="5">
        <v>43633</v>
      </c>
      <c r="B117" s="6">
        <v>55.57</v>
      </c>
      <c r="C117" s="6">
        <v>112.300003</v>
      </c>
      <c r="D117" s="6">
        <v>76.930000000000007</v>
      </c>
      <c r="F117" s="13">
        <v>114</v>
      </c>
      <c r="G117" s="5">
        <v>43633</v>
      </c>
      <c r="H117" s="15">
        <f t="shared" si="38"/>
        <v>-1.2162553792699668E-2</v>
      </c>
      <c r="I117" s="15">
        <f t="shared" si="38"/>
        <v>1.5150027404265394E-3</v>
      </c>
      <c r="J117" s="15">
        <f t="shared" si="38"/>
        <v>2.2122202761074607E-3</v>
      </c>
      <c r="K117" s="22"/>
      <c r="L117" s="13">
        <v>114</v>
      </c>
      <c r="M117" s="5">
        <v>43633</v>
      </c>
      <c r="N117" s="26">
        <f t="shared" si="35"/>
        <v>0.98284398686162033</v>
      </c>
      <c r="O117" s="26">
        <f t="shared" si="36"/>
        <v>1.0650607062773008</v>
      </c>
      <c r="P117" s="26">
        <f t="shared" si="37"/>
        <v>1.0181313133438676</v>
      </c>
      <c r="Q117" s="22"/>
      <c r="AD117" s="59">
        <v>113</v>
      </c>
      <c r="AE117" s="61">
        <f t="shared" ca="1" si="39"/>
        <v>0.83663852669908423</v>
      </c>
      <c r="AF117" s="61">
        <f t="shared" ca="1" si="39"/>
        <v>0.12875904502816321</v>
      </c>
      <c r="AG117" s="61">
        <f t="shared" ca="1" si="39"/>
        <v>0.33130582407033654</v>
      </c>
      <c r="AH117" s="19"/>
      <c r="AI117" s="61">
        <f ca="1"/>
        <v>1.8141908104956316E-2</v>
      </c>
      <c r="AJ117" s="61">
        <f ca="1"/>
        <v>1.5894057805518575E-2</v>
      </c>
      <c r="AK117" s="61">
        <f ca="1"/>
        <v>2.1756611936382286E-2</v>
      </c>
      <c r="AL117" s="19"/>
      <c r="AM117" s="61">
        <f t="shared" ca="1" si="43"/>
        <v>1.8493124427466562E-2</v>
      </c>
      <c r="AN117" s="61">
        <f t="shared" ca="1" si="44"/>
        <v>1.6143110402435105E-2</v>
      </c>
      <c r="AO117" s="61">
        <f t="shared" ca="1" si="45"/>
        <v>2.2188280539637104E-2</v>
      </c>
      <c r="AP117" s="19"/>
      <c r="AQ117" s="62">
        <f t="shared" ca="1" si="40"/>
        <v>0.85161742166042065</v>
      </c>
      <c r="AR117" s="62">
        <f t="shared" ca="1" si="41"/>
        <v>0.76636032807611743</v>
      </c>
      <c r="AS117" s="62">
        <f t="shared" ca="1" si="42"/>
        <v>0.83296737671535148</v>
      </c>
      <c r="AT117" s="49"/>
    </row>
    <row r="118" spans="1:46" x14ac:dyDescent="0.3">
      <c r="A118" s="5">
        <v>43634</v>
      </c>
      <c r="B118" s="6">
        <v>56.98</v>
      </c>
      <c r="C118" s="6">
        <v>113.379997</v>
      </c>
      <c r="D118" s="6">
        <v>77.800003000000004</v>
      </c>
      <c r="F118" s="13">
        <v>115</v>
      </c>
      <c r="G118" s="5">
        <v>43634</v>
      </c>
      <c r="H118" s="15">
        <f t="shared" si="38"/>
        <v>2.5056841777932243E-2</v>
      </c>
      <c r="I118" s="15">
        <f t="shared" si="38"/>
        <v>9.5710939779086249E-3</v>
      </c>
      <c r="J118" s="15">
        <f t="shared" si="38"/>
        <v>1.1245552273913186E-2</v>
      </c>
      <c r="K118" s="22"/>
      <c r="L118" s="13">
        <v>115</v>
      </c>
      <c r="M118" s="5">
        <v>43634</v>
      </c>
      <c r="N118" s="26">
        <f t="shared" si="35"/>
        <v>1.0077820833430831</v>
      </c>
      <c r="O118" s="26">
        <f t="shared" si="36"/>
        <v>1.075303441287871</v>
      </c>
      <c r="P118" s="26">
        <f t="shared" si="37"/>
        <v>1.0296453819387343</v>
      </c>
      <c r="Q118" s="22"/>
      <c r="AD118" s="59">
        <v>114</v>
      </c>
      <c r="AE118" s="61">
        <f t="shared" ca="1" si="39"/>
        <v>0.47993041293196631</v>
      </c>
      <c r="AF118" s="61">
        <f t="shared" ca="1" si="39"/>
        <v>-0.39607132261732259</v>
      </c>
      <c r="AG118" s="61">
        <f t="shared" ca="1" si="39"/>
        <v>-1.2640416869159832</v>
      </c>
      <c r="AH118" s="19"/>
      <c r="AI118" s="61">
        <f ca="1"/>
        <v>1.0406947768157329E-2</v>
      </c>
      <c r="AJ118" s="61">
        <f ca="1"/>
        <v>-1.0969802438102307E-3</v>
      </c>
      <c r="AK118" s="61">
        <f ca="1"/>
        <v>-2.8082774075405964E-2</v>
      </c>
      <c r="AL118" s="19"/>
      <c r="AM118" s="61">
        <f t="shared" ca="1" si="43"/>
        <v>1.0758164090667573E-2</v>
      </c>
      <c r="AN118" s="61">
        <f t="shared" ca="1" si="44"/>
        <v>-8.4792764689370001E-4</v>
      </c>
      <c r="AO118" s="61">
        <f t="shared" ca="1" si="45"/>
        <v>-2.7651105472151147E-2</v>
      </c>
      <c r="AP118" s="19"/>
      <c r="AQ118" s="62">
        <f t="shared" ca="1" si="40"/>
        <v>0.86082872111929887</v>
      </c>
      <c r="AR118" s="62">
        <f t="shared" ca="1" si="41"/>
        <v>0.7657107853879781</v>
      </c>
      <c r="AS118" s="62">
        <f t="shared" ca="1" si="42"/>
        <v>0.81025042967495942</v>
      </c>
      <c r="AT118" s="49"/>
    </row>
    <row r="119" spans="1:46" x14ac:dyDescent="0.3">
      <c r="A119" s="5">
        <v>43635</v>
      </c>
      <c r="B119" s="6">
        <v>56.810001</v>
      </c>
      <c r="C119" s="6">
        <v>112.650002</v>
      </c>
      <c r="D119" s="6">
        <v>78.160004000000001</v>
      </c>
      <c r="F119" s="13">
        <v>116</v>
      </c>
      <c r="G119" s="5">
        <v>43635</v>
      </c>
      <c r="H119" s="15">
        <f t="shared" si="38"/>
        <v>-2.9879448981920392E-3</v>
      </c>
      <c r="I119" s="15">
        <f t="shared" si="38"/>
        <v>-6.4592978041053137E-3</v>
      </c>
      <c r="J119" s="15">
        <f t="shared" si="38"/>
        <v>4.6165891668421295E-3</v>
      </c>
      <c r="K119" s="22"/>
      <c r="L119" s="13">
        <v>116</v>
      </c>
      <c r="M119" s="5">
        <v>43635</v>
      </c>
      <c r="N119" s="26">
        <f t="shared" si="35"/>
        <v>1.0047753801773014</v>
      </c>
      <c r="O119" s="26">
        <f t="shared" si="36"/>
        <v>1.0683801200990113</v>
      </c>
      <c r="P119" s="26">
        <f t="shared" si="37"/>
        <v>1.0344098209213823</v>
      </c>
      <c r="Q119" s="22"/>
      <c r="AD119" s="59">
        <v>115</v>
      </c>
      <c r="AE119" s="61">
        <f t="shared" ca="1" si="39"/>
        <v>0.34375359021757668</v>
      </c>
      <c r="AF119" s="61">
        <f t="shared" ca="1" si="39"/>
        <v>0.10361628956630339</v>
      </c>
      <c r="AG119" s="61">
        <f t="shared" ca="1" si="39"/>
        <v>-0.6442685467234931</v>
      </c>
      <c r="AH119" s="19"/>
      <c r="AI119" s="61">
        <f ca="1"/>
        <v>7.4540507584336096E-3</v>
      </c>
      <c r="AJ119" s="61">
        <f ca="1"/>
        <v>7.6327528495143265E-3</v>
      </c>
      <c r="AK119" s="61">
        <f ca="1"/>
        <v>-1.0697270597986655E-2</v>
      </c>
      <c r="AL119" s="19"/>
      <c r="AM119" s="61">
        <f t="shared" ca="1" si="43"/>
        <v>7.8052670809438535E-3</v>
      </c>
      <c r="AN119" s="61">
        <f t="shared" ca="1" si="44"/>
        <v>7.881805446430858E-3</v>
      </c>
      <c r="AO119" s="61">
        <f t="shared" ca="1" si="45"/>
        <v>-1.0265601994731836E-2</v>
      </c>
      <c r="AP119" s="19"/>
      <c r="AQ119" s="62">
        <f t="shared" ca="1" si="40"/>
        <v>0.86757400934186124</v>
      </c>
      <c r="AR119" s="62">
        <f t="shared" ca="1" si="41"/>
        <v>0.77176981550795043</v>
      </c>
      <c r="AS119" s="62">
        <f t="shared" ca="1" si="42"/>
        <v>0.80197526867385571</v>
      </c>
      <c r="AT119" s="49"/>
    </row>
    <row r="120" spans="1:46" x14ac:dyDescent="0.3">
      <c r="A120" s="5">
        <v>43636</v>
      </c>
      <c r="B120" s="6">
        <v>57.32</v>
      </c>
      <c r="C120" s="6">
        <v>114.910004</v>
      </c>
      <c r="D120" s="6">
        <v>79.75</v>
      </c>
      <c r="F120" s="13">
        <v>117</v>
      </c>
      <c r="G120" s="5">
        <v>43636</v>
      </c>
      <c r="H120" s="15">
        <f t="shared" si="38"/>
        <v>8.9372187884009403E-3</v>
      </c>
      <c r="I120" s="15">
        <f t="shared" si="38"/>
        <v>1.9863563447034105E-2</v>
      </c>
      <c r="J120" s="15">
        <f t="shared" si="38"/>
        <v>2.0138682753355272E-2</v>
      </c>
      <c r="K120" s="22"/>
      <c r="L120" s="13">
        <v>117</v>
      </c>
      <c r="M120" s="5">
        <v>43636</v>
      </c>
      <c r="N120" s="26">
        <f t="shared" si="35"/>
        <v>1.013795525047833</v>
      </c>
      <c r="O120" s="26">
        <f t="shared" si="36"/>
        <v>1.0898141295558776</v>
      </c>
      <c r="P120" s="26">
        <f t="shared" si="37"/>
        <v>1.0554526483709012</v>
      </c>
      <c r="Q120" s="22"/>
      <c r="AD120" s="59">
        <v>116</v>
      </c>
      <c r="AE120" s="61">
        <f t="shared" ca="1" si="39"/>
        <v>0.34669271004989677</v>
      </c>
      <c r="AF120" s="61">
        <f t="shared" ca="1" si="39"/>
        <v>0.40693203484861717</v>
      </c>
      <c r="AG120" s="61">
        <f t="shared" ca="1" si="39"/>
        <v>-0.24792102354674894</v>
      </c>
      <c r="AH120" s="19"/>
      <c r="AI120" s="61">
        <f ca="1"/>
        <v>7.5177834699999557E-3</v>
      </c>
      <c r="AJ120" s="61">
        <f ca="1"/>
        <v>1.4271633327836264E-2</v>
      </c>
      <c r="AK120" s="61">
        <f ca="1"/>
        <v>1.6366514652240323E-3</v>
      </c>
      <c r="AL120" s="19"/>
      <c r="AM120" s="61">
        <f t="shared" ca="1" si="43"/>
        <v>7.8689997925101996E-3</v>
      </c>
      <c r="AN120" s="61">
        <f t="shared" ca="1" si="44"/>
        <v>1.4520685924752795E-2</v>
      </c>
      <c r="AO120" s="61">
        <f t="shared" ca="1" si="45"/>
        <v>2.0683200684788504E-3</v>
      </c>
      <c r="AP120" s="19"/>
      <c r="AQ120" s="62">
        <f t="shared" ca="1" si="40"/>
        <v>0.87442788022905582</v>
      </c>
      <c r="AR120" s="62">
        <f t="shared" ca="1" si="41"/>
        <v>0.78305820181527053</v>
      </c>
      <c r="AS120" s="62">
        <f t="shared" ca="1" si="42"/>
        <v>0.80363572680396811</v>
      </c>
      <c r="AT120" s="49"/>
    </row>
    <row r="121" spans="1:46" x14ac:dyDescent="0.3">
      <c r="A121" s="5">
        <v>43637</v>
      </c>
      <c r="B121" s="6">
        <v>56.209999000000003</v>
      </c>
      <c r="C121" s="6">
        <v>117.779999</v>
      </c>
      <c r="D121" s="6">
        <v>81.910004000000001</v>
      </c>
      <c r="F121" s="13">
        <v>118</v>
      </c>
      <c r="G121" s="5">
        <v>43637</v>
      </c>
      <c r="H121" s="15">
        <f t="shared" si="38"/>
        <v>-1.9554943736416384E-2</v>
      </c>
      <c r="I121" s="15">
        <f t="shared" si="38"/>
        <v>2.4669220946625943E-2</v>
      </c>
      <c r="J121" s="15">
        <f t="shared" si="38"/>
        <v>2.6724390696641717E-2</v>
      </c>
      <c r="K121" s="22"/>
      <c r="L121" s="13">
        <v>118</v>
      </c>
      <c r="M121" s="5">
        <v>43637</v>
      </c>
      <c r="N121" s="26">
        <f t="shared" si="35"/>
        <v>0.99416338885455635</v>
      </c>
      <c r="O121" s="26">
        <f t="shared" si="36"/>
        <v>1.1170333532429182</v>
      </c>
      <c r="P121" s="26">
        <f t="shared" si="37"/>
        <v>1.084039255797757</v>
      </c>
      <c r="Q121" s="22"/>
      <c r="AD121" s="59">
        <v>117</v>
      </c>
      <c r="AE121" s="61">
        <f t="shared" ca="1" si="39"/>
        <v>-1.205485981198323</v>
      </c>
      <c r="AF121" s="61">
        <f t="shared" ca="1" si="39"/>
        <v>0.10550385445162193</v>
      </c>
      <c r="AG121" s="61">
        <f t="shared" ca="1" si="39"/>
        <v>0.63534723892642775</v>
      </c>
      <c r="AH121" s="19"/>
      <c r="AI121" s="61">
        <f ca="1"/>
        <v>-2.6140101363726752E-2</v>
      </c>
      <c r="AJ121" s="61">
        <f ca="1"/>
        <v>-1.6575440294521945E-2</v>
      </c>
      <c r="AK121" s="61">
        <f ca="1"/>
        <v>-7.9113914616688041E-4</v>
      </c>
      <c r="AL121" s="19"/>
      <c r="AM121" s="61">
        <f t="shared" ca="1" si="43"/>
        <v>-2.5788885041216507E-2</v>
      </c>
      <c r="AN121" s="61">
        <f t="shared" ca="1" si="44"/>
        <v>-1.6326387697605416E-2</v>
      </c>
      <c r="AO121" s="61">
        <f t="shared" ca="1" si="45"/>
        <v>-3.5947054291206218E-4</v>
      </c>
      <c r="AP121" s="19"/>
      <c r="AQ121" s="62">
        <f t="shared" ca="1" si="40"/>
        <v>0.85216565296709545</v>
      </c>
      <c r="AR121" s="62">
        <f t="shared" ca="1" si="41"/>
        <v>0.77037748682735119</v>
      </c>
      <c r="AS121" s="62">
        <f t="shared" ca="1" si="42"/>
        <v>0.80334689534926051</v>
      </c>
      <c r="AT121" s="49"/>
    </row>
    <row r="122" spans="1:46" x14ac:dyDescent="0.3">
      <c r="A122" s="5">
        <v>43640</v>
      </c>
      <c r="B122" s="6">
        <v>55.68</v>
      </c>
      <c r="C122" s="6">
        <v>116.94000200000001</v>
      </c>
      <c r="D122" s="6">
        <v>80.760002</v>
      </c>
      <c r="F122" s="13">
        <v>119</v>
      </c>
      <c r="G122" s="5">
        <v>43640</v>
      </c>
      <c r="H122" s="15">
        <f t="shared" si="38"/>
        <v>-9.4736431973905626E-3</v>
      </c>
      <c r="I122" s="15">
        <f t="shared" si="38"/>
        <v>-7.1574691757067882E-3</v>
      </c>
      <c r="J122" s="15">
        <f t="shared" si="38"/>
        <v>-1.4139314152224228E-2</v>
      </c>
      <c r="K122" s="22"/>
      <c r="L122" s="13">
        <v>119</v>
      </c>
      <c r="M122" s="5">
        <v>43640</v>
      </c>
      <c r="N122" s="26">
        <f t="shared" si="35"/>
        <v>0.98478951211903942</v>
      </c>
      <c r="O122" s="26">
        <f t="shared" si="36"/>
        <v>1.1090667657612525</v>
      </c>
      <c r="P122" s="26">
        <f t="shared" si="37"/>
        <v>1.0688195359666368</v>
      </c>
      <c r="Q122" s="22"/>
      <c r="AD122" s="59">
        <v>118</v>
      </c>
      <c r="AE122" s="61">
        <f t="shared" ca="1" si="39"/>
        <v>0.57730328224578975</v>
      </c>
      <c r="AF122" s="61">
        <f t="shared" ca="1" si="39"/>
        <v>2.8020738341678179E-2</v>
      </c>
      <c r="AG122" s="61">
        <f t="shared" ca="1" si="39"/>
        <v>-0.64693202071721567</v>
      </c>
      <c r="AH122" s="19"/>
      <c r="AI122" s="61">
        <f ca="1"/>
        <v>1.2518408800172029E-2</v>
      </c>
      <c r="AJ122" s="61">
        <f ca="1"/>
        <v>9.6452053169427399E-3</v>
      </c>
      <c r="AK122" s="61">
        <f ca="1"/>
        <v>-7.8470631484308211E-3</v>
      </c>
      <c r="AL122" s="19"/>
      <c r="AM122" s="61">
        <f t="shared" ca="1" si="43"/>
        <v>1.2869625122682273E-2</v>
      </c>
      <c r="AN122" s="61">
        <f t="shared" ca="1" si="44"/>
        <v>9.8942579138592713E-3</v>
      </c>
      <c r="AO122" s="61">
        <f t="shared" ca="1" si="45"/>
        <v>-7.4153945451760029E-3</v>
      </c>
      <c r="AP122" s="19"/>
      <c r="AQ122" s="62">
        <f t="shared" ca="1" si="40"/>
        <v>0.86320358010738119</v>
      </c>
      <c r="AR122" s="62">
        <f t="shared" ca="1" si="41"/>
        <v>0.77803763361544909</v>
      </c>
      <c r="AS122" s="62">
        <f t="shared" ca="1" si="42"/>
        <v>0.7974117939196127</v>
      </c>
      <c r="AT122" s="49"/>
    </row>
    <row r="123" spans="1:46" x14ac:dyDescent="0.3">
      <c r="A123" s="5">
        <v>43641</v>
      </c>
      <c r="B123" s="6">
        <v>55.470001000000003</v>
      </c>
      <c r="C123" s="6">
        <v>113.68</v>
      </c>
      <c r="D123" s="6">
        <v>81.629997000000003</v>
      </c>
      <c r="F123" s="13">
        <v>120</v>
      </c>
      <c r="G123" s="5">
        <v>43641</v>
      </c>
      <c r="H123" s="15">
        <f t="shared" si="38"/>
        <v>-3.7786639312584131E-3</v>
      </c>
      <c r="I123" s="15">
        <f t="shared" si="38"/>
        <v>-2.8273516061466893E-2</v>
      </c>
      <c r="J123" s="15">
        <f t="shared" si="38"/>
        <v>1.0714986502698068E-2</v>
      </c>
      <c r="K123" s="22"/>
      <c r="L123" s="13">
        <v>120</v>
      </c>
      <c r="M123" s="5">
        <v>43641</v>
      </c>
      <c r="N123" s="26">
        <f t="shared" si="35"/>
        <v>0.98107534522328721</v>
      </c>
      <c r="O123" s="26">
        <f t="shared" si="36"/>
        <v>1.0781486897164512</v>
      </c>
      <c r="P123" s="26">
        <f t="shared" si="37"/>
        <v>1.0803334986853759</v>
      </c>
      <c r="Q123" s="22"/>
      <c r="AD123" s="59">
        <v>119</v>
      </c>
      <c r="AE123" s="61">
        <f t="shared" ca="1" si="39"/>
        <v>-0.34828311412664736</v>
      </c>
      <c r="AF123" s="61">
        <f t="shared" ca="1" si="39"/>
        <v>-1.344434877794038</v>
      </c>
      <c r="AG123" s="61">
        <f t="shared" ca="1" si="39"/>
        <v>-1.11272051430513</v>
      </c>
      <c r="AH123" s="19"/>
      <c r="AI123" s="61">
        <f ca="1"/>
        <v>-7.5522702449802989E-3</v>
      </c>
      <c r="AJ123" s="61">
        <f ca="1"/>
        <v>-3.4674105175655591E-2</v>
      </c>
      <c r="AK123" s="61">
        <f ca="1"/>
        <v>-4.3122052587448112E-2</v>
      </c>
      <c r="AL123" s="19"/>
      <c r="AM123" s="61">
        <f t="shared" ca="1" si="43"/>
        <v>-7.201053922470055E-3</v>
      </c>
      <c r="AN123" s="61">
        <f t="shared" ca="1" si="44"/>
        <v>-3.4425052578739061E-2</v>
      </c>
      <c r="AO123" s="61">
        <f t="shared" ca="1" si="45"/>
        <v>-4.2690383984193295E-2</v>
      </c>
      <c r="AP123" s="19"/>
      <c r="AQ123" s="62">
        <f t="shared" ca="1" si="40"/>
        <v>0.85700993174325368</v>
      </c>
      <c r="AR123" s="62">
        <f t="shared" ca="1" si="41"/>
        <v>0.75170942224472415</v>
      </c>
      <c r="AS123" s="62">
        <f t="shared" ca="1" si="42"/>
        <v>0.76408637672940172</v>
      </c>
      <c r="AT123" s="49"/>
    </row>
    <row r="124" spans="1:46" x14ac:dyDescent="0.3">
      <c r="A124" s="5">
        <v>43642</v>
      </c>
      <c r="B124" s="6">
        <v>55.860000999999997</v>
      </c>
      <c r="C124" s="6">
        <v>115.360001</v>
      </c>
      <c r="D124" s="6">
        <v>84.93</v>
      </c>
      <c r="F124" s="13">
        <v>121</v>
      </c>
      <c r="G124" s="5">
        <v>43642</v>
      </c>
      <c r="H124" s="15">
        <f t="shared" si="38"/>
        <v>7.0062263240223618E-3</v>
      </c>
      <c r="I124" s="15">
        <f t="shared" si="38"/>
        <v>1.4670198416309534E-2</v>
      </c>
      <c r="J124" s="15">
        <f t="shared" si="38"/>
        <v>3.96305830798485E-2</v>
      </c>
      <c r="K124" s="22"/>
      <c r="L124" s="13">
        <v>121</v>
      </c>
      <c r="M124" s="5">
        <v>43642</v>
      </c>
      <c r="N124" s="26">
        <f t="shared" si="35"/>
        <v>0.98797311659050024</v>
      </c>
      <c r="O124" s="26">
        <f t="shared" si="36"/>
        <v>1.0940819310682486</v>
      </c>
      <c r="P124" s="26">
        <f t="shared" si="37"/>
        <v>1.1240074410801337</v>
      </c>
      <c r="Q124" s="22"/>
      <c r="AD124" s="59">
        <v>120</v>
      </c>
      <c r="AE124" s="61">
        <f t="shared" ca="1" si="39"/>
        <v>-0.67023906378210285</v>
      </c>
      <c r="AF124" s="61">
        <f t="shared" ca="1" si="39"/>
        <v>-1.0217739276299105</v>
      </c>
      <c r="AG124" s="61">
        <f t="shared" ca="1" si="39"/>
        <v>0.56493400234611024</v>
      </c>
      <c r="AH124" s="19"/>
      <c r="AI124" s="61">
        <f ca="1"/>
        <v>-1.4533654757044521E-2</v>
      </c>
      <c r="AJ124" s="61">
        <f ca="1"/>
        <v>-3.270010439880161E-2</v>
      </c>
      <c r="AK124" s="61">
        <f ca="1"/>
        <v>-2.6253670841732881E-3</v>
      </c>
      <c r="AL124" s="19"/>
      <c r="AM124" s="61">
        <f t="shared" ca="1" si="43"/>
        <v>-1.4182438434534277E-2</v>
      </c>
      <c r="AN124" s="61">
        <f t="shared" ca="1" si="44"/>
        <v>-3.2451051801885081E-2</v>
      </c>
      <c r="AO124" s="61">
        <f t="shared" ca="1" si="45"/>
        <v>-2.19369848091847E-3</v>
      </c>
      <c r="AP124" s="19"/>
      <c r="AQ124" s="62">
        <f t="shared" ca="1" si="40"/>
        <v>0.84494122528421589</v>
      </c>
      <c r="AR124" s="62">
        <f t="shared" ca="1" si="41"/>
        <v>0.7277072155678187</v>
      </c>
      <c r="AS124" s="62">
        <f t="shared" ca="1" si="42"/>
        <v>0.76241203877324859</v>
      </c>
      <c r="AT124" s="49"/>
    </row>
    <row r="125" spans="1:46" x14ac:dyDescent="0.3">
      <c r="A125" s="5">
        <v>43643</v>
      </c>
      <c r="B125" s="6">
        <v>56.48</v>
      </c>
      <c r="C125" s="6">
        <v>113.099998</v>
      </c>
      <c r="D125" s="6">
        <v>83.93</v>
      </c>
      <c r="F125" s="13">
        <v>122</v>
      </c>
      <c r="G125" s="5">
        <v>43643</v>
      </c>
      <c r="H125" s="15">
        <f t="shared" si="38"/>
        <v>1.1038014766058472E-2</v>
      </c>
      <c r="I125" s="15">
        <f t="shared" si="38"/>
        <v>-1.9785316766546188E-2</v>
      </c>
      <c r="J125" s="15">
        <f t="shared" si="38"/>
        <v>-1.1844269697181716E-2</v>
      </c>
      <c r="K125" s="22"/>
      <c r="L125" s="13">
        <v>122</v>
      </c>
      <c r="M125" s="5">
        <v>43643</v>
      </c>
      <c r="N125" s="26">
        <f t="shared" si="35"/>
        <v>0.99893878671845093</v>
      </c>
      <c r="O125" s="26">
        <f t="shared" si="36"/>
        <v>1.0726479121273158</v>
      </c>
      <c r="P125" s="26">
        <f t="shared" si="37"/>
        <v>1.1107729251131004</v>
      </c>
      <c r="Q125" s="22"/>
      <c r="AD125" s="59">
        <v>121</v>
      </c>
      <c r="AE125" s="61">
        <f t="shared" ca="1" si="39"/>
        <v>0.34785990156606328</v>
      </c>
      <c r="AF125" s="61">
        <f t="shared" ca="1" si="39"/>
        <v>-0.84383557424351652</v>
      </c>
      <c r="AG125" s="61">
        <f t="shared" ca="1" si="39"/>
        <v>0.35713669327881492</v>
      </c>
      <c r="AH125" s="19"/>
      <c r="AI125" s="61">
        <f ca="1"/>
        <v>7.5430931832768744E-3</v>
      </c>
      <c r="AJ125" s="61">
        <f ca="1"/>
        <v>-1.2896804176180006E-2</v>
      </c>
      <c r="AK125" s="61">
        <f ca="1"/>
        <v>8.3469671943517364E-3</v>
      </c>
      <c r="AL125" s="19"/>
      <c r="AM125" s="61">
        <f t="shared" ca="1" si="43"/>
        <v>7.8943095057871192E-3</v>
      </c>
      <c r="AN125" s="61">
        <f t="shared" ca="1" si="44"/>
        <v>-1.2647751579263474E-2</v>
      </c>
      <c r="AO125" s="61">
        <f t="shared" ca="1" si="45"/>
        <v>8.7786357976065554E-3</v>
      </c>
      <c r="AP125" s="19"/>
      <c r="AQ125" s="62">
        <f t="shared" ca="1" si="40"/>
        <v>0.851637850669687</v>
      </c>
      <c r="AR125" s="62">
        <f t="shared" ca="1" si="41"/>
        <v>0.71856131494123987</v>
      </c>
      <c r="AS125" s="62">
        <f t="shared" ca="1" si="42"/>
        <v>0.76913443997380704</v>
      </c>
      <c r="AT125" s="49"/>
    </row>
    <row r="126" spans="1:46" x14ac:dyDescent="0.3">
      <c r="A126" s="5">
        <v>43644</v>
      </c>
      <c r="B126" s="6">
        <v>57.009998000000003</v>
      </c>
      <c r="C126" s="6">
        <v>113.589996</v>
      </c>
      <c r="D126" s="6">
        <v>85.610000999999997</v>
      </c>
      <c r="F126" s="13">
        <v>123</v>
      </c>
      <c r="G126" s="5">
        <v>43644</v>
      </c>
      <c r="H126" s="15">
        <f t="shared" si="38"/>
        <v>9.3400627769388029E-3</v>
      </c>
      <c r="I126" s="15">
        <f t="shared" si="38"/>
        <v>4.3230735903535388E-3</v>
      </c>
      <c r="J126" s="15">
        <f t="shared" si="38"/>
        <v>1.9818992340536263E-2</v>
      </c>
      <c r="K126" s="22"/>
      <c r="L126" s="13">
        <v>123</v>
      </c>
      <c r="M126" s="5">
        <v>43644</v>
      </c>
      <c r="N126" s="26">
        <f t="shared" si="35"/>
        <v>1.0083126457673746</v>
      </c>
      <c r="O126" s="26">
        <f t="shared" si="36"/>
        <v>1.0772950857872707</v>
      </c>
      <c r="P126" s="26">
        <f t="shared" si="37"/>
        <v>1.1330069251722321</v>
      </c>
      <c r="Q126" s="22"/>
      <c r="AD126" s="59">
        <v>122</v>
      </c>
      <c r="AE126" s="61">
        <f t="shared" ca="1" si="39"/>
        <v>-0.92962289545881394</v>
      </c>
      <c r="AF126" s="61">
        <f t="shared" ca="1" si="39"/>
        <v>0.56904141195066993</v>
      </c>
      <c r="AG126" s="61">
        <f t="shared" ca="1" si="39"/>
        <v>1.7163576178448416</v>
      </c>
      <c r="AH126" s="19"/>
      <c r="AI126" s="61">
        <f ca="1"/>
        <v>-2.0158207641020023E-2</v>
      </c>
      <c r="AJ126" s="61">
        <f ca="1"/>
        <v>-2.1820775437121215E-3</v>
      </c>
      <c r="AK126" s="61">
        <f ca="1"/>
        <v>3.4244770988973931E-2</v>
      </c>
      <c r="AL126" s="19"/>
      <c r="AM126" s="61">
        <f t="shared" ca="1" si="43"/>
        <v>-1.9806991318509777E-2</v>
      </c>
      <c r="AN126" s="61">
        <f t="shared" ca="1" si="44"/>
        <v>-1.9330249467955909E-3</v>
      </c>
      <c r="AO126" s="61">
        <f t="shared" ca="1" si="45"/>
        <v>3.4676439592228749E-2</v>
      </c>
      <c r="AP126" s="19"/>
      <c r="AQ126" s="62">
        <f t="shared" ca="1" si="40"/>
        <v>0.83493542559921485</v>
      </c>
      <c r="AR126" s="62">
        <f t="shared" ca="1" si="41"/>
        <v>0.7171736596119318</v>
      </c>
      <c r="AS126" s="62">
        <f t="shared" ca="1" si="42"/>
        <v>0.79627310061835821</v>
      </c>
      <c r="AT126" s="49"/>
    </row>
    <row r="127" spans="1:46" x14ac:dyDescent="0.3">
      <c r="A127" s="5">
        <v>43647</v>
      </c>
      <c r="B127" s="6">
        <v>57.029998999999997</v>
      </c>
      <c r="C127" s="6">
        <v>113.660004</v>
      </c>
      <c r="D127" s="6">
        <v>84.25</v>
      </c>
      <c r="F127" s="13">
        <v>124</v>
      </c>
      <c r="G127" s="5">
        <v>43647</v>
      </c>
      <c r="H127" s="15">
        <f t="shared" si="38"/>
        <v>3.50771671890981E-4</v>
      </c>
      <c r="I127" s="15">
        <f t="shared" si="38"/>
        <v>6.1613203269260972E-4</v>
      </c>
      <c r="J127" s="15">
        <f t="shared" si="38"/>
        <v>-1.6013541202801462E-2</v>
      </c>
      <c r="K127" s="22"/>
      <c r="L127" s="13">
        <v>124</v>
      </c>
      <c r="M127" s="5">
        <v>43647</v>
      </c>
      <c r="N127" s="26">
        <f t="shared" si="35"/>
        <v>1.008666395318953</v>
      </c>
      <c r="O127" s="26">
        <f t="shared" si="36"/>
        <v>1.0779590463209587</v>
      </c>
      <c r="P127" s="26">
        <f t="shared" si="37"/>
        <v>1.1150079702225508</v>
      </c>
      <c r="Q127" s="22"/>
      <c r="AD127" s="59">
        <v>123</v>
      </c>
      <c r="AE127" s="61">
        <f t="shared" ca="1" si="39"/>
        <v>1.5930776234290807</v>
      </c>
      <c r="AF127" s="61">
        <f t="shared" ca="1" si="39"/>
        <v>0.24705384247627302</v>
      </c>
      <c r="AG127" s="61">
        <f t="shared" ca="1" si="39"/>
        <v>-0.36478421295659458</v>
      </c>
      <c r="AH127" s="19"/>
      <c r="AI127" s="61">
        <f ca="1"/>
        <v>3.4544748928001072E-2</v>
      </c>
      <c r="AJ127" s="61">
        <f ca="1"/>
        <v>3.0305355962636924E-2</v>
      </c>
      <c r="AK127" s="61">
        <f ca="1"/>
        <v>1.593270360563135E-2</v>
      </c>
      <c r="AL127" s="19"/>
      <c r="AM127" s="61">
        <f t="shared" ca="1" si="43"/>
        <v>3.4895965250511314E-2</v>
      </c>
      <c r="AN127" s="61">
        <f t="shared" ca="1" si="44"/>
        <v>3.0554408559553454E-2</v>
      </c>
      <c r="AO127" s="61">
        <f t="shared" ca="1" si="45"/>
        <v>1.6364372208886167E-2</v>
      </c>
      <c r="AP127" s="19"/>
      <c r="AQ127" s="62">
        <f t="shared" ca="1" si="40"/>
        <v>0.86458563069708083</v>
      </c>
      <c r="AR127" s="62">
        <f t="shared" ca="1" si="41"/>
        <v>0.73942467893323782</v>
      </c>
      <c r="AS127" s="62">
        <f t="shared" ca="1" si="42"/>
        <v>0.80941081203600507</v>
      </c>
      <c r="AT127" s="49"/>
    </row>
    <row r="128" spans="1:46" x14ac:dyDescent="0.3">
      <c r="A128" s="5">
        <v>43648</v>
      </c>
      <c r="B128" s="6">
        <v>58.119999</v>
      </c>
      <c r="C128" s="6">
        <v>110.269997</v>
      </c>
      <c r="D128" s="6">
        <v>80.699996999999996</v>
      </c>
      <c r="F128" s="13">
        <v>125</v>
      </c>
      <c r="G128" s="5">
        <v>43648</v>
      </c>
      <c r="H128" s="15">
        <f t="shared" si="38"/>
        <v>1.8932393862484558E-2</v>
      </c>
      <c r="I128" s="15">
        <f t="shared" si="38"/>
        <v>-3.0279694497017021E-2</v>
      </c>
      <c r="J128" s="15">
        <f t="shared" si="38"/>
        <v>-4.305003113128994E-2</v>
      </c>
      <c r="K128" s="22"/>
      <c r="L128" s="13">
        <v>125</v>
      </c>
      <c r="M128" s="5">
        <v>43648</v>
      </c>
      <c r="N128" s="26">
        <f t="shared" si="35"/>
        <v>1.0279447819606513</v>
      </c>
      <c r="O128" s="26">
        <f t="shared" si="36"/>
        <v>1.0458079941993932</v>
      </c>
      <c r="P128" s="26">
        <f t="shared" si="37"/>
        <v>1.0680253988360349</v>
      </c>
      <c r="Q128" s="22"/>
      <c r="AD128" s="59">
        <v>124</v>
      </c>
      <c r="AE128" s="61">
        <f t="shared" ca="1" si="39"/>
        <v>0.75190889145639406</v>
      </c>
      <c r="AF128" s="61">
        <f t="shared" ca="1" si="39"/>
        <v>-0.90387733304311013</v>
      </c>
      <c r="AG128" s="61">
        <f t="shared" ca="1" si="39"/>
        <v>0.17810383888714748</v>
      </c>
      <c r="AH128" s="19"/>
      <c r="AI128" s="61">
        <f ca="1"/>
        <v>1.6304606561595492E-2</v>
      </c>
      <c r="AJ128" s="61">
        <f ca="1"/>
        <v>-7.877561577756681E-3</v>
      </c>
      <c r="AK128" s="61">
        <f ca="1"/>
        <v>9.3073562345781166E-3</v>
      </c>
      <c r="AL128" s="19"/>
      <c r="AM128" s="61">
        <f t="shared" ca="1" si="43"/>
        <v>1.6655822884105737E-2</v>
      </c>
      <c r="AN128" s="61">
        <f t="shared" ca="1" si="44"/>
        <v>-7.6285089808401504E-3</v>
      </c>
      <c r="AO128" s="61">
        <f t="shared" ca="1" si="45"/>
        <v>9.7390248378329356E-3</v>
      </c>
      <c r="AP128" s="19"/>
      <c r="AQ128" s="62">
        <f t="shared" ca="1" si="40"/>
        <v>0.8791066095611817</v>
      </c>
      <c r="AR128" s="62">
        <f t="shared" ca="1" si="41"/>
        <v>0.7338054316192244</v>
      </c>
      <c r="AS128" s="62">
        <f t="shared" ca="1" si="42"/>
        <v>0.81733219469877672</v>
      </c>
      <c r="AT128" s="49"/>
    </row>
    <row r="129" spans="1:46" x14ac:dyDescent="0.3">
      <c r="A129" s="5">
        <v>43649</v>
      </c>
      <c r="B129" s="6">
        <v>58</v>
      </c>
      <c r="C129" s="6">
        <v>110.489998</v>
      </c>
      <c r="D129" s="6">
        <v>81.980002999999996</v>
      </c>
      <c r="F129" s="13">
        <v>126</v>
      </c>
      <c r="G129" s="5">
        <v>43649</v>
      </c>
      <c r="H129" s="15">
        <f t="shared" si="38"/>
        <v>-2.0668109498814735E-3</v>
      </c>
      <c r="I129" s="15">
        <f t="shared" si="38"/>
        <v>1.9931244592601245E-3</v>
      </c>
      <c r="J129" s="15">
        <f t="shared" si="38"/>
        <v>1.5736813569300966E-2</v>
      </c>
      <c r="K129" s="22"/>
      <c r="L129" s="13">
        <v>126</v>
      </c>
      <c r="M129" s="5">
        <v>43649</v>
      </c>
      <c r="N129" s="26">
        <f t="shared" si="35"/>
        <v>1.0258224084573329</v>
      </c>
      <c r="O129" s="26">
        <f t="shared" si="36"/>
        <v>1.0478944983328053</v>
      </c>
      <c r="P129" s="26">
        <f t="shared" si="37"/>
        <v>1.0849656586809333</v>
      </c>
      <c r="Q129" s="22"/>
      <c r="AD129" s="59">
        <v>125</v>
      </c>
      <c r="AE129" s="61">
        <f t="shared" ca="1" si="39"/>
        <v>1.6677647735814725</v>
      </c>
      <c r="AF129" s="61">
        <f t="shared" ca="1" si="39"/>
        <v>-0.10136917389480241</v>
      </c>
      <c r="AG129" s="61">
        <f t="shared" ca="1" si="39"/>
        <v>0.66389625460545598</v>
      </c>
      <c r="AH129" s="19"/>
      <c r="AI129" s="61">
        <f ca="1"/>
        <v>3.6164286364355723E-2</v>
      </c>
      <c r="AJ129" s="61">
        <f ca="1"/>
        <v>2.3901055654598744E-2</v>
      </c>
      <c r="AK129" s="61">
        <f ca="1"/>
        <v>4.0937239043087839E-2</v>
      </c>
      <c r="AL129" s="19"/>
      <c r="AM129" s="61">
        <f t="shared" ca="1" si="43"/>
        <v>3.6515502686865965E-2</v>
      </c>
      <c r="AN129" s="61">
        <f t="shared" ca="1" si="44"/>
        <v>2.4150108251515274E-2</v>
      </c>
      <c r="AO129" s="61">
        <f t="shared" ca="1" si="45"/>
        <v>4.1368907646342656E-2</v>
      </c>
      <c r="AP129" s="19"/>
      <c r="AQ129" s="62">
        <f t="shared" ca="1" si="40"/>
        <v>0.91180092118361988</v>
      </c>
      <c r="AR129" s="62">
        <f t="shared" ca="1" si="41"/>
        <v>0.75174263312647627</v>
      </c>
      <c r="AS129" s="62">
        <f t="shared" ca="1" si="42"/>
        <v>0.85185346527547567</v>
      </c>
      <c r="AT129" s="49"/>
    </row>
    <row r="130" spans="1:46" x14ac:dyDescent="0.3">
      <c r="A130" s="5">
        <v>43651</v>
      </c>
      <c r="B130" s="6">
        <v>57.91</v>
      </c>
      <c r="C130" s="6">
        <v>110.989998</v>
      </c>
      <c r="D130" s="6">
        <v>81.839995999999999</v>
      </c>
      <c r="F130" s="13">
        <v>127</v>
      </c>
      <c r="G130" s="5">
        <v>43651</v>
      </c>
      <c r="H130" s="15">
        <f t="shared" si="38"/>
        <v>-1.5529293087210138E-3</v>
      </c>
      <c r="I130" s="15">
        <f t="shared" si="38"/>
        <v>4.5150881203486681E-3</v>
      </c>
      <c r="J130" s="15">
        <f t="shared" si="38"/>
        <v>-1.7092789029675751E-3</v>
      </c>
      <c r="K130" s="22"/>
      <c r="L130" s="13">
        <v>127</v>
      </c>
      <c r="M130" s="5">
        <v>43651</v>
      </c>
      <c r="N130" s="26">
        <f t="shared" si="35"/>
        <v>1.024230615064899</v>
      </c>
      <c r="O130" s="26">
        <f t="shared" si="36"/>
        <v>1.052636531626773</v>
      </c>
      <c r="P130" s="26">
        <f t="shared" si="37"/>
        <v>1.083112733803937</v>
      </c>
      <c r="Q130" s="22"/>
      <c r="AD130" s="59">
        <v>126</v>
      </c>
      <c r="AE130" s="61">
        <f t="shared" ca="1" si="39"/>
        <v>1.8968556369429688</v>
      </c>
      <c r="AF130" s="61">
        <f t="shared" ca="1" si="39"/>
        <v>2.8824355245218546E-2</v>
      </c>
      <c r="AG130" s="61">
        <f t="shared" ca="1" si="39"/>
        <v>0.81654062379465719</v>
      </c>
      <c r="AH130" s="19"/>
      <c r="AI130" s="61">
        <f ca="1"/>
        <v>4.1131957895318122E-2</v>
      </c>
      <c r="AJ130" s="61">
        <f ca="1"/>
        <v>3.0316752104229579E-2</v>
      </c>
      <c r="AK130" s="61">
        <f ca="1"/>
        <v>4.9149806342327733E-2</v>
      </c>
      <c r="AL130" s="19"/>
      <c r="AM130" s="61">
        <f t="shared" ca="1" si="43"/>
        <v>4.1483174217828364E-2</v>
      </c>
      <c r="AN130" s="61">
        <f t="shared" ca="1" si="44"/>
        <v>3.0565804701146108E-2</v>
      </c>
      <c r="AO130" s="61">
        <f t="shared" ca="1" si="45"/>
        <v>4.958147494558255E-2</v>
      </c>
      <c r="AP130" s="19"/>
      <c r="AQ130" s="62">
        <f t="shared" ca="1" si="40"/>
        <v>0.95042081748507345</v>
      </c>
      <c r="AR130" s="62">
        <f t="shared" ca="1" si="41"/>
        <v>0.77507502172145359</v>
      </c>
      <c r="AS130" s="62">
        <f t="shared" ca="1" si="42"/>
        <v>0.89515420352013897</v>
      </c>
      <c r="AT130" s="49"/>
    </row>
    <row r="131" spans="1:46" x14ac:dyDescent="0.3">
      <c r="A131" s="5">
        <v>43654</v>
      </c>
      <c r="B131" s="6">
        <v>57.349997999999999</v>
      </c>
      <c r="C131" s="6">
        <v>111.339996</v>
      </c>
      <c r="D131" s="6">
        <v>81.360000999999997</v>
      </c>
      <c r="F131" s="13">
        <v>128</v>
      </c>
      <c r="G131" s="5">
        <v>43654</v>
      </c>
      <c r="H131" s="15">
        <f t="shared" si="38"/>
        <v>-9.7172725359025002E-3</v>
      </c>
      <c r="I131" s="15">
        <f t="shared" si="38"/>
        <v>3.1484576851219448E-3</v>
      </c>
      <c r="J131" s="15">
        <f t="shared" si="38"/>
        <v>-5.882308736158014E-3</v>
      </c>
      <c r="K131" s="22"/>
      <c r="L131" s="13">
        <v>128</v>
      </c>
      <c r="M131" s="5">
        <v>43654</v>
      </c>
      <c r="N131" s="26">
        <f t="shared" si="35"/>
        <v>1.0143260874721245</v>
      </c>
      <c r="O131" s="26">
        <f t="shared" si="36"/>
        <v>1.0559559359644168</v>
      </c>
      <c r="P131" s="26">
        <f t="shared" si="37"/>
        <v>1.0767602323123409</v>
      </c>
      <c r="Q131" s="22"/>
      <c r="AD131" s="59">
        <v>127</v>
      </c>
      <c r="AE131" s="61">
        <f t="shared" ca="1" si="39"/>
        <v>-2.2151989668313057</v>
      </c>
      <c r="AF131" s="61">
        <f t="shared" ca="1" si="39"/>
        <v>-3.7634128506542922E-2</v>
      </c>
      <c r="AG131" s="61">
        <f t="shared" ca="1" si="39"/>
        <v>-1.4853507873855336</v>
      </c>
      <c r="AH131" s="19"/>
      <c r="AI131" s="61">
        <f ca="1"/>
        <v>-4.803500533140307E-2</v>
      </c>
      <c r="AJ131" s="61">
        <f ca="1"/>
        <v>-3.5491058864328254E-2</v>
      </c>
      <c r="AK131" s="61">
        <f ca="1"/>
        <v>-7.1050431726281185E-2</v>
      </c>
      <c r="AL131" s="19"/>
      <c r="AM131" s="61">
        <f t="shared" ca="1" si="43"/>
        <v>-4.7683789008892828E-2</v>
      </c>
      <c r="AN131" s="61">
        <f t="shared" ca="1" si="44"/>
        <v>-3.5242006267411724E-2</v>
      </c>
      <c r="AO131" s="61">
        <f t="shared" ca="1" si="45"/>
        <v>-7.0618763123026368E-2</v>
      </c>
      <c r="AP131" s="19"/>
      <c r="AQ131" s="62">
        <f t="shared" ca="1" si="40"/>
        <v>0.90616468702198283</v>
      </c>
      <c r="AR131" s="62">
        <f t="shared" ca="1" si="41"/>
        <v>0.74823553937742149</v>
      </c>
      <c r="AS131" s="62">
        <f t="shared" ca="1" si="42"/>
        <v>0.83411996483880824</v>
      </c>
      <c r="AT131" s="49"/>
    </row>
    <row r="132" spans="1:46" x14ac:dyDescent="0.3">
      <c r="A132" s="5">
        <v>43655</v>
      </c>
      <c r="B132" s="6">
        <v>57.439999</v>
      </c>
      <c r="C132" s="6">
        <v>110.589996</v>
      </c>
      <c r="D132" s="6">
        <v>82.239998</v>
      </c>
      <c r="F132" s="13">
        <v>129</v>
      </c>
      <c r="G132" s="5">
        <v>43655</v>
      </c>
      <c r="H132" s="15">
        <f t="shared" si="38"/>
        <v>1.5680986287019934E-3</v>
      </c>
      <c r="I132" s="15">
        <f t="shared" si="38"/>
        <v>-6.7589139117362022E-3</v>
      </c>
      <c r="J132" s="15">
        <f t="shared" si="38"/>
        <v>1.0758013356432106E-2</v>
      </c>
      <c r="K132" s="22"/>
      <c r="L132" s="13">
        <v>129</v>
      </c>
      <c r="M132" s="5">
        <v>43655</v>
      </c>
      <c r="N132" s="26">
        <f t="shared" ref="N132:N195" si="46">B132/B$3</f>
        <v>1.0159178985511514</v>
      </c>
      <c r="O132" s="26">
        <f t="shared" ref="O132:O195" si="47">C132/C$3</f>
        <v>1.0488428860234658</v>
      </c>
      <c r="P132" s="26">
        <f t="shared" ref="P132:P195" si="48">D132/D$3</f>
        <v>1.0884065666597822</v>
      </c>
      <c r="Q132" s="22"/>
      <c r="AD132" s="59">
        <v>128</v>
      </c>
      <c r="AE132" s="61">
        <f t="shared" ca="1" si="39"/>
        <v>0.50677659629249872</v>
      </c>
      <c r="AF132" s="61">
        <f t="shared" ca="1" si="39"/>
        <v>-1.7901198846569095</v>
      </c>
      <c r="AG132" s="61">
        <f t="shared" ca="1" si="39"/>
        <v>0.64370959071803691</v>
      </c>
      <c r="AH132" s="19"/>
      <c r="AI132" s="61">
        <f ca="1"/>
        <v>1.0989088054497217E-2</v>
      </c>
      <c r="AJ132" s="61">
        <f ca="1"/>
        <v>-3.0977838806850712E-2</v>
      </c>
      <c r="AK132" s="61">
        <f ca="1"/>
        <v>1.1372862855839935E-2</v>
      </c>
      <c r="AL132" s="19"/>
      <c r="AM132" s="61">
        <f t="shared" ca="1" si="43"/>
        <v>1.1340304377007461E-2</v>
      </c>
      <c r="AN132" s="61">
        <f t="shared" ca="1" si="44"/>
        <v>-3.0728786209934182E-2</v>
      </c>
      <c r="AO132" s="61">
        <f t="shared" ca="1" si="45"/>
        <v>1.1804531459094754E-2</v>
      </c>
      <c r="AP132" s="19"/>
      <c r="AQ132" s="62">
        <f t="shared" ca="1" si="40"/>
        <v>0.91649935879512878</v>
      </c>
      <c r="AR132" s="62">
        <f t="shared" ca="1" si="41"/>
        <v>0.72559284243484157</v>
      </c>
      <c r="AS132" s="62">
        <f t="shared" ca="1" si="42"/>
        <v>0.8440247056003356</v>
      </c>
      <c r="AT132" s="49"/>
    </row>
    <row r="133" spans="1:46" x14ac:dyDescent="0.3">
      <c r="A133" s="5">
        <v>43656</v>
      </c>
      <c r="B133" s="6">
        <v>57.279998999999997</v>
      </c>
      <c r="C133" s="6">
        <v>109.55999799999999</v>
      </c>
      <c r="D133" s="6">
        <v>83.400002000000001</v>
      </c>
      <c r="F133" s="13">
        <v>130</v>
      </c>
      <c r="G133" s="5">
        <v>43656</v>
      </c>
      <c r="H133" s="15">
        <f t="shared" ref="H133:J196" si="49">LN(B133/B132)</f>
        <v>-2.7894021362084151E-3</v>
      </c>
      <c r="I133" s="15">
        <f t="shared" si="49"/>
        <v>-9.3573067775927377E-3</v>
      </c>
      <c r="J133" s="15">
        <f t="shared" si="49"/>
        <v>1.400655595772757E-2</v>
      </c>
      <c r="K133" s="22"/>
      <c r="L133" s="13">
        <v>130</v>
      </c>
      <c r="M133" s="5">
        <v>43656</v>
      </c>
      <c r="N133" s="26">
        <f t="shared" si="46"/>
        <v>1.013088043631269</v>
      </c>
      <c r="O133" s="26">
        <f t="shared" si="47"/>
        <v>1.0390743164060257</v>
      </c>
      <c r="P133" s="26">
        <f t="shared" si="48"/>
        <v>1.1037586581196046</v>
      </c>
      <c r="Q133" s="22"/>
      <c r="AD133" s="59">
        <v>129</v>
      </c>
      <c r="AE133" s="61">
        <f t="shared" ref="AE133:AG196" ca="1" si="50">_xlfn.NORM.S.INV(RAND())</f>
        <v>6.2599455401718657E-2</v>
      </c>
      <c r="AF133" s="61">
        <f t="shared" ca="1" si="50"/>
        <v>-1.8592043506027769</v>
      </c>
      <c r="AG133" s="61">
        <f t="shared" ca="1" si="50"/>
        <v>-1.0036838016706977</v>
      </c>
      <c r="AH133" s="19"/>
      <c r="AI133" s="61">
        <f ca="1"/>
        <v>1.3574244205547584E-3</v>
      </c>
      <c r="AJ133" s="61">
        <f ca="1"/>
        <v>-3.943187068002374E-2</v>
      </c>
      <c r="AK133" s="61">
        <f ca="1"/>
        <v>-3.7882766346670302E-2</v>
      </c>
      <c r="AL133" s="19"/>
      <c r="AM133" s="61">
        <f t="shared" ca="1" si="43"/>
        <v>1.7086407430650027E-3</v>
      </c>
      <c r="AN133" s="61">
        <f t="shared" ca="1" si="44"/>
        <v>-3.918281808310721E-2</v>
      </c>
      <c r="AO133" s="61">
        <f t="shared" ca="1" si="45"/>
        <v>-3.7451097743415485E-2</v>
      </c>
      <c r="AP133" s="19"/>
      <c r="AQ133" s="62">
        <f t="shared" ca="1" si="40"/>
        <v>0.9180666655413342</v>
      </c>
      <c r="AR133" s="62">
        <f t="shared" ca="1" si="41"/>
        <v>0.69771186475722968</v>
      </c>
      <c r="AS133" s="62">
        <f t="shared" ca="1" si="42"/>
        <v>0.81299964139766967</v>
      </c>
      <c r="AT133" s="49"/>
    </row>
    <row r="134" spans="1:46" x14ac:dyDescent="0.3">
      <c r="A134" s="5">
        <v>43657</v>
      </c>
      <c r="B134" s="6">
        <v>57.279998999999997</v>
      </c>
      <c r="C134" s="6">
        <v>111.110001</v>
      </c>
      <c r="D134" s="6">
        <v>84.43</v>
      </c>
      <c r="F134" s="13">
        <v>131</v>
      </c>
      <c r="G134" s="5">
        <v>43657</v>
      </c>
      <c r="H134" s="15">
        <f t="shared" si="49"/>
        <v>0</v>
      </c>
      <c r="I134" s="15">
        <f t="shared" si="49"/>
        <v>1.4048384455967667E-2</v>
      </c>
      <c r="J134" s="15">
        <f t="shared" si="49"/>
        <v>1.2274455335892496E-2</v>
      </c>
      <c r="K134" s="22"/>
      <c r="L134" s="13">
        <v>131</v>
      </c>
      <c r="M134" s="5">
        <v>43657</v>
      </c>
      <c r="N134" s="26">
        <f t="shared" si="46"/>
        <v>1.013088043631269</v>
      </c>
      <c r="O134" s="26">
        <f t="shared" si="47"/>
        <v>1.0537746480695247</v>
      </c>
      <c r="P134" s="26">
        <f t="shared" si="48"/>
        <v>1.1173901830966171</v>
      </c>
      <c r="Q134" s="22"/>
      <c r="AD134" s="59">
        <v>130</v>
      </c>
      <c r="AE134" s="61">
        <f t="shared" ca="1" si="50"/>
        <v>-0.32506564144705619</v>
      </c>
      <c r="AF134" s="61">
        <f t="shared" ca="1" si="50"/>
        <v>-0.53045324922750248</v>
      </c>
      <c r="AG134" s="61">
        <f t="shared" ca="1" si="50"/>
        <v>1.3917431370187006</v>
      </c>
      <c r="AH134" s="19"/>
      <c r="AI134" s="61">
        <f ca="1"/>
        <v>-7.0488159545780424E-3</v>
      </c>
      <c r="AJ134" s="61">
        <f ca="1"/>
        <v>-1.6617978433114751E-2</v>
      </c>
      <c r="AK134" s="61">
        <f ca="1"/>
        <v>2.711767819098199E-2</v>
      </c>
      <c r="AL134" s="19"/>
      <c r="AM134" s="61">
        <f t="shared" ca="1" si="43"/>
        <v>-6.6975996320677985E-3</v>
      </c>
      <c r="AN134" s="61">
        <f t="shared" ca="1" si="44"/>
        <v>-1.6368925836198221E-2</v>
      </c>
      <c r="AO134" s="61">
        <f t="shared" ca="1" si="45"/>
        <v>2.7549346794236807E-2</v>
      </c>
      <c r="AP134" s="19"/>
      <c r="AQ134" s="62">
        <f t="shared" ref="AQ134:AQ197" ca="1" si="51">AQ133*EXP(AM134)</f>
        <v>0.91193836793040239</v>
      </c>
      <c r="AR134" s="62">
        <f t="shared" ref="AR134:AR197" ca="1" si="52">AR133*EXP(AN134)</f>
        <v>0.68638403611350052</v>
      </c>
      <c r="AS134" s="62">
        <f t="shared" ref="AS134:AS197" ca="1" si="53">AS133*EXP(AO134)</f>
        <v>0.83570862300541249</v>
      </c>
      <c r="AT134" s="49"/>
    </row>
    <row r="135" spans="1:46" x14ac:dyDescent="0.3">
      <c r="A135" s="5">
        <v>43658</v>
      </c>
      <c r="B135" s="6">
        <v>58.59</v>
      </c>
      <c r="C135" s="6">
        <v>112.470001</v>
      </c>
      <c r="D135" s="6">
        <v>84.75</v>
      </c>
      <c r="F135" s="13">
        <v>132</v>
      </c>
      <c r="G135" s="5">
        <v>43658</v>
      </c>
      <c r="H135" s="15">
        <f t="shared" si="49"/>
        <v>2.261252836240794E-2</v>
      </c>
      <c r="I135" s="15">
        <f t="shared" si="49"/>
        <v>1.2165817711182844E-2</v>
      </c>
      <c r="J135" s="15">
        <f t="shared" si="49"/>
        <v>3.7829575791509169E-3</v>
      </c>
      <c r="K135" s="22"/>
      <c r="L135" s="13">
        <v>132</v>
      </c>
      <c r="M135" s="5">
        <v>43658</v>
      </c>
      <c r="N135" s="26">
        <f t="shared" si="46"/>
        <v>1.0362574984743989</v>
      </c>
      <c r="O135" s="26">
        <f t="shared" si="47"/>
        <v>1.0666729786291165</v>
      </c>
      <c r="P135" s="26">
        <f t="shared" si="48"/>
        <v>1.1216252282060675</v>
      </c>
      <c r="Q135" s="22"/>
      <c r="AD135" s="59">
        <v>131</v>
      </c>
      <c r="AE135" s="61">
        <f t="shared" ca="1" si="50"/>
        <v>-1.539996712810267</v>
      </c>
      <c r="AF135" s="61">
        <f t="shared" ca="1" si="50"/>
        <v>2.6673468850641067</v>
      </c>
      <c r="AG135" s="61">
        <f t="shared" ca="1" si="50"/>
        <v>-3.1606663292716277</v>
      </c>
      <c r="AH135" s="19"/>
      <c r="AI135" s="61">
        <f ca="1"/>
        <v>-3.3393727343597898E-2</v>
      </c>
      <c r="AJ135" s="61">
        <f ca="1"/>
        <v>3.3872949930294258E-2</v>
      </c>
      <c r="AK135" s="61">
        <f ca="1"/>
        <v>-8.49457362756941E-2</v>
      </c>
      <c r="AL135" s="19"/>
      <c r="AM135" s="61">
        <f t="shared" ref="AM135:AM198" ca="1" si="54">AI135+T$3</f>
        <v>-3.3042511021087656E-2</v>
      </c>
      <c r="AN135" s="61">
        <f t="shared" ref="AN135:AN198" ca="1" si="55">AJ135+U$3</f>
        <v>3.4122002527210787E-2</v>
      </c>
      <c r="AO135" s="61">
        <f t="shared" ref="AO135:AO198" ca="1" si="56">AK135+V$3</f>
        <v>-8.4514067672439283E-2</v>
      </c>
      <c r="AP135" s="19"/>
      <c r="AQ135" s="62">
        <f t="shared" ca="1" si="51"/>
        <v>0.88229802675408331</v>
      </c>
      <c r="AR135" s="62">
        <f t="shared" ca="1" si="52"/>
        <v>0.71020900007442167</v>
      </c>
      <c r="AS135" s="62">
        <f t="shared" ca="1" si="53"/>
        <v>0.76798173290452676</v>
      </c>
      <c r="AT135" s="49"/>
    </row>
    <row r="136" spans="1:46" x14ac:dyDescent="0.3">
      <c r="A136" s="5">
        <v>43661</v>
      </c>
      <c r="B136" s="6">
        <v>58.77</v>
      </c>
      <c r="C136" s="6">
        <v>112.57</v>
      </c>
      <c r="D136" s="6">
        <v>84.32</v>
      </c>
      <c r="F136" s="13">
        <v>133</v>
      </c>
      <c r="G136" s="5">
        <v>43661</v>
      </c>
      <c r="H136" s="15">
        <f t="shared" si="49"/>
        <v>3.0674870678618796E-3</v>
      </c>
      <c r="I136" s="15">
        <f t="shared" si="49"/>
        <v>8.8872205952243157E-4</v>
      </c>
      <c r="J136" s="15">
        <f t="shared" si="49"/>
        <v>-5.0866614675075042E-3</v>
      </c>
      <c r="K136" s="22"/>
      <c r="L136" s="13">
        <v>133</v>
      </c>
      <c r="M136" s="5">
        <v>43661</v>
      </c>
      <c r="N136" s="26">
        <f t="shared" si="46"/>
        <v>1.0394410852592664</v>
      </c>
      <c r="O136" s="26">
        <f t="shared" si="47"/>
        <v>1.0676213758038433</v>
      </c>
      <c r="P136" s="26">
        <f t="shared" si="48"/>
        <v>1.1159343863402431</v>
      </c>
      <c r="Q136" s="22"/>
      <c r="AD136" s="59">
        <v>132</v>
      </c>
      <c r="AE136" s="61">
        <f t="shared" ca="1" si="50"/>
        <v>-1.7204520407997728</v>
      </c>
      <c r="AF136" s="61">
        <f t="shared" ca="1" si="50"/>
        <v>-1.1504901190327756</v>
      </c>
      <c r="AG136" s="61">
        <f t="shared" ca="1" si="50"/>
        <v>-0.25770479607629149</v>
      </c>
      <c r="AH136" s="19"/>
      <c r="AI136" s="61">
        <f ca="1"/>
        <v>-3.7306772073144354E-2</v>
      </c>
      <c r="AJ136" s="61">
        <f ca="1"/>
        <v>-5.1936170204188212E-2</v>
      </c>
      <c r="AK136" s="61">
        <f ca="1"/>
        <v>-4.0125285100686928E-2</v>
      </c>
      <c r="AL136" s="19"/>
      <c r="AM136" s="61">
        <f t="shared" ca="1" si="54"/>
        <v>-3.6955555750634111E-2</v>
      </c>
      <c r="AN136" s="61">
        <f t="shared" ca="1" si="55"/>
        <v>-5.1687117607271682E-2</v>
      </c>
      <c r="AO136" s="61">
        <f t="shared" ca="1" si="56"/>
        <v>-3.969361649743211E-2</v>
      </c>
      <c r="AP136" s="19"/>
      <c r="AQ136" s="62">
        <f t="shared" ca="1" si="51"/>
        <v>0.8502873421913697</v>
      </c>
      <c r="AR136" s="62">
        <f t="shared" ca="1" si="52"/>
        <v>0.67443289043027166</v>
      </c>
      <c r="AS136" s="62">
        <f t="shared" ca="1" si="53"/>
        <v>0.73809484388080737</v>
      </c>
      <c r="AT136" s="49"/>
    </row>
    <row r="137" spans="1:46" x14ac:dyDescent="0.3">
      <c r="A137" s="5">
        <v>43662</v>
      </c>
      <c r="B137" s="6">
        <v>59.07</v>
      </c>
      <c r="C137" s="6">
        <v>115.199997</v>
      </c>
      <c r="D137" s="6">
        <v>84.209998999999996</v>
      </c>
      <c r="F137" s="13">
        <v>134</v>
      </c>
      <c r="G137" s="5">
        <v>43662</v>
      </c>
      <c r="H137" s="15">
        <f t="shared" si="49"/>
        <v>5.0916606945846654E-3</v>
      </c>
      <c r="I137" s="15">
        <f t="shared" si="49"/>
        <v>2.3094471853411163E-2</v>
      </c>
      <c r="J137" s="15">
        <f t="shared" si="49"/>
        <v>-1.3054176262255904E-3</v>
      </c>
      <c r="K137" s="22"/>
      <c r="L137" s="13">
        <v>134</v>
      </c>
      <c r="M137" s="5">
        <v>43662</v>
      </c>
      <c r="N137" s="26">
        <f t="shared" si="46"/>
        <v>1.0447470632340456</v>
      </c>
      <c r="O137" s="26">
        <f t="shared" si="47"/>
        <v>1.0925644424779126</v>
      </c>
      <c r="P137" s="26">
        <f t="shared" si="48"/>
        <v>1.1144785763493537</v>
      </c>
      <c r="Q137" s="22"/>
      <c r="AD137" s="59">
        <v>133</v>
      </c>
      <c r="AE137" s="61">
        <f t="shared" ca="1" si="50"/>
        <v>-5.8370663976013724E-2</v>
      </c>
      <c r="AF137" s="61">
        <f t="shared" ca="1" si="50"/>
        <v>1.4817430539273984</v>
      </c>
      <c r="AG137" s="61">
        <f t="shared" ca="1" si="50"/>
        <v>-0.41305730558111342</v>
      </c>
      <c r="AH137" s="19"/>
      <c r="AI137" s="61">
        <f ca="1"/>
        <v>-1.2657261028322234E-3</v>
      </c>
      <c r="AJ137" s="61">
        <f ca="1"/>
        <v>3.1293555759929446E-2</v>
      </c>
      <c r="AK137" s="61">
        <f ca="1"/>
        <v>-1.0098508648319956E-3</v>
      </c>
      <c r="AL137" s="19"/>
      <c r="AM137" s="61">
        <f t="shared" ca="1" si="54"/>
        <v>-9.1450978032197921E-4</v>
      </c>
      <c r="AN137" s="61">
        <f t="shared" ca="1" si="55"/>
        <v>3.1542608356845976E-2</v>
      </c>
      <c r="AO137" s="61">
        <f t="shared" ca="1" si="56"/>
        <v>-5.7818226157717735E-4</v>
      </c>
      <c r="AP137" s="19"/>
      <c r="AQ137" s="62">
        <f t="shared" ca="1" si="51"/>
        <v>0.84951010155210382</v>
      </c>
      <c r="AR137" s="62">
        <f t="shared" ca="1" si="52"/>
        <v>0.69604532738686165</v>
      </c>
      <c r="AS137" s="62">
        <f t="shared" ca="1" si="53"/>
        <v>0.7376682138815478</v>
      </c>
      <c r="AT137" s="49"/>
    </row>
    <row r="138" spans="1:46" x14ac:dyDescent="0.3">
      <c r="A138" s="5">
        <v>43663</v>
      </c>
      <c r="B138" s="6">
        <v>58.259998000000003</v>
      </c>
      <c r="C138" s="6">
        <v>110.800003</v>
      </c>
      <c r="D138" s="6">
        <v>83.239998</v>
      </c>
      <c r="F138" s="13">
        <v>135</v>
      </c>
      <c r="G138" s="5">
        <v>43663</v>
      </c>
      <c r="H138" s="15">
        <f t="shared" si="49"/>
        <v>-1.380746411672649E-2</v>
      </c>
      <c r="I138" s="15">
        <f t="shared" si="49"/>
        <v>-3.8942920831128436E-2</v>
      </c>
      <c r="J138" s="15">
        <f t="shared" si="49"/>
        <v>-1.1585689668303195E-2</v>
      </c>
      <c r="K138" s="22"/>
      <c r="L138" s="13">
        <v>135</v>
      </c>
      <c r="M138" s="5">
        <v>43663</v>
      </c>
      <c r="N138" s="26">
        <f t="shared" si="46"/>
        <v>1.0304208873289551</v>
      </c>
      <c r="O138" s="26">
        <f t="shared" si="47"/>
        <v>1.0508346063953982</v>
      </c>
      <c r="P138" s="26">
        <f t="shared" si="48"/>
        <v>1.1016410826268155</v>
      </c>
      <c r="Q138" s="22"/>
      <c r="AD138" s="59">
        <v>134</v>
      </c>
      <c r="AE138" s="61">
        <f t="shared" ca="1" si="50"/>
        <v>0.34982470350294997</v>
      </c>
      <c r="AF138" s="61">
        <f t="shared" ca="1" si="50"/>
        <v>2.1654334263063202</v>
      </c>
      <c r="AG138" s="61">
        <f t="shared" ca="1" si="50"/>
        <v>-0.33548059806671637</v>
      </c>
      <c r="AH138" s="19"/>
      <c r="AI138" s="61">
        <f ca="1"/>
        <v>7.5856985080926887E-3</v>
      </c>
      <c r="AJ138" s="61">
        <f ca="1"/>
        <v>5.254347356358819E-2</v>
      </c>
      <c r="AK138" s="61">
        <f ca="1"/>
        <v>1.1823832916954284E-2</v>
      </c>
      <c r="AL138" s="19"/>
      <c r="AM138" s="61">
        <f t="shared" ca="1" si="54"/>
        <v>7.9369148306029334E-3</v>
      </c>
      <c r="AN138" s="61">
        <f t="shared" ca="1" si="55"/>
        <v>5.279252616050472E-2</v>
      </c>
      <c r="AO138" s="61">
        <f t="shared" ca="1" si="56"/>
        <v>1.2255501520209103E-2</v>
      </c>
      <c r="AP138" s="19"/>
      <c r="AQ138" s="62">
        <f t="shared" ca="1" si="51"/>
        <v>0.85627941908839</v>
      </c>
      <c r="AR138" s="62">
        <f t="shared" ca="1" si="52"/>
        <v>0.73377857189187856</v>
      </c>
      <c r="AS138" s="62">
        <f t="shared" ca="1" si="53"/>
        <v>0.74676433269639586</v>
      </c>
      <c r="AT138" s="49"/>
    </row>
    <row r="139" spans="1:46" x14ac:dyDescent="0.3">
      <c r="A139" s="5">
        <v>43664</v>
      </c>
      <c r="B139" s="6">
        <v>58.16</v>
      </c>
      <c r="C139" s="6">
        <v>109.389999</v>
      </c>
      <c r="D139" s="6">
        <v>83.349997999999999</v>
      </c>
      <c r="F139" s="13">
        <v>136</v>
      </c>
      <c r="G139" s="5">
        <v>43664</v>
      </c>
      <c r="H139" s="15">
        <f t="shared" si="49"/>
        <v>-1.7178839771535453E-3</v>
      </c>
      <c r="I139" s="15">
        <f t="shared" si="49"/>
        <v>-1.280733239889939E-2</v>
      </c>
      <c r="J139" s="15">
        <f t="shared" si="49"/>
        <v>1.3206077030785285E-3</v>
      </c>
      <c r="K139" s="22"/>
      <c r="L139" s="13">
        <v>136</v>
      </c>
      <c r="M139" s="5">
        <v>43664</v>
      </c>
      <c r="N139" s="26">
        <f t="shared" si="46"/>
        <v>1.028652263377215</v>
      </c>
      <c r="O139" s="26">
        <f t="shared" si="47"/>
        <v>1.0374620345701435</v>
      </c>
      <c r="P139" s="26">
        <f t="shared" si="48"/>
        <v>1.103096879383189</v>
      </c>
      <c r="Q139" s="22"/>
      <c r="AD139" s="59">
        <v>135</v>
      </c>
      <c r="AE139" s="61">
        <f t="shared" ca="1" si="50"/>
        <v>-0.33347982023942752</v>
      </c>
      <c r="AF139" s="61">
        <f t="shared" ca="1" si="50"/>
        <v>-0.4369880903756142</v>
      </c>
      <c r="AG139" s="61">
        <f t="shared" ca="1" si="50"/>
        <v>0.64805564374437086</v>
      </c>
      <c r="AH139" s="19"/>
      <c r="AI139" s="61">
        <f ca="1"/>
        <v>-7.2312714040445435E-3</v>
      </c>
      <c r="AJ139" s="61">
        <f ca="1"/>
        <v>-1.4718119663939631E-2</v>
      </c>
      <c r="AK139" s="61">
        <f ca="1"/>
        <v>8.5983386157464699E-3</v>
      </c>
      <c r="AL139" s="19"/>
      <c r="AM139" s="61">
        <f t="shared" ca="1" si="54"/>
        <v>-6.8800550815342996E-3</v>
      </c>
      <c r="AN139" s="61">
        <f t="shared" ca="1" si="55"/>
        <v>-1.4469067067023099E-2</v>
      </c>
      <c r="AO139" s="61">
        <f t="shared" ca="1" si="56"/>
        <v>9.0300072190012889E-3</v>
      </c>
      <c r="AP139" s="19"/>
      <c r="AQ139" s="62">
        <f t="shared" ca="1" si="51"/>
        <v>0.85040838918326966</v>
      </c>
      <c r="AR139" s="62">
        <f t="shared" ca="1" si="52"/>
        <v>0.72323792110761675</v>
      </c>
      <c r="AS139" s="62">
        <f t="shared" ca="1" si="53"/>
        <v>0.75353815782779443</v>
      </c>
      <c r="AT139" s="49"/>
    </row>
    <row r="140" spans="1:46" x14ac:dyDescent="0.3">
      <c r="A140" s="5">
        <v>43665</v>
      </c>
      <c r="B140" s="6">
        <v>57.639999000000003</v>
      </c>
      <c r="C140" s="6">
        <v>110.269997</v>
      </c>
      <c r="D140" s="6">
        <v>83.650002000000001</v>
      </c>
      <c r="F140" s="13">
        <v>137</v>
      </c>
      <c r="G140" s="5">
        <v>43665</v>
      </c>
      <c r="H140" s="15">
        <f t="shared" si="49"/>
        <v>-8.9810794430058277E-3</v>
      </c>
      <c r="I140" s="15">
        <f t="shared" si="49"/>
        <v>8.0124075745418005E-3</v>
      </c>
      <c r="J140" s="15">
        <f t="shared" si="49"/>
        <v>3.5928661403762784E-3</v>
      </c>
      <c r="K140" s="22"/>
      <c r="L140" s="13">
        <v>137</v>
      </c>
      <c r="M140" s="5">
        <v>43665</v>
      </c>
      <c r="N140" s="26">
        <f t="shared" si="46"/>
        <v>1.0194552172010045</v>
      </c>
      <c r="O140" s="26">
        <f t="shared" si="47"/>
        <v>1.0458079941993932</v>
      </c>
      <c r="P140" s="26">
        <f t="shared" si="48"/>
        <v>1.1070672871113629</v>
      </c>
      <c r="Q140" s="22"/>
      <c r="AD140" s="59">
        <v>136</v>
      </c>
      <c r="AE140" s="61">
        <f t="shared" ca="1" si="50"/>
        <v>-0.26527199281235286</v>
      </c>
      <c r="AF140" s="61">
        <f t="shared" ca="1" si="50"/>
        <v>2.3531428957416098E-2</v>
      </c>
      <c r="AG140" s="61">
        <f t="shared" ca="1" si="50"/>
        <v>0.46304658328805248</v>
      </c>
      <c r="AH140" s="19"/>
      <c r="AI140" s="61">
        <f ca="1"/>
        <v>-5.752233447111235E-3</v>
      </c>
      <c r="AJ140" s="61">
        <f ca="1"/>
        <v>-3.6406473174016457E-3</v>
      </c>
      <c r="AK140" s="61">
        <f ca="1"/>
        <v>8.1094132948101878E-3</v>
      </c>
      <c r="AL140" s="19"/>
      <c r="AM140" s="61">
        <f t="shared" ca="1" si="54"/>
        <v>-5.4010171246009911E-3</v>
      </c>
      <c r="AN140" s="61">
        <f t="shared" ca="1" si="55"/>
        <v>-3.3915947204851151E-3</v>
      </c>
      <c r="AO140" s="61">
        <f t="shared" ca="1" si="56"/>
        <v>8.5410818980650068E-3</v>
      </c>
      <c r="AP140" s="19"/>
      <c r="AQ140" s="62">
        <f t="shared" ca="1" si="51"/>
        <v>0.84582770023537379</v>
      </c>
      <c r="AR140" s="62">
        <f t="shared" ca="1" si="52"/>
        <v>0.72078914616615208</v>
      </c>
      <c r="AS140" s="62">
        <f t="shared" ca="1" si="53"/>
        <v>0.76000175270043446</v>
      </c>
      <c r="AT140" s="49"/>
    </row>
    <row r="141" spans="1:46" x14ac:dyDescent="0.3">
      <c r="A141" s="5">
        <v>43668</v>
      </c>
      <c r="B141" s="6">
        <v>57.369999</v>
      </c>
      <c r="C141" s="6">
        <v>107.400002</v>
      </c>
      <c r="D141" s="6">
        <v>84.349997999999999</v>
      </c>
      <c r="F141" s="13">
        <v>138</v>
      </c>
      <c r="G141" s="5">
        <v>43668</v>
      </c>
      <c r="H141" s="15">
        <f t="shared" si="49"/>
        <v>-4.6952525991914599E-3</v>
      </c>
      <c r="I141" s="15">
        <f t="shared" si="49"/>
        <v>-2.6371675867899718E-2</v>
      </c>
      <c r="J141" s="15">
        <f t="shared" si="49"/>
        <v>8.3333339392700403E-3</v>
      </c>
      <c r="K141" s="22"/>
      <c r="L141" s="13">
        <v>138</v>
      </c>
      <c r="M141" s="5">
        <v>43668</v>
      </c>
      <c r="N141" s="26">
        <f t="shared" si="46"/>
        <v>1.0146798370237029</v>
      </c>
      <c r="O141" s="26">
        <f t="shared" si="47"/>
        <v>1.0185887705123526</v>
      </c>
      <c r="P141" s="26">
        <f t="shared" si="48"/>
        <v>1.1163313953502223</v>
      </c>
      <c r="Q141" s="22"/>
      <c r="AD141" s="59">
        <v>137</v>
      </c>
      <c r="AE141" s="61">
        <f t="shared" ca="1" si="50"/>
        <v>-1.7410912294483856</v>
      </c>
      <c r="AF141" s="61">
        <f t="shared" ca="1" si="50"/>
        <v>-1.2186057235573724</v>
      </c>
      <c r="AG141" s="61">
        <f t="shared" ca="1" si="50"/>
        <v>0.42489274238332764</v>
      </c>
      <c r="AH141" s="19"/>
      <c r="AI141" s="61">
        <f ca="1"/>
        <v>-3.7754318118270083E-2</v>
      </c>
      <c r="AJ141" s="61">
        <f ca="1"/>
        <v>-5.3739783738882982E-2</v>
      </c>
      <c r="AK141" s="61">
        <f ca="1"/>
        <v>-2.3421823554680962E-2</v>
      </c>
      <c r="AL141" s="19"/>
      <c r="AM141" s="61">
        <f t="shared" ca="1" si="54"/>
        <v>-3.7403101795759841E-2</v>
      </c>
      <c r="AN141" s="61">
        <f t="shared" ca="1" si="55"/>
        <v>-5.3490731141966452E-2</v>
      </c>
      <c r="AO141" s="61">
        <f t="shared" ca="1" si="56"/>
        <v>-2.2990154951426145E-2</v>
      </c>
      <c r="AP141" s="19"/>
      <c r="AQ141" s="62">
        <f t="shared" ca="1" si="51"/>
        <v>0.81477546567488879</v>
      </c>
      <c r="AR141" s="62">
        <f t="shared" ca="1" si="52"/>
        <v>0.68324664674877544</v>
      </c>
      <c r="AS141" s="62">
        <f t="shared" ca="1" si="53"/>
        <v>0.7427285126783606</v>
      </c>
      <c r="AT141" s="49"/>
    </row>
    <row r="142" spans="1:46" x14ac:dyDescent="0.3">
      <c r="A142" s="5">
        <v>43669</v>
      </c>
      <c r="B142" s="6">
        <v>58.799999</v>
      </c>
      <c r="C142" s="6">
        <v>108.889999</v>
      </c>
      <c r="D142" s="6">
        <v>84.769997000000004</v>
      </c>
      <c r="F142" s="13">
        <v>139</v>
      </c>
      <c r="G142" s="5">
        <v>43669</v>
      </c>
      <c r="H142" s="15">
        <f t="shared" si="49"/>
        <v>2.4620336714711682E-2</v>
      </c>
      <c r="I142" s="15">
        <f t="shared" si="49"/>
        <v>1.3777988477651814E-2</v>
      </c>
      <c r="J142" s="15">
        <f t="shared" si="49"/>
        <v>4.966885949187109E-3</v>
      </c>
      <c r="K142" s="22"/>
      <c r="L142" s="13">
        <v>139</v>
      </c>
      <c r="M142" s="5">
        <v>43669</v>
      </c>
      <c r="N142" s="26">
        <f t="shared" si="46"/>
        <v>1.039971665370151</v>
      </c>
      <c r="O142" s="26">
        <f t="shared" si="47"/>
        <v>1.0327200012761759</v>
      </c>
      <c r="P142" s="26">
        <f t="shared" si="48"/>
        <v>1.1218898788218603</v>
      </c>
      <c r="Q142" s="22"/>
      <c r="AD142" s="59">
        <v>138</v>
      </c>
      <c r="AE142" s="61">
        <f t="shared" ca="1" si="50"/>
        <v>-0.78423546561692925</v>
      </c>
      <c r="AF142" s="61">
        <f t="shared" ca="1" si="50"/>
        <v>0.82127210319438004</v>
      </c>
      <c r="AG142" s="61">
        <f t="shared" ca="1" si="50"/>
        <v>-4.4707706533490925E-2</v>
      </c>
      <c r="AH142" s="19"/>
      <c r="AI142" s="61">
        <f ca="1"/>
        <v>-1.7005585202971664E-2</v>
      </c>
      <c r="AJ142" s="61">
        <f ca="1"/>
        <v>5.5760663844121334E-3</v>
      </c>
      <c r="AK142" s="61">
        <f ca="1"/>
        <v>-6.9491401801303563E-3</v>
      </c>
      <c r="AL142" s="19"/>
      <c r="AM142" s="61">
        <f t="shared" ca="1" si="54"/>
        <v>-1.6654368880461418E-2</v>
      </c>
      <c r="AN142" s="61">
        <f t="shared" ca="1" si="55"/>
        <v>5.825118981328664E-3</v>
      </c>
      <c r="AO142" s="61">
        <f t="shared" ca="1" si="56"/>
        <v>-6.5174715768755382E-3</v>
      </c>
      <c r="AP142" s="19"/>
      <c r="AQ142" s="62">
        <f t="shared" ca="1" si="51"/>
        <v>0.80131826614559409</v>
      </c>
      <c r="AR142" s="62">
        <f t="shared" ca="1" si="52"/>
        <v>0.68723825426710849</v>
      </c>
      <c r="AS142" s="62">
        <f t="shared" ca="1" si="53"/>
        <v>0.7379035410945789</v>
      </c>
      <c r="AT142" s="49"/>
    </row>
    <row r="143" spans="1:46" x14ac:dyDescent="0.3">
      <c r="A143" s="5">
        <v>43670</v>
      </c>
      <c r="B143" s="6">
        <v>62.709999000000003</v>
      </c>
      <c r="C143" s="6">
        <v>109.730003</v>
      </c>
      <c r="D143" s="6">
        <v>86.169998000000007</v>
      </c>
      <c r="F143" s="13">
        <v>140</v>
      </c>
      <c r="G143" s="5">
        <v>43670</v>
      </c>
      <c r="H143" s="15">
        <f t="shared" si="49"/>
        <v>6.4379070710730971E-2</v>
      </c>
      <c r="I143" s="15">
        <f t="shared" si="49"/>
        <v>7.6846411681516322E-3</v>
      </c>
      <c r="J143" s="15">
        <f t="shared" si="49"/>
        <v>1.6380394811306192E-2</v>
      </c>
      <c r="K143" s="22"/>
      <c r="L143" s="13">
        <v>140</v>
      </c>
      <c r="M143" s="5">
        <v>43670</v>
      </c>
      <c r="N143" s="26">
        <f t="shared" si="46"/>
        <v>1.1091262449747747</v>
      </c>
      <c r="O143" s="26">
        <f t="shared" si="47"/>
        <v>1.0406866551463076</v>
      </c>
      <c r="P143" s="26">
        <f t="shared" si="48"/>
        <v>1.1404182144102228</v>
      </c>
      <c r="Q143" s="22"/>
      <c r="AD143" s="59">
        <v>139</v>
      </c>
      <c r="AE143" s="61">
        <f t="shared" ca="1" si="50"/>
        <v>0.61396909838084079</v>
      </c>
      <c r="AF143" s="61">
        <f t="shared" ca="1" si="50"/>
        <v>-0.82055909953457662</v>
      </c>
      <c r="AG143" s="61">
        <f t="shared" ca="1" si="50"/>
        <v>-0.5552859357845249</v>
      </c>
      <c r="AH143" s="19"/>
      <c r="AI143" s="61">
        <f ca="1"/>
        <v>1.3313480800429758E-2</v>
      </c>
      <c r="AJ143" s="61">
        <f ca="1"/>
        <v>-8.2256352403423591E-3</v>
      </c>
      <c r="AK143" s="61">
        <f ca="1"/>
        <v>-1.0933427254313561E-2</v>
      </c>
      <c r="AL143" s="19"/>
      <c r="AM143" s="61">
        <f t="shared" ca="1" si="54"/>
        <v>1.3664697122940002E-2</v>
      </c>
      <c r="AN143" s="61">
        <f t="shared" ca="1" si="55"/>
        <v>-7.9765826434258277E-3</v>
      </c>
      <c r="AO143" s="61">
        <f t="shared" ca="1" si="56"/>
        <v>-1.0501758651058742E-2</v>
      </c>
      <c r="AP143" s="19"/>
      <c r="AQ143" s="62">
        <f t="shared" ca="1" si="51"/>
        <v>0.81234319213785533</v>
      </c>
      <c r="AR143" s="62">
        <f t="shared" ca="1" si="52"/>
        <v>0.6817782465872505</v>
      </c>
      <c r="AS143" s="62">
        <f t="shared" ca="1" si="53"/>
        <v>0.73019480469046449</v>
      </c>
      <c r="AT143" s="49"/>
    </row>
    <row r="144" spans="1:46" x14ac:dyDescent="0.3">
      <c r="A144" s="5">
        <v>43671</v>
      </c>
      <c r="B144" s="6">
        <v>60.759998000000003</v>
      </c>
      <c r="C144" s="6">
        <v>110.25</v>
      </c>
      <c r="D144" s="6">
        <v>83.449996999999996</v>
      </c>
      <c r="F144" s="13">
        <v>141</v>
      </c>
      <c r="G144" s="5">
        <v>43671</v>
      </c>
      <c r="H144" s="15">
        <f t="shared" si="49"/>
        <v>-3.1589263797330056E-2</v>
      </c>
      <c r="I144" s="15">
        <f t="shared" si="49"/>
        <v>4.727683984413894E-3</v>
      </c>
      <c r="J144" s="15">
        <f t="shared" si="49"/>
        <v>-3.2074451883568514E-2</v>
      </c>
      <c r="K144" s="22"/>
      <c r="L144" s="13">
        <v>141</v>
      </c>
      <c r="M144" s="5">
        <v>43671</v>
      </c>
      <c r="N144" s="26">
        <f t="shared" si="46"/>
        <v>1.0746373704521159</v>
      </c>
      <c r="O144" s="26">
        <f t="shared" si="47"/>
        <v>1.0456183413198341</v>
      </c>
      <c r="P144" s="26">
        <f t="shared" si="48"/>
        <v>1.1044203177453764</v>
      </c>
      <c r="Q144" s="22"/>
      <c r="AD144" s="59">
        <v>140</v>
      </c>
      <c r="AE144" s="61">
        <f t="shared" ca="1" si="50"/>
        <v>4.4970953440351909E-2</v>
      </c>
      <c r="AF144" s="61">
        <f t="shared" ca="1" si="50"/>
        <v>-0.4483535686834117</v>
      </c>
      <c r="AG144" s="61">
        <f t="shared" ca="1" si="50"/>
        <v>-0.74957045020356972</v>
      </c>
      <c r="AH144" s="19"/>
      <c r="AI144" s="61">
        <f ca="1"/>
        <v>9.7516296306131658E-4</v>
      </c>
      <c r="AJ144" s="61">
        <f ca="1"/>
        <v>-9.0415205056721716E-3</v>
      </c>
      <c r="AK144" s="61">
        <f ca="1"/>
        <v>-2.1697003272661091E-2</v>
      </c>
      <c r="AL144" s="19"/>
      <c r="AM144" s="61">
        <f t="shared" ca="1" si="54"/>
        <v>1.3263792855715607E-3</v>
      </c>
      <c r="AN144" s="61">
        <f t="shared" ca="1" si="55"/>
        <v>-8.7924679087556402E-3</v>
      </c>
      <c r="AO144" s="61">
        <f t="shared" ca="1" si="56"/>
        <v>-2.1265334669406274E-2</v>
      </c>
      <c r="AP144" s="19"/>
      <c r="AQ144" s="62">
        <f t="shared" ca="1" si="51"/>
        <v>0.81342138220709892</v>
      </c>
      <c r="AR144" s="62">
        <f t="shared" ca="1" si="52"/>
        <v>0.67581000944906988</v>
      </c>
      <c r="AS144" s="62">
        <f t="shared" ca="1" si="53"/>
        <v>0.71483090599570931</v>
      </c>
      <c r="AT144" s="49"/>
    </row>
    <row r="145" spans="1:46" x14ac:dyDescent="0.3">
      <c r="A145" s="5">
        <v>43672</v>
      </c>
      <c r="B145" s="6">
        <v>61.110000999999997</v>
      </c>
      <c r="C145" s="6">
        <v>110.08000199999999</v>
      </c>
      <c r="D145" s="6">
        <v>84.309997999999993</v>
      </c>
      <c r="F145" s="13">
        <v>142</v>
      </c>
      <c r="G145" s="5">
        <v>43672</v>
      </c>
      <c r="H145" s="15">
        <f t="shared" si="49"/>
        <v>5.7438904595785451E-3</v>
      </c>
      <c r="I145" s="15">
        <f t="shared" si="49"/>
        <v>-1.5431219733174207E-3</v>
      </c>
      <c r="J145" s="15">
        <f t="shared" si="49"/>
        <v>1.0252844054432669E-2</v>
      </c>
      <c r="K145" s="22"/>
      <c r="L145" s="13">
        <v>142</v>
      </c>
      <c r="M145" s="5">
        <v>43672</v>
      </c>
      <c r="N145" s="26">
        <f t="shared" si="46"/>
        <v>1.0808277311491381</v>
      </c>
      <c r="O145" s="26">
        <f t="shared" si="47"/>
        <v>1.0440060689680184</v>
      </c>
      <c r="P145" s="26">
        <f t="shared" si="48"/>
        <v>1.1158020147115408</v>
      </c>
      <c r="Q145" s="22"/>
      <c r="AD145" s="59">
        <v>141</v>
      </c>
      <c r="AE145" s="61">
        <f t="shared" ca="1" si="50"/>
        <v>0.58531045709650653</v>
      </c>
      <c r="AF145" s="61">
        <f t="shared" ca="1" si="50"/>
        <v>-1.0067553182345574</v>
      </c>
      <c r="AG145" s="61">
        <f t="shared" ca="1" si="50"/>
        <v>-0.63169840616784623</v>
      </c>
      <c r="AH145" s="19"/>
      <c r="AI145" s="61">
        <f ca="1"/>
        <v>1.2692038660244525E-2</v>
      </c>
      <c r="AJ145" s="61">
        <f ca="1"/>
        <v>-1.272137426698817E-2</v>
      </c>
      <c r="AK145" s="61">
        <f ca="1"/>
        <v>-1.4625837938916447E-2</v>
      </c>
      <c r="AL145" s="19"/>
      <c r="AM145" s="61">
        <f t="shared" ca="1" si="54"/>
        <v>1.3043254982754769E-2</v>
      </c>
      <c r="AN145" s="61">
        <f t="shared" ca="1" si="55"/>
        <v>-1.2472321670071639E-2</v>
      </c>
      <c r="AO145" s="61">
        <f t="shared" ca="1" si="56"/>
        <v>-1.4194169335661628E-2</v>
      </c>
      <c r="AP145" s="19"/>
      <c r="AQ145" s="62">
        <f t="shared" ca="1" si="51"/>
        <v>0.82410053878457246</v>
      </c>
      <c r="AR145" s="62">
        <f t="shared" ca="1" si="52"/>
        <v>0.66743343587065029</v>
      </c>
      <c r="AS145" s="62">
        <f t="shared" ca="1" si="53"/>
        <v>0.70475614564683875</v>
      </c>
      <c r="AT145" s="49"/>
    </row>
    <row r="146" spans="1:46" x14ac:dyDescent="0.3">
      <c r="A146" s="5">
        <v>43675</v>
      </c>
      <c r="B146" s="6">
        <v>60.360000999999997</v>
      </c>
      <c r="C146" s="6">
        <v>111.269997</v>
      </c>
      <c r="D146" s="6">
        <v>84.029999000000004</v>
      </c>
      <c r="F146" s="13">
        <v>143</v>
      </c>
      <c r="G146" s="5">
        <v>43675</v>
      </c>
      <c r="H146" s="15">
        <f t="shared" si="49"/>
        <v>-1.2348884803846818E-2</v>
      </c>
      <c r="I146" s="15">
        <f t="shared" si="49"/>
        <v>1.0752260854525603E-2</v>
      </c>
      <c r="J146" s="15">
        <f t="shared" si="49"/>
        <v>-3.326592172990367E-3</v>
      </c>
      <c r="K146" s="22"/>
      <c r="L146" s="13">
        <v>143</v>
      </c>
      <c r="M146" s="5">
        <v>43675</v>
      </c>
      <c r="N146" s="26">
        <f t="shared" si="46"/>
        <v>1.0675627862121899</v>
      </c>
      <c r="O146" s="26">
        <f t="shared" si="47"/>
        <v>1.0552920607873282</v>
      </c>
      <c r="P146" s="26">
        <f t="shared" si="48"/>
        <v>1.1120963634752876</v>
      </c>
      <c r="Q146" s="22"/>
      <c r="AD146" s="59">
        <v>142</v>
      </c>
      <c r="AE146" s="61">
        <f t="shared" ca="1" si="50"/>
        <v>0.71936517866981198</v>
      </c>
      <c r="AF146" s="61">
        <f t="shared" ca="1" si="50"/>
        <v>1.301540075403256</v>
      </c>
      <c r="AG146" s="61">
        <f t="shared" ca="1" si="50"/>
        <v>-2.7939183771725457E-2</v>
      </c>
      <c r="AH146" s="19"/>
      <c r="AI146" s="61">
        <f ca="1"/>
        <v>1.5598919424406535E-2</v>
      </c>
      <c r="AJ146" s="61">
        <f ca="1"/>
        <v>3.9550044864928149E-2</v>
      </c>
      <c r="AK146" s="61">
        <f ca="1"/>
        <v>1.9079257500239755E-2</v>
      </c>
      <c r="AL146" s="19"/>
      <c r="AM146" s="61">
        <f t="shared" ca="1" si="54"/>
        <v>1.5950135746916779E-2</v>
      </c>
      <c r="AN146" s="61">
        <f t="shared" ca="1" si="55"/>
        <v>3.9799097461844679E-2</v>
      </c>
      <c r="AO146" s="61">
        <f t="shared" ca="1" si="56"/>
        <v>1.9510926103494572E-2</v>
      </c>
      <c r="AP146" s="19"/>
      <c r="AQ146" s="62">
        <f t="shared" ca="1" si="51"/>
        <v>0.8373504422222221</v>
      </c>
      <c r="AR146" s="62">
        <f t="shared" ca="1" si="52"/>
        <v>0.69453236377846583</v>
      </c>
      <c r="AS146" s="62">
        <f t="shared" ca="1" si="53"/>
        <v>0.71864160936777821</v>
      </c>
      <c r="AT146" s="49"/>
    </row>
    <row r="147" spans="1:46" x14ac:dyDescent="0.3">
      <c r="A147" s="5">
        <v>43676</v>
      </c>
      <c r="B147" s="6">
        <v>61.23</v>
      </c>
      <c r="C147" s="6">
        <v>107.129997</v>
      </c>
      <c r="D147" s="6">
        <v>84.790001000000004</v>
      </c>
      <c r="F147" s="13">
        <v>144</v>
      </c>
      <c r="G147" s="5">
        <v>43676</v>
      </c>
      <c r="H147" s="15">
        <f t="shared" si="49"/>
        <v>1.4310615022952106E-2</v>
      </c>
      <c r="I147" s="15">
        <f t="shared" si="49"/>
        <v>-3.7916630937057681E-2</v>
      </c>
      <c r="J147" s="15">
        <f t="shared" si="49"/>
        <v>9.0037570701401327E-3</v>
      </c>
      <c r="K147" s="22"/>
      <c r="L147" s="13">
        <v>144</v>
      </c>
      <c r="M147" s="5">
        <v>43676</v>
      </c>
      <c r="N147" s="26">
        <f t="shared" si="46"/>
        <v>1.0829501046524566</v>
      </c>
      <c r="O147" s="26">
        <f t="shared" si="47"/>
        <v>1.0160280251132772</v>
      </c>
      <c r="P147" s="26">
        <f t="shared" si="48"/>
        <v>1.1221546220792649</v>
      </c>
      <c r="Q147" s="22"/>
      <c r="AD147" s="59">
        <v>143</v>
      </c>
      <c r="AE147" s="61">
        <f t="shared" ca="1" si="50"/>
        <v>0.17143222540283867</v>
      </c>
      <c r="AF147" s="61">
        <f t="shared" ca="1" si="50"/>
        <v>-0.91225188682383274</v>
      </c>
      <c r="AG147" s="61">
        <f t="shared" ca="1" si="50"/>
        <v>0.59548790903758042</v>
      </c>
      <c r="AH147" s="19"/>
      <c r="AI147" s="61">
        <f ca="1"/>
        <v>3.7173852030903147E-3</v>
      </c>
      <c r="AJ147" s="61">
        <f ca="1"/>
        <v>-1.7145407956771656E-2</v>
      </c>
      <c r="AK147" s="61">
        <f ca="1"/>
        <v>1.1364880197077095E-2</v>
      </c>
      <c r="AL147" s="19"/>
      <c r="AM147" s="61">
        <f t="shared" ca="1" si="54"/>
        <v>4.0686015256005586E-3</v>
      </c>
      <c r="AN147" s="61">
        <f t="shared" ca="1" si="55"/>
        <v>-1.6896355359855127E-2</v>
      </c>
      <c r="AO147" s="61">
        <f t="shared" ca="1" si="56"/>
        <v>1.1796548800331914E-2</v>
      </c>
      <c r="AP147" s="19"/>
      <c r="AQ147" s="62">
        <f t="shared" ca="1" si="51"/>
        <v>0.84076422746565604</v>
      </c>
      <c r="AR147" s="62">
        <f t="shared" ca="1" si="52"/>
        <v>0.68289588205352691</v>
      </c>
      <c r="AS147" s="62">
        <f t="shared" ca="1" si="53"/>
        <v>0.72716929995015378</v>
      </c>
      <c r="AT147" s="49"/>
    </row>
    <row r="148" spans="1:46" x14ac:dyDescent="0.3">
      <c r="A148" s="5">
        <v>43677</v>
      </c>
      <c r="B148" s="6">
        <v>60.41</v>
      </c>
      <c r="C148" s="6">
        <v>104.230003</v>
      </c>
      <c r="D148" s="6">
        <v>85.25</v>
      </c>
      <c r="F148" s="13">
        <v>145</v>
      </c>
      <c r="G148" s="5">
        <v>43677</v>
      </c>
      <c r="H148" s="15">
        <f t="shared" si="49"/>
        <v>-1.3482611339213222E-2</v>
      </c>
      <c r="I148" s="15">
        <f t="shared" si="49"/>
        <v>-2.7442997737375296E-2</v>
      </c>
      <c r="J148" s="15">
        <f t="shared" si="49"/>
        <v>5.4104930538710558E-3</v>
      </c>
      <c r="K148" s="22"/>
      <c r="L148" s="13">
        <v>145</v>
      </c>
      <c r="M148" s="5">
        <v>43677</v>
      </c>
      <c r="N148" s="26">
        <f t="shared" si="46"/>
        <v>1.0684470981880598</v>
      </c>
      <c r="O148" s="26">
        <f t="shared" si="47"/>
        <v>0.98852428891266508</v>
      </c>
      <c r="P148" s="26">
        <f t="shared" si="48"/>
        <v>1.1282424861895841</v>
      </c>
      <c r="Q148" s="22"/>
      <c r="AD148" s="59">
        <v>144</v>
      </c>
      <c r="AE148" s="61">
        <f t="shared" ca="1" si="50"/>
        <v>-2.5490825488461475</v>
      </c>
      <c r="AF148" s="61">
        <f t="shared" ca="1" si="50"/>
        <v>-2.0687622804754859</v>
      </c>
      <c r="AG148" s="61">
        <f t="shared" ca="1" si="50"/>
        <v>-0.34858782480520056</v>
      </c>
      <c r="AH148" s="19"/>
      <c r="AI148" s="61">
        <f ca="1"/>
        <v>-5.5275032020785431E-2</v>
      </c>
      <c r="AJ148" s="61">
        <f ca="1"/>
        <v>-8.4865754799180265E-2</v>
      </c>
      <c r="AK148" s="61">
        <f ca="1"/>
        <v>-6.1164068043631309E-2</v>
      </c>
      <c r="AL148" s="19"/>
      <c r="AM148" s="61">
        <f t="shared" ca="1" si="54"/>
        <v>-5.4923815698275189E-2</v>
      </c>
      <c r="AN148" s="61">
        <f t="shared" ca="1" si="55"/>
        <v>-8.4616702202263736E-2</v>
      </c>
      <c r="AO148" s="61">
        <f t="shared" ca="1" si="56"/>
        <v>-6.0732399440376492E-2</v>
      </c>
      <c r="AP148" s="19"/>
      <c r="AQ148" s="62">
        <f t="shared" ca="1" si="51"/>
        <v>0.79583148178309504</v>
      </c>
      <c r="AR148" s="62">
        <f t="shared" ca="1" si="52"/>
        <v>0.62748872559140156</v>
      </c>
      <c r="AS148" s="62">
        <f t="shared" ca="1" si="53"/>
        <v>0.68432087679440501</v>
      </c>
      <c r="AT148" s="49"/>
    </row>
    <row r="149" spans="1:46" x14ac:dyDescent="0.3">
      <c r="A149" s="5">
        <v>43678</v>
      </c>
      <c r="B149" s="6">
        <v>59.07</v>
      </c>
      <c r="C149" s="6">
        <v>98.620002999999997</v>
      </c>
      <c r="D149" s="6">
        <v>84.339995999999999</v>
      </c>
      <c r="F149" s="13">
        <v>146</v>
      </c>
      <c r="G149" s="5">
        <v>43678</v>
      </c>
      <c r="H149" s="15">
        <f t="shared" si="49"/>
        <v>-2.2431472831506E-2</v>
      </c>
      <c r="I149" s="15">
        <f t="shared" si="49"/>
        <v>-5.5325913317958039E-2</v>
      </c>
      <c r="J149" s="15">
        <f t="shared" si="49"/>
        <v>-1.073191527229431E-2</v>
      </c>
      <c r="K149" s="22"/>
      <c r="L149" s="13">
        <v>146</v>
      </c>
      <c r="M149" s="5">
        <v>43678</v>
      </c>
      <c r="N149" s="26">
        <f t="shared" si="46"/>
        <v>1.0447470632340456</v>
      </c>
      <c r="O149" s="26">
        <f t="shared" si="47"/>
        <v>0.93531867535434976</v>
      </c>
      <c r="P149" s="26">
        <f t="shared" si="48"/>
        <v>1.11619902372152</v>
      </c>
      <c r="Q149" s="22"/>
      <c r="AD149" s="59">
        <v>145</v>
      </c>
      <c r="AE149" s="61">
        <f t="shared" ca="1" si="50"/>
        <v>1.65088205063494</v>
      </c>
      <c r="AF149" s="61">
        <f t="shared" ca="1" si="50"/>
        <v>0.82519185716662846</v>
      </c>
      <c r="AG149" s="61">
        <f t="shared" ca="1" si="50"/>
        <v>0.52671918214572511</v>
      </c>
      <c r="AH149" s="19"/>
      <c r="AI149" s="61">
        <f ca="1"/>
        <v>3.5798196591433282E-2</v>
      </c>
      <c r="AJ149" s="61">
        <f ca="1"/>
        <v>4.3776548460028639E-2</v>
      </c>
      <c r="AK149" s="61">
        <f ca="1"/>
        <v>4.3698586783719393E-2</v>
      </c>
      <c r="AL149" s="19"/>
      <c r="AM149" s="61">
        <f t="shared" ca="1" si="54"/>
        <v>3.6149412913943524E-2</v>
      </c>
      <c r="AN149" s="61">
        <f t="shared" ca="1" si="55"/>
        <v>4.4025601056945168E-2</v>
      </c>
      <c r="AO149" s="61">
        <f t="shared" ca="1" si="56"/>
        <v>4.413025538697421E-2</v>
      </c>
      <c r="AP149" s="19"/>
      <c r="AQ149" s="62">
        <f t="shared" ca="1" si="51"/>
        <v>0.82512663377701045</v>
      </c>
      <c r="AR149" s="62">
        <f t="shared" ca="1" si="52"/>
        <v>0.65573143333733086</v>
      </c>
      <c r="AS149" s="62">
        <f t="shared" ca="1" si="53"/>
        <v>0.71519639344801889</v>
      </c>
      <c r="AT149" s="49"/>
    </row>
    <row r="150" spans="1:46" x14ac:dyDescent="0.3">
      <c r="A150" s="5">
        <v>43679</v>
      </c>
      <c r="B150" s="6">
        <v>57.830002</v>
      </c>
      <c r="C150" s="6">
        <v>98.879997000000003</v>
      </c>
      <c r="D150" s="6">
        <v>82.07</v>
      </c>
      <c r="F150" s="13">
        <v>147</v>
      </c>
      <c r="G150" s="5">
        <v>43679</v>
      </c>
      <c r="H150" s="15">
        <f t="shared" si="49"/>
        <v>-2.1215474564891736E-2</v>
      </c>
      <c r="I150" s="15">
        <f t="shared" si="49"/>
        <v>2.6328521538016595E-3</v>
      </c>
      <c r="J150" s="15">
        <f t="shared" si="49"/>
        <v>-2.7283659249711566E-2</v>
      </c>
      <c r="K150" s="22"/>
      <c r="L150" s="13">
        <v>147</v>
      </c>
      <c r="M150" s="5">
        <v>43679</v>
      </c>
      <c r="N150" s="26">
        <f t="shared" si="46"/>
        <v>1.0228157229781443</v>
      </c>
      <c r="O150" s="26">
        <f t="shared" si="47"/>
        <v>0.93778447576281343</v>
      </c>
      <c r="P150" s="26">
        <f t="shared" si="48"/>
        <v>1.0861567254144184</v>
      </c>
      <c r="Q150" s="22"/>
      <c r="AD150" s="59">
        <v>146</v>
      </c>
      <c r="AE150" s="61">
        <f t="shared" ca="1" si="50"/>
        <v>-1.8781424111038045</v>
      </c>
      <c r="AF150" s="61">
        <f t="shared" ca="1" si="50"/>
        <v>2.3377307565091168E-2</v>
      </c>
      <c r="AG150" s="61">
        <f t="shared" ca="1" si="50"/>
        <v>1.7092522538875294E-2</v>
      </c>
      <c r="AH150" s="19"/>
      <c r="AI150" s="61">
        <f ca="1"/>
        <v>-4.0726174976306651E-2</v>
      </c>
      <c r="AJ150" s="61">
        <f ca="1"/>
        <v>-2.888919010762752E-2</v>
      </c>
      <c r="AK150" s="61">
        <f ca="1"/>
        <v>-2.7148036265099068E-2</v>
      </c>
      <c r="AL150" s="19"/>
      <c r="AM150" s="61">
        <f t="shared" ca="1" si="54"/>
        <v>-4.0374958653796408E-2</v>
      </c>
      <c r="AN150" s="61">
        <f t="shared" ca="1" si="55"/>
        <v>-2.864013751071099E-2</v>
      </c>
      <c r="AO150" s="61">
        <f t="shared" ca="1" si="56"/>
        <v>-2.6716367661844251E-2</v>
      </c>
      <c r="AP150" s="19"/>
      <c r="AQ150" s="62">
        <f t="shared" ca="1" si="51"/>
        <v>0.79247575433861672</v>
      </c>
      <c r="AR150" s="62">
        <f t="shared" ca="1" si="52"/>
        <v>0.63721758006153717</v>
      </c>
      <c r="AS150" s="62">
        <f t="shared" ca="1" si="53"/>
        <v>0.69634192654230564</v>
      </c>
      <c r="AT150" s="49"/>
    </row>
    <row r="151" spans="1:46" x14ac:dyDescent="0.3">
      <c r="A151" s="5">
        <v>43682</v>
      </c>
      <c r="B151" s="6">
        <v>55.990001999999997</v>
      </c>
      <c r="C151" s="6">
        <v>95.730002999999996</v>
      </c>
      <c r="D151" s="6">
        <v>75.779999000000004</v>
      </c>
      <c r="F151" s="13">
        <v>148</v>
      </c>
      <c r="G151" s="5">
        <v>43682</v>
      </c>
      <c r="H151" s="15">
        <f t="shared" si="49"/>
        <v>-3.2334567672786557E-2</v>
      </c>
      <c r="I151" s="15">
        <f t="shared" si="49"/>
        <v>-3.2375203073174562E-2</v>
      </c>
      <c r="J151" s="15">
        <f t="shared" si="49"/>
        <v>-7.9738149247259443E-2</v>
      </c>
      <c r="K151" s="22"/>
      <c r="L151" s="13">
        <v>148</v>
      </c>
      <c r="M151" s="5">
        <v>43682</v>
      </c>
      <c r="N151" s="26">
        <f t="shared" si="46"/>
        <v>0.99027239139949785</v>
      </c>
      <c r="O151" s="26">
        <f t="shared" si="47"/>
        <v>0.90790972291521765</v>
      </c>
      <c r="P151" s="26">
        <f t="shared" si="48"/>
        <v>1.0029116067472634</v>
      </c>
      <c r="Q151" s="22"/>
      <c r="AD151" s="59">
        <v>147</v>
      </c>
      <c r="AE151" s="61">
        <f t="shared" ca="1" si="50"/>
        <v>0.75655992811847605</v>
      </c>
      <c r="AF151" s="61">
        <f t="shared" ca="1" si="50"/>
        <v>-0.23980048817353652</v>
      </c>
      <c r="AG151" s="61">
        <f t="shared" ca="1" si="50"/>
        <v>-0.26992433857358822</v>
      </c>
      <c r="AH151" s="19"/>
      <c r="AI151" s="61">
        <f ca="1"/>
        <v>1.6405460965287832E-2</v>
      </c>
      <c r="AJ151" s="61">
        <f ca="1"/>
        <v>6.629624015710764E-3</v>
      </c>
      <c r="AK151" s="61">
        <f ca="1"/>
        <v>2.5743511146627089E-3</v>
      </c>
      <c r="AL151" s="19"/>
      <c r="AM151" s="61">
        <f t="shared" ca="1" si="54"/>
        <v>1.6756677287798078E-2</v>
      </c>
      <c r="AN151" s="61">
        <f t="shared" ca="1" si="55"/>
        <v>6.8786766126272946E-3</v>
      </c>
      <c r="AO151" s="61">
        <f t="shared" ca="1" si="56"/>
        <v>3.006019717917527E-3</v>
      </c>
      <c r="AP151" s="19"/>
      <c r="AQ151" s="62">
        <f t="shared" ca="1" si="51"/>
        <v>0.8058668970046482</v>
      </c>
      <c r="AR151" s="62">
        <f t="shared" ca="1" si="52"/>
        <v>0.64161590370701205</v>
      </c>
      <c r="AS151" s="62">
        <f t="shared" ca="1" si="53"/>
        <v>0.69843829338534658</v>
      </c>
      <c r="AT151" s="49"/>
    </row>
    <row r="152" spans="1:46" x14ac:dyDescent="0.3">
      <c r="A152" s="5">
        <v>43683</v>
      </c>
      <c r="B152" s="6">
        <v>55.950001</v>
      </c>
      <c r="C152" s="6">
        <v>95.690002000000007</v>
      </c>
      <c r="D152" s="6">
        <v>76.839995999999999</v>
      </c>
      <c r="F152" s="13">
        <v>149</v>
      </c>
      <c r="G152" s="5">
        <v>43683</v>
      </c>
      <c r="H152" s="15">
        <f t="shared" si="49"/>
        <v>-7.1468645043058917E-4</v>
      </c>
      <c r="I152" s="15">
        <f t="shared" si="49"/>
        <v>-4.1793960440285305E-4</v>
      </c>
      <c r="J152" s="15">
        <f t="shared" si="49"/>
        <v>1.3890893449772989E-2</v>
      </c>
      <c r="K152" s="22"/>
      <c r="L152" s="13">
        <v>149</v>
      </c>
      <c r="M152" s="5">
        <v>43683</v>
      </c>
      <c r="N152" s="26">
        <f t="shared" si="46"/>
        <v>0.98956490998293412</v>
      </c>
      <c r="O152" s="26">
        <f t="shared" si="47"/>
        <v>0.90753035076763366</v>
      </c>
      <c r="P152" s="26">
        <f t="shared" si="48"/>
        <v>1.0169401539687708</v>
      </c>
      <c r="Q152" s="22"/>
      <c r="AD152" s="59">
        <v>148</v>
      </c>
      <c r="AE152" s="61">
        <f t="shared" ca="1" si="50"/>
        <v>0.9051158033557557</v>
      </c>
      <c r="AF152" s="61">
        <f t="shared" ca="1" si="50"/>
        <v>-0.13221173531765915</v>
      </c>
      <c r="AG152" s="61">
        <f t="shared" ca="1" si="50"/>
        <v>1.9487071019309967</v>
      </c>
      <c r="AH152" s="19"/>
      <c r="AI152" s="61">
        <f ca="1"/>
        <v>1.9626788875728933E-2</v>
      </c>
      <c r="AJ152" s="61">
        <f ca="1"/>
        <v>1.1293421801572206E-2</v>
      </c>
      <c r="AK152" s="61">
        <f ca="1"/>
        <v>6.2368272769191303E-2</v>
      </c>
      <c r="AL152" s="19"/>
      <c r="AM152" s="61">
        <f t="shared" ca="1" si="54"/>
        <v>1.9978005198239179E-2</v>
      </c>
      <c r="AN152" s="61">
        <f t="shared" ca="1" si="55"/>
        <v>1.1542474398488737E-2</v>
      </c>
      <c r="AO152" s="61">
        <f t="shared" ca="1" si="56"/>
        <v>6.2799941372446128E-2</v>
      </c>
      <c r="AP152" s="19"/>
      <c r="AQ152" s="62">
        <f t="shared" ca="1" si="51"/>
        <v>0.82212840545718324</v>
      </c>
      <c r="AR152" s="62">
        <f t="shared" ca="1" si="52"/>
        <v>0.64906464460108415</v>
      </c>
      <c r="AS152" s="62">
        <f t="shared" ca="1" si="53"/>
        <v>0.74370672817111372</v>
      </c>
      <c r="AT152" s="49"/>
    </row>
    <row r="153" spans="1:46" x14ac:dyDescent="0.3">
      <c r="A153" s="5">
        <v>43684</v>
      </c>
      <c r="B153" s="6">
        <v>56.169998</v>
      </c>
      <c r="C153" s="6">
        <v>95.199996999999996</v>
      </c>
      <c r="D153" s="6">
        <v>75.809997999999993</v>
      </c>
      <c r="F153" s="13">
        <v>150</v>
      </c>
      <c r="G153" s="5">
        <v>43684</v>
      </c>
      <c r="H153" s="15">
        <f t="shared" si="49"/>
        <v>3.9243183071100973E-3</v>
      </c>
      <c r="I153" s="15">
        <f t="shared" si="49"/>
        <v>-5.1339104072828301E-3</v>
      </c>
      <c r="J153" s="15">
        <f t="shared" si="49"/>
        <v>-1.3495102157665587E-2</v>
      </c>
      <c r="K153" s="22"/>
      <c r="L153" s="13">
        <v>150</v>
      </c>
      <c r="M153" s="5">
        <v>43684</v>
      </c>
      <c r="N153" s="26">
        <f t="shared" si="46"/>
        <v>0.9934559074379925</v>
      </c>
      <c r="O153" s="26">
        <f t="shared" si="47"/>
        <v>0.90288311071921257</v>
      </c>
      <c r="P153" s="26">
        <f t="shared" si="48"/>
        <v>1.0033086289917583</v>
      </c>
      <c r="Q153" s="22"/>
      <c r="AD153" s="59">
        <v>149</v>
      </c>
      <c r="AE153" s="61">
        <f t="shared" ca="1" si="50"/>
        <v>-0.16748293609462589</v>
      </c>
      <c r="AF153" s="61">
        <f t="shared" ca="1" si="50"/>
        <v>1.2099636430202876</v>
      </c>
      <c r="AG153" s="61">
        <f t="shared" ca="1" si="50"/>
        <v>-0.19751735998457506</v>
      </c>
      <c r="AH153" s="19"/>
      <c r="AI153" s="61">
        <f ca="1"/>
        <v>-3.6317476888914828E-3</v>
      </c>
      <c r="AJ153" s="61">
        <f ca="1"/>
        <v>2.3678291543615632E-2</v>
      </c>
      <c r="AK153" s="61">
        <f ca="1"/>
        <v>9.8608364904998868E-4</v>
      </c>
      <c r="AL153" s="19"/>
      <c r="AM153" s="61">
        <f t="shared" ca="1" si="54"/>
        <v>-3.2805313663812384E-3</v>
      </c>
      <c r="AN153" s="61">
        <f t="shared" ca="1" si="55"/>
        <v>2.3927344140532162E-2</v>
      </c>
      <c r="AO153" s="61">
        <f t="shared" ca="1" si="56"/>
        <v>1.4177522523048068E-3</v>
      </c>
      <c r="AP153" s="19"/>
      <c r="AQ153" s="62">
        <f t="shared" ca="1" si="51"/>
        <v>0.81943580642845992</v>
      </c>
      <c r="AR153" s="62">
        <f t="shared" ca="1" si="52"/>
        <v>0.66478232906383716</v>
      </c>
      <c r="AS153" s="62">
        <f t="shared" ca="1" si="53"/>
        <v>0.74476186784662046</v>
      </c>
      <c r="AT153" s="49"/>
    </row>
    <row r="154" spans="1:46" x14ac:dyDescent="0.3">
      <c r="A154" s="5">
        <v>43685</v>
      </c>
      <c r="B154" s="6">
        <v>57.630001</v>
      </c>
      <c r="C154" s="6">
        <v>97.010002</v>
      </c>
      <c r="D154" s="6">
        <v>78.760002</v>
      </c>
      <c r="F154" s="13">
        <v>151</v>
      </c>
      <c r="G154" s="5">
        <v>43685</v>
      </c>
      <c r="H154" s="15">
        <f t="shared" si="49"/>
        <v>2.5660511862503236E-2</v>
      </c>
      <c r="I154" s="15">
        <f t="shared" si="49"/>
        <v>1.8834176304909252E-2</v>
      </c>
      <c r="J154" s="15">
        <f t="shared" si="49"/>
        <v>3.8175095478057045E-2</v>
      </c>
      <c r="K154" s="22"/>
      <c r="L154" s="13">
        <v>151</v>
      </c>
      <c r="M154" s="5">
        <v>43685</v>
      </c>
      <c r="N154" s="26">
        <f t="shared" si="46"/>
        <v>1.0192783866416981</v>
      </c>
      <c r="O154" s="26">
        <f t="shared" si="47"/>
        <v>0.92004931866370787</v>
      </c>
      <c r="P154" s="26">
        <f t="shared" si="48"/>
        <v>1.0423505040325702</v>
      </c>
      <c r="Q154" s="22"/>
      <c r="AD154" s="59">
        <v>150</v>
      </c>
      <c r="AE154" s="61">
        <f t="shared" ca="1" si="50"/>
        <v>0.10302599635276123</v>
      </c>
      <c r="AF154" s="61">
        <f t="shared" ca="1" si="50"/>
        <v>-1.3672367995153256</v>
      </c>
      <c r="AG154" s="61">
        <f t="shared" ca="1" si="50"/>
        <v>-0.17818669720969688</v>
      </c>
      <c r="AH154" s="19"/>
      <c r="AI154" s="61">
        <f ca="1"/>
        <v>2.2340450488549141E-3</v>
      </c>
      <c r="AJ154" s="61">
        <f ca="1"/>
        <v>-2.8105685445119089E-2</v>
      </c>
      <c r="AK154" s="61">
        <f ca="1"/>
        <v>-1.2671581232449483E-2</v>
      </c>
      <c r="AL154" s="19"/>
      <c r="AM154" s="61">
        <f t="shared" ca="1" si="54"/>
        <v>2.5852613713651584E-3</v>
      </c>
      <c r="AN154" s="61">
        <f t="shared" ca="1" si="55"/>
        <v>-2.7856632848202559E-2</v>
      </c>
      <c r="AO154" s="61">
        <f t="shared" ca="1" si="56"/>
        <v>-1.2239912629194664E-2</v>
      </c>
      <c r="AP154" s="19"/>
      <c r="AQ154" s="62">
        <f t="shared" ca="1" si="51"/>
        <v>0.82155700290736056</v>
      </c>
      <c r="AR154" s="62">
        <f t="shared" ca="1" si="52"/>
        <v>0.64651928622135479</v>
      </c>
      <c r="AS154" s="62">
        <f t="shared" ca="1" si="53"/>
        <v>0.73570160915563021</v>
      </c>
      <c r="AT154" s="49"/>
    </row>
    <row r="155" spans="1:46" x14ac:dyDescent="0.3">
      <c r="A155" s="5">
        <v>43686</v>
      </c>
      <c r="B155" s="6">
        <v>56.77</v>
      </c>
      <c r="C155" s="6">
        <v>93.720000999999996</v>
      </c>
      <c r="D155" s="6">
        <v>78.849997999999999</v>
      </c>
      <c r="F155" s="13">
        <v>152</v>
      </c>
      <c r="G155" s="5">
        <v>43686</v>
      </c>
      <c r="H155" s="15">
        <f t="shared" si="49"/>
        <v>-1.5035265618013429E-2</v>
      </c>
      <c r="I155" s="15">
        <f t="shared" si="49"/>
        <v>-3.4502462279947292E-2</v>
      </c>
      <c r="J155" s="15">
        <f t="shared" si="49"/>
        <v>1.1420088799054449E-3</v>
      </c>
      <c r="K155" s="22"/>
      <c r="L155" s="13">
        <v>152</v>
      </c>
      <c r="M155" s="5">
        <v>43686</v>
      </c>
      <c r="N155" s="26">
        <f t="shared" si="46"/>
        <v>1.0040678987607377</v>
      </c>
      <c r="O155" s="26">
        <f t="shared" si="47"/>
        <v>0.8888467301053351</v>
      </c>
      <c r="P155" s="26">
        <f t="shared" si="48"/>
        <v>1.0435415575315394</v>
      </c>
      <c r="Q155" s="22"/>
      <c r="AD155" s="59">
        <v>151</v>
      </c>
      <c r="AE155" s="61">
        <f t="shared" ca="1" si="50"/>
        <v>0.15075996090679331</v>
      </c>
      <c r="AF155" s="61">
        <f t="shared" ca="1" si="50"/>
        <v>1.358725112581874</v>
      </c>
      <c r="AG155" s="61">
        <f t="shared" ca="1" si="50"/>
        <v>-0.48901789529606998</v>
      </c>
      <c r="AH155" s="19"/>
      <c r="AI155" s="61">
        <f ca="1"/>
        <v>3.2691219318681714E-3</v>
      </c>
      <c r="AJ155" s="61">
        <f ca="1"/>
        <v>3.189301882987515E-2</v>
      </c>
      <c r="AK155" s="61">
        <f ca="1"/>
        <v>-7.3228759899154547E-4</v>
      </c>
      <c r="AL155" s="19"/>
      <c r="AM155" s="61">
        <f t="shared" ca="1" si="54"/>
        <v>3.6203382543784158E-3</v>
      </c>
      <c r="AN155" s="61">
        <f t="shared" ca="1" si="55"/>
        <v>3.214207142679168E-2</v>
      </c>
      <c r="AO155" s="61">
        <f t="shared" ca="1" si="56"/>
        <v>-3.0061899573672723E-4</v>
      </c>
      <c r="AP155" s="19"/>
      <c r="AQ155" s="62">
        <f t="shared" ca="1" si="51"/>
        <v>0.82453670766816034</v>
      </c>
      <c r="AR155" s="62">
        <f t="shared" ca="1" si="52"/>
        <v>0.66763732599082826</v>
      </c>
      <c r="AS155" s="62">
        <f t="shared" ca="1" si="53"/>
        <v>0.73548047651672521</v>
      </c>
      <c r="AT155" s="49"/>
    </row>
    <row r="156" spans="1:46" x14ac:dyDescent="0.3">
      <c r="A156" s="5">
        <v>43689</v>
      </c>
      <c r="B156" s="6">
        <v>56.080002</v>
      </c>
      <c r="C156" s="6">
        <v>91.93</v>
      </c>
      <c r="D156" s="6">
        <v>77.150002000000001</v>
      </c>
      <c r="F156" s="13">
        <v>153</v>
      </c>
      <c r="G156" s="5">
        <v>43689</v>
      </c>
      <c r="H156" s="15">
        <f t="shared" si="49"/>
        <v>-1.222873879296286E-2</v>
      </c>
      <c r="I156" s="15">
        <f t="shared" si="49"/>
        <v>-1.9284206434012512E-2</v>
      </c>
      <c r="J156" s="15">
        <f t="shared" si="49"/>
        <v>-2.1795683311735575E-2</v>
      </c>
      <c r="K156" s="22"/>
      <c r="L156" s="13">
        <v>153</v>
      </c>
      <c r="M156" s="5">
        <v>43689</v>
      </c>
      <c r="N156" s="26">
        <f t="shared" si="46"/>
        <v>0.99186418479193172</v>
      </c>
      <c r="O156" s="26">
        <f t="shared" si="47"/>
        <v>0.87187024142886493</v>
      </c>
      <c r="P156" s="26">
        <f t="shared" si="48"/>
        <v>1.0210429333256468</v>
      </c>
      <c r="Q156" s="22"/>
      <c r="AD156" s="59">
        <v>152</v>
      </c>
      <c r="AE156" s="61">
        <f t="shared" ca="1" si="50"/>
        <v>0.99120338403462882</v>
      </c>
      <c r="AF156" s="61">
        <f t="shared" ca="1" si="50"/>
        <v>0.53885329702190932</v>
      </c>
      <c r="AG156" s="61">
        <f t="shared" ca="1" si="50"/>
        <v>-0.4592600975013475</v>
      </c>
      <c r="AH156" s="19"/>
      <c r="AI156" s="61">
        <f ca="1"/>
        <v>2.1493536494698987E-2</v>
      </c>
      <c r="AJ156" s="61">
        <f ca="1"/>
        <v>2.7227175066784116E-2</v>
      </c>
      <c r="AK156" s="61">
        <f ca="1"/>
        <v>6.6742013258329572E-3</v>
      </c>
      <c r="AL156" s="19"/>
      <c r="AM156" s="61">
        <f t="shared" ca="1" si="54"/>
        <v>2.1844752817209233E-2</v>
      </c>
      <c r="AN156" s="61">
        <f t="shared" ca="1" si="55"/>
        <v>2.7476227663700645E-2</v>
      </c>
      <c r="AO156" s="61">
        <f t="shared" ca="1" si="56"/>
        <v>7.1058699290877754E-3</v>
      </c>
      <c r="AP156" s="19"/>
      <c r="AQ156" s="62">
        <f t="shared" ca="1" si="51"/>
        <v>0.84274668027724209</v>
      </c>
      <c r="AR156" s="62">
        <f t="shared" ca="1" si="52"/>
        <v>0.68623581932275657</v>
      </c>
      <c r="AS156" s="62">
        <f t="shared" ca="1" si="53"/>
        <v>0.74072531762847504</v>
      </c>
      <c r="AT156" s="49"/>
    </row>
    <row r="157" spans="1:46" x14ac:dyDescent="0.3">
      <c r="A157" s="5">
        <v>43690</v>
      </c>
      <c r="B157" s="6">
        <v>56.599997999999999</v>
      </c>
      <c r="C157" s="6">
        <v>93.410004000000001</v>
      </c>
      <c r="D157" s="6">
        <v>78.739998</v>
      </c>
      <c r="F157" s="13">
        <v>154</v>
      </c>
      <c r="G157" s="5">
        <v>43690</v>
      </c>
      <c r="H157" s="15">
        <f t="shared" si="49"/>
        <v>9.229671483775452E-3</v>
      </c>
      <c r="I157" s="15">
        <f t="shared" si="49"/>
        <v>1.5971030831060686E-2</v>
      </c>
      <c r="J157" s="15">
        <f t="shared" si="49"/>
        <v>2.0399655382845234E-2</v>
      </c>
      <c r="K157" s="22"/>
      <c r="L157" s="13">
        <v>154</v>
      </c>
      <c r="M157" s="5">
        <v>43690</v>
      </c>
      <c r="N157" s="26">
        <f t="shared" si="46"/>
        <v>1.0010611425351761</v>
      </c>
      <c r="O157" s="26">
        <f t="shared" si="47"/>
        <v>0.88590669791527499</v>
      </c>
      <c r="P157" s="26">
        <f t="shared" si="48"/>
        <v>1.0420857607751659</v>
      </c>
      <c r="Q157" s="22"/>
      <c r="AD157" s="59">
        <v>153</v>
      </c>
      <c r="AE157" s="61">
        <f t="shared" ca="1" si="50"/>
        <v>-0.52680697877306437</v>
      </c>
      <c r="AF157" s="61">
        <f t="shared" ca="1" si="50"/>
        <v>0.33526156664724288</v>
      </c>
      <c r="AG157" s="61">
        <f t="shared" ca="1" si="50"/>
        <v>2.3571942941840347</v>
      </c>
      <c r="AH157" s="19"/>
      <c r="AI157" s="61">
        <f ca="1"/>
        <v>-1.142343257327438E-2</v>
      </c>
      <c r="AJ157" s="61">
        <f ca="1"/>
        <v>-9.5850953192813323E-4</v>
      </c>
      <c r="AK157" s="61">
        <f ca="1"/>
        <v>5.4968417631490879E-2</v>
      </c>
      <c r="AL157" s="19"/>
      <c r="AM157" s="61">
        <f t="shared" ca="1" si="54"/>
        <v>-1.1072216250764136E-2</v>
      </c>
      <c r="AN157" s="61">
        <f t="shared" ca="1" si="55"/>
        <v>-7.0945693501160256E-4</v>
      </c>
      <c r="AO157" s="61">
        <f t="shared" ca="1" si="56"/>
        <v>5.5400086234745696E-2</v>
      </c>
      <c r="AP157" s="19"/>
      <c r="AQ157" s="62">
        <f t="shared" ca="1" si="51"/>
        <v>0.83346707449137492</v>
      </c>
      <c r="AR157" s="62">
        <f t="shared" ca="1" si="52"/>
        <v>0.68574913722209385</v>
      </c>
      <c r="AS157" s="62">
        <f t="shared" ca="1" si="53"/>
        <v>0.78291955507757205</v>
      </c>
      <c r="AT157" s="49"/>
    </row>
    <row r="158" spans="1:46" x14ac:dyDescent="0.3">
      <c r="A158" s="5">
        <v>43691</v>
      </c>
      <c r="B158" s="6">
        <v>53.93</v>
      </c>
      <c r="C158" s="6">
        <v>87.849997999999999</v>
      </c>
      <c r="D158" s="6">
        <v>76</v>
      </c>
      <c r="F158" s="13">
        <v>155</v>
      </c>
      <c r="G158" s="5">
        <v>43691</v>
      </c>
      <c r="H158" s="15">
        <f t="shared" si="49"/>
        <v>-4.8322040524311931E-2</v>
      </c>
      <c r="I158" s="15">
        <f t="shared" si="49"/>
        <v>-6.1367656839696721E-2</v>
      </c>
      <c r="J158" s="15">
        <f t="shared" si="49"/>
        <v>-3.5417919829209291E-2</v>
      </c>
      <c r="K158" s="22"/>
      <c r="L158" s="13">
        <v>155</v>
      </c>
      <c r="M158" s="5">
        <v>43691</v>
      </c>
      <c r="N158" s="26">
        <f t="shared" si="46"/>
        <v>0.95383797393282688</v>
      </c>
      <c r="O158" s="26">
        <f t="shared" si="47"/>
        <v>0.83317523078195688</v>
      </c>
      <c r="P158" s="26">
        <f t="shared" si="48"/>
        <v>1.0058232134945266</v>
      </c>
      <c r="Q158" s="22"/>
      <c r="AD158" s="59">
        <v>154</v>
      </c>
      <c r="AE158" s="61">
        <f t="shared" ca="1" si="50"/>
        <v>0.2936706539570309</v>
      </c>
      <c r="AF158" s="61">
        <f t="shared" ca="1" si="50"/>
        <v>-0.64867692554244449</v>
      </c>
      <c r="AG158" s="61">
        <f t="shared" ca="1" si="50"/>
        <v>2.0041996346137565</v>
      </c>
      <c r="AH158" s="19"/>
      <c r="AI158" s="61">
        <f ca="1"/>
        <v>6.3680381039004242E-3</v>
      </c>
      <c r="AJ158" s="61">
        <f ca="1"/>
        <v>-9.5030207659279747E-3</v>
      </c>
      <c r="AK158" s="61">
        <f ca="1"/>
        <v>5.1118367204704127E-2</v>
      </c>
      <c r="AL158" s="19"/>
      <c r="AM158" s="61">
        <f t="shared" ca="1" si="54"/>
        <v>6.7192544264106681E-3</v>
      </c>
      <c r="AN158" s="61">
        <f t="shared" ca="1" si="55"/>
        <v>-9.2539681690114433E-3</v>
      </c>
      <c r="AO158" s="61">
        <f t="shared" ca="1" si="56"/>
        <v>5.1550035807958944E-2</v>
      </c>
      <c r="AP158" s="19"/>
      <c r="AQ158" s="62">
        <f t="shared" ca="1" si="51"/>
        <v>0.83908620887649499</v>
      </c>
      <c r="AR158" s="62">
        <f t="shared" ca="1" si="52"/>
        <v>0.67943250855210224</v>
      </c>
      <c r="AS158" s="62">
        <f t="shared" ca="1" si="53"/>
        <v>0.82433746185467438</v>
      </c>
      <c r="AT158" s="49"/>
    </row>
    <row r="159" spans="1:46" x14ac:dyDescent="0.3">
      <c r="A159" s="5">
        <v>43692</v>
      </c>
      <c r="B159" s="6">
        <v>53.66</v>
      </c>
      <c r="C159" s="6">
        <v>85.07</v>
      </c>
      <c r="D159" s="6">
        <v>76.720000999999996</v>
      </c>
      <c r="F159" s="13">
        <v>156</v>
      </c>
      <c r="G159" s="5">
        <v>43692</v>
      </c>
      <c r="H159" s="15">
        <f t="shared" si="49"/>
        <v>-5.0190643516576511E-3</v>
      </c>
      <c r="I159" s="15">
        <f t="shared" si="49"/>
        <v>-3.2156344879234494E-2</v>
      </c>
      <c r="J159" s="15">
        <f t="shared" si="49"/>
        <v>9.4291033232624839E-3</v>
      </c>
      <c r="K159" s="22"/>
      <c r="L159" s="13">
        <v>156</v>
      </c>
      <c r="M159" s="5">
        <v>43692</v>
      </c>
      <c r="N159" s="26">
        <f t="shared" si="46"/>
        <v>0.94906259375552537</v>
      </c>
      <c r="O159" s="26">
        <f t="shared" si="47"/>
        <v>0.8068095446356307</v>
      </c>
      <c r="P159" s="26">
        <f t="shared" si="48"/>
        <v>1.0153520782253065</v>
      </c>
      <c r="Q159" s="22"/>
      <c r="AD159" s="59">
        <v>155</v>
      </c>
      <c r="AE159" s="61">
        <f t="shared" ca="1" si="50"/>
        <v>-8.5865697770483862E-3</v>
      </c>
      <c r="AF159" s="61">
        <f t="shared" ca="1" si="50"/>
        <v>0.11131468044493639</v>
      </c>
      <c r="AG159" s="61">
        <f t="shared" ca="1" si="50"/>
        <v>0.28365970723352701</v>
      </c>
      <c r="AH159" s="19"/>
      <c r="AI159" s="61">
        <f ca="1"/>
        <v>-1.8619362467876843E-4</v>
      </c>
      <c r="AJ159" s="61">
        <f ca="1"/>
        <v>2.2851379629454469E-3</v>
      </c>
      <c r="AK159" s="61">
        <f ca="1"/>
        <v>7.9244069695445091E-3</v>
      </c>
      <c r="AL159" s="19"/>
      <c r="AM159" s="61">
        <f t="shared" ca="1" si="54"/>
        <v>1.6502269783147578E-4</v>
      </c>
      <c r="AN159" s="61">
        <f t="shared" ca="1" si="55"/>
        <v>2.5341905598619775E-3</v>
      </c>
      <c r="AO159" s="61">
        <f t="shared" ca="1" si="56"/>
        <v>8.3560755727993281E-3</v>
      </c>
      <c r="AP159" s="19"/>
      <c r="AQ159" s="62">
        <f t="shared" ca="1" si="51"/>
        <v>0.83922468857222932</v>
      </c>
      <c r="AR159" s="62">
        <f t="shared" ca="1" si="52"/>
        <v>0.68115650354461388</v>
      </c>
      <c r="AS159" s="62">
        <f t="shared" ca="1" si="53"/>
        <v>0.83125454758078843</v>
      </c>
      <c r="AT159" s="49"/>
    </row>
    <row r="160" spans="1:46" x14ac:dyDescent="0.3">
      <c r="A160" s="5">
        <v>43693</v>
      </c>
      <c r="B160" s="6">
        <v>55.040000999999997</v>
      </c>
      <c r="C160" s="6">
        <v>86.940002000000007</v>
      </c>
      <c r="D160" s="6">
        <v>78.120002999999997</v>
      </c>
      <c r="F160" s="13">
        <v>157</v>
      </c>
      <c r="G160" s="5">
        <v>43693</v>
      </c>
      <c r="H160" s="15">
        <f t="shared" si="49"/>
        <v>2.5392366796214594E-2</v>
      </c>
      <c r="I160" s="15">
        <f t="shared" si="49"/>
        <v>2.1743801577223765E-2</v>
      </c>
      <c r="J160" s="15">
        <f t="shared" si="49"/>
        <v>1.8083700801341591E-2</v>
      </c>
      <c r="K160" s="22"/>
      <c r="L160" s="13">
        <v>157</v>
      </c>
      <c r="M160" s="5">
        <v>43693</v>
      </c>
      <c r="N160" s="26">
        <f t="shared" si="46"/>
        <v>0.97347011012610352</v>
      </c>
      <c r="O160" s="26">
        <f t="shared" si="47"/>
        <v>0.82454476812320243</v>
      </c>
      <c r="P160" s="26">
        <f t="shared" si="48"/>
        <v>1.0338804270481849</v>
      </c>
      <c r="Q160" s="22"/>
      <c r="AD160" s="59">
        <v>156</v>
      </c>
      <c r="AE160" s="61">
        <f t="shared" ca="1" si="50"/>
        <v>0.87335986290535306</v>
      </c>
      <c r="AF160" s="61">
        <f t="shared" ca="1" si="50"/>
        <v>-0.47290009083912748</v>
      </c>
      <c r="AG160" s="61">
        <f t="shared" ca="1" si="50"/>
        <v>6.7453323029423501E-2</v>
      </c>
      <c r="AH160" s="19"/>
      <c r="AI160" s="61">
        <f ca="1"/>
        <v>1.8938184018251602E-2</v>
      </c>
      <c r="AJ160" s="61">
        <f ca="1"/>
        <v>3.3911589948421861E-3</v>
      </c>
      <c r="AK160" s="61">
        <f ca="1"/>
        <v>1.1302139690010371E-2</v>
      </c>
      <c r="AL160" s="19"/>
      <c r="AM160" s="61">
        <f t="shared" ca="1" si="54"/>
        <v>1.9289400340761848E-2</v>
      </c>
      <c r="AN160" s="61">
        <f t="shared" ca="1" si="55"/>
        <v>3.6402115917587166E-3</v>
      </c>
      <c r="AO160" s="61">
        <f t="shared" ca="1" si="56"/>
        <v>1.173380829326519E-2</v>
      </c>
      <c r="AP160" s="19"/>
      <c r="AQ160" s="62">
        <f t="shared" ca="1" si="51"/>
        <v>0.85556996807515162</v>
      </c>
      <c r="AR160" s="62">
        <f t="shared" ca="1" si="52"/>
        <v>0.68364057587600113</v>
      </c>
      <c r="AS160" s="62">
        <f t="shared" ca="1" si="53"/>
        <v>0.84106577806471117</v>
      </c>
      <c r="AT160" s="49"/>
    </row>
    <row r="161" spans="1:46" x14ac:dyDescent="0.3">
      <c r="A161" s="5">
        <v>43696</v>
      </c>
      <c r="B161" s="6">
        <v>55.759998000000003</v>
      </c>
      <c r="C161" s="6">
        <v>87.150002000000001</v>
      </c>
      <c r="D161" s="6">
        <v>79.699996999999996</v>
      </c>
      <c r="F161" s="13">
        <v>158</v>
      </c>
      <c r="G161" s="5">
        <v>43696</v>
      </c>
      <c r="H161" s="15">
        <f t="shared" si="49"/>
        <v>1.2996518790569402E-2</v>
      </c>
      <c r="I161" s="15">
        <f t="shared" si="49"/>
        <v>2.4125463499516018E-3</v>
      </c>
      <c r="J161" s="15">
        <f t="shared" si="49"/>
        <v>2.0023403744079078E-2</v>
      </c>
      <c r="K161" s="22"/>
      <c r="L161" s="13">
        <v>158</v>
      </c>
      <c r="M161" s="5">
        <v>43696</v>
      </c>
      <c r="N161" s="26">
        <f t="shared" si="46"/>
        <v>0.98620440420579414</v>
      </c>
      <c r="O161" s="26">
        <f t="shared" si="47"/>
        <v>0.82653642210666878</v>
      </c>
      <c r="P161" s="26">
        <f t="shared" si="48"/>
        <v>1.0547908828690018</v>
      </c>
      <c r="Q161" s="22"/>
      <c r="AD161" s="59">
        <v>157</v>
      </c>
      <c r="AE161" s="61">
        <f t="shared" ca="1" si="50"/>
        <v>-0.21194742124853735</v>
      </c>
      <c r="AF161" s="61">
        <f t="shared" ca="1" si="50"/>
        <v>0.29396748921096005</v>
      </c>
      <c r="AG161" s="61">
        <f t="shared" ca="1" si="50"/>
        <v>1.4005205008062844</v>
      </c>
      <c r="AH161" s="19"/>
      <c r="AI161" s="61">
        <f ca="1"/>
        <v>-4.595928249376947E-3</v>
      </c>
      <c r="AJ161" s="61">
        <f ca="1"/>
        <v>3.072209864698968E-3</v>
      </c>
      <c r="AK161" s="61">
        <f ca="1"/>
        <v>3.4819887964687872E-2</v>
      </c>
      <c r="AL161" s="19"/>
      <c r="AM161" s="61">
        <f t="shared" ca="1" si="54"/>
        <v>-4.2447119268667031E-3</v>
      </c>
      <c r="AN161" s="61">
        <f t="shared" ca="1" si="55"/>
        <v>3.3212624616154986E-3</v>
      </c>
      <c r="AO161" s="61">
        <f t="shared" ca="1" si="56"/>
        <v>3.5251556567942689E-2</v>
      </c>
      <c r="AP161" s="19"/>
      <c r="AQ161" s="62">
        <f t="shared" ca="1" si="51"/>
        <v>0.85194601678326376</v>
      </c>
      <c r="AR161" s="62">
        <f t="shared" ca="1" si="52"/>
        <v>0.68591490038156666</v>
      </c>
      <c r="AS161" s="62">
        <f t="shared" ca="1" si="53"/>
        <v>0.87124343560506923</v>
      </c>
      <c r="AT161" s="49"/>
    </row>
    <row r="162" spans="1:46" x14ac:dyDescent="0.3">
      <c r="A162" s="5">
        <v>43697</v>
      </c>
      <c r="B162" s="6">
        <v>55.200001</v>
      </c>
      <c r="C162" s="6">
        <v>86.82</v>
      </c>
      <c r="D162" s="6">
        <v>78.010002</v>
      </c>
      <c r="F162" s="13">
        <v>159</v>
      </c>
      <c r="G162" s="5">
        <v>43697</v>
      </c>
      <c r="H162" s="15">
        <f t="shared" si="49"/>
        <v>-1.0093759185270642E-2</v>
      </c>
      <c r="I162" s="15">
        <f t="shared" si="49"/>
        <v>-3.7937850435208827E-3</v>
      </c>
      <c r="J162" s="15">
        <f t="shared" si="49"/>
        <v>-2.1432498917054048E-2</v>
      </c>
      <c r="K162" s="22"/>
      <c r="L162" s="13">
        <v>159</v>
      </c>
      <c r="M162" s="5">
        <v>43697</v>
      </c>
      <c r="N162" s="26">
        <f t="shared" si="46"/>
        <v>0.97629996504598582</v>
      </c>
      <c r="O162" s="26">
        <f t="shared" si="47"/>
        <v>0.82340666116451688</v>
      </c>
      <c r="P162" s="26">
        <f t="shared" si="48"/>
        <v>1.0324246170572955</v>
      </c>
      <c r="Q162" s="22"/>
      <c r="AD162" s="59">
        <v>158</v>
      </c>
      <c r="AE162" s="61">
        <f t="shared" ca="1" si="50"/>
        <v>-0.43432889243208145</v>
      </c>
      <c r="AF162" s="61">
        <f t="shared" ca="1" si="50"/>
        <v>-1.2713761141269824</v>
      </c>
      <c r="AG162" s="61">
        <f t="shared" ca="1" si="50"/>
        <v>1.0427700235029611</v>
      </c>
      <c r="AH162" s="19"/>
      <c r="AI162" s="61">
        <f ca="1"/>
        <v>-9.418111409378517E-3</v>
      </c>
      <c r="AJ162" s="61">
        <f ca="1"/>
        <v>-3.4432916200307986E-2</v>
      </c>
      <c r="AK162" s="61">
        <f ca="1"/>
        <v>1.1344658346373744E-2</v>
      </c>
      <c r="AL162" s="19"/>
      <c r="AM162" s="61">
        <f t="shared" ca="1" si="54"/>
        <v>-9.0668950868682732E-3</v>
      </c>
      <c r="AN162" s="61">
        <f t="shared" ca="1" si="55"/>
        <v>-3.4183863603391457E-2</v>
      </c>
      <c r="AO162" s="61">
        <f t="shared" ca="1" si="56"/>
        <v>1.1776326949628563E-2</v>
      </c>
      <c r="AP162" s="19"/>
      <c r="AQ162" s="62">
        <f t="shared" ca="1" si="51"/>
        <v>0.84425642467102191</v>
      </c>
      <c r="AR162" s="62">
        <f t="shared" ca="1" si="52"/>
        <v>0.6628639095631087</v>
      </c>
      <c r="AS162" s="62">
        <f t="shared" ca="1" si="53"/>
        <v>0.88156413383964416</v>
      </c>
      <c r="AT162" s="49"/>
    </row>
    <row r="163" spans="1:46" x14ac:dyDescent="0.3">
      <c r="A163" s="5">
        <v>43698</v>
      </c>
      <c r="B163" s="6">
        <v>55.220001000000003</v>
      </c>
      <c r="C163" s="6">
        <v>87.07</v>
      </c>
      <c r="D163" s="6">
        <v>78.400002000000001</v>
      </c>
      <c r="F163" s="13">
        <v>160</v>
      </c>
      <c r="G163" s="5">
        <v>43698</v>
      </c>
      <c r="H163" s="15">
        <f t="shared" si="49"/>
        <v>3.6225321239746338E-4</v>
      </c>
      <c r="I163" s="15">
        <f t="shared" si="49"/>
        <v>2.8753829690768172E-3</v>
      </c>
      <c r="J163" s="15">
        <f t="shared" si="49"/>
        <v>4.9869036286057863E-3</v>
      </c>
      <c r="K163" s="22"/>
      <c r="L163" s="13">
        <v>160</v>
      </c>
      <c r="M163" s="5">
        <v>43698</v>
      </c>
      <c r="N163" s="26">
        <f t="shared" si="46"/>
        <v>0.97665369691097115</v>
      </c>
      <c r="O163" s="26">
        <f t="shared" si="47"/>
        <v>0.82577767781150069</v>
      </c>
      <c r="P163" s="26">
        <f t="shared" si="48"/>
        <v>1.0375860782844384</v>
      </c>
      <c r="Q163" s="22"/>
      <c r="AD163" s="59">
        <v>159</v>
      </c>
      <c r="AE163" s="61">
        <f t="shared" ca="1" si="50"/>
        <v>0.49775012197423696</v>
      </c>
      <c r="AF163" s="61">
        <f t="shared" ca="1" si="50"/>
        <v>0.78245849549553226</v>
      </c>
      <c r="AG163" s="61">
        <f t="shared" ca="1" si="50"/>
        <v>-0.43789203887783601</v>
      </c>
      <c r="AH163" s="19"/>
      <c r="AI163" s="61">
        <f ca="1"/>
        <v>1.0793355414452836E-2</v>
      </c>
      <c r="AJ163" s="61">
        <f ca="1"/>
        <v>2.4798484746766093E-2</v>
      </c>
      <c r="AK163" s="61">
        <f ca="1"/>
        <v>1.6461886606055805E-3</v>
      </c>
      <c r="AL163" s="19"/>
      <c r="AM163" s="61">
        <f t="shared" ca="1" si="54"/>
        <v>1.114457173696308E-2</v>
      </c>
      <c r="AN163" s="61">
        <f t="shared" ca="1" si="55"/>
        <v>2.5047537343682622E-2</v>
      </c>
      <c r="AO163" s="61">
        <f t="shared" ca="1" si="56"/>
        <v>2.0778572638603986E-3</v>
      </c>
      <c r="AP163" s="19"/>
      <c r="AQ163" s="62">
        <f t="shared" ca="1" si="51"/>
        <v>0.85371792521846102</v>
      </c>
      <c r="AR163" s="62">
        <f t="shared" ca="1" si="52"/>
        <v>0.67967669858185231</v>
      </c>
      <c r="AS163" s="62">
        <f t="shared" ca="1" si="53"/>
        <v>0.88339780267001378</v>
      </c>
      <c r="AT163" s="49"/>
    </row>
    <row r="164" spans="1:46" x14ac:dyDescent="0.3">
      <c r="A164" s="5">
        <v>43699</v>
      </c>
      <c r="B164" s="6">
        <v>54.549999</v>
      </c>
      <c r="C164" s="6">
        <v>87.900002000000001</v>
      </c>
      <c r="D164" s="6">
        <v>77.419998000000007</v>
      </c>
      <c r="F164" s="13">
        <v>161</v>
      </c>
      <c r="G164" s="5">
        <v>43699</v>
      </c>
      <c r="H164" s="15">
        <f t="shared" si="49"/>
        <v>-1.2207530664114914E-2</v>
      </c>
      <c r="I164" s="15">
        <f t="shared" si="49"/>
        <v>9.487434603735365E-3</v>
      </c>
      <c r="J164" s="15">
        <f t="shared" si="49"/>
        <v>-1.257883355018221E-2</v>
      </c>
      <c r="K164" s="22"/>
      <c r="L164" s="13">
        <v>161</v>
      </c>
      <c r="M164" s="5">
        <v>43699</v>
      </c>
      <c r="N164" s="26">
        <f t="shared" si="46"/>
        <v>0.96480364406077745</v>
      </c>
      <c r="O164" s="26">
        <f t="shared" si="47"/>
        <v>0.83364947204761997</v>
      </c>
      <c r="P164" s="26">
        <f t="shared" si="48"/>
        <v>1.024616199698682</v>
      </c>
      <c r="Q164" s="22"/>
      <c r="AD164" s="59">
        <v>160</v>
      </c>
      <c r="AE164" s="61">
        <f t="shared" ca="1" si="50"/>
        <v>-6.1793759217191366E-2</v>
      </c>
      <c r="AF164" s="61">
        <f t="shared" ca="1" si="50"/>
        <v>2.2144529241697892</v>
      </c>
      <c r="AG164" s="61">
        <f t="shared" ca="1" si="50"/>
        <v>-1.8860004504514645</v>
      </c>
      <c r="AH164" s="19"/>
      <c r="AI164" s="61">
        <f ca="1"/>
        <v>-1.3399534750104763E-3</v>
      </c>
      <c r="AJ164" s="61">
        <f ca="1"/>
        <v>4.7166170960737816E-2</v>
      </c>
      <c r="AK164" s="61">
        <f ca="1"/>
        <v>-3.3637085768847219E-2</v>
      </c>
      <c r="AL164" s="19"/>
      <c r="AM164" s="61">
        <f t="shared" ca="1" si="54"/>
        <v>-9.8873715250023201E-4</v>
      </c>
      <c r="AN164" s="61">
        <f t="shared" ca="1" si="55"/>
        <v>4.7415223557654346E-2</v>
      </c>
      <c r="AO164" s="61">
        <f t="shared" ca="1" si="56"/>
        <v>-3.3205417165592402E-2</v>
      </c>
      <c r="AP164" s="19"/>
      <c r="AQ164" s="62">
        <f t="shared" ca="1" si="51"/>
        <v>0.85287423974835908</v>
      </c>
      <c r="AR164" s="62">
        <f t="shared" ca="1" si="52"/>
        <v>0.71267996692528546</v>
      </c>
      <c r="AS164" s="62">
        <f t="shared" ca="1" si="53"/>
        <v>0.85454588111615937</v>
      </c>
      <c r="AT164" s="49"/>
    </row>
    <row r="165" spans="1:46" x14ac:dyDescent="0.3">
      <c r="A165" s="5">
        <v>43700</v>
      </c>
      <c r="B165" s="6">
        <v>53.080002</v>
      </c>
      <c r="C165" s="6">
        <v>83.910004000000001</v>
      </c>
      <c r="D165" s="6">
        <v>74.180000000000007</v>
      </c>
      <c r="F165" s="13">
        <v>162</v>
      </c>
      <c r="G165" s="5">
        <v>43700</v>
      </c>
      <c r="H165" s="15">
        <f t="shared" si="49"/>
        <v>-2.7317446804292756E-2</v>
      </c>
      <c r="I165" s="15">
        <f t="shared" si="49"/>
        <v>-4.6454983892159997E-2</v>
      </c>
      <c r="J165" s="15">
        <f t="shared" si="49"/>
        <v>-4.2750547254938924E-2</v>
      </c>
      <c r="K165" s="22"/>
      <c r="L165" s="13">
        <v>162</v>
      </c>
      <c r="M165" s="5">
        <v>43700</v>
      </c>
      <c r="N165" s="26">
        <f t="shared" si="46"/>
        <v>0.93880440504413865</v>
      </c>
      <c r="O165" s="26">
        <f t="shared" si="47"/>
        <v>0.79580806532989246</v>
      </c>
      <c r="P165" s="26">
        <f t="shared" si="48"/>
        <v>0.98173639443452621</v>
      </c>
      <c r="Q165" s="22"/>
      <c r="AD165" s="59">
        <v>161</v>
      </c>
      <c r="AE165" s="61">
        <f t="shared" ca="1" si="50"/>
        <v>-1.4101302541752163</v>
      </c>
      <c r="AF165" s="61">
        <f t="shared" ca="1" si="50"/>
        <v>0.87471338066540305</v>
      </c>
      <c r="AG165" s="61">
        <f t="shared" ca="1" si="50"/>
        <v>-0.45677318617724127</v>
      </c>
      <c r="AH165" s="19"/>
      <c r="AI165" s="61">
        <f ca="1"/>
        <v>-3.0577666065893197E-2</v>
      </c>
      <c r="AJ165" s="61">
        <f ca="1"/>
        <v>-3.0590497988417439E-3</v>
      </c>
      <c r="AK165" s="61">
        <f ca="1"/>
        <v>-2.637781845101821E-2</v>
      </c>
      <c r="AL165" s="19"/>
      <c r="AM165" s="61">
        <f t="shared" ca="1" si="54"/>
        <v>-3.0226449743382951E-2</v>
      </c>
      <c r="AN165" s="61">
        <f t="shared" ca="1" si="55"/>
        <v>-2.8099972019252134E-3</v>
      </c>
      <c r="AO165" s="61">
        <f t="shared" ca="1" si="56"/>
        <v>-2.5946149847763392E-2</v>
      </c>
      <c r="AP165" s="19"/>
      <c r="AQ165" s="62">
        <f t="shared" ca="1" si="51"/>
        <v>0.82748059265652174</v>
      </c>
      <c r="AR165" s="62">
        <f t="shared" ca="1" si="52"/>
        <v>0.71068014926926004</v>
      </c>
      <c r="AS165" s="62">
        <f t="shared" ca="1" si="53"/>
        <v>0.83265887525202764</v>
      </c>
      <c r="AT165" s="49"/>
    </row>
    <row r="166" spans="1:46" x14ac:dyDescent="0.3">
      <c r="A166" s="5">
        <v>43703</v>
      </c>
      <c r="B166" s="6">
        <v>53.169998</v>
      </c>
      <c r="C166" s="6">
        <v>83.629997000000003</v>
      </c>
      <c r="D166" s="6">
        <v>73.709998999999996</v>
      </c>
      <c r="F166" s="13">
        <v>163</v>
      </c>
      <c r="G166" s="5">
        <v>43703</v>
      </c>
      <c r="H166" s="15">
        <f t="shared" si="49"/>
        <v>1.6940427580687419E-3</v>
      </c>
      <c r="I166" s="15">
        <f t="shared" si="49"/>
        <v>-3.3425720309605512E-3</v>
      </c>
      <c r="J166" s="15">
        <f t="shared" si="49"/>
        <v>-6.35611042692773E-3</v>
      </c>
      <c r="K166" s="22"/>
      <c r="L166" s="13">
        <v>163</v>
      </c>
      <c r="M166" s="5">
        <v>43703</v>
      </c>
      <c r="N166" s="26">
        <f t="shared" si="46"/>
        <v>0.94039612769019942</v>
      </c>
      <c r="O166" s="26">
        <f t="shared" si="47"/>
        <v>0.79315246029680464</v>
      </c>
      <c r="P166" s="26">
        <f t="shared" si="48"/>
        <v>0.97551615869550445</v>
      </c>
      <c r="Q166" s="22"/>
      <c r="AD166" s="59">
        <v>162</v>
      </c>
      <c r="AE166" s="61">
        <f t="shared" ca="1" si="50"/>
        <v>0.11873528817799357</v>
      </c>
      <c r="AF166" s="61">
        <f t="shared" ca="1" si="50"/>
        <v>0.48011500750036662</v>
      </c>
      <c r="AG166" s="61">
        <f t="shared" ca="1" si="50"/>
        <v>0.77812708478982351</v>
      </c>
      <c r="AH166" s="19"/>
      <c r="AI166" s="61">
        <f ca="1"/>
        <v>2.574689807125545E-3</v>
      </c>
      <c r="AJ166" s="61">
        <f ca="1"/>
        <v>1.2294273112271825E-2</v>
      </c>
      <c r="AK166" s="61">
        <f ca="1"/>
        <v>2.5071150765620449E-2</v>
      </c>
      <c r="AL166" s="19"/>
      <c r="AM166" s="61">
        <f t="shared" ca="1" si="54"/>
        <v>2.9259061296357893E-3</v>
      </c>
      <c r="AN166" s="61">
        <f t="shared" ca="1" si="55"/>
        <v>1.2543325709188357E-2</v>
      </c>
      <c r="AO166" s="61">
        <f t="shared" ca="1" si="56"/>
        <v>2.5502819368875267E-2</v>
      </c>
      <c r="AP166" s="19"/>
      <c r="AQ166" s="62">
        <f t="shared" ca="1" si="51"/>
        <v>0.82990526865211989</v>
      </c>
      <c r="AR166" s="62">
        <f t="shared" ca="1" si="52"/>
        <v>0.71965058378421998</v>
      </c>
      <c r="AS166" s="62">
        <f t="shared" ca="1" si="53"/>
        <v>0.85416711884608498</v>
      </c>
      <c r="AT166" s="49"/>
    </row>
    <row r="167" spans="1:46" x14ac:dyDescent="0.3">
      <c r="A167" s="5">
        <v>43704</v>
      </c>
      <c r="B167" s="6">
        <v>52.900002000000001</v>
      </c>
      <c r="C167" s="6">
        <v>85.419998000000007</v>
      </c>
      <c r="D167" s="6">
        <v>71.709998999999996</v>
      </c>
      <c r="F167" s="13">
        <v>164</v>
      </c>
      <c r="G167" s="5">
        <v>43704</v>
      </c>
      <c r="H167" s="15">
        <f t="shared" si="49"/>
        <v>-5.0909132296134757E-3</v>
      </c>
      <c r="I167" s="15">
        <f t="shared" si="49"/>
        <v>2.1177970478460543E-2</v>
      </c>
      <c r="J167" s="15">
        <f t="shared" si="49"/>
        <v>-2.7508267685090199E-2</v>
      </c>
      <c r="K167" s="22"/>
      <c r="L167" s="13">
        <v>164</v>
      </c>
      <c r="M167" s="5">
        <v>43704</v>
      </c>
      <c r="N167" s="26">
        <f t="shared" si="46"/>
        <v>0.93562081825927101</v>
      </c>
      <c r="O167" s="26">
        <f t="shared" si="47"/>
        <v>0.81012894897327492</v>
      </c>
      <c r="P167" s="26">
        <f t="shared" si="48"/>
        <v>0.94904712676143799</v>
      </c>
      <c r="Q167" s="22"/>
      <c r="AD167" s="59">
        <v>163</v>
      </c>
      <c r="AE167" s="61">
        <f t="shared" ca="1" si="50"/>
        <v>0.63004585496914778</v>
      </c>
      <c r="AF167" s="61">
        <f t="shared" ca="1" si="50"/>
        <v>0.44386834468131808</v>
      </c>
      <c r="AG167" s="61">
        <f t="shared" ca="1" si="50"/>
        <v>1.3628258295799307</v>
      </c>
      <c r="AH167" s="19"/>
      <c r="AI167" s="61">
        <f ca="1"/>
        <v>1.366209376928449E-2</v>
      </c>
      <c r="AJ167" s="61">
        <f ca="1"/>
        <v>1.9509620783274669E-2</v>
      </c>
      <c r="AK167" s="61">
        <f ca="1"/>
        <v>4.7350733492063868E-2</v>
      </c>
      <c r="AL167" s="19"/>
      <c r="AM167" s="61">
        <f t="shared" ca="1" si="54"/>
        <v>1.4013310091794734E-2</v>
      </c>
      <c r="AN167" s="61">
        <f t="shared" ca="1" si="55"/>
        <v>1.9758673380191199E-2</v>
      </c>
      <c r="AO167" s="61">
        <f t="shared" ca="1" si="56"/>
        <v>4.7782402095318685E-2</v>
      </c>
      <c r="AP167" s="19"/>
      <c r="AQ167" s="62">
        <f t="shared" ca="1" si="51"/>
        <v>0.84161685592810909</v>
      </c>
      <c r="AR167" s="62">
        <f t="shared" ca="1" si="52"/>
        <v>0.73401133207843383</v>
      </c>
      <c r="AS167" s="62">
        <f t="shared" ca="1" si="53"/>
        <v>0.89597209297311609</v>
      </c>
      <c r="AT167" s="49"/>
    </row>
    <row r="168" spans="1:46" x14ac:dyDescent="0.3">
      <c r="A168" s="5">
        <v>43705</v>
      </c>
      <c r="B168" s="6">
        <v>53.150002000000001</v>
      </c>
      <c r="C168" s="6">
        <v>87.739998</v>
      </c>
      <c r="D168" s="6">
        <v>72.760002</v>
      </c>
      <c r="F168" s="13">
        <v>165</v>
      </c>
      <c r="G168" s="5">
        <v>43705</v>
      </c>
      <c r="H168" s="15">
        <f t="shared" si="49"/>
        <v>4.7147657458707351E-3</v>
      </c>
      <c r="I168" s="15">
        <f t="shared" si="49"/>
        <v>2.6797630943847402E-2</v>
      </c>
      <c r="J168" s="15">
        <f t="shared" si="49"/>
        <v>1.4536187188124812E-2</v>
      </c>
      <c r="K168" s="22"/>
      <c r="L168" s="13">
        <v>165</v>
      </c>
      <c r="M168" s="5">
        <v>43705</v>
      </c>
      <c r="N168" s="26">
        <f t="shared" si="46"/>
        <v>0.94004246657158719</v>
      </c>
      <c r="O168" s="26">
        <f t="shared" si="47"/>
        <v>0.83213198345728401</v>
      </c>
      <c r="P168" s="26">
        <f t="shared" si="48"/>
        <v>0.96294340823037083</v>
      </c>
      <c r="Q168" s="22"/>
      <c r="AD168" s="59">
        <v>164</v>
      </c>
      <c r="AE168" s="61">
        <f t="shared" ca="1" si="50"/>
        <v>-0.36539327418821188</v>
      </c>
      <c r="AF168" s="61">
        <f t="shared" ca="1" si="50"/>
        <v>-2.2583529747169857</v>
      </c>
      <c r="AG168" s="61">
        <f t="shared" ca="1" si="50"/>
        <v>0.35709933869734917</v>
      </c>
      <c r="AH168" s="19"/>
      <c r="AI168" s="61">
        <f ca="1"/>
        <v>-7.9232918290839012E-3</v>
      </c>
      <c r="AJ168" s="61">
        <f ca="1"/>
        <v>-5.4806859033628398E-2</v>
      </c>
      <c r="AK168" s="61">
        <f ca="1"/>
        <v>-1.2154378151788556E-2</v>
      </c>
      <c r="AL168" s="19"/>
      <c r="AM168" s="61">
        <f t="shared" ca="1" si="54"/>
        <v>-7.5720755065736573E-3</v>
      </c>
      <c r="AN168" s="61">
        <f t="shared" ca="1" si="55"/>
        <v>-5.4557806436711868E-2</v>
      </c>
      <c r="AO168" s="61">
        <f t="shared" ca="1" si="56"/>
        <v>-1.1722709548533737E-2</v>
      </c>
      <c r="AP168" s="19"/>
      <c r="AQ168" s="62">
        <f t="shared" ca="1" si="51"/>
        <v>0.83526813637366082</v>
      </c>
      <c r="AR168" s="62">
        <f t="shared" ca="1" si="52"/>
        <v>0.69503809767264757</v>
      </c>
      <c r="AS168" s="62">
        <f t="shared" ca="1" si="53"/>
        <v>0.88553019560710311</v>
      </c>
      <c r="AT168" s="49"/>
    </row>
    <row r="169" spans="1:46" x14ac:dyDescent="0.3">
      <c r="A169" s="5">
        <v>43706</v>
      </c>
      <c r="B169" s="6">
        <v>53.41</v>
      </c>
      <c r="C169" s="6">
        <v>87.989998</v>
      </c>
      <c r="D169" s="6">
        <v>75.239998</v>
      </c>
      <c r="F169" s="13">
        <v>166</v>
      </c>
      <c r="G169" s="5">
        <v>43706</v>
      </c>
      <c r="H169" s="15">
        <f t="shared" si="49"/>
        <v>4.879851934371811E-3</v>
      </c>
      <c r="I169" s="15">
        <f t="shared" si="49"/>
        <v>2.845275984166183E-3</v>
      </c>
      <c r="J169" s="15">
        <f t="shared" si="49"/>
        <v>3.3516596713671978E-2</v>
      </c>
      <c r="K169" s="22"/>
      <c r="L169" s="13">
        <v>166</v>
      </c>
      <c r="M169" s="5">
        <v>43706</v>
      </c>
      <c r="N169" s="26">
        <f t="shared" si="46"/>
        <v>0.94464094544320931</v>
      </c>
      <c r="O169" s="26">
        <f t="shared" si="47"/>
        <v>0.83450300010426781</v>
      </c>
      <c r="P169" s="26">
        <f t="shared" si="48"/>
        <v>0.9957649548905495</v>
      </c>
      <c r="Q169" s="22"/>
      <c r="AD169" s="59">
        <v>165</v>
      </c>
      <c r="AE169" s="61">
        <f t="shared" ca="1" si="50"/>
        <v>-1.0763115195989259</v>
      </c>
      <c r="AF169" s="61">
        <f t="shared" ca="1" si="50"/>
        <v>-1.1119529225152689</v>
      </c>
      <c r="AG169" s="61">
        <f t="shared" ca="1" si="50"/>
        <v>0.59617219361308726</v>
      </c>
      <c r="AH169" s="19"/>
      <c r="AI169" s="61">
        <f ca="1"/>
        <v>-2.3339045546838282E-2</v>
      </c>
      <c r="AJ169" s="61">
        <f ca="1"/>
        <v>-4.101621991749145E-2</v>
      </c>
      <c r="AK169" s="61">
        <f ca="1"/>
        <v>-8.4600703247924101E-3</v>
      </c>
      <c r="AL169" s="19"/>
      <c r="AM169" s="61">
        <f t="shared" ca="1" si="54"/>
        <v>-2.2987829224328037E-2</v>
      </c>
      <c r="AN169" s="61">
        <f t="shared" ca="1" si="55"/>
        <v>-4.0767167320574921E-2</v>
      </c>
      <c r="AO169" s="61">
        <f t="shared" ca="1" si="56"/>
        <v>-8.0284017215375911E-3</v>
      </c>
      <c r="AP169" s="19"/>
      <c r="AQ169" s="62">
        <f t="shared" ca="1" si="51"/>
        <v>0.81628614834433866</v>
      </c>
      <c r="AR169" s="62">
        <f t="shared" ca="1" si="52"/>
        <v>0.66727315748148763</v>
      </c>
      <c r="AS169" s="62">
        <f t="shared" ca="1" si="53"/>
        <v>0.87844926576841276</v>
      </c>
      <c r="AT169" s="49"/>
    </row>
    <row r="170" spans="1:46" x14ac:dyDescent="0.3">
      <c r="A170" s="5">
        <v>43707</v>
      </c>
      <c r="B170" s="6">
        <v>53.470001000000003</v>
      </c>
      <c r="C170" s="6">
        <v>88.339995999999999</v>
      </c>
      <c r="D170" s="6">
        <v>75.279999000000004</v>
      </c>
      <c r="F170" s="13">
        <v>167</v>
      </c>
      <c r="G170" s="5">
        <v>43707</v>
      </c>
      <c r="H170" s="15">
        <f t="shared" si="49"/>
        <v>1.1227733110372457E-3</v>
      </c>
      <c r="I170" s="15">
        <f t="shared" si="49"/>
        <v>3.9698119611644581E-3</v>
      </c>
      <c r="J170" s="15">
        <f t="shared" si="49"/>
        <v>5.3150414215962145E-4</v>
      </c>
      <c r="K170" s="22"/>
      <c r="L170" s="13">
        <v>167</v>
      </c>
      <c r="M170" s="5">
        <v>43707</v>
      </c>
      <c r="N170" s="26">
        <f t="shared" si="46"/>
        <v>0.94570215872475849</v>
      </c>
      <c r="O170" s="26">
        <f t="shared" si="47"/>
        <v>0.83782240444191181</v>
      </c>
      <c r="P170" s="26">
        <f t="shared" si="48"/>
        <v>0.99629434876374678</v>
      </c>
      <c r="Q170" s="22"/>
      <c r="AD170" s="59">
        <v>166</v>
      </c>
      <c r="AE170" s="61">
        <f t="shared" ca="1" si="50"/>
        <v>-0.36919294673612102</v>
      </c>
      <c r="AF170" s="61">
        <f t="shared" ca="1" si="50"/>
        <v>0.42824481060884401</v>
      </c>
      <c r="AG170" s="61">
        <f t="shared" ca="1" si="50"/>
        <v>1.0530464964453403</v>
      </c>
      <c r="AH170" s="19"/>
      <c r="AI170" s="61">
        <f ca="1"/>
        <v>-8.0056850108383495E-3</v>
      </c>
      <c r="AJ170" s="61">
        <f ca="1"/>
        <v>3.5296039865135498E-3</v>
      </c>
      <c r="AK170" s="61">
        <f ca="1"/>
        <v>2.4539873822682495E-2</v>
      </c>
      <c r="AL170" s="19"/>
      <c r="AM170" s="61">
        <f t="shared" ca="1" si="54"/>
        <v>-7.6544686883281057E-3</v>
      </c>
      <c r="AN170" s="61">
        <f t="shared" ca="1" si="55"/>
        <v>3.7786565834300803E-3</v>
      </c>
      <c r="AO170" s="61">
        <f t="shared" ca="1" si="56"/>
        <v>2.4971542425937313E-2</v>
      </c>
      <c r="AP170" s="19"/>
      <c r="AQ170" s="62">
        <f t="shared" ca="1" si="51"/>
        <v>0.81006176414907261</v>
      </c>
      <c r="AR170" s="62">
        <f t="shared" ca="1" si="52"/>
        <v>0.66979932334181336</v>
      </c>
      <c r="AS170" s="62">
        <f t="shared" ca="1" si="53"/>
        <v>0.90066168379466771</v>
      </c>
      <c r="AT170" s="49"/>
    </row>
    <row r="171" spans="1:46" x14ac:dyDescent="0.3">
      <c r="A171" s="5">
        <v>43711</v>
      </c>
      <c r="B171" s="6">
        <v>52.130001</v>
      </c>
      <c r="C171" s="6">
        <v>86.940002000000007</v>
      </c>
      <c r="D171" s="6">
        <v>74.569999999999993</v>
      </c>
      <c r="F171" s="13">
        <v>168</v>
      </c>
      <c r="G171" s="5">
        <v>43711</v>
      </c>
      <c r="H171" s="15">
        <f t="shared" si="49"/>
        <v>-2.5380149699889436E-2</v>
      </c>
      <c r="I171" s="15">
        <f t="shared" si="49"/>
        <v>-1.5974712323761131E-2</v>
      </c>
      <c r="J171" s="15">
        <f t="shared" si="49"/>
        <v>-9.4762004376800647E-3</v>
      </c>
      <c r="K171" s="22"/>
      <c r="L171" s="13">
        <v>168</v>
      </c>
      <c r="M171" s="5">
        <v>43711</v>
      </c>
      <c r="N171" s="26">
        <f t="shared" si="46"/>
        <v>0.9220021237707442</v>
      </c>
      <c r="O171" s="26">
        <f t="shared" si="47"/>
        <v>0.82454476812320243</v>
      </c>
      <c r="P171" s="26">
        <f t="shared" si="48"/>
        <v>0.98689785566166899</v>
      </c>
      <c r="Q171" s="22"/>
      <c r="AD171" s="59">
        <v>167</v>
      </c>
      <c r="AE171" s="61">
        <f t="shared" ca="1" si="50"/>
        <v>-1.9151593346289986</v>
      </c>
      <c r="AF171" s="61">
        <f t="shared" ca="1" si="50"/>
        <v>1.1772598963129681</v>
      </c>
      <c r="AG171" s="61">
        <f t="shared" ca="1" si="50"/>
        <v>-0.57376743969447397</v>
      </c>
      <c r="AH171" s="19"/>
      <c r="AI171" s="61">
        <f ca="1"/>
        <v>-4.1528860489214912E-2</v>
      </c>
      <c r="AJ171" s="61">
        <f ca="1"/>
        <v>-4.3877792318484238E-3</v>
      </c>
      <c r="AK171" s="61">
        <f ca="1"/>
        <v>-3.4706614471633375E-2</v>
      </c>
      <c r="AL171" s="19"/>
      <c r="AM171" s="61">
        <f t="shared" ca="1" si="54"/>
        <v>-4.117764416670467E-2</v>
      </c>
      <c r="AN171" s="61">
        <f t="shared" ca="1" si="55"/>
        <v>-4.1387266349318932E-3</v>
      </c>
      <c r="AO171" s="61">
        <f t="shared" ca="1" si="56"/>
        <v>-3.4274945868378558E-2</v>
      </c>
      <c r="AP171" s="19"/>
      <c r="AQ171" s="62">
        <f t="shared" ca="1" si="51"/>
        <v>0.77738276850622634</v>
      </c>
      <c r="AR171" s="62">
        <f t="shared" ca="1" si="52"/>
        <v>0.66703293565224608</v>
      </c>
      <c r="AS171" s="62">
        <f t="shared" ca="1" si="53"/>
        <v>0.87031459657341348</v>
      </c>
      <c r="AT171" s="49"/>
    </row>
    <row r="172" spans="1:46" x14ac:dyDescent="0.3">
      <c r="A172" s="5">
        <v>43712</v>
      </c>
      <c r="B172" s="6">
        <v>52.900002000000001</v>
      </c>
      <c r="C172" s="6">
        <v>89.800003000000004</v>
      </c>
      <c r="D172" s="6">
        <v>74.779999000000004</v>
      </c>
      <c r="F172" s="13">
        <v>169</v>
      </c>
      <c r="G172" s="5">
        <v>43712</v>
      </c>
      <c r="H172" s="15">
        <f t="shared" si="49"/>
        <v>1.4662758708609702E-2</v>
      </c>
      <c r="I172" s="15">
        <f t="shared" si="49"/>
        <v>3.2366760150709065E-2</v>
      </c>
      <c r="J172" s="15">
        <f t="shared" si="49"/>
        <v>2.8121746207048406E-3</v>
      </c>
      <c r="K172" s="22"/>
      <c r="L172" s="13">
        <v>169</v>
      </c>
      <c r="M172" s="5">
        <v>43712</v>
      </c>
      <c r="N172" s="26">
        <f t="shared" si="46"/>
        <v>0.93562081825927101</v>
      </c>
      <c r="O172" s="26">
        <f t="shared" si="47"/>
        <v>0.85166920804876312</v>
      </c>
      <c r="P172" s="26">
        <f t="shared" si="48"/>
        <v>0.98967709078023014</v>
      </c>
      <c r="Q172" s="22"/>
      <c r="AD172" s="59">
        <v>168</v>
      </c>
      <c r="AE172" s="61">
        <f t="shared" ca="1" si="50"/>
        <v>1.1806242091544978</v>
      </c>
      <c r="AF172" s="61">
        <f t="shared" ca="1" si="50"/>
        <v>-0.66892524091445793</v>
      </c>
      <c r="AG172" s="61">
        <f t="shared" ca="1" si="50"/>
        <v>-1.5863579670528516</v>
      </c>
      <c r="AH172" s="19"/>
      <c r="AI172" s="61">
        <f ca="1"/>
        <v>2.5600991617579866E-2</v>
      </c>
      <c r="AJ172" s="61">
        <f ca="1"/>
        <v>3.9397582579862762E-3</v>
      </c>
      <c r="AK172" s="61">
        <f ca="1"/>
        <v>-2.7908932238650069E-2</v>
      </c>
      <c r="AL172" s="19"/>
      <c r="AM172" s="61">
        <f t="shared" ca="1" si="54"/>
        <v>2.5952207940090111E-2</v>
      </c>
      <c r="AN172" s="61">
        <f t="shared" ca="1" si="55"/>
        <v>4.1888108549028068E-3</v>
      </c>
      <c r="AO172" s="61">
        <f t="shared" ca="1" si="56"/>
        <v>-2.7477263635395252E-2</v>
      </c>
      <c r="AP172" s="19"/>
      <c r="AQ172" s="62">
        <f t="shared" ca="1" si="51"/>
        <v>0.79782163750493451</v>
      </c>
      <c r="AR172" s="62">
        <f t="shared" ca="1" si="52"/>
        <v>0.66983287055854601</v>
      </c>
      <c r="AS172" s="62">
        <f t="shared" ca="1" si="53"/>
        <v>0.84672628812175144</v>
      </c>
      <c r="AT172" s="49"/>
    </row>
    <row r="173" spans="1:46" x14ac:dyDescent="0.3">
      <c r="A173" s="5">
        <v>43713</v>
      </c>
      <c r="B173" s="6">
        <v>54.169998</v>
      </c>
      <c r="C173" s="6">
        <v>94.260002</v>
      </c>
      <c r="D173" s="6">
        <v>76.790001000000004</v>
      </c>
      <c r="F173" s="13">
        <v>170</v>
      </c>
      <c r="G173" s="5">
        <v>43713</v>
      </c>
      <c r="H173" s="15">
        <f t="shared" si="49"/>
        <v>2.3723836077565511E-2</v>
      </c>
      <c r="I173" s="15">
        <f t="shared" si="49"/>
        <v>4.847193399776669E-2</v>
      </c>
      <c r="J173" s="15">
        <f t="shared" si="49"/>
        <v>2.6523980188573083E-2</v>
      </c>
      <c r="K173" s="22"/>
      <c r="L173" s="13">
        <v>170</v>
      </c>
      <c r="M173" s="5">
        <v>43713</v>
      </c>
      <c r="N173" s="26">
        <f t="shared" si="46"/>
        <v>0.95808272093946378</v>
      </c>
      <c r="O173" s="26">
        <f t="shared" si="47"/>
        <v>0.89396813554688659</v>
      </c>
      <c r="P173" s="26">
        <f t="shared" si="48"/>
        <v>1.016278494342999</v>
      </c>
      <c r="Q173" s="22"/>
      <c r="AD173" s="59">
        <v>169</v>
      </c>
      <c r="AE173" s="61">
        <f t="shared" ca="1" si="50"/>
        <v>1.58206007798671</v>
      </c>
      <c r="AF173" s="61">
        <f t="shared" ca="1" si="50"/>
        <v>-0.42454155171513402</v>
      </c>
      <c r="AG173" s="61">
        <f t="shared" ca="1" si="50"/>
        <v>-1.7611714479944394</v>
      </c>
      <c r="AH173" s="19"/>
      <c r="AI173" s="61">
        <f ca="1"/>
        <v>3.430584133460314E-2</v>
      </c>
      <c r="AJ173" s="61">
        <f ca="1"/>
        <v>1.55350963019051E-2</v>
      </c>
      <c r="AK173" s="61">
        <f ca="1"/>
        <v>-2.4735149082704092E-2</v>
      </c>
      <c r="AL173" s="19"/>
      <c r="AM173" s="61">
        <f t="shared" ca="1" si="54"/>
        <v>3.4657057657113383E-2</v>
      </c>
      <c r="AN173" s="61">
        <f t="shared" ca="1" si="55"/>
        <v>1.578414889882163E-2</v>
      </c>
      <c r="AO173" s="61">
        <f t="shared" ca="1" si="56"/>
        <v>-2.4303480479449274E-2</v>
      </c>
      <c r="AP173" s="19"/>
      <c r="AQ173" s="62">
        <f t="shared" ca="1" si="51"/>
        <v>0.82595650787126873</v>
      </c>
      <c r="AR173" s="62">
        <f t="shared" ca="1" si="52"/>
        <v>0.68048949394211744</v>
      </c>
      <c r="AS173" s="62">
        <f t="shared" ca="1" si="53"/>
        <v>0.82639594207335976</v>
      </c>
      <c r="AT173" s="49"/>
    </row>
    <row r="174" spans="1:46" x14ac:dyDescent="0.3">
      <c r="A174" s="5">
        <v>43714</v>
      </c>
      <c r="B174" s="6">
        <v>53.41</v>
      </c>
      <c r="C174" s="6">
        <v>94.580001999999993</v>
      </c>
      <c r="D174" s="6">
        <v>78.129997000000003</v>
      </c>
      <c r="F174" s="13">
        <v>171</v>
      </c>
      <c r="G174" s="5">
        <v>43714</v>
      </c>
      <c r="H174" s="15">
        <f t="shared" si="49"/>
        <v>-1.4129218397323099E-2</v>
      </c>
      <c r="I174" s="15">
        <f t="shared" si="49"/>
        <v>3.3891156483567037E-3</v>
      </c>
      <c r="J174" s="15">
        <f t="shared" si="49"/>
        <v>1.7299631246128627E-2</v>
      </c>
      <c r="K174" s="22"/>
      <c r="L174" s="13">
        <v>171</v>
      </c>
      <c r="M174" s="5">
        <v>43714</v>
      </c>
      <c r="N174" s="26">
        <f t="shared" si="46"/>
        <v>0.94464094544320931</v>
      </c>
      <c r="O174" s="26">
        <f t="shared" si="47"/>
        <v>0.89700303685502569</v>
      </c>
      <c r="P174" s="26">
        <f t="shared" si="48"/>
        <v>1.0340126928007596</v>
      </c>
      <c r="Q174" s="22"/>
      <c r="AD174" s="59">
        <v>170</v>
      </c>
      <c r="AE174" s="61">
        <f t="shared" ca="1" si="50"/>
        <v>1.2225979083278882</v>
      </c>
      <c r="AF174" s="61">
        <f t="shared" ca="1" si="50"/>
        <v>0.79562037230787108</v>
      </c>
      <c r="AG174" s="61">
        <f t="shared" ca="1" si="50"/>
        <v>-2.3121681080129974</v>
      </c>
      <c r="AH174" s="19"/>
      <c r="AI174" s="61">
        <f ca="1"/>
        <v>2.6511161265436178E-2</v>
      </c>
      <c r="AJ174" s="61">
        <f ca="1"/>
        <v>3.6430134024038704E-2</v>
      </c>
      <c r="AK174" s="61">
        <f ca="1"/>
        <v>-3.5569966247950439E-2</v>
      </c>
      <c r="AL174" s="19"/>
      <c r="AM174" s="61">
        <f t="shared" ca="1" si="54"/>
        <v>2.6862377587946424E-2</v>
      </c>
      <c r="AN174" s="61">
        <f t="shared" ca="1" si="55"/>
        <v>3.6679186620955234E-2</v>
      </c>
      <c r="AO174" s="61">
        <f t="shared" ca="1" si="56"/>
        <v>-3.5138297644695622E-2</v>
      </c>
      <c r="AP174" s="19"/>
      <c r="AQ174" s="62">
        <f t="shared" ca="1" si="51"/>
        <v>0.84844434967690818</v>
      </c>
      <c r="AR174" s="62">
        <f t="shared" ca="1" si="52"/>
        <v>0.7059126960495099</v>
      </c>
      <c r="AS174" s="62">
        <f t="shared" ca="1" si="53"/>
        <v>0.79786204756693813</v>
      </c>
      <c r="AT174" s="49"/>
    </row>
    <row r="175" spans="1:46" x14ac:dyDescent="0.3">
      <c r="A175" s="5">
        <v>43717</v>
      </c>
      <c r="B175" s="6">
        <v>55.220001000000003</v>
      </c>
      <c r="C175" s="6">
        <v>96.849997999999999</v>
      </c>
      <c r="D175" s="6">
        <v>79.379997000000003</v>
      </c>
      <c r="F175" s="13">
        <v>172</v>
      </c>
      <c r="G175" s="5">
        <v>43717</v>
      </c>
      <c r="H175" s="15">
        <f t="shared" si="49"/>
        <v>3.3327230259710086E-2</v>
      </c>
      <c r="I175" s="15">
        <f t="shared" si="49"/>
        <v>2.371731084066506E-2</v>
      </c>
      <c r="J175" s="15">
        <f t="shared" si="49"/>
        <v>1.5872341950913992E-2</v>
      </c>
      <c r="K175" s="22"/>
      <c r="L175" s="13">
        <v>172</v>
      </c>
      <c r="M175" s="5">
        <v>43717</v>
      </c>
      <c r="N175" s="26">
        <f t="shared" si="46"/>
        <v>0.97665369691097115</v>
      </c>
      <c r="O175" s="26">
        <f t="shared" si="47"/>
        <v>0.91853183007337191</v>
      </c>
      <c r="P175" s="26">
        <f t="shared" si="48"/>
        <v>1.0505558377595512</v>
      </c>
      <c r="Q175" s="22"/>
      <c r="AD175" s="59">
        <v>171</v>
      </c>
      <c r="AE175" s="61">
        <f t="shared" ca="1" si="50"/>
        <v>0.41698106284229552</v>
      </c>
      <c r="AF175" s="61">
        <f t="shared" ca="1" si="50"/>
        <v>-1.0368637498802471</v>
      </c>
      <c r="AG175" s="61">
        <f t="shared" ca="1" si="50"/>
        <v>-1.5174124877441293</v>
      </c>
      <c r="AH175" s="19"/>
      <c r="AI175" s="61">
        <f ca="1"/>
        <v>9.0419361315317495E-3</v>
      </c>
      <c r="AJ175" s="61">
        <f ca="1"/>
        <v>-1.6010560227902777E-2</v>
      </c>
      <c r="AK175" s="61">
        <f ca="1"/>
        <v>-4.0016989114585039E-2</v>
      </c>
      <c r="AL175" s="19"/>
      <c r="AM175" s="61">
        <f t="shared" ca="1" si="54"/>
        <v>9.3931524540419933E-3</v>
      </c>
      <c r="AN175" s="61">
        <f t="shared" ca="1" si="55"/>
        <v>-1.5761507630986247E-2</v>
      </c>
      <c r="AO175" s="61">
        <f t="shared" ca="1" si="56"/>
        <v>-3.9585320511330221E-2</v>
      </c>
      <c r="AP175" s="19"/>
      <c r="AQ175" s="62">
        <f t="shared" ca="1" si="51"/>
        <v>0.85645146395164629</v>
      </c>
      <c r="AR175" s="62">
        <f t="shared" ca="1" si="52"/>
        <v>0.69487367206426776</v>
      </c>
      <c r="AS175" s="62">
        <f t="shared" ca="1" si="53"/>
        <v>0.76689537905821581</v>
      </c>
      <c r="AT175" s="49"/>
    </row>
    <row r="176" spans="1:46" x14ac:dyDescent="0.3">
      <c r="A176" s="5">
        <v>43718</v>
      </c>
      <c r="B176" s="6">
        <v>56.02</v>
      </c>
      <c r="C176" s="6">
        <v>98.699996999999996</v>
      </c>
      <c r="D176" s="6">
        <v>81.680000000000007</v>
      </c>
      <c r="F176" s="13">
        <v>173</v>
      </c>
      <c r="G176" s="5">
        <v>43718</v>
      </c>
      <c r="H176" s="15">
        <f t="shared" si="49"/>
        <v>1.4383545220573519E-2</v>
      </c>
      <c r="I176" s="15">
        <f t="shared" si="49"/>
        <v>1.8921546841784449E-2</v>
      </c>
      <c r="J176" s="15">
        <f t="shared" si="49"/>
        <v>2.8562764294386443E-2</v>
      </c>
      <c r="K176" s="22"/>
      <c r="L176" s="13">
        <v>173</v>
      </c>
      <c r="M176" s="5">
        <v>43718</v>
      </c>
      <c r="N176" s="26">
        <f t="shared" si="46"/>
        <v>0.99080295382378936</v>
      </c>
      <c r="O176" s="26">
        <f t="shared" si="47"/>
        <v>0.93607734377698504</v>
      </c>
      <c r="P176" s="26">
        <f t="shared" si="48"/>
        <v>1.0809952641872755</v>
      </c>
      <c r="Q176" s="22"/>
      <c r="AD176" s="59">
        <v>172</v>
      </c>
      <c r="AE176" s="61">
        <f t="shared" ca="1" si="50"/>
        <v>-0.86124090176690804</v>
      </c>
      <c r="AF176" s="61">
        <f t="shared" ca="1" si="50"/>
        <v>-0.27547671343239233</v>
      </c>
      <c r="AG176" s="61">
        <f t="shared" ca="1" si="50"/>
        <v>0.29788193934821866</v>
      </c>
      <c r="AH176" s="19"/>
      <c r="AI176" s="61">
        <f ca="1"/>
        <v>-1.8675393013193948E-2</v>
      </c>
      <c r="AJ176" s="61">
        <f ca="1"/>
        <v>-1.9468200318124441E-2</v>
      </c>
      <c r="AK176" s="61">
        <f ca="1"/>
        <v>-7.0336166172778204E-3</v>
      </c>
      <c r="AL176" s="19"/>
      <c r="AM176" s="61">
        <f t="shared" ca="1" si="54"/>
        <v>-1.8324176690683702E-2</v>
      </c>
      <c r="AN176" s="61">
        <f t="shared" ca="1" si="55"/>
        <v>-1.9219147721207912E-2</v>
      </c>
      <c r="AO176" s="61">
        <f t="shared" ca="1" si="56"/>
        <v>-6.6019480140230022E-3</v>
      </c>
      <c r="AP176" s="19"/>
      <c r="AQ176" s="62">
        <f t="shared" ca="1" si="51"/>
        <v>0.84090060943264811</v>
      </c>
      <c r="AR176" s="62">
        <f t="shared" ca="1" si="52"/>
        <v>0.68164630879061938</v>
      </c>
      <c r="AS176" s="62">
        <f t="shared" ca="1" si="53"/>
        <v>0.76184905175769868</v>
      </c>
      <c r="AT176" s="49"/>
    </row>
    <row r="177" spans="1:46" x14ac:dyDescent="0.3">
      <c r="A177" s="5">
        <v>43719</v>
      </c>
      <c r="B177" s="6">
        <v>56.869999</v>
      </c>
      <c r="C177" s="6">
        <v>100.360001</v>
      </c>
      <c r="D177" s="6">
        <v>82.669998000000007</v>
      </c>
      <c r="F177" s="13">
        <v>174</v>
      </c>
      <c r="G177" s="5">
        <v>43719</v>
      </c>
      <c r="H177" s="15">
        <f t="shared" si="49"/>
        <v>1.5059173902782106E-2</v>
      </c>
      <c r="I177" s="15">
        <f t="shared" si="49"/>
        <v>1.6678815418051867E-2</v>
      </c>
      <c r="J177" s="15">
        <f t="shared" si="49"/>
        <v>1.2047581215600851E-2</v>
      </c>
      <c r="K177" s="22"/>
      <c r="L177" s="13">
        <v>174</v>
      </c>
      <c r="M177" s="5">
        <v>43719</v>
      </c>
      <c r="N177" s="26">
        <f t="shared" si="46"/>
        <v>1.0058365403990708</v>
      </c>
      <c r="O177" s="26">
        <f t="shared" si="47"/>
        <v>0.95182093224922348</v>
      </c>
      <c r="P177" s="26">
        <f t="shared" si="48"/>
        <v>1.0940974085256066</v>
      </c>
      <c r="Q177" s="22"/>
      <c r="AD177" s="59">
        <v>173</v>
      </c>
      <c r="AE177" s="61">
        <f t="shared" ca="1" si="50"/>
        <v>5.8458406708710935E-2</v>
      </c>
      <c r="AF177" s="61">
        <f t="shared" ca="1" si="50"/>
        <v>0.11785452989585926</v>
      </c>
      <c r="AG177" s="61">
        <f t="shared" ca="1" si="50"/>
        <v>-0.11221433351030974</v>
      </c>
      <c r="AH177" s="19"/>
      <c r="AI177" s="61">
        <f ca="1"/>
        <v>1.2676287412389808E-3</v>
      </c>
      <c r="AJ177" s="61">
        <f ca="1"/>
        <v>3.4766988734467349E-3</v>
      </c>
      <c r="AK177" s="61">
        <f ca="1"/>
        <v>-1.1811854139261045E-3</v>
      </c>
      <c r="AL177" s="19"/>
      <c r="AM177" s="61">
        <f t="shared" ca="1" si="54"/>
        <v>1.6188450637492249E-3</v>
      </c>
      <c r="AN177" s="61">
        <f t="shared" ca="1" si="55"/>
        <v>3.7257514703632655E-3</v>
      </c>
      <c r="AO177" s="61">
        <f t="shared" ca="1" si="56"/>
        <v>-7.4951681067128627E-4</v>
      </c>
      <c r="AP177" s="19"/>
      <c r="AQ177" s="62">
        <f t="shared" ca="1" si="51"/>
        <v>0.84226299968516949</v>
      </c>
      <c r="AR177" s="62">
        <f t="shared" ca="1" si="52"/>
        <v>0.68419069045146041</v>
      </c>
      <c r="AS177" s="62">
        <f t="shared" ca="1" si="53"/>
        <v>0.76127824702680502</v>
      </c>
      <c r="AT177" s="49"/>
    </row>
    <row r="178" spans="1:46" x14ac:dyDescent="0.3">
      <c r="A178" s="5">
        <v>43720</v>
      </c>
      <c r="B178" s="6">
        <v>55.630001</v>
      </c>
      <c r="C178" s="6">
        <v>100.58000199999999</v>
      </c>
      <c r="D178" s="6">
        <v>83.699996999999996</v>
      </c>
      <c r="F178" s="13">
        <v>175</v>
      </c>
      <c r="G178" s="5">
        <v>43720</v>
      </c>
      <c r="H178" s="15">
        <f t="shared" si="49"/>
        <v>-2.2045301671630709E-2</v>
      </c>
      <c r="I178" s="15">
        <f t="shared" si="49"/>
        <v>2.1897191661367213E-3</v>
      </c>
      <c r="J178" s="15">
        <f t="shared" si="49"/>
        <v>1.238218658112392E-2</v>
      </c>
      <c r="K178" s="22"/>
      <c r="L178" s="13">
        <v>175</v>
      </c>
      <c r="M178" s="5">
        <v>43720</v>
      </c>
      <c r="N178" s="26">
        <f t="shared" si="46"/>
        <v>0.98390520014316951</v>
      </c>
      <c r="O178" s="26">
        <f t="shared" si="47"/>
        <v>0.95390743638263575</v>
      </c>
      <c r="P178" s="26">
        <f t="shared" si="48"/>
        <v>1.1077289467371347</v>
      </c>
      <c r="Q178" s="22"/>
      <c r="AD178" s="59">
        <v>174</v>
      </c>
      <c r="AE178" s="61">
        <f t="shared" ca="1" si="50"/>
        <v>0.71616915671126824</v>
      </c>
      <c r="AF178" s="61">
        <f t="shared" ca="1" si="50"/>
        <v>-0.32990226244899351</v>
      </c>
      <c r="AG178" s="61">
        <f t="shared" ca="1" si="50"/>
        <v>-0.53132609684328269</v>
      </c>
      <c r="AH178" s="19"/>
      <c r="AI178" s="61">
        <f ca="1"/>
        <v>1.5529615973964099E-2</v>
      </c>
      <c r="AJ178" s="61">
        <f ca="1"/>
        <v>4.0389602603342172E-3</v>
      </c>
      <c r="AK178" s="61">
        <f ca="1"/>
        <v>-5.3540841042659191E-3</v>
      </c>
      <c r="AL178" s="19"/>
      <c r="AM178" s="61">
        <f t="shared" ca="1" si="54"/>
        <v>1.5880832296474343E-2</v>
      </c>
      <c r="AN178" s="61">
        <f t="shared" ca="1" si="55"/>
        <v>4.2880128572507477E-3</v>
      </c>
      <c r="AO178" s="61">
        <f t="shared" ca="1" si="56"/>
        <v>-4.922415501011101E-3</v>
      </c>
      <c r="AP178" s="19"/>
      <c r="AQ178" s="62">
        <f t="shared" ca="1" si="51"/>
        <v>0.85574561132054394</v>
      </c>
      <c r="AR178" s="62">
        <f t="shared" ca="1" si="52"/>
        <v>0.68713080805496318</v>
      </c>
      <c r="AS178" s="62">
        <f t="shared" ca="1" si="53"/>
        <v>0.7575401270209271</v>
      </c>
      <c r="AT178" s="49"/>
    </row>
    <row r="179" spans="1:46" x14ac:dyDescent="0.3">
      <c r="A179" s="5">
        <v>43721</v>
      </c>
      <c r="B179" s="6">
        <v>56.759998000000003</v>
      </c>
      <c r="C179" s="6">
        <v>102.260002</v>
      </c>
      <c r="D179" s="6">
        <v>85.529999000000004</v>
      </c>
      <c r="F179" s="13">
        <v>176</v>
      </c>
      <c r="G179" s="5">
        <v>43721</v>
      </c>
      <c r="H179" s="15">
        <f t="shared" si="49"/>
        <v>2.010917499264565E-2</v>
      </c>
      <c r="I179" s="15">
        <f t="shared" si="49"/>
        <v>1.6565158581355169E-2</v>
      </c>
      <c r="J179" s="15">
        <f t="shared" si="49"/>
        <v>2.1628238247751199E-2</v>
      </c>
      <c r="K179" s="22"/>
      <c r="L179" s="13">
        <v>176</v>
      </c>
      <c r="M179" s="5">
        <v>43721</v>
      </c>
      <c r="N179" s="26">
        <f t="shared" si="46"/>
        <v>1.0038909974550585</v>
      </c>
      <c r="O179" s="26">
        <f t="shared" si="47"/>
        <v>0.96984066825036663</v>
      </c>
      <c r="P179" s="26">
        <f t="shared" si="48"/>
        <v>1.1319481374258376</v>
      </c>
      <c r="Q179" s="22"/>
      <c r="AD179" s="59">
        <v>175</v>
      </c>
      <c r="AE179" s="61">
        <f t="shared" ca="1" si="50"/>
        <v>1.6835446067069899</v>
      </c>
      <c r="AF179" s="61">
        <f t="shared" ca="1" si="50"/>
        <v>0.61541314137803727</v>
      </c>
      <c r="AG179" s="61">
        <f t="shared" ca="1" si="50"/>
        <v>-0.94463065354348619</v>
      </c>
      <c r="AH179" s="19"/>
      <c r="AI179" s="61">
        <f ca="1"/>
        <v>3.6506460760273363E-2</v>
      </c>
      <c r="AJ179" s="61">
        <f ca="1"/>
        <v>3.9728039963878352E-2</v>
      </c>
      <c r="AK179" s="61">
        <f ca="1"/>
        <v>5.0079187827928202E-3</v>
      </c>
      <c r="AL179" s="19"/>
      <c r="AM179" s="61">
        <f t="shared" ca="1" si="54"/>
        <v>3.6857677082783605E-2</v>
      </c>
      <c r="AN179" s="61">
        <f t="shared" ca="1" si="55"/>
        <v>3.9977092560794882E-2</v>
      </c>
      <c r="AO179" s="61">
        <f t="shared" ca="1" si="56"/>
        <v>5.4395873860476384E-3</v>
      </c>
      <c r="AP179" s="19"/>
      <c r="AQ179" s="62">
        <f t="shared" ca="1" si="51"/>
        <v>0.88787487454520209</v>
      </c>
      <c r="AR179" s="62">
        <f t="shared" ca="1" si="52"/>
        <v>0.71515676570535403</v>
      </c>
      <c r="AS179" s="62">
        <f t="shared" ca="1" si="53"/>
        <v>0.76167206055872294</v>
      </c>
      <c r="AT179" s="49"/>
    </row>
    <row r="180" spans="1:46" x14ac:dyDescent="0.3">
      <c r="A180" s="5">
        <v>43724</v>
      </c>
      <c r="B180" s="6">
        <v>57.119999</v>
      </c>
      <c r="C180" s="6">
        <v>103.150002</v>
      </c>
      <c r="D180" s="6">
        <v>82.389999000000003</v>
      </c>
      <c r="F180" s="13">
        <v>177</v>
      </c>
      <c r="G180" s="5">
        <v>43724</v>
      </c>
      <c r="H180" s="15">
        <f t="shared" si="49"/>
        <v>6.3224834685663926E-3</v>
      </c>
      <c r="I180" s="15">
        <f t="shared" si="49"/>
        <v>8.6656496966572606E-3</v>
      </c>
      <c r="J180" s="15">
        <f t="shared" si="49"/>
        <v>-3.7403121710782986E-2</v>
      </c>
      <c r="K180" s="22"/>
      <c r="L180" s="13">
        <v>177</v>
      </c>
      <c r="M180" s="5">
        <v>43724</v>
      </c>
      <c r="N180" s="26">
        <f t="shared" si="46"/>
        <v>1.0102581887113868</v>
      </c>
      <c r="O180" s="26">
        <f t="shared" si="47"/>
        <v>0.97828148751362876</v>
      </c>
      <c r="P180" s="26">
        <f t="shared" si="48"/>
        <v>1.0903917572893531</v>
      </c>
      <c r="Q180" s="22"/>
      <c r="AD180" s="59">
        <v>176</v>
      </c>
      <c r="AE180" s="61">
        <f t="shared" ca="1" si="50"/>
        <v>-1.630979446059601</v>
      </c>
      <c r="AF180" s="61">
        <f t="shared" ca="1" si="50"/>
        <v>-0.27331040614650742</v>
      </c>
      <c r="AG180" s="61">
        <f t="shared" ca="1" si="50"/>
        <v>1.7119633482939969</v>
      </c>
      <c r="AH180" s="19"/>
      <c r="AI180" s="61">
        <f ca="1"/>
        <v>-3.5366622845146856E-2</v>
      </c>
      <c r="AJ180" s="61">
        <f ca="1"/>
        <v>-3.1469321228528239E-2</v>
      </c>
      <c r="AK180" s="61">
        <f ca="1"/>
        <v>1.7837034426740214E-2</v>
      </c>
      <c r="AL180" s="19"/>
      <c r="AM180" s="61">
        <f t="shared" ca="1" si="54"/>
        <v>-3.5015406522636613E-2</v>
      </c>
      <c r="AN180" s="61">
        <f t="shared" ca="1" si="55"/>
        <v>-3.122026863161171E-2</v>
      </c>
      <c r="AO180" s="61">
        <f t="shared" ca="1" si="56"/>
        <v>1.8268703029995031E-2</v>
      </c>
      <c r="AP180" s="19"/>
      <c r="AQ180" s="62">
        <f t="shared" ca="1" si="51"/>
        <v>0.85732357934297443</v>
      </c>
      <c r="AR180" s="62">
        <f t="shared" ca="1" si="52"/>
        <v>0.69317431389676087</v>
      </c>
      <c r="AS180" s="62">
        <f t="shared" ca="1" si="53"/>
        <v>0.77571470110071006</v>
      </c>
      <c r="AT180" s="49"/>
    </row>
    <row r="181" spans="1:46" x14ac:dyDescent="0.3">
      <c r="A181" s="5">
        <v>43725</v>
      </c>
      <c r="B181" s="6">
        <v>55.880001</v>
      </c>
      <c r="C181" s="6">
        <v>99.050003000000004</v>
      </c>
      <c r="D181" s="6">
        <v>84.309997999999993</v>
      </c>
      <c r="F181" s="13">
        <v>178</v>
      </c>
      <c r="G181" s="5">
        <v>43725</v>
      </c>
      <c r="H181" s="15">
        <f t="shared" si="49"/>
        <v>-2.1947748240074748E-2</v>
      </c>
      <c r="I181" s="15">
        <f t="shared" si="49"/>
        <v>-4.0559455474206675E-2</v>
      </c>
      <c r="J181" s="15">
        <f t="shared" si="49"/>
        <v>2.303640002250211E-2</v>
      </c>
      <c r="K181" s="22"/>
      <c r="L181" s="13">
        <v>178</v>
      </c>
      <c r="M181" s="5">
        <v>43725</v>
      </c>
      <c r="N181" s="26">
        <f t="shared" si="46"/>
        <v>0.98832684845548557</v>
      </c>
      <c r="O181" s="26">
        <f t="shared" si="47"/>
        <v>0.93939682398716184</v>
      </c>
      <c r="P181" s="26">
        <f t="shared" si="48"/>
        <v>1.1158020147115408</v>
      </c>
      <c r="Q181" s="22"/>
      <c r="AD181" s="59">
        <v>177</v>
      </c>
      <c r="AE181" s="61">
        <f t="shared" ca="1" si="50"/>
        <v>-1.1863387165907202</v>
      </c>
      <c r="AF181" s="61">
        <f t="shared" ca="1" si="50"/>
        <v>0.80860875692262668</v>
      </c>
      <c r="AG181" s="61">
        <f t="shared" ca="1" si="50"/>
        <v>0.14540105523128169</v>
      </c>
      <c r="AH181" s="19"/>
      <c r="AI181" s="61">
        <f ca="1"/>
        <v>-2.5724906624437213E-2</v>
      </c>
      <c r="AJ181" s="61">
        <f ca="1"/>
        <v>-9.9304029531979005E-4</v>
      </c>
      <c r="AK181" s="61">
        <f ca="1"/>
        <v>-8.1090384594392929E-3</v>
      </c>
      <c r="AL181" s="19"/>
      <c r="AM181" s="61">
        <f t="shared" ca="1" si="54"/>
        <v>-2.5373690301926967E-2</v>
      </c>
      <c r="AN181" s="61">
        <f t="shared" ca="1" si="55"/>
        <v>-7.4398769840325937E-4</v>
      </c>
      <c r="AO181" s="61">
        <f t="shared" ca="1" si="56"/>
        <v>-7.6773698561844747E-3</v>
      </c>
      <c r="AP181" s="19"/>
      <c r="AQ181" s="62">
        <f t="shared" ca="1" si="51"/>
        <v>0.83584377966668499</v>
      </c>
      <c r="AR181" s="62">
        <f t="shared" ca="1" si="52"/>
        <v>0.6926587925289297</v>
      </c>
      <c r="AS181" s="62">
        <f t="shared" ca="1" si="53"/>
        <v>0.76978205513627118</v>
      </c>
      <c r="AT181" s="49"/>
    </row>
    <row r="182" spans="1:46" x14ac:dyDescent="0.3">
      <c r="A182" s="5">
        <v>43726</v>
      </c>
      <c r="B182" s="6">
        <v>55.5</v>
      </c>
      <c r="C182" s="6">
        <v>98.540001000000004</v>
      </c>
      <c r="D182" s="6">
        <v>83.599997999999999</v>
      </c>
      <c r="F182" s="13">
        <v>179</v>
      </c>
      <c r="G182" s="5">
        <v>43726</v>
      </c>
      <c r="H182" s="15">
        <f t="shared" si="49"/>
        <v>-6.8235315318623717E-3</v>
      </c>
      <c r="I182" s="15">
        <f t="shared" si="49"/>
        <v>-5.1622361683127454E-3</v>
      </c>
      <c r="J182" s="15">
        <f t="shared" si="49"/>
        <v>-8.4569620453948131E-3</v>
      </c>
      <c r="K182" s="22"/>
      <c r="L182" s="13">
        <v>179</v>
      </c>
      <c r="M182" s="5">
        <v>43726</v>
      </c>
      <c r="N182" s="26">
        <f t="shared" si="46"/>
        <v>0.9816059253341719</v>
      </c>
      <c r="O182" s="26">
        <f t="shared" si="47"/>
        <v>0.93455993105918189</v>
      </c>
      <c r="P182" s="26">
        <f t="shared" si="48"/>
        <v>1.1064055083749473</v>
      </c>
      <c r="Q182" s="22"/>
      <c r="AD182" s="59">
        <v>178</v>
      </c>
      <c r="AE182" s="61">
        <f t="shared" ca="1" si="50"/>
        <v>-1.7656921593544592</v>
      </c>
      <c r="AF182" s="61">
        <f t="shared" ca="1" si="50"/>
        <v>0.4922484305692667</v>
      </c>
      <c r="AG182" s="61">
        <f t="shared" ca="1" si="50"/>
        <v>0.4816083670283432</v>
      </c>
      <c r="AH182" s="19"/>
      <c r="AI182" s="61">
        <f ca="1"/>
        <v>-3.8287771689208709E-2</v>
      </c>
      <c r="AJ182" s="61">
        <f ca="1"/>
        <v>-1.6937689780802553E-2</v>
      </c>
      <c r="AK182" s="61">
        <f ca="1"/>
        <v>-1.0283640858355711E-2</v>
      </c>
      <c r="AL182" s="19"/>
      <c r="AM182" s="61">
        <f t="shared" ca="1" si="54"/>
        <v>-3.7936555366698467E-2</v>
      </c>
      <c r="AN182" s="61">
        <f t="shared" ca="1" si="55"/>
        <v>-1.6688637183886024E-2</v>
      </c>
      <c r="AO182" s="61">
        <f t="shared" ca="1" si="56"/>
        <v>-9.8519722551008923E-3</v>
      </c>
      <c r="AP182" s="19"/>
      <c r="AQ182" s="62">
        <f t="shared" ca="1" si="51"/>
        <v>0.80472867734480014</v>
      </c>
      <c r="AR182" s="62">
        <f t="shared" ca="1" si="52"/>
        <v>0.68119518331583895</v>
      </c>
      <c r="AS182" s="62">
        <f t="shared" ca="1" si="53"/>
        <v>0.7622354193502463</v>
      </c>
      <c r="AT182" s="49"/>
    </row>
    <row r="183" spans="1:46" x14ac:dyDescent="0.3">
      <c r="A183" s="5">
        <v>43727</v>
      </c>
      <c r="B183" s="6">
        <v>54.630001</v>
      </c>
      <c r="C183" s="6">
        <v>95.849997999999999</v>
      </c>
      <c r="D183" s="6">
        <v>83.550003000000004</v>
      </c>
      <c r="F183" s="13">
        <v>180</v>
      </c>
      <c r="G183" s="5">
        <v>43727</v>
      </c>
      <c r="H183" s="15">
        <f t="shared" si="49"/>
        <v>-1.5799820039802074E-2</v>
      </c>
      <c r="I183" s="15">
        <f t="shared" si="49"/>
        <v>-2.7678118638263333E-2</v>
      </c>
      <c r="J183" s="15">
        <f t="shared" si="49"/>
        <v>-5.9820521916586177E-4</v>
      </c>
      <c r="K183" s="22"/>
      <c r="L183" s="13">
        <v>180</v>
      </c>
      <c r="M183" s="5">
        <v>43727</v>
      </c>
      <c r="N183" s="26">
        <f t="shared" si="46"/>
        <v>0.96621860689390515</v>
      </c>
      <c r="O183" s="26">
        <f t="shared" si="47"/>
        <v>0.90904776348543692</v>
      </c>
      <c r="P183" s="26">
        <f t="shared" si="48"/>
        <v>1.1057438487491755</v>
      </c>
      <c r="Q183" s="22"/>
      <c r="AD183" s="59">
        <v>179</v>
      </c>
      <c r="AE183" s="61">
        <f t="shared" ca="1" si="50"/>
        <v>-0.83325794356669369</v>
      </c>
      <c r="AF183" s="61">
        <f t="shared" ca="1" si="50"/>
        <v>1.496246650824376E-2</v>
      </c>
      <c r="AG183" s="61">
        <f t="shared" ca="1" si="50"/>
        <v>0.96888009913226492</v>
      </c>
      <c r="AH183" s="19"/>
      <c r="AI183" s="61">
        <f ca="1"/>
        <v>-1.8068602577453335E-2</v>
      </c>
      <c r="AJ183" s="61">
        <f ca="1"/>
        <v>-1.2717210469958076E-2</v>
      </c>
      <c r="AK183" s="61">
        <f ca="1"/>
        <v>1.2616196109458187E-2</v>
      </c>
      <c r="AL183" s="19"/>
      <c r="AM183" s="61">
        <f t="shared" ca="1" si="54"/>
        <v>-1.7717386254943089E-2</v>
      </c>
      <c r="AN183" s="61">
        <f t="shared" ca="1" si="55"/>
        <v>-1.2468157873041544E-2</v>
      </c>
      <c r="AO183" s="61">
        <f t="shared" ca="1" si="56"/>
        <v>1.3047864712713006E-2</v>
      </c>
      <c r="AP183" s="19"/>
      <c r="AQ183" s="62">
        <f t="shared" ca="1" si="51"/>
        <v>0.79059655039152577</v>
      </c>
      <c r="AR183" s="62">
        <f t="shared" ca="1" si="52"/>
        <v>0.67275466244439963</v>
      </c>
      <c r="AS183" s="62">
        <f t="shared" ca="1" si="53"/>
        <v>0.77224613116399898</v>
      </c>
      <c r="AT183" s="49"/>
    </row>
    <row r="184" spans="1:46" x14ac:dyDescent="0.3">
      <c r="A184" s="5">
        <v>43728</v>
      </c>
      <c r="B184" s="6">
        <v>55.080002</v>
      </c>
      <c r="C184" s="6">
        <v>92.970000999999996</v>
      </c>
      <c r="D184" s="6">
        <v>82.849997999999999</v>
      </c>
      <c r="F184" s="13">
        <v>181</v>
      </c>
      <c r="G184" s="5">
        <v>43728</v>
      </c>
      <c r="H184" s="15">
        <f t="shared" si="49"/>
        <v>8.20350945868723E-3</v>
      </c>
      <c r="I184" s="15">
        <f t="shared" si="49"/>
        <v>-3.0507577401792597E-2</v>
      </c>
      <c r="J184" s="15">
        <f t="shared" si="49"/>
        <v>-8.4135712154852858E-3</v>
      </c>
      <c r="K184" s="22"/>
      <c r="L184" s="13">
        <v>181</v>
      </c>
      <c r="M184" s="5">
        <v>43728</v>
      </c>
      <c r="N184" s="26">
        <f t="shared" si="46"/>
        <v>0.97417759154266736</v>
      </c>
      <c r="O184" s="26">
        <f t="shared" si="47"/>
        <v>0.8817336801643838</v>
      </c>
      <c r="P184" s="26">
        <f t="shared" si="48"/>
        <v>1.0964796213996724</v>
      </c>
      <c r="Q184" s="22"/>
      <c r="AD184" s="59">
        <v>180</v>
      </c>
      <c r="AE184" s="61">
        <f t="shared" ca="1" si="50"/>
        <v>-0.11777173628742933</v>
      </c>
      <c r="AF184" s="61">
        <f t="shared" ca="1" si="50"/>
        <v>0.79342081251473562</v>
      </c>
      <c r="AG184" s="61">
        <f t="shared" ca="1" si="50"/>
        <v>2.3407681568495744</v>
      </c>
      <c r="AH184" s="19"/>
      <c r="AI184" s="61">
        <f ca="1"/>
        <v>-2.5537958734909772E-3</v>
      </c>
      <c r="AJ184" s="61">
        <f ca="1"/>
        <v>1.5402405741183765E-2</v>
      </c>
      <c r="AK184" s="61">
        <f ca="1"/>
        <v>6.3817868268837244E-2</v>
      </c>
      <c r="AL184" s="19"/>
      <c r="AM184" s="61">
        <f t="shared" ca="1" si="54"/>
        <v>-2.2025795509807329E-3</v>
      </c>
      <c r="AN184" s="61">
        <f t="shared" ca="1" si="55"/>
        <v>1.5651458338100294E-2</v>
      </c>
      <c r="AO184" s="61">
        <f t="shared" ca="1" si="56"/>
        <v>6.4249536872092061E-2</v>
      </c>
      <c r="AP184" s="19"/>
      <c r="AQ184" s="62">
        <f t="shared" ca="1" si="51"/>
        <v>0.78885711492227328</v>
      </c>
      <c r="AR184" s="62">
        <f t="shared" ca="1" si="52"/>
        <v>0.68336708733716023</v>
      </c>
      <c r="AS184" s="62">
        <f t="shared" ca="1" si="53"/>
        <v>0.82349119618750144</v>
      </c>
      <c r="AT184" s="49"/>
    </row>
    <row r="185" spans="1:46" x14ac:dyDescent="0.3">
      <c r="A185" s="5">
        <v>43731</v>
      </c>
      <c r="B185" s="6">
        <v>54.900002000000001</v>
      </c>
      <c r="C185" s="6">
        <v>92.730002999999996</v>
      </c>
      <c r="D185" s="6">
        <v>84.139999000000003</v>
      </c>
      <c r="F185" s="13">
        <v>182</v>
      </c>
      <c r="G185" s="5">
        <v>43731</v>
      </c>
      <c r="H185" s="15">
        <f t="shared" si="49"/>
        <v>-3.2733252259173331E-3</v>
      </c>
      <c r="I185" s="15">
        <f t="shared" si="49"/>
        <v>-2.5847940598006311E-3</v>
      </c>
      <c r="J185" s="15">
        <f t="shared" si="49"/>
        <v>1.545034654486168E-2</v>
      </c>
      <c r="K185" s="22"/>
      <c r="L185" s="13">
        <v>182</v>
      </c>
      <c r="M185" s="5">
        <v>43731</v>
      </c>
      <c r="N185" s="26">
        <f t="shared" si="46"/>
        <v>0.97099400475779973</v>
      </c>
      <c r="O185" s="26">
        <f t="shared" si="47"/>
        <v>0.87945752315141257</v>
      </c>
      <c r="P185" s="26">
        <f t="shared" si="48"/>
        <v>1.1135521602316614</v>
      </c>
      <c r="Q185" s="22"/>
      <c r="AD185" s="59">
        <v>181</v>
      </c>
      <c r="AE185" s="61">
        <f t="shared" ca="1" si="50"/>
        <v>1.3357718165047943</v>
      </c>
      <c r="AF185" s="61">
        <f t="shared" ca="1" si="50"/>
        <v>2.8991610675182841E-2</v>
      </c>
      <c r="AG185" s="61">
        <f t="shared" ca="1" si="50"/>
        <v>0.89578294823269633</v>
      </c>
      <c r="AH185" s="19"/>
      <c r="AI185" s="61">
        <f ca="1"/>
        <v>2.8965256524621716E-2</v>
      </c>
      <c r="AJ185" s="61">
        <f ca="1"/>
        <v>2.1538114013420612E-2</v>
      </c>
      <c r="AK185" s="61">
        <f ca="1"/>
        <v>4.2890849197149417E-2</v>
      </c>
      <c r="AL185" s="19"/>
      <c r="AM185" s="61">
        <f t="shared" ca="1" si="54"/>
        <v>2.9316472847131961E-2</v>
      </c>
      <c r="AN185" s="61">
        <f t="shared" ca="1" si="55"/>
        <v>2.1787166610337142E-2</v>
      </c>
      <c r="AO185" s="61">
        <f t="shared" ca="1" si="56"/>
        <v>4.3322517800404234E-2</v>
      </c>
      <c r="AP185" s="19"/>
      <c r="AQ185" s="62">
        <f t="shared" ca="1" si="51"/>
        <v>0.81232595406017583</v>
      </c>
      <c r="AR185" s="62">
        <f t="shared" ca="1" si="52"/>
        <v>0.69841909481908915</v>
      </c>
      <c r="AS185" s="62">
        <f t="shared" ca="1" si="53"/>
        <v>0.85995097055120395</v>
      </c>
      <c r="AT185" s="49"/>
    </row>
    <row r="186" spans="1:46" x14ac:dyDescent="0.3">
      <c r="A186" s="5">
        <v>43732</v>
      </c>
      <c r="B186" s="6">
        <v>54.259998000000003</v>
      </c>
      <c r="C186" s="6">
        <v>92.599997999999999</v>
      </c>
      <c r="D186" s="6">
        <v>83.099997999999999</v>
      </c>
      <c r="F186" s="13">
        <v>183</v>
      </c>
      <c r="G186" s="5">
        <v>43732</v>
      </c>
      <c r="H186" s="15">
        <f t="shared" si="49"/>
        <v>-1.1726114574136739E-2</v>
      </c>
      <c r="I186" s="15">
        <f t="shared" si="49"/>
        <v>-1.4029571102623514E-3</v>
      </c>
      <c r="J186" s="15">
        <f t="shared" si="49"/>
        <v>-1.2437388483407667E-2</v>
      </c>
      <c r="K186" s="22"/>
      <c r="L186" s="13">
        <v>183</v>
      </c>
      <c r="M186" s="5">
        <v>43732</v>
      </c>
      <c r="N186" s="26">
        <f t="shared" si="46"/>
        <v>0.95967451433189765</v>
      </c>
      <c r="O186" s="26">
        <f t="shared" si="47"/>
        <v>0.87822454707464814</v>
      </c>
      <c r="P186" s="26">
        <f t="shared" si="48"/>
        <v>1.0997882503914307</v>
      </c>
      <c r="Q186" s="22"/>
      <c r="AD186" s="59">
        <v>182</v>
      </c>
      <c r="AE186" s="61">
        <f t="shared" ca="1" si="50"/>
        <v>1.3705508994465174</v>
      </c>
      <c r="AF186" s="61">
        <f t="shared" ca="1" si="50"/>
        <v>1.6526415496176263</v>
      </c>
      <c r="AG186" s="61">
        <f t="shared" ca="1" si="50"/>
        <v>-0.66083566532436</v>
      </c>
      <c r="AH186" s="19"/>
      <c r="AI186" s="61">
        <f ca="1"/>
        <v>2.9719416064934556E-2</v>
      </c>
      <c r="AJ186" s="61">
        <f ca="1"/>
        <v>5.7374171641060678E-2</v>
      </c>
      <c r="AK186" s="61">
        <f ca="1"/>
        <v>1.4958720987628661E-2</v>
      </c>
      <c r="AL186" s="19"/>
      <c r="AM186" s="61">
        <f t="shared" ca="1" si="54"/>
        <v>3.0070632387444802E-2</v>
      </c>
      <c r="AN186" s="61">
        <f t="shared" ca="1" si="55"/>
        <v>5.7623224237977208E-2</v>
      </c>
      <c r="AO186" s="61">
        <f t="shared" ca="1" si="56"/>
        <v>1.539038959088348E-2</v>
      </c>
      <c r="AP186" s="19"/>
      <c r="AQ186" s="62">
        <f t="shared" ca="1" si="51"/>
        <v>0.83712408839424601</v>
      </c>
      <c r="AR186" s="62">
        <f t="shared" ca="1" si="52"/>
        <v>0.73984637936594577</v>
      </c>
      <c r="AS186" s="62">
        <f t="shared" ca="1" si="53"/>
        <v>0.87328832126828571</v>
      </c>
      <c r="AT186" s="49"/>
    </row>
    <row r="187" spans="1:46" x14ac:dyDescent="0.3">
      <c r="A187" s="5">
        <v>43733</v>
      </c>
      <c r="B187" s="6">
        <v>55.119999</v>
      </c>
      <c r="C187" s="6">
        <v>94.019997000000004</v>
      </c>
      <c r="D187" s="6">
        <v>83.660004000000001</v>
      </c>
      <c r="F187" s="13">
        <v>184</v>
      </c>
      <c r="G187" s="5">
        <v>43733</v>
      </c>
      <c r="H187" s="15">
        <f t="shared" si="49"/>
        <v>1.5725338191947855E-2</v>
      </c>
      <c r="I187" s="15">
        <f t="shared" si="49"/>
        <v>1.5218373634018055E-2</v>
      </c>
      <c r="J187" s="15">
        <f t="shared" si="49"/>
        <v>6.7163360326123718E-3</v>
      </c>
      <c r="K187" s="22"/>
      <c r="L187" s="13">
        <v>184</v>
      </c>
      <c r="M187" s="5">
        <v>43733</v>
      </c>
      <c r="N187" s="26">
        <f t="shared" si="46"/>
        <v>0.97488500221285812</v>
      </c>
      <c r="O187" s="26">
        <f t="shared" si="47"/>
        <v>0.89169191214544929</v>
      </c>
      <c r="P187" s="26">
        <f t="shared" si="48"/>
        <v>1.1071996587400652</v>
      </c>
      <c r="Q187" s="22"/>
      <c r="AD187" s="59">
        <v>183</v>
      </c>
      <c r="AE187" s="61">
        <f t="shared" ca="1" si="50"/>
        <v>-0.34229408232694974</v>
      </c>
      <c r="AF187" s="61">
        <f t="shared" ca="1" si="50"/>
        <v>6.2065416868027815E-2</v>
      </c>
      <c r="AG187" s="61">
        <f t="shared" ca="1" si="50"/>
        <v>1.6772495427944891</v>
      </c>
      <c r="AH187" s="19"/>
      <c r="AI187" s="61">
        <f ca="1"/>
        <v>-7.4224023736351218E-3</v>
      </c>
      <c r="AJ187" s="61">
        <f ca="1"/>
        <v>-4.0086476497342384E-3</v>
      </c>
      <c r="AK187" s="61">
        <f ca="1"/>
        <v>3.8350569278348012E-2</v>
      </c>
      <c r="AL187" s="19"/>
      <c r="AM187" s="61">
        <f t="shared" ca="1" si="54"/>
        <v>-7.0711860511248779E-3</v>
      </c>
      <c r="AN187" s="61">
        <f t="shared" ca="1" si="55"/>
        <v>-3.7595950528177078E-3</v>
      </c>
      <c r="AO187" s="61">
        <f t="shared" ca="1" si="56"/>
        <v>3.878223788160283E-2</v>
      </c>
      <c r="AP187" s="19"/>
      <c r="AQ187" s="62">
        <f t="shared" ca="1" si="51"/>
        <v>0.8312255077760472</v>
      </c>
      <c r="AR187" s="62">
        <f t="shared" ca="1" si="52"/>
        <v>0.73707007873144881</v>
      </c>
      <c r="AS187" s="62">
        <f t="shared" ca="1" si="53"/>
        <v>0.90782170946640983</v>
      </c>
      <c r="AT187" s="49"/>
    </row>
    <row r="188" spans="1:46" x14ac:dyDescent="0.3">
      <c r="A188" s="5">
        <v>43734</v>
      </c>
      <c r="B188" s="6">
        <v>54.970001000000003</v>
      </c>
      <c r="C188" s="6">
        <v>93.129997000000003</v>
      </c>
      <c r="D188" s="6">
        <v>83.120002999999997</v>
      </c>
      <c r="F188" s="13">
        <v>185</v>
      </c>
      <c r="G188" s="5">
        <v>43734</v>
      </c>
      <c r="H188" s="15">
        <f t="shared" si="49"/>
        <v>-2.7250084988580218E-3</v>
      </c>
      <c r="I188" s="15">
        <f t="shared" si="49"/>
        <v>-9.5111593673488579E-3</v>
      </c>
      <c r="J188" s="15">
        <f t="shared" si="49"/>
        <v>-6.4756309432581803E-3</v>
      </c>
      <c r="K188" s="22"/>
      <c r="L188" s="13">
        <v>185</v>
      </c>
      <c r="M188" s="5">
        <v>43734</v>
      </c>
      <c r="N188" s="26">
        <f t="shared" si="46"/>
        <v>0.97223204859865509</v>
      </c>
      <c r="O188" s="26">
        <f t="shared" si="47"/>
        <v>0.88325109288218717</v>
      </c>
      <c r="P188" s="26">
        <f t="shared" si="48"/>
        <v>1.1000530068833512</v>
      </c>
      <c r="Q188" s="22"/>
      <c r="AD188" s="59">
        <v>184</v>
      </c>
      <c r="AE188" s="61">
        <f t="shared" ca="1" si="50"/>
        <v>-1.3350840623434888</v>
      </c>
      <c r="AF188" s="61">
        <f t="shared" ca="1" si="50"/>
        <v>0.36838997515869565</v>
      </c>
      <c r="AG188" s="61">
        <f t="shared" ca="1" si="50"/>
        <v>-3.5675937549457824E-2</v>
      </c>
      <c r="AH188" s="19"/>
      <c r="AI188" s="61">
        <f ca="1"/>
        <v>-2.895034306750131E-2</v>
      </c>
      <c r="AJ188" s="61">
        <f ca="1"/>
        <v>-1.2889855904419522E-2</v>
      </c>
      <c r="AK188" s="61">
        <f ca="1"/>
        <v>-1.8046240054775439E-2</v>
      </c>
      <c r="AL188" s="19"/>
      <c r="AM188" s="61">
        <f t="shared" ca="1" si="54"/>
        <v>-2.8599126744991064E-2</v>
      </c>
      <c r="AN188" s="61">
        <f t="shared" ca="1" si="55"/>
        <v>-1.2640803307502991E-2</v>
      </c>
      <c r="AO188" s="61">
        <f t="shared" ca="1" si="56"/>
        <v>-1.7614571451520622E-2</v>
      </c>
      <c r="AP188" s="19"/>
      <c r="AQ188" s="62">
        <f t="shared" ca="1" si="51"/>
        <v>0.80778990040801546</v>
      </c>
      <c r="AR188" s="62">
        <f t="shared" ca="1" si="52"/>
        <v>0.72781156167335503</v>
      </c>
      <c r="AS188" s="62">
        <f t="shared" ca="1" si="53"/>
        <v>0.89197083214499961</v>
      </c>
      <c r="AT188" s="49"/>
    </row>
    <row r="189" spans="1:46" x14ac:dyDescent="0.3">
      <c r="A189" s="5">
        <v>43735</v>
      </c>
      <c r="B189" s="6">
        <v>54.619999</v>
      </c>
      <c r="C189" s="6">
        <v>94.239998</v>
      </c>
      <c r="D189" s="6">
        <v>84.440002000000007</v>
      </c>
      <c r="F189" s="13">
        <v>186</v>
      </c>
      <c r="G189" s="5">
        <v>43735</v>
      </c>
      <c r="H189" s="15">
        <f t="shared" si="49"/>
        <v>-6.3875023270630344E-3</v>
      </c>
      <c r="I189" s="15">
        <f t="shared" si="49"/>
        <v>1.1848364360334965E-2</v>
      </c>
      <c r="J189" s="15">
        <f t="shared" si="49"/>
        <v>1.5755863782209046E-2</v>
      </c>
      <c r="K189" s="22"/>
      <c r="L189" s="13">
        <v>186</v>
      </c>
      <c r="M189" s="5">
        <v>43735</v>
      </c>
      <c r="N189" s="26">
        <f t="shared" si="46"/>
        <v>0.966041705588226</v>
      </c>
      <c r="O189" s="26">
        <f t="shared" si="47"/>
        <v>0.89377841627886156</v>
      </c>
      <c r="P189" s="26">
        <f t="shared" si="48"/>
        <v>1.1175225547253194</v>
      </c>
      <c r="Q189" s="22"/>
      <c r="AD189" s="59">
        <v>185</v>
      </c>
      <c r="AE189" s="61">
        <f t="shared" ca="1" si="50"/>
        <v>0.25829679035571124</v>
      </c>
      <c r="AF189" s="61">
        <f t="shared" ca="1" si="50"/>
        <v>1.4901143771707615</v>
      </c>
      <c r="AG189" s="61">
        <f t="shared" ca="1" si="50"/>
        <v>0.1261567542492395</v>
      </c>
      <c r="AH189" s="19"/>
      <c r="AI189" s="61">
        <f ca="1"/>
        <v>5.6009811703590165E-3</v>
      </c>
      <c r="AJ189" s="61">
        <f ca="1"/>
        <v>3.6432100992195147E-2</v>
      </c>
      <c r="AK189" s="61">
        <f ca="1"/>
        <v>1.7542678414570339E-2</v>
      </c>
      <c r="AL189" s="19"/>
      <c r="AM189" s="61">
        <f t="shared" ca="1" si="54"/>
        <v>5.9521974928692604E-3</v>
      </c>
      <c r="AN189" s="61">
        <f t="shared" ca="1" si="55"/>
        <v>3.6681153589111677E-2</v>
      </c>
      <c r="AO189" s="61">
        <f t="shared" ca="1" si="56"/>
        <v>1.7974347017825156E-2</v>
      </c>
      <c r="AP189" s="19"/>
      <c r="AQ189" s="62">
        <f t="shared" ca="1" si="51"/>
        <v>0.81261236331603159</v>
      </c>
      <c r="AR189" s="62">
        <f t="shared" ca="1" si="52"/>
        <v>0.75500420926934098</v>
      </c>
      <c r="AS189" s="62">
        <f t="shared" ca="1" si="53"/>
        <v>0.90814838029660439</v>
      </c>
      <c r="AT189" s="49"/>
    </row>
    <row r="190" spans="1:46" x14ac:dyDescent="0.3">
      <c r="A190" s="5">
        <v>43738</v>
      </c>
      <c r="B190" s="6">
        <v>55.66</v>
      </c>
      <c r="C190" s="6">
        <v>95.470000999999996</v>
      </c>
      <c r="D190" s="6">
        <v>85.239998</v>
      </c>
      <c r="F190" s="13">
        <v>187</v>
      </c>
      <c r="G190" s="5">
        <v>43738</v>
      </c>
      <c r="H190" s="15">
        <f t="shared" si="49"/>
        <v>1.886165836049777E-2</v>
      </c>
      <c r="I190" s="15">
        <f t="shared" si="49"/>
        <v>1.2967373803570882E-2</v>
      </c>
      <c r="J190" s="15">
        <f t="shared" si="49"/>
        <v>9.4295371016763999E-3</v>
      </c>
      <c r="K190" s="22"/>
      <c r="L190" s="13">
        <v>187</v>
      </c>
      <c r="M190" s="5">
        <v>43738</v>
      </c>
      <c r="N190" s="26">
        <f t="shared" si="46"/>
        <v>0.98443578025405409</v>
      </c>
      <c r="O190" s="26">
        <f t="shared" si="47"/>
        <v>0.90544384663422128</v>
      </c>
      <c r="P190" s="26">
        <f t="shared" si="48"/>
        <v>1.1281101145608818</v>
      </c>
      <c r="Q190" s="22"/>
      <c r="AD190" s="59">
        <v>186</v>
      </c>
      <c r="AE190" s="61">
        <f t="shared" ca="1" si="50"/>
        <v>-0.33168071613627909</v>
      </c>
      <c r="AF190" s="61">
        <f t="shared" ca="1" si="50"/>
        <v>1.4532482636440438</v>
      </c>
      <c r="AG190" s="61">
        <f t="shared" ca="1" si="50"/>
        <v>-1.4321903600585557</v>
      </c>
      <c r="AH190" s="19"/>
      <c r="AI190" s="61">
        <f ca="1"/>
        <v>-7.1922591182496916E-3</v>
      </c>
      <c r="AJ190" s="61">
        <f ca="1"/>
        <v>2.6396251203694415E-2</v>
      </c>
      <c r="AK190" s="61">
        <f ca="1"/>
        <v>-3.135897267736594E-2</v>
      </c>
      <c r="AL190" s="19"/>
      <c r="AM190" s="61">
        <f t="shared" ca="1" si="54"/>
        <v>-6.8410427957394477E-3</v>
      </c>
      <c r="AN190" s="61">
        <f t="shared" ca="1" si="55"/>
        <v>2.6645303800610944E-2</v>
      </c>
      <c r="AO190" s="61">
        <f t="shared" ca="1" si="56"/>
        <v>-3.0927304074111123E-2</v>
      </c>
      <c r="AP190" s="19"/>
      <c r="AQ190" s="62">
        <f t="shared" ca="1" si="51"/>
        <v>0.80707221915038929</v>
      </c>
      <c r="AR190" s="62">
        <f t="shared" ca="1" si="52"/>
        <v>0.7753919381991502</v>
      </c>
      <c r="AS190" s="62">
        <f t="shared" ca="1" si="53"/>
        <v>0.88049167725732114</v>
      </c>
      <c r="AT190" s="49"/>
    </row>
    <row r="191" spans="1:46" x14ac:dyDescent="0.3">
      <c r="A191" s="5">
        <v>43739</v>
      </c>
      <c r="B191" s="6">
        <v>53.990001999999997</v>
      </c>
      <c r="C191" s="6">
        <v>91.540001000000004</v>
      </c>
      <c r="D191" s="6">
        <v>85.220000999999996</v>
      </c>
      <c r="F191" s="13">
        <v>188</v>
      </c>
      <c r="G191" s="5">
        <v>43739</v>
      </c>
      <c r="H191" s="15">
        <f t="shared" si="49"/>
        <v>-3.0462874823652827E-2</v>
      </c>
      <c r="I191" s="15">
        <f t="shared" si="49"/>
        <v>-4.2036026334754159E-2</v>
      </c>
      <c r="J191" s="15">
        <f t="shared" si="49"/>
        <v>-2.3462396115270551E-4</v>
      </c>
      <c r="K191" s="22"/>
      <c r="L191" s="13">
        <v>188</v>
      </c>
      <c r="M191" s="5">
        <v>43739</v>
      </c>
      <c r="N191" s="26">
        <f t="shared" si="46"/>
        <v>0.95489920490096913</v>
      </c>
      <c r="O191" s="26">
        <f t="shared" si="47"/>
        <v>0.86817146494363684</v>
      </c>
      <c r="P191" s="26">
        <f t="shared" si="48"/>
        <v>1.127845463945089</v>
      </c>
      <c r="Q191" s="22"/>
      <c r="AD191" s="59">
        <v>187</v>
      </c>
      <c r="AE191" s="61">
        <f t="shared" ca="1" si="50"/>
        <v>-0.99090891470204012</v>
      </c>
      <c r="AF191" s="61">
        <f t="shared" ca="1" si="50"/>
        <v>0.34680812487695967</v>
      </c>
      <c r="AG191" s="61">
        <f t="shared" ca="1" si="50"/>
        <v>5.9505329848445462E-2</v>
      </c>
      <c r="AH191" s="19"/>
      <c r="AI191" s="61">
        <f ca="1"/>
        <v>-2.1487151137820158E-2</v>
      </c>
      <c r="AJ191" s="61">
        <f ca="1"/>
        <v>-7.9718136684112425E-3</v>
      </c>
      <c r="AK191" s="61">
        <f ca="1"/>
        <v>-1.0674313843302613E-2</v>
      </c>
      <c r="AL191" s="19"/>
      <c r="AM191" s="61">
        <f t="shared" ca="1" si="54"/>
        <v>-2.1135934815309912E-2</v>
      </c>
      <c r="AN191" s="61">
        <f t="shared" ca="1" si="55"/>
        <v>-7.7227610714947119E-3</v>
      </c>
      <c r="AO191" s="61">
        <f t="shared" ca="1" si="56"/>
        <v>-1.0242645240047794E-2</v>
      </c>
      <c r="AP191" s="19"/>
      <c r="AQ191" s="62">
        <f t="shared" ca="1" si="51"/>
        <v>0.79019300072857479</v>
      </c>
      <c r="AR191" s="62">
        <f t="shared" ca="1" si="52"/>
        <v>0.76942683470525119</v>
      </c>
      <c r="AS191" s="62">
        <f t="shared" ca="1" si="53"/>
        <v>0.87151914305629752</v>
      </c>
      <c r="AT191" s="49"/>
    </row>
    <row r="192" spans="1:46" x14ac:dyDescent="0.3">
      <c r="A192" s="5">
        <v>43740</v>
      </c>
      <c r="B192" s="6">
        <v>53.830002</v>
      </c>
      <c r="C192" s="6">
        <v>89.480002999999996</v>
      </c>
      <c r="D192" s="6">
        <v>82.800003000000004</v>
      </c>
      <c r="F192" s="13">
        <v>189</v>
      </c>
      <c r="G192" s="5">
        <v>43740</v>
      </c>
      <c r="H192" s="15">
        <f t="shared" si="49"/>
        <v>-2.9679115472232985E-3</v>
      </c>
      <c r="I192" s="15">
        <f t="shared" si="49"/>
        <v>-2.2760876000708714E-2</v>
      </c>
      <c r="J192" s="15">
        <f t="shared" si="49"/>
        <v>-2.880806218300307E-2</v>
      </c>
      <c r="K192" s="22"/>
      <c r="L192" s="13">
        <v>189</v>
      </c>
      <c r="M192" s="5">
        <v>43740</v>
      </c>
      <c r="N192" s="26">
        <f t="shared" si="46"/>
        <v>0.95206934998108694</v>
      </c>
      <c r="O192" s="26">
        <f t="shared" si="47"/>
        <v>0.84863430674062379</v>
      </c>
      <c r="P192" s="26">
        <f t="shared" si="48"/>
        <v>1.0958179617739008</v>
      </c>
      <c r="Q192" s="22"/>
      <c r="AD192" s="59">
        <v>188</v>
      </c>
      <c r="AE192" s="61">
        <f t="shared" ca="1" si="50"/>
        <v>-1.0323292670554394</v>
      </c>
      <c r="AF192" s="61">
        <f t="shared" ca="1" si="50"/>
        <v>0.33817129278321134</v>
      </c>
      <c r="AG192" s="61">
        <f t="shared" ca="1" si="50"/>
        <v>0.69709957308142567</v>
      </c>
      <c r="AH192" s="19"/>
      <c r="AI192" s="61">
        <f ca="1"/>
        <v>-2.2385321855627124E-2</v>
      </c>
      <c r="AJ192" s="61">
        <f ca="1"/>
        <v>-8.8078693546299446E-3</v>
      </c>
      <c r="AK192" s="61">
        <f ca="1"/>
        <v>4.9879891738860305E-3</v>
      </c>
      <c r="AL192" s="19"/>
      <c r="AM192" s="61">
        <f t="shared" ca="1" si="54"/>
        <v>-2.2034105533116879E-2</v>
      </c>
      <c r="AN192" s="61">
        <f t="shared" ca="1" si="55"/>
        <v>-8.5588167577134132E-3</v>
      </c>
      <c r="AO192" s="61">
        <f t="shared" ca="1" si="56"/>
        <v>5.4196577771408487E-3</v>
      </c>
      <c r="AP192" s="19"/>
      <c r="AQ192" s="62">
        <f t="shared" ca="1" si="51"/>
        <v>0.7729722236892077</v>
      </c>
      <c r="AR192" s="62">
        <f t="shared" ca="1" si="52"/>
        <v>0.76286955273447044</v>
      </c>
      <c r="AS192" s="62">
        <f t="shared" ca="1" si="53"/>
        <v>0.87625530114309114</v>
      </c>
      <c r="AT192" s="49"/>
    </row>
    <row r="193" spans="1:46" x14ac:dyDescent="0.3">
      <c r="A193" s="5">
        <v>43741</v>
      </c>
      <c r="B193" s="6">
        <v>52.759998000000003</v>
      </c>
      <c r="C193" s="6">
        <v>91.970000999999996</v>
      </c>
      <c r="D193" s="6">
        <v>83.540001000000004</v>
      </c>
      <c r="F193" s="13">
        <v>190</v>
      </c>
      <c r="G193" s="5">
        <v>43741</v>
      </c>
      <c r="H193" s="15">
        <f t="shared" si="49"/>
        <v>-2.0077679785261066E-2</v>
      </c>
      <c r="I193" s="15">
        <f t="shared" si="49"/>
        <v>2.7447277638743536E-2</v>
      </c>
      <c r="J193" s="15">
        <f t="shared" si="49"/>
        <v>8.8974734162453155E-3</v>
      </c>
      <c r="K193" s="22"/>
      <c r="L193" s="13">
        <v>190</v>
      </c>
      <c r="M193" s="5">
        <v>43741</v>
      </c>
      <c r="N193" s="26">
        <f t="shared" si="46"/>
        <v>0.93314462445800106</v>
      </c>
      <c r="O193" s="26">
        <f t="shared" si="47"/>
        <v>0.87224961357644881</v>
      </c>
      <c r="P193" s="26">
        <f t="shared" si="48"/>
        <v>1.1056114771204733</v>
      </c>
      <c r="Q193" s="22"/>
      <c r="AD193" s="59">
        <v>189</v>
      </c>
      <c r="AE193" s="61">
        <f t="shared" ca="1" si="50"/>
        <v>0.8539382249698696</v>
      </c>
      <c r="AF193" s="61">
        <f t="shared" ca="1" si="50"/>
        <v>0.41121548929498741</v>
      </c>
      <c r="AG193" s="61">
        <f t="shared" ca="1" si="50"/>
        <v>-2.4617389246342878</v>
      </c>
      <c r="AH193" s="19"/>
      <c r="AI193" s="61">
        <f ca="1"/>
        <v>1.8517039689573078E-2</v>
      </c>
      <c r="AJ193" s="61">
        <f ca="1"/>
        <v>2.2304316776004647E-2</v>
      </c>
      <c r="AK193" s="61">
        <f ca="1"/>
        <v>-4.7556268260529368E-2</v>
      </c>
      <c r="AL193" s="19"/>
      <c r="AM193" s="61">
        <f t="shared" ca="1" si="54"/>
        <v>1.8868256012083324E-2</v>
      </c>
      <c r="AN193" s="61">
        <f t="shared" ca="1" si="55"/>
        <v>2.2553369372921177E-2</v>
      </c>
      <c r="AO193" s="61">
        <f t="shared" ca="1" si="56"/>
        <v>-4.712459965727455E-2</v>
      </c>
      <c r="AP193" s="19"/>
      <c r="AQ193" s="62">
        <f t="shared" ca="1" si="51"/>
        <v>0.78769532431563327</v>
      </c>
      <c r="AR193" s="62">
        <f t="shared" ca="1" si="52"/>
        <v>0.78027031689628246</v>
      </c>
      <c r="AS193" s="62">
        <f t="shared" ca="1" si="53"/>
        <v>0.83591997806047402</v>
      </c>
      <c r="AT193" s="49"/>
    </row>
    <row r="194" spans="1:46" x14ac:dyDescent="0.3">
      <c r="A194" s="5">
        <v>43742</v>
      </c>
      <c r="B194" s="6">
        <v>54.09</v>
      </c>
      <c r="C194" s="6">
        <v>91.449996999999996</v>
      </c>
      <c r="D194" s="6">
        <v>84.519997000000004</v>
      </c>
      <c r="F194" s="13">
        <v>191</v>
      </c>
      <c r="G194" s="5">
        <v>43742</v>
      </c>
      <c r="H194" s="15">
        <f t="shared" si="49"/>
        <v>2.4896035941728126E-2</v>
      </c>
      <c r="I194" s="15">
        <f t="shared" si="49"/>
        <v>-5.6701057556541772E-3</v>
      </c>
      <c r="J194" s="15">
        <f t="shared" si="49"/>
        <v>1.1662586213955014E-2</v>
      </c>
      <c r="K194" s="22"/>
      <c r="L194" s="13">
        <v>191</v>
      </c>
      <c r="M194" s="5">
        <v>43742</v>
      </c>
      <c r="N194" s="26">
        <f t="shared" si="46"/>
        <v>0.95666782885270918</v>
      </c>
      <c r="O194" s="26">
        <f t="shared" si="47"/>
        <v>0.86731786101445629</v>
      </c>
      <c r="P194" s="26">
        <f t="shared" si="48"/>
        <v>1.118581249830102</v>
      </c>
      <c r="Q194" s="22"/>
      <c r="AD194" s="59">
        <v>190</v>
      </c>
      <c r="AE194" s="61">
        <f t="shared" ca="1" si="50"/>
        <v>1.3472211442937709</v>
      </c>
      <c r="AF194" s="61">
        <f t="shared" ca="1" si="50"/>
        <v>-0.20762507700521088</v>
      </c>
      <c r="AG194" s="61">
        <f t="shared" ca="1" si="50"/>
        <v>-1.3539700334214408</v>
      </c>
      <c r="AH194" s="19"/>
      <c r="AI194" s="61">
        <f ca="1"/>
        <v>2.9213527009404022E-2</v>
      </c>
      <c r="AJ194" s="61">
        <f ca="1"/>
        <v>1.6574218270136568E-2</v>
      </c>
      <c r="AK194" s="61">
        <f ca="1"/>
        <v>-1.6244914855939499E-2</v>
      </c>
      <c r="AL194" s="19"/>
      <c r="AM194" s="61">
        <f t="shared" ca="1" si="54"/>
        <v>2.9564743331914268E-2</v>
      </c>
      <c r="AN194" s="61">
        <f t="shared" ca="1" si="55"/>
        <v>1.6823270867053097E-2</v>
      </c>
      <c r="AO194" s="61">
        <f t="shared" ca="1" si="56"/>
        <v>-1.5813246252684682E-2</v>
      </c>
      <c r="AP194" s="19"/>
      <c r="AQ194" s="62">
        <f t="shared" ca="1" si="51"/>
        <v>0.81133100422159954</v>
      </c>
      <c r="AR194" s="62">
        <f t="shared" ca="1" si="52"/>
        <v>0.79350805459718909</v>
      </c>
      <c r="AS194" s="62">
        <f t="shared" ca="1" si="53"/>
        <v>0.82280533542144596</v>
      </c>
      <c r="AT194" s="49"/>
    </row>
    <row r="195" spans="1:46" x14ac:dyDescent="0.3">
      <c r="A195" s="5">
        <v>43745</v>
      </c>
      <c r="B195" s="6">
        <v>54.009998000000003</v>
      </c>
      <c r="C195" s="6">
        <v>91.559997999999993</v>
      </c>
      <c r="D195" s="6">
        <v>83.419998000000007</v>
      </c>
      <c r="F195" s="13">
        <v>192</v>
      </c>
      <c r="G195" s="5">
        <v>43745</v>
      </c>
      <c r="H195" s="15">
        <f t="shared" si="49"/>
        <v>-1.4801483087161309E-3</v>
      </c>
      <c r="I195" s="15">
        <f t="shared" si="49"/>
        <v>1.2021312087029501E-3</v>
      </c>
      <c r="J195" s="15">
        <f t="shared" si="49"/>
        <v>-1.3100092459564849E-2</v>
      </c>
      <c r="K195" s="22"/>
      <c r="L195" s="13">
        <v>192</v>
      </c>
      <c r="M195" s="5">
        <v>43745</v>
      </c>
      <c r="N195" s="26">
        <f t="shared" si="46"/>
        <v>0.95525286601958159</v>
      </c>
      <c r="O195" s="26">
        <f t="shared" si="47"/>
        <v>0.86836111782319569</v>
      </c>
      <c r="P195" s="26">
        <f t="shared" si="48"/>
        <v>1.1040232955008815</v>
      </c>
      <c r="Q195" s="22"/>
      <c r="AD195" s="59">
        <v>191</v>
      </c>
      <c r="AE195" s="61">
        <f t="shared" ca="1" si="50"/>
        <v>-0.61521804246482537</v>
      </c>
      <c r="AF195" s="61">
        <f t="shared" ca="1" si="50"/>
        <v>0.36975176688942946</v>
      </c>
      <c r="AG195" s="61">
        <f t="shared" ca="1" si="50"/>
        <v>-0.21121730696559865</v>
      </c>
      <c r="AH195" s="19"/>
      <c r="AI195" s="61">
        <f ca="1"/>
        <v>-1.3340563259672072E-2</v>
      </c>
      <c r="AJ195" s="61">
        <f ca="1"/>
        <v>-1.5926697766012916E-3</v>
      </c>
      <c r="AK195" s="61">
        <f ca="1"/>
        <v>-1.1897598164103015E-2</v>
      </c>
      <c r="AL195" s="19"/>
      <c r="AM195" s="61">
        <f t="shared" ca="1" si="54"/>
        <v>-1.2989346937161828E-2</v>
      </c>
      <c r="AN195" s="61">
        <f t="shared" ca="1" si="55"/>
        <v>-1.3436171796847611E-3</v>
      </c>
      <c r="AO195" s="61">
        <f t="shared" ca="1" si="56"/>
        <v>-1.1465929560848196E-2</v>
      </c>
      <c r="AP195" s="19"/>
      <c r="AQ195" s="62">
        <f t="shared" ca="1" si="51"/>
        <v>0.80086049408894333</v>
      </c>
      <c r="AR195" s="62">
        <f t="shared" ca="1" si="52"/>
        <v>0.79244259948500007</v>
      </c>
      <c r="AS195" s="62">
        <f t="shared" ca="1" si="53"/>
        <v>0.8134249873755709</v>
      </c>
      <c r="AT195" s="49"/>
    </row>
    <row r="196" spans="1:46" x14ac:dyDescent="0.3">
      <c r="A196" s="5">
        <v>43746</v>
      </c>
      <c r="B196" s="6">
        <v>52.740001999999997</v>
      </c>
      <c r="C196" s="6">
        <v>89.980002999999996</v>
      </c>
      <c r="D196" s="6">
        <v>83.32</v>
      </c>
      <c r="F196" s="13">
        <v>193</v>
      </c>
      <c r="G196" s="5">
        <v>43746</v>
      </c>
      <c r="H196" s="15">
        <f t="shared" si="49"/>
        <v>-2.379495872759874E-2</v>
      </c>
      <c r="I196" s="15">
        <f t="shared" si="49"/>
        <v>-1.7407016486997776E-2</v>
      </c>
      <c r="J196" s="15">
        <f t="shared" si="49"/>
        <v>-1.1994484009619276E-3</v>
      </c>
      <c r="K196" s="22"/>
      <c r="L196" s="13">
        <v>193</v>
      </c>
      <c r="M196" s="5">
        <v>43746</v>
      </c>
      <c r="N196" s="26">
        <f t="shared" ref="N196:N259" si="57">B196/B$3</f>
        <v>0.93279096333938871</v>
      </c>
      <c r="O196" s="26">
        <f t="shared" ref="O196:O259" si="58">C196/C$3</f>
        <v>0.85337634003459129</v>
      </c>
      <c r="P196" s="26">
        <f t="shared" ref="P196:P259" si="59">D196/D$3</f>
        <v>1.1026998703732098</v>
      </c>
      <c r="Q196" s="22"/>
      <c r="AD196" s="59">
        <v>192</v>
      </c>
      <c r="AE196" s="61">
        <f t="shared" ca="1" si="50"/>
        <v>1.0133591332316827</v>
      </c>
      <c r="AF196" s="61">
        <f t="shared" ca="1" si="50"/>
        <v>-1.4838281306496768</v>
      </c>
      <c r="AG196" s="61">
        <f t="shared" ca="1" si="50"/>
        <v>0.48627213829033633</v>
      </c>
      <c r="AH196" s="19"/>
      <c r="AI196" s="61">
        <f ca="1"/>
        <v>2.1973968070705025E-2</v>
      </c>
      <c r="AJ196" s="61">
        <f ca="1"/>
        <v>-1.6391074795773113E-2</v>
      </c>
      <c r="AK196" s="61">
        <f ca="1"/>
        <v>1.6981403631827006E-2</v>
      </c>
      <c r="AL196" s="19"/>
      <c r="AM196" s="61">
        <f t="shared" ca="1" si="54"/>
        <v>2.2325184393215271E-2</v>
      </c>
      <c r="AN196" s="61">
        <f t="shared" ca="1" si="55"/>
        <v>-1.6142022198856583E-2</v>
      </c>
      <c r="AO196" s="61">
        <f t="shared" ca="1" si="56"/>
        <v>1.7413072235081824E-2</v>
      </c>
      <c r="AP196" s="19"/>
      <c r="AQ196" s="62">
        <f t="shared" ca="1" si="51"/>
        <v>0.81894092582367362</v>
      </c>
      <c r="AR196" s="62">
        <f t="shared" ca="1" si="52"/>
        <v>0.7797536615349322</v>
      </c>
      <c r="AS196" s="62">
        <f t="shared" ca="1" si="53"/>
        <v>0.82771325572999677</v>
      </c>
      <c r="AT196" s="49"/>
    </row>
    <row r="197" spans="1:46" x14ac:dyDescent="0.3">
      <c r="A197" s="5">
        <v>43747</v>
      </c>
      <c r="B197" s="6">
        <v>52.349997999999999</v>
      </c>
      <c r="C197" s="6">
        <v>90.279999000000004</v>
      </c>
      <c r="D197" s="6">
        <v>85.07</v>
      </c>
      <c r="F197" s="13">
        <v>194</v>
      </c>
      <c r="G197" s="5">
        <v>43747</v>
      </c>
      <c r="H197" s="15">
        <f t="shared" ref="H197:J260" si="60">LN(B197/B196)</f>
        <v>-7.4223197348691292E-3</v>
      </c>
      <c r="I197" s="15">
        <f t="shared" si="60"/>
        <v>3.3284841189164835E-3</v>
      </c>
      <c r="J197" s="15">
        <f t="shared" si="60"/>
        <v>2.0785830595021725E-2</v>
      </c>
      <c r="K197" s="22"/>
      <c r="L197" s="13">
        <v>194</v>
      </c>
      <c r="M197" s="5">
        <v>43747</v>
      </c>
      <c r="N197" s="26">
        <f t="shared" si="57"/>
        <v>0.9258931212258027</v>
      </c>
      <c r="O197" s="26">
        <f t="shared" si="58"/>
        <v>0.85622152207470559</v>
      </c>
      <c r="P197" s="26">
        <f t="shared" si="59"/>
        <v>1.1258602733155181</v>
      </c>
      <c r="Q197" s="22"/>
      <c r="AD197" s="59">
        <v>193</v>
      </c>
      <c r="AE197" s="61">
        <f t="shared" ref="AE197:AG260" ca="1" si="61">_xlfn.NORM.S.INV(RAND())</f>
        <v>0.28885856562399304</v>
      </c>
      <c r="AF197" s="61">
        <f t="shared" ca="1" si="61"/>
        <v>0.22375937560627246</v>
      </c>
      <c r="AG197" s="61">
        <f t="shared" ca="1" si="61"/>
        <v>-0.33573664240947332</v>
      </c>
      <c r="AH197" s="19"/>
      <c r="AI197" s="61">
        <f ca="1"/>
        <v>6.2636914099042191E-3</v>
      </c>
      <c r="AJ197" s="61">
        <f ca="1"/>
        <v>9.384949608715859E-3</v>
      </c>
      <c r="AK197" s="61">
        <f ca="1"/>
        <v>-2.7576980633321757E-3</v>
      </c>
      <c r="AL197" s="19"/>
      <c r="AM197" s="61">
        <f t="shared" ca="1" si="54"/>
        <v>6.614907732414463E-3</v>
      </c>
      <c r="AN197" s="61">
        <f t="shared" ca="1" si="55"/>
        <v>9.6340022056323905E-3</v>
      </c>
      <c r="AO197" s="61">
        <f t="shared" ca="1" si="56"/>
        <v>-2.3260294600773576E-3</v>
      </c>
      <c r="AP197" s="19"/>
      <c r="AQ197" s="62">
        <f t="shared" ca="1" si="51"/>
        <v>0.82437610125940186</v>
      </c>
      <c r="AR197" s="62">
        <f t="shared" ca="1" si="52"/>
        <v>0.78730211254343907</v>
      </c>
      <c r="AS197" s="62">
        <f t="shared" ca="1" si="53"/>
        <v>0.82579020771288292</v>
      </c>
      <c r="AT197" s="49"/>
    </row>
    <row r="198" spans="1:46" x14ac:dyDescent="0.3">
      <c r="A198" s="5">
        <v>43748</v>
      </c>
      <c r="B198" s="6">
        <v>53.040000999999997</v>
      </c>
      <c r="C198" s="6">
        <v>90.019997000000004</v>
      </c>
      <c r="D198" s="6">
        <v>85.800003000000004</v>
      </c>
      <c r="F198" s="13">
        <v>195</v>
      </c>
      <c r="G198" s="5">
        <v>43748</v>
      </c>
      <c r="H198" s="15">
        <f t="shared" si="60"/>
        <v>1.3094465619150534E-2</v>
      </c>
      <c r="I198" s="15">
        <f t="shared" si="60"/>
        <v>-2.8841063338259543E-3</v>
      </c>
      <c r="J198" s="15">
        <f t="shared" si="60"/>
        <v>8.5445944711580353E-3</v>
      </c>
      <c r="K198" s="22"/>
      <c r="L198" s="13">
        <v>195</v>
      </c>
      <c r="M198" s="5">
        <v>43748</v>
      </c>
      <c r="N198" s="26">
        <f t="shared" si="57"/>
        <v>0.9380969236275748</v>
      </c>
      <c r="O198" s="26">
        <f t="shared" si="58"/>
        <v>0.85375564579370933</v>
      </c>
      <c r="P198" s="26">
        <f t="shared" si="59"/>
        <v>1.1355215096750004</v>
      </c>
      <c r="Q198" s="22"/>
      <c r="AD198" s="59">
        <v>194</v>
      </c>
      <c r="AE198" s="61">
        <f t="shared" ca="1" si="61"/>
        <v>-0.90182632847463462</v>
      </c>
      <c r="AF198" s="61">
        <f t="shared" ca="1" si="61"/>
        <v>-0.77946811422049711</v>
      </c>
      <c r="AG198" s="61">
        <f t="shared" ca="1" si="61"/>
        <v>-0.12341530111828972</v>
      </c>
      <c r="AH198" s="19"/>
      <c r="AI198" s="61">
        <f ca="1"/>
        <v>-1.9555458965496E-2</v>
      </c>
      <c r="AJ198" s="61">
        <f ca="1"/>
        <v>-3.1058223095443351E-2</v>
      </c>
      <c r="AK198" s="61">
        <f ca="1"/>
        <v>-2.19762444721463E-2</v>
      </c>
      <c r="AL198" s="19"/>
      <c r="AM198" s="61">
        <f t="shared" ca="1" si="54"/>
        <v>-1.9204242642985755E-2</v>
      </c>
      <c r="AN198" s="61">
        <f t="shared" ca="1" si="55"/>
        <v>-3.0809170498526821E-2</v>
      </c>
      <c r="AO198" s="61">
        <f t="shared" ca="1" si="56"/>
        <v>-2.1544575868891483E-2</v>
      </c>
      <c r="AP198" s="19"/>
      <c r="AQ198" s="62">
        <f t="shared" ref="AQ198:AQ261" ca="1" si="62">AQ197*EXP(AM198)</f>
        <v>0.80869563028047065</v>
      </c>
      <c r="AR198" s="62">
        <f t="shared" ref="AR198:AR261" ca="1" si="63">AR197*EXP(AN198)</f>
        <v>0.76341583510589373</v>
      </c>
      <c r="AS198" s="62">
        <f t="shared" ref="AS198:AS261" ca="1" si="64">AS197*EXP(AO198)</f>
        <v>0.8081891919555575</v>
      </c>
      <c r="AT198" s="49"/>
    </row>
    <row r="199" spans="1:46" x14ac:dyDescent="0.3">
      <c r="A199" s="5">
        <v>43749</v>
      </c>
      <c r="B199" s="6">
        <v>54.360000999999997</v>
      </c>
      <c r="C199" s="6">
        <v>93.720000999999996</v>
      </c>
      <c r="D199" s="6">
        <v>88</v>
      </c>
      <c r="F199" s="13">
        <v>196</v>
      </c>
      <c r="G199" s="5">
        <v>43749</v>
      </c>
      <c r="H199" s="15">
        <f t="shared" si="60"/>
        <v>2.4582242947519858E-2</v>
      </c>
      <c r="I199" s="15">
        <f t="shared" si="60"/>
        <v>4.0279789770817434E-2</v>
      </c>
      <c r="J199" s="15">
        <f t="shared" si="60"/>
        <v>2.5317773019255457E-2</v>
      </c>
      <c r="K199" s="22"/>
      <c r="L199" s="13">
        <v>196</v>
      </c>
      <c r="M199" s="5">
        <v>43749</v>
      </c>
      <c r="N199" s="26">
        <f t="shared" si="57"/>
        <v>0.96144322671660365</v>
      </c>
      <c r="O199" s="26">
        <f t="shared" si="58"/>
        <v>0.8888467301053351</v>
      </c>
      <c r="P199" s="26">
        <f t="shared" si="59"/>
        <v>1.1646374050989257</v>
      </c>
      <c r="Q199" s="22"/>
      <c r="AD199" s="59">
        <v>195</v>
      </c>
      <c r="AE199" s="61">
        <f t="shared" ca="1" si="61"/>
        <v>5.9593926789007629E-2</v>
      </c>
      <c r="AF199" s="61">
        <f t="shared" ca="1" si="61"/>
        <v>-0.52520302959422427</v>
      </c>
      <c r="AG199" s="61">
        <f t="shared" ca="1" si="61"/>
        <v>0.85721567769371909</v>
      </c>
      <c r="AH199" s="19"/>
      <c r="AI199" s="61">
        <f ca="1"/>
        <v>1.2922516820798161E-3</v>
      </c>
      <c r="AJ199" s="61">
        <f ca="1"/>
        <v>-1.04830380213025E-2</v>
      </c>
      <c r="AK199" s="61">
        <f ca="1"/>
        <v>1.9143638308425012E-2</v>
      </c>
      <c r="AL199" s="19"/>
      <c r="AM199" s="61">
        <f t="shared" ref="AM199:AM262" ca="1" si="65">AI199+T$3</f>
        <v>1.6434680045900605E-3</v>
      </c>
      <c r="AN199" s="61">
        <f t="shared" ref="AN199:AN262" ca="1" si="66">AJ199+U$3</f>
        <v>-1.0233985424385968E-2</v>
      </c>
      <c r="AO199" s="61">
        <f t="shared" ref="AO199:AO262" ca="1" si="67">AK199+V$3</f>
        <v>1.957530691167983E-2</v>
      </c>
      <c r="AP199" s="19"/>
      <c r="AQ199" s="62">
        <f t="shared" ca="1" si="62"/>
        <v>0.81002578841105766</v>
      </c>
      <c r="AR199" s="62">
        <f t="shared" ca="1" si="63"/>
        <v>0.75564289051862277</v>
      </c>
      <c r="AS199" s="62">
        <f t="shared" ca="1" si="64"/>
        <v>0.82416560485667112</v>
      </c>
      <c r="AT199" s="49"/>
    </row>
    <row r="200" spans="1:46" x14ac:dyDescent="0.3">
      <c r="A200" s="5">
        <v>43752</v>
      </c>
      <c r="B200" s="6">
        <v>54.41</v>
      </c>
      <c r="C200" s="6">
        <v>92.449996999999996</v>
      </c>
      <c r="D200" s="6">
        <v>88.529999000000004</v>
      </c>
      <c r="F200" s="13">
        <v>197</v>
      </c>
      <c r="G200" s="5">
        <v>43752</v>
      </c>
      <c r="H200" s="15">
        <f t="shared" si="60"/>
        <v>9.1935281901177519E-4</v>
      </c>
      <c r="I200" s="15">
        <f t="shared" si="60"/>
        <v>-1.3643698926515539E-2</v>
      </c>
      <c r="J200" s="15">
        <f t="shared" si="60"/>
        <v>6.0046518491451498E-3</v>
      </c>
      <c r="K200" s="22"/>
      <c r="L200" s="13">
        <v>197</v>
      </c>
      <c r="M200" s="5">
        <v>43752</v>
      </c>
      <c r="N200" s="26">
        <f t="shared" si="57"/>
        <v>0.96232753869247367</v>
      </c>
      <c r="O200" s="26">
        <f t="shared" si="58"/>
        <v>0.87680192760239128</v>
      </c>
      <c r="P200" s="26">
        <f t="shared" si="59"/>
        <v>1.1716516853269372</v>
      </c>
      <c r="Q200" s="22"/>
      <c r="AD200" s="59">
        <v>196</v>
      </c>
      <c r="AE200" s="61">
        <f t="shared" ca="1" si="61"/>
        <v>0.62249335543181594</v>
      </c>
      <c r="AF200" s="61">
        <f t="shared" ca="1" si="61"/>
        <v>-1.7035194253880179</v>
      </c>
      <c r="AG200" s="61">
        <f t="shared" ca="1" si="61"/>
        <v>0.49961248165658872</v>
      </c>
      <c r="AH200" s="19"/>
      <c r="AI200" s="61">
        <f ca="1"/>
        <v>1.3498323218208397E-2</v>
      </c>
      <c r="AJ200" s="61">
        <f ca="1"/>
        <v>-2.7284251882138184E-2</v>
      </c>
      <c r="AK200" s="61">
        <f ca="1"/>
        <v>1.0000760023342402E-2</v>
      </c>
      <c r="AL200" s="19"/>
      <c r="AM200" s="61">
        <f t="shared" ca="1" si="65"/>
        <v>1.3849539540718641E-2</v>
      </c>
      <c r="AN200" s="61">
        <f t="shared" ca="1" si="66"/>
        <v>-2.7035199285221655E-2</v>
      </c>
      <c r="AO200" s="61">
        <f t="shared" ca="1" si="67"/>
        <v>1.0432428626597221E-2</v>
      </c>
      <c r="AP200" s="19"/>
      <c r="AQ200" s="62">
        <f t="shared" ca="1" si="62"/>
        <v>0.82132231789776466</v>
      </c>
      <c r="AR200" s="62">
        <f t="shared" ca="1" si="63"/>
        <v>0.73548761297034315</v>
      </c>
      <c r="AS200" s="62">
        <f t="shared" ca="1" si="64"/>
        <v>0.83280865934117831</v>
      </c>
      <c r="AT200" s="49"/>
    </row>
    <row r="201" spans="1:46" x14ac:dyDescent="0.3">
      <c r="A201" s="5">
        <v>43753</v>
      </c>
      <c r="B201" s="6">
        <v>55.450001</v>
      </c>
      <c r="C201" s="6">
        <v>93.220000999999996</v>
      </c>
      <c r="D201" s="6">
        <v>89.449996999999996</v>
      </c>
      <c r="F201" s="13">
        <v>198</v>
      </c>
      <c r="G201" s="5">
        <v>43753</v>
      </c>
      <c r="H201" s="15">
        <f t="shared" si="60"/>
        <v>1.8933771332807076E-2</v>
      </c>
      <c r="I201" s="15">
        <f t="shared" si="60"/>
        <v>8.2943762887462639E-3</v>
      </c>
      <c r="J201" s="15">
        <f t="shared" si="60"/>
        <v>1.0338310089086407E-2</v>
      </c>
      <c r="K201" s="22"/>
      <c r="L201" s="13">
        <v>198</v>
      </c>
      <c r="M201" s="5">
        <v>43753</v>
      </c>
      <c r="N201" s="26">
        <f t="shared" si="57"/>
        <v>0.98072161335830188</v>
      </c>
      <c r="O201" s="26">
        <f t="shared" si="58"/>
        <v>0.88410469681136761</v>
      </c>
      <c r="P201" s="26">
        <f t="shared" si="59"/>
        <v>1.1838274135475759</v>
      </c>
      <c r="Q201" s="22"/>
      <c r="AD201" s="59">
        <v>197</v>
      </c>
      <c r="AE201" s="61">
        <f t="shared" ca="1" si="61"/>
        <v>-0.90002753642124644</v>
      </c>
      <c r="AF201" s="61">
        <f t="shared" ca="1" si="61"/>
        <v>-1.7095724753911909</v>
      </c>
      <c r="AG201" s="61">
        <f t="shared" ca="1" si="61"/>
        <v>0.20162641624206595</v>
      </c>
      <c r="AH201" s="19"/>
      <c r="AI201" s="61">
        <f ca="1"/>
        <v>-1.9516453446277029E-2</v>
      </c>
      <c r="AJ201" s="61">
        <f ca="1"/>
        <v>-5.1246832570004328E-2</v>
      </c>
      <c r="AK201" s="61">
        <f ca="1"/>
        <v>-2.0172335521832403E-2</v>
      </c>
      <c r="AL201" s="19"/>
      <c r="AM201" s="61">
        <f t="shared" ca="1" si="65"/>
        <v>-1.9165237123766783E-2</v>
      </c>
      <c r="AN201" s="61">
        <f t="shared" ca="1" si="66"/>
        <v>-5.0997779973087798E-2</v>
      </c>
      <c r="AO201" s="61">
        <f t="shared" ca="1" si="67"/>
        <v>-1.9740666918577586E-2</v>
      </c>
      <c r="AP201" s="19"/>
      <c r="AQ201" s="62">
        <f t="shared" ca="1" si="62"/>
        <v>0.80573136033802972</v>
      </c>
      <c r="AR201" s="62">
        <f t="shared" ca="1" si="63"/>
        <v>0.69891974266544166</v>
      </c>
      <c r="AS201" s="62">
        <f t="shared" ca="1" si="64"/>
        <v>0.81652966870473276</v>
      </c>
      <c r="AT201" s="49"/>
    </row>
    <row r="202" spans="1:46" x14ac:dyDescent="0.3">
      <c r="A202" s="5">
        <v>43754</v>
      </c>
      <c r="B202" s="6">
        <v>54.57</v>
      </c>
      <c r="C202" s="6">
        <v>94.32</v>
      </c>
      <c r="D202" s="6">
        <v>89.089995999999999</v>
      </c>
      <c r="F202" s="13">
        <v>199</v>
      </c>
      <c r="G202" s="5">
        <v>43754</v>
      </c>
      <c r="H202" s="15">
        <f t="shared" si="60"/>
        <v>-1.5997450632500448E-2</v>
      </c>
      <c r="I202" s="15">
        <f t="shared" si="60"/>
        <v>1.1730954557208965E-2</v>
      </c>
      <c r="J202" s="15">
        <f t="shared" si="60"/>
        <v>-4.0327265823039129E-3</v>
      </c>
      <c r="K202" s="22"/>
      <c r="L202" s="13">
        <v>199</v>
      </c>
      <c r="M202" s="5">
        <v>43754</v>
      </c>
      <c r="N202" s="26">
        <f t="shared" si="57"/>
        <v>0.96515739361235608</v>
      </c>
      <c r="O202" s="26">
        <f t="shared" si="58"/>
        <v>0.89453716057402943</v>
      </c>
      <c r="P202" s="26">
        <f t="shared" si="59"/>
        <v>1.1790629745649279</v>
      </c>
      <c r="Q202" s="22"/>
      <c r="AD202" s="59">
        <v>198</v>
      </c>
      <c r="AE202" s="61">
        <f t="shared" ca="1" si="61"/>
        <v>-3.0216363570658134E-3</v>
      </c>
      <c r="AF202" s="61">
        <f t="shared" ca="1" si="61"/>
        <v>-0.55990685255627115</v>
      </c>
      <c r="AG202" s="61">
        <f t="shared" ca="1" si="61"/>
        <v>0.39344735422374333</v>
      </c>
      <c r="AH202" s="19"/>
      <c r="AI202" s="61">
        <f ca="1"/>
        <v>-6.5522023391351153E-5</v>
      </c>
      <c r="AJ202" s="61">
        <f ca="1"/>
        <v>-1.2217440881701215E-2</v>
      </c>
      <c r="AK202" s="61">
        <f ca="1"/>
        <v>6.0923352328645253E-3</v>
      </c>
      <c r="AL202" s="19"/>
      <c r="AM202" s="61">
        <f t="shared" ca="1" si="65"/>
        <v>2.8569429911889303E-4</v>
      </c>
      <c r="AN202" s="61">
        <f t="shared" ca="1" si="66"/>
        <v>-1.1968388284784684E-2</v>
      </c>
      <c r="AO202" s="61">
        <f t="shared" ca="1" si="67"/>
        <v>6.5240038361193435E-3</v>
      </c>
      <c r="AP202" s="19"/>
      <c r="AQ202" s="62">
        <f t="shared" ca="1" si="62"/>
        <v>0.8059615860798246</v>
      </c>
      <c r="AR202" s="62">
        <f t="shared" ca="1" si="63"/>
        <v>0.69060465814118499</v>
      </c>
      <c r="AS202" s="62">
        <f t="shared" ca="1" si="64"/>
        <v>0.82187412606967825</v>
      </c>
      <c r="AT202" s="49"/>
    </row>
    <row r="203" spans="1:46" x14ac:dyDescent="0.3">
      <c r="A203" s="5">
        <v>43755</v>
      </c>
      <c r="B203" s="6">
        <v>54.459999000000003</v>
      </c>
      <c r="C203" s="6">
        <v>95.080001999999993</v>
      </c>
      <c r="D203" s="6">
        <v>90.099997999999999</v>
      </c>
      <c r="F203" s="13">
        <v>200</v>
      </c>
      <c r="G203" s="5">
        <v>43755</v>
      </c>
      <c r="H203" s="15">
        <f t="shared" si="60"/>
        <v>-2.0178123146278094E-3</v>
      </c>
      <c r="I203" s="15">
        <f t="shared" si="60"/>
        <v>8.0254072977954064E-3</v>
      </c>
      <c r="J203" s="15">
        <f t="shared" si="60"/>
        <v>1.1273092582599557E-2</v>
      </c>
      <c r="K203" s="22"/>
      <c r="L203" s="13">
        <v>200</v>
      </c>
      <c r="M203" s="5">
        <v>43755</v>
      </c>
      <c r="N203" s="26">
        <f t="shared" si="57"/>
        <v>0.96321185066834381</v>
      </c>
      <c r="O203" s="26">
        <f t="shared" si="58"/>
        <v>0.90174507014899319</v>
      </c>
      <c r="P203" s="26">
        <f t="shared" si="59"/>
        <v>1.1924298621606635</v>
      </c>
      <c r="Q203" s="22"/>
      <c r="AD203" s="59">
        <v>199</v>
      </c>
      <c r="AE203" s="61">
        <f t="shared" ca="1" si="61"/>
        <v>0.38179000816040631</v>
      </c>
      <c r="AF203" s="61">
        <f t="shared" ca="1" si="61"/>
        <v>0.3741376573470605</v>
      </c>
      <c r="AG203" s="61">
        <f t="shared" ca="1" si="61"/>
        <v>1.2190830155425694</v>
      </c>
      <c r="AH203" s="19"/>
      <c r="AI203" s="61">
        <f ca="1"/>
        <v>8.2788432786670453E-3</v>
      </c>
      <c r="AJ203" s="61">
        <f ca="1"/>
        <v>1.4108168930912032E-2</v>
      </c>
      <c r="AK203" s="61">
        <f ca="1"/>
        <v>3.950885772674656E-2</v>
      </c>
      <c r="AL203" s="19"/>
      <c r="AM203" s="61">
        <f t="shared" ca="1" si="65"/>
        <v>8.6300596011772892E-3</v>
      </c>
      <c r="AN203" s="61">
        <f t="shared" ca="1" si="66"/>
        <v>1.4357221527828564E-2</v>
      </c>
      <c r="AO203" s="61">
        <f t="shared" ca="1" si="67"/>
        <v>3.9940526330001377E-2</v>
      </c>
      <c r="AP203" s="19"/>
      <c r="AQ203" s="62">
        <f t="shared" ca="1" si="62"/>
        <v>0.81294718230382668</v>
      </c>
      <c r="AR203" s="62">
        <f t="shared" ca="1" si="63"/>
        <v>0.70059134117106214</v>
      </c>
      <c r="AS203" s="62">
        <f t="shared" ca="1" si="64"/>
        <v>0.85536457226018281</v>
      </c>
      <c r="AT203" s="49"/>
    </row>
    <row r="204" spans="1:46" x14ac:dyDescent="0.3">
      <c r="A204" s="5">
        <v>43756</v>
      </c>
      <c r="B204" s="6">
        <v>55.09</v>
      </c>
      <c r="C204" s="6">
        <v>94.970000999999996</v>
      </c>
      <c r="D204" s="6">
        <v>91.059997999999993</v>
      </c>
      <c r="F204" s="13">
        <v>201</v>
      </c>
      <c r="G204" s="5">
        <v>43756</v>
      </c>
      <c r="H204" s="15">
        <f t="shared" si="60"/>
        <v>1.1501742601112391E-2</v>
      </c>
      <c r="I204" s="15">
        <f t="shared" si="60"/>
        <v>-1.1576007424088869E-3</v>
      </c>
      <c r="J204" s="15">
        <f t="shared" si="60"/>
        <v>1.0598465526361577E-2</v>
      </c>
      <c r="K204" s="22"/>
      <c r="L204" s="13">
        <v>201</v>
      </c>
      <c r="M204" s="5">
        <v>43756</v>
      </c>
      <c r="N204" s="26">
        <f t="shared" si="57"/>
        <v>0.97435442210197354</v>
      </c>
      <c r="O204" s="26">
        <f t="shared" si="58"/>
        <v>0.90070181334025379</v>
      </c>
      <c r="P204" s="26">
        <f t="shared" si="59"/>
        <v>1.2051349974890153</v>
      </c>
      <c r="Q204" s="22"/>
      <c r="AD204" s="59">
        <v>200</v>
      </c>
      <c r="AE204" s="61">
        <f t="shared" ca="1" si="61"/>
        <v>-0.38003695364079582</v>
      </c>
      <c r="AF204" s="61">
        <f t="shared" ca="1" si="61"/>
        <v>-0.75423681783682006</v>
      </c>
      <c r="AG204" s="61">
        <f t="shared" ca="1" si="61"/>
        <v>-1.1789391137326894</v>
      </c>
      <c r="AH204" s="19"/>
      <c r="AI204" s="61">
        <f ca="1"/>
        <v>-8.2408295451575075E-3</v>
      </c>
      <c r="AJ204" s="61">
        <f ca="1"/>
        <v>-2.2342571575984467E-2</v>
      </c>
      <c r="AK204" s="61">
        <f ca="1"/>
        <v>-4.1131303819236478E-2</v>
      </c>
      <c r="AL204" s="19"/>
      <c r="AM204" s="61">
        <f t="shared" ca="1" si="65"/>
        <v>-7.8896132226472637E-3</v>
      </c>
      <c r="AN204" s="61">
        <f t="shared" ca="1" si="66"/>
        <v>-2.2093518979067937E-2</v>
      </c>
      <c r="AO204" s="61">
        <f t="shared" ca="1" si="67"/>
        <v>-4.0699635215981661E-2</v>
      </c>
      <c r="AP204" s="19"/>
      <c r="AQ204" s="62">
        <f t="shared" ca="1" si="62"/>
        <v>0.80655857841060075</v>
      </c>
      <c r="AR204" s="62">
        <f t="shared" ca="1" si="63"/>
        <v>0.68528254834096314</v>
      </c>
      <c r="AS204" s="62">
        <f t="shared" ca="1" si="64"/>
        <v>0.82125047085847613</v>
      </c>
      <c r="AT204" s="49"/>
    </row>
    <row r="205" spans="1:46" x14ac:dyDescent="0.3">
      <c r="A205" s="5">
        <v>43759</v>
      </c>
      <c r="B205" s="6">
        <v>55.939999</v>
      </c>
      <c r="C205" s="6">
        <v>96.470000999999996</v>
      </c>
      <c r="D205" s="6">
        <v>93.209998999999996</v>
      </c>
      <c r="F205" s="13">
        <v>202</v>
      </c>
      <c r="G205" s="5">
        <v>43759</v>
      </c>
      <c r="H205" s="15">
        <f t="shared" si="60"/>
        <v>1.5311458412892295E-2</v>
      </c>
      <c r="I205" s="15">
        <f t="shared" si="60"/>
        <v>1.5671026763877067E-2</v>
      </c>
      <c r="J205" s="15">
        <f t="shared" si="60"/>
        <v>2.3336393401507869E-2</v>
      </c>
      <c r="K205" s="22"/>
      <c r="L205" s="13">
        <v>202</v>
      </c>
      <c r="M205" s="5">
        <v>43759</v>
      </c>
      <c r="N205" s="26">
        <f t="shared" si="57"/>
        <v>0.98938800867725496</v>
      </c>
      <c r="O205" s="26">
        <f t="shared" si="58"/>
        <v>0.91492791322215639</v>
      </c>
      <c r="P205" s="26">
        <f t="shared" si="59"/>
        <v>1.2335892200526528</v>
      </c>
      <c r="Q205" s="22"/>
      <c r="AD205" s="59">
        <v>201</v>
      </c>
      <c r="AE205" s="61">
        <f t="shared" ca="1" si="61"/>
        <v>-1.0881032670319839</v>
      </c>
      <c r="AF205" s="61">
        <f t="shared" ca="1" si="61"/>
        <v>0.25431136791993192</v>
      </c>
      <c r="AG205" s="61">
        <f t="shared" ca="1" si="61"/>
        <v>0.60874706886019336</v>
      </c>
      <c r="AH205" s="19"/>
      <c r="AI205" s="61">
        <f ca="1"/>
        <v>-2.359474115671107E-2</v>
      </c>
      <c r="AJ205" s="61">
        <f ca="1"/>
        <v>-1.150364365308645E-2</v>
      </c>
      <c r="AK205" s="61">
        <f ca="1"/>
        <v>1.309730452738498E-3</v>
      </c>
      <c r="AL205" s="19"/>
      <c r="AM205" s="61">
        <f t="shared" ca="1" si="65"/>
        <v>-2.3243524834200825E-2</v>
      </c>
      <c r="AN205" s="61">
        <f t="shared" ca="1" si="66"/>
        <v>-1.1254591056169919E-2</v>
      </c>
      <c r="AO205" s="61">
        <f t="shared" ca="1" si="67"/>
        <v>1.7413990559933161E-3</v>
      </c>
      <c r="AP205" s="19"/>
      <c r="AQ205" s="62">
        <f t="shared" ca="1" si="62"/>
        <v>0.78802751200835508</v>
      </c>
      <c r="AR205" s="62">
        <f t="shared" ca="1" si="63"/>
        <v>0.67761321207651282</v>
      </c>
      <c r="AS205" s="62">
        <f t="shared" ca="1" si="64"/>
        <v>0.82268184158526358</v>
      </c>
      <c r="AT205" s="49"/>
    </row>
    <row r="206" spans="1:46" x14ac:dyDescent="0.3">
      <c r="A206" s="5">
        <v>43760</v>
      </c>
      <c r="B206" s="6">
        <v>55.950001</v>
      </c>
      <c r="C206" s="6">
        <v>98.599997999999999</v>
      </c>
      <c r="D206" s="6">
        <v>94.169998000000007</v>
      </c>
      <c r="F206" s="13">
        <v>203</v>
      </c>
      <c r="G206" s="5">
        <v>43760</v>
      </c>
      <c r="H206" s="15">
        <f t="shared" si="60"/>
        <v>1.7878273351768783E-4</v>
      </c>
      <c r="I206" s="15">
        <f t="shared" si="60"/>
        <v>2.1839151776234845E-2</v>
      </c>
      <c r="J206" s="15">
        <f t="shared" si="60"/>
        <v>1.0246636939182341E-2</v>
      </c>
      <c r="K206" s="22"/>
      <c r="L206" s="13">
        <v>203</v>
      </c>
      <c r="M206" s="5">
        <v>43760</v>
      </c>
      <c r="N206" s="26">
        <f t="shared" si="57"/>
        <v>0.98956490998293412</v>
      </c>
      <c r="O206" s="26">
        <f t="shared" si="58"/>
        <v>0.9351289466022582</v>
      </c>
      <c r="P206" s="26">
        <f t="shared" si="59"/>
        <v>1.2462943421464889</v>
      </c>
      <c r="Q206" s="22"/>
      <c r="AD206" s="59">
        <v>202</v>
      </c>
      <c r="AE206" s="61">
        <f t="shared" ca="1" si="61"/>
        <v>-4.8388172462507956E-2</v>
      </c>
      <c r="AF206" s="61">
        <f t="shared" ca="1" si="61"/>
        <v>-1.6817858670711974</v>
      </c>
      <c r="AG206" s="61">
        <f t="shared" ca="1" si="61"/>
        <v>1.1017453527577112</v>
      </c>
      <c r="AH206" s="19"/>
      <c r="AI206" s="61">
        <f ca="1"/>
        <v>-1.0492629136326362E-3</v>
      </c>
      <c r="AJ206" s="61">
        <f ca="1"/>
        <v>-3.731271525328507E-2</v>
      </c>
      <c r="AK206" s="61">
        <f ca="1"/>
        <v>1.5667793969073647E-2</v>
      </c>
      <c r="AL206" s="19"/>
      <c r="AM206" s="61">
        <f t="shared" ca="1" si="65"/>
        <v>-6.9804659112239194E-4</v>
      </c>
      <c r="AN206" s="61">
        <f t="shared" ca="1" si="66"/>
        <v>-3.706366265636854E-2</v>
      </c>
      <c r="AO206" s="61">
        <f t="shared" ca="1" si="67"/>
        <v>1.6099462572328464E-2</v>
      </c>
      <c r="AP206" s="19"/>
      <c r="AQ206" s="62">
        <f t="shared" ca="1" si="62"/>
        <v>0.78747762403592791</v>
      </c>
      <c r="AR206" s="62">
        <f t="shared" ca="1" si="63"/>
        <v>0.65295811110427604</v>
      </c>
      <c r="AS206" s="62">
        <f t="shared" ca="1" si="64"/>
        <v>0.83603376813140917</v>
      </c>
      <c r="AT206" s="49"/>
    </row>
    <row r="207" spans="1:46" x14ac:dyDescent="0.3">
      <c r="A207" s="5">
        <v>43761</v>
      </c>
      <c r="B207" s="6">
        <v>55.889999000000003</v>
      </c>
      <c r="C207" s="6">
        <v>97.129997000000003</v>
      </c>
      <c r="D207" s="6">
        <v>93.849997999999999</v>
      </c>
      <c r="F207" s="13">
        <v>204</v>
      </c>
      <c r="G207" s="5">
        <v>43761</v>
      </c>
      <c r="H207" s="15">
        <f t="shared" si="60"/>
        <v>-1.0729972417168018E-3</v>
      </c>
      <c r="I207" s="15">
        <f t="shared" si="60"/>
        <v>-1.5020984796816001E-2</v>
      </c>
      <c r="J207" s="15">
        <f t="shared" si="60"/>
        <v>-3.4038965618698497E-3</v>
      </c>
      <c r="K207" s="22"/>
      <c r="L207" s="13">
        <v>204</v>
      </c>
      <c r="M207" s="5">
        <v>43761</v>
      </c>
      <c r="N207" s="26">
        <f t="shared" si="57"/>
        <v>0.98850367901479175</v>
      </c>
      <c r="O207" s="26">
        <f t="shared" si="58"/>
        <v>0.92118735923392714</v>
      </c>
      <c r="P207" s="26">
        <f t="shared" si="59"/>
        <v>1.2420592970370381</v>
      </c>
      <c r="Q207" s="22"/>
      <c r="AD207" s="59">
        <v>203</v>
      </c>
      <c r="AE207" s="61">
        <f t="shared" ca="1" si="61"/>
        <v>-0.58211141531013744</v>
      </c>
      <c r="AF207" s="61">
        <f t="shared" ca="1" si="61"/>
        <v>0.48792449946277477</v>
      </c>
      <c r="AG207" s="61">
        <f t="shared" ca="1" si="61"/>
        <v>-1.3732496619532915</v>
      </c>
      <c r="AH207" s="19"/>
      <c r="AI207" s="61">
        <f ca="1"/>
        <v>-1.2622669726995413E-2</v>
      </c>
      <c r="AJ207" s="61">
        <f ca="1"/>
        <v>1.4941309354471535E-3</v>
      </c>
      <c r="AK207" s="61">
        <f ca="1"/>
        <v>-4.0347419620874292E-2</v>
      </c>
      <c r="AL207" s="19"/>
      <c r="AM207" s="61">
        <f t="shared" ca="1" si="65"/>
        <v>-1.2271453404485169E-2</v>
      </c>
      <c r="AN207" s="61">
        <f t="shared" ca="1" si="66"/>
        <v>1.7431835323636841E-3</v>
      </c>
      <c r="AO207" s="61">
        <f t="shared" ca="1" si="67"/>
        <v>-3.9915751017619475E-2</v>
      </c>
      <c r="AP207" s="19"/>
      <c r="AQ207" s="62">
        <f t="shared" ca="1" si="62"/>
        <v>0.77787317983655357</v>
      </c>
      <c r="AR207" s="62">
        <f t="shared" ca="1" si="63"/>
        <v>0.65409732957583844</v>
      </c>
      <c r="AS207" s="62">
        <f t="shared" ca="1" si="64"/>
        <v>0.80332009124473414</v>
      </c>
      <c r="AT207" s="49"/>
    </row>
    <row r="208" spans="1:46" x14ac:dyDescent="0.3">
      <c r="A208" s="5">
        <v>43762</v>
      </c>
      <c r="B208" s="6">
        <v>58.080002</v>
      </c>
      <c r="C208" s="6">
        <v>97.120002999999997</v>
      </c>
      <c r="D208" s="6">
        <v>96.910004000000001</v>
      </c>
      <c r="F208" s="13">
        <v>205</v>
      </c>
      <c r="G208" s="5">
        <v>43762</v>
      </c>
      <c r="H208" s="15">
        <f t="shared" si="60"/>
        <v>3.8435949562483543E-2</v>
      </c>
      <c r="I208" s="15">
        <f t="shared" si="60"/>
        <v>-1.0289832698920052E-4</v>
      </c>
      <c r="J208" s="15">
        <f t="shared" si="60"/>
        <v>3.2085012299952427E-2</v>
      </c>
      <c r="K208" s="22"/>
      <c r="L208" s="13">
        <v>205</v>
      </c>
      <c r="M208" s="5">
        <v>43762</v>
      </c>
      <c r="N208" s="26">
        <f t="shared" si="57"/>
        <v>1.0272373712904603</v>
      </c>
      <c r="O208" s="26">
        <f t="shared" si="58"/>
        <v>0.92109257547244727</v>
      </c>
      <c r="P208" s="26">
        <f t="shared" si="59"/>
        <v>1.2825569953032556</v>
      </c>
      <c r="Q208" s="22"/>
      <c r="AD208" s="59">
        <v>204</v>
      </c>
      <c r="AE208" s="61">
        <f t="shared" ca="1" si="61"/>
        <v>-1.1119852560668129</v>
      </c>
      <c r="AF208" s="61">
        <f t="shared" ca="1" si="61"/>
        <v>0.39149059847444334</v>
      </c>
      <c r="AG208" s="61">
        <f t="shared" ca="1" si="61"/>
        <v>2.2112526781650446</v>
      </c>
      <c r="AH208" s="19"/>
      <c r="AI208" s="61">
        <f ca="1"/>
        <v>-2.411260500902835E-2</v>
      </c>
      <c r="AJ208" s="61">
        <f ca="1"/>
        <v>-8.8957224442458606E-3</v>
      </c>
      <c r="AK208" s="61">
        <f ca="1"/>
        <v>4.2979062138834331E-2</v>
      </c>
      <c r="AL208" s="19"/>
      <c r="AM208" s="61">
        <f t="shared" ca="1" si="65"/>
        <v>-2.3761388686518104E-2</v>
      </c>
      <c r="AN208" s="61">
        <f t="shared" ca="1" si="66"/>
        <v>-8.6466698473293292E-3</v>
      </c>
      <c r="AO208" s="61">
        <f t="shared" ca="1" si="67"/>
        <v>4.3410730742089149E-2</v>
      </c>
      <c r="AP208" s="19"/>
      <c r="AQ208" s="62">
        <f t="shared" ca="1" si="62"/>
        <v>0.75960769884657564</v>
      </c>
      <c r="AR208" s="62">
        <f t="shared" ca="1" si="63"/>
        <v>0.64846594735616203</v>
      </c>
      <c r="AS208" s="62">
        <f t="shared" ca="1" si="64"/>
        <v>0.8389608011811347</v>
      </c>
      <c r="AT208" s="49"/>
    </row>
    <row r="209" spans="1:46" x14ac:dyDescent="0.3">
      <c r="A209" s="5">
        <v>43763</v>
      </c>
      <c r="B209" s="6">
        <v>57.919998</v>
      </c>
      <c r="C209" s="6">
        <v>98.790001000000004</v>
      </c>
      <c r="D209" s="6">
        <v>99.269997000000004</v>
      </c>
      <c r="F209" s="13">
        <v>206</v>
      </c>
      <c r="G209" s="5">
        <v>43763</v>
      </c>
      <c r="H209" s="15">
        <f t="shared" si="60"/>
        <v>-2.7586914047281925E-3</v>
      </c>
      <c r="I209" s="15">
        <f t="shared" si="60"/>
        <v>1.70490369780559E-2</v>
      </c>
      <c r="J209" s="15">
        <f t="shared" si="60"/>
        <v>2.4060626359151495E-2</v>
      </c>
      <c r="K209" s="22"/>
      <c r="L209" s="13">
        <v>206</v>
      </c>
      <c r="M209" s="5">
        <v>43763</v>
      </c>
      <c r="N209" s="26">
        <f t="shared" si="57"/>
        <v>1.0244074456242052</v>
      </c>
      <c r="O209" s="26">
        <f t="shared" si="58"/>
        <v>0.93693094770616558</v>
      </c>
      <c r="P209" s="26">
        <f t="shared" si="59"/>
        <v>1.3137903603438423</v>
      </c>
      <c r="Q209" s="22"/>
      <c r="AD209" s="59">
        <v>205</v>
      </c>
      <c r="AE209" s="61">
        <f t="shared" ca="1" si="61"/>
        <v>-0.13836078279488817</v>
      </c>
      <c r="AF209" s="61">
        <f t="shared" ca="1" si="61"/>
        <v>0.82245878242252957</v>
      </c>
      <c r="AG209" s="61">
        <f t="shared" ca="1" si="61"/>
        <v>0.47030368825421626</v>
      </c>
      <c r="AH209" s="19"/>
      <c r="AI209" s="61">
        <f ca="1"/>
        <v>-3.0002546221464003E-3</v>
      </c>
      <c r="AJ209" s="61">
        <f ca="1"/>
        <v>1.5711308853180502E-2</v>
      </c>
      <c r="AK209" s="61">
        <f ca="1"/>
        <v>1.5796936900765658E-2</v>
      </c>
      <c r="AL209" s="19"/>
      <c r="AM209" s="61">
        <f t="shared" ca="1" si="65"/>
        <v>-2.649038299636156E-3</v>
      </c>
      <c r="AN209" s="61">
        <f t="shared" ca="1" si="66"/>
        <v>1.5960361450097032E-2</v>
      </c>
      <c r="AO209" s="61">
        <f t="shared" ca="1" si="67"/>
        <v>1.6228605504020475E-2</v>
      </c>
      <c r="AP209" s="19"/>
      <c r="AQ209" s="62">
        <f t="shared" ca="1" si="62"/>
        <v>0.75759813184477109</v>
      </c>
      <c r="AR209" s="62">
        <f t="shared" ca="1" si="63"/>
        <v>0.65889873230971063</v>
      </c>
      <c r="AS209" s="62">
        <f t="shared" ca="1" si="64"/>
        <v>0.85268704268337703</v>
      </c>
      <c r="AT209" s="49"/>
    </row>
    <row r="210" spans="1:46" x14ac:dyDescent="0.3">
      <c r="A210" s="5">
        <v>43766</v>
      </c>
      <c r="B210" s="6">
        <v>59.189999</v>
      </c>
      <c r="C210" s="6">
        <v>97.720000999999996</v>
      </c>
      <c r="D210" s="6">
        <v>100.07</v>
      </c>
      <c r="F210" s="13">
        <v>207</v>
      </c>
      <c r="G210" s="5">
        <v>43766</v>
      </c>
      <c r="H210" s="15">
        <f t="shared" si="60"/>
        <v>2.1689878260814286E-2</v>
      </c>
      <c r="I210" s="15">
        <f t="shared" si="60"/>
        <v>-1.0890138556005296E-2</v>
      </c>
      <c r="J210" s="15">
        <f t="shared" si="60"/>
        <v>8.0265607213451211E-3</v>
      </c>
      <c r="K210" s="22"/>
      <c r="L210" s="13">
        <v>207</v>
      </c>
      <c r="M210" s="5">
        <v>43766</v>
      </c>
      <c r="N210" s="26">
        <f t="shared" si="57"/>
        <v>1.0468694367373641</v>
      </c>
      <c r="O210" s="26">
        <f t="shared" si="58"/>
        <v>0.92678299645707507</v>
      </c>
      <c r="P210" s="26">
        <f t="shared" si="59"/>
        <v>1.3243780128210167</v>
      </c>
      <c r="Q210" s="22"/>
      <c r="AD210" s="59">
        <v>206</v>
      </c>
      <c r="AE210" s="61">
        <f t="shared" ca="1" si="61"/>
        <v>-1.573928627665161E-2</v>
      </c>
      <c r="AF210" s="61">
        <f t="shared" ca="1" si="61"/>
        <v>-0.28497725606752783</v>
      </c>
      <c r="AG210" s="61">
        <f t="shared" ca="1" si="61"/>
        <v>-0.37393276050800384</v>
      </c>
      <c r="AH210" s="19"/>
      <c r="AI210" s="61">
        <f ca="1"/>
        <v>-3.4129516649824881E-4</v>
      </c>
      <c r="AJ210" s="61">
        <f ca="1"/>
        <v>-6.4406272843599323E-3</v>
      </c>
      <c r="AK210" s="61">
        <f ca="1"/>
        <v>-1.1819638209359398E-2</v>
      </c>
      <c r="AL210" s="19"/>
      <c r="AM210" s="61">
        <f t="shared" ca="1" si="65"/>
        <v>9.9211560119953981E-6</v>
      </c>
      <c r="AN210" s="61">
        <f t="shared" ca="1" si="66"/>
        <v>-6.1915746874434017E-3</v>
      </c>
      <c r="AO210" s="61">
        <f t="shared" ca="1" si="67"/>
        <v>-1.1387969606104579E-2</v>
      </c>
      <c r="AP210" s="19"/>
      <c r="AQ210" s="62">
        <f t="shared" ca="1" si="62"/>
        <v>0.7576056481313167</v>
      </c>
      <c r="AR210" s="62">
        <f t="shared" ca="1" si="63"/>
        <v>0.65483171520983696</v>
      </c>
      <c r="AS210" s="62">
        <f t="shared" ca="1" si="64"/>
        <v>0.84303174999363639</v>
      </c>
      <c r="AT210" s="49"/>
    </row>
    <row r="211" spans="1:46" x14ac:dyDescent="0.3">
      <c r="A211" s="5">
        <v>43767</v>
      </c>
      <c r="B211" s="6">
        <v>58.759998000000003</v>
      </c>
      <c r="C211" s="6">
        <v>96.099997999999999</v>
      </c>
      <c r="D211" s="6">
        <v>100.82</v>
      </c>
      <c r="F211" s="13">
        <v>208</v>
      </c>
      <c r="G211" s="5">
        <v>43767</v>
      </c>
      <c r="H211" s="15">
        <f t="shared" si="60"/>
        <v>-7.2912745389715154E-3</v>
      </c>
      <c r="I211" s="15">
        <f t="shared" si="60"/>
        <v>-1.6716961458267308E-2</v>
      </c>
      <c r="J211" s="15">
        <f t="shared" si="60"/>
        <v>7.4668075521200188E-3</v>
      </c>
      <c r="K211" s="22"/>
      <c r="L211" s="13">
        <v>208</v>
      </c>
      <c r="M211" s="5">
        <v>43767</v>
      </c>
      <c r="N211" s="26">
        <f t="shared" si="57"/>
        <v>1.0392641839535872</v>
      </c>
      <c r="O211" s="26">
        <f t="shared" si="58"/>
        <v>0.91141878013242061</v>
      </c>
      <c r="P211" s="26">
        <f t="shared" si="59"/>
        <v>1.3343038997962917</v>
      </c>
      <c r="Q211" s="22"/>
      <c r="AD211" s="59">
        <v>207</v>
      </c>
      <c r="AE211" s="61">
        <f t="shared" ca="1" si="61"/>
        <v>-0.29607133792443696</v>
      </c>
      <c r="AF211" s="61">
        <f t="shared" ca="1" si="61"/>
        <v>1.3096998682536536</v>
      </c>
      <c r="AG211" s="61">
        <f t="shared" ca="1" si="61"/>
        <v>0.26989680135045863</v>
      </c>
      <c r="AH211" s="19"/>
      <c r="AI211" s="61">
        <f ca="1"/>
        <v>-6.4200952188142668E-3</v>
      </c>
      <c r="AJ211" s="61">
        <f ca="1"/>
        <v>2.3833450774099586E-2</v>
      </c>
      <c r="AK211" s="61">
        <f ca="1"/>
        <v>1.1763638072498476E-2</v>
      </c>
      <c r="AL211" s="19"/>
      <c r="AM211" s="61">
        <f t="shared" ca="1" si="65"/>
        <v>-6.068878896304023E-3</v>
      </c>
      <c r="AN211" s="61">
        <f t="shared" ca="1" si="66"/>
        <v>2.4082503371016115E-2</v>
      </c>
      <c r="AO211" s="61">
        <f t="shared" ca="1" si="67"/>
        <v>1.2195306675753295E-2</v>
      </c>
      <c r="AP211" s="19"/>
      <c r="AQ211" s="62">
        <f t="shared" ca="1" si="62"/>
        <v>0.75302175481756628</v>
      </c>
      <c r="AR211" s="62">
        <f t="shared" ca="1" si="63"/>
        <v>0.67079312614838982</v>
      </c>
      <c r="AS211" s="62">
        <f t="shared" ca="1" si="64"/>
        <v>0.85337572650432669</v>
      </c>
      <c r="AT211" s="49"/>
    </row>
    <row r="212" spans="1:46" x14ac:dyDescent="0.3">
      <c r="A212" s="5">
        <v>43768</v>
      </c>
      <c r="B212" s="6">
        <v>58.119999</v>
      </c>
      <c r="C212" s="6">
        <v>96.599997999999999</v>
      </c>
      <c r="D212" s="6">
        <v>98.809997999999993</v>
      </c>
      <c r="F212" s="13">
        <v>209</v>
      </c>
      <c r="G212" s="5">
        <v>43768</v>
      </c>
      <c r="H212" s="15">
        <f t="shared" si="60"/>
        <v>-1.0951495772615512E-2</v>
      </c>
      <c r="I212" s="15">
        <f t="shared" si="60"/>
        <v>5.189425349946322E-3</v>
      </c>
      <c r="J212" s="15">
        <f t="shared" si="60"/>
        <v>-2.0137954688479866E-2</v>
      </c>
      <c r="K212" s="22"/>
      <c r="L212" s="13">
        <v>209</v>
      </c>
      <c r="M212" s="5">
        <v>43768</v>
      </c>
      <c r="N212" s="26">
        <f t="shared" si="57"/>
        <v>1.0279447819606513</v>
      </c>
      <c r="O212" s="26">
        <f t="shared" si="58"/>
        <v>0.91616081342638811</v>
      </c>
      <c r="P212" s="26">
        <f t="shared" si="59"/>
        <v>1.3077024962335229</v>
      </c>
      <c r="Q212" s="22"/>
      <c r="AD212" s="59">
        <v>208</v>
      </c>
      <c r="AE212" s="61">
        <f t="shared" ca="1" si="61"/>
        <v>-0.15776351243949452</v>
      </c>
      <c r="AF212" s="61">
        <f t="shared" ca="1" si="61"/>
        <v>0.46032754162046435</v>
      </c>
      <c r="AG212" s="61">
        <f t="shared" ca="1" si="61"/>
        <v>-0.11796762505687733</v>
      </c>
      <c r="AH212" s="19"/>
      <c r="AI212" s="61">
        <f ca="1"/>
        <v>-3.4209889380600708E-3</v>
      </c>
      <c r="AJ212" s="61">
        <f ca="1"/>
        <v>7.5363197442379739E-3</v>
      </c>
      <c r="AK212" s="61">
        <f ca="1"/>
        <v>-2.1115286903279885E-3</v>
      </c>
      <c r="AL212" s="19"/>
      <c r="AM212" s="61">
        <f t="shared" ca="1" si="65"/>
        <v>-3.0697726155498265E-3</v>
      </c>
      <c r="AN212" s="61">
        <f t="shared" ca="1" si="66"/>
        <v>7.7853723411545044E-3</v>
      </c>
      <c r="AO212" s="61">
        <f t="shared" ca="1" si="67"/>
        <v>-1.6798600870731703E-3</v>
      </c>
      <c r="AP212" s="19"/>
      <c r="AQ212" s="62">
        <f t="shared" ca="1" si="62"/>
        <v>0.75071369367965379</v>
      </c>
      <c r="AR212" s="62">
        <f t="shared" ca="1" si="63"/>
        <v>0.67603588232265277</v>
      </c>
      <c r="AS212" s="62">
        <f t="shared" ca="1" si="64"/>
        <v>0.85194337809139209</v>
      </c>
      <c r="AT212" s="49"/>
    </row>
    <row r="213" spans="1:46" x14ac:dyDescent="0.3">
      <c r="A213" s="5">
        <v>43769</v>
      </c>
      <c r="B213" s="6">
        <v>57.27</v>
      </c>
      <c r="C213" s="6">
        <v>96.059997999999993</v>
      </c>
      <c r="D213" s="6">
        <v>96.980002999999996</v>
      </c>
      <c r="F213" s="13">
        <v>210</v>
      </c>
      <c r="G213" s="5">
        <v>43769</v>
      </c>
      <c r="H213" s="15">
        <f t="shared" si="60"/>
        <v>-1.4732895090534919E-2</v>
      </c>
      <c r="I213" s="15">
        <f t="shared" si="60"/>
        <v>-5.6057450981809127E-3</v>
      </c>
      <c r="J213" s="15">
        <f t="shared" si="60"/>
        <v>-1.8693991354585913E-2</v>
      </c>
      <c r="K213" s="22"/>
      <c r="L213" s="13">
        <v>210</v>
      </c>
      <c r="M213" s="5">
        <v>43769</v>
      </c>
      <c r="N213" s="26">
        <f t="shared" si="57"/>
        <v>1.0129111953853698</v>
      </c>
      <c r="O213" s="26">
        <f t="shared" si="58"/>
        <v>0.91103941746890316</v>
      </c>
      <c r="P213" s="26">
        <f t="shared" si="59"/>
        <v>1.283483398186432</v>
      </c>
      <c r="Q213" s="22"/>
      <c r="AD213" s="59">
        <v>209</v>
      </c>
      <c r="AE213" s="61">
        <f t="shared" ca="1" si="61"/>
        <v>1.1914521218695193</v>
      </c>
      <c r="AF213" s="61">
        <f t="shared" ca="1" si="61"/>
        <v>6.6995453703927108E-2</v>
      </c>
      <c r="AG213" s="61">
        <f t="shared" ca="1" si="61"/>
        <v>0.80827353483569075</v>
      </c>
      <c r="AH213" s="19"/>
      <c r="AI213" s="61">
        <f ca="1"/>
        <v>2.5835787160906624E-2</v>
      </c>
      <c r="AJ213" s="61">
        <f ca="1"/>
        <v>2.0105225586182565E-2</v>
      </c>
      <c r="AK213" s="61">
        <f ca="1"/>
        <v>3.878410022943421E-2</v>
      </c>
      <c r="AL213" s="19"/>
      <c r="AM213" s="61">
        <f t="shared" ca="1" si="65"/>
        <v>2.6187003483416869E-2</v>
      </c>
      <c r="AN213" s="61">
        <f t="shared" ca="1" si="66"/>
        <v>2.0354278183099095E-2</v>
      </c>
      <c r="AO213" s="61">
        <f t="shared" ca="1" si="67"/>
        <v>3.9215768832689027E-2</v>
      </c>
      <c r="AP213" s="19"/>
      <c r="AQ213" s="62">
        <f t="shared" ca="1" si="62"/>
        <v>0.77063230185427478</v>
      </c>
      <c r="AR213" s="62">
        <f t="shared" ca="1" si="63"/>
        <v>0.68993709942084047</v>
      </c>
      <c r="AS213" s="62">
        <f t="shared" ca="1" si="64"/>
        <v>0.88601673245344248</v>
      </c>
      <c r="AT213" s="49"/>
    </row>
    <row r="214" spans="1:46" x14ac:dyDescent="0.3">
      <c r="A214" s="5">
        <v>43770</v>
      </c>
      <c r="B214" s="6">
        <v>58.709999000000003</v>
      </c>
      <c r="C214" s="6">
        <v>97.989998</v>
      </c>
      <c r="D214" s="6">
        <v>99.860000999999997</v>
      </c>
      <c r="F214" s="13">
        <v>211</v>
      </c>
      <c r="G214" s="5">
        <v>43770</v>
      </c>
      <c r="H214" s="15">
        <f t="shared" si="60"/>
        <v>2.4833126637454947E-2</v>
      </c>
      <c r="I214" s="15">
        <f t="shared" si="60"/>
        <v>1.9892436821123648E-2</v>
      </c>
      <c r="J214" s="15">
        <f t="shared" si="60"/>
        <v>2.9264412475063825E-2</v>
      </c>
      <c r="K214" s="22"/>
      <c r="L214" s="13">
        <v>211</v>
      </c>
      <c r="M214" s="5">
        <v>43770</v>
      </c>
      <c r="N214" s="26">
        <f t="shared" si="57"/>
        <v>1.0383798719777173</v>
      </c>
      <c r="O214" s="26">
        <f t="shared" si="58"/>
        <v>0.92934366598361784</v>
      </c>
      <c r="P214" s="26">
        <f t="shared" si="59"/>
        <v>1.3215987777024558</v>
      </c>
      <c r="Q214" s="22"/>
      <c r="AD214" s="59">
        <v>210</v>
      </c>
      <c r="AE214" s="61">
        <f t="shared" ca="1" si="61"/>
        <v>1.0202552843887416</v>
      </c>
      <c r="AF214" s="61">
        <f t="shared" ca="1" si="61"/>
        <v>0.67858062075866143</v>
      </c>
      <c r="AG214" s="61">
        <f t="shared" ca="1" si="61"/>
        <v>0.51045141330425192</v>
      </c>
      <c r="AH214" s="19"/>
      <c r="AI214" s="61">
        <f ca="1"/>
        <v>2.2123506176561641E-2</v>
      </c>
      <c r="AJ214" s="61">
        <f ca="1"/>
        <v>3.0719020797937455E-2</v>
      </c>
      <c r="AK214" s="61">
        <f ca="1"/>
        <v>3.2931448579702691E-2</v>
      </c>
      <c r="AL214" s="19"/>
      <c r="AM214" s="61">
        <f t="shared" ca="1" si="65"/>
        <v>2.2474722499071887E-2</v>
      </c>
      <c r="AN214" s="61">
        <f t="shared" ca="1" si="66"/>
        <v>3.0968073394853985E-2</v>
      </c>
      <c r="AO214" s="61">
        <f t="shared" ca="1" si="67"/>
        <v>3.3363117182957508E-2</v>
      </c>
      <c r="AP214" s="19"/>
      <c r="AQ214" s="62">
        <f t="shared" ca="1" si="62"/>
        <v>0.788148143543968</v>
      </c>
      <c r="AR214" s="62">
        <f t="shared" ca="1" si="63"/>
        <v>0.71163739611726584</v>
      </c>
      <c r="AS214" s="62">
        <f t="shared" ca="1" si="64"/>
        <v>0.91607565402809088</v>
      </c>
      <c r="AT214" s="49"/>
    </row>
    <row r="215" spans="1:46" x14ac:dyDescent="0.3">
      <c r="A215" s="5">
        <v>43773</v>
      </c>
      <c r="B215" s="6">
        <v>58.290000999999997</v>
      </c>
      <c r="C215" s="6">
        <v>99.040001000000004</v>
      </c>
      <c r="D215" s="6">
        <v>101.239998</v>
      </c>
      <c r="F215" s="13">
        <v>212</v>
      </c>
      <c r="G215" s="5">
        <v>43773</v>
      </c>
      <c r="H215" s="15">
        <f t="shared" si="60"/>
        <v>-7.1794838301615007E-3</v>
      </c>
      <c r="I215" s="15">
        <f t="shared" si="60"/>
        <v>1.065840679573561E-2</v>
      </c>
      <c r="J215" s="15">
        <f t="shared" si="60"/>
        <v>1.3724700835402831E-2</v>
      </c>
      <c r="K215" s="22"/>
      <c r="L215" s="13">
        <v>212</v>
      </c>
      <c r="M215" s="5">
        <v>43773</v>
      </c>
      <c r="N215" s="26">
        <f t="shared" si="57"/>
        <v>1.0309515381862127</v>
      </c>
      <c r="O215" s="26">
        <f t="shared" si="58"/>
        <v>0.93930196435314939</v>
      </c>
      <c r="P215" s="26">
        <f t="shared" si="59"/>
        <v>1.3398623700334138</v>
      </c>
      <c r="Q215" s="22"/>
      <c r="AD215" s="59">
        <v>211</v>
      </c>
      <c r="AE215" s="61">
        <f t="shared" ca="1" si="61"/>
        <v>-0.89787045070765859</v>
      </c>
      <c r="AF215" s="61">
        <f t="shared" ca="1" si="61"/>
        <v>0.40712492002776118</v>
      </c>
      <c r="AG215" s="61">
        <f t="shared" ca="1" si="61"/>
        <v>-0.26543056031297346</v>
      </c>
      <c r="AH215" s="19"/>
      <c r="AI215" s="61">
        <f ca="1"/>
        <v>-1.9469678585280814E-2</v>
      </c>
      <c r="AJ215" s="61">
        <f ca="1"/>
        <v>-5.204497268894678E-3</v>
      </c>
      <c r="AK215" s="61">
        <f ca="1"/>
        <v>-1.7199683995626699E-2</v>
      </c>
      <c r="AL215" s="19"/>
      <c r="AM215" s="61">
        <f t="shared" ca="1" si="65"/>
        <v>-1.9118462262770568E-2</v>
      </c>
      <c r="AN215" s="61">
        <f t="shared" ca="1" si="66"/>
        <v>-4.9554446719781474E-3</v>
      </c>
      <c r="AO215" s="61">
        <f t="shared" ca="1" si="67"/>
        <v>-1.6768015392371882E-2</v>
      </c>
      <c r="AP215" s="19"/>
      <c r="AQ215" s="62">
        <f t="shared" ca="1" si="62"/>
        <v>0.77322308965284225</v>
      </c>
      <c r="AR215" s="62">
        <f t="shared" ca="1" si="63"/>
        <v>0.70811963959682545</v>
      </c>
      <c r="AS215" s="62">
        <f t="shared" ca="1" si="64"/>
        <v>0.90084295136572479</v>
      </c>
      <c r="AT215" s="49"/>
    </row>
    <row r="216" spans="1:46" x14ac:dyDescent="0.3">
      <c r="A216" s="5">
        <v>43774</v>
      </c>
      <c r="B216" s="6">
        <v>58.240001999999997</v>
      </c>
      <c r="C216" s="6">
        <v>102.05999799999999</v>
      </c>
      <c r="D216" s="6">
        <v>101.089996</v>
      </c>
      <c r="F216" s="13">
        <v>213</v>
      </c>
      <c r="G216" s="5">
        <v>43774</v>
      </c>
      <c r="H216" s="15">
        <f t="shared" si="60"/>
        <v>-8.5813098397023529E-4</v>
      </c>
      <c r="I216" s="15">
        <f t="shared" si="60"/>
        <v>3.0037037006292688E-2</v>
      </c>
      <c r="J216" s="15">
        <f t="shared" si="60"/>
        <v>-1.4827463246212945E-3</v>
      </c>
      <c r="K216" s="22"/>
      <c r="L216" s="13">
        <v>213</v>
      </c>
      <c r="M216" s="5">
        <v>43774</v>
      </c>
      <c r="N216" s="26">
        <f t="shared" si="57"/>
        <v>1.0300672262103427</v>
      </c>
      <c r="O216" s="26">
        <f t="shared" si="58"/>
        <v>0.96794381699651322</v>
      </c>
      <c r="P216" s="26">
        <f t="shared" si="59"/>
        <v>1.3378771661693269</v>
      </c>
      <c r="Q216" s="22"/>
      <c r="AD216" s="59">
        <v>212</v>
      </c>
      <c r="AE216" s="61">
        <f t="shared" ca="1" si="61"/>
        <v>-0.75380963379910371</v>
      </c>
      <c r="AF216" s="61">
        <f t="shared" ca="1" si="61"/>
        <v>1.3664240487740211</v>
      </c>
      <c r="AG216" s="61">
        <f t="shared" ca="1" si="61"/>
        <v>-1.893222209081999</v>
      </c>
      <c r="AH216" s="19"/>
      <c r="AI216" s="61">
        <f ca="1"/>
        <v>-1.634582279992567E-2</v>
      </c>
      <c r="AJ216" s="61">
        <f ca="1"/>
        <v>1.7901734075923163E-2</v>
      </c>
      <c r="AK216" s="61">
        <f ca="1"/>
        <v>-5.001922933848349E-2</v>
      </c>
      <c r="AL216" s="19"/>
      <c r="AM216" s="61">
        <f t="shared" ca="1" si="65"/>
        <v>-1.5994606477415425E-2</v>
      </c>
      <c r="AN216" s="61">
        <f t="shared" ca="1" si="66"/>
        <v>1.8150786672839692E-2</v>
      </c>
      <c r="AO216" s="61">
        <f t="shared" ca="1" si="67"/>
        <v>-4.9587560735228672E-2</v>
      </c>
      <c r="AP216" s="19"/>
      <c r="AQ216" s="62">
        <f t="shared" ca="1" si="62"/>
        <v>0.76095407123682002</v>
      </c>
      <c r="AR216" s="62">
        <f t="shared" ca="1" si="63"/>
        <v>0.72108992244503356</v>
      </c>
      <c r="AS216" s="62">
        <f t="shared" ca="1" si="64"/>
        <v>0.85726181772423227</v>
      </c>
      <c r="AT216" s="49"/>
    </row>
    <row r="217" spans="1:46" x14ac:dyDescent="0.3">
      <c r="A217" s="5">
        <v>43775</v>
      </c>
      <c r="B217" s="6">
        <v>58.23</v>
      </c>
      <c r="C217" s="6">
        <v>100.879997</v>
      </c>
      <c r="D217" s="6">
        <v>100.349998</v>
      </c>
      <c r="F217" s="13">
        <v>214</v>
      </c>
      <c r="G217" s="5">
        <v>43775</v>
      </c>
      <c r="H217" s="15">
        <f t="shared" si="60"/>
        <v>-1.7175238006069942E-4</v>
      </c>
      <c r="I217" s="15">
        <f t="shared" si="60"/>
        <v>-1.1629194121148462E-2</v>
      </c>
      <c r="J217" s="15">
        <f t="shared" si="60"/>
        <v>-7.3471142851614969E-3</v>
      </c>
      <c r="K217" s="22"/>
      <c r="L217" s="13">
        <v>214</v>
      </c>
      <c r="M217" s="5">
        <v>43775</v>
      </c>
      <c r="N217" s="26">
        <f t="shared" si="57"/>
        <v>1.0298903249046636</v>
      </c>
      <c r="O217" s="26">
        <f t="shared" si="58"/>
        <v>0.95675260893868341</v>
      </c>
      <c r="P217" s="26">
        <f t="shared" si="59"/>
        <v>1.3280836508227543</v>
      </c>
      <c r="Q217" s="22"/>
      <c r="AD217" s="59">
        <v>213</v>
      </c>
      <c r="AE217" s="61">
        <f t="shared" ca="1" si="61"/>
        <v>-0.70069186069655609</v>
      </c>
      <c r="AF217" s="61">
        <f t="shared" ca="1" si="61"/>
        <v>2.5829100000773741</v>
      </c>
      <c r="AG217" s="61">
        <f t="shared" ca="1" si="61"/>
        <v>-0.16546893258825726</v>
      </c>
      <c r="AH217" s="19"/>
      <c r="AI217" s="61">
        <f ca="1"/>
        <v>-1.5194001878926009E-2</v>
      </c>
      <c r="AJ217" s="61">
        <f ca="1"/>
        <v>4.5174711472540693E-2</v>
      </c>
      <c r="AK217" s="61">
        <f ca="1"/>
        <v>3.5976306344175438E-3</v>
      </c>
      <c r="AL217" s="19"/>
      <c r="AM217" s="61">
        <f t="shared" ca="1" si="65"/>
        <v>-1.4842785556415765E-2</v>
      </c>
      <c r="AN217" s="61">
        <f t="shared" ca="1" si="66"/>
        <v>4.5423764069457223E-2</v>
      </c>
      <c r="AO217" s="61">
        <f t="shared" ca="1" si="67"/>
        <v>4.0292992376723619E-3</v>
      </c>
      <c r="AP217" s="19"/>
      <c r="AQ217" s="62">
        <f t="shared" ca="1" si="62"/>
        <v>0.74974280219745071</v>
      </c>
      <c r="AR217" s="62">
        <f t="shared" ca="1" si="63"/>
        <v>0.75459985293697651</v>
      </c>
      <c r="AS217" s="62">
        <f t="shared" ca="1" si="64"/>
        <v>0.86072295039980418</v>
      </c>
      <c r="AT217" s="49"/>
    </row>
    <row r="218" spans="1:46" x14ac:dyDescent="0.3">
      <c r="A218" s="5">
        <v>43776</v>
      </c>
      <c r="B218" s="6">
        <v>58.099997999999999</v>
      </c>
      <c r="C218" s="6">
        <v>115.66999800000001</v>
      </c>
      <c r="D218" s="6">
        <v>101.400002</v>
      </c>
      <c r="F218" s="13">
        <v>215</v>
      </c>
      <c r="G218" s="5">
        <v>43776</v>
      </c>
      <c r="H218" s="15">
        <f t="shared" si="60"/>
        <v>-2.2350564145714865E-3</v>
      </c>
      <c r="I218" s="15">
        <f t="shared" si="60"/>
        <v>0.13680963009838137</v>
      </c>
      <c r="J218" s="15">
        <f t="shared" si="60"/>
        <v>1.0409055568845764E-2</v>
      </c>
      <c r="K218" s="22"/>
      <c r="L218" s="13">
        <v>215</v>
      </c>
      <c r="M218" s="5">
        <v>43776</v>
      </c>
      <c r="N218" s="26">
        <f t="shared" si="57"/>
        <v>1.0275910324090727</v>
      </c>
      <c r="O218" s="26">
        <f t="shared" si="58"/>
        <v>1.0970219632583087</v>
      </c>
      <c r="P218" s="26">
        <f t="shared" si="59"/>
        <v>1.3419799455262029</v>
      </c>
      <c r="Q218" s="22"/>
      <c r="AD218" s="59">
        <v>214</v>
      </c>
      <c r="AE218" s="61">
        <f t="shared" ca="1" si="61"/>
        <v>1.2097880827876535</v>
      </c>
      <c r="AF218" s="61">
        <f t="shared" ca="1" si="61"/>
        <v>-0.43728598192511675</v>
      </c>
      <c r="AG218" s="61">
        <f t="shared" ca="1" si="61"/>
        <v>1.5895243034291584</v>
      </c>
      <c r="AH218" s="19"/>
      <c r="AI218" s="61">
        <f ca="1"/>
        <v>2.6233389359917602E-2</v>
      </c>
      <c r="AJ218" s="61">
        <f ca="1"/>
        <v>9.4311560761660435E-3</v>
      </c>
      <c r="AK218" s="61">
        <f ca="1"/>
        <v>5.5519251504595718E-2</v>
      </c>
      <c r="AL218" s="19"/>
      <c r="AM218" s="61">
        <f t="shared" ca="1" si="65"/>
        <v>2.6584605682427848E-2</v>
      </c>
      <c r="AN218" s="61">
        <f t="shared" ca="1" si="66"/>
        <v>9.680208673082575E-3</v>
      </c>
      <c r="AO218" s="61">
        <f t="shared" ca="1" si="67"/>
        <v>5.5950920107850535E-2</v>
      </c>
      <c r="AP218" s="19"/>
      <c r="AQ218" s="62">
        <f t="shared" ca="1" si="62"/>
        <v>0.7699417194793432</v>
      </c>
      <c r="AR218" s="62">
        <f t="shared" ca="1" si="63"/>
        <v>0.76194000677026574</v>
      </c>
      <c r="AS218" s="62">
        <f t="shared" ca="1" si="64"/>
        <v>0.91025392242108993</v>
      </c>
      <c r="AT218" s="49"/>
    </row>
    <row r="219" spans="1:46" x14ac:dyDescent="0.3">
      <c r="A219" s="5">
        <v>43777</v>
      </c>
      <c r="B219" s="6">
        <v>57.939999</v>
      </c>
      <c r="C219" s="6">
        <v>113.769997</v>
      </c>
      <c r="D219" s="6">
        <v>100.860001</v>
      </c>
      <c r="F219" s="13">
        <v>216</v>
      </c>
      <c r="G219" s="5">
        <v>43777</v>
      </c>
      <c r="H219" s="15">
        <f t="shared" si="60"/>
        <v>-2.7576543524864662E-3</v>
      </c>
      <c r="I219" s="15">
        <f t="shared" si="60"/>
        <v>-1.6562451834107289E-2</v>
      </c>
      <c r="J219" s="15">
        <f t="shared" si="60"/>
        <v>-5.3396843176360329E-3</v>
      </c>
      <c r="K219" s="22"/>
      <c r="L219" s="13">
        <v>216</v>
      </c>
      <c r="M219" s="5">
        <v>43777</v>
      </c>
      <c r="N219" s="26">
        <f t="shared" si="57"/>
        <v>1.0247611951757836</v>
      </c>
      <c r="O219" s="26">
        <f t="shared" si="58"/>
        <v>1.0790022272571655</v>
      </c>
      <c r="P219" s="26">
        <f t="shared" si="59"/>
        <v>1.3348332936694891</v>
      </c>
      <c r="Q219" s="22"/>
      <c r="AD219" s="59">
        <v>215</v>
      </c>
      <c r="AE219" s="61">
        <f t="shared" ca="1" si="61"/>
        <v>-2.1086140347714508</v>
      </c>
      <c r="AF219" s="61">
        <f t="shared" ca="1" si="61"/>
        <v>1.5099113603793184</v>
      </c>
      <c r="AG219" s="61">
        <f t="shared" ca="1" si="61"/>
        <v>-0.25226643411423938</v>
      </c>
      <c r="AH219" s="19"/>
      <c r="AI219" s="61">
        <f ca="1"/>
        <v>-4.5723787307016803E-2</v>
      </c>
      <c r="AJ219" s="61">
        <f ca="1"/>
        <v>-1.8527948860691534E-4</v>
      </c>
      <c r="AK219" s="61">
        <f ca="1"/>
        <v>-2.6985487115580974E-2</v>
      </c>
      <c r="AL219" s="19"/>
      <c r="AM219" s="61">
        <f t="shared" ca="1" si="65"/>
        <v>-4.5372570984506561E-2</v>
      </c>
      <c r="AN219" s="61">
        <f t="shared" ca="1" si="66"/>
        <v>6.3773108309615333E-5</v>
      </c>
      <c r="AO219" s="61">
        <f t="shared" ca="1" si="67"/>
        <v>-2.6553818512326157E-2</v>
      </c>
      <c r="AP219" s="19"/>
      <c r="AQ219" s="62">
        <f t="shared" ca="1" si="62"/>
        <v>0.73578816058771768</v>
      </c>
      <c r="AR219" s="62">
        <f t="shared" ca="1" si="63"/>
        <v>0.76198859960228438</v>
      </c>
      <c r="AS219" s="62">
        <f t="shared" ca="1" si="64"/>
        <v>0.8864012956606212</v>
      </c>
      <c r="AT219" s="49"/>
    </row>
    <row r="220" spans="1:46" x14ac:dyDescent="0.3">
      <c r="A220" s="5">
        <v>43780</v>
      </c>
      <c r="B220" s="6">
        <v>58.02</v>
      </c>
      <c r="C220" s="6">
        <v>114.010002</v>
      </c>
      <c r="D220" s="6">
        <v>100.68</v>
      </c>
      <c r="F220" s="13">
        <v>217</v>
      </c>
      <c r="G220" s="5">
        <v>43780</v>
      </c>
      <c r="H220" s="15">
        <f t="shared" si="60"/>
        <v>1.3798036112874122E-3</v>
      </c>
      <c r="I220" s="15">
        <f t="shared" si="60"/>
        <v>2.1073412053142842E-3</v>
      </c>
      <c r="J220" s="15">
        <f t="shared" si="60"/>
        <v>-1.7862562961972451E-3</v>
      </c>
      <c r="K220" s="22"/>
      <c r="L220" s="13">
        <v>217</v>
      </c>
      <c r="M220" s="5">
        <v>43780</v>
      </c>
      <c r="N220" s="26">
        <f t="shared" si="57"/>
        <v>1.0261761403223182</v>
      </c>
      <c r="O220" s="26">
        <f t="shared" si="58"/>
        <v>1.0812784506586028</v>
      </c>
      <c r="P220" s="26">
        <f t="shared" si="59"/>
        <v>1.3324510675609071</v>
      </c>
      <c r="Q220" s="22"/>
      <c r="AD220" s="59">
        <v>216</v>
      </c>
      <c r="AE220" s="61">
        <f t="shared" ca="1" si="61"/>
        <v>0.85661480291692083</v>
      </c>
      <c r="AF220" s="61">
        <f t="shared" ca="1" si="61"/>
        <v>-0.96330288814463982</v>
      </c>
      <c r="AG220" s="61">
        <f t="shared" ca="1" si="61"/>
        <v>-0.77499374865527393</v>
      </c>
      <c r="AH220" s="19"/>
      <c r="AI220" s="61">
        <f ca="1"/>
        <v>1.8575079368121878E-2</v>
      </c>
      <c r="AJ220" s="61">
        <f ca="1"/>
        <v>-7.5303441818756651E-3</v>
      </c>
      <c r="AK220" s="61">
        <f ca="1"/>
        <v>-1.3982376294017728E-2</v>
      </c>
      <c r="AL220" s="19"/>
      <c r="AM220" s="61">
        <f t="shared" ca="1" si="65"/>
        <v>1.8926295690632124E-2</v>
      </c>
      <c r="AN220" s="61">
        <f t="shared" ca="1" si="66"/>
        <v>-7.2812915849591346E-3</v>
      </c>
      <c r="AO220" s="61">
        <f t="shared" ca="1" si="67"/>
        <v>-1.3550707690762909E-2</v>
      </c>
      <c r="AP220" s="19"/>
      <c r="AQ220" s="62">
        <f t="shared" ca="1" si="62"/>
        <v>0.74984652158419984</v>
      </c>
      <c r="AR220" s="62">
        <f t="shared" ca="1" si="63"/>
        <v>0.75646048874143967</v>
      </c>
      <c r="AS220" s="62">
        <f t="shared" ca="1" si="64"/>
        <v>0.87447094570421324</v>
      </c>
      <c r="AT220" s="49"/>
    </row>
    <row r="221" spans="1:46" x14ac:dyDescent="0.3">
      <c r="A221" s="5">
        <v>43781</v>
      </c>
      <c r="B221" s="6">
        <v>57.52</v>
      </c>
      <c r="C221" s="6">
        <v>111.360001</v>
      </c>
      <c r="D221" s="6">
        <v>100.480003</v>
      </c>
      <c r="F221" s="13">
        <v>218</v>
      </c>
      <c r="G221" s="5">
        <v>43781</v>
      </c>
      <c r="H221" s="15">
        <f t="shared" si="60"/>
        <v>-8.6550652804667592E-3</v>
      </c>
      <c r="I221" s="15">
        <f t="shared" si="60"/>
        <v>-2.351797582195456E-2</v>
      </c>
      <c r="J221" s="15">
        <f t="shared" si="60"/>
        <v>-1.9884376905392374E-3</v>
      </c>
      <c r="K221" s="22"/>
      <c r="L221" s="13">
        <v>218</v>
      </c>
      <c r="M221" s="5">
        <v>43781</v>
      </c>
      <c r="N221" s="26">
        <f t="shared" si="57"/>
        <v>1.0173328436976858</v>
      </c>
      <c r="O221" s="26">
        <f t="shared" si="58"/>
        <v>1.0561456647165086</v>
      </c>
      <c r="P221" s="26">
        <f t="shared" si="59"/>
        <v>1.3298042040710483</v>
      </c>
      <c r="Q221" s="22"/>
      <c r="AD221" s="59">
        <v>217</v>
      </c>
      <c r="AE221" s="61">
        <f t="shared" ca="1" si="61"/>
        <v>1.7257454512717711</v>
      </c>
      <c r="AF221" s="61">
        <f t="shared" ca="1" si="61"/>
        <v>-0.89104742059209707</v>
      </c>
      <c r="AG221" s="61">
        <f t="shared" ca="1" si="61"/>
        <v>1.8327035102380422</v>
      </c>
      <c r="AH221" s="19"/>
      <c r="AI221" s="61">
        <f ca="1"/>
        <v>3.742155589349231E-2</v>
      </c>
      <c r="AJ221" s="61">
        <f ca="1"/>
        <v>7.6441285363049033E-3</v>
      </c>
      <c r="AK221" s="61">
        <f ca="1"/>
        <v>6.6177446637723542E-2</v>
      </c>
      <c r="AL221" s="19"/>
      <c r="AM221" s="61">
        <f t="shared" ca="1" si="65"/>
        <v>3.7772772216002552E-2</v>
      </c>
      <c r="AN221" s="61">
        <f t="shared" ca="1" si="66"/>
        <v>7.8931811332214347E-3</v>
      </c>
      <c r="AO221" s="61">
        <f t="shared" ca="1" si="67"/>
        <v>6.6609115240978359E-2</v>
      </c>
      <c r="AP221" s="19"/>
      <c r="AQ221" s="62">
        <f t="shared" ca="1" si="62"/>
        <v>0.77871203671939893</v>
      </c>
      <c r="AR221" s="62">
        <f t="shared" ca="1" si="63"/>
        <v>0.76245499513900128</v>
      </c>
      <c r="AS221" s="62">
        <f t="shared" ca="1" si="64"/>
        <v>0.93470239569956903</v>
      </c>
      <c r="AT221" s="49"/>
    </row>
    <row r="222" spans="1:46" x14ac:dyDescent="0.3">
      <c r="A222" s="5">
        <v>43782</v>
      </c>
      <c r="B222" s="6">
        <v>57.419998</v>
      </c>
      <c r="C222" s="6">
        <v>110.660004</v>
      </c>
      <c r="D222" s="6">
        <v>100.25</v>
      </c>
      <c r="F222" s="13">
        <v>219</v>
      </c>
      <c r="G222" s="5">
        <v>43782</v>
      </c>
      <c r="H222" s="15">
        <f t="shared" si="60"/>
        <v>-1.7400735509432931E-3</v>
      </c>
      <c r="I222" s="15">
        <f t="shared" si="60"/>
        <v>-6.3057319492755811E-3</v>
      </c>
      <c r="J222" s="15">
        <f t="shared" si="60"/>
        <v>-2.29166638989734E-3</v>
      </c>
      <c r="K222" s="22"/>
      <c r="L222" s="13">
        <v>219</v>
      </c>
      <c r="M222" s="5">
        <v>43782</v>
      </c>
      <c r="N222" s="26">
        <f t="shared" si="57"/>
        <v>1.015564148999573</v>
      </c>
      <c r="O222" s="26">
        <f t="shared" si="58"/>
        <v>1.0495068465571538</v>
      </c>
      <c r="P222" s="26">
        <f t="shared" si="59"/>
        <v>1.3267602256950828</v>
      </c>
      <c r="Q222" s="22"/>
      <c r="AD222" s="59">
        <v>218</v>
      </c>
      <c r="AE222" s="61">
        <f t="shared" ca="1" si="61"/>
        <v>-0.96257177530096028</v>
      </c>
      <c r="AF222" s="61">
        <f t="shared" ca="1" si="61"/>
        <v>-0.3843862279377504</v>
      </c>
      <c r="AG222" s="61">
        <f t="shared" ca="1" si="61"/>
        <v>0.59520770951598723</v>
      </c>
      <c r="AH222" s="19"/>
      <c r="AI222" s="61">
        <f ca="1"/>
        <v>-2.0872680536041823E-2</v>
      </c>
      <c r="AJ222" s="61">
        <f ca="1"/>
        <v>-2.342152451762692E-2</v>
      </c>
      <c r="AK222" s="61">
        <f ca="1"/>
        <v>-1.6803536943463902E-3</v>
      </c>
      <c r="AL222" s="19"/>
      <c r="AM222" s="61">
        <f t="shared" ca="1" si="65"/>
        <v>-2.0521464213531578E-2</v>
      </c>
      <c r="AN222" s="61">
        <f t="shared" ca="1" si="66"/>
        <v>-2.317247192071039E-2</v>
      </c>
      <c r="AO222" s="61">
        <f t="shared" ca="1" si="67"/>
        <v>-1.248685091091572E-3</v>
      </c>
      <c r="AP222" s="19"/>
      <c r="AQ222" s="62">
        <f t="shared" ca="1" si="62"/>
        <v>0.76289457931548788</v>
      </c>
      <c r="AR222" s="62">
        <f t="shared" ca="1" si="63"/>
        <v>0.74499016134975837</v>
      </c>
      <c r="AS222" s="62">
        <f t="shared" ca="1" si="64"/>
        <v>0.93353597515098419</v>
      </c>
      <c r="AT222" s="49"/>
    </row>
    <row r="223" spans="1:46" x14ac:dyDescent="0.3">
      <c r="A223" s="5">
        <v>43783</v>
      </c>
      <c r="B223" s="6">
        <v>57.799999</v>
      </c>
      <c r="C223" s="6">
        <v>111.389999</v>
      </c>
      <c r="D223" s="6">
        <v>100.82</v>
      </c>
      <c r="F223" s="13">
        <v>220</v>
      </c>
      <c r="G223" s="5">
        <v>43783</v>
      </c>
      <c r="H223" s="15">
        <f t="shared" si="60"/>
        <v>6.5961185154455176E-3</v>
      </c>
      <c r="I223" s="15">
        <f t="shared" si="60"/>
        <v>6.5750742629130058E-3</v>
      </c>
      <c r="J223" s="15">
        <f t="shared" si="60"/>
        <v>5.6696824678062318E-3</v>
      </c>
      <c r="K223" s="22"/>
      <c r="L223" s="13">
        <v>220</v>
      </c>
      <c r="M223" s="5">
        <v>43783</v>
      </c>
      <c r="N223" s="26">
        <f t="shared" si="57"/>
        <v>1.0222850721208867</v>
      </c>
      <c r="O223" s="26">
        <f t="shared" si="58"/>
        <v>1.0564301677460135</v>
      </c>
      <c r="P223" s="26">
        <f t="shared" si="59"/>
        <v>1.3343038997962917</v>
      </c>
      <c r="Q223" s="22"/>
      <c r="AD223" s="59">
        <v>219</v>
      </c>
      <c r="AE223" s="61">
        <f t="shared" ca="1" si="61"/>
        <v>0.80382390871716491</v>
      </c>
      <c r="AF223" s="61">
        <f t="shared" ca="1" si="61"/>
        <v>2.1044981562113079</v>
      </c>
      <c r="AG223" s="61">
        <f t="shared" ca="1" si="61"/>
        <v>-2.4679063588369554</v>
      </c>
      <c r="AH223" s="19"/>
      <c r="AI223" s="61">
        <f ca="1"/>
        <v>1.7430346582352246E-2</v>
      </c>
      <c r="AJ223" s="61">
        <f ca="1"/>
        <v>5.832513243408026E-2</v>
      </c>
      <c r="AK223" s="61">
        <f ca="1"/>
        <v>-3.6529867431995836E-2</v>
      </c>
      <c r="AL223" s="19"/>
      <c r="AM223" s="61">
        <f t="shared" ca="1" si="65"/>
        <v>1.7781562904862491E-2</v>
      </c>
      <c r="AN223" s="61">
        <f t="shared" ca="1" si="66"/>
        <v>5.8574185030996789E-2</v>
      </c>
      <c r="AO223" s="61">
        <f t="shared" ca="1" si="67"/>
        <v>-3.6098198828741018E-2</v>
      </c>
      <c r="AP223" s="19"/>
      <c r="AQ223" s="62">
        <f t="shared" ca="1" si="62"/>
        <v>0.77658136284191215</v>
      </c>
      <c r="AR223" s="62">
        <f t="shared" ca="1" si="63"/>
        <v>0.78993068182140058</v>
      </c>
      <c r="AS223" s="62">
        <f t="shared" ca="1" si="64"/>
        <v>0.90043799074904507</v>
      </c>
      <c r="AT223" s="49"/>
    </row>
    <row r="224" spans="1:46" x14ac:dyDescent="0.3">
      <c r="A224" s="5">
        <v>43784</v>
      </c>
      <c r="B224" s="6">
        <v>58.189999</v>
      </c>
      <c r="C224" s="6">
        <v>112.610001</v>
      </c>
      <c r="D224" s="6">
        <v>100.610001</v>
      </c>
      <c r="F224" s="13">
        <v>221</v>
      </c>
      <c r="G224" s="5">
        <v>43784</v>
      </c>
      <c r="H224" s="15">
        <f t="shared" si="60"/>
        <v>6.7247431062016005E-3</v>
      </c>
      <c r="I224" s="15">
        <f t="shared" si="60"/>
        <v>1.0892982709508352E-2</v>
      </c>
      <c r="J224" s="15">
        <f t="shared" si="60"/>
        <v>-2.0850824111556172E-3</v>
      </c>
      <c r="K224" s="22"/>
      <c r="L224" s="13">
        <v>221</v>
      </c>
      <c r="M224" s="5">
        <v>43784</v>
      </c>
      <c r="N224" s="26">
        <f t="shared" si="57"/>
        <v>1.0291828434880999</v>
      </c>
      <c r="O224" s="26">
        <f t="shared" si="58"/>
        <v>1.0680007479514273</v>
      </c>
      <c r="P224" s="26">
        <f t="shared" si="59"/>
        <v>1.3315246646777308</v>
      </c>
      <c r="Q224" s="22"/>
      <c r="AD224" s="59">
        <v>220</v>
      </c>
      <c r="AE224" s="61">
        <f t="shared" ca="1" si="61"/>
        <v>-0.78050055261728668</v>
      </c>
      <c r="AF224" s="61">
        <f t="shared" ca="1" si="61"/>
        <v>1.1040003377167396</v>
      </c>
      <c r="AG224" s="61">
        <f t="shared" ca="1" si="61"/>
        <v>-1.1649281445304518</v>
      </c>
      <c r="AH224" s="19"/>
      <c r="AI224" s="61">
        <f ca="1"/>
        <v>-1.6924596285706688E-2</v>
      </c>
      <c r="AJ224" s="61">
        <f ca="1"/>
        <v>1.1779912389831297E-2</v>
      </c>
      <c r="AK224" s="61">
        <f ca="1"/>
        <v>-3.360284966333691E-2</v>
      </c>
      <c r="AL224" s="19"/>
      <c r="AM224" s="61">
        <f t="shared" ca="1" si="65"/>
        <v>-1.6573379963196442E-2</v>
      </c>
      <c r="AN224" s="61">
        <f t="shared" ca="1" si="66"/>
        <v>1.2028964986747829E-2</v>
      </c>
      <c r="AO224" s="61">
        <f t="shared" ca="1" si="67"/>
        <v>-3.3171181060082093E-2</v>
      </c>
      <c r="AP224" s="19"/>
      <c r="AQ224" s="62">
        <f t="shared" ca="1" si="62"/>
        <v>0.76381685255771847</v>
      </c>
      <c r="AR224" s="62">
        <f t="shared" ca="1" si="63"/>
        <v>0.79949011008159887</v>
      </c>
      <c r="AS224" s="62">
        <f t="shared" ca="1" si="64"/>
        <v>0.8710593549417649</v>
      </c>
      <c r="AT224" s="49"/>
    </row>
    <row r="225" spans="1:46" x14ac:dyDescent="0.3">
      <c r="A225" s="5">
        <v>43787</v>
      </c>
      <c r="B225" s="6">
        <v>58.400002000000001</v>
      </c>
      <c r="C225" s="6">
        <v>113.360001</v>
      </c>
      <c r="D225" s="6">
        <v>101.05999799999999</v>
      </c>
      <c r="F225" s="13">
        <v>222</v>
      </c>
      <c r="G225" s="5">
        <v>43787</v>
      </c>
      <c r="H225" s="15">
        <f t="shared" si="60"/>
        <v>3.6024225972611126E-3</v>
      </c>
      <c r="I225" s="15">
        <f t="shared" si="60"/>
        <v>6.6380736147386432E-3</v>
      </c>
      <c r="J225" s="15">
        <f t="shared" si="60"/>
        <v>4.462713830209554E-3</v>
      </c>
      <c r="K225" s="22"/>
      <c r="L225" s="13">
        <v>222</v>
      </c>
      <c r="M225" s="5">
        <v>43787</v>
      </c>
      <c r="N225" s="26">
        <f t="shared" si="57"/>
        <v>1.0328970811302249</v>
      </c>
      <c r="O225" s="26">
        <f t="shared" si="58"/>
        <v>1.0751137978923786</v>
      </c>
      <c r="P225" s="26">
        <f t="shared" si="59"/>
        <v>1.3374801571593478</v>
      </c>
      <c r="Q225" s="22"/>
      <c r="AD225" s="59">
        <v>221</v>
      </c>
      <c r="AE225" s="61">
        <f t="shared" ca="1" si="61"/>
        <v>-0.63284701762878059</v>
      </c>
      <c r="AF225" s="61">
        <f t="shared" ca="1" si="61"/>
        <v>-0.91697559270087325</v>
      </c>
      <c r="AG225" s="61">
        <f t="shared" ca="1" si="61"/>
        <v>0.64778633312763767</v>
      </c>
      <c r="AH225" s="19"/>
      <c r="AI225" s="61">
        <f ca="1"/>
        <v>-1.3722834978225219E-2</v>
      </c>
      <c r="AJ225" s="61">
        <f ca="1"/>
        <v>-2.9836933003216382E-2</v>
      </c>
      <c r="AK225" s="61">
        <f ca="1"/>
        <v>7.8783196464198707E-4</v>
      </c>
      <c r="AL225" s="19"/>
      <c r="AM225" s="61">
        <f t="shared" ca="1" si="65"/>
        <v>-1.3371618655714975E-2</v>
      </c>
      <c r="AN225" s="61">
        <f t="shared" ca="1" si="66"/>
        <v>-2.9587880406299852E-2</v>
      </c>
      <c r="AO225" s="61">
        <f t="shared" ca="1" si="67"/>
        <v>1.2195005678968052E-3</v>
      </c>
      <c r="AP225" s="19"/>
      <c r="AQ225" s="62">
        <f t="shared" ca="1" si="62"/>
        <v>0.75367136683304548</v>
      </c>
      <c r="AR225" s="62">
        <f t="shared" ca="1" si="63"/>
        <v>0.77618142011112101</v>
      </c>
      <c r="AS225" s="62">
        <f t="shared" ca="1" si="64"/>
        <v>0.87212226029490125</v>
      </c>
      <c r="AT225" s="49"/>
    </row>
    <row r="226" spans="1:46" x14ac:dyDescent="0.3">
      <c r="A226" s="5">
        <v>43788</v>
      </c>
      <c r="B226" s="6">
        <v>58.830002</v>
      </c>
      <c r="C226" s="6">
        <v>110.470001</v>
      </c>
      <c r="D226" s="6">
        <v>97.620002999999997</v>
      </c>
      <c r="F226" s="13">
        <v>223</v>
      </c>
      <c r="G226" s="5">
        <v>43788</v>
      </c>
      <c r="H226" s="15">
        <f t="shared" si="60"/>
        <v>7.33603879186833E-3</v>
      </c>
      <c r="I226" s="15">
        <f t="shared" si="60"/>
        <v>-2.5824604267463643E-2</v>
      </c>
      <c r="J226" s="15">
        <f t="shared" si="60"/>
        <v>-3.4631958883130219E-2</v>
      </c>
      <c r="K226" s="22"/>
      <c r="L226" s="13">
        <v>223</v>
      </c>
      <c r="M226" s="5">
        <v>43788</v>
      </c>
      <c r="N226" s="26">
        <f t="shared" si="57"/>
        <v>1.0405023162274087</v>
      </c>
      <c r="O226" s="26">
        <f t="shared" si="58"/>
        <v>1.0477048454532463</v>
      </c>
      <c r="P226" s="26">
        <f t="shared" si="59"/>
        <v>1.2919534884053332</v>
      </c>
      <c r="Q226" s="22"/>
      <c r="AD226" s="59">
        <v>222</v>
      </c>
      <c r="AE226" s="61">
        <f t="shared" ca="1" si="61"/>
        <v>-0.377216906306515</v>
      </c>
      <c r="AF226" s="61">
        <f t="shared" ca="1" si="61"/>
        <v>-0.50580669741142881</v>
      </c>
      <c r="AG226" s="61">
        <f t="shared" ca="1" si="61"/>
        <v>1.4567259915437776</v>
      </c>
      <c r="AH226" s="19"/>
      <c r="AI226" s="61">
        <f ca="1"/>
        <v>-8.1796788355529629E-3</v>
      </c>
      <c r="AJ226" s="61">
        <f ca="1"/>
        <v>-1.6898549769187279E-2</v>
      </c>
      <c r="AK226" s="61">
        <f ca="1"/>
        <v>2.8185544963271001E-2</v>
      </c>
      <c r="AL226" s="19"/>
      <c r="AM226" s="61">
        <f t="shared" ca="1" si="65"/>
        <v>-7.828462513042719E-3</v>
      </c>
      <c r="AN226" s="61">
        <f t="shared" ca="1" si="66"/>
        <v>-1.6649497172270749E-2</v>
      </c>
      <c r="AO226" s="61">
        <f t="shared" ca="1" si="67"/>
        <v>2.8617213566525818E-2</v>
      </c>
      <c r="AP226" s="19"/>
      <c r="AQ226" s="62">
        <f t="shared" ca="1" si="62"/>
        <v>0.74779431295312015</v>
      </c>
      <c r="AR226" s="62">
        <f t="shared" ca="1" si="63"/>
        <v>0.7633653761510435</v>
      </c>
      <c r="AS226" s="62">
        <f t="shared" ca="1" si="64"/>
        <v>0.89744051032728067</v>
      </c>
      <c r="AT226" s="49"/>
    </row>
    <row r="227" spans="1:46" x14ac:dyDescent="0.3">
      <c r="A227" s="5">
        <v>43789</v>
      </c>
      <c r="B227" s="6">
        <v>58.419998</v>
      </c>
      <c r="C227" s="6">
        <v>106.910004</v>
      </c>
      <c r="D227" s="6">
        <v>97.190002000000007</v>
      </c>
      <c r="F227" s="13">
        <v>224</v>
      </c>
      <c r="G227" s="5">
        <v>43789</v>
      </c>
      <c r="H227" s="15">
        <f t="shared" si="60"/>
        <v>-6.9937001478811624E-3</v>
      </c>
      <c r="I227" s="15">
        <f t="shared" si="60"/>
        <v>-3.2756603496359379E-2</v>
      </c>
      <c r="J227" s="15">
        <f t="shared" si="60"/>
        <v>-4.414575096780525E-3</v>
      </c>
      <c r="K227" s="22"/>
      <c r="L227" s="13">
        <v>224</v>
      </c>
      <c r="M227" s="5">
        <v>43789</v>
      </c>
      <c r="N227" s="26">
        <f t="shared" si="57"/>
        <v>1.0332507422488373</v>
      </c>
      <c r="O227" s="26">
        <f t="shared" si="58"/>
        <v>1.0139415968523975</v>
      </c>
      <c r="P227" s="26">
        <f t="shared" si="59"/>
        <v>1.2862626333049931</v>
      </c>
      <c r="Q227" s="22"/>
      <c r="AD227" s="59">
        <v>223</v>
      </c>
      <c r="AE227" s="61">
        <f t="shared" ca="1" si="61"/>
        <v>0.90607659528115714</v>
      </c>
      <c r="AF227" s="61">
        <f t="shared" ca="1" si="61"/>
        <v>8.7065107473094039E-2</v>
      </c>
      <c r="AG227" s="61">
        <f t="shared" ca="1" si="61"/>
        <v>1.339862355522438</v>
      </c>
      <c r="AH227" s="19"/>
      <c r="AI227" s="61">
        <f ca="1"/>
        <v>1.9647622961492816E-2</v>
      </c>
      <c r="AJ227" s="61">
        <f ca="1"/>
        <v>1.6074665758312952E-2</v>
      </c>
      <c r="AK227" s="61">
        <f ca="1"/>
        <v>4.8328142464850447E-2</v>
      </c>
      <c r="AL227" s="19"/>
      <c r="AM227" s="61">
        <f t="shared" ca="1" si="65"/>
        <v>1.9998839284003062E-2</v>
      </c>
      <c r="AN227" s="61">
        <f t="shared" ca="1" si="66"/>
        <v>1.6323718355229482E-2</v>
      </c>
      <c r="AO227" s="61">
        <f t="shared" ca="1" si="67"/>
        <v>4.8759811068105265E-2</v>
      </c>
      <c r="AP227" s="19"/>
      <c r="AQ227" s="62">
        <f t="shared" ca="1" si="62"/>
        <v>0.76289987462855791</v>
      </c>
      <c r="AR227" s="62">
        <f t="shared" ca="1" si="63"/>
        <v>0.77592859783057544</v>
      </c>
      <c r="AS227" s="62">
        <f t="shared" ca="1" si="64"/>
        <v>0.9422839341698398</v>
      </c>
      <c r="AT227" s="49"/>
    </row>
    <row r="228" spans="1:46" x14ac:dyDescent="0.3">
      <c r="A228" s="5">
        <v>43790</v>
      </c>
      <c r="B228" s="6">
        <v>57.990001999999997</v>
      </c>
      <c r="C228" s="6">
        <v>103.709999</v>
      </c>
      <c r="D228" s="6">
        <v>98.410004000000001</v>
      </c>
      <c r="F228" s="13">
        <v>225</v>
      </c>
      <c r="G228" s="5">
        <v>43790</v>
      </c>
      <c r="H228" s="15">
        <f t="shared" si="60"/>
        <v>-7.3876463476897011E-3</v>
      </c>
      <c r="I228" s="15">
        <f t="shared" si="60"/>
        <v>-3.0388863480684657E-2</v>
      </c>
      <c r="J228" s="15">
        <f t="shared" si="60"/>
        <v>1.2474619463541132E-2</v>
      </c>
      <c r="K228" s="22"/>
      <c r="L228" s="13">
        <v>225</v>
      </c>
      <c r="M228" s="5">
        <v>43790</v>
      </c>
      <c r="N228" s="26">
        <f t="shared" si="57"/>
        <v>1.0256455778980267</v>
      </c>
      <c r="O228" s="26">
        <f t="shared" si="58"/>
        <v>0.98359253635067256</v>
      </c>
      <c r="P228" s="26">
        <f t="shared" si="59"/>
        <v>1.3024087692538056</v>
      </c>
      <c r="Q228" s="22"/>
      <c r="AD228" s="59">
        <v>224</v>
      </c>
      <c r="AE228" s="61">
        <f t="shared" ca="1" si="61"/>
        <v>-0.48014166174974487</v>
      </c>
      <c r="AF228" s="61">
        <f t="shared" ca="1" si="61"/>
        <v>0.23487603567206233</v>
      </c>
      <c r="AG228" s="61">
        <f t="shared" ca="1" si="61"/>
        <v>9.4300521074014543E-2</v>
      </c>
      <c r="AH228" s="19"/>
      <c r="AI228" s="61">
        <f ca="1"/>
        <v>-1.0411528547690087E-2</v>
      </c>
      <c r="AJ228" s="61">
        <f ca="1"/>
        <v>-2.4100698901221851E-3</v>
      </c>
      <c r="AK228" s="61">
        <f ca="1"/>
        <v>-3.0242748733614569E-3</v>
      </c>
      <c r="AL228" s="19"/>
      <c r="AM228" s="61">
        <f t="shared" ca="1" si="65"/>
        <v>-1.0060312225179844E-2</v>
      </c>
      <c r="AN228" s="61">
        <f t="shared" ca="1" si="66"/>
        <v>-2.1610172932056545E-3</v>
      </c>
      <c r="AO228" s="61">
        <f t="shared" ca="1" si="67"/>
        <v>-2.5926062701066388E-3</v>
      </c>
      <c r="AP228" s="19"/>
      <c r="AQ228" s="62">
        <f t="shared" ca="1" si="62"/>
        <v>0.75526334105688175</v>
      </c>
      <c r="AR228" s="62">
        <f t="shared" ca="1" si="63"/>
        <v>0.77425361319959496</v>
      </c>
      <c r="AS228" s="62">
        <f t="shared" ca="1" si="64"/>
        <v>0.93984412703015308</v>
      </c>
      <c r="AT228" s="49"/>
    </row>
    <row r="229" spans="1:46" x14ac:dyDescent="0.3">
      <c r="A229" s="5">
        <v>43791</v>
      </c>
      <c r="B229" s="6">
        <v>57.799999</v>
      </c>
      <c r="C229" s="6">
        <v>107.610001</v>
      </c>
      <c r="D229" s="6">
        <v>97.510002</v>
      </c>
      <c r="F229" s="13">
        <v>226</v>
      </c>
      <c r="G229" s="5">
        <v>43791</v>
      </c>
      <c r="H229" s="15">
        <f t="shared" si="60"/>
        <v>-3.2818579997599857E-3</v>
      </c>
      <c r="I229" s="15">
        <f t="shared" si="60"/>
        <v>3.6915056545746477E-2</v>
      </c>
      <c r="J229" s="15">
        <f t="shared" si="60"/>
        <v>-9.1875081994247775E-3</v>
      </c>
      <c r="K229" s="22"/>
      <c r="L229" s="13">
        <v>226</v>
      </c>
      <c r="M229" s="5">
        <v>43791</v>
      </c>
      <c r="N229" s="26">
        <f t="shared" si="57"/>
        <v>1.0222850721208867</v>
      </c>
      <c r="O229" s="26">
        <f t="shared" si="58"/>
        <v>1.0205804150117523</v>
      </c>
      <c r="P229" s="26">
        <f t="shared" si="59"/>
        <v>1.2904976784144437</v>
      </c>
      <c r="Q229" s="22"/>
      <c r="AD229" s="59">
        <v>225</v>
      </c>
      <c r="AE229" s="61">
        <f t="shared" ca="1" si="61"/>
        <v>2.3347277044983928E-3</v>
      </c>
      <c r="AF229" s="61">
        <f t="shared" ca="1" si="61"/>
        <v>0.45783967830225841</v>
      </c>
      <c r="AG229" s="61">
        <f t="shared" ca="1" si="61"/>
        <v>0.45507317930259605</v>
      </c>
      <c r="AH229" s="19"/>
      <c r="AI229" s="61">
        <f ca="1"/>
        <v>5.0626900523240998E-5</v>
      </c>
      <c r="AJ229" s="61">
        <f ca="1"/>
        <v>9.9881552581359938E-3</v>
      </c>
      <c r="AK229" s="61">
        <f ca="1"/>
        <v>1.4917769235960488E-2</v>
      </c>
      <c r="AL229" s="19"/>
      <c r="AM229" s="61">
        <f t="shared" ca="1" si="65"/>
        <v>4.0184322303348522E-4</v>
      </c>
      <c r="AN229" s="61">
        <f t="shared" ca="1" si="66"/>
        <v>1.0237207855052525E-2</v>
      </c>
      <c r="AO229" s="61">
        <f t="shared" ca="1" si="67"/>
        <v>1.5349437839215307E-2</v>
      </c>
      <c r="AP229" s="19"/>
      <c r="AQ229" s="62">
        <f t="shared" ca="1" si="62"/>
        <v>0.75556689949945766</v>
      </c>
      <c r="AR229" s="62">
        <f t="shared" ca="1" si="63"/>
        <v>0.78222051822399519</v>
      </c>
      <c r="AS229" s="62">
        <f t="shared" ca="1" si="64"/>
        <v>0.95438149079514423</v>
      </c>
      <c r="AT229" s="49"/>
    </row>
    <row r="230" spans="1:46" x14ac:dyDescent="0.3">
      <c r="A230" s="5">
        <v>43794</v>
      </c>
      <c r="B230" s="6">
        <v>57.950001</v>
      </c>
      <c r="C230" s="6">
        <v>108.93</v>
      </c>
      <c r="D230" s="6">
        <v>97.349997999999999</v>
      </c>
      <c r="F230" s="13">
        <v>227</v>
      </c>
      <c r="G230" s="5">
        <v>43794</v>
      </c>
      <c r="H230" s="15">
        <f t="shared" si="60"/>
        <v>2.5918286647223796E-3</v>
      </c>
      <c r="I230" s="15">
        <f t="shared" si="60"/>
        <v>1.219188458923672E-2</v>
      </c>
      <c r="J230" s="15">
        <f t="shared" si="60"/>
        <v>-1.6422460839631014E-3</v>
      </c>
      <c r="K230" s="22"/>
      <c r="L230" s="13">
        <v>227</v>
      </c>
      <c r="M230" s="5">
        <v>43794</v>
      </c>
      <c r="N230" s="26">
        <f t="shared" si="57"/>
        <v>1.0249380964814627</v>
      </c>
      <c r="O230" s="26">
        <f t="shared" si="58"/>
        <v>1.0330993734237599</v>
      </c>
      <c r="P230" s="26">
        <f t="shared" si="59"/>
        <v>1.2883801029216544</v>
      </c>
      <c r="Q230" s="22"/>
      <c r="AD230" s="59">
        <v>226</v>
      </c>
      <c r="AE230" s="61">
        <f t="shared" ca="1" si="61"/>
        <v>3.1080172423851249E-2</v>
      </c>
      <c r="AF230" s="61">
        <f t="shared" ca="1" si="61"/>
        <v>0.75197932389906696</v>
      </c>
      <c r="AG230" s="61">
        <f t="shared" ca="1" si="61"/>
        <v>1.676808037874129</v>
      </c>
      <c r="AH230" s="19"/>
      <c r="AI230" s="61">
        <f ca="1"/>
        <v>6.7395131111683715E-4</v>
      </c>
      <c r="AJ230" s="61">
        <f ca="1"/>
        <v>1.6831513189633822E-2</v>
      </c>
      <c r="AK230" s="61">
        <f ca="1"/>
        <v>4.8714758002872297E-2</v>
      </c>
      <c r="AL230" s="19"/>
      <c r="AM230" s="61">
        <f t="shared" ca="1" si="65"/>
        <v>1.0251676336270814E-3</v>
      </c>
      <c r="AN230" s="61">
        <f t="shared" ca="1" si="66"/>
        <v>1.7080565786550352E-2</v>
      </c>
      <c r="AO230" s="61">
        <f t="shared" ca="1" si="67"/>
        <v>4.9146426606127114E-2</v>
      </c>
      <c r="AP230" s="19"/>
      <c r="AQ230" s="62">
        <f t="shared" ca="1" si="62"/>
        <v>0.75634187940414865</v>
      </c>
      <c r="AR230" s="62">
        <f t="shared" ca="1" si="63"/>
        <v>0.79569604443373643</v>
      </c>
      <c r="AS230" s="62">
        <f t="shared" ca="1" si="64"/>
        <v>1.0024576397264409</v>
      </c>
      <c r="AT230" s="49"/>
    </row>
    <row r="231" spans="1:46" x14ac:dyDescent="0.3">
      <c r="A231" s="5">
        <v>43795</v>
      </c>
      <c r="B231" s="6">
        <v>58.709999000000003</v>
      </c>
      <c r="C231" s="6">
        <v>108.510002</v>
      </c>
      <c r="D231" s="6">
        <v>97.440002000000007</v>
      </c>
      <c r="F231" s="13">
        <v>228</v>
      </c>
      <c r="G231" s="5">
        <v>43795</v>
      </c>
      <c r="H231" s="15">
        <f t="shared" si="60"/>
        <v>1.3029466001204977E-2</v>
      </c>
      <c r="I231" s="15">
        <f t="shared" si="60"/>
        <v>-3.8631210307571496E-3</v>
      </c>
      <c r="J231" s="15">
        <f t="shared" si="60"/>
        <v>9.2411321325725382E-4</v>
      </c>
      <c r="K231" s="22"/>
      <c r="L231" s="13">
        <v>228</v>
      </c>
      <c r="M231" s="5">
        <v>43795</v>
      </c>
      <c r="N231" s="26">
        <f t="shared" si="57"/>
        <v>1.0383798719777173</v>
      </c>
      <c r="O231" s="26">
        <f t="shared" si="58"/>
        <v>1.0291160844249605</v>
      </c>
      <c r="P231" s="26">
        <f t="shared" si="59"/>
        <v>1.2895712622967515</v>
      </c>
      <c r="Q231" s="22"/>
      <c r="AD231" s="59">
        <v>227</v>
      </c>
      <c r="AE231" s="61">
        <f t="shared" ca="1" si="61"/>
        <v>0.32311509908276659</v>
      </c>
      <c r="AF231" s="61">
        <f t="shared" ca="1" si="61"/>
        <v>-0.71998575064940729</v>
      </c>
      <c r="AG231" s="61">
        <f t="shared" ca="1" si="61"/>
        <v>0.36768852885765174</v>
      </c>
      <c r="AH231" s="19"/>
      <c r="AI231" s="61">
        <f ca="1"/>
        <v>7.0065198383958459E-3</v>
      </c>
      <c r="AJ231" s="61">
        <f ca="1"/>
        <v>-1.059211623944694E-2</v>
      </c>
      <c r="AK231" s="61">
        <f ca="1"/>
        <v>9.1238942925267567E-3</v>
      </c>
      <c r="AL231" s="19"/>
      <c r="AM231" s="61">
        <f t="shared" ca="1" si="65"/>
        <v>7.3577361609060898E-3</v>
      </c>
      <c r="AN231" s="61">
        <f t="shared" ca="1" si="66"/>
        <v>-1.0343063642530409E-2</v>
      </c>
      <c r="AO231" s="61">
        <f t="shared" ca="1" si="67"/>
        <v>9.5555628957815757E-3</v>
      </c>
      <c r="AP231" s="19"/>
      <c r="AQ231" s="62">
        <f t="shared" ca="1" si="62"/>
        <v>0.76192736647223458</v>
      </c>
      <c r="AR231" s="62">
        <f t="shared" ca="1" si="63"/>
        <v>0.78750852461622534</v>
      </c>
      <c r="AS231" s="62">
        <f t="shared" ca="1" si="64"/>
        <v>1.0120825994704707</v>
      </c>
      <c r="AT231" s="49"/>
    </row>
    <row r="232" spans="1:46" x14ac:dyDescent="0.3">
      <c r="A232" s="5">
        <v>43796</v>
      </c>
      <c r="B232" s="6">
        <v>58.599997999999999</v>
      </c>
      <c r="C232" s="6">
        <v>108.709999</v>
      </c>
      <c r="D232" s="6">
        <v>97.099997999999999</v>
      </c>
      <c r="F232" s="13">
        <v>229</v>
      </c>
      <c r="G232" s="5">
        <v>43796</v>
      </c>
      <c r="H232" s="15">
        <f t="shared" si="60"/>
        <v>-1.8753905899474991E-3</v>
      </c>
      <c r="I232" s="15">
        <f t="shared" si="60"/>
        <v>1.8414239535261751E-3</v>
      </c>
      <c r="J232" s="15">
        <f t="shared" si="60"/>
        <v>-3.4954697870816427E-3</v>
      </c>
      <c r="K232" s="22"/>
      <c r="L232" s="13">
        <v>229</v>
      </c>
      <c r="M232" s="5">
        <v>43796</v>
      </c>
      <c r="N232" s="26">
        <f t="shared" si="57"/>
        <v>1.0364343290337048</v>
      </c>
      <c r="O232" s="26">
        <f t="shared" si="58"/>
        <v>1.0310128692903475</v>
      </c>
      <c r="P232" s="26">
        <f t="shared" si="59"/>
        <v>1.2850714739298963</v>
      </c>
      <c r="Q232" s="22"/>
      <c r="AD232" s="59">
        <v>228</v>
      </c>
      <c r="AE232" s="61">
        <f t="shared" ca="1" si="61"/>
        <v>-0.42614162554130453</v>
      </c>
      <c r="AF232" s="61">
        <f t="shared" ca="1" si="61"/>
        <v>0.40273646924377754</v>
      </c>
      <c r="AG232" s="61">
        <f t="shared" ca="1" si="61"/>
        <v>2.3249175812805523</v>
      </c>
      <c r="AH232" s="19"/>
      <c r="AI232" s="61">
        <f ca="1"/>
        <v>-9.2405763822154072E-3</v>
      </c>
      <c r="AJ232" s="61">
        <f ca="1"/>
        <v>2.0837742647052274E-3</v>
      </c>
      <c r="AK232" s="61">
        <f ca="1"/>
        <v>5.610406460713363E-2</v>
      </c>
      <c r="AL232" s="19"/>
      <c r="AM232" s="61">
        <f t="shared" ca="1" si="65"/>
        <v>-8.8893600597051634E-3</v>
      </c>
      <c r="AN232" s="61">
        <f t="shared" ca="1" si="66"/>
        <v>2.332826861621758E-3</v>
      </c>
      <c r="AO232" s="61">
        <f t="shared" ca="1" si="67"/>
        <v>5.6535733210388447E-2</v>
      </c>
      <c r="AP232" s="19"/>
      <c r="AQ232" s="62">
        <f t="shared" ca="1" si="62"/>
        <v>0.75518433479377289</v>
      </c>
      <c r="AR232" s="62">
        <f t="shared" ca="1" si="63"/>
        <v>0.78934779016612711</v>
      </c>
      <c r="AS232" s="62">
        <f t="shared" ca="1" si="64"/>
        <v>1.0709498026667967</v>
      </c>
      <c r="AT232" s="49"/>
    </row>
    <row r="233" spans="1:46" x14ac:dyDescent="0.3">
      <c r="A233" s="5">
        <v>43798</v>
      </c>
      <c r="B233" s="6">
        <v>58.200001</v>
      </c>
      <c r="C233" s="6">
        <v>107.339996</v>
      </c>
      <c r="D233" s="6">
        <v>95.489998</v>
      </c>
      <c r="F233" s="13">
        <v>230</v>
      </c>
      <c r="G233" s="5">
        <v>43798</v>
      </c>
      <c r="H233" s="15">
        <f t="shared" si="60"/>
        <v>-6.849290533750883E-3</v>
      </c>
      <c r="I233" s="15">
        <f t="shared" si="60"/>
        <v>-1.2682447533207275E-2</v>
      </c>
      <c r="J233" s="15">
        <f t="shared" si="60"/>
        <v>-1.6719845682447262E-2</v>
      </c>
      <c r="K233" s="22"/>
      <c r="L233" s="13">
        <v>230</v>
      </c>
      <c r="M233" s="5">
        <v>43798</v>
      </c>
      <c r="N233" s="26">
        <f t="shared" si="57"/>
        <v>1.029359744793779</v>
      </c>
      <c r="O233" s="26">
        <f t="shared" si="58"/>
        <v>1.0180196696126769</v>
      </c>
      <c r="P233" s="26">
        <f t="shared" si="59"/>
        <v>1.2637639032229726</v>
      </c>
      <c r="Q233" s="22"/>
      <c r="AD233" s="59">
        <v>229</v>
      </c>
      <c r="AE233" s="61">
        <f t="shared" ca="1" si="61"/>
        <v>0.11389078057542469</v>
      </c>
      <c r="AF233" s="61">
        <f t="shared" ca="1" si="61"/>
        <v>0.9225241752242711</v>
      </c>
      <c r="AG233" s="61">
        <f t="shared" ca="1" si="61"/>
        <v>-0.62815074699308981</v>
      </c>
      <c r="AH233" s="19"/>
      <c r="AI233" s="61">
        <f ca="1"/>
        <v>2.4696401244551488E-3</v>
      </c>
      <c r="AJ233" s="61">
        <f ca="1"/>
        <v>2.1834658703692368E-2</v>
      </c>
      <c r="AK233" s="61">
        <f ca="1"/>
        <v>-7.9135552365532328E-3</v>
      </c>
      <c r="AL233" s="19"/>
      <c r="AM233" s="61">
        <f t="shared" ca="1" si="65"/>
        <v>2.8208564469653931E-3</v>
      </c>
      <c r="AN233" s="61">
        <f t="shared" ca="1" si="66"/>
        <v>2.2083711300608898E-2</v>
      </c>
      <c r="AO233" s="61">
        <f t="shared" ca="1" si="67"/>
        <v>-7.4818866332984147E-3</v>
      </c>
      <c r="AP233" s="19"/>
      <c r="AQ233" s="62">
        <f t="shared" ca="1" si="62"/>
        <v>0.75731760880852261</v>
      </c>
      <c r="AR233" s="62">
        <f t="shared" ca="1" si="63"/>
        <v>0.80697342225014534</v>
      </c>
      <c r="AS233" s="62">
        <f t="shared" ca="1" si="64"/>
        <v>1.062966978186108</v>
      </c>
      <c r="AT233" s="49"/>
    </row>
    <row r="234" spans="1:46" x14ac:dyDescent="0.3">
      <c r="A234" s="5">
        <v>43801</v>
      </c>
      <c r="B234" s="6">
        <v>57.919998</v>
      </c>
      <c r="C234" s="6">
        <v>106.82</v>
      </c>
      <c r="D234" s="6">
        <v>95.599997999999999</v>
      </c>
      <c r="F234" s="13">
        <v>231</v>
      </c>
      <c r="G234" s="5">
        <v>43801</v>
      </c>
      <c r="H234" s="15">
        <f t="shared" si="60"/>
        <v>-4.8226583724489958E-3</v>
      </c>
      <c r="I234" s="15">
        <f t="shared" si="60"/>
        <v>-4.8561545722917432E-3</v>
      </c>
      <c r="J234" s="15">
        <f t="shared" si="60"/>
        <v>1.1512901193439207E-3</v>
      </c>
      <c r="K234" s="22"/>
      <c r="L234" s="13">
        <v>231</v>
      </c>
      <c r="M234" s="5">
        <v>43801</v>
      </c>
      <c r="N234" s="26">
        <f t="shared" si="57"/>
        <v>1.0244074456242052</v>
      </c>
      <c r="O234" s="26">
        <f t="shared" si="58"/>
        <v>1.0130879929232171</v>
      </c>
      <c r="P234" s="26">
        <f t="shared" si="59"/>
        <v>1.2652196999793464</v>
      </c>
      <c r="Q234" s="22"/>
      <c r="AD234" s="59">
        <v>230</v>
      </c>
      <c r="AE234" s="61">
        <f t="shared" ca="1" si="61"/>
        <v>-0.36255923300487497</v>
      </c>
      <c r="AF234" s="61">
        <f t="shared" ca="1" si="61"/>
        <v>-8.3283868291630925E-2</v>
      </c>
      <c r="AG234" s="61">
        <f t="shared" ca="1" si="61"/>
        <v>0.48184325903251579</v>
      </c>
      <c r="AH234" s="19"/>
      <c r="AI234" s="61">
        <f ca="1"/>
        <v>-7.8618376728706845E-3</v>
      </c>
      <c r="AJ234" s="61">
        <f ca="1"/>
        <v>-7.485159258259262E-3</v>
      </c>
      <c r="AK234" s="61">
        <f ca="1"/>
        <v>6.401268654514001E-3</v>
      </c>
      <c r="AL234" s="19"/>
      <c r="AM234" s="61">
        <f t="shared" ca="1" si="65"/>
        <v>-7.5106213503604406E-3</v>
      </c>
      <c r="AN234" s="61">
        <f t="shared" ca="1" si="66"/>
        <v>-7.2361066613427314E-3</v>
      </c>
      <c r="AO234" s="61">
        <f t="shared" ca="1" si="67"/>
        <v>6.8329372577688192E-3</v>
      </c>
      <c r="AP234" s="19"/>
      <c r="AQ234" s="62">
        <f t="shared" ca="1" si="62"/>
        <v>0.75165098956009713</v>
      </c>
      <c r="AR234" s="62">
        <f t="shared" ca="1" si="63"/>
        <v>0.80115515269105997</v>
      </c>
      <c r="AS234" s="62">
        <f t="shared" ca="1" si="64"/>
        <v>1.0702550359197385</v>
      </c>
      <c r="AT234" s="49"/>
    </row>
    <row r="235" spans="1:46" x14ac:dyDescent="0.3">
      <c r="A235" s="5">
        <v>43802</v>
      </c>
      <c r="B235" s="6">
        <v>57.360000999999997</v>
      </c>
      <c r="C235" s="6">
        <v>105.550003</v>
      </c>
      <c r="D235" s="6">
        <v>93.889999000000003</v>
      </c>
      <c r="F235" s="13">
        <v>232</v>
      </c>
      <c r="G235" s="5">
        <v>43802</v>
      </c>
      <c r="H235" s="15">
        <f t="shared" si="60"/>
        <v>-9.7154998219570916E-3</v>
      </c>
      <c r="I235" s="15">
        <f t="shared" si="60"/>
        <v>-1.1960372194746409E-2</v>
      </c>
      <c r="J235" s="15">
        <f t="shared" si="60"/>
        <v>-1.8048925517158716E-2</v>
      </c>
      <c r="K235" s="22"/>
      <c r="L235" s="13">
        <v>232</v>
      </c>
      <c r="M235" s="5">
        <v>43802</v>
      </c>
      <c r="N235" s="26">
        <f t="shared" si="57"/>
        <v>1.0145030064643967</v>
      </c>
      <c r="O235" s="26">
        <f t="shared" si="58"/>
        <v>1.0010432568087395</v>
      </c>
      <c r="P235" s="26">
        <f t="shared" si="59"/>
        <v>1.2425886909102355</v>
      </c>
      <c r="Q235" s="22"/>
      <c r="AD235" s="59">
        <v>231</v>
      </c>
      <c r="AE235" s="61">
        <f t="shared" ca="1" si="61"/>
        <v>-1.5340470696924635</v>
      </c>
      <c r="AF235" s="61">
        <f t="shared" ca="1" si="61"/>
        <v>-1.3539535797789757</v>
      </c>
      <c r="AG235" s="61">
        <f t="shared" ca="1" si="61"/>
        <v>0.74756346220508396</v>
      </c>
      <c r="AH235" s="19"/>
      <c r="AI235" s="61">
        <f ca="1"/>
        <v>-3.3264713587649625E-2</v>
      </c>
      <c r="AJ235" s="61">
        <f ca="1"/>
        <v>-5.3440981973061089E-2</v>
      </c>
      <c r="AK235" s="61">
        <f ca="1"/>
        <v>-1.3049005634461121E-2</v>
      </c>
      <c r="AL235" s="19"/>
      <c r="AM235" s="61">
        <f t="shared" ca="1" si="65"/>
        <v>-3.2913497265139383E-2</v>
      </c>
      <c r="AN235" s="61">
        <f t="shared" ca="1" si="66"/>
        <v>-5.3191929376144559E-2</v>
      </c>
      <c r="AO235" s="61">
        <f t="shared" ca="1" si="67"/>
        <v>-1.2617337031206302E-2</v>
      </c>
      <c r="AP235" s="19"/>
      <c r="AQ235" s="62">
        <f t="shared" ca="1" si="62"/>
        <v>0.7273142277013791</v>
      </c>
      <c r="AR235" s="62">
        <f t="shared" ca="1" si="63"/>
        <v>0.7596537198523341</v>
      </c>
      <c r="AS235" s="62">
        <f t="shared" ca="1" si="64"/>
        <v>1.0568361010550129</v>
      </c>
      <c r="AT235" s="49"/>
    </row>
    <row r="236" spans="1:46" x14ac:dyDescent="0.3">
      <c r="A236" s="5">
        <v>43803</v>
      </c>
      <c r="B236" s="6">
        <v>57.639999000000003</v>
      </c>
      <c r="C236" s="6">
        <v>108.69000200000001</v>
      </c>
      <c r="D236" s="6">
        <v>93.209998999999996</v>
      </c>
      <c r="F236" s="13">
        <v>233</v>
      </c>
      <c r="G236" s="5">
        <v>43803</v>
      </c>
      <c r="H236" s="15">
        <f t="shared" si="60"/>
        <v>4.8695400571416858E-3</v>
      </c>
      <c r="I236" s="15">
        <f t="shared" si="60"/>
        <v>2.9315009259174546E-2</v>
      </c>
      <c r="J236" s="15">
        <f t="shared" si="60"/>
        <v>-7.2688722750915641E-3</v>
      </c>
      <c r="K236" s="22"/>
      <c r="L236" s="13">
        <v>233</v>
      </c>
      <c r="M236" s="5">
        <v>43803</v>
      </c>
      <c r="N236" s="26">
        <f t="shared" si="57"/>
        <v>1.0194552172010045</v>
      </c>
      <c r="O236" s="26">
        <f t="shared" si="58"/>
        <v>1.0308232164107887</v>
      </c>
      <c r="P236" s="26">
        <f t="shared" si="59"/>
        <v>1.2335892200526528</v>
      </c>
      <c r="Q236" s="22"/>
      <c r="AD236" s="59">
        <v>232</v>
      </c>
      <c r="AE236" s="61">
        <f t="shared" ca="1" si="61"/>
        <v>-1.0303513320941293</v>
      </c>
      <c r="AF236" s="61">
        <f t="shared" ca="1" si="61"/>
        <v>0.85157159156440887</v>
      </c>
      <c r="AG236" s="61">
        <f t="shared" ca="1" si="61"/>
        <v>-0.55932227487464048</v>
      </c>
      <c r="AH236" s="19"/>
      <c r="AI236" s="61">
        <f ca="1"/>
        <v>-2.2342431750569158E-2</v>
      </c>
      <c r="AJ236" s="61">
        <f ca="1"/>
        <v>2.3823678882000376E-3</v>
      </c>
      <c r="AK236" s="61">
        <f ca="1"/>
        <v>-2.3556655685843881E-2</v>
      </c>
      <c r="AL236" s="19"/>
      <c r="AM236" s="61">
        <f t="shared" ca="1" si="65"/>
        <v>-2.1991215428058913E-2</v>
      </c>
      <c r="AN236" s="61">
        <f t="shared" ca="1" si="66"/>
        <v>2.6314204851165682E-3</v>
      </c>
      <c r="AO236" s="61">
        <f t="shared" ca="1" si="67"/>
        <v>-2.3124987082589064E-2</v>
      </c>
      <c r="AP236" s="19"/>
      <c r="AQ236" s="62">
        <f t="shared" ca="1" si="62"/>
        <v>0.71149429120802077</v>
      </c>
      <c r="AR236" s="62">
        <f t="shared" ca="1" si="63"/>
        <v>0.7616553205839468</v>
      </c>
      <c r="AS236" s="62">
        <f t="shared" ca="1" si="64"/>
        <v>1.0326771936821342</v>
      </c>
      <c r="AT236" s="49"/>
    </row>
    <row r="237" spans="1:46" x14ac:dyDescent="0.3">
      <c r="A237" s="5">
        <v>43804</v>
      </c>
      <c r="B237" s="6">
        <v>58.389999000000003</v>
      </c>
      <c r="C237" s="6">
        <v>112.05999799999999</v>
      </c>
      <c r="D237" s="6">
        <v>92.989998</v>
      </c>
      <c r="F237" s="13">
        <v>234</v>
      </c>
      <c r="G237" s="5">
        <v>43804</v>
      </c>
      <c r="H237" s="15">
        <f t="shared" si="60"/>
        <v>1.2927871386967894E-2</v>
      </c>
      <c r="I237" s="15">
        <f t="shared" si="60"/>
        <v>3.0534612313504343E-2</v>
      </c>
      <c r="J237" s="15">
        <f t="shared" si="60"/>
        <v>-2.3630623621863694E-3</v>
      </c>
      <c r="K237" s="22"/>
      <c r="L237" s="13">
        <v>234</v>
      </c>
      <c r="M237" s="5">
        <v>43804</v>
      </c>
      <c r="N237" s="26">
        <f t="shared" si="57"/>
        <v>1.0327201621379527</v>
      </c>
      <c r="O237" s="26">
        <f t="shared" si="58"/>
        <v>1.0627844828758632</v>
      </c>
      <c r="P237" s="26">
        <f t="shared" si="59"/>
        <v>1.2306776133053896</v>
      </c>
      <c r="Q237" s="22"/>
      <c r="AD237" s="59">
        <v>233</v>
      </c>
      <c r="AE237" s="61">
        <f t="shared" ca="1" si="61"/>
        <v>0.82930728344954296</v>
      </c>
      <c r="AF237" s="61">
        <f t="shared" ca="1" si="61"/>
        <v>0.31707406486592349</v>
      </c>
      <c r="AG237" s="61">
        <f t="shared" ca="1" si="61"/>
        <v>-0.40527993793953065</v>
      </c>
      <c r="AH237" s="19"/>
      <c r="AI237" s="61">
        <f ca="1"/>
        <v>1.7982935338243057E-2</v>
      </c>
      <c r="AJ237" s="61">
        <f ca="1"/>
        <v>1.9872525296660552E-2</v>
      </c>
      <c r="AK237" s="61">
        <f ca="1"/>
        <v>4.1031957779546647E-3</v>
      </c>
      <c r="AL237" s="19"/>
      <c r="AM237" s="61">
        <f t="shared" ca="1" si="65"/>
        <v>1.8334151660753303E-2</v>
      </c>
      <c r="AN237" s="61">
        <f t="shared" ca="1" si="66"/>
        <v>2.0121577893577082E-2</v>
      </c>
      <c r="AO237" s="61">
        <f t="shared" ca="1" si="67"/>
        <v>4.5348643812094828E-3</v>
      </c>
      <c r="AP237" s="19"/>
      <c r="AQ237" s="62">
        <f t="shared" ca="1" si="62"/>
        <v>0.7246592508606069</v>
      </c>
      <c r="AR237" s="62">
        <f t="shared" ca="1" si="63"/>
        <v>0.77713625554395782</v>
      </c>
      <c r="AS237" s="62">
        <f t="shared" ca="1" si="64"/>
        <v>1.0373708792750576</v>
      </c>
      <c r="AT237" s="49"/>
    </row>
    <row r="238" spans="1:46" x14ac:dyDescent="0.3">
      <c r="A238" s="5">
        <v>43805</v>
      </c>
      <c r="B238" s="6">
        <v>59.470001000000003</v>
      </c>
      <c r="C238" s="6">
        <v>111.66999800000001</v>
      </c>
      <c r="D238" s="6">
        <v>93.610000999999997</v>
      </c>
      <c r="F238" s="13">
        <v>235</v>
      </c>
      <c r="G238" s="5">
        <v>43805</v>
      </c>
      <c r="H238" s="15">
        <f t="shared" si="60"/>
        <v>1.8327375364477327E-2</v>
      </c>
      <c r="I238" s="15">
        <f t="shared" si="60"/>
        <v>-3.4863487417691294E-3</v>
      </c>
      <c r="J238" s="15">
        <f t="shared" si="60"/>
        <v>6.645287083855882E-3</v>
      </c>
      <c r="K238" s="22"/>
      <c r="L238" s="13">
        <v>235</v>
      </c>
      <c r="M238" s="5">
        <v>43805</v>
      </c>
      <c r="N238" s="26">
        <f t="shared" si="57"/>
        <v>1.0518217182203446</v>
      </c>
      <c r="O238" s="26">
        <f t="shared" si="58"/>
        <v>1.0590856969065687</v>
      </c>
      <c r="P238" s="26">
        <f t="shared" si="59"/>
        <v>1.238883052908498</v>
      </c>
      <c r="Q238" s="22"/>
      <c r="AD238" s="59">
        <v>234</v>
      </c>
      <c r="AE238" s="61">
        <f t="shared" ca="1" si="61"/>
        <v>0.97079678221223353</v>
      </c>
      <c r="AF238" s="61">
        <f t="shared" ca="1" si="61"/>
        <v>0.26902739161924238</v>
      </c>
      <c r="AG238" s="61">
        <f t="shared" ca="1" si="61"/>
        <v>0.49294939264783183</v>
      </c>
      <c r="AH238" s="19"/>
      <c r="AI238" s="61">
        <f ca="1"/>
        <v>2.1051033928558515E-2</v>
      </c>
      <c r="AJ238" s="61">
        <f ca="1"/>
        <v>2.1042823407233197E-2</v>
      </c>
      <c r="AK238" s="61">
        <f ca="1"/>
        <v>2.8868008706302656E-2</v>
      </c>
      <c r="AL238" s="19"/>
      <c r="AM238" s="61">
        <f t="shared" ca="1" si="65"/>
        <v>2.1402250251068761E-2</v>
      </c>
      <c r="AN238" s="61">
        <f t="shared" ca="1" si="66"/>
        <v>2.1291876004149727E-2</v>
      </c>
      <c r="AO238" s="61">
        <f t="shared" ca="1" si="67"/>
        <v>2.9299677309557473E-2</v>
      </c>
      <c r="AP238" s="19"/>
      <c r="AQ238" s="62">
        <f t="shared" ca="1" si="62"/>
        <v>0.74033574725511142</v>
      </c>
      <c r="AR238" s="62">
        <f t="shared" ca="1" si="63"/>
        <v>0.79386035626531903</v>
      </c>
      <c r="AS238" s="62">
        <f t="shared" ca="1" si="64"/>
        <v>1.0682151686042556</v>
      </c>
      <c r="AT238" s="49"/>
    </row>
    <row r="239" spans="1:46" x14ac:dyDescent="0.3">
      <c r="A239" s="5">
        <v>43808</v>
      </c>
      <c r="B239" s="6">
        <v>60.029998999999997</v>
      </c>
      <c r="C239" s="6">
        <v>113.25</v>
      </c>
      <c r="D239" s="6">
        <v>92.519997000000004</v>
      </c>
      <c r="F239" s="13">
        <v>236</v>
      </c>
      <c r="G239" s="5">
        <v>43808</v>
      </c>
      <c r="H239" s="15">
        <f t="shared" si="60"/>
        <v>9.3724200717107981E-3</v>
      </c>
      <c r="I239" s="15">
        <f t="shared" si="60"/>
        <v>1.4049688815355992E-2</v>
      </c>
      <c r="J239" s="15">
        <f t="shared" si="60"/>
        <v>-1.1712421128456239E-2</v>
      </c>
      <c r="K239" s="22"/>
      <c r="L239" s="13">
        <v>236</v>
      </c>
      <c r="M239" s="5">
        <v>43808</v>
      </c>
      <c r="N239" s="26">
        <f t="shared" si="57"/>
        <v>1.0617261750667462</v>
      </c>
      <c r="O239" s="26">
        <f t="shared" si="58"/>
        <v>1.0740705410836391</v>
      </c>
      <c r="P239" s="26">
        <f t="shared" si="59"/>
        <v>1.2244573775663681</v>
      </c>
      <c r="Q239" s="22"/>
      <c r="AD239" s="59">
        <v>235</v>
      </c>
      <c r="AE239" s="61">
        <f t="shared" ca="1" si="61"/>
        <v>-0.24724313147504615</v>
      </c>
      <c r="AF239" s="61">
        <f t="shared" ca="1" si="61"/>
        <v>-0.65698676524928301</v>
      </c>
      <c r="AG239" s="61">
        <f t="shared" ca="1" si="61"/>
        <v>1.1209926732612068</v>
      </c>
      <c r="AH239" s="19"/>
      <c r="AI239" s="61">
        <f ca="1"/>
        <v>-5.3612904828792525E-3</v>
      </c>
      <c r="AJ239" s="61">
        <f ca="1"/>
        <v>-1.8150208942199219E-2</v>
      </c>
      <c r="AK239" s="61">
        <f ca="1"/>
        <v>2.0439826231732905E-2</v>
      </c>
      <c r="AL239" s="19"/>
      <c r="AM239" s="61">
        <f t="shared" ca="1" si="65"/>
        <v>-5.0100741603690086E-3</v>
      </c>
      <c r="AN239" s="61">
        <f t="shared" ca="1" si="66"/>
        <v>-1.7901156345282689E-2</v>
      </c>
      <c r="AO239" s="61">
        <f t="shared" ca="1" si="67"/>
        <v>2.0871494834987722E-2</v>
      </c>
      <c r="AP239" s="19"/>
      <c r="AQ239" s="62">
        <f t="shared" ca="1" si="62"/>
        <v>0.7366358862858432</v>
      </c>
      <c r="AR239" s="62">
        <f t="shared" ca="1" si="63"/>
        <v>0.77977577913663831</v>
      </c>
      <c r="AS239" s="62">
        <f t="shared" ca="1" si="64"/>
        <v>1.0907447107368926</v>
      </c>
      <c r="AT239" s="49"/>
    </row>
    <row r="240" spans="1:46" x14ac:dyDescent="0.3">
      <c r="A240" s="5">
        <v>43809</v>
      </c>
      <c r="B240" s="6">
        <v>59.91</v>
      </c>
      <c r="C240" s="6">
        <v>114</v>
      </c>
      <c r="D240" s="6">
        <v>94.57</v>
      </c>
      <c r="F240" s="13">
        <v>237</v>
      </c>
      <c r="G240" s="5">
        <v>43809</v>
      </c>
      <c r="H240" s="15">
        <f t="shared" si="60"/>
        <v>-2.0009845095806051E-3</v>
      </c>
      <c r="I240" s="15">
        <f t="shared" si="60"/>
        <v>6.6006840313520927E-3</v>
      </c>
      <c r="J240" s="15">
        <f t="shared" si="60"/>
        <v>2.1915496089604376E-2</v>
      </c>
      <c r="K240" s="22"/>
      <c r="L240" s="13">
        <v>237</v>
      </c>
      <c r="M240" s="5">
        <v>43809</v>
      </c>
      <c r="N240" s="26">
        <f t="shared" si="57"/>
        <v>1.0596038015634277</v>
      </c>
      <c r="O240" s="26">
        <f t="shared" si="58"/>
        <v>1.0811835910245904</v>
      </c>
      <c r="P240" s="26">
        <f t="shared" si="59"/>
        <v>1.2515881750023339</v>
      </c>
      <c r="Q240" s="22"/>
      <c r="AD240" s="59">
        <v>236</v>
      </c>
      <c r="AE240" s="61">
        <f t="shared" ca="1" si="61"/>
        <v>1.4511567051929946E-2</v>
      </c>
      <c r="AF240" s="61">
        <f t="shared" ca="1" si="61"/>
        <v>2.144599549828063</v>
      </c>
      <c r="AG240" s="61">
        <f t="shared" ca="1" si="61"/>
        <v>0.10318956901824287</v>
      </c>
      <c r="AH240" s="19"/>
      <c r="AI240" s="61">
        <f ca="1"/>
        <v>3.1467295314947287E-4</v>
      </c>
      <c r="AJ240" s="61">
        <f ca="1"/>
        <v>4.6842193537473917E-2</v>
      </c>
      <c r="AK240" s="61">
        <f ca="1"/>
        <v>1.7961386460070387E-2</v>
      </c>
      <c r="AL240" s="19"/>
      <c r="AM240" s="61">
        <f t="shared" ca="1" si="65"/>
        <v>6.6588927565971708E-4</v>
      </c>
      <c r="AN240" s="61">
        <f t="shared" ca="1" si="66"/>
        <v>4.7091246134390446E-2</v>
      </c>
      <c r="AO240" s="61">
        <f t="shared" ca="1" si="67"/>
        <v>1.8393055063325205E-2</v>
      </c>
      <c r="AP240" s="19"/>
      <c r="AQ240" s="62">
        <f t="shared" ca="1" si="62"/>
        <v>0.73712656757415973</v>
      </c>
      <c r="AR240" s="62">
        <f t="shared" ca="1" si="63"/>
        <v>0.8173747351427082</v>
      </c>
      <c r="AS240" s="62">
        <f t="shared" ca="1" si="64"/>
        <v>1.1109924765748942</v>
      </c>
      <c r="AT240" s="49"/>
    </row>
    <row r="241" spans="1:46" x14ac:dyDescent="0.3">
      <c r="A241" s="5">
        <v>43810</v>
      </c>
      <c r="B241" s="6">
        <v>60.889999000000003</v>
      </c>
      <c r="C241" s="6">
        <v>111.629997</v>
      </c>
      <c r="D241" s="6">
        <v>92.889999000000003</v>
      </c>
      <c r="F241" s="13">
        <v>238</v>
      </c>
      <c r="G241" s="5">
        <v>43810</v>
      </c>
      <c r="H241" s="15">
        <f t="shared" si="60"/>
        <v>1.6225505101591074E-2</v>
      </c>
      <c r="I241" s="15">
        <f t="shared" si="60"/>
        <v>-2.1008644242351122E-2</v>
      </c>
      <c r="J241" s="15">
        <f t="shared" si="60"/>
        <v>-1.7924314393412737E-2</v>
      </c>
      <c r="K241" s="22"/>
      <c r="L241" s="13">
        <v>238</v>
      </c>
      <c r="M241" s="5">
        <v>43810</v>
      </c>
      <c r="N241" s="26">
        <f t="shared" si="57"/>
        <v>1.0769366452611135</v>
      </c>
      <c r="O241" s="26">
        <f t="shared" si="58"/>
        <v>1.0587063247589847</v>
      </c>
      <c r="P241" s="26">
        <f t="shared" si="59"/>
        <v>1.2293541749432022</v>
      </c>
      <c r="Q241" s="22"/>
      <c r="AD241" s="59">
        <v>237</v>
      </c>
      <c r="AE241" s="61">
        <f t="shared" ca="1" si="61"/>
        <v>-0.28147880118194119</v>
      </c>
      <c r="AF241" s="61">
        <f t="shared" ca="1" si="61"/>
        <v>1.0236598000244908</v>
      </c>
      <c r="AG241" s="61">
        <f t="shared" ca="1" si="61"/>
        <v>0.32364461577818643</v>
      </c>
      <c r="AH241" s="19"/>
      <c r="AI241" s="61">
        <f ca="1"/>
        <v>-6.1036664958327167E-3</v>
      </c>
      <c r="AJ241" s="61">
        <f ca="1"/>
        <v>1.7844486129438342E-2</v>
      </c>
      <c r="AK241" s="61">
        <f ca="1"/>
        <v>1.1341841430494923E-2</v>
      </c>
      <c r="AL241" s="19"/>
      <c r="AM241" s="61">
        <f t="shared" ca="1" si="65"/>
        <v>-5.7524501733224728E-3</v>
      </c>
      <c r="AN241" s="61">
        <f t="shared" ca="1" si="66"/>
        <v>1.8093538726354871E-2</v>
      </c>
      <c r="AO241" s="61">
        <f t="shared" ca="1" si="67"/>
        <v>1.1773510033749742E-2</v>
      </c>
      <c r="AP241" s="19"/>
      <c r="AQ241" s="62">
        <f t="shared" ca="1" si="62"/>
        <v>0.73289845638148954</v>
      </c>
      <c r="AR241" s="62">
        <f t="shared" ca="1" si="63"/>
        <v>0.83229854166327155</v>
      </c>
      <c r="AS241" s="62">
        <f t="shared" ca="1" si="64"/>
        <v>1.1241500611354027</v>
      </c>
      <c r="AT241" s="49"/>
    </row>
    <row r="242" spans="1:46" x14ac:dyDescent="0.3">
      <c r="A242" s="5">
        <v>43811</v>
      </c>
      <c r="B242" s="6">
        <v>61.990001999999997</v>
      </c>
      <c r="C242" s="6">
        <v>115.75</v>
      </c>
      <c r="D242" s="6">
        <v>94.529999000000004</v>
      </c>
      <c r="F242" s="13">
        <v>239</v>
      </c>
      <c r="G242" s="5">
        <v>43811</v>
      </c>
      <c r="H242" s="15">
        <f t="shared" si="60"/>
        <v>1.7904172779670987E-2</v>
      </c>
      <c r="I242" s="15">
        <f t="shared" si="60"/>
        <v>3.6242888814199153E-2</v>
      </c>
      <c r="J242" s="15">
        <f t="shared" si="60"/>
        <v>1.7501247224632577E-2</v>
      </c>
      <c r="K242" s="22"/>
      <c r="L242" s="13">
        <v>239</v>
      </c>
      <c r="M242" s="5">
        <v>43811</v>
      </c>
      <c r="N242" s="26">
        <f t="shared" si="57"/>
        <v>1.0963919508950839</v>
      </c>
      <c r="O242" s="26">
        <f t="shared" si="58"/>
        <v>1.0977807075534767</v>
      </c>
      <c r="P242" s="26">
        <f t="shared" si="59"/>
        <v>1.2510587811291367</v>
      </c>
      <c r="Q242" s="22"/>
      <c r="AD242" s="59">
        <v>238</v>
      </c>
      <c r="AE242" s="61">
        <f t="shared" ca="1" si="61"/>
        <v>0.80256399883204654</v>
      </c>
      <c r="AF242" s="61">
        <f t="shared" ca="1" si="61"/>
        <v>0.50971064370120289</v>
      </c>
      <c r="AG242" s="61">
        <f t="shared" ca="1" si="61"/>
        <v>-0.75298762286275955</v>
      </c>
      <c r="AH242" s="19"/>
      <c r="AI242" s="61">
        <f ca="1"/>
        <v>1.7403026337554858E-2</v>
      </c>
      <c r="AJ242" s="61">
        <f ca="1"/>
        <v>2.3641082439116893E-2</v>
      </c>
      <c r="AK242" s="61">
        <f ca="1"/>
        <v>-3.843570603319699E-3</v>
      </c>
      <c r="AL242" s="19"/>
      <c r="AM242" s="61">
        <f t="shared" ca="1" si="65"/>
        <v>1.7754242660065103E-2</v>
      </c>
      <c r="AN242" s="61">
        <f t="shared" ca="1" si="66"/>
        <v>2.3890135036033423E-2</v>
      </c>
      <c r="AO242" s="61">
        <f t="shared" ca="1" si="67"/>
        <v>-3.4119020000648809E-3</v>
      </c>
      <c r="AP242" s="19"/>
      <c r="AQ242" s="62">
        <f t="shared" ca="1" si="62"/>
        <v>0.74602670967056361</v>
      </c>
      <c r="AR242" s="62">
        <f t="shared" ca="1" si="63"/>
        <v>0.85242168139817653</v>
      </c>
      <c r="AS242" s="62">
        <f t="shared" ca="1" si="64"/>
        <v>1.1203211070159789</v>
      </c>
      <c r="AT242" s="49"/>
    </row>
    <row r="243" spans="1:46" x14ac:dyDescent="0.3">
      <c r="A243" s="5">
        <v>43812</v>
      </c>
      <c r="B243" s="6">
        <v>61.639999000000003</v>
      </c>
      <c r="C243" s="6">
        <v>116.91999800000001</v>
      </c>
      <c r="D243" s="6">
        <v>93.809997999999993</v>
      </c>
      <c r="F243" s="13">
        <v>240</v>
      </c>
      <c r="G243" s="5">
        <v>43812</v>
      </c>
      <c r="H243" s="15">
        <f t="shared" si="60"/>
        <v>-5.6621197484124598E-3</v>
      </c>
      <c r="I243" s="15">
        <f t="shared" si="60"/>
        <v>1.0057230170988378E-2</v>
      </c>
      <c r="J243" s="15">
        <f t="shared" si="60"/>
        <v>-7.6457950404700123E-3</v>
      </c>
      <c r="K243" s="22"/>
      <c r="L243" s="13">
        <v>240</v>
      </c>
      <c r="M243" s="5">
        <v>43812</v>
      </c>
      <c r="N243" s="26">
        <f t="shared" si="57"/>
        <v>1.0902015901980617</v>
      </c>
      <c r="O243" s="26">
        <f t="shared" si="58"/>
        <v>1.1088770464932274</v>
      </c>
      <c r="P243" s="26">
        <f t="shared" si="59"/>
        <v>1.2415299163983566</v>
      </c>
      <c r="Q243" s="22"/>
      <c r="AD243" s="59">
        <v>239</v>
      </c>
      <c r="AE243" s="61">
        <f t="shared" ca="1" si="61"/>
        <v>0.24316580842728178</v>
      </c>
      <c r="AF243" s="61">
        <f t="shared" ca="1" si="61"/>
        <v>-0.87090614527296295</v>
      </c>
      <c r="AG243" s="61">
        <f t="shared" ca="1" si="61"/>
        <v>-0.20842209229094244</v>
      </c>
      <c r="AH243" s="19"/>
      <c r="AI243" s="61">
        <f ca="1"/>
        <v>5.272876648605318E-3</v>
      </c>
      <c r="AJ243" s="61">
        <f ca="1"/>
        <v>-1.5123917908668617E-2</v>
      </c>
      <c r="AK243" s="61">
        <f ca="1"/>
        <v>-7.8801793323254044E-3</v>
      </c>
      <c r="AL243" s="19"/>
      <c r="AM243" s="61">
        <f t="shared" ca="1" si="65"/>
        <v>5.6240929711155619E-3</v>
      </c>
      <c r="AN243" s="61">
        <f t="shared" ca="1" si="66"/>
        <v>-1.4874865311752085E-2</v>
      </c>
      <c r="AO243" s="61">
        <f t="shared" ca="1" si="67"/>
        <v>-7.4485107290705862E-3</v>
      </c>
      <c r="AP243" s="19"/>
      <c r="AQ243" s="62">
        <f t="shared" ca="1" si="62"/>
        <v>0.75023425396430277</v>
      </c>
      <c r="AR243" s="62">
        <f t="shared" ca="1" si="63"/>
        <v>0.83983586194553506</v>
      </c>
      <c r="AS243" s="62">
        <f t="shared" ca="1" si="64"/>
        <v>1.1120073840948475</v>
      </c>
      <c r="AT243" s="49"/>
    </row>
    <row r="244" spans="1:46" x14ac:dyDescent="0.3">
      <c r="A244" s="5">
        <v>43815</v>
      </c>
      <c r="B244" s="6">
        <v>61.880001</v>
      </c>
      <c r="C244" s="6">
        <v>117.709999</v>
      </c>
      <c r="D244" s="6">
        <v>95.139999000000003</v>
      </c>
      <c r="F244" s="13">
        <v>241</v>
      </c>
      <c r="G244" s="5">
        <v>43815</v>
      </c>
      <c r="H244" s="15">
        <f t="shared" si="60"/>
        <v>3.8860476364922058E-3</v>
      </c>
      <c r="I244" s="15">
        <f t="shared" si="60"/>
        <v>6.7340407916024079E-3</v>
      </c>
      <c r="J244" s="15">
        <f t="shared" si="60"/>
        <v>1.407804167513872E-2</v>
      </c>
      <c r="K244" s="22"/>
      <c r="L244" s="13">
        <v>241</v>
      </c>
      <c r="M244" s="5">
        <v>43815</v>
      </c>
      <c r="N244" s="26">
        <f t="shared" si="57"/>
        <v>1.0944464079510718</v>
      </c>
      <c r="O244" s="26">
        <f t="shared" si="58"/>
        <v>1.1163694685817627</v>
      </c>
      <c r="P244" s="26">
        <f t="shared" si="59"/>
        <v>1.2591318358690271</v>
      </c>
      <c r="Q244" s="22"/>
      <c r="AD244" s="59">
        <v>240</v>
      </c>
      <c r="AE244" s="61">
        <f t="shared" ca="1" si="61"/>
        <v>-0.12467656599731836</v>
      </c>
      <c r="AF244" s="61">
        <f t="shared" ca="1" si="61"/>
        <v>-1.5691936883225812</v>
      </c>
      <c r="AG244" s="61">
        <f t="shared" ca="1" si="61"/>
        <v>0.9157220952337467</v>
      </c>
      <c r="AH244" s="19"/>
      <c r="AI244" s="61">
        <f ca="1"/>
        <v>-2.7035221675589935E-3</v>
      </c>
      <c r="AJ244" s="61">
        <f ca="1"/>
        <v>-3.6059501387827743E-2</v>
      </c>
      <c r="AK244" s="61">
        <f ca="1"/>
        <v>1.0567609781115766E-2</v>
      </c>
      <c r="AL244" s="19"/>
      <c r="AM244" s="61">
        <f t="shared" ca="1" si="65"/>
        <v>-2.3523058450487491E-3</v>
      </c>
      <c r="AN244" s="61">
        <f t="shared" ca="1" si="66"/>
        <v>-3.5810448790911213E-2</v>
      </c>
      <c r="AO244" s="61">
        <f t="shared" ca="1" si="67"/>
        <v>1.0999278384370585E-2</v>
      </c>
      <c r="AP244" s="19"/>
      <c r="AQ244" s="62">
        <f t="shared" ca="1" si="62"/>
        <v>0.74847154756863044</v>
      </c>
      <c r="AR244" s="62">
        <f t="shared" ca="1" si="63"/>
        <v>0.81029308982382675</v>
      </c>
      <c r="AS244" s="62">
        <f t="shared" ca="1" si="64"/>
        <v>1.1243061778095964</v>
      </c>
      <c r="AT244" s="49"/>
    </row>
    <row r="245" spans="1:46" x14ac:dyDescent="0.3">
      <c r="A245" s="5">
        <v>43816</v>
      </c>
      <c r="B245" s="6">
        <v>62.02</v>
      </c>
      <c r="C245" s="6">
        <v>117.459999</v>
      </c>
      <c r="D245" s="6">
        <v>95.68</v>
      </c>
      <c r="F245" s="13">
        <v>242</v>
      </c>
      <c r="G245" s="5">
        <v>43816</v>
      </c>
      <c r="H245" s="15">
        <f t="shared" si="60"/>
        <v>2.2598718071273173E-3</v>
      </c>
      <c r="I245" s="15">
        <f t="shared" si="60"/>
        <v>-2.1261223480974361E-3</v>
      </c>
      <c r="J245" s="15">
        <f t="shared" si="60"/>
        <v>5.6598097090123688E-3</v>
      </c>
      <c r="K245" s="22"/>
      <c r="L245" s="13">
        <v>242</v>
      </c>
      <c r="M245" s="5">
        <v>43816</v>
      </c>
      <c r="N245" s="26">
        <f t="shared" si="57"/>
        <v>1.0969225133193756</v>
      </c>
      <c r="O245" s="26">
        <f t="shared" si="58"/>
        <v>1.113998451934779</v>
      </c>
      <c r="P245" s="26">
        <f t="shared" si="59"/>
        <v>1.2662784877257409</v>
      </c>
      <c r="Q245" s="22"/>
      <c r="AD245" s="59">
        <v>241</v>
      </c>
      <c r="AE245" s="61">
        <f t="shared" ca="1" si="61"/>
        <v>0.75322973924465908</v>
      </c>
      <c r="AF245" s="61">
        <f t="shared" ca="1" si="61"/>
        <v>-0.19522572874449176</v>
      </c>
      <c r="AG245" s="61">
        <f t="shared" ca="1" si="61"/>
        <v>0.11406694164312635</v>
      </c>
      <c r="AH245" s="19"/>
      <c r="AI245" s="61">
        <f ca="1"/>
        <v>1.6333248201241091E-2</v>
      </c>
      <c r="AJ245" s="61">
        <f ca="1"/>
        <v>7.546376530138202E-3</v>
      </c>
      <c r="AK245" s="61">
        <f ca="1"/>
        <v>1.2676901108884886E-2</v>
      </c>
      <c r="AL245" s="19"/>
      <c r="AM245" s="61">
        <f t="shared" ca="1" si="65"/>
        <v>1.6684464523751337E-2</v>
      </c>
      <c r="AN245" s="61">
        <f t="shared" ca="1" si="66"/>
        <v>7.7954291270547326E-3</v>
      </c>
      <c r="AO245" s="61">
        <f t="shared" ca="1" si="67"/>
        <v>1.3108569712139705E-2</v>
      </c>
      <c r="AP245" s="19"/>
      <c r="AQ245" s="62">
        <f t="shared" ca="1" si="62"/>
        <v>0.7610641528722718</v>
      </c>
      <c r="AR245" s="62">
        <f t="shared" ca="1" si="63"/>
        <v>0.81663435651269511</v>
      </c>
      <c r="AS245" s="62">
        <f t="shared" ca="1" si="64"/>
        <v>1.1391412445415516</v>
      </c>
      <c r="AT245" s="49"/>
    </row>
    <row r="246" spans="1:46" x14ac:dyDescent="0.3">
      <c r="A246" s="5">
        <v>43817</v>
      </c>
      <c r="B246" s="6">
        <v>61.5</v>
      </c>
      <c r="C246" s="6">
        <v>118.980003</v>
      </c>
      <c r="D246" s="6">
        <v>94.510002</v>
      </c>
      <c r="F246" s="13">
        <v>243</v>
      </c>
      <c r="G246" s="5">
        <v>43817</v>
      </c>
      <c r="H246" s="15">
        <f t="shared" si="60"/>
        <v>-8.4197388598307322E-3</v>
      </c>
      <c r="I246" s="15">
        <f t="shared" si="60"/>
        <v>1.2857595393244131E-2</v>
      </c>
      <c r="J246" s="15">
        <f t="shared" si="60"/>
        <v>-1.230362003357529E-2</v>
      </c>
      <c r="K246" s="22"/>
      <c r="L246" s="13">
        <v>243</v>
      </c>
      <c r="M246" s="5">
        <v>43817</v>
      </c>
      <c r="N246" s="26">
        <f t="shared" si="57"/>
        <v>1.0877254848297579</v>
      </c>
      <c r="O246" s="26">
        <f t="shared" si="58"/>
        <v>1.1284142710847065</v>
      </c>
      <c r="P246" s="26">
        <f t="shared" si="59"/>
        <v>1.2507941305133439</v>
      </c>
      <c r="Q246" s="22"/>
      <c r="AD246" s="59">
        <v>242</v>
      </c>
      <c r="AE246" s="61">
        <f t="shared" ca="1" si="61"/>
        <v>-1.1697504234956826</v>
      </c>
      <c r="AF246" s="61">
        <f t="shared" ca="1" si="61"/>
        <v>-0.56160449871422935</v>
      </c>
      <c r="AG246" s="61">
        <f t="shared" ca="1" si="61"/>
        <v>1.3519249220351999E-2</v>
      </c>
      <c r="AH246" s="19"/>
      <c r="AI246" s="61">
        <f ca="1"/>
        <v>-2.5365201352274321E-2</v>
      </c>
      <c r="AJ246" s="61">
        <f ca="1"/>
        <v>-3.0516374183358001E-2</v>
      </c>
      <c r="AK246" s="61">
        <f ca="1"/>
        <v>-2.0892416298547319E-2</v>
      </c>
      <c r="AL246" s="19"/>
      <c r="AM246" s="61">
        <f t="shared" ca="1" si="65"/>
        <v>-2.5013985029764076E-2</v>
      </c>
      <c r="AN246" s="61">
        <f t="shared" ca="1" si="66"/>
        <v>-3.0267321586441472E-2</v>
      </c>
      <c r="AO246" s="61">
        <f t="shared" ca="1" si="67"/>
        <v>-2.0460747695292502E-2</v>
      </c>
      <c r="AP246" s="19"/>
      <c r="AQ246" s="62">
        <f t="shared" ca="1" si="62"/>
        <v>0.74226303134260019</v>
      </c>
      <c r="AR246" s="62">
        <f t="shared" ca="1" si="63"/>
        <v>0.79228734000008039</v>
      </c>
      <c r="AS246" s="62">
        <f t="shared" ca="1" si="64"/>
        <v>1.1160703912654586</v>
      </c>
      <c r="AT246" s="49"/>
    </row>
    <row r="247" spans="1:46" x14ac:dyDescent="0.3">
      <c r="A247" s="5">
        <v>43818</v>
      </c>
      <c r="B247" s="6">
        <v>61.950001</v>
      </c>
      <c r="C247" s="6">
        <v>117.529999</v>
      </c>
      <c r="D247" s="6">
        <v>94.589995999999999</v>
      </c>
      <c r="F247" s="13">
        <v>244</v>
      </c>
      <c r="G247" s="5">
        <v>43818</v>
      </c>
      <c r="H247" s="15">
        <f t="shared" si="60"/>
        <v>7.2904494047291331E-3</v>
      </c>
      <c r="I247" s="15">
        <f t="shared" si="60"/>
        <v>-1.22618253377842E-2</v>
      </c>
      <c r="J247" s="15">
        <f t="shared" si="60"/>
        <v>8.4604976856362841E-4</v>
      </c>
      <c r="K247" s="22"/>
      <c r="L247" s="13">
        <v>244</v>
      </c>
      <c r="M247" s="5">
        <v>43818</v>
      </c>
      <c r="N247" s="26">
        <f t="shared" si="57"/>
        <v>1.0956844694785202</v>
      </c>
      <c r="O247" s="26">
        <f t="shared" si="58"/>
        <v>1.1146623365959345</v>
      </c>
      <c r="P247" s="26">
        <f t="shared" si="59"/>
        <v>1.2518528123836108</v>
      </c>
      <c r="Q247" s="22"/>
      <c r="AD247" s="59">
        <v>243</v>
      </c>
      <c r="AE247" s="61">
        <f t="shared" ca="1" si="61"/>
        <v>-0.22456582080796256</v>
      </c>
      <c r="AF247" s="61">
        <f t="shared" ca="1" si="61"/>
        <v>-0.75232253132407179</v>
      </c>
      <c r="AG247" s="61">
        <f t="shared" ca="1" si="61"/>
        <v>0.57071625605474197</v>
      </c>
      <c r="AH247" s="19"/>
      <c r="AI247" s="61">
        <f ca="1"/>
        <v>-4.8695492194055605E-3</v>
      </c>
      <c r="AJ247" s="61">
        <f ca="1"/>
        <v>-1.9867475903045908E-2</v>
      </c>
      <c r="AK247" s="61">
        <f ca="1"/>
        <v>6.0054403876636329E-3</v>
      </c>
      <c r="AL247" s="19"/>
      <c r="AM247" s="61">
        <f t="shared" ca="1" si="65"/>
        <v>-4.5183328968953166E-3</v>
      </c>
      <c r="AN247" s="61">
        <f t="shared" ca="1" si="66"/>
        <v>-1.9618423306129378E-2</v>
      </c>
      <c r="AO247" s="61">
        <f t="shared" ca="1" si="67"/>
        <v>6.437108990918451E-3</v>
      </c>
      <c r="AP247" s="19"/>
      <c r="AQ247" s="62">
        <f t="shared" ca="1" si="62"/>
        <v>0.73891680524452319</v>
      </c>
      <c r="AR247" s="62">
        <f t="shared" ca="1" si="63"/>
        <v>0.77689538816842607</v>
      </c>
      <c r="AS247" s="62">
        <f t="shared" ca="1" si="64"/>
        <v>1.1232778306645554</v>
      </c>
      <c r="AT247" s="49"/>
    </row>
    <row r="248" spans="1:46" x14ac:dyDescent="0.3">
      <c r="A248" s="5">
        <v>43819</v>
      </c>
      <c r="B248" s="6">
        <v>62.080002</v>
      </c>
      <c r="C248" s="6">
        <v>118.43</v>
      </c>
      <c r="D248" s="6">
        <v>95.269997000000004</v>
      </c>
      <c r="F248" s="13">
        <v>245</v>
      </c>
      <c r="G248" s="5">
        <v>43819</v>
      </c>
      <c r="H248" s="15">
        <f t="shared" si="60"/>
        <v>2.09628387425637E-3</v>
      </c>
      <c r="I248" s="15">
        <f t="shared" si="60"/>
        <v>7.62845709710697E-3</v>
      </c>
      <c r="J248" s="15">
        <f t="shared" si="60"/>
        <v>7.1632142919264962E-3</v>
      </c>
      <c r="K248" s="22"/>
      <c r="L248" s="13">
        <v>245</v>
      </c>
      <c r="M248" s="5">
        <v>43819</v>
      </c>
      <c r="N248" s="26">
        <f t="shared" si="57"/>
        <v>1.0979837442875178</v>
      </c>
      <c r="O248" s="26">
        <f t="shared" si="58"/>
        <v>1.1231980060091424</v>
      </c>
      <c r="P248" s="26">
        <f t="shared" si="59"/>
        <v>1.2608522964757094</v>
      </c>
      <c r="Q248" s="22"/>
      <c r="AD248" s="59">
        <v>244</v>
      </c>
      <c r="AE248" s="61">
        <f t="shared" ca="1" si="61"/>
        <v>2.0448717473837228E-2</v>
      </c>
      <c r="AF248" s="61">
        <f t="shared" ca="1" si="61"/>
        <v>0.79839387192612177</v>
      </c>
      <c r="AG248" s="61">
        <f t="shared" ca="1" si="61"/>
        <v>-0.48435708580545295</v>
      </c>
      <c r="AH248" s="19"/>
      <c r="AI248" s="61">
        <f ca="1"/>
        <v>4.4341581392175151E-4</v>
      </c>
      <c r="AJ248" s="61">
        <f ca="1"/>
        <v>1.7673973497577058E-2</v>
      </c>
      <c r="AK248" s="61">
        <f ca="1"/>
        <v>-6.4844083787220404E-3</v>
      </c>
      <c r="AL248" s="19"/>
      <c r="AM248" s="61">
        <f t="shared" ca="1" si="65"/>
        <v>7.9463213643199567E-4</v>
      </c>
      <c r="AN248" s="61">
        <f t="shared" ca="1" si="66"/>
        <v>1.7923026094493588E-2</v>
      </c>
      <c r="AO248" s="61">
        <f t="shared" ca="1" si="67"/>
        <v>-6.0527397754672222E-3</v>
      </c>
      <c r="AP248" s="19"/>
      <c r="AQ248" s="62">
        <f t="shared" ca="1" si="62"/>
        <v>0.73950420563682551</v>
      </c>
      <c r="AR248" s="62">
        <f t="shared" ca="1" si="63"/>
        <v>0.79094523627396285</v>
      </c>
      <c r="AS248" s="62">
        <f t="shared" ca="1" si="64"/>
        <v>1.1164994568206505</v>
      </c>
      <c r="AT248" s="49"/>
    </row>
    <row r="249" spans="1:46" x14ac:dyDescent="0.3">
      <c r="A249" s="5">
        <v>43822</v>
      </c>
      <c r="B249" s="6">
        <v>62.139999000000003</v>
      </c>
      <c r="C249" s="6">
        <v>117.790001</v>
      </c>
      <c r="D249" s="6">
        <v>95.239998</v>
      </c>
      <c r="F249" s="13">
        <v>246</v>
      </c>
      <c r="G249" s="5">
        <v>43822</v>
      </c>
      <c r="H249" s="15">
        <f t="shared" si="60"/>
        <v>9.6597978074980839E-4</v>
      </c>
      <c r="I249" s="15">
        <f t="shared" si="60"/>
        <v>-5.4186822730256179E-3</v>
      </c>
      <c r="J249" s="15">
        <f t="shared" si="60"/>
        <v>-3.1493361015468241E-4</v>
      </c>
      <c r="K249" s="22"/>
      <c r="L249" s="13">
        <v>246</v>
      </c>
      <c r="M249" s="5">
        <v>43822</v>
      </c>
      <c r="N249" s="26">
        <f t="shared" si="57"/>
        <v>1.0990448868226941</v>
      </c>
      <c r="O249" s="26">
        <f t="shared" si="58"/>
        <v>1.1171282128769306</v>
      </c>
      <c r="P249" s="26">
        <f t="shared" si="59"/>
        <v>1.2604552742312143</v>
      </c>
      <c r="Q249" s="22"/>
      <c r="AD249" s="59">
        <v>245</v>
      </c>
      <c r="AE249" s="61">
        <f t="shared" ca="1" si="61"/>
        <v>-0.97149976788434955</v>
      </c>
      <c r="AF249" s="61">
        <f t="shared" ca="1" si="61"/>
        <v>-2.0196623455900347</v>
      </c>
      <c r="AG249" s="61">
        <f t="shared" ca="1" si="61"/>
        <v>0.80316957394013633</v>
      </c>
      <c r="AH249" s="19"/>
      <c r="AI249" s="61">
        <f ca="1"/>
        <v>-2.1066277670097586E-2</v>
      </c>
      <c r="AJ249" s="61">
        <f ca="1"/>
        <v>-5.9105658968631569E-2</v>
      </c>
      <c r="AK249" s="61">
        <f ca="1"/>
        <v>-8.0006637897107498E-3</v>
      </c>
      <c r="AL249" s="19"/>
      <c r="AM249" s="61">
        <f t="shared" ca="1" si="65"/>
        <v>-2.0715061347587341E-2</v>
      </c>
      <c r="AN249" s="61">
        <f t="shared" ca="1" si="66"/>
        <v>-5.885660637171504E-2</v>
      </c>
      <c r="AO249" s="61">
        <f t="shared" ca="1" si="67"/>
        <v>-7.5689951864559317E-3</v>
      </c>
      <c r="AP249" s="19"/>
      <c r="AQ249" s="62">
        <f t="shared" ca="1" si="62"/>
        <v>0.72434290642817478</v>
      </c>
      <c r="AR249" s="62">
        <f t="shared" ca="1" si="63"/>
        <v>0.74573635444318476</v>
      </c>
      <c r="AS249" s="62">
        <f t="shared" ca="1" si="64"/>
        <v>1.108080579221175</v>
      </c>
      <c r="AT249" s="49"/>
    </row>
    <row r="250" spans="1:46" x14ac:dyDescent="0.3">
      <c r="A250" s="5">
        <v>43823</v>
      </c>
      <c r="B250" s="6">
        <v>62.200001</v>
      </c>
      <c r="C250" s="6">
        <v>118.339996</v>
      </c>
      <c r="D250" s="6">
        <v>95.099997999999999</v>
      </c>
      <c r="F250" s="13">
        <v>247</v>
      </c>
      <c r="G250" s="5">
        <v>43823</v>
      </c>
      <c r="H250" s="15">
        <f t="shared" si="60"/>
        <v>9.6512795009673108E-4</v>
      </c>
      <c r="I250" s="15">
        <f t="shared" si="60"/>
        <v>4.6584169872566821E-3</v>
      </c>
      <c r="J250" s="15">
        <f t="shared" si="60"/>
        <v>-1.471052098231572E-3</v>
      </c>
      <c r="K250" s="22"/>
      <c r="L250" s="13">
        <v>247</v>
      </c>
      <c r="M250" s="5">
        <v>43823</v>
      </c>
      <c r="N250" s="26">
        <f t="shared" si="57"/>
        <v>1.1001061177908362</v>
      </c>
      <c r="O250" s="26">
        <f t="shared" si="58"/>
        <v>1.122344402079962</v>
      </c>
      <c r="P250" s="26">
        <f t="shared" si="59"/>
        <v>1.2586024419958297</v>
      </c>
      <c r="Q250" s="22"/>
      <c r="AD250" s="59">
        <v>246</v>
      </c>
      <c r="AE250" s="61">
        <f t="shared" ca="1" si="61"/>
        <v>-0.6174948165617713</v>
      </c>
      <c r="AF250" s="61">
        <f t="shared" ca="1" si="61"/>
        <v>-0.26114823979941709</v>
      </c>
      <c r="AG250" s="61">
        <f t="shared" ca="1" si="61"/>
        <v>0.82955933323567477</v>
      </c>
      <c r="AH250" s="19"/>
      <c r="AI250" s="61">
        <f ca="1"/>
        <v>-1.3389933477662755E-2</v>
      </c>
      <c r="AJ250" s="61">
        <f ca="1"/>
        <v>-1.5341560271078717E-2</v>
      </c>
      <c r="AK250" s="61">
        <f ca="1"/>
        <v>1.029032356837831E-2</v>
      </c>
      <c r="AL250" s="19"/>
      <c r="AM250" s="61">
        <f t="shared" ca="1" si="65"/>
        <v>-1.3038717155152511E-2</v>
      </c>
      <c r="AN250" s="61">
        <f t="shared" ca="1" si="66"/>
        <v>-1.5092507674162186E-2</v>
      </c>
      <c r="AO250" s="61">
        <f t="shared" ca="1" si="67"/>
        <v>1.0721992171633129E-2</v>
      </c>
      <c r="AP250" s="19"/>
      <c r="AQ250" s="62">
        <f t="shared" ca="1" si="62"/>
        <v>0.71495970950785959</v>
      </c>
      <c r="AR250" s="62">
        <f t="shared" ca="1" si="63"/>
        <v>0.7345658304383671</v>
      </c>
      <c r="AS250" s="62">
        <f t="shared" ca="1" si="64"/>
        <v>1.1200253318576314</v>
      </c>
      <c r="AT250" s="49"/>
    </row>
    <row r="251" spans="1:46" x14ac:dyDescent="0.3">
      <c r="A251" s="5">
        <v>43825</v>
      </c>
      <c r="B251" s="6">
        <v>62.509998000000003</v>
      </c>
      <c r="C251" s="6">
        <v>118.400002</v>
      </c>
      <c r="D251" s="6">
        <v>94.419998000000007</v>
      </c>
      <c r="F251" s="13">
        <v>248</v>
      </c>
      <c r="G251" s="5">
        <v>43825</v>
      </c>
      <c r="H251" s="15">
        <f t="shared" si="60"/>
        <v>4.971496126535707E-3</v>
      </c>
      <c r="I251" s="15">
        <f t="shared" si="60"/>
        <v>5.0693589416218377E-4</v>
      </c>
      <c r="J251" s="15">
        <f t="shared" si="60"/>
        <v>-7.176054584662612E-3</v>
      </c>
      <c r="K251" s="22"/>
      <c r="L251" s="13">
        <v>248</v>
      </c>
      <c r="M251" s="5">
        <v>43825</v>
      </c>
      <c r="N251" s="26">
        <f t="shared" si="57"/>
        <v>1.1055889086383286</v>
      </c>
      <c r="O251" s="26">
        <f t="shared" si="58"/>
        <v>1.1229135029796375</v>
      </c>
      <c r="P251" s="26">
        <f t="shared" si="59"/>
        <v>1.2496029711382473</v>
      </c>
      <c r="Q251" s="22"/>
      <c r="AD251" s="59">
        <v>247</v>
      </c>
      <c r="AE251" s="61">
        <f t="shared" ca="1" si="61"/>
        <v>-0.1496442480147438</v>
      </c>
      <c r="AF251" s="61">
        <f t="shared" ca="1" si="61"/>
        <v>1.5426593219950373</v>
      </c>
      <c r="AG251" s="61">
        <f t="shared" ca="1" si="61"/>
        <v>-1.1300297414270266</v>
      </c>
      <c r="AH251" s="19"/>
      <c r="AI251" s="61">
        <f ca="1"/>
        <v>-3.2449284957387862E-3</v>
      </c>
      <c r="AJ251" s="61">
        <f ca="1"/>
        <v>3.1188987855164784E-2</v>
      </c>
      <c r="AK251" s="61">
        <f ca="1"/>
        <v>-2.0298269109868441E-2</v>
      </c>
      <c r="AL251" s="19"/>
      <c r="AM251" s="61">
        <f t="shared" ca="1" si="65"/>
        <v>-2.8937121732285419E-3</v>
      </c>
      <c r="AN251" s="61">
        <f t="shared" ca="1" si="66"/>
        <v>3.1438040452081317E-2</v>
      </c>
      <c r="AO251" s="61">
        <f t="shared" ca="1" si="67"/>
        <v>-1.9866600506613624E-2</v>
      </c>
      <c r="AP251" s="19"/>
      <c r="AQ251" s="62">
        <f t="shared" ca="1" si="62"/>
        <v>0.71289381239048499</v>
      </c>
      <c r="AR251" s="62">
        <f t="shared" ca="1" si="63"/>
        <v>0.75802597907592317</v>
      </c>
      <c r="AS251" s="62">
        <f t="shared" ca="1" si="64"/>
        <v>1.0979938064051258</v>
      </c>
      <c r="AT251" s="49"/>
    </row>
    <row r="252" spans="1:46" x14ac:dyDescent="0.3">
      <c r="A252" s="5">
        <v>43826</v>
      </c>
      <c r="B252" s="6">
        <v>62.439999</v>
      </c>
      <c r="C252" s="6">
        <v>117.410004</v>
      </c>
      <c r="D252" s="6">
        <v>93.199996999999996</v>
      </c>
      <c r="F252" s="13">
        <v>249</v>
      </c>
      <c r="G252" s="5">
        <v>43826</v>
      </c>
      <c r="H252" s="15">
        <f t="shared" si="60"/>
        <v>-1.1204323169832959E-3</v>
      </c>
      <c r="I252" s="15">
        <f t="shared" si="60"/>
        <v>-8.396622631028864E-3</v>
      </c>
      <c r="J252" s="15">
        <f t="shared" si="60"/>
        <v>-1.3005204433483852E-2</v>
      </c>
      <c r="K252" s="22"/>
      <c r="L252" s="13">
        <v>249</v>
      </c>
      <c r="M252" s="5">
        <v>43826</v>
      </c>
      <c r="N252" s="26">
        <f t="shared" si="57"/>
        <v>1.1043508647974734</v>
      </c>
      <c r="O252" s="26">
        <f t="shared" si="58"/>
        <v>1.113524296025715</v>
      </c>
      <c r="P252" s="26">
        <f t="shared" si="59"/>
        <v>1.2334568484239505</v>
      </c>
      <c r="Q252" s="22"/>
      <c r="AD252" s="59">
        <v>248</v>
      </c>
      <c r="AE252" s="61">
        <f t="shared" ca="1" si="61"/>
        <v>0.30209251419309718</v>
      </c>
      <c r="AF252" s="61">
        <f t="shared" ca="1" si="61"/>
        <v>0.69412969327922303</v>
      </c>
      <c r="AG252" s="61">
        <f t="shared" ca="1" si="61"/>
        <v>-0.64163075206677789</v>
      </c>
      <c r="AH252" s="19"/>
      <c r="AI252" s="61">
        <f ca="1"/>
        <v>6.550660119979841E-3</v>
      </c>
      <c r="AJ252" s="61">
        <f ca="1"/>
        <v>1.981606935292075E-2</v>
      </c>
      <c r="AK252" s="61">
        <f ca="1"/>
        <v>-7.0865881374875539E-3</v>
      </c>
      <c r="AL252" s="19"/>
      <c r="AM252" s="61">
        <f t="shared" ca="1" si="65"/>
        <v>6.9018764424900849E-3</v>
      </c>
      <c r="AN252" s="61">
        <f t="shared" ca="1" si="66"/>
        <v>2.006512194983728E-2</v>
      </c>
      <c r="AO252" s="61">
        <f t="shared" ca="1" si="67"/>
        <v>-6.6549195342327358E-3</v>
      </c>
      <c r="AP252" s="19"/>
      <c r="AQ252" s="62">
        <f t="shared" ca="1" si="62"/>
        <v>0.71783113620019312</v>
      </c>
      <c r="AR252" s="62">
        <f t="shared" ca="1" si="63"/>
        <v>0.77338948261955631</v>
      </c>
      <c r="AS252" s="62">
        <f t="shared" ca="1" si="64"/>
        <v>1.0907110060778353</v>
      </c>
      <c r="AT252" s="49"/>
    </row>
    <row r="253" spans="1:46" x14ac:dyDescent="0.3">
      <c r="A253" s="5">
        <v>43829</v>
      </c>
      <c r="B253" s="6">
        <v>62.880001</v>
      </c>
      <c r="C253" s="6">
        <v>116.58000199999999</v>
      </c>
      <c r="D253" s="6">
        <v>92.879997000000003</v>
      </c>
      <c r="F253" s="13">
        <v>250</v>
      </c>
      <c r="G253" s="5">
        <v>43829</v>
      </c>
      <c r="H253" s="15">
        <f t="shared" si="60"/>
        <v>7.0220843924024157E-3</v>
      </c>
      <c r="I253" s="15">
        <f t="shared" si="60"/>
        <v>-7.0943669377634437E-3</v>
      </c>
      <c r="J253" s="15">
        <f t="shared" si="60"/>
        <v>-3.4393844128097232E-3</v>
      </c>
      <c r="K253" s="22"/>
      <c r="L253" s="13">
        <v>250</v>
      </c>
      <c r="M253" s="5">
        <v>43829</v>
      </c>
      <c r="N253" s="26">
        <f t="shared" si="57"/>
        <v>1.1121330012003361</v>
      </c>
      <c r="O253" s="26">
        <f t="shared" si="58"/>
        <v>1.1056525017895957</v>
      </c>
      <c r="P253" s="26">
        <f t="shared" si="59"/>
        <v>1.2292218033144999</v>
      </c>
      <c r="Q253" s="22"/>
      <c r="AD253" s="59">
        <v>249</v>
      </c>
      <c r="AE253" s="61">
        <f t="shared" ca="1" si="61"/>
        <v>-0.30751346723882145</v>
      </c>
      <c r="AF253" s="61">
        <f t="shared" ca="1" si="61"/>
        <v>1.364532173913747</v>
      </c>
      <c r="AG253" s="61">
        <f t="shared" ca="1" si="61"/>
        <v>-1.5803345283380219</v>
      </c>
      <c r="AH253" s="19"/>
      <c r="AI253" s="61">
        <f ca="1"/>
        <v>-6.6682096098232436E-3</v>
      </c>
      <c r="AJ253" s="61">
        <f ca="1"/>
        <v>2.4846190661117568E-2</v>
      </c>
      <c r="AK253" s="61">
        <f ca="1"/>
        <v>-3.5422114893412057E-2</v>
      </c>
      <c r="AL253" s="19"/>
      <c r="AM253" s="61">
        <f t="shared" ca="1" si="65"/>
        <v>-6.3169932873129997E-3</v>
      </c>
      <c r="AN253" s="61">
        <f t="shared" ca="1" si="66"/>
        <v>2.5095243258034097E-2</v>
      </c>
      <c r="AO253" s="61">
        <f t="shared" ca="1" si="67"/>
        <v>-3.499044629015724E-2</v>
      </c>
      <c r="AP253" s="19"/>
      <c r="AQ253" s="62">
        <f t="shared" ca="1" si="62"/>
        <v>0.71331089393287661</v>
      </c>
      <c r="AR253" s="62">
        <f t="shared" ca="1" si="63"/>
        <v>0.793043459030352</v>
      </c>
      <c r="AS253" s="62">
        <f t="shared" ca="1" si="64"/>
        <v>1.0532065170219007</v>
      </c>
      <c r="AT253" s="49"/>
    </row>
    <row r="254" spans="1:46" x14ac:dyDescent="0.3">
      <c r="A254" s="5">
        <v>43830</v>
      </c>
      <c r="B254" s="6">
        <v>63.150002000000001</v>
      </c>
      <c r="C254" s="6">
        <v>117.220001</v>
      </c>
      <c r="D254" s="6">
        <v>93.650002000000001</v>
      </c>
      <c r="F254" s="13">
        <v>251</v>
      </c>
      <c r="G254" s="5">
        <v>43830</v>
      </c>
      <c r="H254" s="15">
        <f t="shared" si="60"/>
        <v>4.284716442866255E-3</v>
      </c>
      <c r="I254" s="15">
        <f t="shared" si="60"/>
        <v>5.4747698062456423E-3</v>
      </c>
      <c r="J254" s="15">
        <f t="shared" si="60"/>
        <v>8.2561451563166223E-3</v>
      </c>
      <c r="K254" s="22"/>
      <c r="L254" s="13">
        <v>251</v>
      </c>
      <c r="M254" s="5">
        <v>43830</v>
      </c>
      <c r="N254" s="26">
        <f t="shared" si="57"/>
        <v>1.1169083990642308</v>
      </c>
      <c r="O254" s="26">
        <f t="shared" si="58"/>
        <v>1.1117222949218077</v>
      </c>
      <c r="P254" s="26">
        <f t="shared" si="59"/>
        <v>1.2394124467816954</v>
      </c>
      <c r="Q254" s="22"/>
      <c r="AD254" s="59">
        <v>250</v>
      </c>
      <c r="AE254" s="61">
        <f t="shared" ca="1" si="61"/>
        <v>-1.1619589399635895E-2</v>
      </c>
      <c r="AF254" s="61">
        <f t="shared" ca="1" si="61"/>
        <v>0.41816933832398262</v>
      </c>
      <c r="AG254" s="61">
        <f t="shared" ca="1" si="61"/>
        <v>-0.14038042007516954</v>
      </c>
      <c r="AH254" s="19"/>
      <c r="AI254" s="61">
        <f ca="1"/>
        <v>-2.5196248604188225E-4</v>
      </c>
      <c r="AJ254" s="61">
        <f ca="1"/>
        <v>8.9074623629569246E-3</v>
      </c>
      <c r="AK254" s="61">
        <f ca="1"/>
        <v>-8.232847160857871E-4</v>
      </c>
      <c r="AL254" s="19"/>
      <c r="AM254" s="61">
        <f t="shared" ca="1" si="65"/>
        <v>9.9253836468361962E-5</v>
      </c>
      <c r="AN254" s="61">
        <f t="shared" ca="1" si="66"/>
        <v>9.156514959873456E-3</v>
      </c>
      <c r="AO254" s="61">
        <f t="shared" ca="1" si="67"/>
        <v>-3.9161611283096886E-4</v>
      </c>
      <c r="AP254" s="19"/>
      <c r="AQ254" s="62">
        <f t="shared" ca="1" si="62"/>
        <v>0.71338169628933878</v>
      </c>
      <c r="AR254" s="62">
        <f t="shared" ca="1" si="63"/>
        <v>0.8003383201113371</v>
      </c>
      <c r="AS254" s="62">
        <f t="shared" ca="1" si="64"/>
        <v>1.052794145130705</v>
      </c>
      <c r="AT254" s="49"/>
    </row>
    <row r="255" spans="1:46" x14ac:dyDescent="0.3">
      <c r="A255" s="5">
        <v>43832</v>
      </c>
      <c r="B255" s="6">
        <v>63.75</v>
      </c>
      <c r="C255" s="6">
        <v>118.790001</v>
      </c>
      <c r="D255" s="6">
        <v>95.129997000000003</v>
      </c>
      <c r="F255" s="13">
        <v>252</v>
      </c>
      <c r="G255" s="5">
        <v>43832</v>
      </c>
      <c r="H255" s="15">
        <f t="shared" si="60"/>
        <v>9.4563035714105102E-3</v>
      </c>
      <c r="I255" s="15">
        <f t="shared" si="60"/>
        <v>1.3304717140414703E-2</v>
      </c>
      <c r="J255" s="15">
        <f t="shared" si="60"/>
        <v>1.5679895436361509E-2</v>
      </c>
      <c r="K255" s="22"/>
      <c r="L255" s="13">
        <v>252</v>
      </c>
      <c r="M255" s="5">
        <v>43832</v>
      </c>
      <c r="N255" s="26">
        <f t="shared" si="57"/>
        <v>1.1275203196406027</v>
      </c>
      <c r="O255" s="26">
        <f t="shared" si="58"/>
        <v>1.1266122794648656</v>
      </c>
      <c r="P255" s="26">
        <f t="shared" si="59"/>
        <v>1.2589994642403248</v>
      </c>
      <c r="Q255" s="22"/>
      <c r="AD255" s="59">
        <v>251</v>
      </c>
      <c r="AE255" s="61">
        <f t="shared" ca="1" si="61"/>
        <v>-0.7861966315007809</v>
      </c>
      <c r="AF255" s="61">
        <f t="shared" ca="1" si="61"/>
        <v>-0.61422658492899673</v>
      </c>
      <c r="AG255" s="61">
        <f t="shared" ca="1" si="61"/>
        <v>-1.6666020642850485</v>
      </c>
      <c r="AH255" s="19"/>
      <c r="AI255" s="61">
        <f ca="1"/>
        <v>-1.7048111682577843E-2</v>
      </c>
      <c r="AJ255" s="61">
        <f ca="1"/>
        <v>-2.5656655214107926E-2</v>
      </c>
      <c r="AK255" s="61">
        <f ca="1"/>
        <v>-5.8640421188328309E-2</v>
      </c>
      <c r="AL255" s="19"/>
      <c r="AM255" s="61">
        <f t="shared" ca="1" si="65"/>
        <v>-1.6696895360067597E-2</v>
      </c>
      <c r="AN255" s="61">
        <f t="shared" ca="1" si="66"/>
        <v>-2.5407602617191397E-2</v>
      </c>
      <c r="AO255" s="61">
        <f t="shared" ca="1" si="67"/>
        <v>-5.8208752585073492E-2</v>
      </c>
      <c r="AP255" s="19"/>
      <c r="AQ255" s="62">
        <f t="shared" ca="1" si="62"/>
        <v>0.70156932613480727</v>
      </c>
      <c r="AR255" s="62">
        <f t="shared" ca="1" si="63"/>
        <v>0.7802597958208789</v>
      </c>
      <c r="AS255" s="62">
        <f t="shared" ca="1" si="64"/>
        <v>0.99326177210826783</v>
      </c>
      <c r="AT255" s="49"/>
    </row>
    <row r="256" spans="1:46" x14ac:dyDescent="0.3">
      <c r="A256" s="5">
        <v>43833</v>
      </c>
      <c r="B256" s="6">
        <v>63.310001</v>
      </c>
      <c r="C256" s="6">
        <v>118.160004</v>
      </c>
      <c r="D256" s="6">
        <v>91.519997000000004</v>
      </c>
      <c r="F256" s="13">
        <v>253</v>
      </c>
      <c r="G256" s="5">
        <v>43833</v>
      </c>
      <c r="H256" s="15">
        <f t="shared" si="60"/>
        <v>-6.9258736872074836E-3</v>
      </c>
      <c r="I256" s="15">
        <f t="shared" si="60"/>
        <v>-5.3175646441379698E-3</v>
      </c>
      <c r="J256" s="15">
        <f t="shared" si="60"/>
        <v>-3.8686850830805072E-2</v>
      </c>
      <c r="K256" s="22"/>
      <c r="L256" s="13">
        <v>253</v>
      </c>
      <c r="M256" s="5">
        <v>43833</v>
      </c>
      <c r="N256" s="26">
        <f t="shared" si="57"/>
        <v>1.1197382362975197</v>
      </c>
      <c r="O256" s="26">
        <f t="shared" si="58"/>
        <v>1.1206373459666663</v>
      </c>
      <c r="P256" s="26">
        <f t="shared" si="59"/>
        <v>1.2112228615993348</v>
      </c>
      <c r="Q256" s="22"/>
      <c r="AD256" s="59">
        <v>252</v>
      </c>
      <c r="AE256" s="61">
        <f t="shared" ca="1" si="61"/>
        <v>-0.53496230246484044</v>
      </c>
      <c r="AF256" s="61">
        <f t="shared" ca="1" si="61"/>
        <v>0.47645562158531352</v>
      </c>
      <c r="AG256" s="61">
        <f t="shared" ca="1" si="61"/>
        <v>-0.39416210850554173</v>
      </c>
      <c r="AH256" s="19"/>
      <c r="AI256" s="61">
        <f ca="1"/>
        <v>-1.1600274935012271E-2</v>
      </c>
      <c r="AJ256" s="61">
        <f ca="1"/>
        <v>1.9828370506951732E-3</v>
      </c>
      <c r="AK256" s="61">
        <f ca="1"/>
        <v>-1.4647355683742121E-2</v>
      </c>
      <c r="AL256" s="19"/>
      <c r="AM256" s="61">
        <f t="shared" ca="1" si="65"/>
        <v>-1.1249058612502028E-2</v>
      </c>
      <c r="AN256" s="61">
        <f t="shared" ca="1" si="66"/>
        <v>2.2318896476117038E-3</v>
      </c>
      <c r="AO256" s="61">
        <f t="shared" ca="1" si="67"/>
        <v>-1.4215687080487302E-2</v>
      </c>
      <c r="AP256" s="19"/>
      <c r="AQ256" s="62">
        <f t="shared" ca="1" si="62"/>
        <v>0.69372155444170092</v>
      </c>
      <c r="AR256" s="62">
        <f t="shared" ca="1" si="63"/>
        <v>0.78200319439452937</v>
      </c>
      <c r="AS256" s="62">
        <f t="shared" ca="1" si="64"/>
        <v>0.97924176171021682</v>
      </c>
      <c r="AT256" s="49"/>
    </row>
    <row r="257" spans="1:46" x14ac:dyDescent="0.3">
      <c r="A257" s="5">
        <v>43836</v>
      </c>
      <c r="B257" s="6">
        <v>62.810001</v>
      </c>
      <c r="C257" s="6">
        <v>119.80999799999999</v>
      </c>
      <c r="D257" s="6">
        <v>91.529999000000004</v>
      </c>
      <c r="F257" s="13">
        <v>254</v>
      </c>
      <c r="G257" s="5">
        <v>43836</v>
      </c>
      <c r="H257" s="15">
        <f t="shared" si="60"/>
        <v>-7.9289979640070826E-3</v>
      </c>
      <c r="I257" s="15">
        <f t="shared" si="60"/>
        <v>1.3867465883182793E-2</v>
      </c>
      <c r="J257" s="15">
        <f t="shared" si="60"/>
        <v>1.0928161954122695E-4</v>
      </c>
      <c r="K257" s="22"/>
      <c r="L257" s="13">
        <v>254</v>
      </c>
      <c r="M257" s="5">
        <v>43836</v>
      </c>
      <c r="N257" s="26">
        <f t="shared" si="57"/>
        <v>1.1108949396728875</v>
      </c>
      <c r="O257" s="26">
        <f t="shared" si="58"/>
        <v>1.1362859989323595</v>
      </c>
      <c r="P257" s="26">
        <f t="shared" si="59"/>
        <v>1.2113552332280371</v>
      </c>
      <c r="Q257" s="22"/>
      <c r="AD257" s="59">
        <v>253</v>
      </c>
      <c r="AE257" s="61">
        <f t="shared" ca="1" si="61"/>
        <v>-0.62883443958867524</v>
      </c>
      <c r="AF257" s="61">
        <f t="shared" ca="1" si="61"/>
        <v>-0.60043471236785995</v>
      </c>
      <c r="AG257" s="61">
        <f t="shared" ca="1" si="61"/>
        <v>-0.20309345846837409</v>
      </c>
      <c r="AH257" s="19"/>
      <c r="AI257" s="61">
        <f ca="1"/>
        <v>-1.3635825093138085E-2</v>
      </c>
      <c r="AJ257" s="61">
        <f ca="1"/>
        <v>-2.2893788625899195E-2</v>
      </c>
      <c r="AK257" s="61">
        <f ca="1"/>
        <v>-1.872315536662484E-2</v>
      </c>
      <c r="AL257" s="19"/>
      <c r="AM257" s="61">
        <f t="shared" ca="1" si="65"/>
        <v>-1.3284608770627841E-2</v>
      </c>
      <c r="AN257" s="61">
        <f t="shared" ca="1" si="66"/>
        <v>-2.2644736028982666E-2</v>
      </c>
      <c r="AO257" s="61">
        <f t="shared" ca="1" si="67"/>
        <v>-1.8291486763370023E-2</v>
      </c>
      <c r="AP257" s="19"/>
      <c r="AQ257" s="62">
        <f t="shared" ca="1" si="62"/>
        <v>0.68456667910174607</v>
      </c>
      <c r="AR257" s="62">
        <f t="shared" ca="1" si="63"/>
        <v>0.76449393298445689</v>
      </c>
      <c r="AS257" s="62">
        <f t="shared" ca="1" si="64"/>
        <v>0.96149279633609774</v>
      </c>
      <c r="AT257" s="49"/>
    </row>
    <row r="258" spans="1:46" x14ac:dyDescent="0.3">
      <c r="A258" s="5">
        <v>43837</v>
      </c>
      <c r="B258" s="6">
        <v>62.849997999999999</v>
      </c>
      <c r="C258" s="6">
        <v>120.33000199999999</v>
      </c>
      <c r="D258" s="6">
        <v>92.730002999999996</v>
      </c>
      <c r="F258" s="13">
        <v>255</v>
      </c>
      <c r="G258" s="5">
        <v>43837</v>
      </c>
      <c r="H258" s="15">
        <f t="shared" si="60"/>
        <v>6.3659082713712336E-4</v>
      </c>
      <c r="I258" s="15">
        <f t="shared" si="60"/>
        <v>4.3308471123200418E-3</v>
      </c>
      <c r="J258" s="15">
        <f t="shared" si="60"/>
        <v>1.3025300692815508E-2</v>
      </c>
      <c r="K258" s="22"/>
      <c r="L258" s="13">
        <v>255</v>
      </c>
      <c r="M258" s="5">
        <v>43837</v>
      </c>
      <c r="N258" s="26">
        <f t="shared" si="57"/>
        <v>1.1116023503430783</v>
      </c>
      <c r="O258" s="26">
        <f t="shared" si="58"/>
        <v>1.141217751494352</v>
      </c>
      <c r="P258" s="26">
        <f t="shared" si="59"/>
        <v>1.2272367053265407</v>
      </c>
      <c r="Q258" s="22"/>
      <c r="AD258" s="59">
        <v>254</v>
      </c>
      <c r="AE258" s="61">
        <f t="shared" ca="1" si="61"/>
        <v>0.26372420430686605</v>
      </c>
      <c r="AF258" s="61">
        <f t="shared" ca="1" si="61"/>
        <v>-5.4977654690046486E-2</v>
      </c>
      <c r="AG258" s="61">
        <f t="shared" ca="1" si="61"/>
        <v>1.207317503893051</v>
      </c>
      <c r="AH258" s="19"/>
      <c r="AI258" s="61">
        <f ca="1"/>
        <v>5.7186707603159746E-3</v>
      </c>
      <c r="AJ258" s="61">
        <f ca="1"/>
        <v>2.932905092325445E-3</v>
      </c>
      <c r="AK258" s="61">
        <f ca="1"/>
        <v>3.4440911411261571E-2</v>
      </c>
      <c r="AL258" s="19"/>
      <c r="AM258" s="61">
        <f t="shared" ca="1" si="65"/>
        <v>6.0698870828262185E-3</v>
      </c>
      <c r="AN258" s="61">
        <f t="shared" ca="1" si="66"/>
        <v>3.1819576892419756E-3</v>
      </c>
      <c r="AO258" s="61">
        <f t="shared" ca="1" si="67"/>
        <v>3.4872580014516388E-2</v>
      </c>
      <c r="AP258" s="19"/>
      <c r="AQ258" s="62">
        <f t="shared" ca="1" si="62"/>
        <v>0.68873455802517292</v>
      </c>
      <c r="AR258" s="62">
        <f t="shared" ca="1" si="63"/>
        <v>0.76693039463610446</v>
      </c>
      <c r="AS258" s="62">
        <f t="shared" ca="1" si="64"/>
        <v>0.99561402054781489</v>
      </c>
      <c r="AT258" s="49"/>
    </row>
    <row r="259" spans="1:46" x14ac:dyDescent="0.3">
      <c r="A259" s="5">
        <v>43838</v>
      </c>
      <c r="B259" s="6">
        <v>62.919998</v>
      </c>
      <c r="C259" s="6">
        <v>120</v>
      </c>
      <c r="D259" s="6">
        <v>93.089995999999999</v>
      </c>
      <c r="F259" s="13">
        <v>256</v>
      </c>
      <c r="G259" s="5">
        <v>43838</v>
      </c>
      <c r="H259" s="15">
        <f t="shared" si="60"/>
        <v>1.1131431892231331E-3</v>
      </c>
      <c r="I259" s="15">
        <f t="shared" si="60"/>
        <v>-2.7462422889840163E-3</v>
      </c>
      <c r="J259" s="15">
        <f t="shared" si="60"/>
        <v>3.8746469951043317E-3</v>
      </c>
      <c r="K259" s="22"/>
      <c r="L259" s="13">
        <v>256</v>
      </c>
      <c r="M259" s="5">
        <v>43838</v>
      </c>
      <c r="N259" s="26">
        <f t="shared" si="57"/>
        <v>1.1128404118705268</v>
      </c>
      <c r="O259" s="26">
        <f t="shared" si="58"/>
        <v>1.1380879905522003</v>
      </c>
      <c r="P259" s="26">
        <f t="shared" si="59"/>
        <v>1.2320010384330609</v>
      </c>
      <c r="Q259" s="22"/>
      <c r="AD259" s="59">
        <v>255</v>
      </c>
      <c r="AE259" s="61">
        <f t="shared" ca="1" si="61"/>
        <v>-0.19199413282496983</v>
      </c>
      <c r="AF259" s="61">
        <f t="shared" ca="1" si="61"/>
        <v>-2.3366209855788505</v>
      </c>
      <c r="AG259" s="61">
        <f t="shared" ca="1" si="61"/>
        <v>-0.4771970724714481</v>
      </c>
      <c r="AH259" s="19"/>
      <c r="AI259" s="61">
        <f ca="1"/>
        <v>-4.1632554600897174E-3</v>
      </c>
      <c r="AJ259" s="61">
        <f ca="1"/>
        <v>-5.37939919409006E-2</v>
      </c>
      <c r="AK259" s="61">
        <f ca="1"/>
        <v>-3.151814714608589E-2</v>
      </c>
      <c r="AL259" s="19"/>
      <c r="AM259" s="61">
        <f t="shared" ca="1" si="65"/>
        <v>-3.8120391375794731E-3</v>
      </c>
      <c r="AN259" s="61">
        <f t="shared" ca="1" si="66"/>
        <v>-5.354493934398407E-2</v>
      </c>
      <c r="AO259" s="61">
        <f t="shared" ca="1" si="67"/>
        <v>-3.1086478542831072E-2</v>
      </c>
      <c r="AP259" s="19"/>
      <c r="AQ259" s="62">
        <f t="shared" ca="1" si="62"/>
        <v>0.68611407280401748</v>
      </c>
      <c r="AR259" s="62">
        <f t="shared" ca="1" si="63"/>
        <v>0.72694520823712394</v>
      </c>
      <c r="AS259" s="62">
        <f t="shared" ca="1" si="64"/>
        <v>0.96514000562278257</v>
      </c>
      <c r="AT259" s="49"/>
    </row>
    <row r="260" spans="1:46" x14ac:dyDescent="0.3">
      <c r="A260" s="5">
        <v>43839</v>
      </c>
      <c r="B260" s="6">
        <v>63.560001</v>
      </c>
      <c r="C260" s="6">
        <v>117.93</v>
      </c>
      <c r="D260" s="6">
        <v>95.18</v>
      </c>
      <c r="F260" s="13">
        <v>257</v>
      </c>
      <c r="G260" s="5">
        <v>43839</v>
      </c>
      <c r="H260" s="15">
        <f t="shared" si="60"/>
        <v>1.0120310997999486E-2</v>
      </c>
      <c r="I260" s="15">
        <f t="shared" si="60"/>
        <v>-1.7400514680167335E-2</v>
      </c>
      <c r="J260" s="15">
        <f t="shared" si="60"/>
        <v>2.2203111533736445E-2</v>
      </c>
      <c r="K260" s="22"/>
      <c r="L260" s="13">
        <v>257</v>
      </c>
      <c r="M260" s="5">
        <v>43839</v>
      </c>
      <c r="N260" s="26">
        <f t="shared" ref="N260:N323" si="68">B260/B$3</f>
        <v>1.124159884609836</v>
      </c>
      <c r="O260" s="26">
        <f t="shared" ref="O260:O323" si="69">C260/C$3</f>
        <v>1.1184559727151751</v>
      </c>
      <c r="P260" s="26">
        <f t="shared" ref="P260:P323" si="70">D260/D$3</f>
        <v>1.2596612297422245</v>
      </c>
      <c r="Q260" s="22"/>
      <c r="AD260" s="59">
        <v>256</v>
      </c>
      <c r="AE260" s="61">
        <f t="shared" ca="1" si="61"/>
        <v>2.140867611248062</v>
      </c>
      <c r="AF260" s="61">
        <f t="shared" ca="1" si="61"/>
        <v>-0.46620915004539254</v>
      </c>
      <c r="AG260" s="61">
        <f t="shared" ca="1" si="61"/>
        <v>0.30328960712867803</v>
      </c>
      <c r="AH260" s="19"/>
      <c r="AI260" s="61">
        <f ca="1"/>
        <v>4.6423183045823505E-2</v>
      </c>
      <c r="AJ260" s="61">
        <f ca="1"/>
        <v>2.3376052992429522E-2</v>
      </c>
      <c r="AK260" s="61">
        <f ca="1"/>
        <v>3.6119494501685223E-2</v>
      </c>
      <c r="AL260" s="19"/>
      <c r="AM260" s="61">
        <f t="shared" ca="1" si="65"/>
        <v>4.6774399368333747E-2</v>
      </c>
      <c r="AN260" s="61">
        <f t="shared" ca="1" si="66"/>
        <v>2.3625105589346052E-2</v>
      </c>
      <c r="AO260" s="61">
        <f t="shared" ca="1" si="67"/>
        <v>3.655116310494004E-2</v>
      </c>
      <c r="AP260" s="19"/>
      <c r="AQ260" s="62">
        <f t="shared" ca="1" si="62"/>
        <v>0.71896904227751313</v>
      </c>
      <c r="AR260" s="62">
        <f t="shared" ca="1" si="63"/>
        <v>0.74432384327336898</v>
      </c>
      <c r="AS260" s="62">
        <f t="shared" ca="1" si="64"/>
        <v>1.001069630131826</v>
      </c>
      <c r="AT260" s="49"/>
    </row>
    <row r="261" spans="1:46" x14ac:dyDescent="0.3">
      <c r="A261" s="5">
        <v>43840</v>
      </c>
      <c r="B261" s="6">
        <v>63.080002</v>
      </c>
      <c r="C261" s="6">
        <v>117.959999</v>
      </c>
      <c r="D261" s="6">
        <v>96.889999000000003</v>
      </c>
      <c r="F261" s="13">
        <v>258</v>
      </c>
      <c r="G261" s="5">
        <v>43840</v>
      </c>
      <c r="H261" s="15">
        <f t="shared" ref="H261:J324" si="71">LN(B261/B260)</f>
        <v>-7.5805636010729763E-3</v>
      </c>
      <c r="I261" s="15">
        <f t="shared" si="71"/>
        <v>2.5434736774679339E-4</v>
      </c>
      <c r="J261" s="15">
        <f t="shared" si="71"/>
        <v>1.7806468382965703E-2</v>
      </c>
      <c r="K261" s="22"/>
      <c r="L261" s="13">
        <v>258</v>
      </c>
      <c r="M261" s="5">
        <v>43840</v>
      </c>
      <c r="N261" s="26">
        <f t="shared" si="68"/>
        <v>1.1156703375367822</v>
      </c>
      <c r="O261" s="26">
        <f t="shared" si="69"/>
        <v>1.1187404852287464</v>
      </c>
      <c r="P261" s="26">
        <f t="shared" si="70"/>
        <v>1.2822922388113351</v>
      </c>
      <c r="Q261" s="22"/>
      <c r="AD261" s="59">
        <v>257</v>
      </c>
      <c r="AE261" s="61">
        <f t="shared" ref="AE261:AG324" ca="1" si="72">_xlfn.NORM.S.INV(RAND())</f>
        <v>-1.8462742936428103</v>
      </c>
      <c r="AF261" s="61">
        <f t="shared" ca="1" si="72"/>
        <v>4.2297789552735256E-2</v>
      </c>
      <c r="AG261" s="61">
        <f t="shared" ca="1" si="72"/>
        <v>1.5019763943418547</v>
      </c>
      <c r="AH261" s="19"/>
      <c r="AI261" s="61">
        <f ca="1"/>
        <v>-4.0035137640581309E-2</v>
      </c>
      <c r="AJ261" s="61">
        <f ca="1"/>
        <v>-2.7979123634604367E-2</v>
      </c>
      <c r="AK261" s="61">
        <f ca="1"/>
        <v>1.1498737465135998E-2</v>
      </c>
      <c r="AL261" s="19"/>
      <c r="AM261" s="61">
        <f t="shared" ca="1" si="65"/>
        <v>-3.9683921318071066E-2</v>
      </c>
      <c r="AN261" s="61">
        <f t="shared" ca="1" si="66"/>
        <v>-2.7730071037687837E-2</v>
      </c>
      <c r="AO261" s="61">
        <f t="shared" ca="1" si="67"/>
        <v>1.1930406068390817E-2</v>
      </c>
      <c r="AP261" s="19"/>
      <c r="AQ261" s="62">
        <f t="shared" ca="1" si="62"/>
        <v>0.69099623756407547</v>
      </c>
      <c r="AR261" s="62">
        <f t="shared" ca="1" si="63"/>
        <v>0.72396723968522581</v>
      </c>
      <c r="AS261" s="62">
        <f t="shared" ca="1" si="64"/>
        <v>1.0130843249072128</v>
      </c>
      <c r="AT261" s="49"/>
    </row>
    <row r="262" spans="1:46" x14ac:dyDescent="0.3">
      <c r="A262" s="5">
        <v>43843</v>
      </c>
      <c r="B262" s="6">
        <v>62.48</v>
      </c>
      <c r="C262" s="6">
        <v>119.849998</v>
      </c>
      <c r="D262" s="6">
        <v>96.25</v>
      </c>
      <c r="F262" s="13">
        <v>259</v>
      </c>
      <c r="G262" s="5">
        <v>43843</v>
      </c>
      <c r="H262" s="15">
        <f t="shared" si="71"/>
        <v>-9.5572882691771222E-3</v>
      </c>
      <c r="I262" s="15">
        <f t="shared" si="71"/>
        <v>1.5895368723241734E-2</v>
      </c>
      <c r="J262" s="15">
        <f t="shared" si="71"/>
        <v>-6.6273309080366197E-3</v>
      </c>
      <c r="K262" s="22"/>
      <c r="L262" s="13">
        <v>259</v>
      </c>
      <c r="M262" s="5">
        <v>43843</v>
      </c>
      <c r="N262" s="26">
        <f t="shared" si="68"/>
        <v>1.1050583462140371</v>
      </c>
      <c r="O262" s="26">
        <f t="shared" si="69"/>
        <v>1.1366653615958771</v>
      </c>
      <c r="P262" s="26">
        <f t="shared" si="70"/>
        <v>1.2738221618269499</v>
      </c>
      <c r="Q262" s="22"/>
      <c r="AD262" s="59">
        <v>258</v>
      </c>
      <c r="AE262" s="61">
        <f t="shared" ca="1" si="72"/>
        <v>-1.2644690048156952</v>
      </c>
      <c r="AF262" s="61">
        <f t="shared" ca="1" si="72"/>
        <v>-0.27256703625070572</v>
      </c>
      <c r="AG262" s="61">
        <f t="shared" ca="1" si="72"/>
        <v>9.4716017731914529E-2</v>
      </c>
      <c r="AH262" s="19"/>
      <c r="AI262" s="61">
        <f ca="1"/>
        <v>-2.741910604743493E-2</v>
      </c>
      <c r="AJ262" s="61">
        <f ca="1"/>
        <v>-2.5716418050582137E-2</v>
      </c>
      <c r="AK262" s="61">
        <f ca="1"/>
        <v>-1.8176142529881121E-2</v>
      </c>
      <c r="AL262" s="19"/>
      <c r="AM262" s="61">
        <f t="shared" ca="1" si="65"/>
        <v>-2.7067889724924684E-2</v>
      </c>
      <c r="AN262" s="61">
        <f t="shared" ca="1" si="66"/>
        <v>-2.5467365453665607E-2</v>
      </c>
      <c r="AO262" s="61">
        <f t="shared" ca="1" si="67"/>
        <v>-1.7744473926626304E-2</v>
      </c>
      <c r="AP262" s="19"/>
      <c r="AQ262" s="62">
        <f t="shared" ref="AQ262:AQ325" ca="1" si="73">AQ261*EXP(AM262)</f>
        <v>0.67254329535477642</v>
      </c>
      <c r="AR262" s="62">
        <f t="shared" ref="AR262:AR325" ca="1" si="74">AR261*EXP(AN262)</f>
        <v>0.70576249874635988</v>
      </c>
      <c r="AS262" s="62">
        <f t="shared" ref="AS262:AS325" ca="1" si="75">AS261*EXP(AO262)</f>
        <v>0.99526623039921835</v>
      </c>
      <c r="AT262" s="49"/>
    </row>
    <row r="263" spans="1:46" x14ac:dyDescent="0.3">
      <c r="A263" s="5">
        <v>43844</v>
      </c>
      <c r="B263" s="6">
        <v>62.610000999999997</v>
      </c>
      <c r="C263" s="6">
        <v>119.489998</v>
      </c>
      <c r="D263" s="6">
        <v>95.400002000000001</v>
      </c>
      <c r="F263" s="13">
        <v>260</v>
      </c>
      <c r="G263" s="5">
        <v>43844</v>
      </c>
      <c r="H263" s="15">
        <f t="shared" si="71"/>
        <v>2.0785201976778488E-3</v>
      </c>
      <c r="I263" s="15">
        <f t="shared" si="71"/>
        <v>-3.0082750690070287E-3</v>
      </c>
      <c r="J263" s="15">
        <f t="shared" si="71"/>
        <v>-8.8703737492924119E-3</v>
      </c>
      <c r="K263" s="22"/>
      <c r="L263" s="13">
        <v>260</v>
      </c>
      <c r="M263" s="5">
        <v>43844</v>
      </c>
      <c r="N263" s="26">
        <f t="shared" si="68"/>
        <v>1.1073576210230347</v>
      </c>
      <c r="O263" s="26">
        <f t="shared" si="69"/>
        <v>1.1332510976242203</v>
      </c>
      <c r="P263" s="26">
        <f t="shared" si="70"/>
        <v>1.2625728497240036</v>
      </c>
      <c r="Q263" s="22"/>
      <c r="AD263" s="59">
        <v>259</v>
      </c>
      <c r="AE263" s="61">
        <f t="shared" ca="1" si="72"/>
        <v>1.2282021815083217</v>
      </c>
      <c r="AF263" s="61">
        <f t="shared" ca="1" si="72"/>
        <v>-0.42336525027755062</v>
      </c>
      <c r="AG263" s="61">
        <f t="shared" ca="1" si="72"/>
        <v>0.1047816715774024</v>
      </c>
      <c r="AH263" s="19"/>
      <c r="AI263" s="61">
        <f ca="1"/>
        <v>2.6632685921293996E-2</v>
      </c>
      <c r="AJ263" s="61">
        <f ca="1"/>
        <v>1.0021961040062755E-2</v>
      </c>
      <c r="AK263" s="61">
        <f ca="1"/>
        <v>1.7850326492298889E-2</v>
      </c>
      <c r="AL263" s="19"/>
      <c r="AM263" s="61">
        <f t="shared" ref="AM263:AM326" ca="1" si="76">AI263+T$3</f>
        <v>2.6983902243804241E-2</v>
      </c>
      <c r="AN263" s="61">
        <f t="shared" ref="AN263:AN326" ca="1" si="77">AJ263+U$3</f>
        <v>1.0271013636979286E-2</v>
      </c>
      <c r="AO263" s="61">
        <f t="shared" ref="AO263:AO326" ca="1" si="78">AK263+V$3</f>
        <v>1.8281995095553706E-2</v>
      </c>
      <c r="AP263" s="19"/>
      <c r="AQ263" s="62">
        <f t="shared" ca="1" si="73"/>
        <v>0.69093820496765856</v>
      </c>
      <c r="AR263" s="62">
        <f t="shared" ca="1" si="74"/>
        <v>0.71304874953167841</v>
      </c>
      <c r="AS263" s="62">
        <f t="shared" ca="1" si="75"/>
        <v>1.0136290255587097</v>
      </c>
      <c r="AT263" s="49"/>
    </row>
    <row r="264" spans="1:46" x14ac:dyDescent="0.3">
      <c r="A264" s="5">
        <v>43845</v>
      </c>
      <c r="B264" s="6">
        <v>63.02</v>
      </c>
      <c r="C264" s="6">
        <v>118.349998</v>
      </c>
      <c r="D264" s="6">
        <v>92.260002</v>
      </c>
      <c r="F264" s="13">
        <v>261</v>
      </c>
      <c r="G264" s="5">
        <v>43845</v>
      </c>
      <c r="H264" s="15">
        <f t="shared" si="71"/>
        <v>6.5271106000203017E-3</v>
      </c>
      <c r="I264" s="15">
        <f t="shared" si="71"/>
        <v>-9.5863500628956058E-3</v>
      </c>
      <c r="J264" s="15">
        <f t="shared" si="71"/>
        <v>-3.3467899611060101E-2</v>
      </c>
      <c r="K264" s="22"/>
      <c r="L264" s="13">
        <v>261</v>
      </c>
      <c r="M264" s="5">
        <v>43845</v>
      </c>
      <c r="N264" s="26">
        <f t="shared" si="68"/>
        <v>1.1146091065686399</v>
      </c>
      <c r="O264" s="26">
        <f t="shared" si="69"/>
        <v>1.1224392617139745</v>
      </c>
      <c r="P264" s="26">
        <f t="shared" si="70"/>
        <v>1.2210164695875192</v>
      </c>
      <c r="Q264" s="22"/>
      <c r="AD264" s="59">
        <v>260</v>
      </c>
      <c r="AE264" s="61">
        <f t="shared" ca="1" si="72"/>
        <v>1.8925263617186181</v>
      </c>
      <c r="AF264" s="61">
        <f t="shared" ca="1" si="72"/>
        <v>-6.7468279561276739E-2</v>
      </c>
      <c r="AG264" s="61">
        <f t="shared" ca="1" si="72"/>
        <v>-5.380189959474261E-3</v>
      </c>
      <c r="AH264" s="19"/>
      <c r="AI264" s="61">
        <f ca="1"/>
        <v>4.1038080658285882E-2</v>
      </c>
      <c r="AJ264" s="61">
        <f ca="1"/>
        <v>2.8155970419395632E-2</v>
      </c>
      <c r="AK264" s="61">
        <f ca="1"/>
        <v>2.7350127488140731E-2</v>
      </c>
      <c r="AL264" s="19"/>
      <c r="AM264" s="61">
        <f t="shared" ca="1" si="76"/>
        <v>4.1389296980796124E-2</v>
      </c>
      <c r="AN264" s="61">
        <f t="shared" ca="1" si="77"/>
        <v>2.8405023016312161E-2</v>
      </c>
      <c r="AO264" s="61">
        <f t="shared" ca="1" si="78"/>
        <v>2.7781796091395548E-2</v>
      </c>
      <c r="AP264" s="19"/>
      <c r="AQ264" s="62">
        <f t="shared" ca="1" si="73"/>
        <v>0.72013571574529867</v>
      </c>
      <c r="AR264" s="62">
        <f t="shared" ca="1" si="74"/>
        <v>0.73359331881666734</v>
      </c>
      <c r="AS264" s="62">
        <f t="shared" ca="1" si="75"/>
        <v>1.042184281992518</v>
      </c>
      <c r="AT264" s="49"/>
    </row>
    <row r="265" spans="1:46" x14ac:dyDescent="0.3">
      <c r="A265" s="5">
        <v>43846</v>
      </c>
      <c r="B265" s="6">
        <v>63.48</v>
      </c>
      <c r="C265" s="6">
        <v>120.30999799999999</v>
      </c>
      <c r="D265" s="6">
        <v>91.980002999999996</v>
      </c>
      <c r="F265" s="13">
        <v>262</v>
      </c>
      <c r="G265" s="5">
        <v>43846</v>
      </c>
      <c r="H265" s="15">
        <f t="shared" si="71"/>
        <v>7.2727593290796569E-3</v>
      </c>
      <c r="I265" s="15">
        <f t="shared" si="71"/>
        <v>1.6425409360746428E-2</v>
      </c>
      <c r="J265" s="15">
        <f t="shared" si="71"/>
        <v>-3.0395050799779124E-3</v>
      </c>
      <c r="K265" s="22"/>
      <c r="L265" s="13">
        <v>262</v>
      </c>
      <c r="M265" s="5">
        <v>43846</v>
      </c>
      <c r="N265" s="26">
        <f t="shared" si="68"/>
        <v>1.1227449394633013</v>
      </c>
      <c r="O265" s="26">
        <f t="shared" si="69"/>
        <v>1.1410280322263271</v>
      </c>
      <c r="P265" s="26">
        <f t="shared" si="70"/>
        <v>1.2173108183512658</v>
      </c>
      <c r="Q265" s="22"/>
      <c r="AD265" s="59">
        <v>261</v>
      </c>
      <c r="AE265" s="61">
        <f t="shared" ca="1" si="72"/>
        <v>0.72438784291834335</v>
      </c>
      <c r="AF265" s="61">
        <f t="shared" ca="1" si="72"/>
        <v>1.7931258093861242</v>
      </c>
      <c r="AG265" s="61">
        <f t="shared" ca="1" si="72"/>
        <v>1.3352117416491254</v>
      </c>
      <c r="AH265" s="19"/>
      <c r="AI265" s="61">
        <f ca="1"/>
        <v>1.5707832306530691E-2</v>
      </c>
      <c r="AJ265" s="61">
        <f ca="1"/>
        <v>5.031377747477056E-2</v>
      </c>
      <c r="AK265" s="61">
        <f ca="1"/>
        <v>5.7539308830668122E-2</v>
      </c>
      <c r="AL265" s="19"/>
      <c r="AM265" s="61">
        <f t="shared" ca="1" si="76"/>
        <v>1.6059048629040937E-2</v>
      </c>
      <c r="AN265" s="61">
        <f t="shared" ca="1" si="77"/>
        <v>5.056283007168709E-2</v>
      </c>
      <c r="AO265" s="61">
        <f t="shared" ca="1" si="78"/>
        <v>5.7970977433922939E-2</v>
      </c>
      <c r="AP265" s="19"/>
      <c r="AQ265" s="62">
        <f t="shared" ca="1" si="73"/>
        <v>0.73179376829724374</v>
      </c>
      <c r="AR265" s="62">
        <f t="shared" ca="1" si="74"/>
        <v>0.77163963235993815</v>
      </c>
      <c r="AS265" s="62">
        <f t="shared" ca="1" si="75"/>
        <v>1.1043862593327223</v>
      </c>
      <c r="AT265" s="49"/>
    </row>
    <row r="266" spans="1:46" x14ac:dyDescent="0.3">
      <c r="A266" s="5">
        <v>43847</v>
      </c>
      <c r="B266" s="6">
        <v>63.34</v>
      </c>
      <c r="C266" s="6">
        <v>122.099998</v>
      </c>
      <c r="D266" s="6">
        <v>91.220000999999996</v>
      </c>
      <c r="F266" s="13">
        <v>263</v>
      </c>
      <c r="G266" s="5">
        <v>43847</v>
      </c>
      <c r="H266" s="15">
        <f t="shared" si="71"/>
        <v>-2.2078545477145334E-3</v>
      </c>
      <c r="I266" s="15">
        <f t="shared" si="71"/>
        <v>1.476863631493157E-2</v>
      </c>
      <c r="J266" s="15">
        <f t="shared" si="71"/>
        <v>-8.2970124815006981E-3</v>
      </c>
      <c r="K266" s="22"/>
      <c r="L266" s="13">
        <v>263</v>
      </c>
      <c r="M266" s="5">
        <v>43847</v>
      </c>
      <c r="N266" s="26">
        <f t="shared" si="68"/>
        <v>1.1202688164084045</v>
      </c>
      <c r="O266" s="26">
        <f t="shared" si="69"/>
        <v>1.1580045114187307</v>
      </c>
      <c r="P266" s="26">
        <f t="shared" si="70"/>
        <v>1.2072525597472885</v>
      </c>
      <c r="Q266" s="22"/>
      <c r="AD266" s="59">
        <v>262</v>
      </c>
      <c r="AE266" s="61">
        <f t="shared" ca="1" si="72"/>
        <v>-0.37415461963107077</v>
      </c>
      <c r="AF266" s="61">
        <f t="shared" ca="1" si="72"/>
        <v>0.80835065268633866</v>
      </c>
      <c r="AG266" s="61">
        <f t="shared" ca="1" si="72"/>
        <v>-1.168545825827132</v>
      </c>
      <c r="AH266" s="19"/>
      <c r="AI266" s="61">
        <f ca="1"/>
        <v>-8.1132753390798402E-3</v>
      </c>
      <c r="AJ266" s="61">
        <f ca="1"/>
        <v>1.1713929483634191E-2</v>
      </c>
      <c r="AK266" s="61">
        <f ca="1"/>
        <v>-2.9773652730551787E-2</v>
      </c>
      <c r="AL266" s="19"/>
      <c r="AM266" s="61">
        <f t="shared" ca="1" si="76"/>
        <v>-7.7620590165695964E-3</v>
      </c>
      <c r="AN266" s="61">
        <f t="shared" ca="1" si="77"/>
        <v>1.1962982080550723E-2</v>
      </c>
      <c r="AO266" s="61">
        <f t="shared" ca="1" si="78"/>
        <v>-2.934198412729697E-2</v>
      </c>
      <c r="AP266" s="19"/>
      <c r="AQ266" s="62">
        <f t="shared" ca="1" si="73"/>
        <v>0.72613553007809128</v>
      </c>
      <c r="AR266" s="62">
        <f t="shared" ca="1" si="74"/>
        <v>0.78092618010480197</v>
      </c>
      <c r="AS266" s="62">
        <f t="shared" ca="1" si="75"/>
        <v>1.0724521711062127</v>
      </c>
      <c r="AT266" s="49"/>
    </row>
    <row r="267" spans="1:46" x14ac:dyDescent="0.3">
      <c r="A267" s="5">
        <v>43851</v>
      </c>
      <c r="B267" s="6">
        <v>62.580002</v>
      </c>
      <c r="C267" s="6">
        <v>119.010002</v>
      </c>
      <c r="D267" s="6">
        <v>90.25</v>
      </c>
      <c r="F267" s="13">
        <v>264</v>
      </c>
      <c r="G267" s="5">
        <v>43851</v>
      </c>
      <c r="H267" s="15">
        <f t="shared" si="71"/>
        <v>-1.2071270910665878E-2</v>
      </c>
      <c r="I267" s="15">
        <f t="shared" si="71"/>
        <v>-2.5632824736983684E-2</v>
      </c>
      <c r="J267" s="15">
        <f t="shared" si="71"/>
        <v>-1.0690585033072186E-2</v>
      </c>
      <c r="K267" s="22"/>
      <c r="L267" s="13">
        <v>264</v>
      </c>
      <c r="M267" s="5">
        <v>43851</v>
      </c>
      <c r="N267" s="26">
        <f t="shared" si="68"/>
        <v>1.1068270409121501</v>
      </c>
      <c r="O267" s="26">
        <f t="shared" si="69"/>
        <v>1.128698783598278</v>
      </c>
      <c r="P267" s="26">
        <f t="shared" si="70"/>
        <v>1.1944150660247503</v>
      </c>
      <c r="Q267" s="22"/>
      <c r="AD267" s="59">
        <v>263</v>
      </c>
      <c r="AE267" s="61">
        <f t="shared" ca="1" si="72"/>
        <v>1.2094572844177696</v>
      </c>
      <c r="AF267" s="61">
        <f t="shared" ca="1" si="72"/>
        <v>1.535303051010396</v>
      </c>
      <c r="AG267" s="61">
        <f t="shared" ca="1" si="72"/>
        <v>-1.5453752694740182</v>
      </c>
      <c r="AH267" s="19"/>
      <c r="AI267" s="61">
        <f ca="1"/>
        <v>2.6226216233846796E-2</v>
      </c>
      <c r="AJ267" s="61">
        <f ca="1"/>
        <v>5.2302208269889884E-2</v>
      </c>
      <c r="AK267" s="61">
        <f ca="1"/>
        <v>-1.0909741856683572E-2</v>
      </c>
      <c r="AL267" s="19"/>
      <c r="AM267" s="61">
        <f t="shared" ca="1" si="76"/>
        <v>2.6577432556357042E-2</v>
      </c>
      <c r="AN267" s="61">
        <f t="shared" ca="1" si="77"/>
        <v>5.2551260866806414E-2</v>
      </c>
      <c r="AO267" s="61">
        <f t="shared" ca="1" si="78"/>
        <v>-1.0478073253428753E-2</v>
      </c>
      <c r="AP267" s="19"/>
      <c r="AQ267" s="62">
        <f t="shared" ca="1" si="73"/>
        <v>0.74569309183520371</v>
      </c>
      <c r="AR267" s="62">
        <f t="shared" ca="1" si="74"/>
        <v>0.82306229181181789</v>
      </c>
      <c r="AS267" s="62">
        <f t="shared" ca="1" si="75"/>
        <v>1.0612736058835854</v>
      </c>
      <c r="AT267" s="49"/>
    </row>
    <row r="268" spans="1:46" x14ac:dyDescent="0.3">
      <c r="A268" s="5">
        <v>43852</v>
      </c>
      <c r="B268" s="6">
        <v>62.32</v>
      </c>
      <c r="C268" s="6">
        <v>117.269997</v>
      </c>
      <c r="D268" s="6">
        <v>89.620002999999997</v>
      </c>
      <c r="F268" s="13">
        <v>265</v>
      </c>
      <c r="G268" s="5">
        <v>43852</v>
      </c>
      <c r="H268" s="15">
        <f t="shared" si="71"/>
        <v>-4.1633686373350543E-3</v>
      </c>
      <c r="I268" s="15">
        <f t="shared" si="71"/>
        <v>-1.472859710867626E-2</v>
      </c>
      <c r="J268" s="15">
        <f t="shared" si="71"/>
        <v>-7.0050543803230562E-3</v>
      </c>
      <c r="K268" s="22"/>
      <c r="L268" s="13">
        <v>265</v>
      </c>
      <c r="M268" s="5">
        <v>43852</v>
      </c>
      <c r="N268" s="26">
        <f t="shared" si="68"/>
        <v>1.1022284912941549</v>
      </c>
      <c r="O268" s="26">
        <f t="shared" si="69"/>
        <v>1.1121964603149381</v>
      </c>
      <c r="P268" s="26">
        <f t="shared" si="70"/>
        <v>1.1860773606690673</v>
      </c>
      <c r="Q268" s="22"/>
      <c r="AD268" s="59">
        <v>264</v>
      </c>
      <c r="AE268" s="61">
        <f t="shared" ca="1" si="72"/>
        <v>1.6713986915683596</v>
      </c>
      <c r="AF268" s="61">
        <f t="shared" ca="1" si="72"/>
        <v>0.42659173924991506</v>
      </c>
      <c r="AG268" s="61">
        <f t="shared" ca="1" si="72"/>
        <v>0.54489424706143108</v>
      </c>
      <c r="AH268" s="19"/>
      <c r="AI268" s="61">
        <f ca="1"/>
        <v>3.6243085276998634E-2</v>
      </c>
      <c r="AJ268" s="61">
        <f ca="1"/>
        <v>3.5433702673581875E-2</v>
      </c>
      <c r="AK268" s="61">
        <f ca="1"/>
        <v>4.1660250046119077E-2</v>
      </c>
      <c r="AL268" s="19"/>
      <c r="AM268" s="61">
        <f t="shared" ca="1" si="76"/>
        <v>3.6594301599508876E-2</v>
      </c>
      <c r="AN268" s="61">
        <f t="shared" ca="1" si="77"/>
        <v>3.5682755270498405E-2</v>
      </c>
      <c r="AO268" s="61">
        <f t="shared" ca="1" si="78"/>
        <v>4.2091918649373894E-2</v>
      </c>
      <c r="AP268" s="19"/>
      <c r="AQ268" s="62">
        <f t="shared" ca="1" si="73"/>
        <v>0.77348665112430137</v>
      </c>
      <c r="AR268" s="62">
        <f t="shared" ca="1" si="74"/>
        <v>0.85296169630294993</v>
      </c>
      <c r="AS268" s="62">
        <f t="shared" ca="1" si="75"/>
        <v>1.1068981239244813</v>
      </c>
      <c r="AT268" s="49"/>
    </row>
    <row r="269" spans="1:46" x14ac:dyDescent="0.3">
      <c r="A269" s="5">
        <v>43853</v>
      </c>
      <c r="B269" s="6">
        <v>62.540000999999997</v>
      </c>
      <c r="C269" s="6">
        <v>118.019997</v>
      </c>
      <c r="D269" s="6">
        <v>89.510002</v>
      </c>
      <c r="F269" s="13">
        <v>266</v>
      </c>
      <c r="G269" s="5">
        <v>43853</v>
      </c>
      <c r="H269" s="15">
        <f t="shared" si="71"/>
        <v>3.5239664569688281E-3</v>
      </c>
      <c r="I269" s="15">
        <f t="shared" si="71"/>
        <v>6.3751333186194198E-3</v>
      </c>
      <c r="J269" s="15">
        <f t="shared" si="71"/>
        <v>-1.2281696059476955E-3</v>
      </c>
      <c r="K269" s="22"/>
      <c r="L269" s="13">
        <v>266</v>
      </c>
      <c r="M269" s="5">
        <v>43853</v>
      </c>
      <c r="N269" s="26">
        <f t="shared" si="68"/>
        <v>1.1061195594955862</v>
      </c>
      <c r="O269" s="26">
        <f t="shared" si="69"/>
        <v>1.1193095102558894</v>
      </c>
      <c r="P269" s="26">
        <f t="shared" si="70"/>
        <v>1.1846215506781776</v>
      </c>
      <c r="Q269" s="22"/>
      <c r="AD269" s="59">
        <v>265</v>
      </c>
      <c r="AE269" s="61">
        <f t="shared" ca="1" si="72"/>
        <v>-0.50378850766413019</v>
      </c>
      <c r="AF269" s="61">
        <f t="shared" ca="1" si="72"/>
        <v>-0.30061794859749563</v>
      </c>
      <c r="AG269" s="61">
        <f t="shared" ca="1" si="72"/>
        <v>7.5152557364820155E-2</v>
      </c>
      <c r="AH269" s="19"/>
      <c r="AI269" s="61">
        <f ca="1"/>
        <v>-1.0924293489610028E-2</v>
      </c>
      <c r="AJ269" s="61">
        <f ca="1"/>
        <v>-1.4419704986397424E-2</v>
      </c>
      <c r="AK269" s="61">
        <f ca="1"/>
        <v>-7.6354352341697403E-3</v>
      </c>
      <c r="AL269" s="19"/>
      <c r="AM269" s="61">
        <f t="shared" ca="1" si="76"/>
        <v>-1.0573077167099784E-2</v>
      </c>
      <c r="AN269" s="61">
        <f t="shared" ca="1" si="77"/>
        <v>-1.4170652389480893E-2</v>
      </c>
      <c r="AO269" s="61">
        <f t="shared" ca="1" si="78"/>
        <v>-7.2037666309149222E-3</v>
      </c>
      <c r="AP269" s="19"/>
      <c r="AQ269" s="62">
        <f t="shared" ca="1" si="73"/>
        <v>0.76535159912513617</v>
      </c>
      <c r="AR269" s="62">
        <f t="shared" ca="1" si="74"/>
        <v>0.84095991001050907</v>
      </c>
      <c r="AS269" s="62">
        <f t="shared" ca="1" si="75"/>
        <v>1.0989529401395306</v>
      </c>
      <c r="AT269" s="49"/>
    </row>
    <row r="270" spans="1:46" x14ac:dyDescent="0.3">
      <c r="A270" s="5">
        <v>43854</v>
      </c>
      <c r="B270" s="6">
        <v>61.950001</v>
      </c>
      <c r="C270" s="6">
        <v>116.230003</v>
      </c>
      <c r="D270" s="6">
        <v>89.260002</v>
      </c>
      <c r="F270" s="13">
        <v>267</v>
      </c>
      <c r="G270" s="5">
        <v>43854</v>
      </c>
      <c r="H270" s="15">
        <f t="shared" si="71"/>
        <v>-9.4787438022602422E-3</v>
      </c>
      <c r="I270" s="15">
        <f t="shared" si="71"/>
        <v>-1.5283063743093531E-2</v>
      </c>
      <c r="J270" s="15">
        <f t="shared" si="71"/>
        <v>-2.796891619142905E-3</v>
      </c>
      <c r="K270" s="22"/>
      <c r="L270" s="13">
        <v>267</v>
      </c>
      <c r="M270" s="5">
        <v>43854</v>
      </c>
      <c r="N270" s="26">
        <f t="shared" si="68"/>
        <v>1.0956844694785202</v>
      </c>
      <c r="O270" s="26">
        <f t="shared" si="69"/>
        <v>1.1023330879678852</v>
      </c>
      <c r="P270" s="26">
        <f t="shared" si="70"/>
        <v>1.1813129216864193</v>
      </c>
      <c r="Q270" s="22"/>
      <c r="AD270" s="59">
        <v>266</v>
      </c>
      <c r="AE270" s="61">
        <f t="shared" ca="1" si="72"/>
        <v>-2.4967408746165702</v>
      </c>
      <c r="AF270" s="61">
        <f t="shared" ca="1" si="72"/>
        <v>0.37140601586584726</v>
      </c>
      <c r="AG270" s="61">
        <f t="shared" ca="1" si="72"/>
        <v>1.5634350534280892</v>
      </c>
      <c r="AH270" s="19"/>
      <c r="AI270" s="61">
        <f ca="1"/>
        <v>-5.4140040248796324E-2</v>
      </c>
      <c r="AJ270" s="61">
        <f ca="1"/>
        <v>-3.1006944160851112E-2</v>
      </c>
      <c r="AK270" s="61">
        <f ca="1"/>
        <v>5.7800383708829714E-3</v>
      </c>
      <c r="AL270" s="19"/>
      <c r="AM270" s="61">
        <f t="shared" ca="1" si="76"/>
        <v>-5.3788823926286082E-2</v>
      </c>
      <c r="AN270" s="61">
        <f t="shared" ca="1" si="77"/>
        <v>-3.0757891563934582E-2</v>
      </c>
      <c r="AO270" s="61">
        <f t="shared" ca="1" si="78"/>
        <v>6.2117069741377895E-3</v>
      </c>
      <c r="AP270" s="19"/>
      <c r="AQ270" s="62">
        <f t="shared" ca="1" si="73"/>
        <v>0.7252718216585895</v>
      </c>
      <c r="AR270" s="62">
        <f t="shared" ca="1" si="74"/>
        <v>0.81548750319685059</v>
      </c>
      <c r="AS270" s="62">
        <f t="shared" ca="1" si="75"/>
        <v>1.1058005594663005</v>
      </c>
      <c r="AT270" s="49"/>
    </row>
    <row r="271" spans="1:46" x14ac:dyDescent="0.3">
      <c r="A271" s="5">
        <v>43857</v>
      </c>
      <c r="B271" s="6">
        <v>61.18</v>
      </c>
      <c r="C271" s="6">
        <v>112.959999</v>
      </c>
      <c r="D271" s="6">
        <v>85.050003000000004</v>
      </c>
      <c r="F271" s="13">
        <v>268</v>
      </c>
      <c r="G271" s="5">
        <v>43857</v>
      </c>
      <c r="H271" s="15">
        <f t="shared" si="71"/>
        <v>-1.2507285494443975E-2</v>
      </c>
      <c r="I271" s="15">
        <f t="shared" si="71"/>
        <v>-2.8537247574267798E-2</v>
      </c>
      <c r="J271" s="15">
        <f t="shared" si="71"/>
        <v>-4.8314127492337856E-2</v>
      </c>
      <c r="K271" s="22"/>
      <c r="L271" s="13">
        <v>268</v>
      </c>
      <c r="M271" s="5">
        <v>43857</v>
      </c>
      <c r="N271" s="26">
        <f t="shared" si="68"/>
        <v>1.0820657749899933</v>
      </c>
      <c r="O271" s="26">
        <f t="shared" si="69"/>
        <v>1.0713201522890714</v>
      </c>
      <c r="P271" s="26">
        <f t="shared" si="70"/>
        <v>1.1255956226997255</v>
      </c>
      <c r="Q271" s="22"/>
      <c r="AD271" s="59">
        <v>267</v>
      </c>
      <c r="AE271" s="61">
        <f t="shared" ca="1" si="72"/>
        <v>-0.46516037374774727</v>
      </c>
      <c r="AF271" s="61">
        <f t="shared" ca="1" si="72"/>
        <v>0.73616214570722449</v>
      </c>
      <c r="AG271" s="61">
        <f t="shared" ca="1" si="72"/>
        <v>-2.2440663413638866</v>
      </c>
      <c r="AH271" s="19"/>
      <c r="AI271" s="61">
        <f ca="1"/>
        <v>-1.0086670031673073E-2</v>
      </c>
      <c r="AJ271" s="61">
        <f ca="1"/>
        <v>8.7203860086249689E-3</v>
      </c>
      <c r="AK271" s="61">
        <f ca="1"/>
        <v>-5.9181484494244832E-2</v>
      </c>
      <c r="AL271" s="19"/>
      <c r="AM271" s="61">
        <f t="shared" ca="1" si="76"/>
        <v>-9.735453709162829E-3</v>
      </c>
      <c r="AN271" s="61">
        <f t="shared" ca="1" si="77"/>
        <v>8.9694386055415003E-3</v>
      </c>
      <c r="AO271" s="61">
        <f t="shared" ca="1" si="78"/>
        <v>-5.8749815890990015E-2</v>
      </c>
      <c r="AP271" s="19"/>
      <c r="AQ271" s="62">
        <f t="shared" ca="1" si="73"/>
        <v>0.71824523043677968</v>
      </c>
      <c r="AR271" s="62">
        <f t="shared" ca="1" si="74"/>
        <v>0.82283486990926835</v>
      </c>
      <c r="AS271" s="62">
        <f t="shared" ca="1" si="75"/>
        <v>1.0427065087155636</v>
      </c>
      <c r="AT271" s="49"/>
    </row>
    <row r="272" spans="1:46" x14ac:dyDescent="0.3">
      <c r="A272" s="5">
        <v>43858</v>
      </c>
      <c r="B272" s="6">
        <v>61.049999</v>
      </c>
      <c r="C272" s="6">
        <v>112.660004</v>
      </c>
      <c r="D272" s="6">
        <v>85.949996999999996</v>
      </c>
      <c r="F272" s="13">
        <v>269</v>
      </c>
      <c r="G272" s="5">
        <v>43858</v>
      </c>
      <c r="H272" s="15">
        <f t="shared" si="71"/>
        <v>-2.1271545460602244E-3</v>
      </c>
      <c r="I272" s="15">
        <f t="shared" si="71"/>
        <v>-2.6592959206139344E-3</v>
      </c>
      <c r="J272" s="15">
        <f t="shared" si="71"/>
        <v>1.0526342809604825E-2</v>
      </c>
      <c r="K272" s="22"/>
      <c r="L272" s="13">
        <v>269</v>
      </c>
      <c r="M272" s="5">
        <v>43858</v>
      </c>
      <c r="N272" s="26">
        <f t="shared" si="68"/>
        <v>1.0797665001809957</v>
      </c>
      <c r="O272" s="26">
        <f t="shared" si="69"/>
        <v>1.0684749797330237</v>
      </c>
      <c r="P272" s="26">
        <f t="shared" si="70"/>
        <v>1.1375066076629594</v>
      </c>
      <c r="Q272" s="22"/>
      <c r="AD272" s="59">
        <v>268</v>
      </c>
      <c r="AE272" s="61">
        <f t="shared" ca="1" si="72"/>
        <v>-0.38161605625567058</v>
      </c>
      <c r="AF272" s="61">
        <f t="shared" ca="1" si="72"/>
        <v>0.48186001380240895</v>
      </c>
      <c r="AG272" s="61">
        <f t="shared" ca="1" si="72"/>
        <v>-0.51820903787706807</v>
      </c>
      <c r="AH272" s="19"/>
      <c r="AI272" s="61">
        <f ca="1"/>
        <v>-8.2750712560196449E-3</v>
      </c>
      <c r="AJ272" s="61">
        <f ca="1"/>
        <v>4.5005342792211267E-3</v>
      </c>
      <c r="AK272" s="61">
        <f ca="1"/>
        <v>-1.5521597703008868E-2</v>
      </c>
      <c r="AL272" s="19"/>
      <c r="AM272" s="61">
        <f t="shared" ca="1" si="76"/>
        <v>-7.923854933509401E-3</v>
      </c>
      <c r="AN272" s="61">
        <f t="shared" ca="1" si="77"/>
        <v>4.7495868761376573E-3</v>
      </c>
      <c r="AO272" s="61">
        <f t="shared" ca="1" si="78"/>
        <v>-1.5089929099754049E-2</v>
      </c>
      <c r="AP272" s="19"/>
      <c r="AQ272" s="62">
        <f t="shared" ca="1" si="73"/>
        <v>0.71257644838809453</v>
      </c>
      <c r="AR272" s="62">
        <f t="shared" ca="1" si="74"/>
        <v>0.82675229131097239</v>
      </c>
      <c r="AS272" s="62">
        <f t="shared" ca="1" si="75"/>
        <v>1.0270902617816298</v>
      </c>
      <c r="AT272" s="49"/>
    </row>
    <row r="273" spans="1:46" x14ac:dyDescent="0.3">
      <c r="A273" s="5">
        <v>43859</v>
      </c>
      <c r="B273" s="6">
        <v>61.049999</v>
      </c>
      <c r="C273" s="6">
        <v>113.19000200000001</v>
      </c>
      <c r="D273" s="6">
        <v>86.459998999999996</v>
      </c>
      <c r="F273" s="13">
        <v>270</v>
      </c>
      <c r="G273" s="5">
        <v>43859</v>
      </c>
      <c r="H273" s="15">
        <f t="shared" si="71"/>
        <v>0</v>
      </c>
      <c r="I273" s="15">
        <f t="shared" si="71"/>
        <v>4.6933713421074144E-3</v>
      </c>
      <c r="J273" s="15">
        <f t="shared" si="71"/>
        <v>5.9161707485999269E-3</v>
      </c>
      <c r="K273" s="22"/>
      <c r="L273" s="13">
        <v>270</v>
      </c>
      <c r="M273" s="5">
        <v>43859</v>
      </c>
      <c r="N273" s="26">
        <f t="shared" si="68"/>
        <v>1.0797665001809957</v>
      </c>
      <c r="O273" s="26">
        <f t="shared" si="69"/>
        <v>1.0735015160564962</v>
      </c>
      <c r="P273" s="26">
        <f t="shared" si="70"/>
        <v>1.1442562372751783</v>
      </c>
      <c r="Q273" s="22"/>
      <c r="AD273" s="59">
        <v>269</v>
      </c>
      <c r="AE273" s="61">
        <f t="shared" ca="1" si="72"/>
        <v>-1.2239495717093125</v>
      </c>
      <c r="AF273" s="61">
        <f t="shared" ca="1" si="72"/>
        <v>-0.62491450173672303</v>
      </c>
      <c r="AG273" s="61">
        <f t="shared" ca="1" si="72"/>
        <v>2.108889111500436</v>
      </c>
      <c r="AH273" s="19"/>
      <c r="AI273" s="61">
        <f ca="1"/>
        <v>-2.6540471119180762E-2</v>
      </c>
      <c r="AJ273" s="61">
        <f ca="1"/>
        <v>-3.2740824906789312E-2</v>
      </c>
      <c r="AK273" s="61">
        <f ca="1"/>
        <v>3.1544185299025931E-2</v>
      </c>
      <c r="AL273" s="19"/>
      <c r="AM273" s="61">
        <f t="shared" ca="1" si="76"/>
        <v>-2.6189254796670516E-2</v>
      </c>
      <c r="AN273" s="61">
        <f t="shared" ca="1" si="77"/>
        <v>-3.2491772309872782E-2</v>
      </c>
      <c r="AO273" s="61">
        <f t="shared" ca="1" si="78"/>
        <v>3.1975853902280749E-2</v>
      </c>
      <c r="AP273" s="19"/>
      <c r="AQ273" s="62">
        <f t="shared" ca="1" si="73"/>
        <v>0.69415685274705086</v>
      </c>
      <c r="AR273" s="62">
        <f t="shared" ca="1" si="74"/>
        <v>0.80032136320758307</v>
      </c>
      <c r="AS273" s="62">
        <f t="shared" ca="1" si="75"/>
        <v>1.0604630684639249</v>
      </c>
      <c r="AT273" s="49"/>
    </row>
    <row r="274" spans="1:46" x14ac:dyDescent="0.3">
      <c r="A274" s="5">
        <v>43860</v>
      </c>
      <c r="B274" s="6">
        <v>60.630001</v>
      </c>
      <c r="C274" s="6">
        <v>116.25</v>
      </c>
      <c r="D274" s="6">
        <v>88.190002000000007</v>
      </c>
      <c r="F274" s="13">
        <v>271</v>
      </c>
      <c r="G274" s="5">
        <v>43860</v>
      </c>
      <c r="H274" s="15">
        <f t="shared" si="71"/>
        <v>-6.9033475995728408E-3</v>
      </c>
      <c r="I274" s="15">
        <f t="shared" si="71"/>
        <v>2.6675204153731608E-2</v>
      </c>
      <c r="J274" s="15">
        <f t="shared" si="71"/>
        <v>1.9811732904953888E-2</v>
      </c>
      <c r="K274" s="22"/>
      <c r="L274" s="13">
        <v>271</v>
      </c>
      <c r="M274" s="5">
        <v>43860</v>
      </c>
      <c r="N274" s="26">
        <f t="shared" si="68"/>
        <v>1.0723381663894913</v>
      </c>
      <c r="O274" s="26">
        <f t="shared" si="69"/>
        <v>1.1025227408474441</v>
      </c>
      <c r="P274" s="26">
        <f t="shared" si="70"/>
        <v>1.167151989601694</v>
      </c>
      <c r="Q274" s="22"/>
      <c r="AD274" s="59">
        <v>270</v>
      </c>
      <c r="AE274" s="61">
        <f t="shared" ca="1" si="72"/>
        <v>0.45851387442101132</v>
      </c>
      <c r="AF274" s="61">
        <f t="shared" ca="1" si="72"/>
        <v>-1.886870119527386</v>
      </c>
      <c r="AG274" s="61">
        <f t="shared" ca="1" si="72"/>
        <v>-1.4364130517213809</v>
      </c>
      <c r="AH274" s="19"/>
      <c r="AI274" s="61">
        <f ca="1"/>
        <v>9.9425454472112026E-3</v>
      </c>
      <c r="AJ274" s="61">
        <f ca="1"/>
        <v>-3.383622804755497E-2</v>
      </c>
      <c r="AK274" s="61">
        <f ca="1"/>
        <v>-4.3314253666211999E-2</v>
      </c>
      <c r="AL274" s="19"/>
      <c r="AM274" s="61">
        <f t="shared" ca="1" si="76"/>
        <v>1.0293761769721447E-2</v>
      </c>
      <c r="AN274" s="61">
        <f t="shared" ca="1" si="77"/>
        <v>-3.358717545063844E-2</v>
      </c>
      <c r="AO274" s="61">
        <f t="shared" ca="1" si="78"/>
        <v>-4.2882585062957182E-2</v>
      </c>
      <c r="AP274" s="19"/>
      <c r="AQ274" s="62">
        <f t="shared" ca="1" si="73"/>
        <v>0.70133924149812199</v>
      </c>
      <c r="AR274" s="62">
        <f t="shared" ca="1" si="74"/>
        <v>0.77388723794390712</v>
      </c>
      <c r="AS274" s="62">
        <f t="shared" ca="1" si="75"/>
        <v>1.0159489326041897</v>
      </c>
      <c r="AT274" s="49"/>
    </row>
    <row r="275" spans="1:46" x14ac:dyDescent="0.3">
      <c r="A275" s="5">
        <v>43861</v>
      </c>
      <c r="B275" s="6">
        <v>58.169998</v>
      </c>
      <c r="C275" s="6">
        <v>113.5</v>
      </c>
      <c r="D275" s="6">
        <v>84.309997999999993</v>
      </c>
      <c r="F275" s="13">
        <v>272</v>
      </c>
      <c r="G275" s="5">
        <v>43861</v>
      </c>
      <c r="H275" s="15">
        <f t="shared" si="71"/>
        <v>-4.142011303643859E-2</v>
      </c>
      <c r="I275" s="15">
        <f t="shared" si="71"/>
        <v>-2.3940207546008351E-2</v>
      </c>
      <c r="J275" s="15">
        <f t="shared" si="71"/>
        <v>-4.4993142365791917E-2</v>
      </c>
      <c r="K275" s="22"/>
      <c r="L275" s="13">
        <v>272</v>
      </c>
      <c r="M275" s="5">
        <v>43861</v>
      </c>
      <c r="N275" s="26">
        <f t="shared" si="68"/>
        <v>1.0288290939365212</v>
      </c>
      <c r="O275" s="26">
        <f t="shared" si="69"/>
        <v>1.0764415577306228</v>
      </c>
      <c r="P275" s="26">
        <f t="shared" si="70"/>
        <v>1.1158020147115408</v>
      </c>
      <c r="Q275" s="22"/>
      <c r="AD275" s="59">
        <v>271</v>
      </c>
      <c r="AE275" s="61">
        <f t="shared" ca="1" si="72"/>
        <v>1.4252131552402694</v>
      </c>
      <c r="AF275" s="61">
        <f t="shared" ca="1" si="72"/>
        <v>0.4264577620600718</v>
      </c>
      <c r="AG275" s="61">
        <f t="shared" ca="1" si="72"/>
        <v>-1.6197980865857315</v>
      </c>
      <c r="AH275" s="19"/>
      <c r="AI275" s="61">
        <f ca="1"/>
        <v>3.0904727988511013E-2</v>
      </c>
      <c r="AJ275" s="61">
        <f ca="1"/>
        <v>3.1577411337910165E-2</v>
      </c>
      <c r="AK275" s="61">
        <f ca="1"/>
        <v>-1.7437539633159988E-2</v>
      </c>
      <c r="AL275" s="19"/>
      <c r="AM275" s="61">
        <f t="shared" ca="1" si="76"/>
        <v>3.1255944311021258E-2</v>
      </c>
      <c r="AN275" s="61">
        <f t="shared" ca="1" si="77"/>
        <v>3.1826463934826695E-2</v>
      </c>
      <c r="AO275" s="61">
        <f t="shared" ca="1" si="78"/>
        <v>-1.7005871029905171E-2</v>
      </c>
      <c r="AP275" s="19"/>
      <c r="AQ275" s="62">
        <f t="shared" ca="1" si="73"/>
        <v>0.72360644016506159</v>
      </c>
      <c r="AR275" s="62">
        <f t="shared" ca="1" si="74"/>
        <v>0.79891346797942253</v>
      </c>
      <c r="AS275" s="62">
        <f t="shared" ca="1" si="75"/>
        <v>0.99881791289433597</v>
      </c>
      <c r="AT275" s="49"/>
    </row>
    <row r="276" spans="1:46" x14ac:dyDescent="0.3">
      <c r="A276" s="5">
        <v>43864</v>
      </c>
      <c r="B276" s="6">
        <v>58.220001000000003</v>
      </c>
      <c r="C276" s="6">
        <v>113.260002</v>
      </c>
      <c r="D276" s="6">
        <v>80.25</v>
      </c>
      <c r="F276" s="13">
        <v>273</v>
      </c>
      <c r="G276" s="5">
        <v>43864</v>
      </c>
      <c r="H276" s="15">
        <f t="shared" si="71"/>
        <v>8.5923195301940332E-4</v>
      </c>
      <c r="I276" s="15">
        <f t="shared" si="71"/>
        <v>-2.1167585773136559E-3</v>
      </c>
      <c r="J276" s="15">
        <f t="shared" si="71"/>
        <v>-4.9353696202480285E-2</v>
      </c>
      <c r="K276" s="22"/>
      <c r="L276" s="13">
        <v>273</v>
      </c>
      <c r="M276" s="5">
        <v>43864</v>
      </c>
      <c r="N276" s="26">
        <f t="shared" si="68"/>
        <v>1.0297134766587643</v>
      </c>
      <c r="O276" s="26">
        <f t="shared" si="69"/>
        <v>1.0741654007176518</v>
      </c>
      <c r="P276" s="26">
        <f t="shared" si="70"/>
        <v>1.0620699063544179</v>
      </c>
      <c r="Q276" s="22"/>
      <c r="AD276" s="59">
        <v>272</v>
      </c>
      <c r="AE276" s="61">
        <f t="shared" ca="1" si="72"/>
        <v>0.12342210981465823</v>
      </c>
      <c r="AF276" s="61">
        <f t="shared" ca="1" si="72"/>
        <v>0.71633134841431756</v>
      </c>
      <c r="AG276" s="61">
        <f t="shared" ca="1" si="72"/>
        <v>-0.84997916909838245</v>
      </c>
      <c r="AH276" s="19"/>
      <c r="AI276" s="61">
        <f ca="1"/>
        <v>2.6763201823990393E-3</v>
      </c>
      <c r="AJ276" s="61">
        <f ca="1"/>
        <v>1.7502035374693786E-2</v>
      </c>
      <c r="AK276" s="61">
        <f ca="1"/>
        <v>-1.4908063734908763E-2</v>
      </c>
      <c r="AL276" s="19"/>
      <c r="AM276" s="61">
        <f t="shared" ca="1" si="76"/>
        <v>3.0275365049092836E-3</v>
      </c>
      <c r="AN276" s="61">
        <f t="shared" ca="1" si="77"/>
        <v>1.7751087971610315E-2</v>
      </c>
      <c r="AO276" s="61">
        <f t="shared" ca="1" si="78"/>
        <v>-1.4476395131653944E-2</v>
      </c>
      <c r="AP276" s="19"/>
      <c r="AQ276" s="62">
        <f t="shared" ca="1" si="73"/>
        <v>0.72580050470720125</v>
      </c>
      <c r="AR276" s="62">
        <f t="shared" ca="1" si="74"/>
        <v>0.81322166858620459</v>
      </c>
      <c r="AS276" s="62">
        <f t="shared" ca="1" si="75"/>
        <v>0.98446278606148829</v>
      </c>
      <c r="AT276" s="49"/>
    </row>
    <row r="277" spans="1:46" x14ac:dyDescent="0.3">
      <c r="A277" s="5">
        <v>43865</v>
      </c>
      <c r="B277" s="6">
        <v>59.380001</v>
      </c>
      <c r="C277" s="6">
        <v>123.68</v>
      </c>
      <c r="D277" s="6">
        <v>81.239998</v>
      </c>
      <c r="F277" s="13">
        <v>274</v>
      </c>
      <c r="G277" s="5">
        <v>43865</v>
      </c>
      <c r="H277" s="15">
        <f t="shared" si="71"/>
        <v>1.9728530682595502E-2</v>
      </c>
      <c r="I277" s="15">
        <f t="shared" si="71"/>
        <v>8.8011506494968292E-2</v>
      </c>
      <c r="J277" s="15">
        <f t="shared" si="71"/>
        <v>1.226095008364375E-2</v>
      </c>
      <c r="K277" s="22"/>
      <c r="L277" s="13">
        <v>274</v>
      </c>
      <c r="M277" s="5">
        <v>43865</v>
      </c>
      <c r="N277" s="26">
        <f t="shared" si="68"/>
        <v>1.0502299248279108</v>
      </c>
      <c r="O277" s="26">
        <f t="shared" si="69"/>
        <v>1.1729893555958013</v>
      </c>
      <c r="P277" s="26">
        <f t="shared" si="70"/>
        <v>1.0751720506927489</v>
      </c>
      <c r="Q277" s="22"/>
      <c r="AD277" s="59">
        <v>273</v>
      </c>
      <c r="AE277" s="61">
        <f t="shared" ca="1" si="72"/>
        <v>-0.15290487283799259</v>
      </c>
      <c r="AF277" s="61">
        <f t="shared" ca="1" si="72"/>
        <v>-1.0630595750634571</v>
      </c>
      <c r="AG277" s="61">
        <f t="shared" ca="1" si="72"/>
        <v>-0.70844965624515177</v>
      </c>
      <c r="AH277" s="19"/>
      <c r="AI277" s="61">
        <f ca="1"/>
        <v>-3.3156328130997232E-3</v>
      </c>
      <c r="AJ277" s="61">
        <f ca="1"/>
        <v>-2.5500000385394628E-2</v>
      </c>
      <c r="AK277" s="61">
        <f ca="1"/>
        <v>-2.7896256642166765E-2</v>
      </c>
      <c r="AL277" s="19"/>
      <c r="AM277" s="61">
        <f t="shared" ca="1" si="76"/>
        <v>-2.9644164905894789E-3</v>
      </c>
      <c r="AN277" s="61">
        <f t="shared" ca="1" si="77"/>
        <v>-2.5250947788478098E-2</v>
      </c>
      <c r="AO277" s="61">
        <f t="shared" ca="1" si="78"/>
        <v>-2.7464588038911948E-2</v>
      </c>
      <c r="AP277" s="19"/>
      <c r="AQ277" s="62">
        <f t="shared" ca="1" si="73"/>
        <v>0.72365211565543031</v>
      </c>
      <c r="AR277" s="62">
        <f t="shared" ca="1" si="74"/>
        <v>0.79294414149981396</v>
      </c>
      <c r="AS277" s="62">
        <f t="shared" ca="1" si="75"/>
        <v>0.95779283719740826</v>
      </c>
      <c r="AT277" s="49"/>
    </row>
    <row r="278" spans="1:46" x14ac:dyDescent="0.3">
      <c r="A278" s="5">
        <v>43866</v>
      </c>
      <c r="B278" s="6">
        <v>61.130001</v>
      </c>
      <c r="C278" s="6">
        <v>122.510002</v>
      </c>
      <c r="D278" s="6">
        <v>83.779999000000004</v>
      </c>
      <c r="F278" s="13">
        <v>275</v>
      </c>
      <c r="G278" s="5">
        <v>43866</v>
      </c>
      <c r="H278" s="15">
        <f t="shared" si="71"/>
        <v>2.9045274222913368E-2</v>
      </c>
      <c r="I278" s="15">
        <f t="shared" si="71"/>
        <v>-9.5049092078348715E-3</v>
      </c>
      <c r="J278" s="15">
        <f t="shared" si="71"/>
        <v>3.0786591489096866E-2</v>
      </c>
      <c r="K278" s="22"/>
      <c r="L278" s="13">
        <v>275</v>
      </c>
      <c r="M278" s="5">
        <v>43866</v>
      </c>
      <c r="N278" s="26">
        <f t="shared" si="68"/>
        <v>1.0811814630141234</v>
      </c>
      <c r="O278" s="26">
        <f t="shared" si="69"/>
        <v>1.1618930166560504</v>
      </c>
      <c r="P278" s="26">
        <f t="shared" si="70"/>
        <v>1.1087877344835293</v>
      </c>
      <c r="Q278" s="22"/>
      <c r="AD278" s="59">
        <v>274</v>
      </c>
      <c r="AE278" s="61">
        <f t="shared" ca="1" si="72"/>
        <v>2.3165014393894965</v>
      </c>
      <c r="AF278" s="61">
        <f t="shared" ca="1" si="72"/>
        <v>-1.6508755032975428</v>
      </c>
      <c r="AG278" s="61">
        <f t="shared" ca="1" si="72"/>
        <v>0.82375360340042836</v>
      </c>
      <c r="AH278" s="19"/>
      <c r="AI278" s="61">
        <f ca="1"/>
        <v>5.0231676999401183E-2</v>
      </c>
      <c r="AJ278" s="61">
        <f ca="1"/>
        <v>3.7520430140518951E-4</v>
      </c>
      <c r="AK278" s="61">
        <f ca="1"/>
        <v>4.3705878227333253E-2</v>
      </c>
      <c r="AL278" s="19"/>
      <c r="AM278" s="61">
        <f t="shared" ca="1" si="76"/>
        <v>5.0582893321911425E-2</v>
      </c>
      <c r="AN278" s="61">
        <f t="shared" ca="1" si="77"/>
        <v>6.2425689832172019E-4</v>
      </c>
      <c r="AO278" s="61">
        <f t="shared" ca="1" si="78"/>
        <v>4.413754683058807E-2</v>
      </c>
      <c r="AP278" s="19"/>
      <c r="AQ278" s="62">
        <f t="shared" ca="1" si="73"/>
        <v>0.76119812103233964</v>
      </c>
      <c r="AR278" s="62">
        <f t="shared" ca="1" si="74"/>
        <v>0.7934392968861318</v>
      </c>
      <c r="AS278" s="62">
        <f t="shared" ca="1" si="75"/>
        <v>1.0010142913842588</v>
      </c>
      <c r="AT278" s="49"/>
    </row>
    <row r="279" spans="1:46" x14ac:dyDescent="0.3">
      <c r="A279" s="5">
        <v>43867</v>
      </c>
      <c r="B279" s="6">
        <v>60.07</v>
      </c>
      <c r="C279" s="6">
        <v>121.41999800000001</v>
      </c>
      <c r="D279" s="6">
        <v>83.269997000000004</v>
      </c>
      <c r="F279" s="13">
        <v>276</v>
      </c>
      <c r="G279" s="5">
        <v>43867</v>
      </c>
      <c r="H279" s="15">
        <f t="shared" si="71"/>
        <v>-1.7492211537143903E-2</v>
      </c>
      <c r="I279" s="15">
        <f t="shared" si="71"/>
        <v>-8.9370824007400287E-3</v>
      </c>
      <c r="J279" s="15">
        <f t="shared" si="71"/>
        <v>-6.1059993625193097E-3</v>
      </c>
      <c r="K279" s="22"/>
      <c r="L279" s="13">
        <v>276</v>
      </c>
      <c r="M279" s="5">
        <v>43867</v>
      </c>
      <c r="N279" s="26">
        <f t="shared" si="68"/>
        <v>1.0624336564833099</v>
      </c>
      <c r="O279" s="26">
        <f t="shared" si="69"/>
        <v>1.151555346138935</v>
      </c>
      <c r="P279" s="26">
        <f t="shared" si="70"/>
        <v>1.1020381048713106</v>
      </c>
      <c r="Q279" s="22"/>
      <c r="AD279" s="59">
        <v>275</v>
      </c>
      <c r="AE279" s="61">
        <f t="shared" ca="1" si="72"/>
        <v>2.2232697223272071</v>
      </c>
      <c r="AF279" s="61">
        <f t="shared" ca="1" si="72"/>
        <v>-0.11094800656624289</v>
      </c>
      <c r="AG279" s="61">
        <f t="shared" ca="1" si="72"/>
        <v>-0.85455515586492825</v>
      </c>
      <c r="AH279" s="19"/>
      <c r="AI279" s="61">
        <f ca="1"/>
        <v>4.8210013892294838E-2</v>
      </c>
      <c r="AJ279" s="61">
        <f ca="1"/>
        <v>3.2387801151797221E-2</v>
      </c>
      <c r="AK279" s="61">
        <f ca="1"/>
        <v>1.0175012468658543E-2</v>
      </c>
      <c r="AL279" s="19"/>
      <c r="AM279" s="61">
        <f t="shared" ca="1" si="76"/>
        <v>4.856123021480508E-2</v>
      </c>
      <c r="AN279" s="61">
        <f t="shared" ca="1" si="77"/>
        <v>3.2636853748713751E-2</v>
      </c>
      <c r="AO279" s="61">
        <f t="shared" ca="1" si="78"/>
        <v>1.0606681071913362E-2</v>
      </c>
      <c r="AP279" s="19"/>
      <c r="AQ279" s="62">
        <f t="shared" ca="1" si="73"/>
        <v>0.79907507072630923</v>
      </c>
      <c r="AR279" s="62">
        <f t="shared" ca="1" si="74"/>
        <v>0.81976186564377429</v>
      </c>
      <c r="AS279" s="62">
        <f t="shared" ca="1" si="75"/>
        <v>1.0116882382268062</v>
      </c>
      <c r="AT279" s="49"/>
    </row>
    <row r="280" spans="1:46" x14ac:dyDescent="0.3">
      <c r="A280" s="5">
        <v>43868</v>
      </c>
      <c r="B280" s="6">
        <v>59.23</v>
      </c>
      <c r="C280" s="6">
        <v>120.55999799999999</v>
      </c>
      <c r="D280" s="6">
        <v>84.040001000000004</v>
      </c>
      <c r="F280" s="13">
        <v>277</v>
      </c>
      <c r="G280" s="5">
        <v>43868</v>
      </c>
      <c r="H280" s="15">
        <f t="shared" si="71"/>
        <v>-1.4082378573196348E-2</v>
      </c>
      <c r="I280" s="15">
        <f t="shared" si="71"/>
        <v>-7.1080555015473482E-3</v>
      </c>
      <c r="J280" s="15">
        <f t="shared" si="71"/>
        <v>9.2045836555486992E-3</v>
      </c>
      <c r="K280" s="22"/>
      <c r="L280" s="13">
        <v>277</v>
      </c>
      <c r="M280" s="5">
        <v>43868</v>
      </c>
      <c r="N280" s="26">
        <f t="shared" si="68"/>
        <v>1.0475769181539278</v>
      </c>
      <c r="O280" s="26">
        <f t="shared" si="69"/>
        <v>1.1433990488733108</v>
      </c>
      <c r="P280" s="26">
        <f t="shared" si="70"/>
        <v>1.1122287351039899</v>
      </c>
      <c r="Q280" s="22"/>
      <c r="AD280" s="59">
        <v>276</v>
      </c>
      <c r="AE280" s="61">
        <f t="shared" ca="1" si="72"/>
        <v>0.52125106214161232</v>
      </c>
      <c r="AF280" s="61">
        <f t="shared" ca="1" si="72"/>
        <v>-0.63980847678313357</v>
      </c>
      <c r="AG280" s="61">
        <f t="shared" ca="1" si="72"/>
        <v>0.38404501633708082</v>
      </c>
      <c r="AH280" s="19"/>
      <c r="AI280" s="61">
        <f ca="1"/>
        <v>1.1302956494597628E-2</v>
      </c>
      <c r="AJ280" s="61">
        <f ca="1"/>
        <v>-5.7480905550972867E-3</v>
      </c>
      <c r="AK280" s="61">
        <f ca="1"/>
        <v>1.3035159113758875E-2</v>
      </c>
      <c r="AL280" s="19"/>
      <c r="AM280" s="61">
        <f t="shared" ca="1" si="76"/>
        <v>1.1654172817107872E-2</v>
      </c>
      <c r="AN280" s="61">
        <f t="shared" ca="1" si="77"/>
        <v>-5.4990379581807561E-3</v>
      </c>
      <c r="AO280" s="61">
        <f t="shared" ca="1" si="78"/>
        <v>1.3466827717013694E-2</v>
      </c>
      <c r="AP280" s="19"/>
      <c r="AQ280" s="62">
        <f t="shared" ca="1" si="73"/>
        <v>0.80844210620070767</v>
      </c>
      <c r="AR280" s="62">
        <f t="shared" ca="1" si="74"/>
        <v>0.81526633590079089</v>
      </c>
      <c r="AS280" s="62">
        <f t="shared" ca="1" si="75"/>
        <v>1.0254046202164893</v>
      </c>
      <c r="AT280" s="49"/>
    </row>
    <row r="281" spans="1:46" x14ac:dyDescent="0.3">
      <c r="A281" s="5">
        <v>43871</v>
      </c>
      <c r="B281" s="6">
        <v>59.380001</v>
      </c>
      <c r="C281" s="6">
        <v>120.650002</v>
      </c>
      <c r="D281" s="6">
        <v>84.370002999999997</v>
      </c>
      <c r="F281" s="13">
        <v>278</v>
      </c>
      <c r="G281" s="5">
        <v>43871</v>
      </c>
      <c r="H281" s="15">
        <f t="shared" si="71"/>
        <v>2.5293158874269408E-3</v>
      </c>
      <c r="I281" s="15">
        <f t="shared" si="71"/>
        <v>7.4627091892624168E-4</v>
      </c>
      <c r="J281" s="15">
        <f t="shared" si="71"/>
        <v>3.919035859301985E-3</v>
      </c>
      <c r="K281" s="22"/>
      <c r="L281" s="13">
        <v>278</v>
      </c>
      <c r="M281" s="5">
        <v>43871</v>
      </c>
      <c r="N281" s="26">
        <f t="shared" si="68"/>
        <v>1.0502299248279108</v>
      </c>
      <c r="O281" s="26">
        <f t="shared" si="69"/>
        <v>1.1442526528024914</v>
      </c>
      <c r="P281" s="26">
        <f t="shared" si="70"/>
        <v>1.1165961518421428</v>
      </c>
      <c r="Q281" s="22"/>
      <c r="AD281" s="59">
        <v>277</v>
      </c>
      <c r="AE281" s="61">
        <f t="shared" ca="1" si="72"/>
        <v>-1.0906432022286057</v>
      </c>
      <c r="AF281" s="61">
        <f t="shared" ca="1" si="72"/>
        <v>0.77600567857904446</v>
      </c>
      <c r="AG281" s="61">
        <f t="shared" ca="1" si="72"/>
        <v>0.40696634416702782</v>
      </c>
      <c r="AH281" s="19"/>
      <c r="AI281" s="61">
        <f ca="1"/>
        <v>-2.3649817834940867E-2</v>
      </c>
      <c r="AJ281" s="61">
        <f ca="1"/>
        <v>-2.0384285238327776E-4</v>
      </c>
      <c r="AK281" s="61">
        <f ca="1"/>
        <v>-2.2339991550576234E-4</v>
      </c>
      <c r="AL281" s="19"/>
      <c r="AM281" s="61">
        <f t="shared" ca="1" si="76"/>
        <v>-2.3298601512430621E-2</v>
      </c>
      <c r="AN281" s="61">
        <f t="shared" ca="1" si="77"/>
        <v>4.5209744533252915E-5</v>
      </c>
      <c r="AO281" s="61">
        <f t="shared" ca="1" si="78"/>
        <v>2.082686877490559E-4</v>
      </c>
      <c r="AP281" s="19"/>
      <c r="AQ281" s="62">
        <f t="shared" ca="1" si="73"/>
        <v>0.78982426275818762</v>
      </c>
      <c r="AR281" s="62">
        <f t="shared" ca="1" si="74"/>
        <v>0.81530319471674617</v>
      </c>
      <c r="AS281" s="62">
        <f t="shared" ca="1" si="75"/>
        <v>1.025618202131594</v>
      </c>
      <c r="AT281" s="49"/>
    </row>
    <row r="282" spans="1:46" x14ac:dyDescent="0.3">
      <c r="A282" s="5">
        <v>43872</v>
      </c>
      <c r="B282" s="6">
        <v>60.02</v>
      </c>
      <c r="C282" s="6">
        <v>120.370003</v>
      </c>
      <c r="D282" s="6">
        <v>84.239998</v>
      </c>
      <c r="F282" s="13">
        <v>279</v>
      </c>
      <c r="G282" s="5">
        <v>43872</v>
      </c>
      <c r="H282" s="15">
        <f t="shared" si="71"/>
        <v>1.0720353835920468E-2</v>
      </c>
      <c r="I282" s="15">
        <f t="shared" si="71"/>
        <v>-2.3234513331192109E-3</v>
      </c>
      <c r="J282" s="15">
        <f t="shared" si="71"/>
        <v>-1.542079651167954E-3</v>
      </c>
      <c r="K282" s="22"/>
      <c r="L282" s="13">
        <v>279</v>
      </c>
      <c r="M282" s="5">
        <v>43872</v>
      </c>
      <c r="N282" s="26">
        <f t="shared" si="68"/>
        <v>1.0615493268208469</v>
      </c>
      <c r="O282" s="26">
        <f t="shared" si="69"/>
        <v>1.141597123641936</v>
      </c>
      <c r="P282" s="26">
        <f t="shared" si="70"/>
        <v>1.1148755985938488</v>
      </c>
      <c r="Q282" s="22"/>
      <c r="AD282" s="59">
        <v>278</v>
      </c>
      <c r="AE282" s="61">
        <f t="shared" ca="1" si="72"/>
        <v>0.22347254645535142</v>
      </c>
      <c r="AF282" s="61">
        <f t="shared" ca="1" si="72"/>
        <v>0.79286619004541703</v>
      </c>
      <c r="AG282" s="61">
        <f t="shared" ca="1" si="72"/>
        <v>0.32033441915849531</v>
      </c>
      <c r="AH282" s="19"/>
      <c r="AI282" s="61">
        <f ca="1"/>
        <v>4.8458423469563182E-3</v>
      </c>
      <c r="AJ282" s="61">
        <f ca="1"/>
        <v>2.0731621283473528E-2</v>
      </c>
      <c r="AK282" s="61">
        <f ca="1"/>
        <v>1.7092611310914649E-2</v>
      </c>
      <c r="AL282" s="19"/>
      <c r="AM282" s="61">
        <f t="shared" ca="1" si="76"/>
        <v>5.1970586694665621E-3</v>
      </c>
      <c r="AN282" s="61">
        <f t="shared" ca="1" si="77"/>
        <v>2.0980673880390058E-2</v>
      </c>
      <c r="AO282" s="61">
        <f t="shared" ca="1" si="78"/>
        <v>1.7524279914169466E-2</v>
      </c>
      <c r="AP282" s="19"/>
      <c r="AQ282" s="62">
        <f t="shared" ca="1" si="73"/>
        <v>0.79393971063937108</v>
      </c>
      <c r="AR282" s="62">
        <f t="shared" ca="1" si="74"/>
        <v>0.83258951033531758</v>
      </c>
      <c r="AS282" s="62">
        <f t="shared" ca="1" si="75"/>
        <v>1.043749830438897</v>
      </c>
      <c r="AT282" s="49"/>
    </row>
    <row r="283" spans="1:46" x14ac:dyDescent="0.3">
      <c r="A283" s="5">
        <v>43873</v>
      </c>
      <c r="B283" s="6">
        <v>61.119999</v>
      </c>
      <c r="C283" s="6">
        <v>123.69000200000001</v>
      </c>
      <c r="D283" s="6">
        <v>85.040001000000004</v>
      </c>
      <c r="F283" s="13">
        <v>280</v>
      </c>
      <c r="G283" s="5">
        <v>43873</v>
      </c>
      <c r="H283" s="15">
        <f t="shared" si="71"/>
        <v>1.8161288484787229E-2</v>
      </c>
      <c r="I283" s="15">
        <f t="shared" si="71"/>
        <v>2.7208094241577534E-2</v>
      </c>
      <c r="J283" s="15">
        <f t="shared" si="71"/>
        <v>9.45190170883526E-3</v>
      </c>
      <c r="K283" s="22"/>
      <c r="L283" s="13">
        <v>280</v>
      </c>
      <c r="M283" s="5">
        <v>43873</v>
      </c>
      <c r="N283" s="26">
        <f t="shared" si="68"/>
        <v>1.0810045617084443</v>
      </c>
      <c r="O283" s="26">
        <f t="shared" si="69"/>
        <v>1.1730842152298138</v>
      </c>
      <c r="P283" s="26">
        <f t="shared" si="70"/>
        <v>1.1254632510710232</v>
      </c>
      <c r="Q283" s="22"/>
      <c r="AD283" s="59">
        <v>279</v>
      </c>
      <c r="AE283" s="61">
        <f t="shared" ca="1" si="72"/>
        <v>-0.85535892511158151</v>
      </c>
      <c r="AF283" s="61">
        <f t="shared" ca="1" si="72"/>
        <v>-1.3187406263654928</v>
      </c>
      <c r="AG283" s="61">
        <f t="shared" ca="1" si="72"/>
        <v>1.2357984367724122</v>
      </c>
      <c r="AH283" s="19"/>
      <c r="AI283" s="61">
        <f ca="1"/>
        <v>-1.854784655609084E-2</v>
      </c>
      <c r="AJ283" s="61">
        <f ca="1"/>
        <v>-4.2052536417615125E-2</v>
      </c>
      <c r="AK283" s="61">
        <f ca="1"/>
        <v>9.7355262758663519E-3</v>
      </c>
      <c r="AL283" s="19"/>
      <c r="AM283" s="61">
        <f t="shared" ca="1" si="76"/>
        <v>-1.8196630233580594E-2</v>
      </c>
      <c r="AN283" s="61">
        <f t="shared" ca="1" si="77"/>
        <v>-4.1803483820698595E-2</v>
      </c>
      <c r="AO283" s="61">
        <f t="shared" ca="1" si="78"/>
        <v>1.0167194879121171E-2</v>
      </c>
      <c r="AP283" s="19"/>
      <c r="AQ283" s="62">
        <f t="shared" ca="1" si="73"/>
        <v>0.77962333324124389</v>
      </c>
      <c r="AR283" s="62">
        <f t="shared" ca="1" si="74"/>
        <v>0.79850182419232907</v>
      </c>
      <c r="AS283" s="62">
        <f t="shared" ca="1" si="75"/>
        <v>1.0544159688425161</v>
      </c>
      <c r="AT283" s="49"/>
    </row>
    <row r="284" spans="1:46" x14ac:dyDescent="0.3">
      <c r="A284" s="5">
        <v>43874</v>
      </c>
      <c r="B284" s="6">
        <v>60.400002000000001</v>
      </c>
      <c r="C284" s="6">
        <v>122.980003</v>
      </c>
      <c r="D284" s="6">
        <v>83.699996999999996</v>
      </c>
      <c r="F284" s="13">
        <v>281</v>
      </c>
      <c r="G284" s="5">
        <v>43874</v>
      </c>
      <c r="H284" s="15">
        <f t="shared" si="71"/>
        <v>-1.1849990443656826E-2</v>
      </c>
      <c r="I284" s="15">
        <f t="shared" si="71"/>
        <v>-5.7566866368403578E-3</v>
      </c>
      <c r="J284" s="15">
        <f t="shared" si="71"/>
        <v>-1.5882804139729596E-2</v>
      </c>
      <c r="K284" s="22"/>
      <c r="L284" s="13">
        <v>281</v>
      </c>
      <c r="M284" s="5">
        <v>43874</v>
      </c>
      <c r="N284" s="26">
        <f t="shared" si="68"/>
        <v>1.0682702676287537</v>
      </c>
      <c r="O284" s="26">
        <f t="shared" si="69"/>
        <v>1.1663505374364465</v>
      </c>
      <c r="P284" s="26">
        <f t="shared" si="70"/>
        <v>1.1077289467371347</v>
      </c>
      <c r="Q284" s="22"/>
      <c r="AD284" s="59">
        <v>280</v>
      </c>
      <c r="AE284" s="61">
        <f t="shared" ca="1" si="72"/>
        <v>-1.5352544323570125</v>
      </c>
      <c r="AF284" s="61">
        <f t="shared" ca="1" si="72"/>
        <v>-0.23676349013602216</v>
      </c>
      <c r="AG284" s="61">
        <f t="shared" ca="1" si="72"/>
        <v>-0.44671944780700484</v>
      </c>
      <c r="AH284" s="19"/>
      <c r="AI284" s="61">
        <f ca="1"/>
        <v>-3.3290894383549645E-2</v>
      </c>
      <c r="AJ284" s="61">
        <f ca="1"/>
        <v>-2.9176616556780173E-2</v>
      </c>
      <c r="AK284" s="61">
        <f ca="1"/>
        <v>-3.5796552343298399E-2</v>
      </c>
      <c r="AL284" s="19"/>
      <c r="AM284" s="61">
        <f t="shared" ca="1" si="76"/>
        <v>-3.2939678061039403E-2</v>
      </c>
      <c r="AN284" s="61">
        <f t="shared" ca="1" si="77"/>
        <v>-2.8927563959863643E-2</v>
      </c>
      <c r="AO284" s="61">
        <f t="shared" ca="1" si="78"/>
        <v>-3.5364883740043582E-2</v>
      </c>
      <c r="AP284" s="19"/>
      <c r="AQ284" s="62">
        <f t="shared" ca="1" si="73"/>
        <v>0.75436114002044252</v>
      </c>
      <c r="AR284" s="62">
        <f t="shared" ca="1" si="74"/>
        <v>0.77573400799170356</v>
      </c>
      <c r="AS284" s="62">
        <f t="shared" ca="1" si="75"/>
        <v>1.0177783319766778</v>
      </c>
      <c r="AT284" s="49"/>
    </row>
    <row r="285" spans="1:46" x14ac:dyDescent="0.3">
      <c r="A285" s="5">
        <v>43875</v>
      </c>
      <c r="B285" s="6">
        <v>60.200001</v>
      </c>
      <c r="C285" s="6">
        <v>121.839996</v>
      </c>
      <c r="D285" s="6">
        <v>82.639999000000003</v>
      </c>
      <c r="F285" s="13">
        <v>282</v>
      </c>
      <c r="G285" s="5">
        <v>43875</v>
      </c>
      <c r="H285" s="15">
        <f t="shared" si="71"/>
        <v>-3.3167691272805735E-3</v>
      </c>
      <c r="I285" s="15">
        <f t="shared" si="71"/>
        <v>-9.3130891625688109E-3</v>
      </c>
      <c r="J285" s="15">
        <f t="shared" si="71"/>
        <v>-1.2745128942429631E-2</v>
      </c>
      <c r="K285" s="22"/>
      <c r="L285" s="13">
        <v>282</v>
      </c>
      <c r="M285" s="5">
        <v>43875</v>
      </c>
      <c r="N285" s="26">
        <f t="shared" si="68"/>
        <v>1.0647329312923077</v>
      </c>
      <c r="O285" s="26">
        <f t="shared" si="69"/>
        <v>1.1555386351377344</v>
      </c>
      <c r="P285" s="26">
        <f t="shared" si="70"/>
        <v>1.0937003862811114</v>
      </c>
      <c r="Q285" s="22"/>
      <c r="AD285" s="59">
        <v>281</v>
      </c>
      <c r="AE285" s="61">
        <f t="shared" ca="1" si="72"/>
        <v>0.60826924795009274</v>
      </c>
      <c r="AF285" s="61">
        <f t="shared" ca="1" si="72"/>
        <v>1.0230824211661547</v>
      </c>
      <c r="AG285" s="61">
        <f t="shared" ca="1" si="72"/>
        <v>3.0306964158182933E-3</v>
      </c>
      <c r="AH285" s="19"/>
      <c r="AI285" s="61">
        <f ca="1"/>
        <v>1.3189883620253738E-2</v>
      </c>
      <c r="AJ285" s="61">
        <f ca="1"/>
        <v>3.1758573339236519E-2</v>
      </c>
      <c r="AK285" s="61">
        <f ca="1"/>
        <v>1.6270174318186132E-2</v>
      </c>
      <c r="AL285" s="19"/>
      <c r="AM285" s="61">
        <f t="shared" ca="1" si="76"/>
        <v>1.3541099942763982E-2</v>
      </c>
      <c r="AN285" s="61">
        <f t="shared" ca="1" si="77"/>
        <v>3.2007625936153049E-2</v>
      </c>
      <c r="AO285" s="61">
        <f t="shared" ca="1" si="78"/>
        <v>1.6701842921440949E-2</v>
      </c>
      <c r="AP285" s="19"/>
      <c r="AQ285" s="62">
        <f t="shared" ca="1" si="73"/>
        <v>0.76464549319184161</v>
      </c>
      <c r="AR285" s="62">
        <f t="shared" ca="1" si="74"/>
        <v>0.80096505079698277</v>
      </c>
      <c r="AS285" s="62">
        <f t="shared" ca="1" si="75"/>
        <v>1.0349198548480592</v>
      </c>
      <c r="AT285" s="49"/>
    </row>
    <row r="286" spans="1:46" x14ac:dyDescent="0.3">
      <c r="A286" s="5">
        <v>43879</v>
      </c>
      <c r="B286" s="6">
        <v>59.380001</v>
      </c>
      <c r="C286" s="6">
        <v>120.610001</v>
      </c>
      <c r="D286" s="6">
        <v>82.519997000000004</v>
      </c>
      <c r="F286" s="13">
        <v>283</v>
      </c>
      <c r="G286" s="5">
        <v>43879</v>
      </c>
      <c r="H286" s="15">
        <f t="shared" si="71"/>
        <v>-1.3714882749770193E-2</v>
      </c>
      <c r="I286" s="15">
        <f t="shared" si="71"/>
        <v>-1.0146467870626938E-2</v>
      </c>
      <c r="J286" s="15">
        <f t="shared" si="71"/>
        <v>-1.4531608624780666E-3</v>
      </c>
      <c r="K286" s="22"/>
      <c r="L286" s="13">
        <v>283</v>
      </c>
      <c r="M286" s="5">
        <v>43879</v>
      </c>
      <c r="N286" s="26">
        <f t="shared" si="68"/>
        <v>1.0502299248279108</v>
      </c>
      <c r="O286" s="26">
        <f t="shared" si="69"/>
        <v>1.1438732806549072</v>
      </c>
      <c r="P286" s="26">
        <f t="shared" si="70"/>
        <v>1.0921122178960356</v>
      </c>
      <c r="Q286" s="22"/>
      <c r="AD286" s="59">
        <v>282</v>
      </c>
      <c r="AE286" s="61">
        <f t="shared" ca="1" si="72"/>
        <v>-0.17091091500232747</v>
      </c>
      <c r="AF286" s="61">
        <f t="shared" ca="1" si="72"/>
        <v>0.75171327253590869</v>
      </c>
      <c r="AG286" s="61">
        <f t="shared" ca="1" si="72"/>
        <v>-0.92107700660025893</v>
      </c>
      <c r="AH286" s="19"/>
      <c r="AI286" s="61">
        <f ca="1"/>
        <v>-3.7060809598856103E-3</v>
      </c>
      <c r="AJ286" s="61">
        <f ca="1"/>
        <v>1.3664097535714143E-2</v>
      </c>
      <c r="AK286" s="61">
        <f ca="1"/>
        <v>-2.0829342494769296E-2</v>
      </c>
      <c r="AL286" s="19"/>
      <c r="AM286" s="61">
        <f t="shared" ca="1" si="76"/>
        <v>-3.354864637375366E-3</v>
      </c>
      <c r="AN286" s="61">
        <f t="shared" ca="1" si="77"/>
        <v>1.3913150132630675E-2</v>
      </c>
      <c r="AO286" s="61">
        <f t="shared" ca="1" si="78"/>
        <v>-2.0397673891514478E-2</v>
      </c>
      <c r="AP286" s="19"/>
      <c r="AQ286" s="62">
        <f t="shared" ca="1" si="73"/>
        <v>0.76208450934568894</v>
      </c>
      <c r="AR286" s="62">
        <f t="shared" ca="1" si="74"/>
        <v>0.81218688229059477</v>
      </c>
      <c r="AS286" s="62">
        <f t="shared" ca="1" si="75"/>
        <v>1.0140237377432306</v>
      </c>
      <c r="AT286" s="49"/>
    </row>
    <row r="287" spans="1:46" x14ac:dyDescent="0.3">
      <c r="A287" s="5">
        <v>43880</v>
      </c>
      <c r="B287" s="6">
        <v>59.5</v>
      </c>
      <c r="C287" s="6">
        <v>119.800003</v>
      </c>
      <c r="D287" s="6">
        <v>83.230002999999996</v>
      </c>
      <c r="F287" s="13">
        <v>284</v>
      </c>
      <c r="G287" s="5">
        <v>43880</v>
      </c>
      <c r="H287" s="15">
        <f t="shared" si="71"/>
        <v>2.0188263752834003E-3</v>
      </c>
      <c r="I287" s="15">
        <f t="shared" si="71"/>
        <v>-6.7384971632530877E-3</v>
      </c>
      <c r="J287" s="15">
        <f t="shared" si="71"/>
        <v>8.5672439544710634E-3</v>
      </c>
      <c r="K287" s="22"/>
      <c r="L287" s="13">
        <v>284</v>
      </c>
      <c r="M287" s="5">
        <v>43880</v>
      </c>
      <c r="N287" s="26">
        <f t="shared" si="68"/>
        <v>1.0523522983312292</v>
      </c>
      <c r="O287" s="26">
        <f t="shared" si="69"/>
        <v>1.1361912056868133</v>
      </c>
      <c r="P287" s="26">
        <f t="shared" si="70"/>
        <v>1.1015088036397249</v>
      </c>
      <c r="Q287" s="22"/>
      <c r="AD287" s="59">
        <v>283</v>
      </c>
      <c r="AE287" s="61">
        <f t="shared" ca="1" si="72"/>
        <v>-1.2299674321873137</v>
      </c>
      <c r="AF287" s="61">
        <f t="shared" ca="1" si="72"/>
        <v>0.68695997310296941</v>
      </c>
      <c r="AG287" s="61">
        <f t="shared" ca="1" si="72"/>
        <v>0.23891119809029021</v>
      </c>
      <c r="AH287" s="19"/>
      <c r="AI287" s="61">
        <f ca="1"/>
        <v>-2.6670964119797282E-2</v>
      </c>
      <c r="AJ287" s="61">
        <f ca="1"/>
        <v>-4.3200918023741409E-3</v>
      </c>
      <c r="AK287" s="61">
        <f ca="1"/>
        <v>-7.2146576704625728E-3</v>
      </c>
      <c r="AL287" s="19"/>
      <c r="AM287" s="61">
        <f t="shared" ca="1" si="76"/>
        <v>-2.6319747797287036E-2</v>
      </c>
      <c r="AN287" s="61">
        <f t="shared" ca="1" si="77"/>
        <v>-4.0710392054576104E-3</v>
      </c>
      <c r="AO287" s="61">
        <f t="shared" ca="1" si="78"/>
        <v>-6.7829890672077547E-3</v>
      </c>
      <c r="AP287" s="19"/>
      <c r="AQ287" s="62">
        <f t="shared" ca="1" si="73"/>
        <v>0.74228829570594501</v>
      </c>
      <c r="AR287" s="62">
        <f t="shared" ca="1" si="74"/>
        <v>0.80888715885964946</v>
      </c>
      <c r="AS287" s="62">
        <f t="shared" ca="1" si="75"/>
        <v>1.0071689002421071</v>
      </c>
      <c r="AT287" s="49"/>
    </row>
    <row r="288" spans="1:46" x14ac:dyDescent="0.3">
      <c r="A288" s="5">
        <v>43881</v>
      </c>
      <c r="B288" s="6">
        <v>59.259998000000003</v>
      </c>
      <c r="C288" s="6">
        <v>121.860001</v>
      </c>
      <c r="D288" s="6">
        <v>84.169998000000007</v>
      </c>
      <c r="F288" s="13">
        <v>285</v>
      </c>
      <c r="G288" s="5">
        <v>43881</v>
      </c>
      <c r="H288" s="15">
        <f t="shared" si="71"/>
        <v>-4.0418041557435391E-3</v>
      </c>
      <c r="I288" s="15">
        <f t="shared" si="71"/>
        <v>1.704914230340146E-2</v>
      </c>
      <c r="J288" s="15">
        <f t="shared" si="71"/>
        <v>1.1230643659350902E-2</v>
      </c>
      <c r="K288" s="22"/>
      <c r="L288" s="13">
        <v>285</v>
      </c>
      <c r="M288" s="5">
        <v>43881</v>
      </c>
      <c r="N288" s="26">
        <f t="shared" si="68"/>
        <v>1.0481074805782193</v>
      </c>
      <c r="O288" s="26">
        <f t="shared" si="69"/>
        <v>1.1557283638898261</v>
      </c>
      <c r="P288" s="26">
        <f t="shared" si="70"/>
        <v>1.1139491824761565</v>
      </c>
      <c r="Q288" s="22"/>
      <c r="AD288" s="59">
        <v>284</v>
      </c>
      <c r="AE288" s="61">
        <f t="shared" ca="1" si="72"/>
        <v>0.51551034430005904</v>
      </c>
      <c r="AF288" s="61">
        <f t="shared" ca="1" si="72"/>
        <v>-0.51241156245440511</v>
      </c>
      <c r="AG288" s="61">
        <f t="shared" ca="1" si="72"/>
        <v>-2.2913559293532297</v>
      </c>
      <c r="AH288" s="19"/>
      <c r="AI288" s="61">
        <f ca="1"/>
        <v>1.1178473133845821E-2</v>
      </c>
      <c r="AJ288" s="61">
        <f ca="1"/>
        <v>-3.0688446370508611E-3</v>
      </c>
      <c r="AK288" s="61">
        <f ca="1"/>
        <v>-5.4696127502928529E-2</v>
      </c>
      <c r="AL288" s="19"/>
      <c r="AM288" s="61">
        <f t="shared" ca="1" si="76"/>
        <v>1.1529689456356065E-2</v>
      </c>
      <c r="AN288" s="61">
        <f t="shared" ca="1" si="77"/>
        <v>-2.8197920401343305E-3</v>
      </c>
      <c r="AO288" s="61">
        <f t="shared" ca="1" si="78"/>
        <v>-5.4264458899673712E-2</v>
      </c>
      <c r="AP288" s="19"/>
      <c r="AQ288" s="62">
        <f t="shared" ca="1" si="73"/>
        <v>0.75089617698526057</v>
      </c>
      <c r="AR288" s="62">
        <f t="shared" ca="1" si="74"/>
        <v>0.80660947808997852</v>
      </c>
      <c r="AS288" s="62">
        <f t="shared" ca="1" si="75"/>
        <v>0.95397183305556454</v>
      </c>
      <c r="AT288" s="49"/>
    </row>
    <row r="289" spans="1:46" x14ac:dyDescent="0.3">
      <c r="A289" s="5">
        <v>43882</v>
      </c>
      <c r="B289" s="6">
        <v>59.209999000000003</v>
      </c>
      <c r="C289" s="6">
        <v>117.459999</v>
      </c>
      <c r="D289" s="6">
        <v>82.900002000000001</v>
      </c>
      <c r="F289" s="13">
        <v>286</v>
      </c>
      <c r="G289" s="5">
        <v>43882</v>
      </c>
      <c r="H289" s="15">
        <f t="shared" si="71"/>
        <v>-8.4407874119493524E-4</v>
      </c>
      <c r="I289" s="15">
        <f t="shared" si="71"/>
        <v>-3.6775011445649639E-2</v>
      </c>
      <c r="J289" s="15">
        <f t="shared" si="71"/>
        <v>-1.5203453195348013E-2</v>
      </c>
      <c r="K289" s="22"/>
      <c r="L289" s="13">
        <v>286</v>
      </c>
      <c r="M289" s="5">
        <v>43882</v>
      </c>
      <c r="N289" s="26">
        <f t="shared" si="68"/>
        <v>1.0472231686023494</v>
      </c>
      <c r="O289" s="26">
        <f t="shared" si="69"/>
        <v>1.113998451934779</v>
      </c>
      <c r="P289" s="26">
        <f t="shared" si="70"/>
        <v>1.097141400136088</v>
      </c>
      <c r="Q289" s="22"/>
      <c r="AD289" s="59">
        <v>285</v>
      </c>
      <c r="AE289" s="61">
        <f t="shared" ca="1" si="72"/>
        <v>0.86856063832170649</v>
      </c>
      <c r="AF289" s="61">
        <f t="shared" ca="1" si="72"/>
        <v>-0.5523136384202556</v>
      </c>
      <c r="AG289" s="61">
        <f t="shared" ca="1" si="72"/>
        <v>-0.71081955123739238</v>
      </c>
      <c r="AH289" s="19"/>
      <c r="AI289" s="61">
        <f ca="1"/>
        <v>1.8834116265461057E-2</v>
      </c>
      <c r="AJ289" s="61">
        <f ca="1"/>
        <v>1.5899056410412955E-3</v>
      </c>
      <c r="AK289" s="61">
        <f ca="1"/>
        <v>-9.2673543640529737E-3</v>
      </c>
      <c r="AL289" s="19"/>
      <c r="AM289" s="61">
        <f t="shared" ca="1" si="76"/>
        <v>1.9185332587971303E-2</v>
      </c>
      <c r="AN289" s="61">
        <f t="shared" ca="1" si="77"/>
        <v>1.8389582379578261E-3</v>
      </c>
      <c r="AO289" s="61">
        <f t="shared" ca="1" si="78"/>
        <v>-8.8356857607981548E-3</v>
      </c>
      <c r="AP289" s="19"/>
      <c r="AQ289" s="62">
        <f t="shared" ca="1" si="73"/>
        <v>0.76544145170058731</v>
      </c>
      <c r="AR289" s="62">
        <f t="shared" ca="1" si="74"/>
        <v>0.80809416395377187</v>
      </c>
      <c r="AS289" s="62">
        <f t="shared" ca="1" si="75"/>
        <v>0.94557996625857155</v>
      </c>
      <c r="AT289" s="49"/>
    </row>
    <row r="290" spans="1:46" x14ac:dyDescent="0.3">
      <c r="A290" s="5">
        <v>43885</v>
      </c>
      <c r="B290" s="6">
        <v>56.669998</v>
      </c>
      <c r="C290" s="6">
        <v>109.610001</v>
      </c>
      <c r="D290" s="6">
        <v>78.099997999999999</v>
      </c>
      <c r="F290" s="13">
        <v>287</v>
      </c>
      <c r="G290" s="5">
        <v>43885</v>
      </c>
      <c r="H290" s="15">
        <f t="shared" si="71"/>
        <v>-4.3845494765160031E-2</v>
      </c>
      <c r="I290" s="15">
        <f t="shared" si="71"/>
        <v>-6.9169221229949659E-2</v>
      </c>
      <c r="J290" s="15">
        <f t="shared" si="71"/>
        <v>-5.9645055029256051E-2</v>
      </c>
      <c r="K290" s="22"/>
      <c r="L290" s="13">
        <v>287</v>
      </c>
      <c r="M290" s="5">
        <v>43885</v>
      </c>
      <c r="N290" s="26">
        <f t="shared" si="68"/>
        <v>1.0022992040626246</v>
      </c>
      <c r="O290" s="26">
        <f t="shared" si="69"/>
        <v>1.0395485481876223</v>
      </c>
      <c r="P290" s="26">
        <f t="shared" si="70"/>
        <v>1.0336156705562645</v>
      </c>
      <c r="Q290" s="22"/>
      <c r="AD290" s="59">
        <v>286</v>
      </c>
      <c r="AE290" s="61">
        <f t="shared" ca="1" si="72"/>
        <v>-1.4845750898940102</v>
      </c>
      <c r="AF290" s="61">
        <f t="shared" ca="1" si="72"/>
        <v>0.59509470558438915</v>
      </c>
      <c r="AG290" s="61">
        <f t="shared" ca="1" si="72"/>
        <v>-1.167066247481769</v>
      </c>
      <c r="AH290" s="19"/>
      <c r="AI290" s="61">
        <f ca="1"/>
        <v>-3.2191949087053529E-2</v>
      </c>
      <c r="AJ290" s="61">
        <f ca="1"/>
        <v>-1.0302081970028258E-2</v>
      </c>
      <c r="AK290" s="61">
        <f ca="1"/>
        <v>-4.7644661421941459E-2</v>
      </c>
      <c r="AL290" s="19"/>
      <c r="AM290" s="61">
        <f t="shared" ca="1" si="76"/>
        <v>-3.1840732764543286E-2</v>
      </c>
      <c r="AN290" s="61">
        <f t="shared" ca="1" si="77"/>
        <v>-1.0053029373111727E-2</v>
      </c>
      <c r="AO290" s="61">
        <f t="shared" ca="1" si="78"/>
        <v>-4.7212992818686642E-2</v>
      </c>
      <c r="AP290" s="19"/>
      <c r="AQ290" s="62">
        <f t="shared" ca="1" si="73"/>
        <v>0.74145316396054906</v>
      </c>
      <c r="AR290" s="62">
        <f t="shared" ca="1" si="74"/>
        <v>0.80001106746583339</v>
      </c>
      <c r="AS290" s="62">
        <f t="shared" ca="1" si="75"/>
        <v>0.90197379481939388</v>
      </c>
      <c r="AT290" s="49"/>
    </row>
    <row r="291" spans="1:46" x14ac:dyDescent="0.3">
      <c r="A291" s="5">
        <v>43886</v>
      </c>
      <c r="B291" s="6">
        <v>53.459999000000003</v>
      </c>
      <c r="C291" s="6">
        <v>102.760002</v>
      </c>
      <c r="D291" s="6">
        <v>74.440002000000007</v>
      </c>
      <c r="F291" s="13">
        <v>288</v>
      </c>
      <c r="G291" s="5">
        <v>43886</v>
      </c>
      <c r="H291" s="15">
        <f t="shared" si="71"/>
        <v>-5.8311242884287032E-2</v>
      </c>
      <c r="I291" s="15">
        <f t="shared" si="71"/>
        <v>-6.4532428646378509E-2</v>
      </c>
      <c r="J291" s="15">
        <f t="shared" si="71"/>
        <v>-4.7996572596119912E-2</v>
      </c>
      <c r="K291" s="22"/>
      <c r="L291" s="13">
        <v>288</v>
      </c>
      <c r="M291" s="5">
        <v>43886</v>
      </c>
      <c r="N291" s="26">
        <f t="shared" si="68"/>
        <v>0.94552525741907945</v>
      </c>
      <c r="O291" s="26">
        <f t="shared" si="69"/>
        <v>0.97458270154433413</v>
      </c>
      <c r="P291" s="26">
        <f t="shared" si="70"/>
        <v>0.9851773950549868</v>
      </c>
      <c r="Q291" s="22"/>
      <c r="AD291" s="59">
        <v>287</v>
      </c>
      <c r="AE291" s="61">
        <f t="shared" ca="1" si="72"/>
        <v>1.2291809755441132</v>
      </c>
      <c r="AF291" s="61">
        <f t="shared" ca="1" si="72"/>
        <v>-2.1527594597651287</v>
      </c>
      <c r="AG291" s="61">
        <f t="shared" ca="1" si="72"/>
        <v>-0.47037653329166396</v>
      </c>
      <c r="AH291" s="19"/>
      <c r="AI291" s="61">
        <f ca="1"/>
        <v>2.6653910369946951E-2</v>
      </c>
      <c r="AJ291" s="61">
        <f ca="1"/>
        <v>-2.7552861540859758E-2</v>
      </c>
      <c r="AK291" s="61">
        <f ca="1"/>
        <v>-9.0499294050447494E-3</v>
      </c>
      <c r="AL291" s="19"/>
      <c r="AM291" s="61">
        <f t="shared" ca="1" si="76"/>
        <v>2.7005126692457197E-2</v>
      </c>
      <c r="AN291" s="61">
        <f t="shared" ca="1" si="77"/>
        <v>-2.7303808943943228E-2</v>
      </c>
      <c r="AO291" s="61">
        <f t="shared" ca="1" si="78"/>
        <v>-8.6182608017899304E-3</v>
      </c>
      <c r="AP291" s="19"/>
      <c r="AQ291" s="62">
        <f t="shared" ca="1" si="73"/>
        <v>0.76174901315309596</v>
      </c>
      <c r="AR291" s="62">
        <f t="shared" ca="1" si="74"/>
        <v>0.77846322584154448</v>
      </c>
      <c r="AS291" s="62">
        <f t="shared" ca="1" si="75"/>
        <v>0.89423375018810258</v>
      </c>
      <c r="AT291" s="49"/>
    </row>
    <row r="292" spans="1:46" x14ac:dyDescent="0.3">
      <c r="A292" s="5">
        <v>43887</v>
      </c>
      <c r="B292" s="6">
        <v>52.259998000000003</v>
      </c>
      <c r="C292" s="6">
        <v>101.58000199999999</v>
      </c>
      <c r="D292" s="6">
        <v>71.720000999999996</v>
      </c>
      <c r="F292" s="13">
        <v>289</v>
      </c>
      <c r="G292" s="5">
        <v>43887</v>
      </c>
      <c r="H292" s="15">
        <f t="shared" si="71"/>
        <v>-2.2702470182920289E-2</v>
      </c>
      <c r="I292" s="15">
        <f t="shared" si="71"/>
        <v>-1.1549506642494763E-2</v>
      </c>
      <c r="J292" s="15">
        <f t="shared" si="71"/>
        <v>-3.7223795961281364E-2</v>
      </c>
      <c r="K292" s="22"/>
      <c r="L292" s="13">
        <v>289</v>
      </c>
      <c r="M292" s="5">
        <v>43887</v>
      </c>
      <c r="N292" s="26">
        <f t="shared" si="68"/>
        <v>0.92430132783336894</v>
      </c>
      <c r="O292" s="26">
        <f t="shared" si="69"/>
        <v>0.96339150297057075</v>
      </c>
      <c r="P292" s="26">
        <f t="shared" si="70"/>
        <v>0.94917949839014026</v>
      </c>
      <c r="Q292" s="22"/>
      <c r="AD292" s="59">
        <v>288</v>
      </c>
      <c r="AE292" s="61">
        <f t="shared" ca="1" si="72"/>
        <v>-1.1188013916653481</v>
      </c>
      <c r="AF292" s="61">
        <f t="shared" ca="1" si="72"/>
        <v>-0.37801765820315075</v>
      </c>
      <c r="AG292" s="61">
        <f t="shared" ca="1" si="72"/>
        <v>-0.24923692644841944</v>
      </c>
      <c r="AH292" s="19"/>
      <c r="AI292" s="61">
        <f ca="1"/>
        <v>-2.4260408034723846E-2</v>
      </c>
      <c r="AJ292" s="61">
        <f ca="1"/>
        <v>-2.5728455921834571E-2</v>
      </c>
      <c r="AK292" s="61">
        <f ca="1"/>
        <v>-2.5578514852468009E-2</v>
      </c>
      <c r="AL292" s="19"/>
      <c r="AM292" s="61">
        <f t="shared" ca="1" si="76"/>
        <v>-2.39091917122136E-2</v>
      </c>
      <c r="AN292" s="61">
        <f t="shared" ca="1" si="77"/>
        <v>-2.5479403324918042E-2</v>
      </c>
      <c r="AO292" s="61">
        <f t="shared" ca="1" si="78"/>
        <v>-2.5146846249213192E-2</v>
      </c>
      <c r="AP292" s="19"/>
      <c r="AQ292" s="62">
        <f t="shared" ca="1" si="73"/>
        <v>0.74375221176199324</v>
      </c>
      <c r="AR292" s="62">
        <f t="shared" ca="1" si="74"/>
        <v>0.7588790039755049</v>
      </c>
      <c r="AS292" s="62">
        <f t="shared" ca="1" si="75"/>
        <v>0.87202697693537168</v>
      </c>
      <c r="AT292" s="49"/>
    </row>
    <row r="293" spans="1:46" x14ac:dyDescent="0.3">
      <c r="A293" s="5">
        <v>43888</v>
      </c>
      <c r="B293" s="6">
        <v>50.759998000000003</v>
      </c>
      <c r="C293" s="6">
        <v>101.610001</v>
      </c>
      <c r="D293" s="6">
        <v>66.190002000000007</v>
      </c>
      <c r="F293" s="13">
        <v>290</v>
      </c>
      <c r="G293" s="5">
        <v>43888</v>
      </c>
      <c r="H293" s="15">
        <f t="shared" si="71"/>
        <v>-2.9122618377195219E-2</v>
      </c>
      <c r="I293" s="15">
        <f t="shared" si="71"/>
        <v>2.9528027732716159E-4</v>
      </c>
      <c r="J293" s="15">
        <f t="shared" si="71"/>
        <v>-8.0240238333168235E-2</v>
      </c>
      <c r="K293" s="22"/>
      <c r="L293" s="13">
        <v>290</v>
      </c>
      <c r="M293" s="5">
        <v>43888</v>
      </c>
      <c r="N293" s="26">
        <f t="shared" si="68"/>
        <v>0.89777143795947234</v>
      </c>
      <c r="O293" s="26">
        <f t="shared" si="69"/>
        <v>0.96367601548414228</v>
      </c>
      <c r="P293" s="26">
        <f t="shared" si="70"/>
        <v>0.8759926383269625</v>
      </c>
      <c r="Q293" s="22"/>
      <c r="AD293" s="59">
        <v>289</v>
      </c>
      <c r="AE293" s="61">
        <f t="shared" ca="1" si="72"/>
        <v>-0.79235342319403146</v>
      </c>
      <c r="AF293" s="61">
        <f t="shared" ca="1" si="72"/>
        <v>0.48294237457856493</v>
      </c>
      <c r="AG293" s="61">
        <f t="shared" ca="1" si="72"/>
        <v>0.45834860645975745</v>
      </c>
      <c r="AH293" s="19"/>
      <c r="AI293" s="61">
        <f ca="1"/>
        <v>-1.7181617307236319E-2</v>
      </c>
      <c r="AJ293" s="61">
        <f ca="1"/>
        <v>-1.904939570724816E-3</v>
      </c>
      <c r="AK293" s="61">
        <f ca="1"/>
        <v>3.4365189105989881E-3</v>
      </c>
      <c r="AL293" s="19"/>
      <c r="AM293" s="61">
        <f t="shared" ca="1" si="76"/>
        <v>-1.6830400984726074E-2</v>
      </c>
      <c r="AN293" s="61">
        <f t="shared" ca="1" si="77"/>
        <v>-1.6558869738082854E-3</v>
      </c>
      <c r="AO293" s="61">
        <f t="shared" ca="1" si="78"/>
        <v>3.8681875138538062E-3</v>
      </c>
      <c r="AP293" s="19"/>
      <c r="AQ293" s="62">
        <f t="shared" ca="1" si="73"/>
        <v>0.73133931383704365</v>
      </c>
      <c r="AR293" s="62">
        <f t="shared" ca="1" si="74"/>
        <v>0.75762342595266707</v>
      </c>
      <c r="AS293" s="62">
        <f t="shared" ca="1" si="75"/>
        <v>0.87540667323464627</v>
      </c>
      <c r="AT293" s="49"/>
    </row>
    <row r="294" spans="1:46" x14ac:dyDescent="0.3">
      <c r="A294" s="5">
        <v>43889</v>
      </c>
      <c r="B294" s="6">
        <v>50.41</v>
      </c>
      <c r="C294" s="6">
        <v>105.510002</v>
      </c>
      <c r="D294" s="6">
        <v>66.25</v>
      </c>
      <c r="F294" s="13">
        <v>291</v>
      </c>
      <c r="G294" s="5">
        <v>43889</v>
      </c>
      <c r="H294" s="15">
        <f t="shared" si="71"/>
        <v>-6.9190353505435504E-3</v>
      </c>
      <c r="I294" s="15">
        <f t="shared" si="71"/>
        <v>3.7663788770208956E-2</v>
      </c>
      <c r="J294" s="15">
        <f t="shared" si="71"/>
        <v>9.0604051945583565E-4</v>
      </c>
      <c r="K294" s="22"/>
      <c r="L294" s="13">
        <v>291</v>
      </c>
      <c r="M294" s="5">
        <v>43889</v>
      </c>
      <c r="N294" s="26">
        <f t="shared" si="68"/>
        <v>0.89158116569541623</v>
      </c>
      <c r="O294" s="26">
        <f t="shared" si="69"/>
        <v>1.0006638846611553</v>
      </c>
      <c r="P294" s="26">
        <f t="shared" si="70"/>
        <v>0.87678668281595251</v>
      </c>
      <c r="Q294" s="22"/>
      <c r="AD294" s="59">
        <v>290</v>
      </c>
      <c r="AE294" s="61">
        <f t="shared" ca="1" si="72"/>
        <v>0.19182529484081126</v>
      </c>
      <c r="AF294" s="61">
        <f t="shared" ca="1" si="72"/>
        <v>0.1275503892958488</v>
      </c>
      <c r="AG294" s="61">
        <f t="shared" ca="1" si="72"/>
        <v>-0.29573997229807908</v>
      </c>
      <c r="AH294" s="19"/>
      <c r="AI294" s="61">
        <f ca="1"/>
        <v>4.1595943291526626E-3</v>
      </c>
      <c r="AJ294" s="61">
        <f ca="1"/>
        <v>5.7749518442368336E-3</v>
      </c>
      <c r="AK294" s="61">
        <f ca="1"/>
        <v>-3.8442527351057586E-3</v>
      </c>
      <c r="AL294" s="19"/>
      <c r="AM294" s="61">
        <f t="shared" ca="1" si="76"/>
        <v>4.5108106516629064E-3</v>
      </c>
      <c r="AN294" s="61">
        <f t="shared" ca="1" si="77"/>
        <v>6.0240044411533642E-3</v>
      </c>
      <c r="AO294" s="61">
        <f t="shared" ca="1" si="78"/>
        <v>-3.4125841318509405E-3</v>
      </c>
      <c r="AP294" s="19"/>
      <c r="AQ294" s="62">
        <f t="shared" ca="1" si="73"/>
        <v>0.7346456986354003</v>
      </c>
      <c r="AR294" s="62">
        <f t="shared" ca="1" si="74"/>
        <v>0.76220112703796195</v>
      </c>
      <c r="AS294" s="62">
        <f t="shared" ca="1" si="75"/>
        <v>0.87242436589426398</v>
      </c>
      <c r="AT294" s="49"/>
    </row>
    <row r="295" spans="1:46" x14ac:dyDescent="0.3">
      <c r="A295" s="5">
        <v>43892</v>
      </c>
      <c r="B295" s="6">
        <v>51.07</v>
      </c>
      <c r="C295" s="6">
        <v>107.610001</v>
      </c>
      <c r="D295" s="6">
        <v>67.870002999999997</v>
      </c>
      <c r="F295" s="13">
        <v>292</v>
      </c>
      <c r="G295" s="5">
        <v>43892</v>
      </c>
      <c r="H295" s="15">
        <f t="shared" si="71"/>
        <v>1.3007672565013144E-2</v>
      </c>
      <c r="I295" s="15">
        <f t="shared" si="71"/>
        <v>1.9707835395567554E-2</v>
      </c>
      <c r="J295" s="15">
        <f t="shared" si="71"/>
        <v>2.4158690051485646E-2</v>
      </c>
      <c r="K295" s="22"/>
      <c r="L295" s="13">
        <v>292</v>
      </c>
      <c r="M295" s="5">
        <v>43892</v>
      </c>
      <c r="N295" s="26">
        <f t="shared" si="68"/>
        <v>0.90325431723993077</v>
      </c>
      <c r="O295" s="26">
        <f t="shared" si="69"/>
        <v>1.0205804150117523</v>
      </c>
      <c r="P295" s="26">
        <f t="shared" si="70"/>
        <v>0.89822663838609418</v>
      </c>
      <c r="Q295" s="22"/>
      <c r="AD295" s="59">
        <v>291</v>
      </c>
      <c r="AE295" s="61">
        <f t="shared" ca="1" si="72"/>
        <v>0.63052250704358404</v>
      </c>
      <c r="AF295" s="61">
        <f t="shared" ca="1" si="72"/>
        <v>0.29894972247007878</v>
      </c>
      <c r="AG295" s="61">
        <f t="shared" ca="1" si="72"/>
        <v>0.74507025805087834</v>
      </c>
      <c r="AH295" s="19"/>
      <c r="AI295" s="61">
        <f ca="1"/>
        <v>1.3672429628626968E-2</v>
      </c>
      <c r="AJ295" s="61">
        <f ca="1"/>
        <v>1.6367127777888402E-2</v>
      </c>
      <c r="AK295" s="61">
        <f ca="1"/>
        <v>3.0510322574931852E-2</v>
      </c>
      <c r="AL295" s="19"/>
      <c r="AM295" s="61">
        <f t="shared" ca="1" si="76"/>
        <v>1.4023645951137212E-2</v>
      </c>
      <c r="AN295" s="61">
        <f t="shared" ca="1" si="77"/>
        <v>1.6616180374804931E-2</v>
      </c>
      <c r="AO295" s="61">
        <f t="shared" ca="1" si="78"/>
        <v>3.0941991178186669E-2</v>
      </c>
      <c r="AP295" s="19"/>
      <c r="AQ295" s="62">
        <f t="shared" ca="1" si="73"/>
        <v>0.74502068736644078</v>
      </c>
      <c r="AR295" s="62">
        <f t="shared" ca="1" si="74"/>
        <v>0.77497180455936665</v>
      </c>
      <c r="AS295" s="62">
        <f t="shared" ca="1" si="75"/>
        <v>0.89984088643366145</v>
      </c>
      <c r="AT295" s="49"/>
    </row>
    <row r="296" spans="1:46" x14ac:dyDescent="0.3">
      <c r="A296" s="5">
        <v>43893</v>
      </c>
      <c r="B296" s="6">
        <v>48.439999</v>
      </c>
      <c r="C296" s="6">
        <v>106.43</v>
      </c>
      <c r="D296" s="6">
        <v>64.440002000000007</v>
      </c>
      <c r="F296" s="13">
        <v>293</v>
      </c>
      <c r="G296" s="5">
        <v>43893</v>
      </c>
      <c r="H296" s="15">
        <f t="shared" si="71"/>
        <v>-5.2871342618757061E-2</v>
      </c>
      <c r="I296" s="15">
        <f t="shared" si="71"/>
        <v>-1.1026097452164447E-2</v>
      </c>
      <c r="J296" s="15">
        <f t="shared" si="71"/>
        <v>-5.1859565572420718E-2</v>
      </c>
      <c r="K296" s="22"/>
      <c r="L296" s="13">
        <v>293</v>
      </c>
      <c r="M296" s="5">
        <v>43893</v>
      </c>
      <c r="N296" s="26">
        <f t="shared" si="68"/>
        <v>0.85673855930777232</v>
      </c>
      <c r="O296" s="26">
        <f t="shared" si="69"/>
        <v>1.0093892069539225</v>
      </c>
      <c r="P296" s="26">
        <f t="shared" si="70"/>
        <v>0.85283223538465436</v>
      </c>
      <c r="Q296" s="22"/>
      <c r="AD296" s="59">
        <v>292</v>
      </c>
      <c r="AE296" s="61">
        <f t="shared" ca="1" si="72"/>
        <v>0.62060107208774873</v>
      </c>
      <c r="AF296" s="61">
        <f t="shared" ca="1" si="72"/>
        <v>0.79513060712661077</v>
      </c>
      <c r="AG296" s="61">
        <f t="shared" ca="1" si="72"/>
        <v>1.82886327756335</v>
      </c>
      <c r="AH296" s="19"/>
      <c r="AI296" s="61">
        <f ca="1"/>
        <v>1.345729040721408E-2</v>
      </c>
      <c r="AJ296" s="61">
        <f ca="1"/>
        <v>2.6996830573078664E-2</v>
      </c>
      <c r="AK296" s="61">
        <f ca="1"/>
        <v>6.1624790837618793E-2</v>
      </c>
      <c r="AL296" s="19"/>
      <c r="AM296" s="61">
        <f t="shared" ca="1" si="76"/>
        <v>1.3808506729724324E-2</v>
      </c>
      <c r="AN296" s="61">
        <f t="shared" ca="1" si="77"/>
        <v>2.7245883169995194E-2</v>
      </c>
      <c r="AO296" s="61">
        <f t="shared" ca="1" si="78"/>
        <v>6.205645944087361E-2</v>
      </c>
      <c r="AP296" s="19"/>
      <c r="AQ296" s="62">
        <f t="shared" ca="1" si="73"/>
        <v>0.75537966696223102</v>
      </c>
      <c r="AR296" s="62">
        <f t="shared" ca="1" si="74"/>
        <v>0.79637687165160964</v>
      </c>
      <c r="AS296" s="62">
        <f t="shared" ca="1" si="75"/>
        <v>0.9574508750271894</v>
      </c>
      <c r="AT296" s="49"/>
    </row>
    <row r="297" spans="1:46" x14ac:dyDescent="0.3">
      <c r="A297" s="5">
        <v>43894</v>
      </c>
      <c r="B297" s="6">
        <v>50.18</v>
      </c>
      <c r="C297" s="6">
        <v>110.540001</v>
      </c>
      <c r="D297" s="6">
        <v>64.150002000000001</v>
      </c>
      <c r="F297" s="13">
        <v>294</v>
      </c>
      <c r="G297" s="5">
        <v>43894</v>
      </c>
      <c r="H297" s="15">
        <f t="shared" si="71"/>
        <v>3.5290642897480788E-2</v>
      </c>
      <c r="I297" s="15">
        <f t="shared" si="71"/>
        <v>3.7889963398662949E-2</v>
      </c>
      <c r="J297" s="15">
        <f t="shared" si="71"/>
        <v>-4.5104671068224578E-3</v>
      </c>
      <c r="K297" s="22"/>
      <c r="L297" s="13">
        <v>294</v>
      </c>
      <c r="M297" s="5">
        <v>43894</v>
      </c>
      <c r="N297" s="26">
        <f t="shared" si="68"/>
        <v>0.8875132492480855</v>
      </c>
      <c r="O297" s="26">
        <f t="shared" si="69"/>
        <v>1.0483687301144018</v>
      </c>
      <c r="P297" s="26">
        <f t="shared" si="70"/>
        <v>0.84899422575421468</v>
      </c>
      <c r="Q297" s="22"/>
      <c r="AD297" s="59">
        <v>293</v>
      </c>
      <c r="AE297" s="61">
        <f t="shared" ca="1" si="72"/>
        <v>-0.899067660967238</v>
      </c>
      <c r="AF297" s="61">
        <f t="shared" ca="1" si="72"/>
        <v>-0.18886864163517075</v>
      </c>
      <c r="AG297" s="61">
        <f t="shared" ca="1" si="72"/>
        <v>0.52458995284691146</v>
      </c>
      <c r="AH297" s="19"/>
      <c r="AI297" s="61">
        <f ca="1"/>
        <v>-1.949563923353986E-2</v>
      </c>
      <c r="AJ297" s="61">
        <f ca="1"/>
        <v>-1.8177762961521803E-2</v>
      </c>
      <c r="AK297" s="61">
        <f ca="1"/>
        <v>-1.1743445702574479E-3</v>
      </c>
      <c r="AL297" s="19"/>
      <c r="AM297" s="61">
        <f t="shared" ca="1" si="76"/>
        <v>-1.9144422911029614E-2</v>
      </c>
      <c r="AN297" s="61">
        <f t="shared" ca="1" si="77"/>
        <v>-1.7928710364605274E-2</v>
      </c>
      <c r="AO297" s="61">
        <f t="shared" ca="1" si="78"/>
        <v>-7.426759670026297E-4</v>
      </c>
      <c r="AP297" s="19"/>
      <c r="AQ297" s="62">
        <f t="shared" ca="1" si="73"/>
        <v>0.74105590670106791</v>
      </c>
      <c r="AR297" s="62">
        <f t="shared" ca="1" si="74"/>
        <v>0.78222609303291513</v>
      </c>
      <c r="AS297" s="62">
        <f t="shared" ca="1" si="75"/>
        <v>0.95674006325680228</v>
      </c>
      <c r="AT297" s="49"/>
    </row>
    <row r="298" spans="1:46" x14ac:dyDescent="0.3">
      <c r="A298" s="5">
        <v>43895</v>
      </c>
      <c r="B298" s="6">
        <v>47.689999</v>
      </c>
      <c r="C298" s="6">
        <v>108.19000200000001</v>
      </c>
      <c r="D298" s="6">
        <v>61.700001</v>
      </c>
      <c r="F298" s="13">
        <v>295</v>
      </c>
      <c r="G298" s="5">
        <v>43895</v>
      </c>
      <c r="H298" s="15">
        <f t="shared" si="71"/>
        <v>-5.0894829596900025E-2</v>
      </c>
      <c r="I298" s="15">
        <f t="shared" si="71"/>
        <v>-2.148849626613708E-2</v>
      </c>
      <c r="J298" s="15">
        <f t="shared" si="71"/>
        <v>-3.8940175119776647E-2</v>
      </c>
      <c r="K298" s="22"/>
      <c r="L298" s="13">
        <v>295</v>
      </c>
      <c r="M298" s="5">
        <v>43895</v>
      </c>
      <c r="N298" s="26">
        <f t="shared" si="68"/>
        <v>0.84347361437082402</v>
      </c>
      <c r="O298" s="26">
        <f t="shared" si="69"/>
        <v>1.0260811831168213</v>
      </c>
      <c r="P298" s="26">
        <f t="shared" si="70"/>
        <v>0.8165696484004672</v>
      </c>
      <c r="Q298" s="22"/>
      <c r="AD298" s="59">
        <v>294</v>
      </c>
      <c r="AE298" s="61">
        <f t="shared" ca="1" si="72"/>
        <v>0.34271107008174823</v>
      </c>
      <c r="AF298" s="61">
        <f t="shared" ca="1" si="72"/>
        <v>-1.3004355777636223</v>
      </c>
      <c r="AG298" s="61">
        <f t="shared" ca="1" si="72"/>
        <v>-0.21256908834850055</v>
      </c>
      <c r="AH298" s="19"/>
      <c r="AI298" s="61">
        <f ca="1"/>
        <v>7.4314444548769379E-3</v>
      </c>
      <c r="AJ298" s="61">
        <f ca="1"/>
        <v>-2.2902061144715491E-2</v>
      </c>
      <c r="AK298" s="61">
        <f ca="1"/>
        <v>-9.5405337266634849E-3</v>
      </c>
      <c r="AL298" s="19"/>
      <c r="AM298" s="61">
        <f t="shared" ca="1" si="76"/>
        <v>7.7826607773871818E-3</v>
      </c>
      <c r="AN298" s="61">
        <f t="shared" ca="1" si="77"/>
        <v>-2.2653008547798961E-2</v>
      </c>
      <c r="AO298" s="61">
        <f t="shared" ca="1" si="78"/>
        <v>-9.1088651234086659E-3</v>
      </c>
      <c r="AP298" s="19"/>
      <c r="AQ298" s="62">
        <f t="shared" ca="1" si="73"/>
        <v>0.74684579458232359</v>
      </c>
      <c r="AR298" s="62">
        <f t="shared" ca="1" si="74"/>
        <v>0.76470551479557747</v>
      </c>
      <c r="AS298" s="62">
        <f t="shared" ca="1" si="75"/>
        <v>0.94806481786556407</v>
      </c>
      <c r="AT298" s="49"/>
    </row>
    <row r="299" spans="1:46" x14ac:dyDescent="0.3">
      <c r="A299" s="5">
        <v>43896</v>
      </c>
      <c r="B299" s="6">
        <v>49.060001</v>
      </c>
      <c r="C299" s="6">
        <v>105.769997</v>
      </c>
      <c r="D299" s="6">
        <v>63.09</v>
      </c>
      <c r="F299" s="13">
        <v>296</v>
      </c>
      <c r="G299" s="5">
        <v>43896</v>
      </c>
      <c r="H299" s="15">
        <f t="shared" si="71"/>
        <v>2.8322347872171059E-2</v>
      </c>
      <c r="I299" s="15">
        <f t="shared" si="71"/>
        <v>-2.2622062208947698E-2</v>
      </c>
      <c r="J299" s="15">
        <f t="shared" si="71"/>
        <v>2.2278331263920693E-2</v>
      </c>
      <c r="K299" s="22"/>
      <c r="L299" s="13">
        <v>296</v>
      </c>
      <c r="M299" s="5">
        <v>43896</v>
      </c>
      <c r="N299" s="26">
        <f t="shared" si="68"/>
        <v>0.86770428249550269</v>
      </c>
      <c r="O299" s="26">
        <f t="shared" si="69"/>
        <v>1.0031296945536856</v>
      </c>
      <c r="P299" s="26">
        <f t="shared" si="70"/>
        <v>0.83496561236012745</v>
      </c>
      <c r="Q299" s="22"/>
      <c r="AD299" s="59">
        <v>295</v>
      </c>
      <c r="AE299" s="61">
        <f t="shared" ca="1" si="72"/>
        <v>0.96774590321533593</v>
      </c>
      <c r="AF299" s="61">
        <f t="shared" ca="1" si="72"/>
        <v>2.3290022990957784</v>
      </c>
      <c r="AG299" s="61">
        <f t="shared" ca="1" si="72"/>
        <v>-0.66893165600674842</v>
      </c>
      <c r="AH299" s="19"/>
      <c r="AI299" s="61">
        <f ca="1"/>
        <v>2.0984877799436141E-2</v>
      </c>
      <c r="AJ299" s="61">
        <f ca="1"/>
        <v>6.5770720887903436E-2</v>
      </c>
      <c r="AK299" s="61">
        <f ca="1"/>
        <v>1.3562882280892519E-2</v>
      </c>
      <c r="AL299" s="19"/>
      <c r="AM299" s="61">
        <f t="shared" ca="1" si="76"/>
        <v>2.1336094121946387E-2</v>
      </c>
      <c r="AN299" s="61">
        <f t="shared" ca="1" si="77"/>
        <v>6.6019773484819966E-2</v>
      </c>
      <c r="AO299" s="61">
        <f t="shared" ca="1" si="78"/>
        <v>1.3994550884147338E-2</v>
      </c>
      <c r="AP299" s="19"/>
      <c r="AQ299" s="62">
        <f t="shared" ca="1" si="73"/>
        <v>0.76295177512076107</v>
      </c>
      <c r="AR299" s="62">
        <f t="shared" ca="1" si="74"/>
        <v>0.81689501437027867</v>
      </c>
      <c r="AS299" s="62">
        <f t="shared" ca="1" si="75"/>
        <v>0.96142583183625574</v>
      </c>
      <c r="AT299" s="49"/>
    </row>
    <row r="300" spans="1:46" x14ac:dyDescent="0.3">
      <c r="A300" s="5">
        <v>43899</v>
      </c>
      <c r="B300" s="6">
        <v>44.669998</v>
      </c>
      <c r="C300" s="6">
        <v>94.989998</v>
      </c>
      <c r="D300" s="6">
        <v>58.400002000000001</v>
      </c>
      <c r="F300" s="13">
        <v>297</v>
      </c>
      <c r="G300" s="5">
        <v>43899</v>
      </c>
      <c r="H300" s="15">
        <f t="shared" si="71"/>
        <v>-9.3741968622299138E-2</v>
      </c>
      <c r="I300" s="15">
        <f t="shared" si="71"/>
        <v>-0.10749529512928807</v>
      </c>
      <c r="J300" s="15">
        <f t="shared" si="71"/>
        <v>-7.7246354301962042E-2</v>
      </c>
      <c r="K300" s="22"/>
      <c r="L300" s="13">
        <v>297</v>
      </c>
      <c r="M300" s="5">
        <v>43899</v>
      </c>
      <c r="N300" s="26">
        <f t="shared" si="68"/>
        <v>0.79006008507145242</v>
      </c>
      <c r="O300" s="26">
        <f t="shared" si="69"/>
        <v>0.90089146621981275</v>
      </c>
      <c r="P300" s="26">
        <f t="shared" si="70"/>
        <v>0.77289575894377349</v>
      </c>
      <c r="Q300" s="22"/>
      <c r="AD300" s="59">
        <v>296</v>
      </c>
      <c r="AE300" s="61">
        <f t="shared" ca="1" si="72"/>
        <v>-0.31853617764489806</v>
      </c>
      <c r="AF300" s="61">
        <f t="shared" ca="1" si="72"/>
        <v>0.98793831730831194</v>
      </c>
      <c r="AG300" s="61">
        <f t="shared" ca="1" si="72"/>
        <v>-0.11794471111844179</v>
      </c>
      <c r="AH300" s="19"/>
      <c r="AI300" s="61">
        <f ca="1"/>
        <v>-6.9072292017652625E-3</v>
      </c>
      <c r="AJ300" s="61">
        <f ca="1"/>
        <v>1.6488008773234183E-2</v>
      </c>
      <c r="AK300" s="61">
        <f ca="1"/>
        <v>-7.707674127869703E-4</v>
      </c>
      <c r="AL300" s="19"/>
      <c r="AM300" s="61">
        <f t="shared" ca="1" si="76"/>
        <v>-6.5560128792550186E-3</v>
      </c>
      <c r="AN300" s="61">
        <f t="shared" ca="1" si="77"/>
        <v>1.6737061370150713E-2</v>
      </c>
      <c r="AO300" s="61">
        <f t="shared" ca="1" si="78"/>
        <v>-3.3909880953215206E-4</v>
      </c>
      <c r="AP300" s="19"/>
      <c r="AQ300" s="62">
        <f t="shared" ca="1" si="73"/>
        <v>0.75796621401537478</v>
      </c>
      <c r="AR300" s="62">
        <f t="shared" ca="1" si="74"/>
        <v>0.83068249546249273</v>
      </c>
      <c r="AS300" s="62">
        <f t="shared" ca="1" si="75"/>
        <v>0.96109986875119713</v>
      </c>
      <c r="AT300" s="49"/>
    </row>
    <row r="301" spans="1:46" x14ac:dyDescent="0.3">
      <c r="A301" s="5">
        <v>43900</v>
      </c>
      <c r="B301" s="6">
        <v>48.099997999999999</v>
      </c>
      <c r="C301" s="6">
        <v>98.910004000000001</v>
      </c>
      <c r="D301" s="6">
        <v>60.450001</v>
      </c>
      <c r="F301" s="13">
        <v>298</v>
      </c>
      <c r="G301" s="5">
        <v>43900</v>
      </c>
      <c r="H301" s="15">
        <f t="shared" si="71"/>
        <v>7.398004494042483E-2</v>
      </c>
      <c r="I301" s="15">
        <f t="shared" si="71"/>
        <v>4.043878434531032E-2</v>
      </c>
      <c r="J301" s="15">
        <f t="shared" si="71"/>
        <v>3.4500669522642545E-2</v>
      </c>
      <c r="K301" s="22"/>
      <c r="L301" s="13">
        <v>298</v>
      </c>
      <c r="M301" s="5">
        <v>43900</v>
      </c>
      <c r="N301" s="26">
        <f t="shared" si="68"/>
        <v>0.85072509991642908</v>
      </c>
      <c r="O301" s="26">
        <f t="shared" si="69"/>
        <v>0.93806906414891755</v>
      </c>
      <c r="P301" s="26">
        <f t="shared" si="70"/>
        <v>0.8000265034416757</v>
      </c>
      <c r="Q301" s="22"/>
      <c r="AD301" s="59">
        <v>297</v>
      </c>
      <c r="AE301" s="61">
        <f t="shared" ca="1" si="72"/>
        <v>0.57915727535840944</v>
      </c>
      <c r="AF301" s="61">
        <f t="shared" ca="1" si="72"/>
        <v>-0.74881476460657814</v>
      </c>
      <c r="AG301" s="61">
        <f t="shared" ca="1" si="72"/>
        <v>-0.49213565504363266</v>
      </c>
      <c r="AH301" s="19"/>
      <c r="AI301" s="61">
        <f ca="1"/>
        <v>1.2558611314881785E-2</v>
      </c>
      <c r="AJ301" s="61">
        <f ca="1"/>
        <v>-7.2110855302553543E-3</v>
      </c>
      <c r="AK301" s="61">
        <f ca="1"/>
        <v>-9.3246269329354883E-3</v>
      </c>
      <c r="AL301" s="19"/>
      <c r="AM301" s="61">
        <f t="shared" ca="1" si="76"/>
        <v>1.2909827637392029E-2</v>
      </c>
      <c r="AN301" s="61">
        <f t="shared" ca="1" si="77"/>
        <v>-6.9620329333388237E-3</v>
      </c>
      <c r="AO301" s="61">
        <f t="shared" ca="1" si="78"/>
        <v>-8.8929583296806693E-3</v>
      </c>
      <c r="AP301" s="19"/>
      <c r="AQ301" s="62">
        <f t="shared" ca="1" si="73"/>
        <v>0.7678148625871114</v>
      </c>
      <c r="AR301" s="62">
        <f t="shared" ca="1" si="74"/>
        <v>0.82491934148410728</v>
      </c>
      <c r="AS301" s="62">
        <f t="shared" ca="1" si="75"/>
        <v>0.95259073941247352</v>
      </c>
      <c r="AT301" s="49"/>
    </row>
    <row r="302" spans="1:46" x14ac:dyDescent="0.3">
      <c r="A302" s="5">
        <v>43901</v>
      </c>
      <c r="B302" s="6">
        <v>46.509998000000003</v>
      </c>
      <c r="C302" s="6">
        <v>90.669998000000007</v>
      </c>
      <c r="D302" s="6">
        <v>54.419998</v>
      </c>
      <c r="F302" s="13">
        <v>299</v>
      </c>
      <c r="G302" s="5">
        <v>43901</v>
      </c>
      <c r="H302" s="15">
        <f t="shared" si="71"/>
        <v>-3.3614835297173275E-2</v>
      </c>
      <c r="I302" s="15">
        <f t="shared" si="71"/>
        <v>-8.6983866592601322E-2</v>
      </c>
      <c r="J302" s="15">
        <f t="shared" si="71"/>
        <v>-0.10508489699949361</v>
      </c>
      <c r="K302" s="22"/>
      <c r="L302" s="13">
        <v>299</v>
      </c>
      <c r="M302" s="5">
        <v>43901</v>
      </c>
      <c r="N302" s="26">
        <f t="shared" si="68"/>
        <v>0.82260341665009884</v>
      </c>
      <c r="O302" s="26">
        <f t="shared" si="69"/>
        <v>0.85992029855993368</v>
      </c>
      <c r="P302" s="26">
        <f t="shared" si="70"/>
        <v>0.72022233245691725</v>
      </c>
      <c r="Q302" s="22"/>
      <c r="AD302" s="59">
        <v>298</v>
      </c>
      <c r="AE302" s="61">
        <f t="shared" ca="1" si="72"/>
        <v>-1.3991125884866129</v>
      </c>
      <c r="AF302" s="61">
        <f t="shared" ca="1" si="72"/>
        <v>-0.11062955050931175</v>
      </c>
      <c r="AG302" s="61">
        <f t="shared" ca="1" si="72"/>
        <v>0.90183533252003334</v>
      </c>
      <c r="AH302" s="19"/>
      <c r="AI302" s="61">
        <f ca="1"/>
        <v>-3.0338755865041707E-2</v>
      </c>
      <c r="AJ302" s="61">
        <f ca="1"/>
        <v>-2.4304028878523842E-2</v>
      </c>
      <c r="AK302" s="61">
        <f ca="1"/>
        <v>1.6532239897142954E-3</v>
      </c>
      <c r="AL302" s="19"/>
      <c r="AM302" s="61">
        <f t="shared" ca="1" si="76"/>
        <v>-2.9987539542531461E-2</v>
      </c>
      <c r="AN302" s="61">
        <f t="shared" ca="1" si="77"/>
        <v>-2.4054976281607313E-2</v>
      </c>
      <c r="AO302" s="61">
        <f t="shared" ca="1" si="78"/>
        <v>2.0848925929691136E-3</v>
      </c>
      <c r="AP302" s="19"/>
      <c r="AQ302" s="62">
        <f t="shared" ca="1" si="73"/>
        <v>0.74513178861493889</v>
      </c>
      <c r="AR302" s="62">
        <f t="shared" ca="1" si="74"/>
        <v>0.80531269047957765</v>
      </c>
      <c r="AS302" s="62">
        <f t="shared" ca="1" si="75"/>
        <v>0.9545788605785922</v>
      </c>
      <c r="AT302" s="49"/>
    </row>
    <row r="303" spans="1:46" x14ac:dyDescent="0.3">
      <c r="A303" s="5">
        <v>43902</v>
      </c>
      <c r="B303" s="6">
        <v>43.560001</v>
      </c>
      <c r="C303" s="6">
        <v>79.669998000000007</v>
      </c>
      <c r="D303" s="6">
        <v>43.959999000000003</v>
      </c>
      <c r="F303" s="13">
        <v>300</v>
      </c>
      <c r="G303" s="5">
        <v>43902</v>
      </c>
      <c r="H303" s="15">
        <f t="shared" si="71"/>
        <v>-6.5527979212899171E-2</v>
      </c>
      <c r="I303" s="15">
        <f t="shared" si="71"/>
        <v>-0.1293334413112297</v>
      </c>
      <c r="J303" s="15">
        <f t="shared" si="71"/>
        <v>-0.21345158981643733</v>
      </c>
      <c r="K303" s="22"/>
      <c r="L303" s="13">
        <v>300</v>
      </c>
      <c r="M303" s="5">
        <v>43902</v>
      </c>
      <c r="N303" s="26">
        <f t="shared" si="68"/>
        <v>0.77042801962454865</v>
      </c>
      <c r="O303" s="26">
        <f t="shared" si="69"/>
        <v>0.75559556609264866</v>
      </c>
      <c r="P303" s="26">
        <f t="shared" si="70"/>
        <v>0.58178930867626555</v>
      </c>
      <c r="Q303" s="22"/>
      <c r="AD303" s="59">
        <v>299</v>
      </c>
      <c r="AE303" s="61">
        <f t="shared" ca="1" si="72"/>
        <v>0.10705973004269531</v>
      </c>
      <c r="AF303" s="61">
        <f t="shared" ca="1" si="72"/>
        <v>-1.4993936422751994</v>
      </c>
      <c r="AG303" s="61">
        <f t="shared" ca="1" si="72"/>
        <v>-0.49718672816719961</v>
      </c>
      <c r="AH303" s="19"/>
      <c r="AI303" s="61">
        <f ca="1"/>
        <v>2.3215136790785029E-3</v>
      </c>
      <c r="AJ303" s="61">
        <f ca="1"/>
        <v>-3.0915111544139569E-2</v>
      </c>
      <c r="AK303" s="61">
        <f ca="1"/>
        <v>-2.1715456457357625E-2</v>
      </c>
      <c r="AL303" s="19"/>
      <c r="AM303" s="61">
        <f t="shared" ca="1" si="76"/>
        <v>2.6727300015887473E-3</v>
      </c>
      <c r="AN303" s="61">
        <f t="shared" ca="1" si="77"/>
        <v>-3.0666058947223039E-2</v>
      </c>
      <c r="AO303" s="61">
        <f t="shared" ca="1" si="78"/>
        <v>-2.1283787854102808E-2</v>
      </c>
      <c r="AP303" s="19"/>
      <c r="AQ303" s="62">
        <f t="shared" ca="1" si="73"/>
        <v>0.74712598849330147</v>
      </c>
      <c r="AR303" s="62">
        <f t="shared" ca="1" si="74"/>
        <v>0.78099174377127456</v>
      </c>
      <c r="AS303" s="62">
        <f t="shared" ca="1" si="75"/>
        <v>0.93447649274423095</v>
      </c>
      <c r="AT303" s="49"/>
    </row>
    <row r="304" spans="1:46" x14ac:dyDescent="0.3">
      <c r="A304" s="5">
        <v>43903</v>
      </c>
      <c r="B304" s="6">
        <v>47.23</v>
      </c>
      <c r="C304" s="6">
        <v>83.669998000000007</v>
      </c>
      <c r="D304" s="6">
        <v>49.900002000000001</v>
      </c>
      <c r="F304" s="13">
        <v>301</v>
      </c>
      <c r="G304" s="5">
        <v>43903</v>
      </c>
      <c r="H304" s="15">
        <f t="shared" si="71"/>
        <v>8.0889962886425179E-2</v>
      </c>
      <c r="I304" s="15">
        <f t="shared" si="71"/>
        <v>4.8987388115354656E-2</v>
      </c>
      <c r="J304" s="15">
        <f t="shared" si="71"/>
        <v>0.12674093605016476</v>
      </c>
      <c r="K304" s="22"/>
      <c r="L304" s="13">
        <v>301</v>
      </c>
      <c r="M304" s="5">
        <v>43903</v>
      </c>
      <c r="N304" s="26">
        <f t="shared" si="68"/>
        <v>0.83533779916275563</v>
      </c>
      <c r="O304" s="26">
        <f t="shared" si="69"/>
        <v>0.79353183244438863</v>
      </c>
      <c r="P304" s="26">
        <f t="shared" si="70"/>
        <v>0.66040237322399087</v>
      </c>
      <c r="Q304" s="22"/>
      <c r="AD304" s="59">
        <v>300</v>
      </c>
      <c r="AE304" s="61">
        <f t="shared" ca="1" si="72"/>
        <v>0.29081427432576612</v>
      </c>
      <c r="AF304" s="61">
        <f t="shared" ca="1" si="72"/>
        <v>-0.26033187193093915</v>
      </c>
      <c r="AG304" s="61">
        <f t="shared" ca="1" si="72"/>
        <v>-0.79155888714953426</v>
      </c>
      <c r="AH304" s="19"/>
      <c r="AI304" s="61">
        <f ca="1"/>
        <v>6.3060995544198875E-3</v>
      </c>
      <c r="AJ304" s="61">
        <f ca="1"/>
        <v>-1.1066548602135943E-3</v>
      </c>
      <c r="AK304" s="61">
        <f ca="1"/>
        <v>-1.7816140425611561E-2</v>
      </c>
      <c r="AL304" s="19"/>
      <c r="AM304" s="61">
        <f t="shared" ca="1" si="76"/>
        <v>6.6573158769301314E-3</v>
      </c>
      <c r="AN304" s="61">
        <f t="shared" ca="1" si="77"/>
        <v>-8.5760226329706357E-4</v>
      </c>
      <c r="AO304" s="61">
        <f t="shared" ca="1" si="78"/>
        <v>-1.7384471822356744E-2</v>
      </c>
      <c r="AP304" s="19"/>
      <c r="AQ304" s="62">
        <f t="shared" ca="1" si="73"/>
        <v>0.75211643525749383</v>
      </c>
      <c r="AR304" s="62">
        <f t="shared" ca="1" si="74"/>
        <v>0.78032225060466076</v>
      </c>
      <c r="AS304" s="62">
        <f t="shared" ca="1" si="75"/>
        <v>0.91837150642970633</v>
      </c>
      <c r="AT304" s="49"/>
    </row>
    <row r="305" spans="1:46" x14ac:dyDescent="0.3">
      <c r="A305" s="5">
        <v>43906</v>
      </c>
      <c r="B305" s="6">
        <v>43.439999</v>
      </c>
      <c r="C305" s="6">
        <v>71.599997999999999</v>
      </c>
      <c r="D305" s="6">
        <v>41.630001</v>
      </c>
      <c r="F305" s="13">
        <v>302</v>
      </c>
      <c r="G305" s="5">
        <v>43906</v>
      </c>
      <c r="H305" s="15">
        <f t="shared" si="71"/>
        <v>-8.3648631302603721E-2</v>
      </c>
      <c r="I305" s="15">
        <f t="shared" si="71"/>
        <v>-0.15578542037043827</v>
      </c>
      <c r="J305" s="15">
        <f t="shared" si="71"/>
        <v>-0.18119995760961008</v>
      </c>
      <c r="K305" s="22"/>
      <c r="L305" s="13">
        <v>302</v>
      </c>
      <c r="M305" s="5">
        <v>43906</v>
      </c>
      <c r="N305" s="26">
        <f t="shared" si="68"/>
        <v>0.76830559306145052</v>
      </c>
      <c r="O305" s="26">
        <f t="shared" si="69"/>
        <v>0.6790591487280131</v>
      </c>
      <c r="P305" s="26">
        <f t="shared" si="70"/>
        <v>0.55095291294211002</v>
      </c>
      <c r="Q305" s="22"/>
      <c r="AD305" s="59">
        <v>301</v>
      </c>
      <c r="AE305" s="61">
        <f t="shared" ca="1" si="72"/>
        <v>1.7446991849958227</v>
      </c>
      <c r="AF305" s="61">
        <f t="shared" ca="1" si="72"/>
        <v>0.69379136620950965</v>
      </c>
      <c r="AG305" s="61">
        <f t="shared" ca="1" si="72"/>
        <v>0.51576012591512044</v>
      </c>
      <c r="AH305" s="19"/>
      <c r="AI305" s="61">
        <f ca="1"/>
        <v>3.7832554053981317E-2</v>
      </c>
      <c r="AJ305" s="61">
        <f ca="1"/>
        <v>4.2388882563836314E-2</v>
      </c>
      <c r="AK305" s="61">
        <f ca="1"/>
        <v>4.3878632853545291E-2</v>
      </c>
      <c r="AL305" s="19"/>
      <c r="AM305" s="61">
        <f t="shared" ca="1" si="76"/>
        <v>3.8183770376491559E-2</v>
      </c>
      <c r="AN305" s="61">
        <f t="shared" ca="1" si="77"/>
        <v>4.2637935160752843E-2</v>
      </c>
      <c r="AO305" s="61">
        <f t="shared" ca="1" si="78"/>
        <v>4.4310301456800108E-2</v>
      </c>
      <c r="AP305" s="19"/>
      <c r="AQ305" s="62">
        <f t="shared" ca="1" si="73"/>
        <v>0.7813904152804253</v>
      </c>
      <c r="AR305" s="62">
        <f t="shared" ca="1" si="74"/>
        <v>0.81431308008590453</v>
      </c>
      <c r="AS305" s="62">
        <f t="shared" ca="1" si="75"/>
        <v>0.95997985638729044</v>
      </c>
      <c r="AT305" s="49"/>
    </row>
    <row r="306" spans="1:46" x14ac:dyDescent="0.3">
      <c r="A306" s="5">
        <v>43907</v>
      </c>
      <c r="B306" s="6">
        <v>41.450001</v>
      </c>
      <c r="C306" s="6">
        <v>73.510002</v>
      </c>
      <c r="D306" s="6">
        <v>39.020000000000003</v>
      </c>
      <c r="F306" s="13">
        <v>303</v>
      </c>
      <c r="G306" s="5">
        <v>43907</v>
      </c>
      <c r="H306" s="15">
        <f t="shared" si="71"/>
        <v>-4.6892746898665912E-2</v>
      </c>
      <c r="I306" s="15">
        <f t="shared" si="71"/>
        <v>2.6326432559539922E-2</v>
      </c>
      <c r="J306" s="15">
        <f t="shared" si="71"/>
        <v>-6.4746750033057146E-2</v>
      </c>
      <c r="K306" s="22"/>
      <c r="L306" s="13">
        <v>303</v>
      </c>
      <c r="M306" s="5">
        <v>43907</v>
      </c>
      <c r="N306" s="26">
        <f t="shared" si="68"/>
        <v>0.73310930786860085</v>
      </c>
      <c r="O306" s="26">
        <f t="shared" si="69"/>
        <v>0.69717375384723523</v>
      </c>
      <c r="P306" s="26">
        <f t="shared" si="70"/>
        <v>0.51641081303363723</v>
      </c>
      <c r="Q306" s="22"/>
      <c r="AD306" s="59">
        <v>302</v>
      </c>
      <c r="AE306" s="61">
        <f t="shared" ca="1" si="72"/>
        <v>1.0481836052227114</v>
      </c>
      <c r="AF306" s="61">
        <f t="shared" ca="1" si="72"/>
        <v>0.79123810874794454</v>
      </c>
      <c r="AG306" s="61">
        <f t="shared" ca="1" si="72"/>
        <v>-0.62109365909399339</v>
      </c>
      <c r="AH306" s="19"/>
      <c r="AI306" s="61">
        <f ca="1"/>
        <v>2.2729111840090754E-2</v>
      </c>
      <c r="AJ306" s="61">
        <f ca="1"/>
        <v>3.3604889456196503E-2</v>
      </c>
      <c r="AK306" s="61">
        <f ca="1"/>
        <v>5.1473567377048057E-3</v>
      </c>
      <c r="AL306" s="19"/>
      <c r="AM306" s="61">
        <f t="shared" ca="1" si="76"/>
        <v>2.3080328162600999E-2</v>
      </c>
      <c r="AN306" s="61">
        <f t="shared" ca="1" si="77"/>
        <v>3.3853942053113033E-2</v>
      </c>
      <c r="AO306" s="61">
        <f t="shared" ca="1" si="78"/>
        <v>5.5790253409596239E-3</v>
      </c>
      <c r="AP306" s="19"/>
      <c r="AQ306" s="62">
        <f t="shared" ca="1" si="73"/>
        <v>0.79963489690158529</v>
      </c>
      <c r="AR306" s="62">
        <f t="shared" ca="1" si="74"/>
        <v>0.84235273641764119</v>
      </c>
      <c r="AS306" s="62">
        <f t="shared" ca="1" si="75"/>
        <v>0.9653505760930231</v>
      </c>
      <c r="AT306" s="49"/>
    </row>
    <row r="307" spans="1:46" x14ac:dyDescent="0.3">
      <c r="A307" s="5">
        <v>43908</v>
      </c>
      <c r="B307" s="6">
        <v>39.380001</v>
      </c>
      <c r="C307" s="6">
        <v>73.589995999999999</v>
      </c>
      <c r="D307" s="6">
        <v>35.020000000000003</v>
      </c>
      <c r="F307" s="13">
        <v>304</v>
      </c>
      <c r="G307" s="5">
        <v>43908</v>
      </c>
      <c r="H307" s="15">
        <f t="shared" si="71"/>
        <v>-5.1229807102176061E-2</v>
      </c>
      <c r="I307" s="15">
        <f t="shared" si="71"/>
        <v>1.0876139901161753E-3</v>
      </c>
      <c r="J307" s="15">
        <f t="shared" si="71"/>
        <v>-0.10815500833725929</v>
      </c>
      <c r="K307" s="22"/>
      <c r="L307" s="13">
        <v>304</v>
      </c>
      <c r="M307" s="5">
        <v>43908</v>
      </c>
      <c r="N307" s="26">
        <f t="shared" si="68"/>
        <v>0.6964980598426237</v>
      </c>
      <c r="O307" s="26">
        <f t="shared" si="69"/>
        <v>0.69793242226987051</v>
      </c>
      <c r="P307" s="26">
        <f t="shared" si="70"/>
        <v>0.46347274916550429</v>
      </c>
      <c r="Q307" s="22"/>
      <c r="AD307" s="59">
        <v>303</v>
      </c>
      <c r="AE307" s="61">
        <f t="shared" ca="1" si="72"/>
        <v>0.12247561234647346</v>
      </c>
      <c r="AF307" s="61">
        <f t="shared" ca="1" si="72"/>
        <v>-0.49185710445759379</v>
      </c>
      <c r="AG307" s="61">
        <f t="shared" ca="1" si="72"/>
        <v>-0.58418844507777579</v>
      </c>
      <c r="AH307" s="19"/>
      <c r="AI307" s="61">
        <f ca="1"/>
        <v>2.6557960617168011E-3</v>
      </c>
      <c r="AJ307" s="61">
        <f ca="1"/>
        <v>-8.7739850140420052E-3</v>
      </c>
      <c r="AK307" s="61">
        <f ca="1"/>
        <v>-1.6621122007934593E-2</v>
      </c>
      <c r="AL307" s="19"/>
      <c r="AM307" s="61">
        <f t="shared" ca="1" si="76"/>
        <v>3.0070123842270455E-3</v>
      </c>
      <c r="AN307" s="61">
        <f t="shared" ca="1" si="77"/>
        <v>-8.5249324171254737E-3</v>
      </c>
      <c r="AO307" s="61">
        <f t="shared" ca="1" si="78"/>
        <v>-1.6189453404679775E-2</v>
      </c>
      <c r="AP307" s="19"/>
      <c r="AQ307" s="62">
        <f t="shared" ca="1" si="73"/>
        <v>0.80204302776454117</v>
      </c>
      <c r="AR307" s="62">
        <f t="shared" ca="1" si="74"/>
        <v>0.83520225824460448</v>
      </c>
      <c r="AS307" s="62">
        <f t="shared" ca="1" si="75"/>
        <v>0.94984790639712902</v>
      </c>
      <c r="AT307" s="49"/>
    </row>
    <row r="308" spans="1:46" x14ac:dyDescent="0.3">
      <c r="A308" s="5">
        <v>43909</v>
      </c>
      <c r="B308" s="6">
        <v>38.200001</v>
      </c>
      <c r="C308" s="6">
        <v>70.519997000000004</v>
      </c>
      <c r="D308" s="6">
        <v>37.409999999999997</v>
      </c>
      <c r="F308" s="13">
        <v>305</v>
      </c>
      <c r="G308" s="5">
        <v>43909</v>
      </c>
      <c r="H308" s="15">
        <f t="shared" si="71"/>
        <v>-3.0422556814040283E-2</v>
      </c>
      <c r="I308" s="15">
        <f t="shared" si="71"/>
        <v>-4.2612777594749303E-2</v>
      </c>
      <c r="J308" s="15">
        <f t="shared" si="71"/>
        <v>6.6018721502348873E-2</v>
      </c>
      <c r="K308" s="22"/>
      <c r="L308" s="13">
        <v>305</v>
      </c>
      <c r="M308" s="5">
        <v>43909</v>
      </c>
      <c r="N308" s="26">
        <f t="shared" si="68"/>
        <v>0.6756278798084917</v>
      </c>
      <c r="O308" s="26">
        <f t="shared" si="69"/>
        <v>0.66881634732897666</v>
      </c>
      <c r="P308" s="26">
        <f t="shared" si="70"/>
        <v>0.49510324232671366</v>
      </c>
      <c r="Q308" s="22"/>
      <c r="AD308" s="59">
        <v>304</v>
      </c>
      <c r="AE308" s="61">
        <f t="shared" ca="1" si="72"/>
        <v>0.56189991748287882</v>
      </c>
      <c r="AF308" s="61">
        <f t="shared" ca="1" si="72"/>
        <v>1.5633442974885745</v>
      </c>
      <c r="AG308" s="61">
        <f t="shared" ca="1" si="72"/>
        <v>1.4471962439846136</v>
      </c>
      <c r="AH308" s="19"/>
      <c r="AI308" s="61">
        <f ca="1"/>
        <v>1.2184397851455151E-2</v>
      </c>
      <c r="AJ308" s="61">
        <f ca="1"/>
        <v>4.2775926568699968E-2</v>
      </c>
      <c r="AK308" s="61">
        <f ca="1"/>
        <v>5.6389271665194265E-2</v>
      </c>
      <c r="AL308" s="19"/>
      <c r="AM308" s="61">
        <f t="shared" ca="1" si="76"/>
        <v>1.2535614173965395E-2</v>
      </c>
      <c r="AN308" s="61">
        <f t="shared" ca="1" si="77"/>
        <v>4.3024979165616498E-2</v>
      </c>
      <c r="AO308" s="61">
        <f t="shared" ca="1" si="78"/>
        <v>5.6820940268449083E-2</v>
      </c>
      <c r="AP308" s="19"/>
      <c r="AQ308" s="62">
        <f t="shared" ca="1" si="73"/>
        <v>0.81216041102989378</v>
      </c>
      <c r="AR308" s="62">
        <f t="shared" ca="1" si="74"/>
        <v>0.87192106683506387</v>
      </c>
      <c r="AS308" s="62">
        <f t="shared" ca="1" si="75"/>
        <v>1.0053819655560281</v>
      </c>
      <c r="AT308" s="49"/>
    </row>
    <row r="309" spans="1:46" x14ac:dyDescent="0.3">
      <c r="A309" s="5">
        <v>43910</v>
      </c>
      <c r="B309" s="6">
        <v>35</v>
      </c>
      <c r="C309" s="6">
        <v>66.610000999999997</v>
      </c>
      <c r="D309" s="6">
        <v>38.659999999999997</v>
      </c>
      <c r="F309" s="13">
        <v>306</v>
      </c>
      <c r="G309" s="5">
        <v>43910</v>
      </c>
      <c r="H309" s="15">
        <f t="shared" si="71"/>
        <v>-8.7487480301126019E-2</v>
      </c>
      <c r="I309" s="15">
        <f t="shared" si="71"/>
        <v>-5.7041583550696773E-2</v>
      </c>
      <c r="J309" s="15">
        <f t="shared" si="71"/>
        <v>3.2867425420130075E-2</v>
      </c>
      <c r="K309" s="22"/>
      <c r="L309" s="13">
        <v>306</v>
      </c>
      <c r="M309" s="5">
        <v>43910</v>
      </c>
      <c r="N309" s="26">
        <f t="shared" si="68"/>
        <v>0.61903076372425259</v>
      </c>
      <c r="O309" s="26">
        <f t="shared" si="69"/>
        <v>0.63173368490641713</v>
      </c>
      <c r="P309" s="26">
        <f t="shared" si="70"/>
        <v>0.51164638728550527</v>
      </c>
      <c r="Q309" s="22"/>
      <c r="AD309" s="59">
        <v>305</v>
      </c>
      <c r="AE309" s="61">
        <f t="shared" ca="1" si="72"/>
        <v>1.6980427692328655</v>
      </c>
      <c r="AF309" s="61">
        <f t="shared" ca="1" si="72"/>
        <v>-0.48853529649554289</v>
      </c>
      <c r="AG309" s="61">
        <f t="shared" ca="1" si="72"/>
        <v>0.16599198722943376</v>
      </c>
      <c r="AH309" s="19"/>
      <c r="AI309" s="61">
        <f ca="1"/>
        <v>3.682084304586198E-2</v>
      </c>
      <c r="AJ309" s="61">
        <f ca="1"/>
        <v>1.5959527414300682E-2</v>
      </c>
      <c r="AK309" s="61">
        <f ca="1"/>
        <v>2.590172578645188E-2</v>
      </c>
      <c r="AL309" s="19"/>
      <c r="AM309" s="61">
        <f t="shared" ca="1" si="76"/>
        <v>3.7172059368372222E-2</v>
      </c>
      <c r="AN309" s="61">
        <f t="shared" ca="1" si="77"/>
        <v>1.6208580011217211E-2</v>
      </c>
      <c r="AO309" s="61">
        <f t="shared" ca="1" si="78"/>
        <v>2.6333394389706697E-2</v>
      </c>
      <c r="AP309" s="19"/>
      <c r="AQ309" s="62">
        <f t="shared" ca="1" si="73"/>
        <v>0.84291820982520238</v>
      </c>
      <c r="AR309" s="62">
        <f t="shared" ca="1" si="74"/>
        <v>0.88616882524918161</v>
      </c>
      <c r="AS309" s="62">
        <f t="shared" ca="1" si="75"/>
        <v>1.0322087553553432</v>
      </c>
      <c r="AT309" s="49"/>
    </row>
    <row r="310" spans="1:46" x14ac:dyDescent="0.3">
      <c r="A310" s="5">
        <v>43913</v>
      </c>
      <c r="B310" s="6">
        <v>34.169998</v>
      </c>
      <c r="C310" s="6">
        <v>65.400002000000001</v>
      </c>
      <c r="D310" s="6">
        <v>32.619999</v>
      </c>
      <c r="F310" s="13">
        <v>307</v>
      </c>
      <c r="G310" s="5">
        <v>43913</v>
      </c>
      <c r="H310" s="15">
        <f t="shared" si="71"/>
        <v>-2.4000053893090022E-2</v>
      </c>
      <c r="I310" s="15">
        <f t="shared" si="71"/>
        <v>-1.833244239365641E-2</v>
      </c>
      <c r="J310" s="15">
        <f t="shared" si="71"/>
        <v>-0.16987990724335658</v>
      </c>
      <c r="K310" s="22"/>
      <c r="L310" s="13">
        <v>307</v>
      </c>
      <c r="M310" s="5">
        <v>43913</v>
      </c>
      <c r="N310" s="26">
        <f t="shared" si="68"/>
        <v>0.60435085595417659</v>
      </c>
      <c r="O310" s="26">
        <f t="shared" si="69"/>
        <v>0.62025797381908243</v>
      </c>
      <c r="P310" s="26">
        <f t="shared" si="70"/>
        <v>0.43170989761010847</v>
      </c>
      <c r="Q310" s="22"/>
      <c r="AD310" s="59">
        <v>306</v>
      </c>
      <c r="AE310" s="61">
        <f t="shared" ca="1" si="72"/>
        <v>-1.4494459017175958</v>
      </c>
      <c r="AF310" s="61">
        <f t="shared" ca="1" si="72"/>
        <v>1.2311403711851876</v>
      </c>
      <c r="AG310" s="61">
        <f t="shared" ca="1" si="72"/>
        <v>0.1666088479819966</v>
      </c>
      <c r="AH310" s="19"/>
      <c r="AI310" s="61">
        <f ca="1"/>
        <v>-3.1430197765114409E-2</v>
      </c>
      <c r="AJ310" s="61">
        <f ca="1"/>
        <v>4.0728717437774585E-3</v>
      </c>
      <c r="AK310" s="61">
        <f ca="1"/>
        <v>-8.4775858126138262E-3</v>
      </c>
      <c r="AL310" s="19"/>
      <c r="AM310" s="61">
        <f t="shared" ca="1" si="76"/>
        <v>-3.1078981442604164E-2</v>
      </c>
      <c r="AN310" s="61">
        <f t="shared" ca="1" si="77"/>
        <v>4.3219243406939891E-3</v>
      </c>
      <c r="AO310" s="61">
        <f t="shared" ca="1" si="78"/>
        <v>-8.0459172093590072E-3</v>
      </c>
      <c r="AP310" s="19"/>
      <c r="AQ310" s="62">
        <f t="shared" ca="1" si="73"/>
        <v>0.81712407433962297</v>
      </c>
      <c r="AR310" s="62">
        <f t="shared" ca="1" si="74"/>
        <v>0.89000706818822939</v>
      </c>
      <c r="AS310" s="62">
        <f t="shared" ca="1" si="75"/>
        <v>1.0239370106772046</v>
      </c>
      <c r="AT310" s="49"/>
    </row>
    <row r="311" spans="1:46" x14ac:dyDescent="0.3">
      <c r="A311" s="5">
        <v>43914</v>
      </c>
      <c r="B311" s="6">
        <v>39.18</v>
      </c>
      <c r="C311" s="6">
        <v>69.470000999999996</v>
      </c>
      <c r="D311" s="6">
        <v>34.650002000000001</v>
      </c>
      <c r="F311" s="13">
        <v>308</v>
      </c>
      <c r="G311" s="5">
        <v>43914</v>
      </c>
      <c r="H311" s="15">
        <f t="shared" si="71"/>
        <v>0.13681840492007105</v>
      </c>
      <c r="I311" s="15">
        <f t="shared" si="71"/>
        <v>6.0372730055299736E-2</v>
      </c>
      <c r="J311" s="15">
        <f t="shared" si="71"/>
        <v>6.0372216819140297E-2</v>
      </c>
      <c r="K311" s="22"/>
      <c r="L311" s="13">
        <v>308</v>
      </c>
      <c r="M311" s="5">
        <v>43914</v>
      </c>
      <c r="N311" s="26">
        <f t="shared" si="68"/>
        <v>0.69296072350617754</v>
      </c>
      <c r="O311" s="26">
        <f t="shared" si="69"/>
        <v>0.65885811534791128</v>
      </c>
      <c r="P311" s="26">
        <f t="shared" si="70"/>
        <v>0.45857600472673388</v>
      </c>
      <c r="Q311" s="22"/>
      <c r="AD311" s="59">
        <v>307</v>
      </c>
      <c r="AE311" s="61">
        <f t="shared" ca="1" si="72"/>
        <v>-0.52839764436973446</v>
      </c>
      <c r="AF311" s="61">
        <f t="shared" ca="1" si="72"/>
        <v>-0.97120433083317559</v>
      </c>
      <c r="AG311" s="61">
        <f t="shared" ca="1" si="72"/>
        <v>1.329121853002011</v>
      </c>
      <c r="AH311" s="19"/>
      <c r="AI311" s="61">
        <f ca="1"/>
        <v>-1.1457925019127145E-2</v>
      </c>
      <c r="AJ311" s="61">
        <f ca="1"/>
        <v>-2.9380772924783097E-2</v>
      </c>
      <c r="AK311" s="61">
        <f ca="1"/>
        <v>1.9405010169218331E-2</v>
      </c>
      <c r="AL311" s="19"/>
      <c r="AM311" s="61">
        <f t="shared" ca="1" si="76"/>
        <v>-1.1106708696616901E-2</v>
      </c>
      <c r="AN311" s="61">
        <f t="shared" ca="1" si="77"/>
        <v>-2.9131720327866567E-2</v>
      </c>
      <c r="AO311" s="61">
        <f t="shared" ca="1" si="78"/>
        <v>1.9836678772473148E-2</v>
      </c>
      <c r="AP311" s="19"/>
      <c r="AQ311" s="62">
        <f t="shared" ca="1" si="73"/>
        <v>0.80809872899733237</v>
      </c>
      <c r="AR311" s="62">
        <f t="shared" ca="1" si="74"/>
        <v>0.86445364591246276</v>
      </c>
      <c r="AS311" s="62">
        <f t="shared" ca="1" si="75"/>
        <v>1.0444513153944393</v>
      </c>
      <c r="AT311" s="49"/>
    </row>
    <row r="312" spans="1:46" x14ac:dyDescent="0.3">
      <c r="A312" s="5">
        <v>43915</v>
      </c>
      <c r="B312" s="6">
        <v>39.869999</v>
      </c>
      <c r="C312" s="6">
        <v>70.599997999999999</v>
      </c>
      <c r="D312" s="6">
        <v>39.630001</v>
      </c>
      <c r="F312" s="13">
        <v>309</v>
      </c>
      <c r="G312" s="5">
        <v>43915</v>
      </c>
      <c r="H312" s="15">
        <f t="shared" si="71"/>
        <v>1.7457723795353798E-2</v>
      </c>
      <c r="I312" s="15">
        <f t="shared" si="71"/>
        <v>1.613509707109189E-2</v>
      </c>
      <c r="J312" s="15">
        <f t="shared" si="71"/>
        <v>0.13428864907978399</v>
      </c>
      <c r="K312" s="22"/>
      <c r="L312" s="13">
        <v>309</v>
      </c>
      <c r="M312" s="5">
        <v>43915</v>
      </c>
      <c r="N312" s="26">
        <f t="shared" si="68"/>
        <v>0.70516445516157666</v>
      </c>
      <c r="O312" s="26">
        <f t="shared" si="69"/>
        <v>0.6695750821400781</v>
      </c>
      <c r="P312" s="26">
        <f t="shared" si="70"/>
        <v>0.52448388100804344</v>
      </c>
      <c r="Q312" s="22"/>
      <c r="AD312" s="59">
        <v>308</v>
      </c>
      <c r="AE312" s="61">
        <f t="shared" ca="1" si="72"/>
        <v>-7.586097258085743E-2</v>
      </c>
      <c r="AF312" s="61">
        <f t="shared" ca="1" si="72"/>
        <v>-1.3928388825186264</v>
      </c>
      <c r="AG312" s="61">
        <f t="shared" ca="1" si="72"/>
        <v>0.46626407482535931</v>
      </c>
      <c r="AH312" s="19"/>
      <c r="AI312" s="61">
        <f ca="1"/>
        <v>-1.6449909362224841E-3</v>
      </c>
      <c r="AJ312" s="61">
        <f ca="1"/>
        <v>-3.1462172059051698E-2</v>
      </c>
      <c r="AK312" s="61">
        <f ca="1"/>
        <v>1.0157643079789259E-3</v>
      </c>
      <c r="AL312" s="19"/>
      <c r="AM312" s="61">
        <f t="shared" ca="1" si="76"/>
        <v>-1.29377461371224E-3</v>
      </c>
      <c r="AN312" s="61">
        <f t="shared" ca="1" si="77"/>
        <v>-3.1213119462135168E-2</v>
      </c>
      <c r="AO312" s="61">
        <f t="shared" ca="1" si="78"/>
        <v>1.4474329112337441E-3</v>
      </c>
      <c r="AP312" s="19"/>
      <c r="AQ312" s="62">
        <f t="shared" ca="1" si="73"/>
        <v>0.807053907403949</v>
      </c>
      <c r="AR312" s="62">
        <f t="shared" ca="1" si="74"/>
        <v>0.83788810447673834</v>
      </c>
      <c r="AS312" s="62">
        <f t="shared" ca="1" si="75"/>
        <v>1.0459641832257378</v>
      </c>
      <c r="AT312" s="49"/>
    </row>
    <row r="313" spans="1:46" x14ac:dyDescent="0.3">
      <c r="A313" s="5">
        <v>43916</v>
      </c>
      <c r="B313" s="6">
        <v>43.459999000000003</v>
      </c>
      <c r="C313" s="6">
        <v>74.319999999999993</v>
      </c>
      <c r="D313" s="6">
        <v>45.599997999999999</v>
      </c>
      <c r="F313" s="13">
        <v>310</v>
      </c>
      <c r="G313" s="5">
        <v>43916</v>
      </c>
      <c r="H313" s="15">
        <f t="shared" si="71"/>
        <v>8.6216815506870825E-2</v>
      </c>
      <c r="I313" s="15">
        <f t="shared" si="71"/>
        <v>5.1349978334998866E-2</v>
      </c>
      <c r="J313" s="15">
        <f t="shared" si="71"/>
        <v>0.14032124022493803</v>
      </c>
      <c r="K313" s="22"/>
      <c r="L313" s="13">
        <v>310</v>
      </c>
      <c r="M313" s="5">
        <v>43916</v>
      </c>
      <c r="N313" s="26">
        <f t="shared" si="68"/>
        <v>0.76865932492643585</v>
      </c>
      <c r="O313" s="26">
        <f t="shared" si="69"/>
        <v>0.70485582881532938</v>
      </c>
      <c r="P313" s="26">
        <f t="shared" si="70"/>
        <v>0.60349390162768402</v>
      </c>
      <c r="Q313" s="22"/>
      <c r="AD313" s="59">
        <v>309</v>
      </c>
      <c r="AE313" s="61">
        <f t="shared" ca="1" si="72"/>
        <v>-1.7988143368536884</v>
      </c>
      <c r="AF313" s="61">
        <f t="shared" ca="1" si="72"/>
        <v>0.85294602665401198</v>
      </c>
      <c r="AG313" s="61">
        <f t="shared" ca="1" si="72"/>
        <v>0.84461536771722723</v>
      </c>
      <c r="AH313" s="19"/>
      <c r="AI313" s="61">
        <f ca="1"/>
        <v>-3.9006002419985461E-2</v>
      </c>
      <c r="AJ313" s="61">
        <f ca="1"/>
        <v>-9.6159999944084966E-3</v>
      </c>
      <c r="AK313" s="61">
        <f ca="1"/>
        <v>1.0673825838287479E-3</v>
      </c>
      <c r="AL313" s="19"/>
      <c r="AM313" s="61">
        <f t="shared" ca="1" si="76"/>
        <v>-3.8654786097475219E-2</v>
      </c>
      <c r="AN313" s="61">
        <f t="shared" ca="1" si="77"/>
        <v>-9.3669473974919652E-3</v>
      </c>
      <c r="AO313" s="61">
        <f t="shared" ca="1" si="78"/>
        <v>1.499051187083566E-3</v>
      </c>
      <c r="AP313" s="19"/>
      <c r="AQ313" s="62">
        <f t="shared" ca="1" si="73"/>
        <v>0.77645266375864319</v>
      </c>
      <c r="AR313" s="62">
        <f t="shared" ca="1" si="74"/>
        <v>0.83007629420215734</v>
      </c>
      <c r="AS313" s="62">
        <f t="shared" ca="1" si="75"/>
        <v>1.0475333128852489</v>
      </c>
      <c r="AT313" s="49"/>
    </row>
    <row r="314" spans="1:46" x14ac:dyDescent="0.3">
      <c r="A314" s="5">
        <v>43917</v>
      </c>
      <c r="B314" s="6">
        <v>39.009998000000003</v>
      </c>
      <c r="C314" s="6">
        <v>67.989998</v>
      </c>
      <c r="D314" s="6">
        <v>45.040000999999997</v>
      </c>
      <c r="F314" s="13">
        <v>311</v>
      </c>
      <c r="G314" s="5">
        <v>43917</v>
      </c>
      <c r="H314" s="15">
        <f t="shared" si="71"/>
        <v>-0.10802297956896077</v>
      </c>
      <c r="I314" s="15">
        <f t="shared" si="71"/>
        <v>-8.9019488383305687E-2</v>
      </c>
      <c r="J314" s="15">
        <f t="shared" si="71"/>
        <v>-1.2356666626768972E-2</v>
      </c>
      <c r="K314" s="22"/>
      <c r="L314" s="13">
        <v>311</v>
      </c>
      <c r="M314" s="5">
        <v>43917</v>
      </c>
      <c r="N314" s="26">
        <f t="shared" si="68"/>
        <v>0.6899539672806162</v>
      </c>
      <c r="O314" s="26">
        <f t="shared" si="69"/>
        <v>0.64482166834556776</v>
      </c>
      <c r="P314" s="26">
        <f t="shared" si="70"/>
        <v>0.59608261238969329</v>
      </c>
      <c r="Q314" s="22"/>
      <c r="AD314" s="59">
        <v>310</v>
      </c>
      <c r="AE314" s="61">
        <f t="shared" ca="1" si="72"/>
        <v>-0.2837551841975629</v>
      </c>
      <c r="AF314" s="61">
        <f t="shared" ca="1" si="72"/>
        <v>1.1481981367720389</v>
      </c>
      <c r="AG314" s="61">
        <f t="shared" ca="1" si="72"/>
        <v>1.2471536464341653</v>
      </c>
      <c r="AH314" s="19"/>
      <c r="AI314" s="61">
        <f ca="1"/>
        <v>-6.1530282335045781E-3</v>
      </c>
      <c r="AJ314" s="61">
        <f ca="1"/>
        <v>2.0515822894190613E-2</v>
      </c>
      <c r="AK314" s="61">
        <f ca="1"/>
        <v>3.5845522879419105E-2</v>
      </c>
      <c r="AL314" s="19"/>
      <c r="AM314" s="61">
        <f t="shared" ca="1" si="76"/>
        <v>-5.8018119109943343E-3</v>
      </c>
      <c r="AN314" s="61">
        <f t="shared" ca="1" si="77"/>
        <v>2.0764875491107143E-2</v>
      </c>
      <c r="AO314" s="61">
        <f t="shared" ca="1" si="78"/>
        <v>3.6277191482673922E-2</v>
      </c>
      <c r="AP314" s="19"/>
      <c r="AQ314" s="62">
        <f t="shared" ca="1" si="73"/>
        <v>0.77196087430434857</v>
      </c>
      <c r="AR314" s="62">
        <f t="shared" ca="1" si="74"/>
        <v>0.84749292639465679</v>
      </c>
      <c r="AS314" s="62">
        <f t="shared" ca="1" si="75"/>
        <v>1.0862325858909621</v>
      </c>
      <c r="AT314" s="49"/>
    </row>
    <row r="315" spans="1:46" x14ac:dyDescent="0.3">
      <c r="A315" s="5">
        <v>43920</v>
      </c>
      <c r="B315" s="6">
        <v>40.310001</v>
      </c>
      <c r="C315" s="6">
        <v>71.260002</v>
      </c>
      <c r="D315" s="6">
        <v>47.189999</v>
      </c>
      <c r="F315" s="13">
        <v>312</v>
      </c>
      <c r="G315" s="5">
        <v>43920</v>
      </c>
      <c r="H315" s="15">
        <f t="shared" si="71"/>
        <v>3.2781629687155645E-2</v>
      </c>
      <c r="I315" s="15">
        <f t="shared" si="71"/>
        <v>4.6974582121648588E-2</v>
      </c>
      <c r="J315" s="15">
        <f t="shared" si="71"/>
        <v>4.6630978513444304E-2</v>
      </c>
      <c r="K315" s="22"/>
      <c r="L315" s="13">
        <v>312</v>
      </c>
      <c r="M315" s="5">
        <v>43920</v>
      </c>
      <c r="N315" s="26">
        <f t="shared" si="68"/>
        <v>0.71294659156443951</v>
      </c>
      <c r="O315" s="26">
        <f t="shared" si="69"/>
        <v>0.67583460402438156</v>
      </c>
      <c r="P315" s="26">
        <f t="shared" si="70"/>
        <v>0.62453679524978289</v>
      </c>
      <c r="Q315" s="22"/>
      <c r="AD315" s="59">
        <v>311</v>
      </c>
      <c r="AE315" s="61">
        <f t="shared" ca="1" si="72"/>
        <v>-1.0258120091520606</v>
      </c>
      <c r="AF315" s="61">
        <f t="shared" ca="1" si="72"/>
        <v>-1.5605872022491472</v>
      </c>
      <c r="AG315" s="61">
        <f t="shared" ca="1" si="72"/>
        <v>-0.57001137695381054</v>
      </c>
      <c r="AH315" s="19"/>
      <c r="AI315" s="61">
        <f ca="1"/>
        <v>-2.2243999778999973E-2</v>
      </c>
      <c r="AJ315" s="61">
        <f ca="1"/>
        <v>-4.9977307121036041E-2</v>
      </c>
      <c r="AK315" s="61">
        <f ca="1"/>
        <v>-4.0750972488204355E-2</v>
      </c>
      <c r="AL315" s="19"/>
      <c r="AM315" s="61">
        <f t="shared" ca="1" si="76"/>
        <v>-2.1892783456489727E-2</v>
      </c>
      <c r="AN315" s="61">
        <f t="shared" ca="1" si="77"/>
        <v>-4.9728254524119511E-2</v>
      </c>
      <c r="AO315" s="61">
        <f t="shared" ca="1" si="78"/>
        <v>-4.0319303884949538E-2</v>
      </c>
      <c r="AP315" s="19"/>
      <c r="AQ315" s="62">
        <f t="shared" ca="1" si="73"/>
        <v>0.75524415745713558</v>
      </c>
      <c r="AR315" s="62">
        <f t="shared" ca="1" si="74"/>
        <v>0.80637930880073894</v>
      </c>
      <c r="AS315" s="62">
        <f t="shared" ca="1" si="75"/>
        <v>1.0433076116227069</v>
      </c>
      <c r="AT315" s="49"/>
    </row>
    <row r="316" spans="1:46" x14ac:dyDescent="0.3">
      <c r="A316" s="5">
        <v>43921</v>
      </c>
      <c r="B316" s="6">
        <v>37.75</v>
      </c>
      <c r="C316" s="6">
        <v>66.830001999999993</v>
      </c>
      <c r="D316" s="6">
        <v>45.360000999999997</v>
      </c>
      <c r="F316" s="13">
        <v>313</v>
      </c>
      <c r="G316" s="5">
        <v>43921</v>
      </c>
      <c r="H316" s="15">
        <f t="shared" si="71"/>
        <v>-6.5614126241780354E-2</v>
      </c>
      <c r="I316" s="15">
        <f t="shared" si="71"/>
        <v>-6.4183076794268115E-2</v>
      </c>
      <c r="J316" s="15">
        <f t="shared" si="71"/>
        <v>-3.9551303082013892E-2</v>
      </c>
      <c r="K316" s="22"/>
      <c r="L316" s="13">
        <v>313</v>
      </c>
      <c r="M316" s="5">
        <v>43921</v>
      </c>
      <c r="N316" s="26">
        <f t="shared" si="68"/>
        <v>0.66766889515972949</v>
      </c>
      <c r="O316" s="26">
        <f t="shared" si="69"/>
        <v>0.6338201890398294</v>
      </c>
      <c r="P316" s="26">
        <f t="shared" si="70"/>
        <v>0.6003176574991439</v>
      </c>
      <c r="Q316" s="22"/>
      <c r="AD316" s="59">
        <v>312</v>
      </c>
      <c r="AE316" s="61">
        <f t="shared" ca="1" si="72"/>
        <v>0.18100316520432469</v>
      </c>
      <c r="AF316" s="61">
        <f t="shared" ca="1" si="72"/>
        <v>0.10712188462632251</v>
      </c>
      <c r="AG316" s="61">
        <f t="shared" ca="1" si="72"/>
        <v>0.68018213808970052</v>
      </c>
      <c r="AH316" s="19"/>
      <c r="AI316" s="61">
        <f ca="1"/>
        <v>3.9249241877479983E-3</v>
      </c>
      <c r="AJ316" s="61">
        <f ca="1"/>
        <v>5.1615258768864308E-3</v>
      </c>
      <c r="AK316" s="61">
        <f ca="1"/>
        <v>2.0855058110315901E-2</v>
      </c>
      <c r="AL316" s="19"/>
      <c r="AM316" s="61">
        <f t="shared" ca="1" si="76"/>
        <v>4.2761405102582422E-3</v>
      </c>
      <c r="AN316" s="61">
        <f t="shared" ca="1" si="77"/>
        <v>5.4105784738029614E-3</v>
      </c>
      <c r="AO316" s="61">
        <f t="shared" ca="1" si="78"/>
        <v>2.1286726713570719E-2</v>
      </c>
      <c r="AP316" s="19"/>
      <c r="AQ316" s="62">
        <f t="shared" ca="1" si="73"/>
        <v>0.7584806024090246</v>
      </c>
      <c r="AR316" s="62">
        <f t="shared" ca="1" si="74"/>
        <v>0.81075411176557299</v>
      </c>
      <c r="AS316" s="62">
        <f t="shared" ca="1" si="75"/>
        <v>1.0657542760466161</v>
      </c>
      <c r="AT316" s="49"/>
    </row>
    <row r="317" spans="1:46" x14ac:dyDescent="0.3">
      <c r="A317" s="5">
        <v>43922</v>
      </c>
      <c r="B317" s="6">
        <v>38.169998</v>
      </c>
      <c r="C317" s="6">
        <v>65.690002000000007</v>
      </c>
      <c r="D317" s="6">
        <v>41</v>
      </c>
      <c r="F317" s="13">
        <v>314</v>
      </c>
      <c r="G317" s="5">
        <v>43922</v>
      </c>
      <c r="H317" s="15">
        <f t="shared" si="71"/>
        <v>1.1064338664932755E-2</v>
      </c>
      <c r="I317" s="15">
        <f t="shared" si="71"/>
        <v>-1.7205374099242204E-2</v>
      </c>
      <c r="J317" s="15">
        <f t="shared" si="71"/>
        <v>-0.10105861476104391</v>
      </c>
      <c r="K317" s="22"/>
      <c r="L317" s="13">
        <v>314</v>
      </c>
      <c r="M317" s="5">
        <v>43922</v>
      </c>
      <c r="N317" s="26">
        <f t="shared" si="68"/>
        <v>0.67509722895123403</v>
      </c>
      <c r="O317" s="26">
        <f t="shared" si="69"/>
        <v>0.62300835312958358</v>
      </c>
      <c r="P317" s="26">
        <f t="shared" si="70"/>
        <v>0.54261515464836307</v>
      </c>
      <c r="Q317" s="22"/>
      <c r="AD317" s="59">
        <v>313</v>
      </c>
      <c r="AE317" s="61">
        <f t="shared" ca="1" si="72"/>
        <v>0.89480138398984577</v>
      </c>
      <c r="AF317" s="61">
        <f t="shared" ca="1" si="72"/>
        <v>-1.7727011092674676</v>
      </c>
      <c r="AG317" s="61">
        <f t="shared" ca="1" si="72"/>
        <v>-1.8444441684176456</v>
      </c>
      <c r="AH317" s="19"/>
      <c r="AI317" s="61">
        <f ca="1"/>
        <v>1.9403128068437876E-2</v>
      </c>
      <c r="AJ317" s="61">
        <f ca="1"/>
        <v>-2.4525728900631011E-2</v>
      </c>
      <c r="AK317" s="61">
        <f ca="1"/>
        <v>-4.6517575603401203E-2</v>
      </c>
      <c r="AL317" s="19"/>
      <c r="AM317" s="61">
        <f t="shared" ca="1" si="76"/>
        <v>1.9754344390948121E-2</v>
      </c>
      <c r="AN317" s="61">
        <f t="shared" ca="1" si="77"/>
        <v>-2.4276676303714481E-2</v>
      </c>
      <c r="AO317" s="61">
        <f t="shared" ca="1" si="78"/>
        <v>-4.6085907000146385E-2</v>
      </c>
      <c r="AP317" s="19"/>
      <c r="AQ317" s="62">
        <f t="shared" ca="1" si="73"/>
        <v>0.77361286127898521</v>
      </c>
      <c r="AR317" s="62">
        <f t="shared" ca="1" si="74"/>
        <v>0.79130868679159194</v>
      </c>
      <c r="AS317" s="62">
        <f t="shared" ca="1" si="75"/>
        <v>1.017752619178679</v>
      </c>
      <c r="AT317" s="49"/>
    </row>
    <row r="318" spans="1:46" x14ac:dyDescent="0.3">
      <c r="A318" s="5">
        <v>43923</v>
      </c>
      <c r="B318" s="6">
        <v>37.830002</v>
      </c>
      <c r="C318" s="6">
        <v>65.970000999999996</v>
      </c>
      <c r="D318" s="6">
        <v>41.5</v>
      </c>
      <c r="F318" s="13">
        <v>315</v>
      </c>
      <c r="G318" s="5">
        <v>43923</v>
      </c>
      <c r="H318" s="15">
        <f t="shared" si="71"/>
        <v>-8.9473228469357808E-3</v>
      </c>
      <c r="I318" s="15">
        <f t="shared" si="71"/>
        <v>4.2533710427690458E-3</v>
      </c>
      <c r="J318" s="15">
        <f t="shared" si="71"/>
        <v>1.212136053234482E-2</v>
      </c>
      <c r="K318" s="22"/>
      <c r="L318" s="13">
        <v>315</v>
      </c>
      <c r="M318" s="5">
        <v>43923</v>
      </c>
      <c r="N318" s="26">
        <f t="shared" si="68"/>
        <v>0.66908385799285719</v>
      </c>
      <c r="O318" s="26">
        <f t="shared" si="69"/>
        <v>0.6256638822901387</v>
      </c>
      <c r="P318" s="26">
        <f t="shared" si="70"/>
        <v>0.54923241263187972</v>
      </c>
      <c r="Q318" s="22"/>
      <c r="AD318" s="59">
        <v>314</v>
      </c>
      <c r="AE318" s="61">
        <f t="shared" ca="1" si="72"/>
        <v>0.57789574793550302</v>
      </c>
      <c r="AF318" s="61">
        <f t="shared" ca="1" si="72"/>
        <v>0.31825092490703122</v>
      </c>
      <c r="AG318" s="61">
        <f t="shared" ca="1" si="72"/>
        <v>1.01240443278349</v>
      </c>
      <c r="AH318" s="19"/>
      <c r="AI318" s="61">
        <f ca="1"/>
        <v>1.2531255994934294E-2</v>
      </c>
      <c r="AJ318" s="61">
        <f ca="1"/>
        <v>1.5962927236910267E-2</v>
      </c>
      <c r="AK318" s="61">
        <f ca="1"/>
        <v>3.6717750987845299E-2</v>
      </c>
      <c r="AL318" s="19"/>
      <c r="AM318" s="61">
        <f t="shared" ca="1" si="76"/>
        <v>1.2882472317444538E-2</v>
      </c>
      <c r="AN318" s="61">
        <f t="shared" ca="1" si="77"/>
        <v>1.6211979833826797E-2</v>
      </c>
      <c r="AO318" s="61">
        <f t="shared" ca="1" si="78"/>
        <v>3.7149419591100116E-2</v>
      </c>
      <c r="AP318" s="19"/>
      <c r="AQ318" s="62">
        <f t="shared" ca="1" si="73"/>
        <v>0.78364337775417636</v>
      </c>
      <c r="AR318" s="62">
        <f t="shared" ca="1" si="74"/>
        <v>0.80424192066045208</v>
      </c>
      <c r="AS318" s="62">
        <f t="shared" ca="1" si="75"/>
        <v>1.0562726058916354</v>
      </c>
      <c r="AT318" s="49"/>
    </row>
    <row r="319" spans="1:46" x14ac:dyDescent="0.3">
      <c r="A319" s="5">
        <v>43924</v>
      </c>
      <c r="B319" s="6">
        <v>37.970001000000003</v>
      </c>
      <c r="C319" s="6">
        <v>61</v>
      </c>
      <c r="D319" s="6">
        <v>40.340000000000003</v>
      </c>
      <c r="F319" s="13">
        <v>316</v>
      </c>
      <c r="G319" s="5">
        <v>43924</v>
      </c>
      <c r="H319" s="15">
        <f t="shared" si="71"/>
        <v>3.6939090672616377E-3</v>
      </c>
      <c r="I319" s="15">
        <f t="shared" si="71"/>
        <v>-7.8326244219873442E-2</v>
      </c>
      <c r="J319" s="15">
        <f t="shared" si="71"/>
        <v>-2.8349894710586784E-2</v>
      </c>
      <c r="K319" s="22"/>
      <c r="L319" s="13">
        <v>316</v>
      </c>
      <c r="M319" s="5">
        <v>43924</v>
      </c>
      <c r="N319" s="26">
        <f t="shared" si="68"/>
        <v>0.67155996336116097</v>
      </c>
      <c r="O319" s="26">
        <f t="shared" si="69"/>
        <v>0.57852806186403516</v>
      </c>
      <c r="P319" s="26">
        <f t="shared" si="70"/>
        <v>0.53388037411012113</v>
      </c>
      <c r="Q319" s="22"/>
      <c r="AD319" s="59">
        <v>315</v>
      </c>
      <c r="AE319" s="61">
        <f t="shared" ca="1" si="72"/>
        <v>0.77585012170392731</v>
      </c>
      <c r="AF319" s="61">
        <f t="shared" ca="1" si="72"/>
        <v>0.28230907007857159</v>
      </c>
      <c r="AG319" s="61">
        <f t="shared" ca="1" si="72"/>
        <v>0.26370407956107589</v>
      </c>
      <c r="AH319" s="19"/>
      <c r="AI319" s="61">
        <f ca="1"/>
        <v>1.6823755017242179E-2</v>
      </c>
      <c r="AJ319" s="61">
        <f ca="1"/>
        <v>1.8280143197897628E-2</v>
      </c>
      <c r="AK319" s="61">
        <f ca="1"/>
        <v>2.020784641288393E-2</v>
      </c>
      <c r="AL319" s="19"/>
      <c r="AM319" s="61">
        <f t="shared" ca="1" si="76"/>
        <v>1.7174971339752425E-2</v>
      </c>
      <c r="AN319" s="61">
        <f t="shared" ca="1" si="77"/>
        <v>1.8529195794814157E-2</v>
      </c>
      <c r="AO319" s="61">
        <f t="shared" ca="1" si="78"/>
        <v>2.0639515016138747E-2</v>
      </c>
      <c r="AP319" s="19"/>
      <c r="AQ319" s="62">
        <f t="shared" ca="1" si="73"/>
        <v>0.79721867427062387</v>
      </c>
      <c r="AR319" s="62">
        <f t="shared" ca="1" si="74"/>
        <v>0.81928279398733417</v>
      </c>
      <c r="AS319" s="62">
        <f t="shared" ca="1" si="75"/>
        <v>1.0783000966135918</v>
      </c>
      <c r="AT319" s="49"/>
    </row>
    <row r="320" spans="1:46" x14ac:dyDescent="0.3">
      <c r="A320" s="5">
        <v>43927</v>
      </c>
      <c r="B320" s="6">
        <v>38.150002000000001</v>
      </c>
      <c r="C320" s="6">
        <v>68.599997999999999</v>
      </c>
      <c r="D320" s="6">
        <v>46.099997999999999</v>
      </c>
      <c r="F320" s="13">
        <v>317</v>
      </c>
      <c r="G320" s="5">
        <v>43927</v>
      </c>
      <c r="H320" s="15">
        <f t="shared" si="71"/>
        <v>4.7294095748119901E-3</v>
      </c>
      <c r="I320" s="15">
        <f t="shared" si="71"/>
        <v>0.11741864140400896</v>
      </c>
      <c r="J320" s="15">
        <f t="shared" si="71"/>
        <v>0.13346937409258811</v>
      </c>
      <c r="K320" s="22"/>
      <c r="L320" s="13">
        <v>317</v>
      </c>
      <c r="M320" s="5">
        <v>43927</v>
      </c>
      <c r="N320" s="26">
        <f t="shared" si="68"/>
        <v>0.67474356783262179</v>
      </c>
      <c r="O320" s="26">
        <f t="shared" si="69"/>
        <v>0.65060694896420801</v>
      </c>
      <c r="P320" s="26">
        <f t="shared" si="70"/>
        <v>0.61011115961120066</v>
      </c>
      <c r="Q320" s="22"/>
      <c r="AD320" s="59">
        <v>316</v>
      </c>
      <c r="AE320" s="61">
        <f t="shared" ca="1" si="72"/>
        <v>-1.0990862170094371</v>
      </c>
      <c r="AF320" s="61">
        <f t="shared" ca="1" si="72"/>
        <v>-0.29845566992891887</v>
      </c>
      <c r="AG320" s="61">
        <f t="shared" ca="1" si="72"/>
        <v>-0.91964817825007539</v>
      </c>
      <c r="AH320" s="19"/>
      <c r="AI320" s="61">
        <f ca="1"/>
        <v>-2.3832898572194224E-2</v>
      </c>
      <c r="AJ320" s="61">
        <f ca="1"/>
        <v>-2.3690506567615975E-2</v>
      </c>
      <c r="AK320" s="61">
        <f ca="1"/>
        <v>-4.1902806385119173E-2</v>
      </c>
      <c r="AL320" s="19"/>
      <c r="AM320" s="61">
        <f t="shared" ca="1" si="76"/>
        <v>-2.3481682249683979E-2</v>
      </c>
      <c r="AN320" s="61">
        <f t="shared" ca="1" si="77"/>
        <v>-2.3441453970699445E-2</v>
      </c>
      <c r="AO320" s="61">
        <f t="shared" ca="1" si="78"/>
        <v>-4.1471137781864356E-2</v>
      </c>
      <c r="AP320" s="19"/>
      <c r="AQ320" s="62">
        <f t="shared" ca="1" si="73"/>
        <v>0.77871671735529457</v>
      </c>
      <c r="AR320" s="62">
        <f t="shared" ca="1" si="74"/>
        <v>0.80030096413295526</v>
      </c>
      <c r="AS320" s="62">
        <f t="shared" ca="1" si="75"/>
        <v>1.0344963384129966</v>
      </c>
      <c r="AT320" s="49"/>
    </row>
    <row r="321" spans="1:46" x14ac:dyDescent="0.3">
      <c r="A321" s="5">
        <v>43928</v>
      </c>
      <c r="B321" s="6">
        <v>40.169998</v>
      </c>
      <c r="C321" s="6">
        <v>73.790001000000004</v>
      </c>
      <c r="D321" s="6">
        <v>48.009998000000003</v>
      </c>
      <c r="F321" s="13">
        <v>318</v>
      </c>
      <c r="G321" s="5">
        <v>43928</v>
      </c>
      <c r="H321" s="15">
        <f t="shared" si="71"/>
        <v>5.1594588427686112E-2</v>
      </c>
      <c r="I321" s="15">
        <f t="shared" si="71"/>
        <v>7.2930729044926881E-2</v>
      </c>
      <c r="J321" s="15">
        <f t="shared" si="71"/>
        <v>4.0596374266206263E-2</v>
      </c>
      <c r="K321" s="22"/>
      <c r="L321" s="13">
        <v>318</v>
      </c>
      <c r="M321" s="5">
        <v>43928</v>
      </c>
      <c r="N321" s="26">
        <f t="shared" si="68"/>
        <v>0.71047041544976275</v>
      </c>
      <c r="O321" s="26">
        <f t="shared" si="69"/>
        <v>0.69982928300779057</v>
      </c>
      <c r="P321" s="26">
        <f t="shared" si="70"/>
        <v>0.63538908510823422</v>
      </c>
      <c r="Q321" s="22"/>
      <c r="AD321" s="59">
        <v>317</v>
      </c>
      <c r="AE321" s="61">
        <f t="shared" ca="1" si="72"/>
        <v>0.46979245632074601</v>
      </c>
      <c r="AF321" s="61">
        <f t="shared" ca="1" si="72"/>
        <v>0.99918877990274335</v>
      </c>
      <c r="AG321" s="61">
        <f t="shared" ca="1" si="72"/>
        <v>1.665025774743619</v>
      </c>
      <c r="AH321" s="19"/>
      <c r="AI321" s="61">
        <f ca="1"/>
        <v>1.0187113429499215E-2</v>
      </c>
      <c r="AJ321" s="61">
        <f ca="1"/>
        <v>2.9071735195541484E-2</v>
      </c>
      <c r="AK321" s="61">
        <f ca="1"/>
        <v>5.6636073380233118E-2</v>
      </c>
      <c r="AL321" s="19"/>
      <c r="AM321" s="61">
        <f t="shared" ca="1" si="76"/>
        <v>1.0538329752009459E-2</v>
      </c>
      <c r="AN321" s="61">
        <f t="shared" ca="1" si="77"/>
        <v>2.9320787792458013E-2</v>
      </c>
      <c r="AO321" s="61">
        <f t="shared" ca="1" si="78"/>
        <v>5.7067741983487935E-2</v>
      </c>
      <c r="AP321" s="19"/>
      <c r="AQ321" s="62">
        <f t="shared" ca="1" si="73"/>
        <v>0.78696648393752811</v>
      </c>
      <c r="AR321" s="62">
        <f t="shared" ca="1" si="74"/>
        <v>0.82411381871516021</v>
      </c>
      <c r="AS321" s="62">
        <f t="shared" ca="1" si="75"/>
        <v>1.0952497513713801</v>
      </c>
      <c r="AT321" s="49"/>
    </row>
    <row r="322" spans="1:46" x14ac:dyDescent="0.3">
      <c r="A322" s="5">
        <v>43929</v>
      </c>
      <c r="B322" s="6">
        <v>41.400002000000001</v>
      </c>
      <c r="C322" s="6">
        <v>76.160004000000001</v>
      </c>
      <c r="D322" s="6">
        <v>51.599997999999999</v>
      </c>
      <c r="F322" s="13">
        <v>319</v>
      </c>
      <c r="G322" s="5">
        <v>43929</v>
      </c>
      <c r="H322" s="15">
        <f t="shared" si="71"/>
        <v>3.0160530557656037E-2</v>
      </c>
      <c r="I322" s="15">
        <f t="shared" si="71"/>
        <v>3.1613208381869935E-2</v>
      </c>
      <c r="J322" s="15">
        <f t="shared" si="71"/>
        <v>7.2112352842966063E-2</v>
      </c>
      <c r="K322" s="22"/>
      <c r="L322" s="13">
        <v>319</v>
      </c>
      <c r="M322" s="5">
        <v>43929</v>
      </c>
      <c r="N322" s="26">
        <f t="shared" si="68"/>
        <v>0.73222499589273093</v>
      </c>
      <c r="O322" s="26">
        <f t="shared" si="69"/>
        <v>0.72230654927339621</v>
      </c>
      <c r="P322" s="26">
        <f t="shared" si="70"/>
        <v>0.68290099742988353</v>
      </c>
      <c r="Q322" s="22"/>
      <c r="AD322" s="59">
        <v>318</v>
      </c>
      <c r="AE322" s="61">
        <f t="shared" ca="1" si="72"/>
        <v>1.1153790729580191</v>
      </c>
      <c r="AF322" s="61">
        <f t="shared" ca="1" si="72"/>
        <v>-0.22277561702508936</v>
      </c>
      <c r="AG322" s="61">
        <f t="shared" ca="1" si="72"/>
        <v>0.6546434993224568</v>
      </c>
      <c r="AH322" s="19"/>
      <c r="AI322" s="61">
        <f ca="1"/>
        <v>2.418619750112674E-2</v>
      </c>
      <c r="AJ322" s="61">
        <f ca="1"/>
        <v>1.2616035421290001E-2</v>
      </c>
      <c r="AK322" s="61">
        <f ca="1"/>
        <v>3.1683383405750949E-2</v>
      </c>
      <c r="AL322" s="19"/>
      <c r="AM322" s="61">
        <f t="shared" ca="1" si="76"/>
        <v>2.4537413823636986E-2</v>
      </c>
      <c r="AN322" s="61">
        <f t="shared" ca="1" si="77"/>
        <v>1.2865088018206532E-2</v>
      </c>
      <c r="AO322" s="61">
        <f t="shared" ca="1" si="78"/>
        <v>3.2115052009005766E-2</v>
      </c>
      <c r="AP322" s="19"/>
      <c r="AQ322" s="62">
        <f t="shared" ca="1" si="73"/>
        <v>0.80651546611663938</v>
      </c>
      <c r="AR322" s="62">
        <f t="shared" ca="1" si="74"/>
        <v>0.83478460867910587</v>
      </c>
      <c r="AS322" s="62">
        <f t="shared" ca="1" si="75"/>
        <v>1.1309946566942748</v>
      </c>
      <c r="AT322" s="49"/>
    </row>
    <row r="323" spans="1:46" x14ac:dyDescent="0.3">
      <c r="A323" s="5">
        <v>43930</v>
      </c>
      <c r="B323" s="6">
        <v>43.279998999999997</v>
      </c>
      <c r="C323" s="6">
        <v>80.410004000000001</v>
      </c>
      <c r="D323" s="6">
        <v>50.099997999999999</v>
      </c>
      <c r="F323" s="13">
        <v>320</v>
      </c>
      <c r="G323" s="5">
        <v>43930</v>
      </c>
      <c r="H323" s="15">
        <f t="shared" si="71"/>
        <v>4.4409682292419074E-2</v>
      </c>
      <c r="I323" s="15">
        <f t="shared" si="71"/>
        <v>5.4302153300996227E-2</v>
      </c>
      <c r="J323" s="15">
        <f t="shared" si="71"/>
        <v>-2.9500665557167724E-2</v>
      </c>
      <c r="K323" s="22"/>
      <c r="L323" s="13">
        <v>320</v>
      </c>
      <c r="M323" s="5">
        <v>43930</v>
      </c>
      <c r="N323" s="26">
        <f t="shared" si="68"/>
        <v>0.76547573814156811</v>
      </c>
      <c r="O323" s="26">
        <f t="shared" si="69"/>
        <v>0.76261383227211998</v>
      </c>
      <c r="P323" s="26">
        <f t="shared" si="70"/>
        <v>0.6630492234793337</v>
      </c>
      <c r="Q323" s="22"/>
      <c r="AD323" s="59">
        <v>319</v>
      </c>
      <c r="AE323" s="61">
        <f t="shared" ca="1" si="72"/>
        <v>-1.0937353038909501</v>
      </c>
      <c r="AF323" s="61">
        <f t="shared" ca="1" si="72"/>
        <v>-0.41400267840423666</v>
      </c>
      <c r="AG323" s="61">
        <f t="shared" ca="1" si="72"/>
        <v>-0.20619999947772719</v>
      </c>
      <c r="AH323" s="19"/>
      <c r="AI323" s="61">
        <f ca="1"/>
        <v>-2.3716867848081861E-2</v>
      </c>
      <c r="AJ323" s="61">
        <f ca="1"/>
        <v>-2.6118284078576755E-2</v>
      </c>
      <c r="AK323" s="61">
        <f ca="1"/>
        <v>-2.4358968670835458E-2</v>
      </c>
      <c r="AL323" s="19"/>
      <c r="AM323" s="61">
        <f t="shared" ca="1" si="76"/>
        <v>-2.3365651525571615E-2</v>
      </c>
      <c r="AN323" s="61">
        <f t="shared" ca="1" si="77"/>
        <v>-2.5869231481660225E-2</v>
      </c>
      <c r="AO323" s="61">
        <f t="shared" ca="1" si="78"/>
        <v>-2.3927300067580641E-2</v>
      </c>
      <c r="AP323" s="19"/>
      <c r="AQ323" s="62">
        <f t="shared" ca="1" si="73"/>
        <v>0.78788916206739823</v>
      </c>
      <c r="AR323" s="62">
        <f t="shared" ca="1" si="74"/>
        <v>0.81346630532983</v>
      </c>
      <c r="AS323" s="62">
        <f t="shared" ca="1" si="75"/>
        <v>1.1042541974306244</v>
      </c>
      <c r="AT323" s="49"/>
    </row>
    <row r="324" spans="1:46" x14ac:dyDescent="0.3">
      <c r="A324" s="5">
        <v>43934</v>
      </c>
      <c r="B324" s="6">
        <v>40.93</v>
      </c>
      <c r="C324" s="6">
        <v>75.970000999999996</v>
      </c>
      <c r="D324" s="6">
        <v>49.700001</v>
      </c>
      <c r="F324" s="13">
        <v>321</v>
      </c>
      <c r="G324" s="5">
        <v>43934</v>
      </c>
      <c r="H324" s="15">
        <f t="shared" si="71"/>
        <v>-5.5827320928553671E-2</v>
      </c>
      <c r="I324" s="15">
        <f t="shared" si="71"/>
        <v>-5.6800057626892289E-2</v>
      </c>
      <c r="J324" s="15">
        <f t="shared" si="71"/>
        <v>-8.0160149473514578E-3</v>
      </c>
      <c r="K324" s="22"/>
      <c r="L324" s="13">
        <v>321</v>
      </c>
      <c r="M324" s="5">
        <v>43934</v>
      </c>
      <c r="N324" s="26">
        <f t="shared" ref="N324:N387" si="79">B324/B$3</f>
        <v>0.7239122616923902</v>
      </c>
      <c r="O324" s="26">
        <f t="shared" ref="O324:O387" si="80">C324/C$3</f>
        <v>0.72050454816948872</v>
      </c>
      <c r="P324" s="26">
        <f t="shared" ref="P324:P387" si="81">D324/D$3</f>
        <v>0.65775545679606828</v>
      </c>
      <c r="Q324" s="22"/>
      <c r="AD324" s="59">
        <v>320</v>
      </c>
      <c r="AE324" s="61">
        <f t="shared" ca="1" si="72"/>
        <v>1.8685094278904417</v>
      </c>
      <c r="AF324" s="61">
        <f t="shared" ca="1" si="72"/>
        <v>-0.50001849295310752</v>
      </c>
      <c r="AG324" s="61">
        <f t="shared" ca="1" si="72"/>
        <v>1.702174515900754</v>
      </c>
      <c r="AH324" s="19"/>
      <c r="AI324" s="61">
        <f ca="1"/>
        <v>4.0517290624634585E-2</v>
      </c>
      <c r="AJ324" s="61">
        <f ca="1"/>
        <v>1.8378130198902769E-2</v>
      </c>
      <c r="AK324" s="61">
        <f ca="1"/>
        <v>6.7696521221680683E-2</v>
      </c>
      <c r="AL324" s="19"/>
      <c r="AM324" s="61">
        <f t="shared" ca="1" si="76"/>
        <v>4.0868506947144827E-2</v>
      </c>
      <c r="AN324" s="61">
        <f t="shared" ca="1" si="77"/>
        <v>1.8627182795819298E-2</v>
      </c>
      <c r="AO324" s="61">
        <f t="shared" ca="1" si="78"/>
        <v>6.8128189824935501E-2</v>
      </c>
      <c r="AP324" s="19"/>
      <c r="AQ324" s="62">
        <f t="shared" ca="1" si="73"/>
        <v>0.82075605162158471</v>
      </c>
      <c r="AR324" s="62">
        <f t="shared" ca="1" si="74"/>
        <v>0.82876089623749616</v>
      </c>
      <c r="AS324" s="62">
        <f t="shared" ca="1" si="75"/>
        <v>1.1821069090373877</v>
      </c>
      <c r="AT324" s="49"/>
    </row>
    <row r="325" spans="1:46" x14ac:dyDescent="0.3">
      <c r="A325" s="5">
        <v>43935</v>
      </c>
      <c r="B325" s="6">
        <v>41.740001999999997</v>
      </c>
      <c r="C325" s="6">
        <v>76.5</v>
      </c>
      <c r="D325" s="6">
        <v>50.950001</v>
      </c>
      <c r="F325" s="13">
        <v>322</v>
      </c>
      <c r="G325" s="5">
        <v>43935</v>
      </c>
      <c r="H325" s="15">
        <f t="shared" ref="H325:J388" si="82">LN(B325/B324)</f>
        <v>1.9596659060410217E-2</v>
      </c>
      <c r="I325" s="15">
        <f t="shared" si="82"/>
        <v>6.9522021542694542E-3</v>
      </c>
      <c r="J325" s="15">
        <f t="shared" si="82"/>
        <v>2.4839826072511714E-2</v>
      </c>
      <c r="K325" s="22"/>
      <c r="L325" s="13">
        <v>322</v>
      </c>
      <c r="M325" s="5">
        <v>43935</v>
      </c>
      <c r="N325" s="26">
        <f t="shared" si="79"/>
        <v>0.73823843759748076</v>
      </c>
      <c r="O325" s="26">
        <f t="shared" si="80"/>
        <v>0.72553109397702775</v>
      </c>
      <c r="P325" s="26">
        <f t="shared" si="81"/>
        <v>0.67429860175485978</v>
      </c>
      <c r="Q325" s="22"/>
      <c r="AD325" s="59">
        <v>321</v>
      </c>
      <c r="AE325" s="61">
        <f t="shared" ref="AE325:AG388" ca="1" si="83">_xlfn.NORM.S.INV(RAND())</f>
        <v>-0.6970766041038885</v>
      </c>
      <c r="AF325" s="61">
        <f t="shared" ca="1" si="83"/>
        <v>0.93580968554622423</v>
      </c>
      <c r="AG325" s="61">
        <f t="shared" ca="1" si="83"/>
        <v>-0.18748680298435258</v>
      </c>
      <c r="AH325" s="19"/>
      <c r="AI325" s="61">
        <f ca="1"/>
        <v>-1.5115607625270507E-2</v>
      </c>
      <c r="AJ325" s="61">
        <f ca="1"/>
        <v>9.4298972446188838E-3</v>
      </c>
      <c r="AK325" s="61">
        <f ca="1"/>
        <v>-8.5126880294859666E-3</v>
      </c>
      <c r="AL325" s="19"/>
      <c r="AM325" s="61">
        <f t="shared" ca="1" si="76"/>
        <v>-1.4764391302760263E-2</v>
      </c>
      <c r="AN325" s="61">
        <f t="shared" ca="1" si="77"/>
        <v>9.6789498415354152E-3</v>
      </c>
      <c r="AO325" s="61">
        <f t="shared" ca="1" si="78"/>
        <v>-8.0810194262311476E-3</v>
      </c>
      <c r="AP325" s="19"/>
      <c r="AQ325" s="62">
        <f t="shared" ca="1" si="73"/>
        <v>0.80872710664886305</v>
      </c>
      <c r="AR325" s="62">
        <f t="shared" ca="1" si="74"/>
        <v>0.83682137695028536</v>
      </c>
      <c r="AS325" s="62">
        <f t="shared" ca="1" si="75"/>
        <v>1.1725927738720969</v>
      </c>
      <c r="AT325" s="49"/>
    </row>
    <row r="326" spans="1:46" x14ac:dyDescent="0.3">
      <c r="A326" s="5">
        <v>43936</v>
      </c>
      <c r="B326" s="6">
        <v>41.18</v>
      </c>
      <c r="C326" s="6">
        <v>69.580001999999993</v>
      </c>
      <c r="D326" s="6">
        <v>46.700001</v>
      </c>
      <c r="F326" s="13">
        <v>323</v>
      </c>
      <c r="G326" s="5">
        <v>43936</v>
      </c>
      <c r="H326" s="15">
        <f t="shared" si="82"/>
        <v>-1.3507247965078541E-2</v>
      </c>
      <c r="I326" s="15">
        <f t="shared" si="82"/>
        <v>-9.4813542364802758E-2</v>
      </c>
      <c r="J326" s="15">
        <f t="shared" si="82"/>
        <v>-8.7100593207691354E-2</v>
      </c>
      <c r="K326" s="22"/>
      <c r="L326" s="13">
        <v>323</v>
      </c>
      <c r="M326" s="5">
        <v>43936</v>
      </c>
      <c r="N326" s="26">
        <f t="shared" si="79"/>
        <v>0.72833391000470626</v>
      </c>
      <c r="O326" s="26">
        <f t="shared" si="80"/>
        <v>0.65990137215665068</v>
      </c>
      <c r="P326" s="26">
        <f t="shared" si="81"/>
        <v>0.61805190889496853</v>
      </c>
      <c r="Q326" s="22"/>
      <c r="AD326" s="59">
        <v>322</v>
      </c>
      <c r="AE326" s="61">
        <f t="shared" ca="1" si="83"/>
        <v>-9.8869124873594033E-2</v>
      </c>
      <c r="AF326" s="61">
        <f t="shared" ca="1" si="83"/>
        <v>0.58443701891027178</v>
      </c>
      <c r="AG326" s="61">
        <f t="shared" ca="1" si="83"/>
        <v>-1.1126292550822015</v>
      </c>
      <c r="AH326" s="19"/>
      <c r="AI326" s="61">
        <f ca="1"/>
        <v>-2.1439062637373966E-3</v>
      </c>
      <c r="AJ326" s="61">
        <f ca="1"/>
        <v>1.1155800384105659E-2</v>
      </c>
      <c r="AK326" s="61">
        <f ca="1"/>
        <v>-2.5850482153584875E-2</v>
      </c>
      <c r="AL326" s="19"/>
      <c r="AM326" s="61">
        <f t="shared" ca="1" si="76"/>
        <v>-1.7926899412271523E-3</v>
      </c>
      <c r="AN326" s="61">
        <f t="shared" ca="1" si="77"/>
        <v>1.1404852981022191E-2</v>
      </c>
      <c r="AO326" s="61">
        <f t="shared" ca="1" si="78"/>
        <v>-2.5418813550330058E-2</v>
      </c>
      <c r="AP326" s="19"/>
      <c r="AQ326" s="62">
        <f t="shared" ref="AQ326:AQ389" ca="1" si="84">AQ325*EXP(AM326)</f>
        <v>0.80727860844158328</v>
      </c>
      <c r="AR326" s="62">
        <f t="shared" ref="AR326:AR389" ca="1" si="85">AR325*EXP(AN326)</f>
        <v>0.84641983217153405</v>
      </c>
      <c r="AS326" s="62">
        <f t="shared" ref="AS326:AS389" ca="1" si="86">AS325*EXP(AO326)</f>
        <v>1.1431624829200921</v>
      </c>
      <c r="AT326" s="49"/>
    </row>
    <row r="327" spans="1:46" x14ac:dyDescent="0.3">
      <c r="A327" s="5">
        <v>43937</v>
      </c>
      <c r="B327" s="6">
        <v>40.400002000000001</v>
      </c>
      <c r="C327" s="6">
        <v>68.519997000000004</v>
      </c>
      <c r="D327" s="6">
        <v>45</v>
      </c>
      <c r="F327" s="13">
        <v>324</v>
      </c>
      <c r="G327" s="5">
        <v>43937</v>
      </c>
      <c r="H327" s="15">
        <f t="shared" si="82"/>
        <v>-1.9122867127589729E-2</v>
      </c>
      <c r="I327" s="15">
        <f t="shared" si="82"/>
        <v>-1.5351568794606313E-2</v>
      </c>
      <c r="J327" s="15">
        <f t="shared" si="82"/>
        <v>-3.7081696317807882E-2</v>
      </c>
      <c r="K327" s="22"/>
      <c r="L327" s="13">
        <v>324</v>
      </c>
      <c r="M327" s="5">
        <v>43937</v>
      </c>
      <c r="N327" s="26">
        <f t="shared" si="79"/>
        <v>0.71453840264346657</v>
      </c>
      <c r="O327" s="26">
        <f t="shared" si="80"/>
        <v>0.64984821415310667</v>
      </c>
      <c r="P327" s="26">
        <f t="shared" si="81"/>
        <v>0.59555321851649601</v>
      </c>
      <c r="Q327" s="22"/>
      <c r="AD327" s="59">
        <v>323</v>
      </c>
      <c r="AE327" s="61">
        <f t="shared" ca="1" si="83"/>
        <v>-0.21045519104332205</v>
      </c>
      <c r="AF327" s="61">
        <f t="shared" ca="1" si="83"/>
        <v>0.40265810554227499</v>
      </c>
      <c r="AG327" s="61">
        <f t="shared" ca="1" si="83"/>
        <v>-1.5790211956598661</v>
      </c>
      <c r="AH327" s="19"/>
      <c r="AI327" s="61">
        <f ca="1"/>
        <v>-4.5635703045889308E-3</v>
      </c>
      <c r="AJ327" s="61">
        <f ca="1"/>
        <v>5.4580679069846996E-3</v>
      </c>
      <c r="AK327" s="61">
        <f ca="1"/>
        <v>-4.0728338645837733E-2</v>
      </c>
      <c r="AL327" s="19"/>
      <c r="AM327" s="61">
        <f t="shared" ref="AM327:AM390" ca="1" si="87">AI327+T$3</f>
        <v>-4.2123539820786869E-3</v>
      </c>
      <c r="AN327" s="61">
        <f t="shared" ref="AN327:AN390" ca="1" si="88">AJ327+U$3</f>
        <v>5.7071205039012302E-3</v>
      </c>
      <c r="AO327" s="61">
        <f t="shared" ref="AO327:AO390" ca="1" si="89">AK327+V$3</f>
        <v>-4.0296670042582916E-2</v>
      </c>
      <c r="AP327" s="19"/>
      <c r="AQ327" s="62">
        <f t="shared" ca="1" si="84"/>
        <v>0.80388521728072404</v>
      </c>
      <c r="AR327" s="62">
        <f t="shared" ca="1" si="85"/>
        <v>0.85126426287645218</v>
      </c>
      <c r="AS327" s="62">
        <f t="shared" ca="1" si="86"/>
        <v>1.0980126450420764</v>
      </c>
      <c r="AT327" s="49"/>
    </row>
    <row r="328" spans="1:46" x14ac:dyDescent="0.3">
      <c r="A328" s="5">
        <v>43938</v>
      </c>
      <c r="B328" s="6">
        <v>43.240001999999997</v>
      </c>
      <c r="C328" s="6">
        <v>72.680000000000007</v>
      </c>
      <c r="D328" s="6">
        <v>51.759998000000003</v>
      </c>
      <c r="F328" s="13">
        <v>325</v>
      </c>
      <c r="G328" s="5">
        <v>43938</v>
      </c>
      <c r="H328" s="15">
        <f t="shared" si="82"/>
        <v>6.7936204552421775E-2</v>
      </c>
      <c r="I328" s="15">
        <f t="shared" si="82"/>
        <v>5.8940613854889461E-2</v>
      </c>
      <c r="J328" s="15">
        <f t="shared" si="82"/>
        <v>0.13995512178244837</v>
      </c>
      <c r="K328" s="22"/>
      <c r="L328" s="13">
        <v>325</v>
      </c>
      <c r="M328" s="5">
        <v>43938</v>
      </c>
      <c r="N328" s="26">
        <f t="shared" si="79"/>
        <v>0.76476832747137724</v>
      </c>
      <c r="O328" s="26">
        <f t="shared" si="80"/>
        <v>0.68930195961111607</v>
      </c>
      <c r="P328" s="26">
        <f t="shared" si="81"/>
        <v>0.68501851998460894</v>
      </c>
      <c r="Q328" s="22"/>
      <c r="AD328" s="59">
        <v>324</v>
      </c>
      <c r="AE328" s="61">
        <f t="shared" ca="1" si="83"/>
        <v>-1.7766930222789501</v>
      </c>
      <c r="AF328" s="61">
        <f t="shared" ca="1" si="83"/>
        <v>0.61115490930079897</v>
      </c>
      <c r="AG328" s="61">
        <f t="shared" ca="1" si="83"/>
        <v>0.23772926821009979</v>
      </c>
      <c r="AH328" s="19"/>
      <c r="AI328" s="61">
        <f ca="1"/>
        <v>-3.8526317534137412E-2</v>
      </c>
      <c r="AJ328" s="61">
        <f ca="1"/>
        <v>-1.4525325688767817E-2</v>
      </c>
      <c r="AK328" s="61">
        <f ca="1"/>
        <v>-1.5856961978492758E-2</v>
      </c>
      <c r="AL328" s="19"/>
      <c r="AM328" s="61">
        <f t="shared" ca="1" si="87"/>
        <v>-3.817510121162717E-2</v>
      </c>
      <c r="AN328" s="61">
        <f t="shared" ca="1" si="88"/>
        <v>-1.4276273091851286E-2</v>
      </c>
      <c r="AO328" s="61">
        <f t="shared" ca="1" si="89"/>
        <v>-1.5425293375237939E-2</v>
      </c>
      <c r="AP328" s="19"/>
      <c r="AQ328" s="62">
        <f t="shared" ca="1" si="84"/>
        <v>0.77377520082926021</v>
      </c>
      <c r="AR328" s="62">
        <f t="shared" ca="1" si="85"/>
        <v>0.83919771936300513</v>
      </c>
      <c r="AS328" s="62">
        <f t="shared" ca="1" si="86"/>
        <v>1.0812054391604573</v>
      </c>
      <c r="AT328" s="49"/>
    </row>
    <row r="329" spans="1:46" x14ac:dyDescent="0.3">
      <c r="A329" s="5">
        <v>43941</v>
      </c>
      <c r="B329" s="6">
        <v>41.189999</v>
      </c>
      <c r="C329" s="6">
        <v>69.580001999999993</v>
      </c>
      <c r="D329" s="6">
        <v>50.310001</v>
      </c>
      <c r="F329" s="13">
        <v>326</v>
      </c>
      <c r="G329" s="5">
        <v>43941</v>
      </c>
      <c r="H329" s="15">
        <f t="shared" si="82"/>
        <v>-4.8570554854223673E-2</v>
      </c>
      <c r="I329" s="15">
        <f t="shared" si="82"/>
        <v>-4.3589045060283098E-2</v>
      </c>
      <c r="J329" s="15">
        <f t="shared" si="82"/>
        <v>-2.841372717277706E-2</v>
      </c>
      <c r="K329" s="22"/>
      <c r="L329" s="13">
        <v>326</v>
      </c>
      <c r="M329" s="5">
        <v>43941</v>
      </c>
      <c r="N329" s="26">
        <f t="shared" si="79"/>
        <v>0.72851075825060563</v>
      </c>
      <c r="O329" s="26">
        <f t="shared" si="80"/>
        <v>0.65990137215665068</v>
      </c>
      <c r="P329" s="26">
        <f t="shared" si="81"/>
        <v>0.66582851153595857</v>
      </c>
      <c r="Q329" s="22"/>
      <c r="AD329" s="59">
        <v>325</v>
      </c>
      <c r="AE329" s="61">
        <f t="shared" ca="1" si="83"/>
        <v>-0.42975085163258836</v>
      </c>
      <c r="AF329" s="61">
        <f t="shared" ca="1" si="83"/>
        <v>-0.70218419642871988</v>
      </c>
      <c r="AG329" s="61">
        <f t="shared" ca="1" si="83"/>
        <v>0.82039637041264535</v>
      </c>
      <c r="AH329" s="19"/>
      <c r="AI329" s="61">
        <f ca="1"/>
        <v>-9.318839868761291E-3</v>
      </c>
      <c r="AJ329" s="61">
        <f ca="1"/>
        <v>-2.1989293610879843E-2</v>
      </c>
      <c r="AK329" s="61">
        <f ca="1"/>
        <v>9.7236100891407214E-3</v>
      </c>
      <c r="AL329" s="19"/>
      <c r="AM329" s="61">
        <f t="shared" ca="1" si="87"/>
        <v>-8.9676235462510471E-3</v>
      </c>
      <c r="AN329" s="61">
        <f t="shared" ca="1" si="88"/>
        <v>-2.1740241013963314E-2</v>
      </c>
      <c r="AO329" s="61">
        <f t="shared" ca="1" si="89"/>
        <v>1.015527869239554E-2</v>
      </c>
      <c r="AP329" s="19"/>
      <c r="AQ329" s="62">
        <f t="shared" ca="1" si="84"/>
        <v>0.76686729615651561</v>
      </c>
      <c r="AR329" s="62">
        <f t="shared" ca="1" si="85"/>
        <v>0.8211502476987842</v>
      </c>
      <c r="AS329" s="62">
        <f t="shared" ca="1" si="86"/>
        <v>1.0922413231136729</v>
      </c>
      <c r="AT329" s="49"/>
    </row>
    <row r="330" spans="1:46" x14ac:dyDescent="0.3">
      <c r="A330" s="5">
        <v>43942</v>
      </c>
      <c r="B330" s="6">
        <v>41.299999</v>
      </c>
      <c r="C330" s="6">
        <v>68.319999999999993</v>
      </c>
      <c r="D330" s="6">
        <v>49.450001</v>
      </c>
      <c r="F330" s="13">
        <v>327</v>
      </c>
      <c r="G330" s="5">
        <v>43942</v>
      </c>
      <c r="H330" s="15">
        <f t="shared" si="82"/>
        <v>2.6669915836599802E-3</v>
      </c>
      <c r="I330" s="15">
        <f t="shared" si="82"/>
        <v>-1.8274648987373056E-2</v>
      </c>
      <c r="J330" s="15">
        <f t="shared" si="82"/>
        <v>-1.7241806088823232E-2</v>
      </c>
      <c r="K330" s="22"/>
      <c r="L330" s="13">
        <v>327</v>
      </c>
      <c r="M330" s="5">
        <v>43942</v>
      </c>
      <c r="N330" s="26">
        <f t="shared" si="79"/>
        <v>0.73045628350802472</v>
      </c>
      <c r="O330" s="26">
        <f t="shared" si="80"/>
        <v>0.64795142928771932</v>
      </c>
      <c r="P330" s="26">
        <f t="shared" si="81"/>
        <v>0.65444682780430996</v>
      </c>
      <c r="Q330" s="22"/>
      <c r="AD330" s="59">
        <v>326</v>
      </c>
      <c r="AE330" s="61">
        <f t="shared" ca="1" si="83"/>
        <v>1.9747065838340991</v>
      </c>
      <c r="AF330" s="61">
        <f t="shared" ca="1" si="83"/>
        <v>0.34683217689599899</v>
      </c>
      <c r="AG330" s="61">
        <f t="shared" ca="1" si="83"/>
        <v>7.7011761989774954E-2</v>
      </c>
      <c r="AH330" s="19"/>
      <c r="AI330" s="61">
        <f ca="1"/>
        <v>4.2820100001270546E-2</v>
      </c>
      <c r="AJ330" s="61">
        <f ca="1"/>
        <v>3.8447525044430726E-2</v>
      </c>
      <c r="AK330" s="61">
        <f ca="1"/>
        <v>3.3592957930215155E-2</v>
      </c>
      <c r="AL330" s="19"/>
      <c r="AM330" s="61">
        <f t="shared" ca="1" si="87"/>
        <v>4.3171316323780788E-2</v>
      </c>
      <c r="AN330" s="61">
        <f t="shared" ca="1" si="88"/>
        <v>3.8696577641347256E-2</v>
      </c>
      <c r="AO330" s="61">
        <f t="shared" ca="1" si="89"/>
        <v>3.4024626533469972E-2</v>
      </c>
      <c r="AP330" s="19"/>
      <c r="AQ330" s="62">
        <f t="shared" ca="1" si="84"/>
        <v>0.8006989918378512</v>
      </c>
      <c r="AR330" s="62">
        <f t="shared" ca="1" si="85"/>
        <v>0.85354876512466016</v>
      </c>
      <c r="AS330" s="62">
        <f t="shared" ca="1" si="86"/>
        <v>1.1300438884467361</v>
      </c>
      <c r="AT330" s="49"/>
    </row>
    <row r="331" spans="1:46" x14ac:dyDescent="0.3">
      <c r="A331" s="5">
        <v>43943</v>
      </c>
      <c r="B331" s="6">
        <v>41.349997999999999</v>
      </c>
      <c r="C331" s="6">
        <v>67.029999000000004</v>
      </c>
      <c r="D331" s="6">
        <v>50.57</v>
      </c>
      <c r="F331" s="13">
        <v>328</v>
      </c>
      <c r="G331" s="5">
        <v>43943</v>
      </c>
      <c r="H331" s="15">
        <f t="shared" si="82"/>
        <v>1.2098973481937366E-3</v>
      </c>
      <c r="I331" s="15">
        <f t="shared" si="82"/>
        <v>-1.9062284029141195E-2</v>
      </c>
      <c r="J331" s="15">
        <f t="shared" si="82"/>
        <v>2.2396436800723826E-2</v>
      </c>
      <c r="K331" s="22"/>
      <c r="L331" s="13">
        <v>328</v>
      </c>
      <c r="M331" s="5">
        <v>43943</v>
      </c>
      <c r="N331" s="26">
        <f t="shared" si="79"/>
        <v>0.73134059548389474</v>
      </c>
      <c r="O331" s="26">
        <f t="shared" si="80"/>
        <v>0.63571697390521675</v>
      </c>
      <c r="P331" s="26">
        <f t="shared" si="81"/>
        <v>0.66926947245287127</v>
      </c>
      <c r="Q331" s="22"/>
      <c r="AD331" s="59">
        <v>327</v>
      </c>
      <c r="AE331" s="61">
        <f t="shared" ca="1" si="83"/>
        <v>-0.894967514346245</v>
      </c>
      <c r="AF331" s="61">
        <f t="shared" ca="1" si="83"/>
        <v>0.29338313320266007</v>
      </c>
      <c r="AG331" s="61">
        <f t="shared" ca="1" si="83"/>
        <v>0.19456244915577561</v>
      </c>
      <c r="AH331" s="19"/>
      <c r="AI331" s="61">
        <f ca="1"/>
        <v>-1.9406730486403408E-2</v>
      </c>
      <c r="AJ331" s="61">
        <f ca="1"/>
        <v>-7.631353009689301E-3</v>
      </c>
      <c r="AK331" s="61">
        <f ca="1"/>
        <v>-6.1728133326968528E-3</v>
      </c>
      <c r="AL331" s="19"/>
      <c r="AM331" s="61">
        <f t="shared" ca="1" si="87"/>
        <v>-1.9055514163893162E-2</v>
      </c>
      <c r="AN331" s="61">
        <f t="shared" ca="1" si="88"/>
        <v>-7.3823004127727705E-3</v>
      </c>
      <c r="AO331" s="61">
        <f t="shared" ca="1" si="89"/>
        <v>-5.7411447294420347E-3</v>
      </c>
      <c r="AP331" s="19"/>
      <c r="AQ331" s="62">
        <f t="shared" ca="1" si="84"/>
        <v>0.7855857138153115</v>
      </c>
      <c r="AR331" s="62">
        <f t="shared" ca="1" si="85"/>
        <v>0.84727081309895524</v>
      </c>
      <c r="AS331" s="62">
        <f t="shared" ca="1" si="86"/>
        <v>1.1235747308864676</v>
      </c>
      <c r="AT331" s="49"/>
    </row>
    <row r="332" spans="1:46" x14ac:dyDescent="0.3">
      <c r="A332" s="5">
        <v>43944</v>
      </c>
      <c r="B332" s="6">
        <v>43.779998999999997</v>
      </c>
      <c r="C332" s="6">
        <v>68.949996999999996</v>
      </c>
      <c r="D332" s="6">
        <v>52.07</v>
      </c>
      <c r="F332" s="13">
        <v>329</v>
      </c>
      <c r="G332" s="5">
        <v>43944</v>
      </c>
      <c r="H332" s="15">
        <f t="shared" si="82"/>
        <v>5.7104696151130986E-2</v>
      </c>
      <c r="I332" s="15">
        <f t="shared" si="82"/>
        <v>2.8241295278347001E-2</v>
      </c>
      <c r="J332" s="15">
        <f t="shared" si="82"/>
        <v>2.9230452082916133E-2</v>
      </c>
      <c r="K332" s="22"/>
      <c r="L332" s="13">
        <v>329</v>
      </c>
      <c r="M332" s="5">
        <v>43944</v>
      </c>
      <c r="N332" s="26">
        <f t="shared" si="79"/>
        <v>0.77431903476620034</v>
      </c>
      <c r="O332" s="26">
        <f t="shared" si="80"/>
        <v>0.65392636278591865</v>
      </c>
      <c r="P332" s="26">
        <f t="shared" si="81"/>
        <v>0.68912124640342109</v>
      </c>
      <c r="Q332" s="22"/>
      <c r="AD332" s="59">
        <v>328</v>
      </c>
      <c r="AE332" s="61">
        <f t="shared" ca="1" si="83"/>
        <v>-0.16229960376570207</v>
      </c>
      <c r="AF332" s="61">
        <f t="shared" ca="1" si="83"/>
        <v>-0.2132707180742234</v>
      </c>
      <c r="AG332" s="61">
        <f t="shared" ca="1" si="83"/>
        <v>-1.4230475267088778</v>
      </c>
      <c r="AH332" s="19"/>
      <c r="AI332" s="61">
        <f ca="1"/>
        <v>-3.5193508343504929E-3</v>
      </c>
      <c r="AJ332" s="61">
        <f ca="1"/>
        <v>-7.1760243263223706E-3</v>
      </c>
      <c r="AK332" s="61">
        <f ca="1"/>
        <v>-4.0358429673652309E-2</v>
      </c>
      <c r="AL332" s="19"/>
      <c r="AM332" s="61">
        <f t="shared" ca="1" si="87"/>
        <v>-3.1681345118402485E-3</v>
      </c>
      <c r="AN332" s="61">
        <f t="shared" ca="1" si="88"/>
        <v>-6.9269717294058401E-3</v>
      </c>
      <c r="AO332" s="61">
        <f t="shared" ca="1" si="89"/>
        <v>-3.9926761070397492E-2</v>
      </c>
      <c r="AP332" s="19"/>
      <c r="AQ332" s="62">
        <f t="shared" ca="1" si="84"/>
        <v>0.78310081093508088</v>
      </c>
      <c r="AR332" s="62">
        <f t="shared" ca="1" si="85"/>
        <v>0.84142207254632573</v>
      </c>
      <c r="AS332" s="62">
        <f t="shared" ca="1" si="86"/>
        <v>1.079597801226116</v>
      </c>
      <c r="AT332" s="49"/>
    </row>
    <row r="333" spans="1:46" x14ac:dyDescent="0.3">
      <c r="A333" s="5">
        <v>43945</v>
      </c>
      <c r="B333" s="6">
        <v>44.060001</v>
      </c>
      <c r="C333" s="6">
        <v>68.300003000000004</v>
      </c>
      <c r="D333" s="6">
        <v>52.5</v>
      </c>
      <c r="F333" s="13">
        <v>330</v>
      </c>
      <c r="G333" s="5">
        <v>43945</v>
      </c>
      <c r="H333" s="15">
        <f t="shared" si="82"/>
        <v>6.3752948172835135E-3</v>
      </c>
      <c r="I333" s="15">
        <f t="shared" si="82"/>
        <v>-9.4717502289113371E-3</v>
      </c>
      <c r="J333" s="15">
        <f t="shared" si="82"/>
        <v>8.2242024227703707E-3</v>
      </c>
      <c r="K333" s="22"/>
      <c r="L333" s="13">
        <v>330</v>
      </c>
      <c r="M333" s="5">
        <v>43945</v>
      </c>
      <c r="N333" s="26">
        <f t="shared" si="79"/>
        <v>0.77927131624918089</v>
      </c>
      <c r="O333" s="26">
        <f t="shared" si="80"/>
        <v>0.64776177640816057</v>
      </c>
      <c r="P333" s="26">
        <f t="shared" si="81"/>
        <v>0.69481208826924534</v>
      </c>
      <c r="Q333" s="22"/>
      <c r="AD333" s="59">
        <v>329</v>
      </c>
      <c r="AE333" s="61">
        <f t="shared" ca="1" si="83"/>
        <v>-0.98930716347272096</v>
      </c>
      <c r="AF333" s="61">
        <f t="shared" ca="1" si="83"/>
        <v>0.88769383024683979</v>
      </c>
      <c r="AG333" s="61">
        <f t="shared" ca="1" si="83"/>
        <v>-0.26128366136203207</v>
      </c>
      <c r="AH333" s="19"/>
      <c r="AI333" s="61">
        <f ca="1"/>
        <v>-2.1452418307951613E-2</v>
      </c>
      <c r="AJ333" s="61">
        <f ca="1"/>
        <v>3.8099587012174925E-3</v>
      </c>
      <c r="AK333" s="61">
        <f ca="1"/>
        <v>-1.506008033650626E-2</v>
      </c>
      <c r="AL333" s="19"/>
      <c r="AM333" s="61">
        <f t="shared" ca="1" si="87"/>
        <v>-2.1101201985441367E-2</v>
      </c>
      <c r="AN333" s="61">
        <f t="shared" ca="1" si="88"/>
        <v>4.0590112981340231E-3</v>
      </c>
      <c r="AO333" s="61">
        <f t="shared" ca="1" si="89"/>
        <v>-1.4628411733251441E-2</v>
      </c>
      <c r="AP333" s="19"/>
      <c r="AQ333" s="62">
        <f t="shared" ca="1" si="84"/>
        <v>0.76674956473247047</v>
      </c>
      <c r="AR333" s="62">
        <f t="shared" ca="1" si="85"/>
        <v>0.84484435508837163</v>
      </c>
      <c r="AS333" s="62">
        <f t="shared" ca="1" si="86"/>
        <v>1.0639199506847079</v>
      </c>
      <c r="AT333" s="49"/>
    </row>
    <row r="334" spans="1:46" x14ac:dyDescent="0.3">
      <c r="A334" s="5">
        <v>43948</v>
      </c>
      <c r="B334" s="6">
        <v>45.509998000000003</v>
      </c>
      <c r="C334" s="6">
        <v>74.819999999999993</v>
      </c>
      <c r="D334" s="6">
        <v>55.57</v>
      </c>
      <c r="F334" s="13">
        <v>331</v>
      </c>
      <c r="G334" s="5">
        <v>43948</v>
      </c>
      <c r="H334" s="15">
        <f t="shared" si="82"/>
        <v>3.2379674011644197E-2</v>
      </c>
      <c r="I334" s="15">
        <f t="shared" si="82"/>
        <v>9.1175418419391141E-2</v>
      </c>
      <c r="J334" s="15">
        <f t="shared" si="82"/>
        <v>5.6830317694251911E-2</v>
      </c>
      <c r="K334" s="22"/>
      <c r="L334" s="13">
        <v>331</v>
      </c>
      <c r="M334" s="5">
        <v>43948</v>
      </c>
      <c r="N334" s="26">
        <f t="shared" si="79"/>
        <v>0.80491682340083448</v>
      </c>
      <c r="O334" s="26">
        <f t="shared" si="80"/>
        <v>0.70959786210929687</v>
      </c>
      <c r="P334" s="26">
        <f t="shared" si="81"/>
        <v>0.7354420522880375</v>
      </c>
      <c r="Q334" s="22"/>
      <c r="AD334" s="59">
        <v>330</v>
      </c>
      <c r="AE334" s="61">
        <f t="shared" ca="1" si="83"/>
        <v>-0.20296697204967187</v>
      </c>
      <c r="AF334" s="61">
        <f t="shared" ca="1" si="83"/>
        <v>0.36394507731598502</v>
      </c>
      <c r="AG334" s="61">
        <f t="shared" ca="1" si="83"/>
        <v>-0.98118533357690918</v>
      </c>
      <c r="AH334" s="19"/>
      <c r="AI334" s="61">
        <f ca="1"/>
        <v>-4.4011936311304642E-3</v>
      </c>
      <c r="AJ334" s="61">
        <f ca="1"/>
        <v>4.7338089777270893E-3</v>
      </c>
      <c r="AK334" s="61">
        <f ca="1"/>
        <v>-2.557380314928763E-2</v>
      </c>
      <c r="AL334" s="19"/>
      <c r="AM334" s="61">
        <f t="shared" ca="1" si="87"/>
        <v>-4.0499773086202203E-3</v>
      </c>
      <c r="AN334" s="61">
        <f t="shared" ca="1" si="88"/>
        <v>4.9828615746436199E-3</v>
      </c>
      <c r="AO334" s="61">
        <f t="shared" ca="1" si="89"/>
        <v>-2.5142134546032813E-2</v>
      </c>
      <c r="AP334" s="19"/>
      <c r="AQ334" s="62">
        <f t="shared" ca="1" si="84"/>
        <v>0.76365052614783246</v>
      </c>
      <c r="AR334" s="62">
        <f t="shared" ca="1" si="85"/>
        <v>0.8490646032861765</v>
      </c>
      <c r="AS334" s="62">
        <f t="shared" ca="1" si="86"/>
        <v>1.0375041978388782</v>
      </c>
      <c r="AT334" s="49"/>
    </row>
    <row r="335" spans="1:46" x14ac:dyDescent="0.3">
      <c r="A335" s="5">
        <v>43949</v>
      </c>
      <c r="B335" s="6">
        <v>46.299999</v>
      </c>
      <c r="C335" s="6">
        <v>78.449996999999996</v>
      </c>
      <c r="D335" s="6">
        <v>57.869999</v>
      </c>
      <c r="F335" s="13">
        <v>332</v>
      </c>
      <c r="G335" s="5">
        <v>43949</v>
      </c>
      <c r="H335" s="15">
        <f t="shared" si="82"/>
        <v>1.7209901411751671E-2</v>
      </c>
      <c r="I335" s="15">
        <f t="shared" si="82"/>
        <v>4.7376212018123004E-2</v>
      </c>
      <c r="J335" s="15">
        <f t="shared" si="82"/>
        <v>4.0555611013806676E-2</v>
      </c>
      <c r="K335" s="22"/>
      <c r="L335" s="13">
        <v>332</v>
      </c>
      <c r="M335" s="5">
        <v>43949</v>
      </c>
      <c r="N335" s="26">
        <f t="shared" si="79"/>
        <v>0.81888924975434652</v>
      </c>
      <c r="O335" s="26">
        <f t="shared" si="80"/>
        <v>0.74402499537130118</v>
      </c>
      <c r="P335" s="26">
        <f t="shared" si="81"/>
        <v>0.76588142577769791</v>
      </c>
      <c r="Q335" s="22"/>
      <c r="AD335" s="59">
        <v>331</v>
      </c>
      <c r="AE335" s="61">
        <f t="shared" ca="1" si="83"/>
        <v>-2.1019287858672677</v>
      </c>
      <c r="AF335" s="61">
        <f t="shared" ca="1" si="83"/>
        <v>0.71028650500935331</v>
      </c>
      <c r="AG335" s="61">
        <f t="shared" ca="1" si="83"/>
        <v>0.36551118286232731</v>
      </c>
      <c r="AH335" s="19"/>
      <c r="AI335" s="61">
        <f ca="1"/>
        <v>-4.5578822465680881E-2</v>
      </c>
      <c r="AJ335" s="61">
        <f ca="1"/>
        <v>-1.7461299653197249E-2</v>
      </c>
      <c r="AK335" s="61">
        <f ca="1"/>
        <v>-1.6690600699807885E-2</v>
      </c>
      <c r="AL335" s="19"/>
      <c r="AM335" s="61">
        <f t="shared" ca="1" si="87"/>
        <v>-4.5227606143170639E-2</v>
      </c>
      <c r="AN335" s="61">
        <f t="shared" ca="1" si="88"/>
        <v>-1.721224705628072E-2</v>
      </c>
      <c r="AO335" s="61">
        <f t="shared" ca="1" si="89"/>
        <v>-1.6258932096553068E-2</v>
      </c>
      <c r="AP335" s="19"/>
      <c r="AQ335" s="62">
        <f t="shared" ca="1" si="84"/>
        <v>0.72988183550126418</v>
      </c>
      <c r="AR335" s="62">
        <f t="shared" ca="1" si="85"/>
        <v>0.83457534760743091</v>
      </c>
      <c r="AS335" s="62">
        <f t="shared" ca="1" si="86"/>
        <v>1.0207718809398463</v>
      </c>
      <c r="AT335" s="49"/>
    </row>
    <row r="336" spans="1:46" x14ac:dyDescent="0.3">
      <c r="A336" s="5">
        <v>43950</v>
      </c>
      <c r="B336" s="6">
        <v>48.290000999999997</v>
      </c>
      <c r="C336" s="6">
        <v>80.970000999999996</v>
      </c>
      <c r="D336" s="6">
        <v>66.279999000000004</v>
      </c>
      <c r="F336" s="13">
        <v>333</v>
      </c>
      <c r="G336" s="5">
        <v>43950</v>
      </c>
      <c r="H336" s="15">
        <f t="shared" si="82"/>
        <v>4.2082581099755448E-2</v>
      </c>
      <c r="I336" s="15">
        <f t="shared" si="82"/>
        <v>3.1617287110152999E-2</v>
      </c>
      <c r="J336" s="15">
        <f t="shared" si="82"/>
        <v>0.13568907916521797</v>
      </c>
      <c r="K336" s="22"/>
      <c r="L336" s="13">
        <v>333</v>
      </c>
      <c r="M336" s="5">
        <v>43950</v>
      </c>
      <c r="N336" s="26">
        <f t="shared" si="79"/>
        <v>0.85408560569356906</v>
      </c>
      <c r="O336" s="26">
        <f t="shared" si="80"/>
        <v>0.76792488110916379</v>
      </c>
      <c r="P336" s="26">
        <f t="shared" si="81"/>
        <v>0.87718370506044763</v>
      </c>
      <c r="Q336" s="22"/>
      <c r="AD336" s="59">
        <v>332</v>
      </c>
      <c r="AE336" s="61">
        <f t="shared" ca="1" si="83"/>
        <v>-0.83672523881460692</v>
      </c>
      <c r="AF336" s="61">
        <f t="shared" ca="1" si="83"/>
        <v>-0.75142251120836456</v>
      </c>
      <c r="AG336" s="61">
        <f t="shared" ca="1" si="83"/>
        <v>-0.11645656716446967</v>
      </c>
      <c r="AH336" s="19"/>
      <c r="AI336" s="61">
        <f ca="1"/>
        <v>-1.814378839516672E-2</v>
      </c>
      <c r="AJ336" s="61">
        <f ca="1"/>
        <v>-2.9429639120241741E-2</v>
      </c>
      <c r="AK336" s="61">
        <f ca="1"/>
        <v>-2.0638547815563513E-2</v>
      </c>
      <c r="AL336" s="19"/>
      <c r="AM336" s="61">
        <f t="shared" ca="1" si="87"/>
        <v>-1.7792572072656474E-2</v>
      </c>
      <c r="AN336" s="61">
        <f t="shared" ca="1" si="88"/>
        <v>-2.9180586523325211E-2</v>
      </c>
      <c r="AO336" s="61">
        <f t="shared" ca="1" si="89"/>
        <v>-2.0206879212308695E-2</v>
      </c>
      <c r="AP336" s="19"/>
      <c r="AQ336" s="62">
        <f t="shared" ca="1" si="84"/>
        <v>0.71701020957305106</v>
      </c>
      <c r="AR336" s="62">
        <f t="shared" ca="1" si="85"/>
        <v>0.81057384157404311</v>
      </c>
      <c r="AS336" s="62">
        <f t="shared" ca="1" si="86"/>
        <v>1.0003522699479215</v>
      </c>
      <c r="AT336" s="49"/>
    </row>
    <row r="337" spans="1:46" x14ac:dyDescent="0.3">
      <c r="A337" s="5">
        <v>43951</v>
      </c>
      <c r="B337" s="6">
        <v>47.27</v>
      </c>
      <c r="C337" s="6">
        <v>73.779999000000004</v>
      </c>
      <c r="D337" s="6">
        <v>63.349997999999999</v>
      </c>
      <c r="F337" s="13">
        <v>334</v>
      </c>
      <c r="G337" s="5">
        <v>43951</v>
      </c>
      <c r="H337" s="15">
        <f t="shared" si="82"/>
        <v>-2.1348675788526297E-2</v>
      </c>
      <c r="I337" s="15">
        <f t="shared" si="82"/>
        <v>-9.2991049433555184E-2</v>
      </c>
      <c r="J337" s="15">
        <f t="shared" si="82"/>
        <v>-4.5213302274346369E-2</v>
      </c>
      <c r="K337" s="22"/>
      <c r="L337" s="13">
        <v>334</v>
      </c>
      <c r="M337" s="5">
        <v>43951</v>
      </c>
      <c r="N337" s="26">
        <f t="shared" si="79"/>
        <v>0.83604526289272629</v>
      </c>
      <c r="O337" s="26">
        <f t="shared" si="80"/>
        <v>0.699734423373778</v>
      </c>
      <c r="P337" s="26">
        <f t="shared" si="81"/>
        <v>0.83840656004252412</v>
      </c>
      <c r="Q337" s="22"/>
      <c r="AD337" s="59">
        <v>333</v>
      </c>
      <c r="AE337" s="61">
        <f t="shared" ca="1" si="83"/>
        <v>-0.50246869983211273</v>
      </c>
      <c r="AF337" s="61">
        <f t="shared" ca="1" si="83"/>
        <v>-0.18463006746009172</v>
      </c>
      <c r="AG337" s="61">
        <f t="shared" ca="1" si="83"/>
        <v>1.8079747579658991</v>
      </c>
      <c r="AH337" s="19"/>
      <c r="AI337" s="61">
        <f ca="1"/>
        <v>-1.0895674400671903E-2</v>
      </c>
      <c r="AJ337" s="61">
        <f ca="1"/>
        <v>-1.1877932281015292E-2</v>
      </c>
      <c r="AK337" s="61">
        <f ca="1"/>
        <v>3.7595732736563553E-2</v>
      </c>
      <c r="AL337" s="19"/>
      <c r="AM337" s="61">
        <f t="shared" ca="1" si="87"/>
        <v>-1.0544458078161659E-2</v>
      </c>
      <c r="AN337" s="61">
        <f t="shared" ca="1" si="88"/>
        <v>-1.162887968409876E-2</v>
      </c>
      <c r="AO337" s="61">
        <f t="shared" ca="1" si="89"/>
        <v>3.802740133981837E-2</v>
      </c>
      <c r="AP337" s="19"/>
      <c r="AQ337" s="62">
        <f t="shared" ca="1" si="84"/>
        <v>0.70948944634612465</v>
      </c>
      <c r="AR337" s="62">
        <f t="shared" ca="1" si="85"/>
        <v>0.80120237135420558</v>
      </c>
      <c r="AS337" s="62">
        <f t="shared" ca="1" si="86"/>
        <v>1.0391256197199266</v>
      </c>
      <c r="AT337" s="49"/>
    </row>
    <row r="338" spans="1:46" x14ac:dyDescent="0.3">
      <c r="A338" s="5">
        <v>43952</v>
      </c>
      <c r="B338" s="6">
        <v>44.380001</v>
      </c>
      <c r="C338" s="6">
        <v>73.089995999999999</v>
      </c>
      <c r="D338" s="6">
        <v>58.759998000000003</v>
      </c>
      <c r="F338" s="13">
        <v>335</v>
      </c>
      <c r="G338" s="5">
        <v>43952</v>
      </c>
      <c r="H338" s="15">
        <f t="shared" si="82"/>
        <v>-6.3086904768025087E-2</v>
      </c>
      <c r="I338" s="15">
        <f t="shared" si="82"/>
        <v>-9.3961748494708775E-3</v>
      </c>
      <c r="J338" s="15">
        <f t="shared" si="82"/>
        <v>-7.5213557927591906E-2</v>
      </c>
      <c r="K338" s="22"/>
      <c r="L338" s="13">
        <v>335</v>
      </c>
      <c r="M338" s="5">
        <v>43952</v>
      </c>
      <c r="N338" s="26">
        <f t="shared" si="79"/>
        <v>0.78493102608894549</v>
      </c>
      <c r="O338" s="26">
        <f t="shared" si="80"/>
        <v>0.69319038897590302</v>
      </c>
      <c r="P338" s="26">
        <f t="shared" si="81"/>
        <v>0.77766013175384163</v>
      </c>
      <c r="Q338" s="22"/>
      <c r="AD338" s="59">
        <v>334</v>
      </c>
      <c r="AE338" s="61">
        <f t="shared" ca="1" si="83"/>
        <v>0.69833436767207469</v>
      </c>
      <c r="AF338" s="61">
        <f t="shared" ca="1" si="83"/>
        <v>0.62621906628637081</v>
      </c>
      <c r="AG338" s="61">
        <f t="shared" ca="1" si="83"/>
        <v>0.57935423374926087</v>
      </c>
      <c r="AH338" s="19"/>
      <c r="AI338" s="61">
        <f ca="1"/>
        <v>1.514288132872022E-2</v>
      </c>
      <c r="AJ338" s="61">
        <f ca="1"/>
        <v>2.4542074156425168E-2</v>
      </c>
      <c r="AK338" s="61">
        <f ca="1"/>
        <v>2.957142422675773E-2</v>
      </c>
      <c r="AL338" s="19"/>
      <c r="AM338" s="61">
        <f t="shared" ca="1" si="87"/>
        <v>1.5494097651230464E-2</v>
      </c>
      <c r="AN338" s="61">
        <f t="shared" ca="1" si="88"/>
        <v>2.4791126753341698E-2</v>
      </c>
      <c r="AO338" s="61">
        <f t="shared" ca="1" si="89"/>
        <v>3.0003092830012547E-2</v>
      </c>
      <c r="AP338" s="19"/>
      <c r="AQ338" s="62">
        <f t="shared" ca="1" si="84"/>
        <v>0.72056794918162814</v>
      </c>
      <c r="AR338" s="62">
        <f t="shared" ca="1" si="85"/>
        <v>0.82131333764874692</v>
      </c>
      <c r="AS338" s="62">
        <f t="shared" ca="1" si="86"/>
        <v>1.0707750179076472</v>
      </c>
      <c r="AT338" s="49"/>
    </row>
    <row r="339" spans="1:46" x14ac:dyDescent="0.3">
      <c r="A339" s="5">
        <v>43955</v>
      </c>
      <c r="B339" s="6">
        <v>44.209999000000003</v>
      </c>
      <c r="C339" s="6">
        <v>71.870002999999997</v>
      </c>
      <c r="D339" s="6">
        <v>63.66</v>
      </c>
      <c r="F339" s="13">
        <v>336</v>
      </c>
      <c r="G339" s="5">
        <v>43955</v>
      </c>
      <c r="H339" s="15">
        <f t="shared" si="82"/>
        <v>-3.8379548182851694E-3</v>
      </c>
      <c r="I339" s="15">
        <f t="shared" si="82"/>
        <v>-1.6832530542865376E-2</v>
      </c>
      <c r="J339" s="15">
        <f t="shared" si="82"/>
        <v>8.0095104585030469E-2</v>
      </c>
      <c r="K339" s="22"/>
      <c r="L339" s="13">
        <v>336</v>
      </c>
      <c r="M339" s="5">
        <v>43955</v>
      </c>
      <c r="N339" s="26">
        <f t="shared" si="79"/>
        <v>0.78192426986338404</v>
      </c>
      <c r="O339" s="26">
        <f t="shared" si="80"/>
        <v>0.68161989412708845</v>
      </c>
      <c r="P339" s="26">
        <f t="shared" si="81"/>
        <v>0.84250928646133638</v>
      </c>
      <c r="Q339" s="22"/>
      <c r="AD339" s="59">
        <v>335</v>
      </c>
      <c r="AE339" s="61">
        <f t="shared" ca="1" si="83"/>
        <v>0.80375049627130724</v>
      </c>
      <c r="AF339" s="61">
        <f t="shared" ca="1" si="83"/>
        <v>-1.8334036853895059</v>
      </c>
      <c r="AG339" s="61">
        <f t="shared" ca="1" si="83"/>
        <v>-1.1795603372432018</v>
      </c>
      <c r="AH339" s="19"/>
      <c r="AI339" s="61">
        <f ca="1"/>
        <v>1.7428754685966878E-2</v>
      </c>
      <c r="AJ339" s="61">
        <f ca="1"/>
        <v>-2.7270320426625697E-2</v>
      </c>
      <c r="AK339" s="61">
        <f ca="1"/>
        <v>-3.1256103784336395E-2</v>
      </c>
      <c r="AL339" s="19"/>
      <c r="AM339" s="61">
        <f t="shared" ca="1" si="87"/>
        <v>1.7779971008477124E-2</v>
      </c>
      <c r="AN339" s="61">
        <f t="shared" ca="1" si="88"/>
        <v>-2.7021267829709168E-2</v>
      </c>
      <c r="AO339" s="61">
        <f t="shared" ca="1" si="89"/>
        <v>-3.0824435181081578E-2</v>
      </c>
      <c r="AP339" s="19"/>
      <c r="AQ339" s="62">
        <f t="shared" ca="1" si="84"/>
        <v>0.7334942000841832</v>
      </c>
      <c r="AR339" s="62">
        <f t="shared" ca="1" si="85"/>
        <v>0.79941756795678154</v>
      </c>
      <c r="AS339" s="62">
        <f t="shared" ca="1" si="86"/>
        <v>1.0382724922431938</v>
      </c>
      <c r="AT339" s="49"/>
    </row>
    <row r="340" spans="1:46" x14ac:dyDescent="0.3">
      <c r="A340" s="5">
        <v>43956</v>
      </c>
      <c r="B340" s="6">
        <v>44.360000999999997</v>
      </c>
      <c r="C340" s="6">
        <v>72.319999999999993</v>
      </c>
      <c r="D340" s="6">
        <v>63.02</v>
      </c>
      <c r="F340" s="13">
        <v>337</v>
      </c>
      <c r="G340" s="5">
        <v>43956</v>
      </c>
      <c r="H340" s="15">
        <f t="shared" si="82"/>
        <v>3.3871998061626623E-3</v>
      </c>
      <c r="I340" s="15">
        <f t="shared" si="82"/>
        <v>6.2417428615363759E-3</v>
      </c>
      <c r="J340" s="15">
        <f t="shared" si="82"/>
        <v>-1.0104285524818088E-2</v>
      </c>
      <c r="K340" s="22"/>
      <c r="L340" s="13">
        <v>337</v>
      </c>
      <c r="M340" s="5">
        <v>43956</v>
      </c>
      <c r="N340" s="26">
        <f t="shared" si="79"/>
        <v>0.78457729422396016</v>
      </c>
      <c r="O340" s="26">
        <f t="shared" si="80"/>
        <v>0.68588769563945939</v>
      </c>
      <c r="P340" s="26">
        <f t="shared" si="81"/>
        <v>0.83403919624243517</v>
      </c>
      <c r="Q340" s="22"/>
      <c r="AD340" s="59">
        <v>336</v>
      </c>
      <c r="AE340" s="61">
        <f t="shared" ca="1" si="83"/>
        <v>-0.84607395340678815</v>
      </c>
      <c r="AF340" s="61">
        <f t="shared" ca="1" si="83"/>
        <v>2.7314938036481187</v>
      </c>
      <c r="AG340" s="61">
        <f t="shared" ca="1" si="83"/>
        <v>-1.0469700212830184</v>
      </c>
      <c r="AH340" s="19"/>
      <c r="AI340" s="61">
        <f ca="1"/>
        <v>-1.8346508585091487E-2</v>
      </c>
      <c r="AJ340" s="61">
        <f ca="1"/>
        <v>4.6128762001531466E-2</v>
      </c>
      <c r="AK340" s="61">
        <f ca="1"/>
        <v>-2.008809190138177E-2</v>
      </c>
      <c r="AL340" s="19"/>
      <c r="AM340" s="61">
        <f t="shared" ca="1" si="87"/>
        <v>-1.7995292262581241E-2</v>
      </c>
      <c r="AN340" s="61">
        <f t="shared" ca="1" si="88"/>
        <v>4.6377814598447996E-2</v>
      </c>
      <c r="AO340" s="61">
        <f t="shared" ca="1" si="89"/>
        <v>-1.9656423298126953E-2</v>
      </c>
      <c r="AP340" s="19"/>
      <c r="AQ340" s="62">
        <f t="shared" ca="1" si="84"/>
        <v>0.72041281228987752</v>
      </c>
      <c r="AR340" s="62">
        <f t="shared" ca="1" si="85"/>
        <v>0.83736598841473597</v>
      </c>
      <c r="AS340" s="62">
        <f t="shared" ca="1" si="86"/>
        <v>1.018063042088257</v>
      </c>
      <c r="AT340" s="49"/>
    </row>
    <row r="341" spans="1:46" x14ac:dyDescent="0.3">
      <c r="A341" s="5">
        <v>43957</v>
      </c>
      <c r="B341" s="6">
        <v>43.889999000000003</v>
      </c>
      <c r="C341" s="6">
        <v>71.129997000000003</v>
      </c>
      <c r="D341" s="6">
        <v>60.91</v>
      </c>
      <c r="F341" s="13">
        <v>338</v>
      </c>
      <c r="G341" s="5">
        <v>43957</v>
      </c>
      <c r="H341" s="15">
        <f t="shared" si="82"/>
        <v>-1.0651704109088214E-2</v>
      </c>
      <c r="I341" s="15">
        <f t="shared" si="82"/>
        <v>-1.6591569514794961E-2</v>
      </c>
      <c r="J341" s="15">
        <f t="shared" si="82"/>
        <v>-3.4054771480735373E-2</v>
      </c>
      <c r="K341" s="22"/>
      <c r="L341" s="13">
        <v>338</v>
      </c>
      <c r="M341" s="5">
        <v>43957</v>
      </c>
      <c r="N341" s="26">
        <f t="shared" si="79"/>
        <v>0.77626456002361943</v>
      </c>
      <c r="O341" s="26">
        <f t="shared" si="80"/>
        <v>0.67460162794761702</v>
      </c>
      <c r="P341" s="26">
        <f t="shared" si="81"/>
        <v>0.80611436755199495</v>
      </c>
      <c r="Q341" s="22"/>
      <c r="AD341" s="59">
        <v>337</v>
      </c>
      <c r="AE341" s="61">
        <f t="shared" ca="1" si="83"/>
        <v>3.0777677408163235</v>
      </c>
      <c r="AF341" s="61">
        <f t="shared" ca="1" si="83"/>
        <v>1.25673495171658</v>
      </c>
      <c r="AG341" s="61">
        <f t="shared" ca="1" si="83"/>
        <v>-1.7026176862171045</v>
      </c>
      <c r="AH341" s="19"/>
      <c r="AI341" s="61">
        <f ca="1"/>
        <v>6.673919230398008E-2</v>
      </c>
      <c r="AJ341" s="61">
        <f ca="1"/>
        <v>7.5490673756580778E-2</v>
      </c>
      <c r="AK341" s="61">
        <f ca="1"/>
        <v>1.0705216793411229E-2</v>
      </c>
      <c r="AL341" s="19"/>
      <c r="AM341" s="61">
        <f t="shared" ca="1" si="87"/>
        <v>6.7090408626490322E-2</v>
      </c>
      <c r="AN341" s="61">
        <f t="shared" ca="1" si="88"/>
        <v>7.5739726353497308E-2</v>
      </c>
      <c r="AO341" s="61">
        <f t="shared" ca="1" si="89"/>
        <v>1.1136885396666048E-2</v>
      </c>
      <c r="AP341" s="19"/>
      <c r="AQ341" s="62">
        <f t="shared" ca="1" si="84"/>
        <v>0.77040381060253504</v>
      </c>
      <c r="AR341" s="62">
        <f t="shared" ca="1" si="85"/>
        <v>0.90325143922907336</v>
      </c>
      <c r="AS341" s="62">
        <f t="shared" ca="1" si="86"/>
        <v>1.0294644638350952</v>
      </c>
      <c r="AT341" s="49"/>
    </row>
    <row r="342" spans="1:46" x14ac:dyDescent="0.3">
      <c r="A342" s="5">
        <v>43958</v>
      </c>
      <c r="B342" s="6">
        <v>45.16</v>
      </c>
      <c r="C342" s="6">
        <v>70.230002999999996</v>
      </c>
      <c r="D342" s="6">
        <v>61.259998000000003</v>
      </c>
      <c r="F342" s="13">
        <v>339</v>
      </c>
      <c r="G342" s="5">
        <v>43958</v>
      </c>
      <c r="H342" s="15">
        <f t="shared" si="82"/>
        <v>2.8525258365552027E-2</v>
      </c>
      <c r="I342" s="15">
        <f t="shared" si="82"/>
        <v>-1.2733533681410267E-2</v>
      </c>
      <c r="J342" s="15">
        <f t="shared" si="82"/>
        <v>5.7297039085046284E-3</v>
      </c>
      <c r="K342" s="22"/>
      <c r="L342" s="13">
        <v>339</v>
      </c>
      <c r="M342" s="5">
        <v>43958</v>
      </c>
      <c r="N342" s="26">
        <f t="shared" si="79"/>
        <v>0.79872655113677837</v>
      </c>
      <c r="O342" s="26">
        <f t="shared" si="80"/>
        <v>0.66606602492287503</v>
      </c>
      <c r="P342" s="26">
        <f t="shared" si="81"/>
        <v>0.81074642167142474</v>
      </c>
      <c r="Q342" s="22"/>
      <c r="AD342" s="59">
        <v>338</v>
      </c>
      <c r="AE342" s="61">
        <f t="shared" ca="1" si="83"/>
        <v>0.84048202412180018</v>
      </c>
      <c r="AF342" s="61">
        <f t="shared" ca="1" si="83"/>
        <v>-1.6188798812128413</v>
      </c>
      <c r="AG342" s="61">
        <f t="shared" ca="1" si="83"/>
        <v>-0.7816684633411044</v>
      </c>
      <c r="AH342" s="19"/>
      <c r="AI342" s="61">
        <f ca="1"/>
        <v>1.8225251597778311E-2</v>
      </c>
      <c r="AJ342" s="61">
        <f ca="1"/>
        <v>-2.2032492954639916E-2</v>
      </c>
      <c r="AK342" s="61">
        <f ca="1"/>
        <v>-1.9008627997893407E-2</v>
      </c>
      <c r="AL342" s="19"/>
      <c r="AM342" s="61">
        <f t="shared" ca="1" si="87"/>
        <v>1.8576467920288556E-2</v>
      </c>
      <c r="AN342" s="61">
        <f t="shared" ca="1" si="88"/>
        <v>-2.1783440357723387E-2</v>
      </c>
      <c r="AO342" s="61">
        <f t="shared" ca="1" si="89"/>
        <v>-1.857695939463859E-2</v>
      </c>
      <c r="AP342" s="19"/>
      <c r="AQ342" s="62">
        <f t="shared" ca="1" si="84"/>
        <v>0.78484894668156324</v>
      </c>
      <c r="AR342" s="62">
        <f t="shared" ca="1" si="85"/>
        <v>0.88378827237141544</v>
      </c>
      <c r="AS342" s="62">
        <f t="shared" ca="1" si="86"/>
        <v>1.0105166852576322</v>
      </c>
      <c r="AT342" s="49"/>
    </row>
    <row r="343" spans="1:46" x14ac:dyDescent="0.3">
      <c r="A343" s="5">
        <v>43959</v>
      </c>
      <c r="B343" s="6">
        <v>47.380001</v>
      </c>
      <c r="C343" s="6">
        <v>72.080001999999993</v>
      </c>
      <c r="D343" s="6">
        <v>65.919998000000007</v>
      </c>
      <c r="F343" s="13">
        <v>340</v>
      </c>
      <c r="G343" s="5">
        <v>43959</v>
      </c>
      <c r="H343" s="15">
        <f t="shared" si="82"/>
        <v>4.7988480555129852E-2</v>
      </c>
      <c r="I343" s="15">
        <f t="shared" si="82"/>
        <v>2.6001028159313943E-2</v>
      </c>
      <c r="J343" s="15">
        <f t="shared" si="82"/>
        <v>7.33147865045123E-2</v>
      </c>
      <c r="K343" s="22"/>
      <c r="L343" s="13">
        <v>340</v>
      </c>
      <c r="M343" s="5">
        <v>43959</v>
      </c>
      <c r="N343" s="26">
        <f t="shared" si="79"/>
        <v>0.83799080583673857</v>
      </c>
      <c r="O343" s="26">
        <f t="shared" si="80"/>
        <v>0.68361153862648816</v>
      </c>
      <c r="P343" s="26">
        <f t="shared" si="81"/>
        <v>0.87241926607779974</v>
      </c>
      <c r="Q343" s="22"/>
      <c r="AD343" s="59">
        <v>339</v>
      </c>
      <c r="AE343" s="61">
        <f t="shared" ca="1" si="83"/>
        <v>-0.97520635060205263</v>
      </c>
      <c r="AF343" s="61">
        <f t="shared" ca="1" si="83"/>
        <v>-1.3156863186526053</v>
      </c>
      <c r="AG343" s="61">
        <f t="shared" ca="1" si="83"/>
        <v>1.6361782573895547</v>
      </c>
      <c r="AH343" s="19"/>
      <c r="AI343" s="61">
        <f ca="1"/>
        <v>-2.1146652265459934E-2</v>
      </c>
      <c r="AJ343" s="61">
        <f ca="1"/>
        <v>-4.3862040333745175E-2</v>
      </c>
      <c r="AK343" s="61">
        <f ca="1"/>
        <v>1.8243937994902232E-2</v>
      </c>
      <c r="AL343" s="19"/>
      <c r="AM343" s="61">
        <f t="shared" ca="1" si="87"/>
        <v>-2.0795435942949688E-2</v>
      </c>
      <c r="AN343" s="61">
        <f t="shared" ca="1" si="88"/>
        <v>-4.3612987736828646E-2</v>
      </c>
      <c r="AO343" s="61">
        <f t="shared" ca="1" si="89"/>
        <v>1.8675606598157049E-2</v>
      </c>
      <c r="AP343" s="19"/>
      <c r="AQ343" s="62">
        <f t="shared" ca="1" si="84"/>
        <v>0.76869620444466347</v>
      </c>
      <c r="AR343" s="62">
        <f t="shared" ca="1" si="85"/>
        <v>0.84607206172398119</v>
      </c>
      <c r="AS343" s="62">
        <f t="shared" ca="1" si="86"/>
        <v>1.0295660226347376</v>
      </c>
      <c r="AT343" s="49"/>
    </row>
    <row r="344" spans="1:46" x14ac:dyDescent="0.3">
      <c r="A344" s="5">
        <v>43962</v>
      </c>
      <c r="B344" s="6">
        <v>46.43</v>
      </c>
      <c r="C344" s="6">
        <v>69.410004000000001</v>
      </c>
      <c r="D344" s="6">
        <v>65.569999999999993</v>
      </c>
      <c r="F344" s="13">
        <v>341</v>
      </c>
      <c r="G344" s="5">
        <v>43962</v>
      </c>
      <c r="H344" s="15">
        <f t="shared" si="82"/>
        <v>-2.025441780476072E-2</v>
      </c>
      <c r="I344" s="15">
        <f t="shared" si="82"/>
        <v>-3.774563406695533E-2</v>
      </c>
      <c r="J344" s="15">
        <f t="shared" si="82"/>
        <v>-5.3235809858821169E-3</v>
      </c>
      <c r="K344" s="22"/>
      <c r="L344" s="13">
        <v>341</v>
      </c>
      <c r="M344" s="5">
        <v>43962</v>
      </c>
      <c r="N344" s="26">
        <f t="shared" si="79"/>
        <v>0.82118852456334412</v>
      </c>
      <c r="O344" s="26">
        <f t="shared" si="80"/>
        <v>0.65828909980483497</v>
      </c>
      <c r="P344" s="26">
        <f t="shared" si="81"/>
        <v>0.86778721195836983</v>
      </c>
      <c r="Q344" s="22"/>
      <c r="AD344" s="59">
        <v>340</v>
      </c>
      <c r="AE344" s="61">
        <f t="shared" ca="1" si="83"/>
        <v>2.4551712635585998</v>
      </c>
      <c r="AF344" s="61">
        <f t="shared" ca="1" si="83"/>
        <v>-0.5242269198753714</v>
      </c>
      <c r="AG344" s="61">
        <f t="shared" ca="1" si="83"/>
        <v>-1.3372059658842776</v>
      </c>
      <c r="AH344" s="19"/>
      <c r="AI344" s="61">
        <f ca="1"/>
        <v>5.3238632962727461E-2</v>
      </c>
      <c r="AJ344" s="61">
        <f ca="1"/>
        <v>2.7034564700385913E-2</v>
      </c>
      <c r="AK344" s="61">
        <f ca="1"/>
        <v>-1.674508213375725E-3</v>
      </c>
      <c r="AL344" s="19"/>
      <c r="AM344" s="61">
        <f t="shared" ca="1" si="87"/>
        <v>5.3589849285237703E-2</v>
      </c>
      <c r="AN344" s="61">
        <f t="shared" ca="1" si="88"/>
        <v>2.7283617297302443E-2</v>
      </c>
      <c r="AO344" s="61">
        <f t="shared" ca="1" si="89"/>
        <v>-1.2428396101209068E-3</v>
      </c>
      <c r="AP344" s="19"/>
      <c r="AQ344" s="62">
        <f t="shared" ca="1" si="84"/>
        <v>0.81101430120587015</v>
      </c>
      <c r="AR344" s="62">
        <f t="shared" ca="1" si="85"/>
        <v>0.86947375786382797</v>
      </c>
      <c r="AS344" s="62">
        <f t="shared" ca="1" si="86"/>
        <v>1.0282872320309873</v>
      </c>
      <c r="AT344" s="49"/>
    </row>
    <row r="345" spans="1:46" x14ac:dyDescent="0.3">
      <c r="A345" s="5">
        <v>43963</v>
      </c>
      <c r="B345" s="6">
        <v>44.860000999999997</v>
      </c>
      <c r="C345" s="6">
        <v>65.529999000000004</v>
      </c>
      <c r="D345" s="6">
        <v>63.34</v>
      </c>
      <c r="F345" s="13">
        <v>342</v>
      </c>
      <c r="G345" s="5">
        <v>43963</v>
      </c>
      <c r="H345" s="15">
        <f t="shared" si="82"/>
        <v>-3.4399250648194601E-2</v>
      </c>
      <c r="I345" s="15">
        <f t="shared" si="82"/>
        <v>-5.7522969188855196E-2</v>
      </c>
      <c r="J345" s="15">
        <f t="shared" si="82"/>
        <v>-3.4601233165034155E-2</v>
      </c>
      <c r="K345" s="22"/>
      <c r="L345" s="13">
        <v>342</v>
      </c>
      <c r="M345" s="5">
        <v>43963</v>
      </c>
      <c r="N345" s="26">
        <f t="shared" si="79"/>
        <v>0.79342059084859229</v>
      </c>
      <c r="O345" s="26">
        <f t="shared" si="80"/>
        <v>0.62149087402331427</v>
      </c>
      <c r="P345" s="26">
        <f t="shared" si="81"/>
        <v>0.83827424135188577</v>
      </c>
      <c r="Q345" s="22"/>
      <c r="AD345" s="59">
        <v>341</v>
      </c>
      <c r="AE345" s="61">
        <f t="shared" ca="1" si="83"/>
        <v>0.42274792298185931</v>
      </c>
      <c r="AF345" s="61">
        <f t="shared" ca="1" si="83"/>
        <v>-1.9160918320068758</v>
      </c>
      <c r="AG345" s="61">
        <f t="shared" ca="1" si="83"/>
        <v>-0.89544568133185076</v>
      </c>
      <c r="AH345" s="19"/>
      <c r="AI345" s="61">
        <f ca="1"/>
        <v>9.1669863693194867E-3</v>
      </c>
      <c r="AJ345" s="61">
        <f ca="1"/>
        <v>-3.5031212462550705E-2</v>
      </c>
      <c r="AK345" s="61">
        <f ca="1"/>
        <v>-3.01889481435266E-2</v>
      </c>
      <c r="AL345" s="19"/>
      <c r="AM345" s="61">
        <f t="shared" ca="1" si="87"/>
        <v>9.5182026918297306E-3</v>
      </c>
      <c r="AN345" s="61">
        <f t="shared" ca="1" si="88"/>
        <v>-3.4782159865634175E-2</v>
      </c>
      <c r="AO345" s="61">
        <f t="shared" ca="1" si="89"/>
        <v>-2.9757279540271783E-2</v>
      </c>
      <c r="AP345" s="19"/>
      <c r="AQ345" s="62">
        <f t="shared" ca="1" si="84"/>
        <v>0.81877055394642484</v>
      </c>
      <c r="AR345" s="62">
        <f t="shared" ca="1" si="85"/>
        <v>0.83975148153923174</v>
      </c>
      <c r="AS345" s="62">
        <f t="shared" ca="1" si="86"/>
        <v>0.99813899088475722</v>
      </c>
      <c r="AT345" s="49"/>
    </row>
    <row r="346" spans="1:46" x14ac:dyDescent="0.3">
      <c r="A346" s="5">
        <v>43964</v>
      </c>
      <c r="B346" s="6">
        <v>43.549999</v>
      </c>
      <c r="C346" s="6">
        <v>64.690002000000007</v>
      </c>
      <c r="D346" s="6">
        <v>59.049999</v>
      </c>
      <c r="F346" s="13">
        <v>343</v>
      </c>
      <c r="G346" s="5">
        <v>43964</v>
      </c>
      <c r="H346" s="15">
        <f t="shared" si="82"/>
        <v>-2.9636871047236751E-2</v>
      </c>
      <c r="I346" s="15">
        <f t="shared" si="82"/>
        <v>-1.2901376818646077E-2</v>
      </c>
      <c r="J346" s="15">
        <f t="shared" si="82"/>
        <v>-7.0132515401923695E-2</v>
      </c>
      <c r="K346" s="22"/>
      <c r="L346" s="13">
        <v>343</v>
      </c>
      <c r="M346" s="5">
        <v>43964</v>
      </c>
      <c r="N346" s="26">
        <f t="shared" si="79"/>
        <v>0.7702511183188695</v>
      </c>
      <c r="O346" s="26">
        <f t="shared" si="80"/>
        <v>0.61352428654164859</v>
      </c>
      <c r="P346" s="26">
        <f t="shared" si="81"/>
        <v>0.78149815461879713</v>
      </c>
      <c r="Q346" s="22"/>
      <c r="AD346" s="59">
        <v>342</v>
      </c>
      <c r="AE346" s="61">
        <f t="shared" ca="1" si="83"/>
        <v>-1.4130747187220858</v>
      </c>
      <c r="AF346" s="61">
        <f t="shared" ca="1" si="83"/>
        <v>0.71848669135190191</v>
      </c>
      <c r="AG346" s="61">
        <f t="shared" ca="1" si="83"/>
        <v>1.0640864720851606</v>
      </c>
      <c r="AH346" s="19"/>
      <c r="AI346" s="61">
        <f ca="1"/>
        <v>-3.0641514673772116E-2</v>
      </c>
      <c r="AJ346" s="61">
        <f ca="1"/>
        <v>-6.5008836233364509E-3</v>
      </c>
      <c r="AK346" s="61">
        <f ca="1"/>
        <v>1.1442811337355262E-2</v>
      </c>
      <c r="AL346" s="19"/>
      <c r="AM346" s="61">
        <f t="shared" ca="1" si="87"/>
        <v>-3.0290298351261871E-2</v>
      </c>
      <c r="AN346" s="61">
        <f t="shared" ca="1" si="88"/>
        <v>-6.2518310264199203E-3</v>
      </c>
      <c r="AO346" s="61">
        <f t="shared" ca="1" si="89"/>
        <v>1.1874479940610081E-2</v>
      </c>
      <c r="AP346" s="19"/>
      <c r="AQ346" s="62">
        <f t="shared" ca="1" si="84"/>
        <v>0.79434159754817235</v>
      </c>
      <c r="AR346" s="62">
        <f t="shared" ca="1" si="85"/>
        <v>0.83451787403380928</v>
      </c>
      <c r="AS346" s="62">
        <f t="shared" ca="1" si="86"/>
        <v>1.0100620221089702</v>
      </c>
      <c r="AT346" s="49"/>
    </row>
    <row r="347" spans="1:46" x14ac:dyDescent="0.3">
      <c r="A347" s="5">
        <v>43965</v>
      </c>
      <c r="B347" s="6">
        <v>44.610000999999997</v>
      </c>
      <c r="C347" s="6">
        <v>65.870002999999997</v>
      </c>
      <c r="D347" s="6">
        <v>59.41</v>
      </c>
      <c r="F347" s="13">
        <v>344</v>
      </c>
      <c r="G347" s="5">
        <v>43965</v>
      </c>
      <c r="H347" s="15">
        <f t="shared" si="82"/>
        <v>2.4048391220272611E-2</v>
      </c>
      <c r="I347" s="15">
        <f t="shared" si="82"/>
        <v>1.8076487224281099E-2</v>
      </c>
      <c r="J347" s="15">
        <f t="shared" si="82"/>
        <v>6.0780366590798317E-3</v>
      </c>
      <c r="K347" s="22"/>
      <c r="L347" s="13">
        <v>344</v>
      </c>
      <c r="M347" s="5">
        <v>43965</v>
      </c>
      <c r="N347" s="26">
        <f t="shared" si="79"/>
        <v>0.78899894253627623</v>
      </c>
      <c r="O347" s="26">
        <f t="shared" si="80"/>
        <v>0.62471549459947839</v>
      </c>
      <c r="P347" s="26">
        <f t="shared" si="81"/>
        <v>0.78626259360144501</v>
      </c>
      <c r="Q347" s="22"/>
      <c r="AD347" s="59">
        <v>343</v>
      </c>
      <c r="AE347" s="61">
        <f t="shared" ca="1" si="83"/>
        <v>1.4927556783574782</v>
      </c>
      <c r="AF347" s="61">
        <f t="shared" ca="1" si="83"/>
        <v>1.8548599215977664</v>
      </c>
      <c r="AG347" s="61">
        <f t="shared" ca="1" si="83"/>
        <v>-1.6921112944864121</v>
      </c>
      <c r="AH347" s="19"/>
      <c r="AI347" s="61">
        <f ca="1"/>
        <v>3.2369339297296719E-2</v>
      </c>
      <c r="AJ347" s="61">
        <f ca="1"/>
        <v>6.3682384230638961E-2</v>
      </c>
      <c r="AK347" s="61">
        <f ca="1"/>
        <v>-8.2327570671565653E-3</v>
      </c>
      <c r="AL347" s="19"/>
      <c r="AM347" s="61">
        <f t="shared" ca="1" si="87"/>
        <v>3.2720555619806961E-2</v>
      </c>
      <c r="AN347" s="61">
        <f t="shared" ca="1" si="88"/>
        <v>6.3931436827555491E-2</v>
      </c>
      <c r="AO347" s="61">
        <f t="shared" ca="1" si="89"/>
        <v>-7.8010884639017472E-3</v>
      </c>
      <c r="AP347" s="19"/>
      <c r="AQ347" s="62">
        <f t="shared" ca="1" si="84"/>
        <v>0.82076279688732734</v>
      </c>
      <c r="AR347" s="62">
        <f t="shared" ca="1" si="85"/>
        <v>0.88961216541470889</v>
      </c>
      <c r="AS347" s="62">
        <f t="shared" ca="1" si="86"/>
        <v>1.0022130938175777</v>
      </c>
      <c r="AT347" s="49"/>
    </row>
    <row r="348" spans="1:46" x14ac:dyDescent="0.3">
      <c r="A348" s="5">
        <v>43966</v>
      </c>
      <c r="B348" s="6">
        <v>45.139999000000003</v>
      </c>
      <c r="C348" s="6">
        <v>65.379997000000003</v>
      </c>
      <c r="D348" s="6">
        <v>58.779998999999997</v>
      </c>
      <c r="F348" s="13">
        <v>345</v>
      </c>
      <c r="G348" s="5">
        <v>43966</v>
      </c>
      <c r="H348" s="15">
        <f t="shared" si="82"/>
        <v>1.181067767941703E-2</v>
      </c>
      <c r="I348" s="15">
        <f t="shared" si="82"/>
        <v>-7.4667927863826472E-3</v>
      </c>
      <c r="J348" s="15">
        <f t="shared" si="82"/>
        <v>-1.0660918389468253E-2</v>
      </c>
      <c r="K348" s="22"/>
      <c r="L348" s="13">
        <v>345</v>
      </c>
      <c r="M348" s="5">
        <v>43966</v>
      </c>
      <c r="N348" s="26">
        <f t="shared" si="79"/>
        <v>0.79837280158519996</v>
      </c>
      <c r="O348" s="26">
        <f t="shared" si="80"/>
        <v>0.62006824506699076</v>
      </c>
      <c r="P348" s="26">
        <f t="shared" si="81"/>
        <v>0.77792483530769818</v>
      </c>
      <c r="Q348" s="22"/>
      <c r="AD348" s="59">
        <v>344</v>
      </c>
      <c r="AE348" s="61">
        <f t="shared" ca="1" si="83"/>
        <v>-0.3785153508326069</v>
      </c>
      <c r="AF348" s="61">
        <f t="shared" ca="1" si="83"/>
        <v>-0.10777544627545375</v>
      </c>
      <c r="AG348" s="61">
        <f t="shared" ca="1" si="83"/>
        <v>-0.92433410479128342</v>
      </c>
      <c r="AH348" s="19"/>
      <c r="AI348" s="61">
        <f ca="1"/>
        <v>-8.2078346764806846E-3</v>
      </c>
      <c r="AJ348" s="61">
        <f ca="1"/>
        <v>-8.2672591767650495E-3</v>
      </c>
      <c r="AK348" s="61">
        <f ca="1"/>
        <v>-3.0033173615334141E-2</v>
      </c>
      <c r="AL348" s="19"/>
      <c r="AM348" s="61">
        <f t="shared" ca="1" si="87"/>
        <v>-7.8566183539704407E-3</v>
      </c>
      <c r="AN348" s="61">
        <f t="shared" ca="1" si="88"/>
        <v>-8.0182065798485181E-3</v>
      </c>
      <c r="AO348" s="61">
        <f t="shared" ca="1" si="89"/>
        <v>-2.9601505012079324E-2</v>
      </c>
      <c r="AP348" s="19"/>
      <c r="AQ348" s="62">
        <f t="shared" ca="1" si="84"/>
        <v>0.81433964201113773</v>
      </c>
      <c r="AR348" s="62">
        <f t="shared" ca="1" si="85"/>
        <v>0.88250759232748344</v>
      </c>
      <c r="AS348" s="62">
        <f t="shared" ca="1" si="86"/>
        <v>0.97298087131609079</v>
      </c>
      <c r="AT348" s="49"/>
    </row>
    <row r="349" spans="1:46" x14ac:dyDescent="0.3">
      <c r="A349" s="5">
        <v>43969</v>
      </c>
      <c r="B349" s="6">
        <v>48.57</v>
      </c>
      <c r="C349" s="6">
        <v>69.930000000000007</v>
      </c>
      <c r="D349" s="6">
        <v>64.349997999999999</v>
      </c>
      <c r="F349" s="13">
        <v>346</v>
      </c>
      <c r="G349" s="5">
        <v>43969</v>
      </c>
      <c r="H349" s="15">
        <f t="shared" si="82"/>
        <v>7.3237307121564926E-2</v>
      </c>
      <c r="I349" s="15">
        <f t="shared" si="82"/>
        <v>6.727838630530393E-2</v>
      </c>
      <c r="J349" s="15">
        <f t="shared" si="82"/>
        <v>9.0535258983922409E-2</v>
      </c>
      <c r="K349" s="22"/>
      <c r="L349" s="13">
        <v>346</v>
      </c>
      <c r="M349" s="5">
        <v>43969</v>
      </c>
      <c r="N349" s="26">
        <f t="shared" si="79"/>
        <v>0.85903783411676993</v>
      </c>
      <c r="O349" s="26">
        <f t="shared" si="80"/>
        <v>0.66322077649429489</v>
      </c>
      <c r="P349" s="26">
        <f t="shared" si="81"/>
        <v>0.85164107600955741</v>
      </c>
      <c r="Q349" s="22"/>
      <c r="AD349" s="59">
        <v>345</v>
      </c>
      <c r="AE349" s="61">
        <f t="shared" ca="1" si="83"/>
        <v>-1.0174523724865132</v>
      </c>
      <c r="AF349" s="61">
        <f t="shared" ca="1" si="83"/>
        <v>0.9333969015291812</v>
      </c>
      <c r="AG349" s="61">
        <f t="shared" ca="1" si="83"/>
        <v>9.9838739634671284E-2</v>
      </c>
      <c r="AH349" s="19"/>
      <c r="AI349" s="61">
        <f ca="1"/>
        <v>-2.2062727036546249E-2</v>
      </c>
      <c r="AJ349" s="61">
        <f ca="1"/>
        <v>4.3628231412892009E-3</v>
      </c>
      <c r="AK349" s="61">
        <f ca="1"/>
        <v>-5.9021393824599455E-3</v>
      </c>
      <c r="AL349" s="19"/>
      <c r="AM349" s="61">
        <f t="shared" ca="1" si="87"/>
        <v>-2.1711510714036004E-2</v>
      </c>
      <c r="AN349" s="61">
        <f t="shared" ca="1" si="88"/>
        <v>4.6118757382057314E-3</v>
      </c>
      <c r="AO349" s="61">
        <f t="shared" ca="1" si="89"/>
        <v>-5.4704707792051274E-3</v>
      </c>
      <c r="AP349" s="19"/>
      <c r="AQ349" s="62">
        <f t="shared" ca="1" si="84"/>
        <v>0.79684965224354676</v>
      </c>
      <c r="AR349" s="62">
        <f t="shared" ca="1" si="85"/>
        <v>0.88658700732829931</v>
      </c>
      <c r="AS349" s="62">
        <f t="shared" ca="1" si="86"/>
        <v>0.96767274011674997</v>
      </c>
      <c r="AT349" s="49"/>
    </row>
    <row r="350" spans="1:46" x14ac:dyDescent="0.3">
      <c r="A350" s="5">
        <v>43970</v>
      </c>
      <c r="B350" s="6">
        <v>48.169998</v>
      </c>
      <c r="C350" s="6">
        <v>69.260002</v>
      </c>
      <c r="D350" s="6">
        <v>64.050003000000004</v>
      </c>
      <c r="F350" s="13">
        <v>347</v>
      </c>
      <c r="G350" s="5">
        <v>43970</v>
      </c>
      <c r="H350" s="15">
        <f t="shared" si="82"/>
        <v>-8.2696772351428995E-3</v>
      </c>
      <c r="I350" s="15">
        <f t="shared" si="82"/>
        <v>-9.627173864803518E-3</v>
      </c>
      <c r="J350" s="15">
        <f t="shared" si="82"/>
        <v>-4.6728277809544418E-3</v>
      </c>
      <c r="K350" s="22"/>
      <c r="L350" s="13">
        <v>347</v>
      </c>
      <c r="M350" s="5">
        <v>43970</v>
      </c>
      <c r="N350" s="26">
        <f t="shared" si="79"/>
        <v>0.85196316144387763</v>
      </c>
      <c r="O350" s="26">
        <f t="shared" si="80"/>
        <v>0.65686647084851146</v>
      </c>
      <c r="P350" s="26">
        <f t="shared" si="81"/>
        <v>0.84767078739202728</v>
      </c>
      <c r="Q350" s="22"/>
      <c r="AD350" s="59">
        <v>346</v>
      </c>
      <c r="AE350" s="61">
        <f t="shared" ca="1" si="83"/>
        <v>0.88256571133807749</v>
      </c>
      <c r="AF350" s="61">
        <f t="shared" ca="1" si="83"/>
        <v>0.14864519903450565</v>
      </c>
      <c r="AG350" s="61">
        <f t="shared" ca="1" si="83"/>
        <v>-1.2254323955321254</v>
      </c>
      <c r="AH350" s="19"/>
      <c r="AI350" s="61">
        <f ca="1"/>
        <v>1.9137806257683458E-2</v>
      </c>
      <c r="AJ350" s="61">
        <f ca="1"/>
        <v>1.7045171412828693E-2</v>
      </c>
      <c r="AK350" s="61">
        <f ca="1"/>
        <v>-1.7308304681836334E-2</v>
      </c>
      <c r="AL350" s="19"/>
      <c r="AM350" s="61">
        <f t="shared" ca="1" si="87"/>
        <v>1.9489022580193704E-2</v>
      </c>
      <c r="AN350" s="61">
        <f t="shared" ca="1" si="88"/>
        <v>1.7294224009745222E-2</v>
      </c>
      <c r="AO350" s="61">
        <f t="shared" ca="1" si="89"/>
        <v>-1.6876636078581517E-2</v>
      </c>
      <c r="AP350" s="19"/>
      <c r="AQ350" s="62">
        <f t="shared" ca="1" si="84"/>
        <v>0.81253179152712429</v>
      </c>
      <c r="AR350" s="62">
        <f t="shared" ca="1" si="85"/>
        <v>0.90205319400552053</v>
      </c>
      <c r="AS350" s="62">
        <f t="shared" ca="1" si="86"/>
        <v>0.95147871414464757</v>
      </c>
      <c r="AT350" s="49"/>
    </row>
    <row r="351" spans="1:46" x14ac:dyDescent="0.3">
      <c r="A351" s="5">
        <v>43971</v>
      </c>
      <c r="B351" s="6">
        <v>48.990001999999997</v>
      </c>
      <c r="C351" s="6">
        <v>71.400002000000001</v>
      </c>
      <c r="D351" s="6">
        <v>67.339995999999999</v>
      </c>
      <c r="F351" s="13">
        <v>348</v>
      </c>
      <c r="G351" s="5">
        <v>43971</v>
      </c>
      <c r="H351" s="15">
        <f t="shared" si="82"/>
        <v>1.6879857352630194E-2</v>
      </c>
      <c r="I351" s="15">
        <f t="shared" si="82"/>
        <v>3.0430329505770865E-2</v>
      </c>
      <c r="J351" s="15">
        <f t="shared" si="82"/>
        <v>5.0090279151717522E-2</v>
      </c>
      <c r="K351" s="22"/>
      <c r="L351" s="13">
        <v>348</v>
      </c>
      <c r="M351" s="5">
        <v>43971</v>
      </c>
      <c r="N351" s="26">
        <f t="shared" si="79"/>
        <v>0.86646623865464734</v>
      </c>
      <c r="O351" s="26">
        <f t="shared" si="80"/>
        <v>0.67716237334669238</v>
      </c>
      <c r="P351" s="26">
        <f t="shared" si="81"/>
        <v>0.89121225228195489</v>
      </c>
      <c r="Q351" s="22"/>
      <c r="AD351" s="59">
        <v>347</v>
      </c>
      <c r="AE351" s="61">
        <f t="shared" ca="1" si="83"/>
        <v>-0.8494471559052551</v>
      </c>
      <c r="AF351" s="61">
        <f t="shared" ca="1" si="83"/>
        <v>-2.5844206113925372</v>
      </c>
      <c r="AG351" s="61">
        <f t="shared" ca="1" si="83"/>
        <v>-0.86205743346558317</v>
      </c>
      <c r="AH351" s="19"/>
      <c r="AI351" s="61">
        <f ca="1"/>
        <v>-1.8419654068826313E-2</v>
      </c>
      <c r="AJ351" s="61">
        <f ca="1"/>
        <v>-6.9470845854308655E-2</v>
      </c>
      <c r="AK351" s="61">
        <f ca="1"/>
        <v>-5.2837598862900362E-2</v>
      </c>
      <c r="AL351" s="19"/>
      <c r="AM351" s="61">
        <f t="shared" ca="1" si="87"/>
        <v>-1.8068437746316068E-2</v>
      </c>
      <c r="AN351" s="61">
        <f t="shared" ca="1" si="88"/>
        <v>-6.9221793257392125E-2</v>
      </c>
      <c r="AO351" s="61">
        <f t="shared" ca="1" si="89"/>
        <v>-5.2405930259645545E-2</v>
      </c>
      <c r="AP351" s="19"/>
      <c r="AQ351" s="62">
        <f t="shared" ca="1" si="84"/>
        <v>0.79798244920098904</v>
      </c>
      <c r="AR351" s="62">
        <f t="shared" ca="1" si="85"/>
        <v>0.84172360349059949</v>
      </c>
      <c r="AS351" s="62">
        <f t="shared" ca="1" si="86"/>
        <v>0.90289962084685904</v>
      </c>
      <c r="AT351" s="49"/>
    </row>
    <row r="352" spans="1:46" x14ac:dyDescent="0.3">
      <c r="A352" s="5">
        <v>43972</v>
      </c>
      <c r="B352" s="6">
        <v>48.5</v>
      </c>
      <c r="C352" s="6">
        <v>74.569999999999993</v>
      </c>
      <c r="D352" s="6">
        <v>65.730002999999996</v>
      </c>
      <c r="F352" s="13">
        <v>349</v>
      </c>
      <c r="G352" s="5">
        <v>43972</v>
      </c>
      <c r="H352" s="15">
        <f t="shared" si="82"/>
        <v>-1.0052438531703086E-2</v>
      </c>
      <c r="I352" s="15">
        <f t="shared" si="82"/>
        <v>4.3440384198960548E-2</v>
      </c>
      <c r="J352" s="15">
        <f t="shared" si="82"/>
        <v>-2.4198866416123777E-2</v>
      </c>
      <c r="K352" s="22"/>
      <c r="L352" s="13">
        <v>349</v>
      </c>
      <c r="M352" s="5">
        <v>43972</v>
      </c>
      <c r="N352" s="26">
        <f t="shared" si="79"/>
        <v>0.85779977258932139</v>
      </c>
      <c r="O352" s="26">
        <f t="shared" si="80"/>
        <v>0.70722684546231318</v>
      </c>
      <c r="P352" s="26">
        <f t="shared" si="81"/>
        <v>0.86990477421664303</v>
      </c>
      <c r="Q352" s="22"/>
      <c r="AD352" s="59">
        <v>348</v>
      </c>
      <c r="AE352" s="61">
        <f t="shared" ca="1" si="83"/>
        <v>-0.29164189628330711</v>
      </c>
      <c r="AF352" s="61">
        <f t="shared" ca="1" si="83"/>
        <v>-0.39767610100786133</v>
      </c>
      <c r="AG352" s="61">
        <f t="shared" ca="1" si="83"/>
        <v>-0.13754073902557687</v>
      </c>
      <c r="AH352" s="19"/>
      <c r="AI352" s="61">
        <f ca="1"/>
        <v>-6.3240459446711134E-3</v>
      </c>
      <c r="AJ352" s="61">
        <f ca="1"/>
        <v>-1.3208772247124304E-2</v>
      </c>
      <c r="AK352" s="61">
        <f ca="1"/>
        <v>-1.063357413546024E-2</v>
      </c>
      <c r="AL352" s="19"/>
      <c r="AM352" s="61">
        <f t="shared" ca="1" si="87"/>
        <v>-5.9728296221608695E-3</v>
      </c>
      <c r="AN352" s="61">
        <f t="shared" ca="1" si="88"/>
        <v>-1.2959719650207773E-2</v>
      </c>
      <c r="AO352" s="61">
        <f t="shared" ca="1" si="89"/>
        <v>-1.0201905532205421E-2</v>
      </c>
      <c r="AP352" s="19"/>
      <c r="AQ352" s="62">
        <f t="shared" ca="1" si="84"/>
        <v>0.79323044158356093</v>
      </c>
      <c r="AR352" s="62">
        <f t="shared" ca="1" si="85"/>
        <v>0.83088548276151131</v>
      </c>
      <c r="AS352" s="62">
        <f t="shared" ca="1" si="86"/>
        <v>0.89373515122210156</v>
      </c>
      <c r="AT352" s="49"/>
    </row>
    <row r="353" spans="1:46" x14ac:dyDescent="0.3">
      <c r="A353" s="5">
        <v>43973</v>
      </c>
      <c r="B353" s="6">
        <v>47.41</v>
      </c>
      <c r="C353" s="6">
        <v>72.839995999999999</v>
      </c>
      <c r="D353" s="6">
        <v>65.680000000000007</v>
      </c>
      <c r="F353" s="13">
        <v>350</v>
      </c>
      <c r="G353" s="5">
        <v>43973</v>
      </c>
      <c r="H353" s="15">
        <f t="shared" si="82"/>
        <v>-2.273062102941065E-2</v>
      </c>
      <c r="I353" s="15">
        <f t="shared" si="82"/>
        <v>-2.3473081611179593E-2</v>
      </c>
      <c r="J353" s="15">
        <f t="shared" si="82"/>
        <v>-7.6102277257053931E-4</v>
      </c>
      <c r="K353" s="22"/>
      <c r="L353" s="13">
        <v>350</v>
      </c>
      <c r="M353" s="5">
        <v>43973</v>
      </c>
      <c r="N353" s="26">
        <f t="shared" si="79"/>
        <v>0.83852138594762315</v>
      </c>
      <c r="O353" s="26">
        <f t="shared" si="80"/>
        <v>0.69081937232891932</v>
      </c>
      <c r="P353" s="26">
        <f t="shared" si="81"/>
        <v>0.86924300871474369</v>
      </c>
      <c r="Q353" s="22"/>
      <c r="AD353" s="59">
        <v>349</v>
      </c>
      <c r="AE353" s="61">
        <f t="shared" ca="1" si="83"/>
        <v>-0.78063528024862328</v>
      </c>
      <c r="AF353" s="61">
        <f t="shared" ca="1" si="83"/>
        <v>1.6780772337425998</v>
      </c>
      <c r="AG353" s="61">
        <f t="shared" ca="1" si="83"/>
        <v>-1.040799950997547</v>
      </c>
      <c r="AH353" s="19"/>
      <c r="AI353" s="61">
        <f ca="1"/>
        <v>-1.6927517758037816E-2</v>
      </c>
      <c r="AJ353" s="61">
        <f ca="1"/>
        <v>2.4255949110215214E-2</v>
      </c>
      <c r="AK353" s="61">
        <f ca="1"/>
        <v>-2.6381767622967553E-2</v>
      </c>
      <c r="AL353" s="19"/>
      <c r="AM353" s="61">
        <f t="shared" ca="1" si="87"/>
        <v>-1.657630143552757E-2</v>
      </c>
      <c r="AN353" s="61">
        <f t="shared" ca="1" si="88"/>
        <v>2.4505001707131744E-2</v>
      </c>
      <c r="AO353" s="61">
        <f t="shared" ca="1" si="89"/>
        <v>-2.5950099019712736E-2</v>
      </c>
      <c r="AP353" s="19"/>
      <c r="AQ353" s="62">
        <f t="shared" ca="1" si="84"/>
        <v>0.78018999446355941</v>
      </c>
      <c r="AR353" s="62">
        <f t="shared" ca="1" si="85"/>
        <v>0.85149785457959337</v>
      </c>
      <c r="AS353" s="62">
        <f t="shared" ca="1" si="86"/>
        <v>0.8708409733864958</v>
      </c>
      <c r="AT353" s="49"/>
    </row>
    <row r="354" spans="1:46" x14ac:dyDescent="0.3">
      <c r="A354" s="5">
        <v>43977</v>
      </c>
      <c r="B354" s="6">
        <v>50.57</v>
      </c>
      <c r="C354" s="6">
        <v>81.370002999999997</v>
      </c>
      <c r="D354" s="6">
        <v>68.699996999999996</v>
      </c>
      <c r="F354" s="13">
        <v>351</v>
      </c>
      <c r="G354" s="5">
        <v>43977</v>
      </c>
      <c r="H354" s="15">
        <f t="shared" si="82"/>
        <v>6.4525338177864822E-2</v>
      </c>
      <c r="I354" s="15">
        <f t="shared" si="82"/>
        <v>0.11074149163266628</v>
      </c>
      <c r="J354" s="15">
        <f t="shared" si="82"/>
        <v>4.4954690416007581E-2</v>
      </c>
      <c r="K354" s="22"/>
      <c r="L354" s="13">
        <v>351</v>
      </c>
      <c r="M354" s="5">
        <v>43977</v>
      </c>
      <c r="N354" s="26">
        <f t="shared" si="79"/>
        <v>0.89441102061529865</v>
      </c>
      <c r="O354" s="26">
        <f t="shared" si="80"/>
        <v>0.77171852671247099</v>
      </c>
      <c r="P354" s="26">
        <f t="shared" si="81"/>
        <v>0.90921120723163606</v>
      </c>
      <c r="Q354" s="22"/>
      <c r="AD354" s="59">
        <v>350</v>
      </c>
      <c r="AE354" s="61">
        <f t="shared" ca="1" si="83"/>
        <v>-0.60000821704429697</v>
      </c>
      <c r="AF354" s="61">
        <f t="shared" ca="1" si="83"/>
        <v>-9.579826326744538E-2</v>
      </c>
      <c r="AG354" s="61">
        <f t="shared" ca="1" si="83"/>
        <v>1.9431545616362975</v>
      </c>
      <c r="AH354" s="19"/>
      <c r="AI354" s="61">
        <f ca="1"/>
        <v>-1.3010749073179437E-2</v>
      </c>
      <c r="AJ354" s="61">
        <f ca="1"/>
        <v>-1.147380410431381E-2</v>
      </c>
      <c r="AK354" s="61">
        <f ca="1"/>
        <v>4.0243428098113272E-2</v>
      </c>
      <c r="AL354" s="19"/>
      <c r="AM354" s="61">
        <f t="shared" ca="1" si="87"/>
        <v>-1.2659532750669193E-2</v>
      </c>
      <c r="AN354" s="61">
        <f t="shared" ca="1" si="88"/>
        <v>-1.1224751507397279E-2</v>
      </c>
      <c r="AO354" s="61">
        <f t="shared" ca="1" si="89"/>
        <v>4.0675096701368089E-2</v>
      </c>
      <c r="AP354" s="19"/>
      <c r="AQ354" s="62">
        <f t="shared" ca="1" si="84"/>
        <v>0.77037540878782629</v>
      </c>
      <c r="AR354" s="62">
        <f t="shared" ca="1" si="85"/>
        <v>0.84199344486366745</v>
      </c>
      <c r="AS354" s="62">
        <f t="shared" ca="1" si="86"/>
        <v>0.90699276889830527</v>
      </c>
      <c r="AT354" s="49"/>
    </row>
    <row r="355" spans="1:46" x14ac:dyDescent="0.3">
      <c r="A355" s="5">
        <v>43978</v>
      </c>
      <c r="B355" s="6">
        <v>51.779998999999997</v>
      </c>
      <c r="C355" s="6">
        <v>80.879997000000003</v>
      </c>
      <c r="D355" s="6">
        <v>70.180000000000007</v>
      </c>
      <c r="F355" s="13">
        <v>352</v>
      </c>
      <c r="G355" s="5">
        <v>43978</v>
      </c>
      <c r="H355" s="15">
        <f t="shared" si="82"/>
        <v>2.3645439919023833E-2</v>
      </c>
      <c r="I355" s="15">
        <f t="shared" si="82"/>
        <v>-6.0401539569628218E-3</v>
      </c>
      <c r="J355" s="15">
        <f t="shared" si="82"/>
        <v>2.1314214594888872E-2</v>
      </c>
      <c r="K355" s="22"/>
      <c r="L355" s="13">
        <v>352</v>
      </c>
      <c r="M355" s="5">
        <v>43978</v>
      </c>
      <c r="N355" s="26">
        <f t="shared" si="79"/>
        <v>0.91581178076031511</v>
      </c>
      <c r="O355" s="26">
        <f t="shared" si="80"/>
        <v>0.76707127717998336</v>
      </c>
      <c r="P355" s="26">
        <f t="shared" si="81"/>
        <v>0.92879833056639327</v>
      </c>
      <c r="Q355" s="22"/>
      <c r="AD355" s="59">
        <v>351</v>
      </c>
      <c r="AE355" s="61">
        <f t="shared" ca="1" si="83"/>
        <v>0.69221773732759806</v>
      </c>
      <c r="AF355" s="61">
        <f t="shared" ca="1" si="83"/>
        <v>0.5619403248095699</v>
      </c>
      <c r="AG355" s="61">
        <f t="shared" ca="1" si="83"/>
        <v>-1.5496802805233802</v>
      </c>
      <c r="AH355" s="19"/>
      <c r="AI355" s="61">
        <f ca="1"/>
        <v>1.5010246574187341E-2</v>
      </c>
      <c r="AJ355" s="61">
        <f ca="1"/>
        <v>2.3049170734522194E-2</v>
      </c>
      <c r="AK355" s="61">
        <f ca="1"/>
        <v>-2.5517401524204925E-2</v>
      </c>
      <c r="AL355" s="19"/>
      <c r="AM355" s="61">
        <f t="shared" ca="1" si="87"/>
        <v>1.5361462896697585E-2</v>
      </c>
      <c r="AN355" s="61">
        <f t="shared" ca="1" si="88"/>
        <v>2.3298223331438724E-2</v>
      </c>
      <c r="AO355" s="61">
        <f t="shared" ca="1" si="89"/>
        <v>-2.5085732920950107E-2</v>
      </c>
      <c r="AP355" s="19"/>
      <c r="AQ355" s="62">
        <f t="shared" ca="1" si="84"/>
        <v>0.78230086375573071</v>
      </c>
      <c r="AR355" s="62">
        <f t="shared" ca="1" si="85"/>
        <v>0.86184070133118562</v>
      </c>
      <c r="AS355" s="62">
        <f t="shared" ca="1" si="86"/>
        <v>0.88452320163604081</v>
      </c>
      <c r="AT355" s="49"/>
    </row>
    <row r="356" spans="1:46" x14ac:dyDescent="0.3">
      <c r="A356" s="5">
        <v>43979</v>
      </c>
      <c r="B356" s="6">
        <v>51.43</v>
      </c>
      <c r="C356" s="6">
        <v>79.980002999999996</v>
      </c>
      <c r="D356" s="6">
        <v>67.129997000000003</v>
      </c>
      <c r="F356" s="13">
        <v>353</v>
      </c>
      <c r="G356" s="5">
        <v>43979</v>
      </c>
      <c r="H356" s="15">
        <f t="shared" si="82"/>
        <v>-6.782295224090653E-3</v>
      </c>
      <c r="I356" s="15">
        <f t="shared" si="82"/>
        <v>-1.118989669217833E-2</v>
      </c>
      <c r="J356" s="15">
        <f t="shared" si="82"/>
        <v>-4.4432376893818529E-2</v>
      </c>
      <c r="K356" s="22"/>
      <c r="L356" s="13">
        <v>353</v>
      </c>
      <c r="M356" s="5">
        <v>43979</v>
      </c>
      <c r="N356" s="26">
        <f t="shared" si="79"/>
        <v>0.90962149080966592</v>
      </c>
      <c r="O356" s="26">
        <f t="shared" si="80"/>
        <v>0.75853567415524126</v>
      </c>
      <c r="P356" s="26">
        <f t="shared" si="81"/>
        <v>0.88843301716339396</v>
      </c>
      <c r="Q356" s="22"/>
      <c r="AD356" s="59">
        <v>352</v>
      </c>
      <c r="AE356" s="61">
        <f t="shared" ca="1" si="83"/>
        <v>1.1748520583461821</v>
      </c>
      <c r="AF356" s="61">
        <f t="shared" ca="1" si="83"/>
        <v>0.18685774909330297</v>
      </c>
      <c r="AG356" s="61">
        <f t="shared" ca="1" si="83"/>
        <v>1.3017736589976325</v>
      </c>
      <c r="AH356" s="19"/>
      <c r="AI356" s="61">
        <f ca="1"/>
        <v>2.5475826655424021E-2</v>
      </c>
      <c r="AJ356" s="61">
        <f ca="1"/>
        <v>2.2450724746082854E-2</v>
      </c>
      <c r="AK356" s="61">
        <f ca="1"/>
        <v>5.2026401757670079E-2</v>
      </c>
      <c r="AL356" s="19"/>
      <c r="AM356" s="61">
        <f t="shared" ca="1" si="87"/>
        <v>2.5827042977934266E-2</v>
      </c>
      <c r="AN356" s="61">
        <f t="shared" ca="1" si="88"/>
        <v>2.2699777342999383E-2</v>
      </c>
      <c r="AO356" s="61">
        <f t="shared" ca="1" si="89"/>
        <v>5.2458070360924897E-2</v>
      </c>
      <c r="AP356" s="19"/>
      <c r="AQ356" s="62">
        <f t="shared" ca="1" si="84"/>
        <v>0.8027685540323819</v>
      </c>
      <c r="AR356" s="62">
        <f t="shared" ca="1" si="85"/>
        <v>0.88162802764701309</v>
      </c>
      <c r="AS356" s="62">
        <f t="shared" ca="1" si="86"/>
        <v>0.93216218237884141</v>
      </c>
      <c r="AT356" s="49"/>
    </row>
    <row r="357" spans="1:46" x14ac:dyDescent="0.3">
      <c r="A357" s="5">
        <v>43980</v>
      </c>
      <c r="B357" s="6">
        <v>50.740001999999997</v>
      </c>
      <c r="C357" s="6">
        <v>75.510002</v>
      </c>
      <c r="D357" s="6">
        <v>66.639999000000003</v>
      </c>
      <c r="F357" s="13">
        <v>354</v>
      </c>
      <c r="G357" s="5">
        <v>43980</v>
      </c>
      <c r="H357" s="15">
        <f t="shared" si="82"/>
        <v>-1.3507066199055975E-2</v>
      </c>
      <c r="I357" s="15">
        <f t="shared" si="82"/>
        <v>-5.7511516626156979E-2</v>
      </c>
      <c r="J357" s="15">
        <f t="shared" si="82"/>
        <v>-7.3260104086658607E-3</v>
      </c>
      <c r="K357" s="22"/>
      <c r="L357" s="13">
        <v>354</v>
      </c>
      <c r="M357" s="5">
        <v>43980</v>
      </c>
      <c r="N357" s="26">
        <f t="shared" si="79"/>
        <v>0.89741777684085999</v>
      </c>
      <c r="O357" s="26">
        <f t="shared" si="80"/>
        <v>0.71614188702310533</v>
      </c>
      <c r="P357" s="26">
        <f t="shared" si="81"/>
        <v>0.88194813080857959</v>
      </c>
      <c r="Q357" s="22"/>
      <c r="AD357" s="59">
        <v>353</v>
      </c>
      <c r="AE357" s="61">
        <f t="shared" ca="1" si="83"/>
        <v>-0.14127856582111448</v>
      </c>
      <c r="AF357" s="61">
        <f t="shared" ca="1" si="83"/>
        <v>0.71709042009065349</v>
      </c>
      <c r="AG357" s="61">
        <f t="shared" ca="1" si="83"/>
        <v>0.20400720289196325</v>
      </c>
      <c r="AH357" s="19"/>
      <c r="AI357" s="61">
        <f ca="1"/>
        <v>-3.0635246603322439E-3</v>
      </c>
      <c r="AJ357" s="61">
        <f ca="1"/>
        <v>1.3375350147864576E-2</v>
      </c>
      <c r="AK357" s="61">
        <f ca="1"/>
        <v>8.1892685129889547E-3</v>
      </c>
      <c r="AL357" s="19"/>
      <c r="AM357" s="61">
        <f t="shared" ca="1" si="87"/>
        <v>-2.7123083378219996E-3</v>
      </c>
      <c r="AN357" s="61">
        <f t="shared" ca="1" si="88"/>
        <v>1.3624402744781107E-2</v>
      </c>
      <c r="AO357" s="61">
        <f t="shared" ca="1" si="89"/>
        <v>8.6209371162437737E-3</v>
      </c>
      <c r="AP357" s="19"/>
      <c r="AQ357" s="62">
        <f t="shared" ca="1" si="84"/>
        <v>0.80059414835228881</v>
      </c>
      <c r="AR357" s="62">
        <f t="shared" ca="1" si="85"/>
        <v>0.89372188166009792</v>
      </c>
      <c r="AS357" s="62">
        <f t="shared" ca="1" si="86"/>
        <v>0.94023303309774986</v>
      </c>
      <c r="AT357" s="49"/>
    </row>
    <row r="358" spans="1:46" x14ac:dyDescent="0.3">
      <c r="A358" s="5">
        <v>43983</v>
      </c>
      <c r="B358" s="6">
        <v>51.830002</v>
      </c>
      <c r="C358" s="6">
        <v>76.709998999999996</v>
      </c>
      <c r="D358" s="6">
        <v>66.580001999999993</v>
      </c>
      <c r="F358" s="13">
        <v>355</v>
      </c>
      <c r="G358" s="5">
        <v>43983</v>
      </c>
      <c r="H358" s="15">
        <f t="shared" si="82"/>
        <v>2.1254577201536101E-2</v>
      </c>
      <c r="I358" s="15">
        <f t="shared" si="82"/>
        <v>1.5766940633202817E-2</v>
      </c>
      <c r="J358" s="15">
        <f t="shared" si="82"/>
        <v>-9.0072066665566799E-4</v>
      </c>
      <c r="K358" s="22"/>
      <c r="L358" s="13">
        <v>355</v>
      </c>
      <c r="M358" s="5">
        <v>43983</v>
      </c>
      <c r="N358" s="26">
        <f t="shared" si="79"/>
        <v>0.91669616348255822</v>
      </c>
      <c r="O358" s="26">
        <f t="shared" si="80"/>
        <v>0.72752273847642746</v>
      </c>
      <c r="P358" s="26">
        <f t="shared" si="81"/>
        <v>0.88115409955410529</v>
      </c>
      <c r="Q358" s="22"/>
      <c r="AD358" s="59">
        <v>354</v>
      </c>
      <c r="AE358" s="61">
        <f t="shared" ca="1" si="83"/>
        <v>-1.362452606781291</v>
      </c>
      <c r="AF358" s="61">
        <f t="shared" ca="1" si="83"/>
        <v>-0.65863083651418497</v>
      </c>
      <c r="AG358" s="61">
        <f t="shared" ca="1" si="83"/>
        <v>0.57517644431459891</v>
      </c>
      <c r="AH358" s="19"/>
      <c r="AI358" s="61">
        <f ca="1"/>
        <v>-2.9543810380219991E-2</v>
      </c>
      <c r="AJ358" s="61">
        <f ca="1"/>
        <v>-3.564158006093756E-2</v>
      </c>
      <c r="AK358" s="61">
        <f ca="1"/>
        <v>-1.0033368324939862E-2</v>
      </c>
      <c r="AL358" s="19"/>
      <c r="AM358" s="61">
        <f t="shared" ca="1" si="87"/>
        <v>-2.9192594057709745E-2</v>
      </c>
      <c r="AN358" s="61">
        <f t="shared" ca="1" si="88"/>
        <v>-3.539252746402103E-2</v>
      </c>
      <c r="AO358" s="61">
        <f t="shared" ca="1" si="89"/>
        <v>-9.6016997216850433E-3</v>
      </c>
      <c r="AP358" s="19"/>
      <c r="AQ358" s="62">
        <f t="shared" ca="1" si="84"/>
        <v>0.77756056909816784</v>
      </c>
      <c r="AR358" s="62">
        <f t="shared" ca="1" si="85"/>
        <v>0.86264401162681126</v>
      </c>
      <c r="AS358" s="62">
        <f t="shared" ca="1" si="86"/>
        <v>0.93124840074283366</v>
      </c>
      <c r="AT358" s="49"/>
    </row>
    <row r="359" spans="1:46" x14ac:dyDescent="0.3">
      <c r="A359" s="5">
        <v>43984</v>
      </c>
      <c r="B359" s="6">
        <v>53.18</v>
      </c>
      <c r="C359" s="6">
        <v>78.389999000000003</v>
      </c>
      <c r="D359" s="6">
        <v>68.190002000000007</v>
      </c>
      <c r="F359" s="13">
        <v>356</v>
      </c>
      <c r="G359" s="5">
        <v>43984</v>
      </c>
      <c r="H359" s="15">
        <f t="shared" si="82"/>
        <v>2.571321502556875E-2</v>
      </c>
      <c r="I359" s="15">
        <f t="shared" si="82"/>
        <v>2.1664290508806729E-2</v>
      </c>
      <c r="J359" s="15">
        <f t="shared" si="82"/>
        <v>2.3893693676445799E-2</v>
      </c>
      <c r="K359" s="22"/>
      <c r="L359" s="13">
        <v>356</v>
      </c>
      <c r="M359" s="5">
        <v>43984</v>
      </c>
      <c r="N359" s="26">
        <f t="shared" si="79"/>
        <v>0.94057302899587858</v>
      </c>
      <c r="O359" s="26">
        <f t="shared" si="80"/>
        <v>0.74345597034415833</v>
      </c>
      <c r="P359" s="26">
        <f t="shared" si="81"/>
        <v>0.90246167026102908</v>
      </c>
      <c r="Q359" s="22"/>
      <c r="AD359" s="59">
        <v>355</v>
      </c>
      <c r="AE359" s="61">
        <f t="shared" ca="1" si="83"/>
        <v>-3.7663198780045794E-2</v>
      </c>
      <c r="AF359" s="61">
        <f t="shared" ca="1" si="83"/>
        <v>-0.76754955049694895</v>
      </c>
      <c r="AG359" s="61">
        <f t="shared" ca="1" si="83"/>
        <v>-2.0677477543083285</v>
      </c>
      <c r="AH359" s="19"/>
      <c r="AI359" s="61">
        <f ca="1"/>
        <v>-8.166995296070694E-4</v>
      </c>
      <c r="AJ359" s="61">
        <f ca="1"/>
        <v>-1.7272987662241689E-2</v>
      </c>
      <c r="AK359" s="61">
        <f ca="1"/>
        <v>-5.8937536507240901E-2</v>
      </c>
      <c r="AL359" s="19"/>
      <c r="AM359" s="61">
        <f t="shared" ca="1" si="87"/>
        <v>-4.6548320709682519E-4</v>
      </c>
      <c r="AN359" s="61">
        <f t="shared" ca="1" si="88"/>
        <v>-1.7023935065325159E-2</v>
      </c>
      <c r="AO359" s="61">
        <f t="shared" ca="1" si="89"/>
        <v>-5.8505867903986084E-2</v>
      </c>
      <c r="AP359" s="19"/>
      <c r="AQ359" s="62">
        <f t="shared" ca="1" si="84"/>
        <v>0.77719871193650181</v>
      </c>
      <c r="AR359" s="62">
        <f t="shared" ca="1" si="85"/>
        <v>0.84808271296095727</v>
      </c>
      <c r="AS359" s="62">
        <f t="shared" ca="1" si="86"/>
        <v>0.87832807402770141</v>
      </c>
      <c r="AT359" s="49"/>
    </row>
    <row r="360" spans="1:46" x14ac:dyDescent="0.3">
      <c r="A360" s="5">
        <v>43985</v>
      </c>
      <c r="B360" s="6">
        <v>55.099997999999999</v>
      </c>
      <c r="C360" s="6">
        <v>84.68</v>
      </c>
      <c r="D360" s="6">
        <v>70.540001000000004</v>
      </c>
      <c r="F360" s="13">
        <v>357</v>
      </c>
      <c r="G360" s="5">
        <v>43985</v>
      </c>
      <c r="H360" s="15">
        <f t="shared" si="82"/>
        <v>3.5467294046353626E-2</v>
      </c>
      <c r="I360" s="15">
        <f t="shared" si="82"/>
        <v>7.7183090822762812E-2</v>
      </c>
      <c r="J360" s="15">
        <f t="shared" si="82"/>
        <v>3.3881983121884854E-2</v>
      </c>
      <c r="K360" s="22"/>
      <c r="L360" s="13">
        <v>357</v>
      </c>
      <c r="M360" s="5">
        <v>43985</v>
      </c>
      <c r="N360" s="26">
        <f t="shared" si="79"/>
        <v>0.9745312526612796</v>
      </c>
      <c r="O360" s="26">
        <f t="shared" si="80"/>
        <v>0.80311075866633619</v>
      </c>
      <c r="P360" s="26">
        <f t="shared" si="81"/>
        <v>0.93356276954904116</v>
      </c>
      <c r="Q360" s="22"/>
      <c r="AD360" s="59">
        <v>356</v>
      </c>
      <c r="AE360" s="61">
        <f t="shared" ca="1" si="83"/>
        <v>1.1635068988752608</v>
      </c>
      <c r="AF360" s="61">
        <f t="shared" ca="1" si="83"/>
        <v>0.21766768824862906</v>
      </c>
      <c r="AG360" s="61">
        <f t="shared" ca="1" si="83"/>
        <v>1.0243754923960378</v>
      </c>
      <c r="AH360" s="19"/>
      <c r="AI360" s="61">
        <f ca="1"/>
        <v>2.5229814986119724E-2</v>
      </c>
      <c r="AJ360" s="61">
        <f ca="1"/>
        <v>2.2942831856423328E-2</v>
      </c>
      <c r="AK360" s="61">
        <f ca="1"/>
        <v>4.4968820039930323E-2</v>
      </c>
      <c r="AL360" s="19"/>
      <c r="AM360" s="61">
        <f t="shared" ca="1" si="87"/>
        <v>2.5581031308629969E-2</v>
      </c>
      <c r="AN360" s="61">
        <f t="shared" ca="1" si="88"/>
        <v>2.3191884453339858E-2</v>
      </c>
      <c r="AO360" s="61">
        <f t="shared" ca="1" si="89"/>
        <v>4.540048864318514E-2</v>
      </c>
      <c r="AP360" s="19"/>
      <c r="AQ360" s="62">
        <f t="shared" ca="1" si="84"/>
        <v>0.79733673404327143</v>
      </c>
      <c r="AR360" s="62">
        <f t="shared" ca="1" si="85"/>
        <v>0.86798119906090887</v>
      </c>
      <c r="AS360" s="62">
        <f t="shared" ca="1" si="86"/>
        <v>0.91912366046082594</v>
      </c>
      <c r="AT360" s="49"/>
    </row>
    <row r="361" spans="1:46" x14ac:dyDescent="0.3">
      <c r="A361" s="5">
        <v>43986</v>
      </c>
      <c r="B361" s="6">
        <v>55.860000999999997</v>
      </c>
      <c r="C361" s="6">
        <v>84.919998000000007</v>
      </c>
      <c r="D361" s="6">
        <v>70.050003000000004</v>
      </c>
      <c r="F361" s="13">
        <v>358</v>
      </c>
      <c r="G361" s="5">
        <v>43986</v>
      </c>
      <c r="H361" s="15">
        <f t="shared" si="82"/>
        <v>1.369889855770056E-2</v>
      </c>
      <c r="I361" s="15">
        <f t="shared" si="82"/>
        <v>2.8301670168126417E-3</v>
      </c>
      <c r="J361" s="15">
        <f t="shared" si="82"/>
        <v>-6.9706233746921467E-3</v>
      </c>
      <c r="K361" s="22"/>
      <c r="L361" s="13">
        <v>358</v>
      </c>
      <c r="M361" s="5">
        <v>43986</v>
      </c>
      <c r="N361" s="26">
        <f t="shared" si="79"/>
        <v>0.98797311659050024</v>
      </c>
      <c r="O361" s="26">
        <f t="shared" si="80"/>
        <v>0.80538691567930742</v>
      </c>
      <c r="P361" s="26">
        <f t="shared" si="81"/>
        <v>0.92707788319422679</v>
      </c>
      <c r="Q361" s="22"/>
      <c r="AD361" s="59">
        <v>357</v>
      </c>
      <c r="AE361" s="61">
        <f t="shared" ca="1" si="83"/>
        <v>-1.6579412080860421</v>
      </c>
      <c r="AF361" s="61">
        <f t="shared" ca="1" si="83"/>
        <v>0.20270653035676958</v>
      </c>
      <c r="AG361" s="61">
        <f t="shared" ca="1" si="83"/>
        <v>0.63585762552884784</v>
      </c>
      <c r="AH361" s="19"/>
      <c r="AI361" s="61">
        <f ca="1"/>
        <v>-3.595126937219751E-2</v>
      </c>
      <c r="AJ361" s="61">
        <f ca="1"/>
        <v>-2.1544623323070503E-2</v>
      </c>
      <c r="AK361" s="61">
        <f ca="1"/>
        <v>-6.778790084236784E-3</v>
      </c>
      <c r="AL361" s="19"/>
      <c r="AM361" s="61">
        <f t="shared" ca="1" si="87"/>
        <v>-3.5600053049687268E-2</v>
      </c>
      <c r="AN361" s="61">
        <f t="shared" ca="1" si="88"/>
        <v>-2.1295570726153974E-2</v>
      </c>
      <c r="AO361" s="61">
        <f t="shared" ca="1" si="89"/>
        <v>-6.3471214809819659E-3</v>
      </c>
      <c r="AP361" s="19"/>
      <c r="AQ361" s="62">
        <f t="shared" ca="1" si="84"/>
        <v>0.76945081910935897</v>
      </c>
      <c r="AR361" s="62">
        <f t="shared" ca="1" si="85"/>
        <v>0.84969246967081624</v>
      </c>
      <c r="AS361" s="62">
        <f t="shared" ca="1" si="86"/>
        <v>0.91330834570936914</v>
      </c>
      <c r="AT361" s="49"/>
    </row>
    <row r="362" spans="1:46" x14ac:dyDescent="0.3">
      <c r="A362" s="5">
        <v>43987</v>
      </c>
      <c r="B362" s="6">
        <v>57.889999000000003</v>
      </c>
      <c r="C362" s="6">
        <v>89.57</v>
      </c>
      <c r="D362" s="6">
        <v>74.639999000000003</v>
      </c>
      <c r="F362" s="13">
        <v>359</v>
      </c>
      <c r="G362" s="5">
        <v>43987</v>
      </c>
      <c r="H362" s="15">
        <f t="shared" si="82"/>
        <v>3.569606239784455E-2</v>
      </c>
      <c r="I362" s="15">
        <f t="shared" si="82"/>
        <v>5.3310829203626689E-2</v>
      </c>
      <c r="J362" s="15">
        <f t="shared" si="82"/>
        <v>6.3467227531878723E-2</v>
      </c>
      <c r="K362" s="22"/>
      <c r="L362" s="13">
        <v>359</v>
      </c>
      <c r="M362" s="5">
        <v>43987</v>
      </c>
      <c r="N362" s="26">
        <f t="shared" si="79"/>
        <v>1.0238768655133206</v>
      </c>
      <c r="O362" s="26">
        <f t="shared" si="80"/>
        <v>0.84948784428133817</v>
      </c>
      <c r="P362" s="26">
        <f t="shared" si="81"/>
        <v>0.98782425854484557</v>
      </c>
      <c r="Q362" s="22"/>
      <c r="AD362" s="59">
        <v>358</v>
      </c>
      <c r="AE362" s="61">
        <f t="shared" ca="1" si="83"/>
        <v>-1.8894879987446533</v>
      </c>
      <c r="AF362" s="61">
        <f t="shared" ca="1" si="83"/>
        <v>-0.18968918116244024</v>
      </c>
      <c r="AG362" s="61">
        <f t="shared" ca="1" si="83"/>
        <v>-0.3711507099416626</v>
      </c>
      <c r="AH362" s="19"/>
      <c r="AI362" s="61">
        <f ca="1"/>
        <v>-4.0972195930169611E-2</v>
      </c>
      <c r="AJ362" s="61">
        <f ca="1"/>
        <v>-3.3697992030818684E-2</v>
      </c>
      <c r="AK362" s="61">
        <f ca="1"/>
        <v>-3.8762960075938914E-2</v>
      </c>
      <c r="AL362" s="19"/>
      <c r="AM362" s="61">
        <f t="shared" ca="1" si="87"/>
        <v>-4.0620979607659369E-2</v>
      </c>
      <c r="AN362" s="61">
        <f t="shared" ca="1" si="88"/>
        <v>-3.3448939433902154E-2</v>
      </c>
      <c r="AO362" s="61">
        <f t="shared" ca="1" si="89"/>
        <v>-3.8331291472684097E-2</v>
      </c>
      <c r="AP362" s="19"/>
      <c r="AQ362" s="62">
        <f t="shared" ca="1" si="84"/>
        <v>0.73882128551534243</v>
      </c>
      <c r="AR362" s="62">
        <f t="shared" ca="1" si="85"/>
        <v>0.82174123333286664</v>
      </c>
      <c r="AS362" s="62">
        <f t="shared" ca="1" si="86"/>
        <v>0.87896252240968897</v>
      </c>
      <c r="AT362" s="49"/>
    </row>
    <row r="363" spans="1:46" x14ac:dyDescent="0.3">
      <c r="A363" s="5">
        <v>43990</v>
      </c>
      <c r="B363" s="6">
        <v>59.919998</v>
      </c>
      <c r="C363" s="6">
        <v>90.260002</v>
      </c>
      <c r="D363" s="6">
        <v>75.620002999999997</v>
      </c>
      <c r="F363" s="13">
        <v>360</v>
      </c>
      <c r="G363" s="5">
        <v>43990</v>
      </c>
      <c r="H363" s="15">
        <f t="shared" si="82"/>
        <v>3.4465665014353775E-2</v>
      </c>
      <c r="I363" s="15">
        <f t="shared" si="82"/>
        <v>7.6739740699605756E-3</v>
      </c>
      <c r="J363" s="15">
        <f t="shared" si="82"/>
        <v>1.3044294993384E-2</v>
      </c>
      <c r="K363" s="22"/>
      <c r="L363" s="13">
        <v>360</v>
      </c>
      <c r="M363" s="5">
        <v>43990</v>
      </c>
      <c r="N363" s="26">
        <f t="shared" si="79"/>
        <v>1.0597806321227339</v>
      </c>
      <c r="O363" s="26">
        <f t="shared" si="80"/>
        <v>0.85603186919514662</v>
      </c>
      <c r="P363" s="26">
        <f t="shared" si="81"/>
        <v>1.0007941371306019</v>
      </c>
      <c r="Q363" s="22"/>
      <c r="AD363" s="59">
        <v>359</v>
      </c>
      <c r="AE363" s="61">
        <f t="shared" ca="1" si="83"/>
        <v>-0.31185608013378385</v>
      </c>
      <c r="AF363" s="61">
        <f t="shared" ca="1" si="83"/>
        <v>-1.348297511783535</v>
      </c>
      <c r="AG363" s="61">
        <f t="shared" ca="1" si="83"/>
        <v>1.1222454107512319</v>
      </c>
      <c r="AH363" s="19"/>
      <c r="AI363" s="61">
        <f ca="1"/>
        <v>-6.7623760647038738E-3</v>
      </c>
      <c r="AJ363" s="61">
        <f ca="1"/>
        <v>-3.4187895210676764E-2</v>
      </c>
      <c r="AK363" s="61">
        <f ca="1"/>
        <v>1.464870096036909E-2</v>
      </c>
      <c r="AL363" s="19"/>
      <c r="AM363" s="61">
        <f t="shared" ca="1" si="87"/>
        <v>-6.4111597421936299E-3</v>
      </c>
      <c r="AN363" s="61">
        <f t="shared" ca="1" si="88"/>
        <v>-3.3938842613760234E-2</v>
      </c>
      <c r="AO363" s="61">
        <f t="shared" ca="1" si="89"/>
        <v>1.5080369563623909E-2</v>
      </c>
      <c r="AP363" s="19"/>
      <c r="AQ363" s="62">
        <f t="shared" ca="1" si="84"/>
        <v>0.73409973571045095</v>
      </c>
      <c r="AR363" s="62">
        <f t="shared" ca="1" si="85"/>
        <v>0.79432023738934709</v>
      </c>
      <c r="AS363" s="62">
        <f t="shared" ca="1" si="86"/>
        <v>0.89231805213634297</v>
      </c>
      <c r="AT363" s="49"/>
    </row>
    <row r="364" spans="1:46" x14ac:dyDescent="0.3">
      <c r="A364" s="5">
        <v>43991</v>
      </c>
      <c r="B364" s="6">
        <v>57.810001</v>
      </c>
      <c r="C364" s="6">
        <v>85.480002999999996</v>
      </c>
      <c r="D364" s="6">
        <v>71.269997000000004</v>
      </c>
      <c r="F364" s="13">
        <v>361</v>
      </c>
      <c r="G364" s="5">
        <v>43991</v>
      </c>
      <c r="H364" s="15">
        <f t="shared" si="82"/>
        <v>-3.5848517438696485E-2</v>
      </c>
      <c r="I364" s="15">
        <f t="shared" si="82"/>
        <v>-5.4411951010189377E-2</v>
      </c>
      <c r="J364" s="15">
        <f t="shared" si="82"/>
        <v>-5.9245398714499374E-2</v>
      </c>
      <c r="K364" s="22"/>
      <c r="L364" s="13">
        <v>361</v>
      </c>
      <c r="M364" s="5">
        <v>43991</v>
      </c>
      <c r="N364" s="26">
        <f t="shared" si="79"/>
        <v>1.0224619734265659</v>
      </c>
      <c r="O364" s="26">
        <f t="shared" si="80"/>
        <v>0.81069804038888382</v>
      </c>
      <c r="P364" s="26">
        <f t="shared" si="81"/>
        <v>0.94322391326691157</v>
      </c>
      <c r="Q364" s="22"/>
      <c r="AD364" s="59">
        <v>360</v>
      </c>
      <c r="AE364" s="61">
        <f t="shared" ca="1" si="83"/>
        <v>1.0861547614893805</v>
      </c>
      <c r="AF364" s="61">
        <f t="shared" ca="1" si="83"/>
        <v>0.96815882303266865</v>
      </c>
      <c r="AG364" s="61">
        <f t="shared" ca="1" si="83"/>
        <v>1.8188155393599565</v>
      </c>
      <c r="AH364" s="19"/>
      <c r="AI364" s="61">
        <f ca="1"/>
        <v>2.3552489207550445E-2</v>
      </c>
      <c r="AJ364" s="61">
        <f ca="1"/>
        <v>3.8044778586879185E-2</v>
      </c>
      <c r="AK364" s="61">
        <f ca="1"/>
        <v>6.9464722622326114E-2</v>
      </c>
      <c r="AL364" s="19"/>
      <c r="AM364" s="61">
        <f t="shared" ca="1" si="87"/>
        <v>2.3903705530060691E-2</v>
      </c>
      <c r="AN364" s="61">
        <f t="shared" ca="1" si="88"/>
        <v>3.8293831183795715E-2</v>
      </c>
      <c r="AO364" s="61">
        <f t="shared" ca="1" si="89"/>
        <v>6.9896391225580931E-2</v>
      </c>
      <c r="AP364" s="19"/>
      <c r="AQ364" s="62">
        <f t="shared" ca="1" si="84"/>
        <v>0.75185884831904648</v>
      </c>
      <c r="AR364" s="62">
        <f t="shared" ca="1" si="85"/>
        <v>0.82532771087751122</v>
      </c>
      <c r="AS364" s="62">
        <f t="shared" ca="1" si="86"/>
        <v>0.95691926082888656</v>
      </c>
      <c r="AT364" s="49"/>
    </row>
    <row r="365" spans="1:46" x14ac:dyDescent="0.3">
      <c r="A365" s="5">
        <v>43992</v>
      </c>
      <c r="B365" s="6">
        <v>55.459999000000003</v>
      </c>
      <c r="C365" s="6">
        <v>80.690002000000007</v>
      </c>
      <c r="D365" s="6">
        <v>69.050003000000004</v>
      </c>
      <c r="F365" s="13">
        <v>362</v>
      </c>
      <c r="G365" s="5">
        <v>43992</v>
      </c>
      <c r="H365" s="15">
        <f t="shared" si="82"/>
        <v>-4.1499766235811399E-2</v>
      </c>
      <c r="I365" s="15">
        <f t="shared" si="82"/>
        <v>-5.7667788900241261E-2</v>
      </c>
      <c r="J365" s="15">
        <f t="shared" si="82"/>
        <v>-3.1644516118253183E-2</v>
      </c>
      <c r="K365" s="22"/>
      <c r="L365" s="13">
        <v>362</v>
      </c>
      <c r="M365" s="5">
        <v>43992</v>
      </c>
      <c r="N365" s="26">
        <f t="shared" si="79"/>
        <v>0.98089844391760816</v>
      </c>
      <c r="O365" s="26">
        <f t="shared" si="80"/>
        <v>0.76526935194860868</v>
      </c>
      <c r="P365" s="26">
        <f t="shared" si="81"/>
        <v>0.9138433672271935</v>
      </c>
      <c r="Q365" s="22"/>
      <c r="AD365" s="59">
        <v>361</v>
      </c>
      <c r="AE365" s="61">
        <f t="shared" ca="1" si="83"/>
        <v>0.53930427077493481</v>
      </c>
      <c r="AF365" s="61">
        <f t="shared" ca="1" si="83"/>
        <v>-1.7530826017640229</v>
      </c>
      <c r="AG365" s="61">
        <f t="shared" ca="1" si="83"/>
        <v>-3.2580417934189608E-2</v>
      </c>
      <c r="AH365" s="19"/>
      <c r="AI365" s="61">
        <f ca="1"/>
        <v>1.169442741253103E-2</v>
      </c>
      <c r="AJ365" s="61">
        <f ca="1"/>
        <v>-2.966366162089807E-2</v>
      </c>
      <c r="AK365" s="61">
        <f ca="1"/>
        <v>-5.2122090477868263E-3</v>
      </c>
      <c r="AL365" s="19"/>
      <c r="AM365" s="61">
        <f t="shared" ca="1" si="87"/>
        <v>1.2045643735041274E-2</v>
      </c>
      <c r="AN365" s="61">
        <f t="shared" ca="1" si="88"/>
        <v>-2.941460902398154E-2</v>
      </c>
      <c r="AO365" s="61">
        <f t="shared" ca="1" si="89"/>
        <v>-4.7805404445320082E-3</v>
      </c>
      <c r="AP365" s="19"/>
      <c r="AQ365" s="62">
        <f t="shared" ca="1" si="84"/>
        <v>0.760970238253728</v>
      </c>
      <c r="AR365" s="62">
        <f t="shared" ca="1" si="85"/>
        <v>0.80140458846220908</v>
      </c>
      <c r="AS365" s="62">
        <f t="shared" ca="1" si="86"/>
        <v>0.95235558670605169</v>
      </c>
      <c r="AT365" s="49"/>
    </row>
    <row r="366" spans="1:46" x14ac:dyDescent="0.3">
      <c r="A366" s="5">
        <v>43993</v>
      </c>
      <c r="B366" s="6">
        <v>51.110000999999997</v>
      </c>
      <c r="C366" s="6">
        <v>74.029999000000004</v>
      </c>
      <c r="D366" s="6">
        <v>60.68</v>
      </c>
      <c r="F366" s="13">
        <v>363</v>
      </c>
      <c r="G366" s="5">
        <v>43993</v>
      </c>
      <c r="H366" s="15">
        <f t="shared" si="82"/>
        <v>-8.1681829810787865E-2</v>
      </c>
      <c r="I366" s="15">
        <f t="shared" si="82"/>
        <v>-8.6144273699664237E-2</v>
      </c>
      <c r="J366" s="15">
        <f t="shared" si="82"/>
        <v>-0.12921676882174649</v>
      </c>
      <c r="K366" s="22"/>
      <c r="L366" s="13">
        <v>363</v>
      </c>
      <c r="M366" s="5">
        <v>43993</v>
      </c>
      <c r="N366" s="26">
        <f t="shared" si="79"/>
        <v>0.90396179865649451</v>
      </c>
      <c r="O366" s="26">
        <f t="shared" si="80"/>
        <v>0.7021054400207617</v>
      </c>
      <c r="P366" s="26">
        <f t="shared" si="81"/>
        <v>0.80307042887957736</v>
      </c>
      <c r="Q366" s="22"/>
      <c r="AD366" s="59">
        <v>362</v>
      </c>
      <c r="AE366" s="61">
        <f t="shared" ca="1" si="83"/>
        <v>1.4483659781762397</v>
      </c>
      <c r="AF366" s="61">
        <f t="shared" ca="1" si="83"/>
        <v>-0.24493914737935746</v>
      </c>
      <c r="AG366" s="61">
        <f t="shared" ca="1" si="83"/>
        <v>0.89085646662643669</v>
      </c>
      <c r="AH366" s="19"/>
      <c r="AI366" s="61">
        <f ca="1"/>
        <v>3.1406780395459008E-2</v>
      </c>
      <c r="AJ366" s="61">
        <f ca="1"/>
        <v>1.734631209788097E-2</v>
      </c>
      <c r="AK366" s="61">
        <f ca="1"/>
        <v>4.2499126587975299E-2</v>
      </c>
      <c r="AL366" s="19"/>
      <c r="AM366" s="61">
        <f t="shared" ca="1" si="87"/>
        <v>3.175799671796925E-2</v>
      </c>
      <c r="AN366" s="61">
        <f t="shared" ca="1" si="88"/>
        <v>1.75953646947975E-2</v>
      </c>
      <c r="AO366" s="61">
        <f t="shared" ca="1" si="89"/>
        <v>4.2930795191230116E-2</v>
      </c>
      <c r="AP366" s="19"/>
      <c r="AQ366" s="62">
        <f t="shared" ca="1" si="84"/>
        <v>0.78552496938825012</v>
      </c>
      <c r="AR366" s="62">
        <f t="shared" ca="1" si="85"/>
        <v>0.81563038145231104</v>
      </c>
      <c r="AS366" s="62">
        <f t="shared" ca="1" si="86"/>
        <v>0.99413128528899086</v>
      </c>
      <c r="AT366" s="49"/>
    </row>
    <row r="367" spans="1:46" x14ac:dyDescent="0.3">
      <c r="A367" s="5">
        <v>43994</v>
      </c>
      <c r="B367" s="6">
        <v>51.290000999999997</v>
      </c>
      <c r="C367" s="6">
        <v>74.769997000000004</v>
      </c>
      <c r="D367" s="6">
        <v>63.790000999999997</v>
      </c>
      <c r="F367" s="13">
        <v>364</v>
      </c>
      <c r="G367" s="5">
        <v>43994</v>
      </c>
      <c r="H367" s="15">
        <f t="shared" si="82"/>
        <v>3.5156285523240262E-3</v>
      </c>
      <c r="I367" s="15">
        <f t="shared" si="82"/>
        <v>9.9462919418097148E-3</v>
      </c>
      <c r="J367" s="15">
        <f t="shared" si="82"/>
        <v>4.9982299449970513E-2</v>
      </c>
      <c r="K367" s="22"/>
      <c r="L367" s="13">
        <v>364</v>
      </c>
      <c r="M367" s="5">
        <v>43994</v>
      </c>
      <c r="N367" s="26">
        <f t="shared" si="79"/>
        <v>0.90714538544136214</v>
      </c>
      <c r="O367" s="26">
        <f t="shared" si="80"/>
        <v>0.70912363032770043</v>
      </c>
      <c r="P367" s="26">
        <f t="shared" si="81"/>
        <v>0.84422978677156668</v>
      </c>
      <c r="Q367" s="22"/>
      <c r="AD367" s="59">
        <v>363</v>
      </c>
      <c r="AE367" s="61">
        <f t="shared" ca="1" si="83"/>
        <v>-0.26251645154773734</v>
      </c>
      <c r="AF367" s="61">
        <f t="shared" ca="1" si="83"/>
        <v>0.12477016298162497</v>
      </c>
      <c r="AG367" s="61">
        <f t="shared" ca="1" si="83"/>
        <v>-0.25144317459506299</v>
      </c>
      <c r="AH367" s="19"/>
      <c r="AI367" s="61">
        <f ca="1"/>
        <v>-5.6924815054939801E-3</v>
      </c>
      <c r="AJ367" s="61">
        <f ca="1"/>
        <v>-1.3969897485903017E-3</v>
      </c>
      <c r="AK367" s="61">
        <f ca="1"/>
        <v>-9.4420977996871724E-3</v>
      </c>
      <c r="AL367" s="19"/>
      <c r="AM367" s="61">
        <f t="shared" ca="1" si="87"/>
        <v>-5.3412651829837362E-3</v>
      </c>
      <c r="AN367" s="61">
        <f t="shared" ca="1" si="88"/>
        <v>-1.1479371516737711E-3</v>
      </c>
      <c r="AO367" s="61">
        <f t="shared" ca="1" si="89"/>
        <v>-9.0104291964323534E-3</v>
      </c>
      <c r="AP367" s="19"/>
      <c r="AQ367" s="62">
        <f t="shared" ca="1" si="84"/>
        <v>0.78134045746118752</v>
      </c>
      <c r="AR367" s="62">
        <f t="shared" ca="1" si="85"/>
        <v>0.81469462623225741</v>
      </c>
      <c r="AS367" s="62">
        <f t="shared" ca="1" si="86"/>
        <v>0.98521397047916903</v>
      </c>
      <c r="AT367" s="49"/>
    </row>
    <row r="368" spans="1:46" x14ac:dyDescent="0.3">
      <c r="A368" s="5">
        <v>43997</v>
      </c>
      <c r="B368" s="6">
        <v>51.599997999999999</v>
      </c>
      <c r="C368" s="6">
        <v>73.739998</v>
      </c>
      <c r="D368" s="6">
        <v>63.59</v>
      </c>
      <c r="F368" s="13">
        <v>365</v>
      </c>
      <c r="G368" s="5">
        <v>43997</v>
      </c>
      <c r="H368" s="15">
        <f t="shared" si="82"/>
        <v>6.0258128296715729E-3</v>
      </c>
      <c r="I368" s="15">
        <f t="shared" si="82"/>
        <v>-1.3871329205102987E-2</v>
      </c>
      <c r="J368" s="15">
        <f t="shared" si="82"/>
        <v>-3.1402286509855763E-3</v>
      </c>
      <c r="K368" s="22"/>
      <c r="L368" s="13">
        <v>365</v>
      </c>
      <c r="M368" s="5">
        <v>43997</v>
      </c>
      <c r="N368" s="26">
        <f t="shared" si="79"/>
        <v>0.9126281762888544</v>
      </c>
      <c r="O368" s="26">
        <f t="shared" si="80"/>
        <v>0.69935505122619401</v>
      </c>
      <c r="P368" s="26">
        <f t="shared" si="81"/>
        <v>0.8415828703436441</v>
      </c>
      <c r="Q368" s="22"/>
      <c r="AD368" s="59">
        <v>364</v>
      </c>
      <c r="AE368" s="61">
        <f t="shared" ca="1" si="83"/>
        <v>2.2504719674065665</v>
      </c>
      <c r="AF368" s="61">
        <f t="shared" ca="1" si="83"/>
        <v>0.67134885202529138</v>
      </c>
      <c r="AG368" s="61">
        <f t="shared" ca="1" si="83"/>
        <v>-1.8223041720200777</v>
      </c>
      <c r="AH368" s="19"/>
      <c r="AI368" s="61">
        <f ca="1"/>
        <v>4.8799875122359539E-2</v>
      </c>
      <c r="AJ368" s="61">
        <f ca="1"/>
        <v>4.9817598180248959E-2</v>
      </c>
      <c r="AK368" s="61">
        <f ca="1"/>
        <v>-8.7074509925694973E-3</v>
      </c>
      <c r="AL368" s="19"/>
      <c r="AM368" s="61">
        <f t="shared" ca="1" si="87"/>
        <v>4.9151091444869781E-2</v>
      </c>
      <c r="AN368" s="61">
        <f t="shared" ca="1" si="88"/>
        <v>5.0066650777165489E-2</v>
      </c>
      <c r="AO368" s="61">
        <f t="shared" ca="1" si="89"/>
        <v>-8.2757823893146783E-3</v>
      </c>
      <c r="AP368" s="19"/>
      <c r="AQ368" s="62">
        <f t="shared" ca="1" si="84"/>
        <v>0.82070364121392736</v>
      </c>
      <c r="AR368" s="62">
        <f t="shared" ca="1" si="85"/>
        <v>0.85652199888529257</v>
      </c>
      <c r="AS368" s="62">
        <f t="shared" ca="1" si="86"/>
        <v>0.97709419912553486</v>
      </c>
      <c r="AT368" s="49"/>
    </row>
    <row r="369" spans="1:46" x14ac:dyDescent="0.3">
      <c r="A369" s="5">
        <v>43998</v>
      </c>
      <c r="B369" s="6">
        <v>52.369999</v>
      </c>
      <c r="C369" s="6">
        <v>76.419998000000007</v>
      </c>
      <c r="D369" s="6">
        <v>66.160004000000001</v>
      </c>
      <c r="F369" s="13">
        <v>366</v>
      </c>
      <c r="G369" s="5">
        <v>43998</v>
      </c>
      <c r="H369" s="15">
        <f t="shared" si="82"/>
        <v>1.4812255468668106E-2</v>
      </c>
      <c r="I369" s="15">
        <f t="shared" si="82"/>
        <v>3.5699050163917917E-2</v>
      </c>
      <c r="J369" s="15">
        <f t="shared" si="82"/>
        <v>3.9619885895609733E-2</v>
      </c>
      <c r="K369" s="22"/>
      <c r="L369" s="13">
        <v>366</v>
      </c>
      <c r="M369" s="5">
        <v>43998</v>
      </c>
      <c r="N369" s="26">
        <f t="shared" si="79"/>
        <v>0.92624687077738121</v>
      </c>
      <c r="O369" s="26">
        <f t="shared" si="80"/>
        <v>0.72477234968185988</v>
      </c>
      <c r="P369" s="26">
        <f t="shared" si="81"/>
        <v>0.87559562931698343</v>
      </c>
      <c r="Q369" s="22"/>
      <c r="AD369" s="59">
        <v>365</v>
      </c>
      <c r="AE369" s="61">
        <f t="shared" ca="1" si="83"/>
        <v>0.50881118771315026</v>
      </c>
      <c r="AF369" s="61">
        <f t="shared" ca="1" si="83"/>
        <v>8.7290705069501554E-2</v>
      </c>
      <c r="AG369" s="61">
        <f t="shared" ca="1" si="83"/>
        <v>0.37941979675990212</v>
      </c>
      <c r="AH369" s="19"/>
      <c r="AI369" s="61">
        <f ca="1"/>
        <v>1.103320671435648E-2</v>
      </c>
      <c r="AJ369" s="61">
        <f ca="1"/>
        <v>9.8614369492838611E-3</v>
      </c>
      <c r="AK369" s="61">
        <f ca="1"/>
        <v>1.7853422657746004E-2</v>
      </c>
      <c r="AL369" s="19"/>
      <c r="AM369" s="61">
        <f t="shared" ca="1" si="87"/>
        <v>1.1384423036866724E-2</v>
      </c>
      <c r="AN369" s="61">
        <f t="shared" ca="1" si="88"/>
        <v>1.0110489546200392E-2</v>
      </c>
      <c r="AO369" s="61">
        <f t="shared" ca="1" si="89"/>
        <v>1.8285091261000821E-2</v>
      </c>
      <c r="AP369" s="19"/>
      <c r="AQ369" s="62">
        <f t="shared" ca="1" si="84"/>
        <v>0.83010026473474419</v>
      </c>
      <c r="AR369" s="62">
        <f t="shared" ca="1" si="85"/>
        <v>0.8652257812081644</v>
      </c>
      <c r="AS369" s="62">
        <f t="shared" ca="1" si="86"/>
        <v>0.99512479894209027</v>
      </c>
      <c r="AT369" s="49"/>
    </row>
    <row r="370" spans="1:46" x14ac:dyDescent="0.3">
      <c r="A370" s="5">
        <v>43999</v>
      </c>
      <c r="B370" s="6">
        <v>52.52</v>
      </c>
      <c r="C370" s="6">
        <v>74.480002999999996</v>
      </c>
      <c r="D370" s="6">
        <v>62.32</v>
      </c>
      <c r="F370" s="13">
        <v>367</v>
      </c>
      <c r="G370" s="5">
        <v>43999</v>
      </c>
      <c r="H370" s="15">
        <f t="shared" si="82"/>
        <v>2.8601602381010892E-3</v>
      </c>
      <c r="I370" s="15">
        <f t="shared" si="82"/>
        <v>-2.5713742599513846E-2</v>
      </c>
      <c r="J370" s="15">
        <f t="shared" si="82"/>
        <v>-5.9793709612433389E-2</v>
      </c>
      <c r="K370" s="22"/>
      <c r="L370" s="13">
        <v>367</v>
      </c>
      <c r="M370" s="5">
        <v>43999</v>
      </c>
      <c r="N370" s="26">
        <f t="shared" si="79"/>
        <v>0.92889987745136415</v>
      </c>
      <c r="O370" s="26">
        <f t="shared" si="80"/>
        <v>0.7063733079215988</v>
      </c>
      <c r="P370" s="26">
        <f t="shared" si="81"/>
        <v>0.82477503506551186</v>
      </c>
      <c r="Q370" s="22"/>
      <c r="AD370" s="59">
        <v>366</v>
      </c>
      <c r="AE370" s="61">
        <f t="shared" ca="1" si="83"/>
        <v>0.70730497973380657</v>
      </c>
      <c r="AF370" s="61">
        <f t="shared" ca="1" si="83"/>
        <v>0.78852380950955281</v>
      </c>
      <c r="AG370" s="61">
        <f t="shared" ca="1" si="83"/>
        <v>0.4346335734832627</v>
      </c>
      <c r="AH370" s="19"/>
      <c r="AI370" s="61">
        <f ca="1"/>
        <v>1.5337402635683277E-2</v>
      </c>
      <c r="AJ370" s="61">
        <f ca="1"/>
        <v>2.8210343964994736E-2</v>
      </c>
      <c r="AK370" s="61">
        <f ca="1"/>
        <v>2.7139257871104772E-2</v>
      </c>
      <c r="AL370" s="19"/>
      <c r="AM370" s="61">
        <f t="shared" ca="1" si="87"/>
        <v>1.5688618958193522E-2</v>
      </c>
      <c r="AN370" s="61">
        <f t="shared" ca="1" si="88"/>
        <v>2.8459396561911265E-2</v>
      </c>
      <c r="AO370" s="61">
        <f t="shared" ca="1" si="89"/>
        <v>2.7570926474359589E-2</v>
      </c>
      <c r="AP370" s="19"/>
      <c r="AQ370" s="62">
        <f t="shared" ca="1" si="84"/>
        <v>0.84322608526019494</v>
      </c>
      <c r="AR370" s="62">
        <f t="shared" ca="1" si="85"/>
        <v>0.89020332186791395</v>
      </c>
      <c r="AS370" s="62">
        <f t="shared" ca="1" si="86"/>
        <v>1.0229430367400127</v>
      </c>
      <c r="AT370" s="49"/>
    </row>
    <row r="371" spans="1:46" x14ac:dyDescent="0.3">
      <c r="A371" s="5">
        <v>44000</v>
      </c>
      <c r="B371" s="6">
        <v>51.68</v>
      </c>
      <c r="C371" s="6">
        <v>73.940002000000007</v>
      </c>
      <c r="D371" s="6">
        <v>64.629997000000003</v>
      </c>
      <c r="F371" s="13">
        <v>368</v>
      </c>
      <c r="G371" s="5">
        <v>44000</v>
      </c>
      <c r="H371" s="15">
        <f t="shared" si="82"/>
        <v>-1.6123189960249102E-2</v>
      </c>
      <c r="I371" s="15">
        <f t="shared" si="82"/>
        <v>-7.2766926906361693E-3</v>
      </c>
      <c r="J371" s="15">
        <f t="shared" si="82"/>
        <v>3.6396251294238062E-2</v>
      </c>
      <c r="K371" s="22"/>
      <c r="L371" s="13">
        <v>368</v>
      </c>
      <c r="M371" s="5">
        <v>44000</v>
      </c>
      <c r="N371" s="26">
        <f t="shared" si="79"/>
        <v>0.91404313912198198</v>
      </c>
      <c r="O371" s="26">
        <f t="shared" si="80"/>
        <v>0.70125190248004743</v>
      </c>
      <c r="P371" s="26">
        <f t="shared" si="81"/>
        <v>0.85534672724581085</v>
      </c>
      <c r="Q371" s="22"/>
      <c r="AD371" s="59">
        <v>367</v>
      </c>
      <c r="AE371" s="61">
        <f t="shared" ca="1" si="83"/>
        <v>0.39984497574207878</v>
      </c>
      <c r="AF371" s="61">
        <f t="shared" ca="1" si="83"/>
        <v>8.5695582544451906E-2</v>
      </c>
      <c r="AG371" s="61">
        <f t="shared" ca="1" si="83"/>
        <v>-1.1705412739311272</v>
      </c>
      <c r="AH371" s="19"/>
      <c r="AI371" s="61">
        <f ca="1"/>
        <v>8.6703523381374548E-3</v>
      </c>
      <c r="AJ371" s="61">
        <f ca="1"/>
        <v>8.1211893665779113E-3</v>
      </c>
      <c r="AK371" s="61">
        <f ca="1"/>
        <v>-2.3477779270280441E-2</v>
      </c>
      <c r="AL371" s="19"/>
      <c r="AM371" s="61">
        <f t="shared" ca="1" si="87"/>
        <v>9.0215686606476986E-3</v>
      </c>
      <c r="AN371" s="61">
        <f t="shared" ca="1" si="88"/>
        <v>8.3702419634944427E-3</v>
      </c>
      <c r="AO371" s="61">
        <f t="shared" ca="1" si="89"/>
        <v>-2.3046110667025624E-2</v>
      </c>
      <c r="AP371" s="19"/>
      <c r="AQ371" s="62">
        <f t="shared" ca="1" si="84"/>
        <v>0.85086772524620002</v>
      </c>
      <c r="AR371" s="62">
        <f t="shared" ca="1" si="85"/>
        <v>0.89768581050303298</v>
      </c>
      <c r="AS371" s="62">
        <f t="shared" ca="1" si="86"/>
        <v>0.99963775781659847</v>
      </c>
      <c r="AT371" s="49"/>
    </row>
    <row r="372" spans="1:46" x14ac:dyDescent="0.3">
      <c r="A372" s="5">
        <v>44001</v>
      </c>
      <c r="B372" s="6">
        <v>51.099997999999999</v>
      </c>
      <c r="C372" s="6">
        <v>71.389999000000003</v>
      </c>
      <c r="D372" s="6">
        <v>63.16</v>
      </c>
      <c r="F372" s="13">
        <v>369</v>
      </c>
      <c r="G372" s="5">
        <v>44001</v>
      </c>
      <c r="H372" s="15">
        <f t="shared" si="82"/>
        <v>-1.1286401403631631E-2</v>
      </c>
      <c r="I372" s="15">
        <f t="shared" si="82"/>
        <v>-3.5096191050639124E-2</v>
      </c>
      <c r="J372" s="15">
        <f t="shared" si="82"/>
        <v>-2.3007463469289675E-2</v>
      </c>
      <c r="K372" s="22"/>
      <c r="L372" s="13">
        <v>369</v>
      </c>
      <c r="M372" s="5">
        <v>44001</v>
      </c>
      <c r="N372" s="26">
        <f t="shared" si="79"/>
        <v>0.90378487966422216</v>
      </c>
      <c r="O372" s="26">
        <f t="shared" si="80"/>
        <v>0.67706750422861328</v>
      </c>
      <c r="P372" s="26">
        <f t="shared" si="81"/>
        <v>0.83589202847781974</v>
      </c>
      <c r="Q372" s="22"/>
      <c r="AD372" s="59">
        <v>368</v>
      </c>
      <c r="AE372" s="61">
        <f t="shared" ca="1" si="83"/>
        <v>-1.8713684709559701</v>
      </c>
      <c r="AF372" s="61">
        <f t="shared" ca="1" si="83"/>
        <v>-9.8365880639541145E-2</v>
      </c>
      <c r="AG372" s="61">
        <f t="shared" ca="1" si="83"/>
        <v>0.62503303897486551</v>
      </c>
      <c r="AH372" s="19"/>
      <c r="AI372" s="61">
        <f ca="1"/>
        <v>-4.0579286928782293E-2</v>
      </c>
      <c r="AJ372" s="61">
        <f ca="1"/>
        <v>-3.142937419038358E-2</v>
      </c>
      <c r="AK372" s="61">
        <f ca="1"/>
        <v>-1.2329910474578518E-2</v>
      </c>
      <c r="AL372" s="19"/>
      <c r="AM372" s="61">
        <f t="shared" ca="1" si="87"/>
        <v>-4.0228070606272051E-2</v>
      </c>
      <c r="AN372" s="61">
        <f t="shared" ca="1" si="88"/>
        <v>-3.118032159346705E-2</v>
      </c>
      <c r="AO372" s="61">
        <f t="shared" ca="1" si="89"/>
        <v>-1.1898241871323699E-2</v>
      </c>
      <c r="AP372" s="19"/>
      <c r="AQ372" s="62">
        <f t="shared" ca="1" si="84"/>
        <v>0.8173182969940842</v>
      </c>
      <c r="AR372" s="62">
        <f t="shared" ca="1" si="85"/>
        <v>0.87012754864622277</v>
      </c>
      <c r="AS372" s="62">
        <f t="shared" ca="1" si="86"/>
        <v>0.98781430462832964</v>
      </c>
      <c r="AT372" s="49"/>
    </row>
    <row r="373" spans="1:46" x14ac:dyDescent="0.3">
      <c r="A373" s="5">
        <v>44004</v>
      </c>
      <c r="B373" s="6">
        <v>51.25</v>
      </c>
      <c r="C373" s="6">
        <v>73.339995999999999</v>
      </c>
      <c r="D373" s="6">
        <v>62.66</v>
      </c>
      <c r="F373" s="13">
        <v>370</v>
      </c>
      <c r="G373" s="5">
        <v>44004</v>
      </c>
      <c r="H373" s="15">
        <f t="shared" si="82"/>
        <v>2.9311599478028727E-3</v>
      </c>
      <c r="I373" s="15">
        <f t="shared" si="82"/>
        <v>2.6948318595877038E-2</v>
      </c>
      <c r="J373" s="15">
        <f t="shared" si="82"/>
        <v>-7.9479038633956823E-3</v>
      </c>
      <c r="K373" s="22"/>
      <c r="L373" s="13">
        <v>370</v>
      </c>
      <c r="M373" s="5">
        <v>44004</v>
      </c>
      <c r="N373" s="26">
        <f t="shared" si="79"/>
        <v>0.9064379040247984</v>
      </c>
      <c r="O373" s="26">
        <f t="shared" si="80"/>
        <v>0.69556140562288682</v>
      </c>
      <c r="P373" s="26">
        <f t="shared" si="81"/>
        <v>0.82927477049430309</v>
      </c>
      <c r="Q373" s="22"/>
      <c r="AD373" s="59">
        <v>369</v>
      </c>
      <c r="AE373" s="61">
        <f t="shared" ca="1" si="83"/>
        <v>-0.58968454449557683</v>
      </c>
      <c r="AF373" s="61">
        <f t="shared" ca="1" si="83"/>
        <v>-0.4576151751072069</v>
      </c>
      <c r="AG373" s="61">
        <f t="shared" ca="1" si="83"/>
        <v>0.32149199249023769</v>
      </c>
      <c r="AH373" s="19"/>
      <c r="AI373" s="61">
        <f ca="1"/>
        <v>-1.2786887617236823E-2</v>
      </c>
      <c r="AJ373" s="61">
        <f ca="1"/>
        <v>-1.9176673261181481E-2</v>
      </c>
      <c r="AK373" s="61">
        <f ca="1"/>
        <v>-3.6990376068351226E-3</v>
      </c>
      <c r="AL373" s="19"/>
      <c r="AM373" s="61">
        <f t="shared" ca="1" si="87"/>
        <v>-1.2435671294726579E-2</v>
      </c>
      <c r="AN373" s="61">
        <f t="shared" ca="1" si="88"/>
        <v>-1.8927620664264951E-2</v>
      </c>
      <c r="AO373" s="61">
        <f t="shared" ca="1" si="89"/>
        <v>-3.2673690035803045E-3</v>
      </c>
      <c r="AP373" s="19"/>
      <c r="AQ373" s="62">
        <f t="shared" ca="1" si="84"/>
        <v>0.80721733162446985</v>
      </c>
      <c r="AR373" s="62">
        <f t="shared" ca="1" si="85"/>
        <v>0.85381298943120376</v>
      </c>
      <c r="AS373" s="62">
        <f t="shared" ca="1" si="86"/>
        <v>0.98459201785473627</v>
      </c>
      <c r="AT373" s="49"/>
    </row>
    <row r="374" spans="1:46" x14ac:dyDescent="0.3">
      <c r="A374" s="5">
        <v>44005</v>
      </c>
      <c r="B374" s="6">
        <v>51.919998</v>
      </c>
      <c r="C374" s="6">
        <v>73.459998999999996</v>
      </c>
      <c r="D374" s="6">
        <v>62.650002000000001</v>
      </c>
      <c r="F374" s="13">
        <v>371</v>
      </c>
      <c r="G374" s="5">
        <v>44005</v>
      </c>
      <c r="H374" s="15">
        <f t="shared" si="82"/>
        <v>1.2988415856515112E-2</v>
      </c>
      <c r="I374" s="15">
        <f t="shared" si="82"/>
        <v>1.6349186759883631E-3</v>
      </c>
      <c r="J374" s="15">
        <f t="shared" si="82"/>
        <v>-1.5957225858494116E-4</v>
      </c>
      <c r="K374" s="22"/>
      <c r="L374" s="13">
        <v>371</v>
      </c>
      <c r="M374" s="5">
        <v>44005</v>
      </c>
      <c r="N374" s="26">
        <f t="shared" si="79"/>
        <v>0.918287886128619</v>
      </c>
      <c r="O374" s="26">
        <f t="shared" si="80"/>
        <v>0.69669952206563868</v>
      </c>
      <c r="P374" s="26">
        <f t="shared" si="81"/>
        <v>0.82914245180366475</v>
      </c>
      <c r="Q374" s="22"/>
      <c r="AD374" s="59">
        <v>370</v>
      </c>
      <c r="AE374" s="61">
        <f t="shared" ca="1" si="83"/>
        <v>-1.4223732965955955</v>
      </c>
      <c r="AF374" s="61">
        <f t="shared" ca="1" si="83"/>
        <v>0.53125428428868327</v>
      </c>
      <c r="AG374" s="61">
        <f t="shared" ca="1" si="83"/>
        <v>0.62727539068306448</v>
      </c>
      <c r="AH374" s="19"/>
      <c r="AI374" s="61">
        <f ca="1"/>
        <v>-3.0843147684809235E-2</v>
      </c>
      <c r="AJ374" s="61">
        <f ca="1"/>
        <v>-1.0716115003876453E-2</v>
      </c>
      <c r="AK374" s="61">
        <f ca="1"/>
        <v>-1.2042373913056549E-3</v>
      </c>
      <c r="AL374" s="19"/>
      <c r="AM374" s="61">
        <f t="shared" ca="1" si="87"/>
        <v>-3.0491931362298989E-2</v>
      </c>
      <c r="AN374" s="61">
        <f t="shared" ca="1" si="88"/>
        <v>-1.0467062406959922E-2</v>
      </c>
      <c r="AO374" s="61">
        <f t="shared" ca="1" si="89"/>
        <v>-7.7256878805083667E-4</v>
      </c>
      <c r="AP374" s="19"/>
      <c r="AQ374" s="62">
        <f t="shared" ca="1" si="84"/>
        <v>0.78297518927225573</v>
      </c>
      <c r="AR374" s="62">
        <f t="shared" ca="1" si="85"/>
        <v>0.8449226844434049</v>
      </c>
      <c r="AS374" s="62">
        <f t="shared" ca="1" si="86"/>
        <v>0.98383164655016608</v>
      </c>
      <c r="AT374" s="49"/>
    </row>
    <row r="375" spans="1:46" x14ac:dyDescent="0.3">
      <c r="A375" s="5">
        <v>44006</v>
      </c>
      <c r="B375" s="6">
        <v>49.470001000000003</v>
      </c>
      <c r="C375" s="6">
        <v>70.650002000000001</v>
      </c>
      <c r="D375" s="6">
        <v>58.02</v>
      </c>
      <c r="F375" s="13">
        <v>372</v>
      </c>
      <c r="G375" s="5">
        <v>44006</v>
      </c>
      <c r="H375" s="15">
        <f t="shared" si="82"/>
        <v>-4.833758842114419E-2</v>
      </c>
      <c r="I375" s="15">
        <f t="shared" si="82"/>
        <v>-3.9002889339571134E-2</v>
      </c>
      <c r="J375" s="15">
        <f t="shared" si="82"/>
        <v>-7.677593457220265E-2</v>
      </c>
      <c r="K375" s="22"/>
      <c r="L375" s="13">
        <v>372</v>
      </c>
      <c r="M375" s="5">
        <v>44006</v>
      </c>
      <c r="N375" s="26">
        <f t="shared" si="79"/>
        <v>0.87495578572770116</v>
      </c>
      <c r="O375" s="26">
        <f t="shared" si="80"/>
        <v>0.67004932340574119</v>
      </c>
      <c r="P375" s="26">
        <f t="shared" si="81"/>
        <v>0.76786661640726894</v>
      </c>
      <c r="Q375" s="22"/>
      <c r="AD375" s="59">
        <v>371</v>
      </c>
      <c r="AE375" s="61">
        <f t="shared" ca="1" si="83"/>
        <v>0.91198259273226512</v>
      </c>
      <c r="AF375" s="61">
        <f t="shared" ca="1" si="83"/>
        <v>7.761176885952302E-2</v>
      </c>
      <c r="AG375" s="61">
        <f t="shared" ca="1" si="83"/>
        <v>-0.85475627272074961</v>
      </c>
      <c r="AH375" s="19"/>
      <c r="AI375" s="61">
        <f ca="1"/>
        <v>1.977569029237327E-2</v>
      </c>
      <c r="AJ375" s="61">
        <f ca="1"/>
        <v>1.5961630491561095E-2</v>
      </c>
      <c r="AK375" s="61">
        <f ca="1"/>
        <v>-7.8771987074174252E-3</v>
      </c>
      <c r="AL375" s="19"/>
      <c r="AM375" s="61">
        <f t="shared" ca="1" si="87"/>
        <v>2.0126906614883516E-2</v>
      </c>
      <c r="AN375" s="61">
        <f t="shared" ca="1" si="88"/>
        <v>1.6210683088477625E-2</v>
      </c>
      <c r="AO375" s="61">
        <f t="shared" ca="1" si="89"/>
        <v>-7.445530104162607E-3</v>
      </c>
      <c r="AP375" s="19"/>
      <c r="AQ375" s="62">
        <f t="shared" ca="1" si="84"/>
        <v>0.79889371576744295</v>
      </c>
      <c r="AR375" s="62">
        <f t="shared" ca="1" si="85"/>
        <v>0.85873107767181533</v>
      </c>
      <c r="AS375" s="62">
        <f t="shared" ca="1" si="86"/>
        <v>0.97653370066025658</v>
      </c>
      <c r="AT375" s="49"/>
    </row>
    <row r="376" spans="1:46" x14ac:dyDescent="0.3">
      <c r="A376" s="5">
        <v>44007</v>
      </c>
      <c r="B376" s="6">
        <v>50.34</v>
      </c>
      <c r="C376" s="6">
        <v>70.319999999999993</v>
      </c>
      <c r="D376" s="6">
        <v>57.279998999999997</v>
      </c>
      <c r="F376" s="13">
        <v>373</v>
      </c>
      <c r="G376" s="5">
        <v>44007</v>
      </c>
      <c r="H376" s="15">
        <f t="shared" si="82"/>
        <v>1.743354425328145E-2</v>
      </c>
      <c r="I376" s="15">
        <f t="shared" si="82"/>
        <v>-4.6818840621779406E-3</v>
      </c>
      <c r="J376" s="15">
        <f t="shared" si="82"/>
        <v>-1.2836273498968572E-2</v>
      </c>
      <c r="K376" s="22"/>
      <c r="L376" s="13">
        <v>373</v>
      </c>
      <c r="M376" s="5">
        <v>44007</v>
      </c>
      <c r="N376" s="26">
        <f t="shared" si="79"/>
        <v>0.8903431041679678</v>
      </c>
      <c r="O376" s="26">
        <f t="shared" si="80"/>
        <v>0.66691956246358941</v>
      </c>
      <c r="P376" s="26">
        <f t="shared" si="81"/>
        <v>0.75807306135714825</v>
      </c>
      <c r="Q376" s="22"/>
      <c r="AD376" s="59">
        <v>372</v>
      </c>
      <c r="AE376" s="61">
        <f t="shared" ca="1" si="83"/>
        <v>0.41050257725722683</v>
      </c>
      <c r="AF376" s="61">
        <f t="shared" ca="1" si="83"/>
        <v>1.3353201014495113</v>
      </c>
      <c r="AG376" s="61">
        <f t="shared" ca="1" si="83"/>
        <v>1.0235250095076223</v>
      </c>
      <c r="AH376" s="19"/>
      <c r="AI376" s="61">
        <f ca="1"/>
        <v>8.9014548048979916E-3</v>
      </c>
      <c r="AJ376" s="61">
        <f ca="1"/>
        <v>3.5449866298491256E-2</v>
      </c>
      <c r="AK376" s="61">
        <f ca="1"/>
        <v>4.1692003847351312E-2</v>
      </c>
      <c r="AL376" s="19"/>
      <c r="AM376" s="61">
        <f t="shared" ca="1" si="87"/>
        <v>9.2526711274082355E-3</v>
      </c>
      <c r="AN376" s="61">
        <f t="shared" ca="1" si="88"/>
        <v>3.5698918895407786E-2</v>
      </c>
      <c r="AO376" s="61">
        <f t="shared" ca="1" si="89"/>
        <v>4.212367245060613E-2</v>
      </c>
      <c r="AP376" s="19"/>
      <c r="AQ376" s="62">
        <f t="shared" ca="1" si="84"/>
        <v>0.80631991971573036</v>
      </c>
      <c r="AR376" s="62">
        <f t="shared" ca="1" si="85"/>
        <v>0.88994060759025251</v>
      </c>
      <c r="AS376" s="62">
        <f t="shared" ca="1" si="86"/>
        <v>1.0185475632168763</v>
      </c>
      <c r="AT376" s="49"/>
    </row>
    <row r="377" spans="1:46" x14ac:dyDescent="0.3">
      <c r="A377" s="5">
        <v>44008</v>
      </c>
      <c r="B377" s="6">
        <v>50.599997999999999</v>
      </c>
      <c r="C377" s="6">
        <v>67.699996999999996</v>
      </c>
      <c r="D377" s="6">
        <v>56.32</v>
      </c>
      <c r="F377" s="13">
        <v>374</v>
      </c>
      <c r="G377" s="5">
        <v>44008</v>
      </c>
      <c r="H377" s="15">
        <f t="shared" si="82"/>
        <v>5.1515470605575124E-3</v>
      </c>
      <c r="I377" s="15">
        <f t="shared" si="82"/>
        <v>-3.7970117771839389E-2</v>
      </c>
      <c r="J377" s="15">
        <f t="shared" si="82"/>
        <v>-1.6901793344502408E-2</v>
      </c>
      <c r="K377" s="22"/>
      <c r="L377" s="13">
        <v>374</v>
      </c>
      <c r="M377" s="5">
        <v>44008</v>
      </c>
      <c r="N377" s="26">
        <f t="shared" si="79"/>
        <v>0.89494158303959004</v>
      </c>
      <c r="O377" s="26">
        <f t="shared" si="80"/>
        <v>0.64207127955099996</v>
      </c>
      <c r="P377" s="26">
        <f t="shared" si="81"/>
        <v>0.74536793926331235</v>
      </c>
      <c r="Q377" s="22"/>
      <c r="AD377" s="59">
        <v>373</v>
      </c>
      <c r="AE377" s="61">
        <f t="shared" ca="1" si="83"/>
        <v>0.61799776614858604</v>
      </c>
      <c r="AF377" s="61">
        <f t="shared" ca="1" si="83"/>
        <v>1.5706198769085353</v>
      </c>
      <c r="AG377" s="61">
        <f t="shared" ca="1" si="83"/>
        <v>-5.9261138500666978E-3</v>
      </c>
      <c r="AH377" s="19"/>
      <c r="AI377" s="61">
        <f ca="1"/>
        <v>1.3400839579753725E-2</v>
      </c>
      <c r="AJ377" s="61">
        <f ca="1"/>
        <v>4.3812131174895907E-2</v>
      </c>
      <c r="AK377" s="61">
        <f ca="1"/>
        <v>2.0040456413438233E-2</v>
      </c>
      <c r="AL377" s="19"/>
      <c r="AM377" s="61">
        <f t="shared" ca="1" si="87"/>
        <v>1.3752055902263969E-2</v>
      </c>
      <c r="AN377" s="61">
        <f t="shared" ca="1" si="88"/>
        <v>4.4061183771812437E-2</v>
      </c>
      <c r="AO377" s="61">
        <f t="shared" ca="1" si="89"/>
        <v>2.047212501669305E-2</v>
      </c>
      <c r="AP377" s="19"/>
      <c r="AQ377" s="62">
        <f t="shared" ca="1" si="84"/>
        <v>0.81748507226642952</v>
      </c>
      <c r="AR377" s="62">
        <f t="shared" ca="1" si="85"/>
        <v>0.93002913278002841</v>
      </c>
      <c r="AS377" s="62">
        <f t="shared" ca="1" si="86"/>
        <v>1.0396143009461949</v>
      </c>
      <c r="AT377" s="49"/>
    </row>
    <row r="378" spans="1:46" x14ac:dyDescent="0.3">
      <c r="A378" s="5">
        <v>44011</v>
      </c>
      <c r="B378" s="6">
        <v>51.830002</v>
      </c>
      <c r="C378" s="6">
        <v>72.569999999999993</v>
      </c>
      <c r="D378" s="6">
        <v>56.950001</v>
      </c>
      <c r="F378" s="13">
        <v>375</v>
      </c>
      <c r="G378" s="5">
        <v>44011</v>
      </c>
      <c r="H378" s="15">
        <f t="shared" si="82"/>
        <v>2.4017634021577701E-2</v>
      </c>
      <c r="I378" s="15">
        <f t="shared" si="82"/>
        <v>6.9465477684963389E-2</v>
      </c>
      <c r="J378" s="15">
        <f t="shared" si="82"/>
        <v>1.1123995602666577E-2</v>
      </c>
      <c r="K378" s="22"/>
      <c r="L378" s="13">
        <v>375</v>
      </c>
      <c r="M378" s="5">
        <v>44011</v>
      </c>
      <c r="N378" s="26">
        <f t="shared" si="79"/>
        <v>0.91669616348255822</v>
      </c>
      <c r="O378" s="26">
        <f t="shared" si="80"/>
        <v>0.68825871228644309</v>
      </c>
      <c r="P378" s="26">
        <f t="shared" si="81"/>
        <v>0.7537056975570593</v>
      </c>
      <c r="Q378" s="22"/>
      <c r="AD378" s="59">
        <v>374</v>
      </c>
      <c r="AE378" s="61">
        <f t="shared" ca="1" si="83"/>
        <v>-0.74989828433224293</v>
      </c>
      <c r="AF378" s="61">
        <f t="shared" ca="1" si="83"/>
        <v>0.468623576559413</v>
      </c>
      <c r="AG378" s="61">
        <f t="shared" ca="1" si="83"/>
        <v>-0.28135822366020724</v>
      </c>
      <c r="AH378" s="19"/>
      <c r="AI378" s="61">
        <f ca="1"/>
        <v>-1.6261007984052767E-2</v>
      </c>
      <c r="AJ378" s="61">
        <f ca="1"/>
        <v>-1.5516510368378898E-3</v>
      </c>
      <c r="AK378" s="61">
        <f ca="1"/>
        <v>-1.4988278585799189E-2</v>
      </c>
      <c r="AL378" s="19"/>
      <c r="AM378" s="61">
        <f t="shared" ca="1" si="87"/>
        <v>-1.5909791661542522E-2</v>
      </c>
      <c r="AN378" s="61">
        <f t="shared" ca="1" si="88"/>
        <v>-1.3025984399213592E-3</v>
      </c>
      <c r="AO378" s="61">
        <f t="shared" ca="1" si="89"/>
        <v>-1.455660998254437E-2</v>
      </c>
      <c r="AP378" s="19"/>
      <c r="AQ378" s="62">
        <f t="shared" ca="1" si="84"/>
        <v>0.80458197008387422</v>
      </c>
      <c r="AR378" s="62">
        <f t="shared" ca="1" si="85"/>
        <v>0.92881846695947667</v>
      </c>
      <c r="AS378" s="62">
        <f t="shared" ca="1" si="86"/>
        <v>1.0245906530120459</v>
      </c>
      <c r="AT378" s="49"/>
    </row>
    <row r="379" spans="1:46" x14ac:dyDescent="0.3">
      <c r="A379" s="5">
        <v>44012</v>
      </c>
      <c r="B379" s="6">
        <v>52.830002</v>
      </c>
      <c r="C379" s="6">
        <v>72.519997000000004</v>
      </c>
      <c r="D379" s="6">
        <v>58.82</v>
      </c>
      <c r="F379" s="13">
        <v>376</v>
      </c>
      <c r="G379" s="5">
        <v>44012</v>
      </c>
      <c r="H379" s="15">
        <f t="shared" si="82"/>
        <v>1.911007824419694E-2</v>
      </c>
      <c r="I379" s="15">
        <f t="shared" si="82"/>
        <v>-6.8926877129452189E-4</v>
      </c>
      <c r="J379" s="15">
        <f t="shared" si="82"/>
        <v>3.2308225673395412E-2</v>
      </c>
      <c r="K379" s="22"/>
      <c r="L379" s="13">
        <v>376</v>
      </c>
      <c r="M379" s="5">
        <v>44012</v>
      </c>
      <c r="N379" s="26">
        <f t="shared" si="79"/>
        <v>0.93438275673182258</v>
      </c>
      <c r="O379" s="26">
        <f t="shared" si="80"/>
        <v>0.68778448050484675</v>
      </c>
      <c r="P379" s="26">
        <f t="shared" si="81"/>
        <v>0.77845422918089546</v>
      </c>
      <c r="Q379" s="22"/>
      <c r="AD379" s="59">
        <v>375</v>
      </c>
      <c r="AE379" s="61">
        <f t="shared" ca="1" si="83"/>
        <v>-0.58706057254570665</v>
      </c>
      <c r="AF379" s="61">
        <f t="shared" ca="1" si="83"/>
        <v>0.10426017066761331</v>
      </c>
      <c r="AG379" s="61">
        <f t="shared" ca="1" si="83"/>
        <v>0.3435284972239907</v>
      </c>
      <c r="AH379" s="19"/>
      <c r="AI379" s="61">
        <f ca="1"/>
        <v>-1.2729988662114177E-2</v>
      </c>
      <c r="AJ379" s="61">
        <f ca="1"/>
        <v>-6.9226695538916732E-3</v>
      </c>
      <c r="AK379" s="61">
        <f ca="1"/>
        <v>8.6129230398953281E-4</v>
      </c>
      <c r="AL379" s="19"/>
      <c r="AM379" s="61">
        <f t="shared" ca="1" si="87"/>
        <v>-1.2378772339603933E-2</v>
      </c>
      <c r="AN379" s="61">
        <f t="shared" ca="1" si="88"/>
        <v>-6.6736169569751426E-3</v>
      </c>
      <c r="AO379" s="61">
        <f t="shared" ca="1" si="89"/>
        <v>1.2929609072443509E-3</v>
      </c>
      <c r="AP379" s="19"/>
      <c r="AQ379" s="62">
        <f t="shared" ca="1" si="84"/>
        <v>0.79468362412981752</v>
      </c>
      <c r="AR379" s="62">
        <f t="shared" ca="1" si="85"/>
        <v>0.92264052582376632</v>
      </c>
      <c r="AS379" s="62">
        <f t="shared" ca="1" si="86"/>
        <v>1.0259162654701874</v>
      </c>
      <c r="AT379" s="49"/>
    </row>
    <row r="380" spans="1:46" x14ac:dyDescent="0.3">
      <c r="A380" s="5">
        <v>44013</v>
      </c>
      <c r="B380" s="6">
        <v>51.490001999999997</v>
      </c>
      <c r="C380" s="6">
        <v>70.669998000000007</v>
      </c>
      <c r="D380" s="6">
        <v>56.439999</v>
      </c>
      <c r="F380" s="13">
        <v>377</v>
      </c>
      <c r="G380" s="5">
        <v>44013</v>
      </c>
      <c r="H380" s="15">
        <f t="shared" si="82"/>
        <v>-2.5691596132958957E-2</v>
      </c>
      <c r="I380" s="15">
        <f t="shared" si="82"/>
        <v>-2.5841218116540197E-2</v>
      </c>
      <c r="J380" s="15">
        <f t="shared" si="82"/>
        <v>-4.1303823859166429E-2</v>
      </c>
      <c r="K380" s="22"/>
      <c r="L380" s="13">
        <v>377</v>
      </c>
      <c r="M380" s="5">
        <v>44013</v>
      </c>
      <c r="N380" s="26">
        <f t="shared" si="79"/>
        <v>0.91068272177780829</v>
      </c>
      <c r="O380" s="26">
        <f t="shared" si="80"/>
        <v>0.67023896680123363</v>
      </c>
      <c r="P380" s="26">
        <f t="shared" si="81"/>
        <v>0.74695606794484037</v>
      </c>
      <c r="Q380" s="22"/>
      <c r="AD380" s="59">
        <v>376</v>
      </c>
      <c r="AE380" s="61">
        <f t="shared" ca="1" si="83"/>
        <v>-0.19242652955629244</v>
      </c>
      <c r="AF380" s="61">
        <f t="shared" ca="1" si="83"/>
        <v>0.81203423613294856</v>
      </c>
      <c r="AG380" s="61">
        <f t="shared" ca="1" si="83"/>
        <v>0.2108691467540002</v>
      </c>
      <c r="AH380" s="19"/>
      <c r="AI380" s="61">
        <f ca="1"/>
        <v>-4.1726316739672791E-3</v>
      </c>
      <c r="AJ380" s="61">
        <f ca="1"/>
        <v>1.4638465393335957E-2</v>
      </c>
      <c r="AK380" s="61">
        <f ca="1"/>
        <v>8.2779702042816289E-3</v>
      </c>
      <c r="AL380" s="19"/>
      <c r="AM380" s="61">
        <f t="shared" ca="1" si="87"/>
        <v>-3.8214153514570348E-3</v>
      </c>
      <c r="AN380" s="61">
        <f t="shared" ca="1" si="88"/>
        <v>1.4887517990252489E-2</v>
      </c>
      <c r="AO380" s="61">
        <f t="shared" ca="1" si="89"/>
        <v>8.7096388075364479E-3</v>
      </c>
      <c r="AP380" s="19"/>
      <c r="AQ380" s="62">
        <f t="shared" ca="1" si="84"/>
        <v>0.79165260301288332</v>
      </c>
      <c r="AR380" s="62">
        <f t="shared" ca="1" si="85"/>
        <v>0.93647910873090146</v>
      </c>
      <c r="AS380" s="62">
        <f t="shared" ca="1" si="86"/>
        <v>1.0348906506847177</v>
      </c>
      <c r="AT380" s="49"/>
    </row>
    <row r="381" spans="1:46" x14ac:dyDescent="0.3">
      <c r="A381" s="5">
        <v>44014</v>
      </c>
      <c r="B381" s="6">
        <v>51.720001000000003</v>
      </c>
      <c r="C381" s="6">
        <v>70.75</v>
      </c>
      <c r="D381" s="6">
        <v>56.34</v>
      </c>
      <c r="F381" s="13">
        <v>378</v>
      </c>
      <c r="G381" s="5">
        <v>44014</v>
      </c>
      <c r="H381" s="15">
        <f t="shared" si="82"/>
        <v>4.456920337993886E-3</v>
      </c>
      <c r="I381" s="15">
        <f t="shared" si="82"/>
        <v>1.1314101211361569E-3</v>
      </c>
      <c r="J381" s="15">
        <f t="shared" si="82"/>
        <v>-1.7733468184559951E-3</v>
      </c>
      <c r="K381" s="22"/>
      <c r="L381" s="13">
        <v>378</v>
      </c>
      <c r="M381" s="5">
        <v>44014</v>
      </c>
      <c r="N381" s="26">
        <f t="shared" si="79"/>
        <v>0.91475062053854594</v>
      </c>
      <c r="O381" s="26">
        <f t="shared" si="80"/>
        <v>0.67099771109640149</v>
      </c>
      <c r="P381" s="26">
        <f t="shared" si="81"/>
        <v>0.74563262958265308</v>
      </c>
      <c r="Q381" s="22"/>
      <c r="AD381" s="59">
        <v>377</v>
      </c>
      <c r="AE381" s="61">
        <f t="shared" ca="1" si="83"/>
        <v>-0.74595796105064727</v>
      </c>
      <c r="AF381" s="61">
        <f t="shared" ca="1" si="83"/>
        <v>-0.53371845457785838</v>
      </c>
      <c r="AG381" s="61">
        <f t="shared" ca="1" si="83"/>
        <v>-2.0839464067421645</v>
      </c>
      <c r="AH381" s="19"/>
      <c r="AI381" s="61">
        <f ca="1"/>
        <v>-1.6175564891728812E-2</v>
      </c>
      <c r="AJ381" s="61">
        <f ca="1"/>
        <v>-2.3276899807613667E-2</v>
      </c>
      <c r="AK381" s="61">
        <f ca="1"/>
        <v>-6.8171240837464508E-2</v>
      </c>
      <c r="AL381" s="19"/>
      <c r="AM381" s="61">
        <f t="shared" ca="1" si="87"/>
        <v>-1.5824348569218567E-2</v>
      </c>
      <c r="AN381" s="61">
        <f t="shared" ca="1" si="88"/>
        <v>-2.3027847210697137E-2</v>
      </c>
      <c r="AO381" s="61">
        <f t="shared" ca="1" si="89"/>
        <v>-6.7739572234209691E-2</v>
      </c>
      <c r="AP381" s="19"/>
      <c r="AQ381" s="62">
        <f t="shared" ca="1" si="84"/>
        <v>0.7792238143755954</v>
      </c>
      <c r="AR381" s="62">
        <f t="shared" ca="1" si="85"/>
        <v>0.91516041478041177</v>
      </c>
      <c r="AS381" s="62">
        <f t="shared" ca="1" si="86"/>
        <v>0.96710925871976294</v>
      </c>
      <c r="AT381" s="49"/>
    </row>
    <row r="382" spans="1:46" x14ac:dyDescent="0.3">
      <c r="A382" s="5">
        <v>44018</v>
      </c>
      <c r="B382" s="6">
        <v>52.41</v>
      </c>
      <c r="C382" s="6">
        <v>71.389999000000003</v>
      </c>
      <c r="D382" s="6">
        <v>56.470001000000003</v>
      </c>
      <c r="F382" s="13">
        <v>379</v>
      </c>
      <c r="G382" s="5">
        <v>44018</v>
      </c>
      <c r="H382" s="15">
        <f t="shared" si="82"/>
        <v>1.3252839575538137E-2</v>
      </c>
      <c r="I382" s="15">
        <f t="shared" si="82"/>
        <v>9.0052529834579245E-3</v>
      </c>
      <c r="J382" s="15">
        <f t="shared" si="82"/>
        <v>2.3047789450364349E-3</v>
      </c>
      <c r="K382" s="22"/>
      <c r="L382" s="13">
        <v>379</v>
      </c>
      <c r="M382" s="5">
        <v>44018</v>
      </c>
      <c r="N382" s="26">
        <f t="shared" si="79"/>
        <v>0.92695435219394495</v>
      </c>
      <c r="O382" s="26">
        <f t="shared" si="80"/>
        <v>0.67706750422861328</v>
      </c>
      <c r="P382" s="26">
        <f t="shared" si="81"/>
        <v>0.74735312989288338</v>
      </c>
      <c r="Q382" s="22"/>
      <c r="AD382" s="59">
        <v>378</v>
      </c>
      <c r="AE382" s="61">
        <f t="shared" ca="1" si="83"/>
        <v>-0.15789916575974219</v>
      </c>
      <c r="AF382" s="61">
        <f t="shared" ca="1" si="83"/>
        <v>-1.542148056453736</v>
      </c>
      <c r="AG382" s="61">
        <f t="shared" ca="1" si="83"/>
        <v>7.2989444456986102E-2</v>
      </c>
      <c r="AH382" s="19"/>
      <c r="AI382" s="61">
        <f ca="1"/>
        <v>-3.4239304832932018E-3</v>
      </c>
      <c r="AJ382" s="61">
        <f ca="1"/>
        <v>-3.5991648415185977E-2</v>
      </c>
      <c r="AK382" s="61">
        <f ca="1"/>
        <v>-1.1323577157271942E-2</v>
      </c>
      <c r="AL382" s="19"/>
      <c r="AM382" s="61">
        <f t="shared" ca="1" si="87"/>
        <v>-3.0727141607829575E-3</v>
      </c>
      <c r="AN382" s="61">
        <f t="shared" ca="1" si="88"/>
        <v>-3.5742595818269447E-2</v>
      </c>
      <c r="AO382" s="61">
        <f t="shared" ca="1" si="89"/>
        <v>-1.0891908554017123E-2</v>
      </c>
      <c r="AP382" s="19"/>
      <c r="AQ382" s="62">
        <f t="shared" ca="1" si="84"/>
        <v>0.77683315711092293</v>
      </c>
      <c r="AR382" s="62">
        <f t="shared" ca="1" si="85"/>
        <v>0.88302787691517493</v>
      </c>
      <c r="AS382" s="62">
        <f t="shared" ca="1" si="86"/>
        <v>0.95663275126463498</v>
      </c>
      <c r="AT382" s="49"/>
    </row>
    <row r="383" spans="1:46" x14ac:dyDescent="0.3">
      <c r="A383" s="5">
        <v>44019</v>
      </c>
      <c r="B383" s="6">
        <v>50.59</v>
      </c>
      <c r="C383" s="6">
        <v>68.900002000000001</v>
      </c>
      <c r="D383" s="6">
        <v>53.119999</v>
      </c>
      <c r="F383" s="13">
        <v>380</v>
      </c>
      <c r="G383" s="5">
        <v>44019</v>
      </c>
      <c r="H383" s="15">
        <f t="shared" si="82"/>
        <v>-3.5343484510229992E-2</v>
      </c>
      <c r="I383" s="15">
        <f t="shared" si="82"/>
        <v>-3.5501582459616335E-2</v>
      </c>
      <c r="J383" s="15">
        <f t="shared" si="82"/>
        <v>-6.1156055050386002E-2</v>
      </c>
      <c r="K383" s="22"/>
      <c r="L383" s="13">
        <v>380</v>
      </c>
      <c r="M383" s="5">
        <v>44019</v>
      </c>
      <c r="N383" s="26">
        <f t="shared" si="79"/>
        <v>0.89476475248028398</v>
      </c>
      <c r="O383" s="26">
        <f t="shared" si="80"/>
        <v>0.6534522068768549</v>
      </c>
      <c r="P383" s="26">
        <f t="shared" si="81"/>
        <v>0.70301747493429001</v>
      </c>
      <c r="Q383" s="22"/>
      <c r="AD383" s="59">
        <v>379</v>
      </c>
      <c r="AE383" s="61">
        <f t="shared" ca="1" si="83"/>
        <v>2.4267187175015583</v>
      </c>
      <c r="AF383" s="61">
        <f t="shared" ca="1" si="83"/>
        <v>0.76293572671564103</v>
      </c>
      <c r="AG383" s="61">
        <f t="shared" ca="1" si="83"/>
        <v>0.95746312674780221</v>
      </c>
      <c r="AH383" s="19"/>
      <c r="AI383" s="61">
        <f ca="1"/>
        <v>5.2621659850151041E-2</v>
      </c>
      <c r="AJ383" s="61">
        <f ca="1"/>
        <v>5.4567005790991593E-2</v>
      </c>
      <c r="AK383" s="61">
        <f ca="1"/>
        <v>6.575920136152541E-2</v>
      </c>
      <c r="AL383" s="19"/>
      <c r="AM383" s="61">
        <f t="shared" ca="1" si="87"/>
        <v>5.2972876172661283E-2</v>
      </c>
      <c r="AN383" s="61">
        <f t="shared" ca="1" si="88"/>
        <v>5.4816058387908123E-2</v>
      </c>
      <c r="AO383" s="61">
        <f t="shared" ca="1" si="89"/>
        <v>6.6190869964780227E-2</v>
      </c>
      <c r="AP383" s="19"/>
      <c r="AQ383" s="62">
        <f t="shared" ca="1" si="84"/>
        <v>0.81909369291221146</v>
      </c>
      <c r="AR383" s="62">
        <f t="shared" ca="1" si="85"/>
        <v>0.93278322242078893</v>
      </c>
      <c r="AS383" s="62">
        <f t="shared" ca="1" si="86"/>
        <v>1.02209573217632</v>
      </c>
      <c r="AT383" s="49"/>
    </row>
    <row r="384" spans="1:46" x14ac:dyDescent="0.3">
      <c r="A384" s="5">
        <v>44020</v>
      </c>
      <c r="B384" s="6">
        <v>50.529998999999997</v>
      </c>
      <c r="C384" s="6">
        <v>69.550003000000004</v>
      </c>
      <c r="D384" s="6">
        <v>52.98</v>
      </c>
      <c r="F384" s="13">
        <v>381</v>
      </c>
      <c r="G384" s="5">
        <v>44020</v>
      </c>
      <c r="H384" s="15">
        <f t="shared" si="82"/>
        <v>-1.1867287902514979E-3</v>
      </c>
      <c r="I384" s="15">
        <f t="shared" si="82"/>
        <v>9.3897544566980216E-3</v>
      </c>
      <c r="J384" s="15">
        <f t="shared" si="82"/>
        <v>-2.6390024989534832E-3</v>
      </c>
      <c r="K384" s="22"/>
      <c r="L384" s="13">
        <v>381</v>
      </c>
      <c r="M384" s="5">
        <v>44020</v>
      </c>
      <c r="N384" s="26">
        <f t="shared" si="79"/>
        <v>0.89370353919873469</v>
      </c>
      <c r="O384" s="26">
        <f t="shared" si="80"/>
        <v>0.65961685964307926</v>
      </c>
      <c r="P384" s="26">
        <f t="shared" si="81"/>
        <v>0.70116465593342125</v>
      </c>
      <c r="Q384" s="22"/>
      <c r="AD384" s="59">
        <v>380</v>
      </c>
      <c r="AE384" s="61">
        <f t="shared" ca="1" si="83"/>
        <v>0.22153544573796694</v>
      </c>
      <c r="AF384" s="61">
        <f t="shared" ca="1" si="83"/>
        <v>6.7445340919695229E-2</v>
      </c>
      <c r="AG384" s="61">
        <f t="shared" ca="1" si="83"/>
        <v>0.49783157185677052</v>
      </c>
      <c r="AH384" s="19"/>
      <c r="AI384" s="61">
        <f ca="1"/>
        <v>4.8038377032740727E-3</v>
      </c>
      <c r="AJ384" s="61">
        <f ca="1"/>
        <v>4.9335407755833156E-3</v>
      </c>
      <c r="AK384" s="61">
        <f ca="1"/>
        <v>1.650271086748795E-2</v>
      </c>
      <c r="AL384" s="19"/>
      <c r="AM384" s="61">
        <f t="shared" ca="1" si="87"/>
        <v>5.1550540257843166E-3</v>
      </c>
      <c r="AN384" s="61">
        <f t="shared" ca="1" si="88"/>
        <v>5.1825933724998462E-3</v>
      </c>
      <c r="AO384" s="61">
        <f t="shared" ca="1" si="89"/>
        <v>1.6934379470742767E-2</v>
      </c>
      <c r="AP384" s="19"/>
      <c r="AQ384" s="62">
        <f t="shared" ca="1" si="84"/>
        <v>0.82332706741347683</v>
      </c>
      <c r="AR384" s="62">
        <f t="shared" ca="1" si="85"/>
        <v>0.93763000717613965</v>
      </c>
      <c r="AS384" s="62">
        <f t="shared" ca="1" si="86"/>
        <v>1.0395516747824149</v>
      </c>
      <c r="AT384" s="49"/>
    </row>
    <row r="385" spans="1:46" x14ac:dyDescent="0.3">
      <c r="A385" s="5">
        <v>44021</v>
      </c>
      <c r="B385" s="6">
        <v>49.27</v>
      </c>
      <c r="C385" s="6">
        <v>67.470000999999996</v>
      </c>
      <c r="D385" s="6">
        <v>50.220001000000003</v>
      </c>
      <c r="F385" s="13">
        <v>382</v>
      </c>
      <c r="G385" s="5">
        <v>44021</v>
      </c>
      <c r="H385" s="15">
        <f t="shared" si="82"/>
        <v>-2.5251822957721541E-2</v>
      </c>
      <c r="I385" s="15">
        <f t="shared" si="82"/>
        <v>-3.0362892043150697E-2</v>
      </c>
      <c r="J385" s="15">
        <f t="shared" si="82"/>
        <v>-5.3501110202099314E-2</v>
      </c>
      <c r="K385" s="22"/>
      <c r="L385" s="13">
        <v>382</v>
      </c>
      <c r="M385" s="5">
        <v>44021</v>
      </c>
      <c r="N385" s="26">
        <f t="shared" si="79"/>
        <v>0.87141844939125501</v>
      </c>
      <c r="O385" s="26">
        <f t="shared" si="80"/>
        <v>0.63988998217204118</v>
      </c>
      <c r="P385" s="26">
        <f t="shared" si="81"/>
        <v>0.66463740509892555</v>
      </c>
      <c r="Q385" s="22"/>
      <c r="AD385" s="59">
        <v>381</v>
      </c>
      <c r="AE385" s="61">
        <f t="shared" ca="1" si="83"/>
        <v>1.9541444816585458</v>
      </c>
      <c r="AF385" s="61">
        <f t="shared" ca="1" si="83"/>
        <v>-0.32475068879704244</v>
      </c>
      <c r="AG385" s="61">
        <f t="shared" ca="1" si="83"/>
        <v>-0.21142691861633131</v>
      </c>
      <c r="AH385" s="19"/>
      <c r="AI385" s="61">
        <f ca="1"/>
        <v>4.2374225521182467E-2</v>
      </c>
      <c r="AJ385" s="61">
        <f ca="1"/>
        <v>2.3528143076095423E-2</v>
      </c>
      <c r="AK385" s="61">
        <f ca="1"/>
        <v>2.1169759666978115E-2</v>
      </c>
      <c r="AL385" s="19"/>
      <c r="AM385" s="61">
        <f t="shared" ca="1" si="87"/>
        <v>4.2725441843692709E-2</v>
      </c>
      <c r="AN385" s="61">
        <f t="shared" ca="1" si="88"/>
        <v>2.3777195673011953E-2</v>
      </c>
      <c r="AO385" s="61">
        <f t="shared" ca="1" si="89"/>
        <v>2.1601428270232932E-2</v>
      </c>
      <c r="AP385" s="19"/>
      <c r="AQ385" s="62">
        <f t="shared" ca="1" si="84"/>
        <v>0.85926637454792965</v>
      </c>
      <c r="AR385" s="62">
        <f t="shared" ca="1" si="85"/>
        <v>0.96019137948557876</v>
      </c>
      <c r="AS385" s="62">
        <f t="shared" ca="1" si="86"/>
        <v>1.0622517702710701</v>
      </c>
      <c r="AT385" s="49"/>
    </row>
    <row r="386" spans="1:46" x14ac:dyDescent="0.3">
      <c r="A386" s="5">
        <v>44022</v>
      </c>
      <c r="B386" s="6">
        <v>50.68</v>
      </c>
      <c r="C386" s="6">
        <v>68.980002999999996</v>
      </c>
      <c r="D386" s="6">
        <v>53.650002000000001</v>
      </c>
      <c r="F386" s="13">
        <v>383</v>
      </c>
      <c r="G386" s="5">
        <v>44022</v>
      </c>
      <c r="H386" s="15">
        <f t="shared" si="82"/>
        <v>2.8215978897066573E-2</v>
      </c>
      <c r="I386" s="15">
        <f t="shared" si="82"/>
        <v>2.213358153882472E-2</v>
      </c>
      <c r="J386" s="15">
        <f t="shared" si="82"/>
        <v>6.6068132713540492E-2</v>
      </c>
      <c r="K386" s="22"/>
      <c r="L386" s="13">
        <v>383</v>
      </c>
      <c r="M386" s="5">
        <v>44022</v>
      </c>
      <c r="N386" s="26">
        <f t="shared" si="79"/>
        <v>0.89635654587271762</v>
      </c>
      <c r="O386" s="26">
        <f t="shared" si="80"/>
        <v>0.65421094168795624</v>
      </c>
      <c r="P386" s="26">
        <f t="shared" si="81"/>
        <v>0.71003180810036559</v>
      </c>
      <c r="Q386" s="22"/>
      <c r="AD386" s="59">
        <v>382</v>
      </c>
      <c r="AE386" s="61">
        <f t="shared" ca="1" si="83"/>
        <v>1.1361600539816816</v>
      </c>
      <c r="AF386" s="61">
        <f t="shared" ca="1" si="83"/>
        <v>-1.2711231070687141</v>
      </c>
      <c r="AG386" s="61">
        <f t="shared" ca="1" si="83"/>
        <v>-1.0841438067499287</v>
      </c>
      <c r="AH386" s="19"/>
      <c r="AI386" s="61">
        <f ca="1"/>
        <v>2.4636818212498458E-2</v>
      </c>
      <c r="AJ386" s="61">
        <f ca="1"/>
        <v>-9.8455931487943203E-3</v>
      </c>
      <c r="AK386" s="61">
        <f ca="1"/>
        <v>-1.9940164962193769E-2</v>
      </c>
      <c r="AL386" s="19"/>
      <c r="AM386" s="61">
        <f t="shared" ca="1" si="87"/>
        <v>2.4988034535008703E-2</v>
      </c>
      <c r="AN386" s="61">
        <f t="shared" ca="1" si="88"/>
        <v>-9.5965405518777889E-3</v>
      </c>
      <c r="AO386" s="61">
        <f t="shared" ca="1" si="89"/>
        <v>-1.9508496358938952E-2</v>
      </c>
      <c r="AP386" s="19"/>
      <c r="AQ386" s="62">
        <f t="shared" ca="1" si="84"/>
        <v>0.88100826464558368</v>
      </c>
      <c r="AR386" s="62">
        <f t="shared" ca="1" si="85"/>
        <v>0.95102093661636133</v>
      </c>
      <c r="AS386" s="62">
        <f t="shared" ca="1" si="86"/>
        <v>1.041729664052597</v>
      </c>
      <c r="AT386" s="49"/>
    </row>
    <row r="387" spans="1:46" x14ac:dyDescent="0.3">
      <c r="A387" s="5">
        <v>44025</v>
      </c>
      <c r="B387" s="6">
        <v>51.549999</v>
      </c>
      <c r="C387" s="6">
        <v>69.680000000000007</v>
      </c>
      <c r="D387" s="6">
        <v>53.23</v>
      </c>
      <c r="F387" s="13">
        <v>384</v>
      </c>
      <c r="G387" s="5">
        <v>44025</v>
      </c>
      <c r="H387" s="15">
        <f t="shared" si="82"/>
        <v>1.7020835611388275E-2</v>
      </c>
      <c r="I387" s="15">
        <f t="shared" si="82"/>
        <v>1.0096681544686775E-2</v>
      </c>
      <c r="J387" s="15">
        <f t="shared" si="82"/>
        <v>-7.8593591706988177E-3</v>
      </c>
      <c r="K387" s="22"/>
      <c r="L387" s="13">
        <v>384</v>
      </c>
      <c r="M387" s="5">
        <v>44025</v>
      </c>
      <c r="N387" s="26">
        <f t="shared" si="79"/>
        <v>0.91174386431298438</v>
      </c>
      <c r="O387" s="26">
        <f t="shared" si="80"/>
        <v>0.66084975984731109</v>
      </c>
      <c r="P387" s="26">
        <f t="shared" si="81"/>
        <v>0.70447328492517958</v>
      </c>
      <c r="Q387" s="22"/>
      <c r="AD387" s="59">
        <v>383</v>
      </c>
      <c r="AE387" s="61">
        <f t="shared" ca="1" si="83"/>
        <v>1.0846725040133594</v>
      </c>
      <c r="AF387" s="61">
        <f t="shared" ca="1" si="83"/>
        <v>-0.71053258539010444</v>
      </c>
      <c r="AG387" s="61">
        <f t="shared" ca="1" si="83"/>
        <v>0.742307934445812</v>
      </c>
      <c r="AH387" s="19"/>
      <c r="AI387" s="61">
        <f ca="1"/>
        <v>2.3520347514262716E-2</v>
      </c>
      <c r="AJ387" s="61">
        <f ca="1"/>
        <v>1.5335117729947112E-3</v>
      </c>
      <c r="AK387" s="61">
        <f ca="1"/>
        <v>3.0040626703232889E-2</v>
      </c>
      <c r="AL387" s="19"/>
      <c r="AM387" s="61">
        <f t="shared" ca="1" si="87"/>
        <v>2.3871563836772962E-2</v>
      </c>
      <c r="AN387" s="61">
        <f t="shared" ca="1" si="88"/>
        <v>1.7825643699112418E-3</v>
      </c>
      <c r="AO387" s="61">
        <f t="shared" ca="1" si="89"/>
        <v>3.0472295306487707E-2</v>
      </c>
      <c r="AP387" s="19"/>
      <c r="AQ387" s="62">
        <f t="shared" ca="1" si="84"/>
        <v>0.90229234104933898</v>
      </c>
      <c r="AR387" s="62">
        <f t="shared" ca="1" si="85"/>
        <v>0.95271770450270732</v>
      </c>
      <c r="AS387" s="62">
        <f t="shared" ca="1" si="86"/>
        <v>1.0739621630041261</v>
      </c>
      <c r="AT387" s="49"/>
    </row>
    <row r="388" spans="1:46" x14ac:dyDescent="0.3">
      <c r="A388" s="5">
        <v>44026</v>
      </c>
      <c r="B388" s="6">
        <v>51.990001999999997</v>
      </c>
      <c r="C388" s="6">
        <v>69.959998999999996</v>
      </c>
      <c r="D388" s="6">
        <v>54.400002000000001</v>
      </c>
      <c r="F388" s="13">
        <v>385</v>
      </c>
      <c r="G388" s="5">
        <v>44026</v>
      </c>
      <c r="H388" s="15">
        <f t="shared" si="82"/>
        <v>8.4992398002333696E-3</v>
      </c>
      <c r="I388" s="15">
        <f t="shared" si="82"/>
        <v>4.0103033122714784E-3</v>
      </c>
      <c r="J388" s="15">
        <f t="shared" si="82"/>
        <v>2.1742043441936136E-2</v>
      </c>
      <c r="K388" s="22"/>
      <c r="L388" s="13">
        <v>385</v>
      </c>
      <c r="M388" s="5">
        <v>44026</v>
      </c>
      <c r="N388" s="26">
        <f t="shared" ref="N388:N451" si="90">B388/B$3</f>
        <v>0.91952601840244041</v>
      </c>
      <c r="O388" s="26">
        <f t="shared" ref="O388:O451" si="91">C388/C$3</f>
        <v>0.66350528900786621</v>
      </c>
      <c r="P388" s="26">
        <f t="shared" ref="P388:P451" si="92">D388/D$3</f>
        <v>0.71995769507564045</v>
      </c>
      <c r="Q388" s="22"/>
      <c r="AD388" s="59">
        <v>384</v>
      </c>
      <c r="AE388" s="61">
        <f t="shared" ca="1" si="83"/>
        <v>1.8142690202048319</v>
      </c>
      <c r="AF388" s="61">
        <f t="shared" ca="1" si="83"/>
        <v>1.732705749166594</v>
      </c>
      <c r="AG388" s="61">
        <f t="shared" ca="1" si="83"/>
        <v>0.24492175235616867</v>
      </c>
      <c r="AH388" s="19"/>
      <c r="AI388" s="61">
        <f ca="1"/>
        <v>3.9341126175586175E-2</v>
      </c>
      <c r="AJ388" s="61">
        <f ca="1"/>
        <v>6.6059674458983877E-2</v>
      </c>
      <c r="AK388" s="61">
        <f ca="1"/>
        <v>4.5284211877558669E-2</v>
      </c>
      <c r="AL388" s="19"/>
      <c r="AM388" s="61">
        <f t="shared" ca="1" si="87"/>
        <v>3.9692342498096417E-2</v>
      </c>
      <c r="AN388" s="61">
        <f t="shared" ca="1" si="88"/>
        <v>6.6308727055900407E-2</v>
      </c>
      <c r="AO388" s="61">
        <f t="shared" ca="1" si="89"/>
        <v>4.5715880480813487E-2</v>
      </c>
      <c r="AP388" s="19"/>
      <c r="AQ388" s="62">
        <f t="shared" ca="1" si="84"/>
        <v>0.9388267085195573</v>
      </c>
      <c r="AR388" s="62">
        <f t="shared" ca="1" si="85"/>
        <v>1.0180327516104852</v>
      </c>
      <c r="AS388" s="62">
        <f t="shared" ca="1" si="86"/>
        <v>1.1241988470025472</v>
      </c>
      <c r="AT388" s="49"/>
    </row>
    <row r="389" spans="1:46" x14ac:dyDescent="0.3">
      <c r="A389" s="5">
        <v>44027</v>
      </c>
      <c r="B389" s="6">
        <v>54.099997999999999</v>
      </c>
      <c r="C389" s="6">
        <v>74.190002000000007</v>
      </c>
      <c r="D389" s="6">
        <v>57.23</v>
      </c>
      <c r="F389" s="13">
        <v>386</v>
      </c>
      <c r="G389" s="5">
        <v>44027</v>
      </c>
      <c r="H389" s="15">
        <f t="shared" ref="H389:J452" si="93">LN(B389/B388)</f>
        <v>3.9782718019298502E-2</v>
      </c>
      <c r="I389" s="15">
        <f t="shared" si="93"/>
        <v>5.8705761302726367E-2</v>
      </c>
      <c r="J389" s="15">
        <f t="shared" si="93"/>
        <v>5.0714045794408628E-2</v>
      </c>
      <c r="K389" s="22"/>
      <c r="L389" s="13">
        <v>386</v>
      </c>
      <c r="M389" s="5">
        <v>44027</v>
      </c>
      <c r="N389" s="26">
        <f t="shared" si="90"/>
        <v>0.95684465941201524</v>
      </c>
      <c r="O389" s="26">
        <f t="shared" si="91"/>
        <v>0.70362291912703112</v>
      </c>
      <c r="P389" s="26">
        <f t="shared" si="92"/>
        <v>0.75741134879331262</v>
      </c>
      <c r="Q389" s="22"/>
      <c r="AD389" s="59">
        <v>385</v>
      </c>
      <c r="AE389" s="61">
        <f t="shared" ref="AE389:AG452" ca="1" si="94">_xlfn.NORM.S.INV(RAND())</f>
        <v>9.8804984516241465E-2</v>
      </c>
      <c r="AF389" s="61">
        <f t="shared" ca="1" si="94"/>
        <v>-0.72175516387640015</v>
      </c>
      <c r="AG389" s="61">
        <f t="shared" ca="1" si="94"/>
        <v>-7.0059347896708757E-2</v>
      </c>
      <c r="AH389" s="19"/>
      <c r="AI389" s="61">
        <f ca="1"/>
        <v>2.1425154259600587E-3</v>
      </c>
      <c r="AJ389" s="61">
        <f ca="1"/>
        <v>-1.4141553948116607E-2</v>
      </c>
      <c r="AK389" s="61">
        <f ca="1"/>
        <v>-5.4179521120515774E-3</v>
      </c>
      <c r="AL389" s="19"/>
      <c r="AM389" s="61">
        <f t="shared" ca="1" si="87"/>
        <v>2.493731748470303E-3</v>
      </c>
      <c r="AN389" s="61">
        <f t="shared" ca="1" si="88"/>
        <v>-1.3892501351200076E-2</v>
      </c>
      <c r="AO389" s="61">
        <f t="shared" ca="1" si="89"/>
        <v>-4.9862835087967593E-3</v>
      </c>
      <c r="AP389" s="19"/>
      <c r="AQ389" s="62">
        <f t="shared" ca="1" si="84"/>
        <v>0.94117081205683806</v>
      </c>
      <c r="AR389" s="62">
        <f t="shared" ca="1" si="85"/>
        <v>1.003987517843032</v>
      </c>
      <c r="AS389" s="62">
        <f t="shared" ca="1" si="86"/>
        <v>1.1186072251224946</v>
      </c>
      <c r="AT389" s="49"/>
    </row>
    <row r="390" spans="1:46" x14ac:dyDescent="0.3">
      <c r="A390" s="5">
        <v>44028</v>
      </c>
      <c r="B390" s="6">
        <v>54.669998</v>
      </c>
      <c r="C390" s="6">
        <v>74.599997999999999</v>
      </c>
      <c r="D390" s="6">
        <v>56.580002</v>
      </c>
      <c r="F390" s="13">
        <v>387</v>
      </c>
      <c r="G390" s="5">
        <v>44028</v>
      </c>
      <c r="H390" s="15">
        <f t="shared" si="93"/>
        <v>1.0480927439913577E-2</v>
      </c>
      <c r="I390" s="15">
        <f t="shared" si="93"/>
        <v>5.5110832408180573E-3</v>
      </c>
      <c r="J390" s="15">
        <f t="shared" si="93"/>
        <v>-1.1422635199410803E-2</v>
      </c>
      <c r="K390" s="22"/>
      <c r="L390" s="13">
        <v>387</v>
      </c>
      <c r="M390" s="5">
        <v>44028</v>
      </c>
      <c r="N390" s="26">
        <f t="shared" si="90"/>
        <v>0.96692601756409591</v>
      </c>
      <c r="O390" s="26">
        <f t="shared" si="91"/>
        <v>0.70751134849181807</v>
      </c>
      <c r="P390" s="26">
        <f t="shared" si="92"/>
        <v>0.74880893988377295</v>
      </c>
      <c r="Q390" s="22"/>
      <c r="AD390" s="59">
        <v>386</v>
      </c>
      <c r="AE390" s="61">
        <f t="shared" ca="1" si="94"/>
        <v>4.2294930232529299E-3</v>
      </c>
      <c r="AF390" s="61">
        <f t="shared" ca="1" si="94"/>
        <v>1.0566927954336827</v>
      </c>
      <c r="AG390" s="61">
        <f t="shared" ca="1" si="94"/>
        <v>-4.3245170779765064E-2</v>
      </c>
      <c r="AH390" s="19"/>
      <c r="AI390" s="61">
        <f ca="1"/>
        <v>9.1713531363595181E-5</v>
      </c>
      <c r="AJ390" s="61">
        <f ca="1"/>
        <v>2.3034494666292007E-2</v>
      </c>
      <c r="AK390" s="61">
        <f ca="1"/>
        <v>6.3962711986423346E-3</v>
      </c>
      <c r="AL390" s="19"/>
      <c r="AM390" s="61">
        <f t="shared" ca="1" si="87"/>
        <v>4.4292985387383937E-4</v>
      </c>
      <c r="AN390" s="61">
        <f t="shared" ca="1" si="88"/>
        <v>2.3283547263208536E-2</v>
      </c>
      <c r="AO390" s="61">
        <f t="shared" ca="1" si="89"/>
        <v>6.8279398018971527E-3</v>
      </c>
      <c r="AP390" s="19"/>
      <c r="AQ390" s="62">
        <f t="shared" ref="AQ390:AQ453" ca="1" si="95">AQ389*EXP(AM390)</f>
        <v>0.94158777704339602</v>
      </c>
      <c r="AR390" s="62">
        <f t="shared" ref="AR390:AR453" ca="1" si="96">AR389*EXP(AN390)</f>
        <v>1.0276381758174986</v>
      </c>
      <c r="AS390" s="62">
        <f t="shared" ref="AS390:AS453" ca="1" si="97">AS389*EXP(AO390)</f>
        <v>1.1262711425261549</v>
      </c>
      <c r="AT390" s="49"/>
    </row>
    <row r="391" spans="1:46" x14ac:dyDescent="0.3">
      <c r="A391" s="5">
        <v>44029</v>
      </c>
      <c r="B391" s="6">
        <v>54.16</v>
      </c>
      <c r="C391" s="6">
        <v>73.309997999999993</v>
      </c>
      <c r="D391" s="6">
        <v>55.470001000000003</v>
      </c>
      <c r="F391" s="13">
        <v>388</v>
      </c>
      <c r="G391" s="5">
        <v>44029</v>
      </c>
      <c r="H391" s="15">
        <f t="shared" si="93"/>
        <v>-9.3724477197526159E-3</v>
      </c>
      <c r="I391" s="15">
        <f t="shared" si="93"/>
        <v>-1.7443482445976318E-2</v>
      </c>
      <c r="J391" s="15">
        <f t="shared" si="93"/>
        <v>-1.9813249126694295E-2</v>
      </c>
      <c r="K391" s="22"/>
      <c r="L391" s="13">
        <v>388</v>
      </c>
      <c r="M391" s="5">
        <v>44029</v>
      </c>
      <c r="N391" s="26">
        <f t="shared" si="90"/>
        <v>0.95790589038015761</v>
      </c>
      <c r="O391" s="26">
        <f t="shared" si="91"/>
        <v>0.69527690259338182</v>
      </c>
      <c r="P391" s="26">
        <f t="shared" si="92"/>
        <v>0.73411861392585009</v>
      </c>
      <c r="Q391" s="22"/>
      <c r="AD391" s="59">
        <v>387</v>
      </c>
      <c r="AE391" s="61">
        <f t="shared" ca="1" si="94"/>
        <v>-0.71500147569822436</v>
      </c>
      <c r="AF391" s="61">
        <f t="shared" ca="1" si="94"/>
        <v>0.65437081690847232</v>
      </c>
      <c r="AG391" s="61">
        <f t="shared" ca="1" si="94"/>
        <v>-0.23556726021268251</v>
      </c>
      <c r="AH391" s="19"/>
      <c r="AI391" s="61">
        <f ca="1"/>
        <v>-1.5504295646297472E-2</v>
      </c>
      <c r="AJ391" s="61">
        <f ca="1"/>
        <v>3.0319708918106238E-3</v>
      </c>
      <c r="AK391" s="61">
        <f ca="1"/>
        <v>-1.1991379117765034E-2</v>
      </c>
      <c r="AL391" s="19"/>
      <c r="AM391" s="61">
        <f t="shared" ref="AM391:AM454" ca="1" si="98">AI391+T$3</f>
        <v>-1.5153079323787228E-2</v>
      </c>
      <c r="AN391" s="61">
        <f t="shared" ref="AN391:AN454" ca="1" si="99">AJ391+U$3</f>
        <v>3.2810234887271543E-3</v>
      </c>
      <c r="AO391" s="61">
        <f t="shared" ref="AO391:AO454" ca="1" si="100">AK391+V$3</f>
        <v>-1.1559710514510215E-2</v>
      </c>
      <c r="AP391" s="19"/>
      <c r="AQ391" s="62">
        <f t="shared" ca="1" si="95"/>
        <v>0.92742738052659623</v>
      </c>
      <c r="AR391" s="62">
        <f t="shared" ca="1" si="96"/>
        <v>1.0310154181863385</v>
      </c>
      <c r="AS391" s="62">
        <f t="shared" ca="1" si="97"/>
        <v>1.1133267351021141</v>
      </c>
      <c r="AT391" s="49"/>
    </row>
    <row r="392" spans="1:46" x14ac:dyDescent="0.3">
      <c r="A392" s="5">
        <v>44032</v>
      </c>
      <c r="B392" s="6">
        <v>53.080002</v>
      </c>
      <c r="C392" s="6">
        <v>71.300003000000004</v>
      </c>
      <c r="D392" s="6">
        <v>54.330002</v>
      </c>
      <c r="F392" s="13">
        <v>389</v>
      </c>
      <c r="G392" s="5">
        <v>44032</v>
      </c>
      <c r="H392" s="15">
        <f t="shared" si="93"/>
        <v>-2.0142381461038333E-2</v>
      </c>
      <c r="I392" s="15">
        <f t="shared" si="93"/>
        <v>-2.7800628458101224E-2</v>
      </c>
      <c r="J392" s="15">
        <f t="shared" si="93"/>
        <v>-2.0765754719400412E-2</v>
      </c>
      <c r="K392" s="22"/>
      <c r="L392" s="13">
        <v>389</v>
      </c>
      <c r="M392" s="5">
        <v>44032</v>
      </c>
      <c r="N392" s="26">
        <f t="shared" si="90"/>
        <v>0.93880440504413865</v>
      </c>
      <c r="O392" s="26">
        <f t="shared" si="91"/>
        <v>0.67621397617196555</v>
      </c>
      <c r="P392" s="26">
        <f t="shared" si="92"/>
        <v>0.71903127895794816</v>
      </c>
      <c r="Q392" s="22"/>
      <c r="AD392" s="59">
        <v>388</v>
      </c>
      <c r="AE392" s="61">
        <f t="shared" ca="1" si="94"/>
        <v>0.16418612284293541</v>
      </c>
      <c r="AF392" s="61">
        <f t="shared" ca="1" si="94"/>
        <v>-0.50911764234403756</v>
      </c>
      <c r="AG392" s="61">
        <f t="shared" ca="1" si="94"/>
        <v>-1.2089920525623192</v>
      </c>
      <c r="AH392" s="19"/>
      <c r="AI392" s="61">
        <f ca="1"/>
        <v>3.5602586513410004E-3</v>
      </c>
      <c r="AJ392" s="61">
        <f ca="1"/>
        <v>-8.4962933645185233E-3</v>
      </c>
      <c r="AK392" s="61">
        <f ca="1"/>
        <v>-3.2133823476215122E-2</v>
      </c>
      <c r="AL392" s="19"/>
      <c r="AM392" s="61">
        <f t="shared" ca="1" si="98"/>
        <v>3.9114749738512443E-3</v>
      </c>
      <c r="AN392" s="61">
        <f t="shared" ca="1" si="99"/>
        <v>-8.2472407676019918E-3</v>
      </c>
      <c r="AO392" s="61">
        <f t="shared" ca="1" si="100"/>
        <v>-3.1702154872960304E-2</v>
      </c>
      <c r="AP392" s="19"/>
      <c r="AQ392" s="62">
        <f t="shared" ca="1" si="95"/>
        <v>0.93106209342571367</v>
      </c>
      <c r="AR392" s="62">
        <f t="shared" ca="1" si="96"/>
        <v>1.0225473528817786</v>
      </c>
      <c r="AS392" s="62">
        <f t="shared" ca="1" si="97"/>
        <v>1.0785854745419921</v>
      </c>
      <c r="AT392" s="49"/>
    </row>
    <row r="393" spans="1:46" x14ac:dyDescent="0.3">
      <c r="A393" s="5">
        <v>44033</v>
      </c>
      <c r="B393" s="6">
        <v>53.599997999999999</v>
      </c>
      <c r="C393" s="6">
        <v>71.559997999999993</v>
      </c>
      <c r="D393" s="6">
        <v>57.580002</v>
      </c>
      <c r="F393" s="13">
        <v>390</v>
      </c>
      <c r="G393" s="5">
        <v>44033</v>
      </c>
      <c r="H393" s="15">
        <f t="shared" si="93"/>
        <v>9.7487836203416379E-3</v>
      </c>
      <c r="I393" s="15">
        <f t="shared" si="93"/>
        <v>3.6398611959575699E-3</v>
      </c>
      <c r="J393" s="15">
        <f t="shared" si="93"/>
        <v>5.8098722542806513E-2</v>
      </c>
      <c r="K393" s="22"/>
      <c r="L393" s="13">
        <v>390</v>
      </c>
      <c r="M393" s="5">
        <v>44033</v>
      </c>
      <c r="N393" s="26">
        <f t="shared" si="90"/>
        <v>0.94800136278738312</v>
      </c>
      <c r="O393" s="26">
        <f t="shared" si="91"/>
        <v>0.67867978606449564</v>
      </c>
      <c r="P393" s="26">
        <f t="shared" si="92"/>
        <v>0.76204345585080624</v>
      </c>
      <c r="Q393" s="22"/>
      <c r="AD393" s="59">
        <v>389</v>
      </c>
      <c r="AE393" s="61">
        <f t="shared" ca="1" si="94"/>
        <v>-0.19613150142597932</v>
      </c>
      <c r="AF393" s="61">
        <f t="shared" ca="1" si="94"/>
        <v>-1.0915727172893508</v>
      </c>
      <c r="AG393" s="61">
        <f t="shared" ca="1" si="94"/>
        <v>-0.48546628002300213</v>
      </c>
      <c r="AH393" s="19"/>
      <c r="AI393" s="61">
        <f ca="1"/>
        <v>-4.2529713392424392E-3</v>
      </c>
      <c r="AJ393" s="61">
        <f ca="1"/>
        <v>-2.6796360344708815E-2</v>
      </c>
      <c r="AK393" s="61">
        <f ca="1"/>
        <v>-2.3022932277136355E-2</v>
      </c>
      <c r="AL393" s="19"/>
      <c r="AM393" s="61">
        <f t="shared" ca="1" si="98"/>
        <v>-3.9017550167321949E-3</v>
      </c>
      <c r="AN393" s="61">
        <f t="shared" ca="1" si="99"/>
        <v>-2.6547307747792286E-2</v>
      </c>
      <c r="AO393" s="61">
        <f t="shared" ca="1" si="100"/>
        <v>-2.2591263673881538E-2</v>
      </c>
      <c r="AP393" s="19"/>
      <c r="AQ393" s="62">
        <f t="shared" ca="1" si="95"/>
        <v>0.9274363951247766</v>
      </c>
      <c r="AR393" s="62">
        <f t="shared" ca="1" si="96"/>
        <v>0.99575863112065865</v>
      </c>
      <c r="AS393" s="62">
        <f t="shared" ca="1" si="97"/>
        <v>1.0544920409428629</v>
      </c>
      <c r="AT393" s="49"/>
    </row>
    <row r="394" spans="1:46" x14ac:dyDescent="0.3">
      <c r="A394" s="5">
        <v>44034</v>
      </c>
      <c r="B394" s="6">
        <v>53.549999</v>
      </c>
      <c r="C394" s="6">
        <v>71.360000999999997</v>
      </c>
      <c r="D394" s="6">
        <v>57.07</v>
      </c>
      <c r="F394" s="13">
        <v>391</v>
      </c>
      <c r="G394" s="5">
        <v>44034</v>
      </c>
      <c r="H394" s="15">
        <f t="shared" si="93"/>
        <v>-9.3325254370152345E-4</v>
      </c>
      <c r="I394" s="15">
        <f t="shared" si="93"/>
        <v>-2.7987284067366378E-3</v>
      </c>
      <c r="J394" s="15">
        <f t="shared" si="93"/>
        <v>-8.8967353696951974E-3</v>
      </c>
      <c r="K394" s="22"/>
      <c r="L394" s="13">
        <v>391</v>
      </c>
      <c r="M394" s="5">
        <v>44034</v>
      </c>
      <c r="N394" s="26">
        <f t="shared" si="90"/>
        <v>0.94711705081151309</v>
      </c>
      <c r="O394" s="26">
        <f t="shared" si="91"/>
        <v>0.67678300119910839</v>
      </c>
      <c r="P394" s="26">
        <f t="shared" si="92"/>
        <v>0.75529382623858732</v>
      </c>
      <c r="Q394" s="22"/>
      <c r="AD394" s="59">
        <v>390</v>
      </c>
      <c r="AE394" s="61">
        <f t="shared" ca="1" si="94"/>
        <v>0.29219445014035633</v>
      </c>
      <c r="AF394" s="61">
        <f t="shared" ca="1" si="94"/>
        <v>1.4225381620166753</v>
      </c>
      <c r="AG394" s="61">
        <f t="shared" ca="1" si="94"/>
        <v>-0.76901630333243032</v>
      </c>
      <c r="AH394" s="19"/>
      <c r="AI394" s="61">
        <f ca="1"/>
        <v>6.3360276798861736E-3</v>
      </c>
      <c r="AJ394" s="61">
        <f ca="1"/>
        <v>3.549384081501384E-2</v>
      </c>
      <c r="AK394" s="61">
        <f ca="1"/>
        <v>-5.3666615432470116E-3</v>
      </c>
      <c r="AL394" s="19"/>
      <c r="AM394" s="61">
        <f t="shared" ca="1" si="98"/>
        <v>6.6872440023964174E-3</v>
      </c>
      <c r="AN394" s="61">
        <f t="shared" ca="1" si="99"/>
        <v>3.574289341193037E-2</v>
      </c>
      <c r="AO394" s="61">
        <f t="shared" ca="1" si="100"/>
        <v>-4.9349929399921935E-3</v>
      </c>
      <c r="AP394" s="19"/>
      <c r="AQ394" s="62">
        <f t="shared" ca="1" si="95"/>
        <v>0.93365917201961313</v>
      </c>
      <c r="AR394" s="62">
        <f t="shared" ca="1" si="96"/>
        <v>1.0319936401690237</v>
      </c>
      <c r="AS394" s="62">
        <f t="shared" ca="1" si="97"/>
        <v>1.0493009497002312</v>
      </c>
      <c r="AT394" s="49"/>
    </row>
    <row r="395" spans="1:46" x14ac:dyDescent="0.3">
      <c r="A395" s="5">
        <v>44035</v>
      </c>
      <c r="B395" s="6">
        <v>53.849997999999999</v>
      </c>
      <c r="C395" s="6">
        <v>71.650002000000001</v>
      </c>
      <c r="D395" s="6">
        <v>57.669998</v>
      </c>
      <c r="F395" s="13">
        <v>392</v>
      </c>
      <c r="G395" s="5">
        <v>44035</v>
      </c>
      <c r="H395" s="15">
        <f t="shared" si="93"/>
        <v>5.5865882425712695E-3</v>
      </c>
      <c r="I395" s="15">
        <f t="shared" si="93"/>
        <v>4.0556799024420035E-3</v>
      </c>
      <c r="J395" s="15">
        <f t="shared" si="93"/>
        <v>1.0458488398627707E-2</v>
      </c>
      <c r="K395" s="22"/>
      <c r="L395" s="13">
        <v>392</v>
      </c>
      <c r="M395" s="5">
        <v>44035</v>
      </c>
      <c r="N395" s="26">
        <f t="shared" si="90"/>
        <v>0.95242301109969918</v>
      </c>
      <c r="O395" s="26">
        <f t="shared" si="91"/>
        <v>0.67953338999367618</v>
      </c>
      <c r="P395" s="26">
        <f t="shared" si="92"/>
        <v>0.76323450934977533</v>
      </c>
      <c r="Q395" s="22"/>
      <c r="AD395" s="59">
        <v>391</v>
      </c>
      <c r="AE395" s="61">
        <f t="shared" ca="1" si="94"/>
        <v>-0.61692581108873601</v>
      </c>
      <c r="AF395" s="61">
        <f t="shared" ca="1" si="94"/>
        <v>0.22830722876008233</v>
      </c>
      <c r="AG395" s="61">
        <f t="shared" ca="1" si="94"/>
        <v>-0.40050698349218844</v>
      </c>
      <c r="AH395" s="19"/>
      <c r="AI395" s="61">
        <f ca="1"/>
        <v>-1.3377595000920891E-2</v>
      </c>
      <c r="AJ395" s="61">
        <f ca="1"/>
        <v>-4.6938413201226001E-3</v>
      </c>
      <c r="AK395" s="61">
        <f ca="1"/>
        <v>-1.7768541992221526E-2</v>
      </c>
      <c r="AL395" s="19"/>
      <c r="AM395" s="61">
        <f t="shared" ca="1" si="98"/>
        <v>-1.3026378678410647E-2</v>
      </c>
      <c r="AN395" s="61">
        <f t="shared" ca="1" si="99"/>
        <v>-4.4447887232060695E-3</v>
      </c>
      <c r="AO395" s="61">
        <f t="shared" ca="1" si="100"/>
        <v>-1.7336873388966709E-2</v>
      </c>
      <c r="AP395" s="19"/>
      <c r="AQ395" s="62">
        <f t="shared" ca="1" si="95"/>
        <v>0.9215758459432315</v>
      </c>
      <c r="AR395" s="62">
        <f t="shared" ca="1" si="96"/>
        <v>1.0274168254969176</v>
      </c>
      <c r="AS395" s="62">
        <f t="shared" ca="1" si="97"/>
        <v>1.031266137338074</v>
      </c>
      <c r="AT395" s="49"/>
    </row>
    <row r="396" spans="1:46" x14ac:dyDescent="0.3">
      <c r="A396" s="5">
        <v>44036</v>
      </c>
      <c r="B396" s="6">
        <v>52.73</v>
      </c>
      <c r="C396" s="6">
        <v>71.449996999999996</v>
      </c>
      <c r="D396" s="6">
        <v>57.98</v>
      </c>
      <c r="F396" s="13">
        <v>393</v>
      </c>
      <c r="G396" s="5">
        <v>44036</v>
      </c>
      <c r="H396" s="15">
        <f t="shared" si="93"/>
        <v>-2.1017812919814222E-2</v>
      </c>
      <c r="I396" s="15">
        <f t="shared" si="93"/>
        <v>-2.7953197991770302E-3</v>
      </c>
      <c r="J396" s="15">
        <f t="shared" si="93"/>
        <v>5.3610505462650601E-3</v>
      </c>
      <c r="K396" s="22"/>
      <c r="L396" s="13">
        <v>393</v>
      </c>
      <c r="M396" s="5">
        <v>44036</v>
      </c>
      <c r="N396" s="26">
        <f t="shared" si="90"/>
        <v>0.93261406203370956</v>
      </c>
      <c r="O396" s="26">
        <f t="shared" si="91"/>
        <v>0.67763652925575624</v>
      </c>
      <c r="P396" s="26">
        <f t="shared" si="92"/>
        <v>0.76733723576858748</v>
      </c>
      <c r="Q396" s="22"/>
      <c r="AD396" s="59">
        <v>392</v>
      </c>
      <c r="AE396" s="61">
        <f t="shared" ca="1" si="94"/>
        <v>0.22059391726251751</v>
      </c>
      <c r="AF396" s="61">
        <f t="shared" ca="1" si="94"/>
        <v>1.5243121462080067</v>
      </c>
      <c r="AG396" s="61">
        <f t="shared" ca="1" si="94"/>
        <v>-0.60629631562262432</v>
      </c>
      <c r="AH396" s="19"/>
      <c r="AI396" s="61">
        <f ca="1"/>
        <v>4.7834213316455794E-3</v>
      </c>
      <c r="AJ396" s="61">
        <f ca="1"/>
        <v>3.6585286192156494E-2</v>
      </c>
      <c r="AK396" s="61">
        <f ca="1"/>
        <v>-1.5389804513819341E-3</v>
      </c>
      <c r="AL396" s="19"/>
      <c r="AM396" s="61">
        <f t="shared" ca="1" si="98"/>
        <v>5.1346376541558233E-3</v>
      </c>
      <c r="AN396" s="61">
        <f t="shared" ca="1" si="99"/>
        <v>3.6834338789073023E-2</v>
      </c>
      <c r="AO396" s="61">
        <f t="shared" ca="1" si="100"/>
        <v>-1.107311848127116E-3</v>
      </c>
      <c r="AP396" s="19"/>
      <c r="AQ396" s="62">
        <f t="shared" ca="1" si="95"/>
        <v>0.92631997324727555</v>
      </c>
      <c r="AR396" s="62">
        <f t="shared" ca="1" si="96"/>
        <v>1.065966665353447</v>
      </c>
      <c r="AS396" s="62">
        <f t="shared" ca="1" si="97"/>
        <v>1.0301248361304183</v>
      </c>
      <c r="AT396" s="49"/>
    </row>
    <row r="397" spans="1:46" x14ac:dyDescent="0.3">
      <c r="A397" s="5">
        <v>44039</v>
      </c>
      <c r="B397" s="6">
        <v>52.32</v>
      </c>
      <c r="C397" s="6">
        <v>71.610000999999997</v>
      </c>
      <c r="D397" s="6">
        <v>58.029998999999997</v>
      </c>
      <c r="F397" s="13">
        <v>394</v>
      </c>
      <c r="G397" s="5">
        <v>44039</v>
      </c>
      <c r="H397" s="15">
        <f t="shared" si="93"/>
        <v>-7.8058463934350718E-3</v>
      </c>
      <c r="I397" s="15">
        <f t="shared" si="93"/>
        <v>2.2368805949066154E-3</v>
      </c>
      <c r="J397" s="15">
        <f t="shared" si="93"/>
        <v>8.6197747654134164E-4</v>
      </c>
      <c r="K397" s="22"/>
      <c r="L397" s="13">
        <v>394</v>
      </c>
      <c r="M397" s="5">
        <v>44039</v>
      </c>
      <c r="N397" s="26">
        <f t="shared" si="90"/>
        <v>0.92536255880151119</v>
      </c>
      <c r="O397" s="26">
        <f t="shared" si="91"/>
        <v>0.6791540178460922</v>
      </c>
      <c r="P397" s="26">
        <f t="shared" si="92"/>
        <v>0.76799894833242321</v>
      </c>
      <c r="Q397" s="22"/>
      <c r="AD397" s="59">
        <v>393</v>
      </c>
      <c r="AE397" s="61">
        <f t="shared" ca="1" si="94"/>
        <v>1.0165189660345422</v>
      </c>
      <c r="AF397" s="61">
        <f t="shared" ca="1" si="94"/>
        <v>1.2164825878809438</v>
      </c>
      <c r="AG397" s="61">
        <f t="shared" ca="1" si="94"/>
        <v>-1.0145762227745496</v>
      </c>
      <c r="AH397" s="19"/>
      <c r="AI397" s="61">
        <f ca="1"/>
        <v>2.2042486785188182E-2</v>
      </c>
      <c r="AJ397" s="61">
        <f ca="1"/>
        <v>4.2352385311515459E-2</v>
      </c>
      <c r="AK397" s="61">
        <f ca="1"/>
        <v>-2.4067436917485641E-3</v>
      </c>
      <c r="AL397" s="19"/>
      <c r="AM397" s="61">
        <f t="shared" ca="1" si="98"/>
        <v>2.2393703107698427E-2</v>
      </c>
      <c r="AN397" s="61">
        <f t="shared" ca="1" si="99"/>
        <v>4.2601437908431988E-2</v>
      </c>
      <c r="AO397" s="61">
        <f t="shared" ca="1" si="100"/>
        <v>-1.9750750884937459E-3</v>
      </c>
      <c r="AP397" s="19"/>
      <c r="AQ397" s="62">
        <f t="shared" ca="1" si="95"/>
        <v>0.94729771573049737</v>
      </c>
      <c r="AR397" s="62">
        <f t="shared" ca="1" si="96"/>
        <v>1.1123595638937782</v>
      </c>
      <c r="AS397" s="62">
        <f t="shared" ca="1" si="97"/>
        <v>1.0280922701245203</v>
      </c>
      <c r="AT397" s="49"/>
    </row>
    <row r="398" spans="1:46" x14ac:dyDescent="0.3">
      <c r="A398" s="5">
        <v>44040</v>
      </c>
      <c r="B398" s="6">
        <v>51.139999000000003</v>
      </c>
      <c r="C398" s="6">
        <v>71.400002000000001</v>
      </c>
      <c r="D398" s="6">
        <v>56.889999000000003</v>
      </c>
      <c r="F398" s="13">
        <v>395</v>
      </c>
      <c r="G398" s="5">
        <v>44040</v>
      </c>
      <c r="H398" s="15">
        <f t="shared" si="93"/>
        <v>-2.2811756840067907E-2</v>
      </c>
      <c r="I398" s="15">
        <f t="shared" si="93"/>
        <v>-2.9368456266355559E-3</v>
      </c>
      <c r="J398" s="15">
        <f t="shared" si="93"/>
        <v>-1.9840539785276456E-2</v>
      </c>
      <c r="K398" s="22"/>
      <c r="L398" s="13">
        <v>395</v>
      </c>
      <c r="M398" s="5">
        <v>44040</v>
      </c>
      <c r="N398" s="26">
        <f t="shared" si="90"/>
        <v>0.90449236108078612</v>
      </c>
      <c r="O398" s="26">
        <f t="shared" si="91"/>
        <v>0.67716237334669238</v>
      </c>
      <c r="P398" s="26">
        <f t="shared" si="92"/>
        <v>0.75291160013000535</v>
      </c>
      <c r="Q398" s="22"/>
      <c r="AD398" s="59">
        <v>394</v>
      </c>
      <c r="AE398" s="61">
        <f t="shared" ca="1" si="94"/>
        <v>-1.1127914263813004</v>
      </c>
      <c r="AF398" s="61">
        <f t="shared" ca="1" si="94"/>
        <v>0.27647389571340142</v>
      </c>
      <c r="AG398" s="61">
        <f t="shared" ca="1" si="94"/>
        <v>1.2265839790613637</v>
      </c>
      <c r="AH398" s="19"/>
      <c r="AI398" s="61">
        <f ca="1"/>
        <v>-2.413008623574173E-2</v>
      </c>
      <c r="AJ398" s="61">
        <f ca="1"/>
        <v>-1.1408345971343064E-2</v>
      </c>
      <c r="AK398" s="61">
        <f ca="1"/>
        <v>1.6929982053870904E-2</v>
      </c>
      <c r="AL398" s="19"/>
      <c r="AM398" s="61">
        <f t="shared" ca="1" si="98"/>
        <v>-2.3778869913231485E-2</v>
      </c>
      <c r="AN398" s="61">
        <f t="shared" ca="1" si="99"/>
        <v>-1.1159293374426532E-2</v>
      </c>
      <c r="AO398" s="61">
        <f t="shared" ca="1" si="100"/>
        <v>1.7361650657125721E-2</v>
      </c>
      <c r="AP398" s="19"/>
      <c r="AQ398" s="62">
        <f t="shared" ca="1" si="95"/>
        <v>0.9250377538179414</v>
      </c>
      <c r="AR398" s="62">
        <f t="shared" ca="1" si="96"/>
        <v>1.1000154212380124</v>
      </c>
      <c r="AS398" s="62">
        <f t="shared" ca="1" si="97"/>
        <v>1.0460974969211465</v>
      </c>
      <c r="AT398" s="49"/>
    </row>
    <row r="399" spans="1:46" x14ac:dyDescent="0.3">
      <c r="A399" s="5">
        <v>44041</v>
      </c>
      <c r="B399" s="6">
        <v>51.950001</v>
      </c>
      <c r="C399" s="6">
        <v>72.730002999999996</v>
      </c>
      <c r="D399" s="6">
        <v>59.689999</v>
      </c>
      <c r="F399" s="13">
        <v>396</v>
      </c>
      <c r="G399" s="5">
        <v>44041</v>
      </c>
      <c r="H399" s="15">
        <f t="shared" si="93"/>
        <v>1.5714786485639051E-2</v>
      </c>
      <c r="I399" s="15">
        <f t="shared" si="93"/>
        <v>1.8456098058158784E-2</v>
      </c>
      <c r="J399" s="15">
        <f t="shared" si="93"/>
        <v>4.8044924242559184E-2</v>
      </c>
      <c r="K399" s="22"/>
      <c r="L399" s="13">
        <v>396</v>
      </c>
      <c r="M399" s="5">
        <v>44041</v>
      </c>
      <c r="N399" s="26">
        <f t="shared" si="90"/>
        <v>0.91881853698587668</v>
      </c>
      <c r="O399" s="26">
        <f t="shared" si="91"/>
        <v>0.68977619139271251</v>
      </c>
      <c r="P399" s="26">
        <f t="shared" si="92"/>
        <v>0.78996824483769845</v>
      </c>
      <c r="Q399" s="22"/>
      <c r="AD399" s="59">
        <v>395</v>
      </c>
      <c r="AE399" s="61">
        <f t="shared" ca="1" si="94"/>
        <v>-1.6645577389121244</v>
      </c>
      <c r="AF399" s="61">
        <f t="shared" ca="1" si="94"/>
        <v>4.2228128462423881E-2</v>
      </c>
      <c r="AG399" s="61">
        <f t="shared" ca="1" si="94"/>
        <v>-0.20076231543254544</v>
      </c>
      <c r="AH399" s="19"/>
      <c r="AI399" s="61">
        <f ca="1"/>
        <v>-3.6094744111155555E-2</v>
      </c>
      <c r="AJ399" s="61">
        <f ca="1"/>
        <v>-2.5136348869363889E-2</v>
      </c>
      <c r="AK399" s="61">
        <f ca="1"/>
        <v>-2.9440881109152967E-2</v>
      </c>
      <c r="AL399" s="19"/>
      <c r="AM399" s="61">
        <f t="shared" ca="1" si="98"/>
        <v>-3.5743527788645313E-2</v>
      </c>
      <c r="AN399" s="61">
        <f t="shared" ca="1" si="99"/>
        <v>-2.488729627244736E-2</v>
      </c>
      <c r="AO399" s="61">
        <f t="shared" ca="1" si="100"/>
        <v>-2.9009212505898149E-2</v>
      </c>
      <c r="AP399" s="19"/>
      <c r="AQ399" s="62">
        <f t="shared" ca="1" si="95"/>
        <v>0.89255757718867634</v>
      </c>
      <c r="AR399" s="62">
        <f t="shared" ca="1" si="96"/>
        <v>1.072976865395473</v>
      </c>
      <c r="AS399" s="62">
        <f t="shared" ca="1" si="97"/>
        <v>1.0161869702749258</v>
      </c>
      <c r="AT399" s="49"/>
    </row>
    <row r="400" spans="1:46" x14ac:dyDescent="0.3">
      <c r="A400" s="5">
        <v>44042</v>
      </c>
      <c r="B400" s="6">
        <v>50.93</v>
      </c>
      <c r="C400" s="6">
        <v>71.080001999999993</v>
      </c>
      <c r="D400" s="6">
        <v>56.330002</v>
      </c>
      <c r="F400" s="13">
        <v>397</v>
      </c>
      <c r="G400" s="5">
        <v>44042</v>
      </c>
      <c r="H400" s="15">
        <f t="shared" si="93"/>
        <v>-1.9829595898001109E-2</v>
      </c>
      <c r="I400" s="15">
        <f t="shared" si="93"/>
        <v>-2.2947963991141396E-2</v>
      </c>
      <c r="J400" s="15">
        <f t="shared" si="93"/>
        <v>-5.7937197015651934E-2</v>
      </c>
      <c r="K400" s="22"/>
      <c r="L400" s="13">
        <v>397</v>
      </c>
      <c r="M400" s="5">
        <v>44042</v>
      </c>
      <c r="N400" s="26">
        <f t="shared" si="90"/>
        <v>0.9007781941850338</v>
      </c>
      <c r="O400" s="26">
        <f t="shared" si="91"/>
        <v>0.67412747203855317</v>
      </c>
      <c r="P400" s="26">
        <f t="shared" si="92"/>
        <v>0.74550031089201463</v>
      </c>
      <c r="Q400" s="22"/>
      <c r="AD400" s="59">
        <v>396</v>
      </c>
      <c r="AE400" s="61">
        <f t="shared" ca="1" si="94"/>
        <v>-0.97721936943624221</v>
      </c>
      <c r="AF400" s="61">
        <f t="shared" ca="1" si="94"/>
        <v>-0.40702478265017211</v>
      </c>
      <c r="AG400" s="61">
        <f t="shared" ca="1" si="94"/>
        <v>0.9010338862269176</v>
      </c>
      <c r="AH400" s="19"/>
      <c r="AI400" s="61">
        <f ca="1"/>
        <v>-2.1190303139210036E-2</v>
      </c>
      <c r="AJ400" s="61">
        <f ca="1"/>
        <v>-2.4142865634661802E-2</v>
      </c>
      <c r="AK400" s="61">
        <f ca="1"/>
        <v>5.7790418919489404E-3</v>
      </c>
      <c r="AL400" s="19"/>
      <c r="AM400" s="61">
        <f t="shared" ca="1" si="98"/>
        <v>-2.0839086816699791E-2</v>
      </c>
      <c r="AN400" s="61">
        <f t="shared" ca="1" si="99"/>
        <v>-2.3893813037745272E-2</v>
      </c>
      <c r="AO400" s="61">
        <f t="shared" ca="1" si="100"/>
        <v>6.2107104952037586E-3</v>
      </c>
      <c r="AP400" s="19"/>
      <c r="AQ400" s="62">
        <f t="shared" ca="1" si="95"/>
        <v>0.8741499574890641</v>
      </c>
      <c r="AR400" s="62">
        <f t="shared" ca="1" si="96"/>
        <v>1.0476432207313413</v>
      </c>
      <c r="AS400" s="62">
        <f t="shared" ca="1" si="97"/>
        <v>1.0225178526450505</v>
      </c>
      <c r="AT400" s="49"/>
    </row>
    <row r="401" spans="1:46" x14ac:dyDescent="0.3">
      <c r="A401" s="5">
        <v>44043</v>
      </c>
      <c r="B401" s="6">
        <v>50.869999</v>
      </c>
      <c r="C401" s="6">
        <v>71.300003000000004</v>
      </c>
      <c r="D401" s="6">
        <v>56.23</v>
      </c>
      <c r="F401" s="13">
        <v>398</v>
      </c>
      <c r="G401" s="5">
        <v>44043</v>
      </c>
      <c r="H401" s="15">
        <f t="shared" si="93"/>
        <v>-1.1788017197914601E-3</v>
      </c>
      <c r="I401" s="15">
        <f t="shared" si="93"/>
        <v>3.0903380722255786E-3</v>
      </c>
      <c r="J401" s="15">
        <f t="shared" si="93"/>
        <v>-1.7768661075711271E-3</v>
      </c>
      <c r="K401" s="22"/>
      <c r="L401" s="13">
        <v>398</v>
      </c>
      <c r="M401" s="5">
        <v>44043</v>
      </c>
      <c r="N401" s="26">
        <f t="shared" si="90"/>
        <v>0.89971698090348462</v>
      </c>
      <c r="O401" s="26">
        <f t="shared" si="91"/>
        <v>0.67621397617196555</v>
      </c>
      <c r="P401" s="26">
        <f t="shared" si="92"/>
        <v>0.74417683282627933</v>
      </c>
      <c r="Q401" s="22"/>
      <c r="AD401" s="59">
        <v>397</v>
      </c>
      <c r="AE401" s="61">
        <f t="shared" ca="1" si="94"/>
        <v>-0.29493732567831493</v>
      </c>
      <c r="AF401" s="61">
        <f t="shared" ca="1" si="94"/>
        <v>0.1415400339265345</v>
      </c>
      <c r="AG401" s="61">
        <f t="shared" ca="1" si="94"/>
        <v>-0.80400106865990117</v>
      </c>
      <c r="AH401" s="19"/>
      <c r="AI401" s="61">
        <f ca="1"/>
        <v>-6.395504974279138E-3</v>
      </c>
      <c r="AJ401" s="61">
        <f ca="1"/>
        <v>-1.5399420158632208E-3</v>
      </c>
      <c r="AK401" s="61">
        <f ca="1"/>
        <v>-2.3959541204682494E-2</v>
      </c>
      <c r="AL401" s="19"/>
      <c r="AM401" s="61">
        <f t="shared" ca="1" si="98"/>
        <v>-6.0442886517688942E-3</v>
      </c>
      <c r="AN401" s="61">
        <f t="shared" ca="1" si="99"/>
        <v>-1.2908894189466902E-3</v>
      </c>
      <c r="AO401" s="61">
        <f t="shared" ca="1" si="100"/>
        <v>-2.3527872601427677E-2</v>
      </c>
      <c r="AP401" s="19"/>
      <c r="AQ401" s="62">
        <f t="shared" ca="1" si="95"/>
        <v>0.86888227854428879</v>
      </c>
      <c r="AR401" s="62">
        <f t="shared" ca="1" si="96"/>
        <v>1.046291701701356</v>
      </c>
      <c r="AS401" s="62">
        <f t="shared" ca="1" si="97"/>
        <v>0.99874098920048004</v>
      </c>
      <c r="AT401" s="49"/>
    </row>
    <row r="402" spans="1:46" x14ac:dyDescent="0.3">
      <c r="A402" s="5">
        <v>44046</v>
      </c>
      <c r="B402" s="6">
        <v>51</v>
      </c>
      <c r="C402" s="6">
        <v>69.720000999999996</v>
      </c>
      <c r="D402" s="6">
        <v>53.91</v>
      </c>
      <c r="F402" s="13">
        <v>399</v>
      </c>
      <c r="G402" s="5">
        <v>44046</v>
      </c>
      <c r="H402" s="15">
        <f t="shared" si="93"/>
        <v>2.5522935476040651E-3</v>
      </c>
      <c r="I402" s="15">
        <f t="shared" si="93"/>
        <v>-2.2409134501079054E-2</v>
      </c>
      <c r="J402" s="15">
        <f t="shared" si="93"/>
        <v>-4.2134432840532997E-2</v>
      </c>
      <c r="K402" s="22"/>
      <c r="L402" s="13">
        <v>399</v>
      </c>
      <c r="M402" s="5">
        <v>44046</v>
      </c>
      <c r="N402" s="26">
        <f t="shared" si="90"/>
        <v>0.90201625571248223</v>
      </c>
      <c r="O402" s="26">
        <f t="shared" si="91"/>
        <v>0.66122913199489497</v>
      </c>
      <c r="P402" s="26">
        <f t="shared" si="92"/>
        <v>0.71347275578276226</v>
      </c>
      <c r="Q402" s="22"/>
      <c r="AD402" s="59">
        <v>398</v>
      </c>
      <c r="AE402" s="61">
        <f t="shared" ca="1" si="94"/>
        <v>-1.164067415170924</v>
      </c>
      <c r="AF402" s="61">
        <f t="shared" ca="1" si="94"/>
        <v>-0.22100582923796233</v>
      </c>
      <c r="AG402" s="61">
        <f t="shared" ca="1" si="94"/>
        <v>1.6536766571626729</v>
      </c>
      <c r="AH402" s="19"/>
      <c r="AI402" s="61">
        <f ca="1"/>
        <v>-2.5241969381121557E-2</v>
      </c>
      <c r="AJ402" s="61">
        <f ca="1"/>
        <v>-2.3024163138227836E-2</v>
      </c>
      <c r="AK402" s="61">
        <f ca="1"/>
        <v>2.3610965159048945E-2</v>
      </c>
      <c r="AL402" s="19"/>
      <c r="AM402" s="61">
        <f t="shared" ca="1" si="98"/>
        <v>-2.4890753058611312E-2</v>
      </c>
      <c r="AN402" s="61">
        <f t="shared" ca="1" si="99"/>
        <v>-2.2775110541311306E-2</v>
      </c>
      <c r="AO402" s="61">
        <f t="shared" ca="1" si="100"/>
        <v>2.4042633762303763E-2</v>
      </c>
      <c r="AP402" s="19"/>
      <c r="AQ402" s="62">
        <f t="shared" ca="1" si="95"/>
        <v>0.84752208278795249</v>
      </c>
      <c r="AR402" s="62">
        <f t="shared" ca="1" si="96"/>
        <v>1.022731602852061</v>
      </c>
      <c r="AS402" s="62">
        <f t="shared" ca="1" si="97"/>
        <v>1.0230443406180489</v>
      </c>
      <c r="AT402" s="49"/>
    </row>
    <row r="403" spans="1:46" x14ac:dyDescent="0.3">
      <c r="A403" s="5">
        <v>44047</v>
      </c>
      <c r="B403" s="6">
        <v>51.810001</v>
      </c>
      <c r="C403" s="6">
        <v>66.680000000000007</v>
      </c>
      <c r="D403" s="6">
        <v>53.02</v>
      </c>
      <c r="F403" s="13">
        <v>400</v>
      </c>
      <c r="G403" s="5">
        <v>44047</v>
      </c>
      <c r="H403" s="15">
        <f t="shared" si="93"/>
        <v>1.575756740366413E-2</v>
      </c>
      <c r="I403" s="15">
        <f t="shared" si="93"/>
        <v>-4.458217711231325E-2</v>
      </c>
      <c r="J403" s="15">
        <f t="shared" si="93"/>
        <v>-1.6646788602697714E-2</v>
      </c>
      <c r="K403" s="22"/>
      <c r="L403" s="13">
        <v>400</v>
      </c>
      <c r="M403" s="5">
        <v>44047</v>
      </c>
      <c r="N403" s="26">
        <f t="shared" si="90"/>
        <v>0.91634241393097959</v>
      </c>
      <c r="O403" s="26">
        <f t="shared" si="91"/>
        <v>0.63239756008350612</v>
      </c>
      <c r="P403" s="26">
        <f t="shared" si="92"/>
        <v>0.70169403657210272</v>
      </c>
      <c r="Q403" s="22"/>
      <c r="AD403" s="59">
        <v>399</v>
      </c>
      <c r="AE403" s="61">
        <f t="shared" ca="1" si="94"/>
        <v>-0.18515955566241946</v>
      </c>
      <c r="AF403" s="61">
        <f t="shared" ca="1" si="94"/>
        <v>0.7047875813320128</v>
      </c>
      <c r="AG403" s="61">
        <f t="shared" ca="1" si="94"/>
        <v>1.2406287073773759</v>
      </c>
      <c r="AH403" s="19"/>
      <c r="AI403" s="61">
        <f ca="1"/>
        <v>-4.0150525422675762E-3</v>
      </c>
      <c r="AJ403" s="61">
        <f ca="1"/>
        <v>1.2421095346756974E-2</v>
      </c>
      <c r="AK403" s="61">
        <f ca="1"/>
        <v>3.4012457081709545E-2</v>
      </c>
      <c r="AL403" s="19"/>
      <c r="AM403" s="61">
        <f t="shared" ca="1" si="98"/>
        <v>-3.6638362197573319E-3</v>
      </c>
      <c r="AN403" s="61">
        <f t="shared" ca="1" si="99"/>
        <v>1.2670147943673505E-2</v>
      </c>
      <c r="AO403" s="61">
        <f t="shared" ca="1" si="100"/>
        <v>3.4444125684964362E-2</v>
      </c>
      <c r="AP403" s="19"/>
      <c r="AQ403" s="62">
        <f t="shared" ca="1" si="95"/>
        <v>0.84442258218250921</v>
      </c>
      <c r="AR403" s="62">
        <f t="shared" ca="1" si="96"/>
        <v>1.0357722022758229</v>
      </c>
      <c r="AS403" s="62">
        <f t="shared" ca="1" si="97"/>
        <v>1.0588961053449315</v>
      </c>
      <c r="AT403" s="49"/>
    </row>
    <row r="404" spans="1:46" x14ac:dyDescent="0.3">
      <c r="A404" s="5">
        <v>44048</v>
      </c>
      <c r="B404" s="6">
        <v>53.209999000000003</v>
      </c>
      <c r="C404" s="6">
        <v>68.510002</v>
      </c>
      <c r="D404" s="6">
        <v>51.619999</v>
      </c>
      <c r="F404" s="13">
        <v>401</v>
      </c>
      <c r="G404" s="5">
        <v>44048</v>
      </c>
      <c r="H404" s="15">
        <f t="shared" si="93"/>
        <v>2.6663129686827988E-2</v>
      </c>
      <c r="I404" s="15">
        <f t="shared" si="93"/>
        <v>2.7074691325032565E-2</v>
      </c>
      <c r="J404" s="15">
        <f t="shared" si="93"/>
        <v>-2.676002594274822E-2</v>
      </c>
      <c r="K404" s="22"/>
      <c r="L404" s="13">
        <v>401</v>
      </c>
      <c r="M404" s="5">
        <v>44048</v>
      </c>
      <c r="N404" s="26">
        <f t="shared" si="90"/>
        <v>0.94110360910676327</v>
      </c>
      <c r="O404" s="26">
        <f t="shared" si="91"/>
        <v>0.64975342090756028</v>
      </c>
      <c r="P404" s="26">
        <f t="shared" si="92"/>
        <v>0.68316570098374019</v>
      </c>
      <c r="Q404" s="22"/>
      <c r="AD404" s="59">
        <v>400</v>
      </c>
      <c r="AE404" s="61">
        <f t="shared" ca="1" si="94"/>
        <v>1.2299567303002494</v>
      </c>
      <c r="AF404" s="61">
        <f t="shared" ca="1" si="94"/>
        <v>0.31384497515614013</v>
      </c>
      <c r="AG404" s="61">
        <f t="shared" ca="1" si="94"/>
        <v>-0.52014109085847149</v>
      </c>
      <c r="AH404" s="19"/>
      <c r="AI404" s="61">
        <f ca="1"/>
        <v>2.667073205703006E-2</v>
      </c>
      <c r="AJ404" s="61">
        <f ca="1"/>
        <v>2.6073438274595448E-2</v>
      </c>
      <c r="AK404" s="61">
        <f ca="1"/>
        <v>7.0575318128944711E-3</v>
      </c>
      <c r="AL404" s="19"/>
      <c r="AM404" s="61">
        <f t="shared" ca="1" si="98"/>
        <v>2.7021948379540306E-2</v>
      </c>
      <c r="AN404" s="61">
        <f t="shared" ca="1" si="99"/>
        <v>2.6322490871511978E-2</v>
      </c>
      <c r="AO404" s="61">
        <f t="shared" ca="1" si="100"/>
        <v>7.4892004161492892E-3</v>
      </c>
      <c r="AP404" s="19"/>
      <c r="AQ404" s="62">
        <f t="shared" ca="1" si="95"/>
        <v>0.86755161400384961</v>
      </c>
      <c r="AR404" s="62">
        <f t="shared" ca="1" si="96"/>
        <v>1.0633983054415197</v>
      </c>
      <c r="AS404" s="62">
        <f t="shared" ca="1" si="97"/>
        <v>1.0668561605166473</v>
      </c>
      <c r="AT404" s="49"/>
    </row>
    <row r="405" spans="1:46" x14ac:dyDescent="0.3">
      <c r="A405" s="5">
        <v>44049</v>
      </c>
      <c r="B405" s="6">
        <v>52.799999</v>
      </c>
      <c r="C405" s="6">
        <v>64.889999000000003</v>
      </c>
      <c r="D405" s="6">
        <v>51.48</v>
      </c>
      <c r="F405" s="13">
        <v>402</v>
      </c>
      <c r="G405" s="5">
        <v>44049</v>
      </c>
      <c r="H405" s="15">
        <f t="shared" si="93"/>
        <v>-7.7351580419962327E-3</v>
      </c>
      <c r="I405" s="15">
        <f t="shared" si="93"/>
        <v>-5.4286235985243826E-2</v>
      </c>
      <c r="J405" s="15">
        <f t="shared" si="93"/>
        <v>-2.7157921902054767E-3</v>
      </c>
      <c r="K405" s="22"/>
      <c r="L405" s="13">
        <v>402</v>
      </c>
      <c r="M405" s="5">
        <v>44049</v>
      </c>
      <c r="N405" s="26">
        <f t="shared" si="90"/>
        <v>0.93385210587456491</v>
      </c>
      <c r="O405" s="26">
        <f t="shared" si="91"/>
        <v>0.61542107140703584</v>
      </c>
      <c r="P405" s="26">
        <f t="shared" si="92"/>
        <v>0.68131288198287143</v>
      </c>
      <c r="Q405" s="22"/>
      <c r="AD405" s="59">
        <v>401</v>
      </c>
      <c r="AE405" s="61">
        <f t="shared" ca="1" si="94"/>
        <v>0.46265048099687411</v>
      </c>
      <c r="AF405" s="61">
        <f t="shared" ca="1" si="94"/>
        <v>0.50322974156857148</v>
      </c>
      <c r="AG405" s="61">
        <f t="shared" ca="1" si="94"/>
        <v>-0.82179082376295354</v>
      </c>
      <c r="AH405" s="19"/>
      <c r="AI405" s="61">
        <f ca="1"/>
        <v>1.0032244802393602E-2</v>
      </c>
      <c r="AJ405" s="61">
        <f ca="1"/>
        <v>1.8179772192191027E-2</v>
      </c>
      <c r="AK405" s="61">
        <f ca="1"/>
        <v>-1.0674354858180203E-2</v>
      </c>
      <c r="AL405" s="19"/>
      <c r="AM405" s="61">
        <f t="shared" ca="1" si="98"/>
        <v>1.0383461124903846E-2</v>
      </c>
      <c r="AN405" s="61">
        <f t="shared" ca="1" si="99"/>
        <v>1.8428824789107557E-2</v>
      </c>
      <c r="AO405" s="61">
        <f t="shared" ca="1" si="100"/>
        <v>-1.0242686254925384E-2</v>
      </c>
      <c r="AP405" s="19"/>
      <c r="AQ405" s="62">
        <f t="shared" ca="1" si="95"/>
        <v>0.87660673284164492</v>
      </c>
      <c r="AR405" s="62">
        <f t="shared" ca="1" si="96"/>
        <v>1.0831771774019963</v>
      </c>
      <c r="AS405" s="62">
        <f t="shared" ca="1" si="97"/>
        <v>1.0559844603403705</v>
      </c>
      <c r="AT405" s="49"/>
    </row>
    <row r="406" spans="1:46" x14ac:dyDescent="0.3">
      <c r="A406" s="5">
        <v>44050</v>
      </c>
      <c r="B406" s="6">
        <v>53.580002</v>
      </c>
      <c r="C406" s="6">
        <v>65.959998999999996</v>
      </c>
      <c r="D406" s="6">
        <v>52.66</v>
      </c>
      <c r="F406" s="13">
        <v>403</v>
      </c>
      <c r="G406" s="5">
        <v>44050</v>
      </c>
      <c r="H406" s="15">
        <f t="shared" si="93"/>
        <v>1.4664729671001218E-2</v>
      </c>
      <c r="I406" s="15">
        <f t="shared" si="93"/>
        <v>1.6354969308312577E-2</v>
      </c>
      <c r="J406" s="15">
        <f t="shared" si="93"/>
        <v>2.2662771340237448E-2</v>
      </c>
      <c r="K406" s="22"/>
      <c r="L406" s="13">
        <v>403</v>
      </c>
      <c r="M406" s="5">
        <v>44050</v>
      </c>
      <c r="N406" s="26">
        <f t="shared" si="90"/>
        <v>0.94764770166877077</v>
      </c>
      <c r="O406" s="26">
        <f t="shared" si="91"/>
        <v>0.62556902265612624</v>
      </c>
      <c r="P406" s="26">
        <f t="shared" si="92"/>
        <v>0.69692961082397065</v>
      </c>
      <c r="Q406" s="22"/>
      <c r="AD406" s="59">
        <v>402</v>
      </c>
      <c r="AE406" s="61">
        <f t="shared" ca="1" si="94"/>
        <v>0.81671288878601389</v>
      </c>
      <c r="AF406" s="61">
        <f t="shared" ca="1" si="94"/>
        <v>1.6321891822979107</v>
      </c>
      <c r="AG406" s="61">
        <f t="shared" ca="1" si="94"/>
        <v>-0.16176882604221723</v>
      </c>
      <c r="AH406" s="19"/>
      <c r="AI406" s="61">
        <f ca="1"/>
        <v>1.7709834897214147E-2</v>
      </c>
      <c r="AJ406" s="61">
        <f ca="1"/>
        <v>4.8260758930136122E-2</v>
      </c>
      <c r="AK406" s="61">
        <f ca="1"/>
        <v>1.9417496981389917E-2</v>
      </c>
      <c r="AL406" s="19"/>
      <c r="AM406" s="61">
        <f t="shared" ca="1" si="98"/>
        <v>1.8061051219724393E-2</v>
      </c>
      <c r="AN406" s="61">
        <f t="shared" ca="1" si="99"/>
        <v>4.8509811527052651E-2</v>
      </c>
      <c r="AO406" s="61">
        <f t="shared" ca="1" si="100"/>
        <v>1.9849165584644734E-2</v>
      </c>
      <c r="AP406" s="19"/>
      <c r="AQ406" s="62">
        <f t="shared" ca="1" si="95"/>
        <v>0.89258301185155386</v>
      </c>
      <c r="AR406" s="62">
        <f t="shared" ca="1" si="96"/>
        <v>1.1370172258008211</v>
      </c>
      <c r="AS406" s="62">
        <f t="shared" ca="1" si="97"/>
        <v>1.0771542772972174</v>
      </c>
      <c r="AT406" s="49"/>
    </row>
    <row r="407" spans="1:46" x14ac:dyDescent="0.3">
      <c r="A407" s="5">
        <v>44053</v>
      </c>
      <c r="B407" s="6">
        <v>55.099997999999999</v>
      </c>
      <c r="C407" s="6">
        <v>68.680000000000007</v>
      </c>
      <c r="D407" s="6">
        <v>53.549999</v>
      </c>
      <c r="F407" s="13">
        <v>404</v>
      </c>
      <c r="G407" s="5">
        <v>44053</v>
      </c>
      <c r="H407" s="15">
        <f t="shared" si="93"/>
        <v>2.7973778417404557E-2</v>
      </c>
      <c r="I407" s="15">
        <f t="shared" si="93"/>
        <v>4.0409553498580407E-2</v>
      </c>
      <c r="J407" s="15">
        <f t="shared" si="93"/>
        <v>1.6759624151457923E-2</v>
      </c>
      <c r="K407" s="22"/>
      <c r="L407" s="13">
        <v>404</v>
      </c>
      <c r="M407" s="5">
        <v>44053</v>
      </c>
      <c r="N407" s="26">
        <f t="shared" si="90"/>
        <v>0.9745312526612796</v>
      </c>
      <c r="O407" s="26">
        <f t="shared" si="91"/>
        <v>0.6513656932593761</v>
      </c>
      <c r="P407" s="26">
        <f t="shared" si="92"/>
        <v>0.70870831680011437</v>
      </c>
      <c r="Q407" s="22"/>
      <c r="AD407" s="59">
        <v>403</v>
      </c>
      <c r="AE407" s="61">
        <f t="shared" ca="1" si="94"/>
        <v>-1.7156526097176201</v>
      </c>
      <c r="AF407" s="61">
        <f t="shared" ca="1" si="94"/>
        <v>-9.4562429515147785E-4</v>
      </c>
      <c r="AG407" s="61">
        <f t="shared" ca="1" si="94"/>
        <v>0.1417912420211121</v>
      </c>
      <c r="AH407" s="19"/>
      <c r="AI407" s="61">
        <f ca="1"/>
        <v>-3.7202699842581392E-2</v>
      </c>
      <c r="AJ407" s="61">
        <f ca="1"/>
        <v>-2.6874528503409413E-2</v>
      </c>
      <c r="AK407" s="61">
        <f ca="1"/>
        <v>-2.1723678416700525E-2</v>
      </c>
      <c r="AL407" s="19"/>
      <c r="AM407" s="61">
        <f t="shared" ca="1" si="98"/>
        <v>-3.685148352007115E-2</v>
      </c>
      <c r="AN407" s="61">
        <f t="shared" ca="1" si="99"/>
        <v>-2.6625475906492883E-2</v>
      </c>
      <c r="AO407" s="61">
        <f t="shared" ca="1" si="100"/>
        <v>-2.1292009813445707E-2</v>
      </c>
      <c r="AP407" s="19"/>
      <c r="AQ407" s="62">
        <f t="shared" ca="1" si="95"/>
        <v>0.86028870490221188</v>
      </c>
      <c r="AR407" s="62">
        <f t="shared" ca="1" si="96"/>
        <v>1.1071430726568703</v>
      </c>
      <c r="AS407" s="62">
        <f t="shared" ca="1" si="97"/>
        <v>1.0544619379015543</v>
      </c>
      <c r="AT407" s="49"/>
    </row>
    <row r="408" spans="1:46" x14ac:dyDescent="0.3">
      <c r="A408" s="5">
        <v>44054</v>
      </c>
      <c r="B408" s="6">
        <v>56.02</v>
      </c>
      <c r="C408" s="6">
        <v>70.209998999999996</v>
      </c>
      <c r="D408" s="6">
        <v>53.650002000000001</v>
      </c>
      <c r="F408" s="13">
        <v>405</v>
      </c>
      <c r="G408" s="5">
        <v>44054</v>
      </c>
      <c r="H408" s="15">
        <f t="shared" si="93"/>
        <v>1.655908997073513E-2</v>
      </c>
      <c r="I408" s="15">
        <f t="shared" si="93"/>
        <v>2.2032700756897186E-2</v>
      </c>
      <c r="J408" s="15">
        <f t="shared" si="93"/>
        <v>1.8657281357434901E-3</v>
      </c>
      <c r="K408" s="22"/>
      <c r="L408" s="13">
        <v>405</v>
      </c>
      <c r="M408" s="5">
        <v>44054</v>
      </c>
      <c r="N408" s="26">
        <f t="shared" si="90"/>
        <v>0.99080295382378936</v>
      </c>
      <c r="O408" s="26">
        <f t="shared" si="91"/>
        <v>0.66587630565485001</v>
      </c>
      <c r="P408" s="26">
        <f t="shared" si="92"/>
        <v>0.71003180810036559</v>
      </c>
      <c r="Q408" s="22"/>
      <c r="AD408" s="59">
        <v>404</v>
      </c>
      <c r="AE408" s="61">
        <f t="shared" ca="1" si="94"/>
        <v>-0.2607624677064086</v>
      </c>
      <c r="AF408" s="61">
        <f t="shared" ca="1" si="94"/>
        <v>-0.183149195008284</v>
      </c>
      <c r="AG408" s="61">
        <f t="shared" ca="1" si="94"/>
        <v>-0.78266514586093805</v>
      </c>
      <c r="AH408" s="19"/>
      <c r="AI408" s="61">
        <f ca="1"/>
        <v>-5.6544476203076125E-3</v>
      </c>
      <c r="AJ408" s="61">
        <f ca="1"/>
        <v>-8.0624763892206269E-3</v>
      </c>
      <c r="AK408" s="61">
        <f ca="1"/>
        <v>-2.5194574760741953E-2</v>
      </c>
      <c r="AL408" s="19"/>
      <c r="AM408" s="61">
        <f t="shared" ca="1" si="98"/>
        <v>-5.3032312977973686E-3</v>
      </c>
      <c r="AN408" s="61">
        <f t="shared" ca="1" si="99"/>
        <v>-7.8134237923040955E-3</v>
      </c>
      <c r="AO408" s="61">
        <f t="shared" ca="1" si="100"/>
        <v>-2.4762906157487136E-2</v>
      </c>
      <c r="AP408" s="19"/>
      <c r="AQ408" s="62">
        <f t="shared" ca="1" si="95"/>
        <v>0.85573847105283984</v>
      </c>
      <c r="AR408" s="62">
        <f t="shared" ca="1" si="96"/>
        <v>1.0985262021001907</v>
      </c>
      <c r="AS408" s="62">
        <f t="shared" ca="1" si="97"/>
        <v>1.0286710425518406</v>
      </c>
      <c r="AT408" s="49"/>
    </row>
    <row r="409" spans="1:46" x14ac:dyDescent="0.3">
      <c r="A409" s="5">
        <v>44055</v>
      </c>
      <c r="B409" s="6">
        <v>56.52</v>
      </c>
      <c r="C409" s="6">
        <v>69.809997999999993</v>
      </c>
      <c r="D409" s="6">
        <v>55.119999</v>
      </c>
      <c r="F409" s="13">
        <v>406</v>
      </c>
      <c r="G409" s="5">
        <v>44055</v>
      </c>
      <c r="H409" s="15">
        <f t="shared" si="93"/>
        <v>8.8857879843642837E-3</v>
      </c>
      <c r="I409" s="15">
        <f t="shared" si="93"/>
        <v>-5.7134994530531526E-3</v>
      </c>
      <c r="J409" s="15">
        <f t="shared" si="93"/>
        <v>2.7031102207803036E-2</v>
      </c>
      <c r="K409" s="22"/>
      <c r="L409" s="13">
        <v>406</v>
      </c>
      <c r="M409" s="5">
        <v>44055</v>
      </c>
      <c r="N409" s="26">
        <f t="shared" si="90"/>
        <v>0.99964625044842159</v>
      </c>
      <c r="O409" s="26">
        <f t="shared" si="91"/>
        <v>0.66208266953560935</v>
      </c>
      <c r="P409" s="26">
        <f t="shared" si="92"/>
        <v>0.72948650686835648</v>
      </c>
      <c r="Q409" s="22"/>
      <c r="AD409" s="59">
        <v>405</v>
      </c>
      <c r="AE409" s="61">
        <f t="shared" ca="1" si="94"/>
        <v>-1.4731683242798368</v>
      </c>
      <c r="AF409" s="61">
        <f t="shared" ca="1" si="94"/>
        <v>1.051818027373542</v>
      </c>
      <c r="AG409" s="61">
        <f t="shared" ca="1" si="94"/>
        <v>0.2549773332254438</v>
      </c>
      <c r="AH409" s="19"/>
      <c r="AI409" s="61">
        <f ca="1"/>
        <v>-3.1944601532592244E-2</v>
      </c>
      <c r="AJ409" s="61">
        <f ca="1"/>
        <v>-1.9619325375617655E-4</v>
      </c>
      <c r="AK409" s="61">
        <f ca="1"/>
        <v>-7.8269714900054792E-3</v>
      </c>
      <c r="AL409" s="19"/>
      <c r="AM409" s="61">
        <f t="shared" ca="1" si="98"/>
        <v>-3.1593385210082002E-2</v>
      </c>
      <c r="AN409" s="61">
        <f t="shared" ca="1" si="99"/>
        <v>5.2859343160354126E-5</v>
      </c>
      <c r="AO409" s="61">
        <f t="shared" ca="1" si="100"/>
        <v>-7.395302886750661E-3</v>
      </c>
      <c r="AP409" s="19"/>
      <c r="AQ409" s="62">
        <f t="shared" ca="1" si="95"/>
        <v>0.82912540787392353</v>
      </c>
      <c r="AR409" s="62">
        <f t="shared" ca="1" si="96"/>
        <v>1.0985842710084068</v>
      </c>
      <c r="AS409" s="62">
        <f t="shared" ca="1" si="97"/>
        <v>1.0210917686771506</v>
      </c>
      <c r="AT409" s="49"/>
    </row>
    <row r="410" spans="1:46" x14ac:dyDescent="0.3">
      <c r="A410" s="5">
        <v>44056</v>
      </c>
      <c r="B410" s="6">
        <v>56.389999000000003</v>
      </c>
      <c r="C410" s="6">
        <v>70.129997000000003</v>
      </c>
      <c r="D410" s="6">
        <v>53.189999</v>
      </c>
      <c r="F410" s="13">
        <v>407</v>
      </c>
      <c r="G410" s="5">
        <v>44056</v>
      </c>
      <c r="H410" s="15">
        <f t="shared" si="93"/>
        <v>-2.3027377308768152E-3</v>
      </c>
      <c r="I410" s="15">
        <f t="shared" si="93"/>
        <v>4.5733824380007407E-3</v>
      </c>
      <c r="J410" s="15">
        <f t="shared" si="93"/>
        <v>-3.5642218609468222E-2</v>
      </c>
      <c r="K410" s="22"/>
      <c r="L410" s="13">
        <v>407</v>
      </c>
      <c r="M410" s="5">
        <v>44056</v>
      </c>
      <c r="N410" s="26">
        <f t="shared" si="90"/>
        <v>0.99734697563942398</v>
      </c>
      <c r="O410" s="26">
        <f t="shared" si="91"/>
        <v>0.66511756135968203</v>
      </c>
      <c r="P410" s="26">
        <f t="shared" si="92"/>
        <v>0.70394389105198241</v>
      </c>
      <c r="Q410" s="22"/>
      <c r="AD410" s="59">
        <v>406</v>
      </c>
      <c r="AE410" s="61">
        <f t="shared" ca="1" si="94"/>
        <v>0.24694990821136611</v>
      </c>
      <c r="AF410" s="61">
        <f t="shared" ca="1" si="94"/>
        <v>-0.50997951375762307</v>
      </c>
      <c r="AG410" s="61">
        <f t="shared" ca="1" si="94"/>
        <v>1.2056253251087048</v>
      </c>
      <c r="AH410" s="19"/>
      <c r="AI410" s="61">
        <f ca="1"/>
        <v>5.3549321461135446E-3</v>
      </c>
      <c r="AJ410" s="61">
        <f ca="1"/>
        <v>-7.2195802807901487E-3</v>
      </c>
      <c r="AK410" s="61">
        <f ca="1"/>
        <v>3.0945375779923279E-2</v>
      </c>
      <c r="AL410" s="19"/>
      <c r="AM410" s="61">
        <f t="shared" ca="1" si="98"/>
        <v>5.7061484686237885E-3</v>
      </c>
      <c r="AN410" s="61">
        <f t="shared" ca="1" si="99"/>
        <v>-6.9705276838736181E-3</v>
      </c>
      <c r="AO410" s="61">
        <f t="shared" ca="1" si="100"/>
        <v>3.13770443831781E-2</v>
      </c>
      <c r="AP410" s="19"/>
      <c r="AQ410" s="62">
        <f t="shared" ca="1" si="95"/>
        <v>0.83387004447697854</v>
      </c>
      <c r="AR410" s="62">
        <f t="shared" ca="1" si="96"/>
        <v>1.0909531861767137</v>
      </c>
      <c r="AS410" s="62">
        <f t="shared" ca="1" si="97"/>
        <v>1.0536385511414232</v>
      </c>
      <c r="AT410" s="49"/>
    </row>
    <row r="411" spans="1:46" x14ac:dyDescent="0.3">
      <c r="A411" s="5">
        <v>44057</v>
      </c>
      <c r="B411" s="6">
        <v>56.630001</v>
      </c>
      <c r="C411" s="6">
        <v>70.660004000000001</v>
      </c>
      <c r="D411" s="6">
        <v>54.459999000000003</v>
      </c>
      <c r="F411" s="13">
        <v>408</v>
      </c>
      <c r="G411" s="5">
        <v>44057</v>
      </c>
      <c r="H411" s="15">
        <f t="shared" si="93"/>
        <v>4.2470776987484724E-3</v>
      </c>
      <c r="I411" s="15">
        <f t="shared" si="93"/>
        <v>7.5290787689920027E-3</v>
      </c>
      <c r="J411" s="15">
        <f t="shared" si="93"/>
        <v>2.3596078929813226E-2</v>
      </c>
      <c r="K411" s="22"/>
      <c r="L411" s="13">
        <v>408</v>
      </c>
      <c r="M411" s="5">
        <v>44057</v>
      </c>
      <c r="N411" s="26">
        <f t="shared" si="90"/>
        <v>1.0015917933924339</v>
      </c>
      <c r="O411" s="26">
        <f t="shared" si="91"/>
        <v>0.67014418303975365</v>
      </c>
      <c r="P411" s="26">
        <f t="shared" si="92"/>
        <v>0.72075172633011464</v>
      </c>
      <c r="Q411" s="22"/>
      <c r="AD411" s="59">
        <v>407</v>
      </c>
      <c r="AE411" s="61">
        <f t="shared" ca="1" si="94"/>
        <v>1.3341551090089416</v>
      </c>
      <c r="AF411" s="61">
        <f t="shared" ca="1" si="94"/>
        <v>5.2819224984974912E-2</v>
      </c>
      <c r="AG411" s="61">
        <f t="shared" ca="1" si="94"/>
        <v>-1.4073989957844038</v>
      </c>
      <c r="AH411" s="19"/>
      <c r="AI411" s="61">
        <f ca="1"/>
        <v>2.8930199378809803E-2</v>
      </c>
      <c r="AJ411" s="61">
        <f ca="1"/>
        <v>2.203072620567631E-2</v>
      </c>
      <c r="AK411" s="61">
        <f ca="1"/>
        <v>-1.5972651523098801E-2</v>
      </c>
      <c r="AL411" s="19"/>
      <c r="AM411" s="61">
        <f t="shared" ca="1" si="98"/>
        <v>2.9281415701320049E-2</v>
      </c>
      <c r="AN411" s="61">
        <f t="shared" ca="1" si="99"/>
        <v>2.2279778802592839E-2</v>
      </c>
      <c r="AO411" s="61">
        <f t="shared" ca="1" si="100"/>
        <v>-1.5540982919843982E-2</v>
      </c>
      <c r="AP411" s="19"/>
      <c r="AQ411" s="62">
        <f t="shared" ca="1" si="95"/>
        <v>0.85864793539456385</v>
      </c>
      <c r="AR411" s="62">
        <f t="shared" ca="1" si="96"/>
        <v>1.1155321723170648</v>
      </c>
      <c r="AS411" s="62">
        <f t="shared" ca="1" si="97"/>
        <v>1.0373905543543305</v>
      </c>
      <c r="AT411" s="49"/>
    </row>
    <row r="412" spans="1:46" x14ac:dyDescent="0.3">
      <c r="A412" s="5">
        <v>44060</v>
      </c>
      <c r="B412" s="6">
        <v>56.869999</v>
      </c>
      <c r="C412" s="6">
        <v>70.900002000000001</v>
      </c>
      <c r="D412" s="6">
        <v>55.599997999999999</v>
      </c>
      <c r="F412" s="13">
        <v>409</v>
      </c>
      <c r="G412" s="5">
        <v>44060</v>
      </c>
      <c r="H412" s="15">
        <f t="shared" si="93"/>
        <v>4.2290459505462449E-3</v>
      </c>
      <c r="I412" s="15">
        <f t="shared" si="93"/>
        <v>3.3907632067144279E-3</v>
      </c>
      <c r="J412" s="15">
        <f t="shared" si="93"/>
        <v>2.0716696401800103E-2</v>
      </c>
      <c r="K412" s="22"/>
      <c r="L412" s="13">
        <v>409</v>
      </c>
      <c r="M412" s="5">
        <v>44060</v>
      </c>
      <c r="N412" s="26">
        <f t="shared" si="90"/>
        <v>1.0058365403990708</v>
      </c>
      <c r="O412" s="26">
        <f t="shared" si="91"/>
        <v>0.67242034005272489</v>
      </c>
      <c r="P412" s="26">
        <f t="shared" si="92"/>
        <v>0.73583906129801646</v>
      </c>
      <c r="Q412" s="22"/>
      <c r="AD412" s="59">
        <v>408</v>
      </c>
      <c r="AE412" s="61">
        <f t="shared" ca="1" si="94"/>
        <v>-0.71754562416081946</v>
      </c>
      <c r="AF412" s="61">
        <f t="shared" ca="1" si="94"/>
        <v>-1.6872598545706474</v>
      </c>
      <c r="AG412" s="61">
        <f t="shared" ca="1" si="94"/>
        <v>-2.2209200389964083</v>
      </c>
      <c r="AH412" s="19"/>
      <c r="AI412" s="61">
        <f ca="1"/>
        <v>-1.555946368618666E-2</v>
      </c>
      <c r="AJ412" s="61">
        <f ca="1"/>
        <v>-4.7905576496263917E-2</v>
      </c>
      <c r="AK412" s="61">
        <f ca="1"/>
        <v>-7.9384461308627016E-2</v>
      </c>
      <c r="AL412" s="19"/>
      <c r="AM412" s="61">
        <f t="shared" ca="1" si="98"/>
        <v>-1.5208247363676416E-2</v>
      </c>
      <c r="AN412" s="61">
        <f t="shared" ca="1" si="99"/>
        <v>-4.7656523899347387E-2</v>
      </c>
      <c r="AO412" s="61">
        <f t="shared" ca="1" si="100"/>
        <v>-7.8952792705372199E-2</v>
      </c>
      <c r="AP412" s="19"/>
      <c r="AQ412" s="62">
        <f t="shared" ca="1" si="95"/>
        <v>0.84568820239532483</v>
      </c>
      <c r="AR412" s="62">
        <f t="shared" ca="1" si="96"/>
        <v>1.0636166681797872</v>
      </c>
      <c r="AS412" s="62">
        <f t="shared" ca="1" si="97"/>
        <v>0.95863554298798415</v>
      </c>
      <c r="AT412" s="49"/>
    </row>
    <row r="413" spans="1:46" x14ac:dyDescent="0.3">
      <c r="A413" s="5">
        <v>44061</v>
      </c>
      <c r="B413" s="6">
        <v>56.830002</v>
      </c>
      <c r="C413" s="6">
        <v>68.5</v>
      </c>
      <c r="D413" s="6">
        <v>54.740001999999997</v>
      </c>
      <c r="F413" s="13">
        <v>410</v>
      </c>
      <c r="G413" s="5">
        <v>44061</v>
      </c>
      <c r="H413" s="15">
        <f t="shared" si="93"/>
        <v>-7.0355323303532356E-4</v>
      </c>
      <c r="I413" s="15">
        <f t="shared" si="93"/>
        <v>-3.4436716478646517E-2</v>
      </c>
      <c r="J413" s="15">
        <f t="shared" si="93"/>
        <v>-1.5588425136427077E-2</v>
      </c>
      <c r="K413" s="22"/>
      <c r="L413" s="13">
        <v>410</v>
      </c>
      <c r="M413" s="5">
        <v>44061</v>
      </c>
      <c r="N413" s="26">
        <f t="shared" si="90"/>
        <v>1.00512912972888</v>
      </c>
      <c r="O413" s="26">
        <f t="shared" si="91"/>
        <v>0.64965856127354771</v>
      </c>
      <c r="P413" s="26">
        <f t="shared" si="92"/>
        <v>0.72445743050443179</v>
      </c>
      <c r="Q413" s="22"/>
      <c r="AD413" s="59">
        <v>409</v>
      </c>
      <c r="AE413" s="61">
        <f t="shared" ca="1" si="94"/>
        <v>0.55148044240539129</v>
      </c>
      <c r="AF413" s="61">
        <f t="shared" ca="1" si="94"/>
        <v>-2.1724171288455922</v>
      </c>
      <c r="AG413" s="61">
        <f t="shared" ca="1" si="94"/>
        <v>0.589548932956245</v>
      </c>
      <c r="AH413" s="19"/>
      <c r="AI413" s="61">
        <f ca="1"/>
        <v>1.1958458986192196E-2</v>
      </c>
      <c r="AJ413" s="61">
        <f ca="1"/>
        <v>-3.8587738734055563E-2</v>
      </c>
      <c r="AK413" s="61">
        <f ca="1"/>
        <v>7.9534796615393713E-3</v>
      </c>
      <c r="AL413" s="19"/>
      <c r="AM413" s="61">
        <f t="shared" ca="1" si="98"/>
        <v>1.2309675308702439E-2</v>
      </c>
      <c r="AN413" s="61">
        <f t="shared" ca="1" si="99"/>
        <v>-3.8338686137139033E-2</v>
      </c>
      <c r="AO413" s="61">
        <f t="shared" ca="1" si="100"/>
        <v>8.3851482647941903E-3</v>
      </c>
      <c r="AP413" s="19"/>
      <c r="AQ413" s="62">
        <f t="shared" ca="1" si="95"/>
        <v>0.85616268606113233</v>
      </c>
      <c r="AR413" s="62">
        <f t="shared" ca="1" si="96"/>
        <v>1.0236107891052113</v>
      </c>
      <c r="AS413" s="62">
        <f t="shared" ca="1" si="97"/>
        <v>0.96670763971559093</v>
      </c>
      <c r="AT413" s="49"/>
    </row>
    <row r="414" spans="1:46" x14ac:dyDescent="0.3">
      <c r="A414" s="5">
        <v>44062</v>
      </c>
      <c r="B414" s="6">
        <v>56.709999000000003</v>
      </c>
      <c r="C414" s="6">
        <v>67.550003000000004</v>
      </c>
      <c r="D414" s="6">
        <v>54.259998000000003</v>
      </c>
      <c r="F414" s="13">
        <v>411</v>
      </c>
      <c r="G414" s="5">
        <v>44062</v>
      </c>
      <c r="H414" s="15">
        <f t="shared" si="93"/>
        <v>-2.1138461093472179E-3</v>
      </c>
      <c r="I414" s="15">
        <f t="shared" si="93"/>
        <v>-1.3965636450425718E-2</v>
      </c>
      <c r="J414" s="15">
        <f t="shared" si="93"/>
        <v>-8.8074697776659491E-3</v>
      </c>
      <c r="K414" s="22"/>
      <c r="L414" s="13">
        <v>411</v>
      </c>
      <c r="M414" s="5">
        <v>44062</v>
      </c>
      <c r="N414" s="26">
        <f t="shared" si="90"/>
        <v>1.0030066854791886</v>
      </c>
      <c r="O414" s="26">
        <f t="shared" si="91"/>
        <v>0.64064872646720927</v>
      </c>
      <c r="P414" s="26">
        <f t="shared" si="92"/>
        <v>0.71810480990219205</v>
      </c>
      <c r="Q414" s="22"/>
      <c r="AD414" s="59">
        <v>410</v>
      </c>
      <c r="AE414" s="61">
        <f t="shared" ca="1" si="94"/>
        <v>-0.12141290174563057</v>
      </c>
      <c r="AF414" s="61">
        <f t="shared" ca="1" si="94"/>
        <v>0.45331286588181191</v>
      </c>
      <c r="AG414" s="61">
        <f t="shared" ca="1" si="94"/>
        <v>-2.6117117752832781E-2</v>
      </c>
      <c r="AH414" s="19"/>
      <c r="AI414" s="61">
        <f ca="1"/>
        <v>-2.6327519423660927E-3</v>
      </c>
      <c r="AJ414" s="61">
        <f ca="1"/>
        <v>7.9528206709419021E-3</v>
      </c>
      <c r="AK414" s="61">
        <f ca="1"/>
        <v>7.2937672822404487E-4</v>
      </c>
      <c r="AL414" s="19"/>
      <c r="AM414" s="61">
        <f t="shared" ca="1" si="98"/>
        <v>-2.2815356198558484E-3</v>
      </c>
      <c r="AN414" s="61">
        <f t="shared" ca="1" si="99"/>
        <v>8.2018732678584335E-3</v>
      </c>
      <c r="AO414" s="61">
        <f t="shared" ca="1" si="100"/>
        <v>1.1610453314788631E-3</v>
      </c>
      <c r="AP414" s="19"/>
      <c r="AQ414" s="62">
        <f t="shared" ca="1" si="95"/>
        <v>0.85421154703945334</v>
      </c>
      <c r="AR414" s="62">
        <f t="shared" ca="1" si="96"/>
        <v>1.032040838915246</v>
      </c>
      <c r="AS414" s="62">
        <f t="shared" ca="1" si="97"/>
        <v>0.96783068293347252</v>
      </c>
      <c r="AT414" s="49"/>
    </row>
    <row r="415" spans="1:46" x14ac:dyDescent="0.3">
      <c r="A415" s="5">
        <v>44063</v>
      </c>
      <c r="B415" s="6">
        <v>56.110000999999997</v>
      </c>
      <c r="C415" s="6">
        <v>67.269997000000004</v>
      </c>
      <c r="D415" s="6">
        <v>52.700001</v>
      </c>
      <c r="F415" s="13">
        <v>412</v>
      </c>
      <c r="G415" s="5">
        <v>44063</v>
      </c>
      <c r="H415" s="15">
        <f t="shared" si="93"/>
        <v>-1.0636476807346735E-2</v>
      </c>
      <c r="I415" s="15">
        <f t="shared" si="93"/>
        <v>-4.1537813766430245E-3</v>
      </c>
      <c r="J415" s="15">
        <f t="shared" si="93"/>
        <v>-2.9171795848571519E-2</v>
      </c>
      <c r="K415" s="22"/>
      <c r="L415" s="13">
        <v>412</v>
      </c>
      <c r="M415" s="5">
        <v>44063</v>
      </c>
      <c r="N415" s="26">
        <f t="shared" si="90"/>
        <v>0.99239476490281631</v>
      </c>
      <c r="O415" s="26">
        <f t="shared" si="91"/>
        <v>0.63799313091818799</v>
      </c>
      <c r="P415" s="26">
        <f t="shared" si="92"/>
        <v>0.69745900469716804</v>
      </c>
      <c r="Q415" s="22"/>
      <c r="AD415" s="59">
        <v>411</v>
      </c>
      <c r="AE415" s="61">
        <f t="shared" ca="1" si="94"/>
        <v>-2.2934218744166208</v>
      </c>
      <c r="AF415" s="61">
        <f t="shared" ca="1" si="94"/>
        <v>0.18202652344215706</v>
      </c>
      <c r="AG415" s="61">
        <f t="shared" ca="1" si="94"/>
        <v>1.009088259616431</v>
      </c>
      <c r="AH415" s="19"/>
      <c r="AI415" s="61">
        <f ca="1"/>
        <v>-4.9731213138990316E-2</v>
      </c>
      <c r="AJ415" s="61">
        <f ca="1"/>
        <v>-3.1940882447304052E-2</v>
      </c>
      <c r="AK415" s="61">
        <f ca="1"/>
        <v>-6.7518499809267399E-3</v>
      </c>
      <c r="AL415" s="19"/>
      <c r="AM415" s="61">
        <f t="shared" ca="1" si="98"/>
        <v>-4.9379996816480073E-2</v>
      </c>
      <c r="AN415" s="61">
        <f t="shared" ca="1" si="99"/>
        <v>-3.1691829850387522E-2</v>
      </c>
      <c r="AO415" s="61">
        <f t="shared" ca="1" si="100"/>
        <v>-6.3201813776719218E-3</v>
      </c>
      <c r="AP415" s="19"/>
      <c r="AQ415" s="62">
        <f t="shared" ca="1" si="95"/>
        <v>0.81305509880333537</v>
      </c>
      <c r="AR415" s="62">
        <f t="shared" ca="1" si="96"/>
        <v>0.99984642081279274</v>
      </c>
      <c r="AS415" s="62">
        <f t="shared" ca="1" si="97"/>
        <v>0.96173310666558276</v>
      </c>
      <c r="AT415" s="49"/>
    </row>
    <row r="416" spans="1:46" x14ac:dyDescent="0.3">
      <c r="A416" s="5">
        <v>44064</v>
      </c>
      <c r="B416" s="6">
        <v>55.349997999999999</v>
      </c>
      <c r="C416" s="6">
        <v>67.050003000000004</v>
      </c>
      <c r="D416" s="6">
        <v>52.619999</v>
      </c>
      <c r="F416" s="13">
        <v>413</v>
      </c>
      <c r="G416" s="5">
        <v>44064</v>
      </c>
      <c r="H416" s="15">
        <f t="shared" si="93"/>
        <v>-1.3637444564064989E-2</v>
      </c>
      <c r="I416" s="15">
        <f t="shared" si="93"/>
        <v>-3.2756729706950407E-3</v>
      </c>
      <c r="J416" s="15">
        <f t="shared" si="93"/>
        <v>-1.5192179146829819E-3</v>
      </c>
      <c r="K416" s="22"/>
      <c r="L416" s="13">
        <v>413</v>
      </c>
      <c r="M416" s="5">
        <v>44064</v>
      </c>
      <c r="N416" s="26">
        <f t="shared" si="90"/>
        <v>0.97895290097359566</v>
      </c>
      <c r="O416" s="26">
        <f t="shared" si="91"/>
        <v>0.63590669317324178</v>
      </c>
      <c r="P416" s="26">
        <f t="shared" si="92"/>
        <v>0.69640021695077337</v>
      </c>
      <c r="Q416" s="22"/>
      <c r="AD416" s="59">
        <v>412</v>
      </c>
      <c r="AE416" s="61">
        <f t="shared" ca="1" si="94"/>
        <v>-0.42377345287745671</v>
      </c>
      <c r="AF416" s="61">
        <f t="shared" ca="1" si="94"/>
        <v>-1.5922693731284703</v>
      </c>
      <c r="AG416" s="61">
        <f t="shared" ca="1" si="94"/>
        <v>-0.40194953483666163</v>
      </c>
      <c r="AH416" s="19"/>
      <c r="AI416" s="61">
        <f ca="1"/>
        <v>-9.1892242516678144E-3</v>
      </c>
      <c r="AJ416" s="61">
        <f ca="1"/>
        <v>-4.1242640422831219E-2</v>
      </c>
      <c r="AK416" s="61">
        <f ca="1"/>
        <v>-2.777290766417348E-2</v>
      </c>
      <c r="AL416" s="19"/>
      <c r="AM416" s="61">
        <f t="shared" ca="1" si="98"/>
        <v>-8.8380079291575705E-3</v>
      </c>
      <c r="AN416" s="61">
        <f t="shared" ca="1" si="99"/>
        <v>-4.0993587825914689E-2</v>
      </c>
      <c r="AO416" s="61">
        <f t="shared" ca="1" si="100"/>
        <v>-2.7341239060918662E-2</v>
      </c>
      <c r="AP416" s="19"/>
      <c r="AQ416" s="62">
        <f t="shared" ca="1" si="95"/>
        <v>0.80590097207521572</v>
      </c>
      <c r="AR416" s="62">
        <f t="shared" ca="1" si="96"/>
        <v>0.95968787383614906</v>
      </c>
      <c r="AS416" s="62">
        <f t="shared" ca="1" si="97"/>
        <v>0.93579434664494543</v>
      </c>
      <c r="AT416" s="49"/>
    </row>
    <row r="417" spans="1:46" x14ac:dyDescent="0.3">
      <c r="A417" s="5">
        <v>44067</v>
      </c>
      <c r="B417" s="6">
        <v>56.189999</v>
      </c>
      <c r="C417" s="6">
        <v>70.25</v>
      </c>
      <c r="D417" s="6">
        <v>54.990001999999997</v>
      </c>
      <c r="F417" s="13">
        <v>414</v>
      </c>
      <c r="G417" s="5">
        <v>44067</v>
      </c>
      <c r="H417" s="15">
        <f t="shared" si="93"/>
        <v>1.50621643063952E-2</v>
      </c>
      <c r="I417" s="15">
        <f t="shared" si="93"/>
        <v>4.6621653743439198E-2</v>
      </c>
      <c r="J417" s="15">
        <f t="shared" si="93"/>
        <v>4.4055130282006243E-2</v>
      </c>
      <c r="K417" s="22"/>
      <c r="L417" s="13">
        <v>414</v>
      </c>
      <c r="M417" s="5">
        <v>44067</v>
      </c>
      <c r="N417" s="26">
        <f t="shared" si="90"/>
        <v>0.99380965698957102</v>
      </c>
      <c r="O417" s="26">
        <f t="shared" si="91"/>
        <v>0.666255677802434</v>
      </c>
      <c r="P417" s="26">
        <f t="shared" si="92"/>
        <v>0.72776605949619011</v>
      </c>
      <c r="Q417" s="22"/>
      <c r="AD417" s="59">
        <v>413</v>
      </c>
      <c r="AE417" s="61">
        <f t="shared" ca="1" si="94"/>
        <v>-1.9270854296545962E-2</v>
      </c>
      <c r="AF417" s="61">
        <f t="shared" ca="1" si="94"/>
        <v>1.1683637990465343</v>
      </c>
      <c r="AG417" s="61">
        <f t="shared" ca="1" si="94"/>
        <v>-0.39411095180232059</v>
      </c>
      <c r="AH417" s="19"/>
      <c r="AI417" s="61">
        <f ca="1"/>
        <v>-4.1787469330549314E-4</v>
      </c>
      <c r="AJ417" s="61">
        <f ca="1"/>
        <v>2.5093942190158969E-2</v>
      </c>
      <c r="AK417" s="61">
        <f ca="1"/>
        <v>-2.1536861735684202E-3</v>
      </c>
      <c r="AL417" s="19"/>
      <c r="AM417" s="61">
        <f t="shared" ca="1" si="98"/>
        <v>-6.6658370795248927E-5</v>
      </c>
      <c r="AN417" s="61">
        <f t="shared" ca="1" si="99"/>
        <v>2.5342994787075499E-2</v>
      </c>
      <c r="AO417" s="61">
        <f t="shared" ca="1" si="100"/>
        <v>-1.7220175703136021E-3</v>
      </c>
      <c r="AP417" s="19"/>
      <c r="AQ417" s="62">
        <f t="shared" ca="1" si="95"/>
        <v>0.80584725381980038</v>
      </c>
      <c r="AR417" s="62">
        <f t="shared" ca="1" si="96"/>
        <v>0.98432004677924778</v>
      </c>
      <c r="AS417" s="62">
        <f t="shared" ca="1" si="97"/>
        <v>0.93418427901806123</v>
      </c>
      <c r="AT417" s="49"/>
    </row>
    <row r="418" spans="1:46" x14ac:dyDescent="0.3">
      <c r="A418" s="5">
        <v>44068</v>
      </c>
      <c r="B418" s="6">
        <v>54.75</v>
      </c>
      <c r="C418" s="6">
        <v>69.120002999999997</v>
      </c>
      <c r="D418" s="6">
        <v>54.25</v>
      </c>
      <c r="F418" s="13">
        <v>415</v>
      </c>
      <c r="G418" s="5">
        <v>44068</v>
      </c>
      <c r="H418" s="15">
        <f t="shared" si="93"/>
        <v>-2.5961418630735533E-2</v>
      </c>
      <c r="I418" s="15">
        <f t="shared" si="93"/>
        <v>-1.6216140315278137E-2</v>
      </c>
      <c r="J418" s="15">
        <f t="shared" si="93"/>
        <v>-1.3548394469402845E-2</v>
      </c>
      <c r="K418" s="22"/>
      <c r="L418" s="13">
        <v>415</v>
      </c>
      <c r="M418" s="5">
        <v>44068</v>
      </c>
      <c r="N418" s="26">
        <f t="shared" si="90"/>
        <v>0.96834098039722361</v>
      </c>
      <c r="O418" s="26">
        <f t="shared" si="91"/>
        <v>0.65553871101026717</v>
      </c>
      <c r="P418" s="26">
        <f t="shared" si="92"/>
        <v>0.7179724912115536</v>
      </c>
      <c r="Q418" s="22"/>
      <c r="AD418" s="59">
        <v>414</v>
      </c>
      <c r="AE418" s="61">
        <f t="shared" ca="1" si="94"/>
        <v>0.48533855532883674</v>
      </c>
      <c r="AF418" s="61">
        <f t="shared" ca="1" si="94"/>
        <v>1.0597658544122137</v>
      </c>
      <c r="AG418" s="61">
        <f t="shared" ca="1" si="94"/>
        <v>3.7783382436968611E-2</v>
      </c>
      <c r="AH418" s="19"/>
      <c r="AI418" s="61">
        <f ca="1"/>
        <v>1.0524219468242247E-2</v>
      </c>
      <c r="AJ418" s="61">
        <f ca="1"/>
        <v>3.0631772348957333E-2</v>
      </c>
      <c r="AK418" s="61">
        <f ca="1"/>
        <v>1.5602510099863458E-2</v>
      </c>
      <c r="AL418" s="19"/>
      <c r="AM418" s="61">
        <f t="shared" ca="1" si="98"/>
        <v>1.0875435790752491E-2</v>
      </c>
      <c r="AN418" s="61">
        <f t="shared" ca="1" si="99"/>
        <v>3.0880824945873863E-2</v>
      </c>
      <c r="AO418" s="61">
        <f t="shared" ca="1" si="100"/>
        <v>1.6034178703118275E-2</v>
      </c>
      <c r="AP418" s="19"/>
      <c r="AQ418" s="62">
        <f t="shared" ca="1" si="95"/>
        <v>0.81465902294965475</v>
      </c>
      <c r="AR418" s="62">
        <f t="shared" ca="1" si="96"/>
        <v>1.0151908668016898</v>
      </c>
      <c r="AS418" s="62">
        <f t="shared" ca="1" si="97"/>
        <v>0.94928388810338682</v>
      </c>
      <c r="AT418" s="49"/>
    </row>
    <row r="419" spans="1:46" x14ac:dyDescent="0.3">
      <c r="A419" s="5">
        <v>44069</v>
      </c>
      <c r="B419" s="6">
        <v>53.970001000000003</v>
      </c>
      <c r="C419" s="6">
        <v>67.650002000000001</v>
      </c>
      <c r="D419" s="6">
        <v>53.700001</v>
      </c>
      <c r="F419" s="13">
        <v>416</v>
      </c>
      <c r="G419" s="5">
        <v>44069</v>
      </c>
      <c r="H419" s="15">
        <f t="shared" si="93"/>
        <v>-1.4349013537246526E-2</v>
      </c>
      <c r="I419" s="15">
        <f t="shared" si="93"/>
        <v>-2.1496783717848383E-2</v>
      </c>
      <c r="J419" s="15">
        <f t="shared" si="93"/>
        <v>-1.0189972283776114E-2</v>
      </c>
      <c r="K419" s="22"/>
      <c r="L419" s="13">
        <v>416</v>
      </c>
      <c r="M419" s="5">
        <v>44069</v>
      </c>
      <c r="N419" s="26">
        <f t="shared" si="90"/>
        <v>0.95454545534939073</v>
      </c>
      <c r="O419" s="26">
        <f t="shared" si="91"/>
        <v>0.64159712364193611</v>
      </c>
      <c r="P419" s="26">
        <f t="shared" si="92"/>
        <v>0.71069352066420122</v>
      </c>
      <c r="Q419" s="22"/>
      <c r="AD419" s="59">
        <v>415</v>
      </c>
      <c r="AE419" s="61">
        <f t="shared" ca="1" si="94"/>
        <v>0.26682589367125137</v>
      </c>
      <c r="AF419" s="61">
        <f t="shared" ca="1" si="94"/>
        <v>0.70781483234761355</v>
      </c>
      <c r="AG419" s="61">
        <f t="shared" ca="1" si="94"/>
        <v>0.32450643322021366</v>
      </c>
      <c r="AH419" s="19"/>
      <c r="AI419" s="61">
        <f ca="1"/>
        <v>5.7859286759187993E-3</v>
      </c>
      <c r="AJ419" s="61">
        <f ca="1"/>
        <v>1.956152471510593E-2</v>
      </c>
      <c r="AK419" s="61">
        <f ca="1"/>
        <v>1.7241096659901967E-2</v>
      </c>
      <c r="AL419" s="19"/>
      <c r="AM419" s="61">
        <f t="shared" ca="1" si="98"/>
        <v>6.1371449984290432E-3</v>
      </c>
      <c r="AN419" s="61">
        <f t="shared" ca="1" si="99"/>
        <v>1.9810577312022459E-2</v>
      </c>
      <c r="AO419" s="61">
        <f t="shared" ca="1" si="100"/>
        <v>1.7672765263156785E-2</v>
      </c>
      <c r="AP419" s="19"/>
      <c r="AQ419" s="62">
        <f t="shared" ca="1" si="95"/>
        <v>0.81967407681334159</v>
      </c>
      <c r="AR419" s="62">
        <f t="shared" ca="1" si="96"/>
        <v>1.0355029163695906</v>
      </c>
      <c r="AS419" s="62">
        <f t="shared" ca="1" si="97"/>
        <v>0.96620947990758532</v>
      </c>
      <c r="AT419" s="49"/>
    </row>
    <row r="420" spans="1:46" x14ac:dyDescent="0.3">
      <c r="A420" s="5">
        <v>44070</v>
      </c>
      <c r="B420" s="6">
        <v>53.990001999999997</v>
      </c>
      <c r="C420" s="6">
        <v>68.239998</v>
      </c>
      <c r="D420" s="6">
        <v>53.439999</v>
      </c>
      <c r="F420" s="13">
        <v>417</v>
      </c>
      <c r="G420" s="5">
        <v>44070</v>
      </c>
      <c r="H420" s="15">
        <f t="shared" si="93"/>
        <v>3.7052611472829526E-4</v>
      </c>
      <c r="I420" s="15">
        <f t="shared" si="93"/>
        <v>8.6834896943711638E-3</v>
      </c>
      <c r="J420" s="15">
        <f t="shared" si="93"/>
        <v>-4.8535096209774663E-3</v>
      </c>
      <c r="K420" s="22"/>
      <c r="L420" s="13">
        <v>417</v>
      </c>
      <c r="M420" s="5">
        <v>44070</v>
      </c>
      <c r="N420" s="26">
        <f t="shared" si="90"/>
        <v>0.95489920490096913</v>
      </c>
      <c r="O420" s="26">
        <f t="shared" si="91"/>
        <v>0.64719268499255145</v>
      </c>
      <c r="P420" s="26">
        <f t="shared" si="92"/>
        <v>0.70725252004374062</v>
      </c>
      <c r="Q420" s="22"/>
      <c r="AD420" s="59">
        <v>416</v>
      </c>
      <c r="AE420" s="61">
        <f t="shared" ca="1" si="94"/>
        <v>0.66082392562475778</v>
      </c>
      <c r="AF420" s="61">
        <f t="shared" ca="1" si="94"/>
        <v>1.2269613526883525</v>
      </c>
      <c r="AG420" s="61">
        <f t="shared" ca="1" si="94"/>
        <v>0.18735499080345994</v>
      </c>
      <c r="AH420" s="19"/>
      <c r="AI420" s="61">
        <f ca="1"/>
        <v>1.4329494219613931E-2</v>
      </c>
      <c r="AJ420" s="61">
        <f ca="1"/>
        <v>3.7012692959698737E-2</v>
      </c>
      <c r="AK420" s="61">
        <f ca="1"/>
        <v>2.3204887885885119E-2</v>
      </c>
      <c r="AL420" s="19"/>
      <c r="AM420" s="61">
        <f t="shared" ca="1" si="98"/>
        <v>1.4680710542124175E-2</v>
      </c>
      <c r="AN420" s="61">
        <f t="shared" ca="1" si="99"/>
        <v>3.7261745556615267E-2</v>
      </c>
      <c r="AO420" s="61">
        <f t="shared" ca="1" si="100"/>
        <v>2.3636556489139936E-2</v>
      </c>
      <c r="AP420" s="19"/>
      <c r="AQ420" s="62">
        <f t="shared" ca="1" si="95"/>
        <v>0.83179623792661894</v>
      </c>
      <c r="AR420" s="62">
        <f t="shared" ca="1" si="96"/>
        <v>1.0748154407250867</v>
      </c>
      <c r="AS420" s="62">
        <f t="shared" ca="1" si="97"/>
        <v>0.98931938826353827</v>
      </c>
      <c r="AT420" s="49"/>
    </row>
    <row r="421" spans="1:46" x14ac:dyDescent="0.3">
      <c r="A421" s="5">
        <v>44071</v>
      </c>
      <c r="B421" s="6">
        <v>53.990001999999997</v>
      </c>
      <c r="C421" s="6">
        <v>71.190002000000007</v>
      </c>
      <c r="D421" s="6">
        <v>54.889999000000003</v>
      </c>
      <c r="F421" s="13">
        <v>418</v>
      </c>
      <c r="G421" s="5">
        <v>44071</v>
      </c>
      <c r="H421" s="15">
        <f t="shared" si="93"/>
        <v>0</v>
      </c>
      <c r="I421" s="15">
        <f t="shared" si="93"/>
        <v>4.2321513334515205E-2</v>
      </c>
      <c r="J421" s="15">
        <f t="shared" si="93"/>
        <v>2.6771653827727837E-2</v>
      </c>
      <c r="K421" s="22"/>
      <c r="L421" s="13">
        <v>418</v>
      </c>
      <c r="M421" s="5">
        <v>44071</v>
      </c>
      <c r="N421" s="26">
        <f t="shared" si="90"/>
        <v>0.95489920490096913</v>
      </c>
      <c r="O421" s="26">
        <f t="shared" si="91"/>
        <v>0.67517071936322615</v>
      </c>
      <c r="P421" s="26">
        <f t="shared" si="92"/>
        <v>0.72644256819593889</v>
      </c>
      <c r="Q421" s="22"/>
      <c r="AD421" s="59">
        <v>417</v>
      </c>
      <c r="AE421" s="61">
        <f t="shared" ca="1" si="94"/>
        <v>-0.61585083127017759</v>
      </c>
      <c r="AF421" s="61">
        <f t="shared" ca="1" si="94"/>
        <v>0.14411276508756435</v>
      </c>
      <c r="AG421" s="61">
        <f t="shared" ca="1" si="94"/>
        <v>0.92816708195779885</v>
      </c>
      <c r="AH421" s="19"/>
      <c r="AI421" s="61">
        <f ca="1"/>
        <v>-1.3354284832358712E-2</v>
      </c>
      <c r="AJ421" s="61">
        <f ca="1"/>
        <v>-6.5070677179862747E-3</v>
      </c>
      <c r="AK421" s="61">
        <f ca="1"/>
        <v>1.5694975137266472E-2</v>
      </c>
      <c r="AL421" s="19"/>
      <c r="AM421" s="61">
        <f t="shared" ca="1" si="98"/>
        <v>-1.3003068509848469E-2</v>
      </c>
      <c r="AN421" s="61">
        <f t="shared" ca="1" si="99"/>
        <v>-6.2580151210697441E-3</v>
      </c>
      <c r="AO421" s="61">
        <f t="shared" ca="1" si="100"/>
        <v>1.612664374052129E-2</v>
      </c>
      <c r="AP421" s="19"/>
      <c r="AQ421" s="62">
        <f t="shared" ca="1" si="95"/>
        <v>0.82105035062197362</v>
      </c>
      <c r="AR421" s="62">
        <f t="shared" ca="1" si="96"/>
        <v>1.0681102319763949</v>
      </c>
      <c r="AS421" s="62">
        <f t="shared" ca="1" si="97"/>
        <v>1.0054031293937218</v>
      </c>
      <c r="AT421" s="49"/>
    </row>
    <row r="422" spans="1:46" x14ac:dyDescent="0.3">
      <c r="A422" s="5">
        <v>44074</v>
      </c>
      <c r="B422" s="6">
        <v>53.200001</v>
      </c>
      <c r="C422" s="6">
        <v>68.830001999999993</v>
      </c>
      <c r="D422" s="6">
        <v>52.59</v>
      </c>
      <c r="F422" s="13">
        <v>419</v>
      </c>
      <c r="G422" s="5">
        <v>44074</v>
      </c>
      <c r="H422" s="15">
        <f t="shared" si="93"/>
        <v>-1.4740466129500911E-2</v>
      </c>
      <c r="I422" s="15">
        <f t="shared" si="93"/>
        <v>-3.3712661742245527E-2</v>
      </c>
      <c r="J422" s="15">
        <f t="shared" si="93"/>
        <v>-4.2805176742290132E-2</v>
      </c>
      <c r="K422" s="22"/>
      <c r="L422" s="13">
        <v>419</v>
      </c>
      <c r="M422" s="5">
        <v>44074</v>
      </c>
      <c r="N422" s="26">
        <f t="shared" si="90"/>
        <v>0.9409267785474571</v>
      </c>
      <c r="O422" s="26">
        <f t="shared" si="91"/>
        <v>0.65278832221569938</v>
      </c>
      <c r="P422" s="26">
        <f t="shared" si="92"/>
        <v>0.69600319470627847</v>
      </c>
      <c r="Q422" s="22"/>
      <c r="AD422" s="59">
        <v>418</v>
      </c>
      <c r="AE422" s="61">
        <f t="shared" ca="1" si="94"/>
        <v>2.0359223174360759</v>
      </c>
      <c r="AF422" s="61">
        <f t="shared" ca="1" si="94"/>
        <v>0.76475284025067669</v>
      </c>
      <c r="AG422" s="61">
        <f t="shared" ca="1" si="94"/>
        <v>0.27570996004066139</v>
      </c>
      <c r="AH422" s="19"/>
      <c r="AI422" s="61">
        <f ca="1"/>
        <v>4.4147519404207018E-2</v>
      </c>
      <c r="AJ422" s="61">
        <f ca="1"/>
        <v>4.8489625291857803E-2</v>
      </c>
      <c r="AK422" s="61">
        <f ca="1"/>
        <v>4.2531282575853521E-2</v>
      </c>
      <c r="AL422" s="19"/>
      <c r="AM422" s="61">
        <f t="shared" ca="1" si="98"/>
        <v>4.449873572671726E-2</v>
      </c>
      <c r="AN422" s="61">
        <f t="shared" ca="1" si="99"/>
        <v>4.8738677888774333E-2</v>
      </c>
      <c r="AO422" s="61">
        <f t="shared" ca="1" si="100"/>
        <v>4.2962951179108338E-2</v>
      </c>
      <c r="AP422" s="19"/>
      <c r="AQ422" s="62">
        <f t="shared" ca="1" si="95"/>
        <v>0.85841114243817884</v>
      </c>
      <c r="AR422" s="62">
        <f t="shared" ca="1" si="96"/>
        <v>1.1214580023873313</v>
      </c>
      <c r="AS422" s="62">
        <f t="shared" ca="1" si="97"/>
        <v>1.0495395414526942</v>
      </c>
      <c r="AT422" s="49"/>
    </row>
    <row r="423" spans="1:46" x14ac:dyDescent="0.3">
      <c r="A423" s="5">
        <v>44075</v>
      </c>
      <c r="B423" s="6">
        <v>53.439999</v>
      </c>
      <c r="C423" s="6">
        <v>69.169998000000007</v>
      </c>
      <c r="D423" s="6">
        <v>52.470001000000003</v>
      </c>
      <c r="F423" s="13">
        <v>420</v>
      </c>
      <c r="G423" s="5">
        <v>44075</v>
      </c>
      <c r="H423" s="15">
        <f t="shared" si="93"/>
        <v>4.5010953712242901E-3</v>
      </c>
      <c r="I423" s="15">
        <f t="shared" si="93"/>
        <v>4.9274882308543962E-3</v>
      </c>
      <c r="J423" s="15">
        <f t="shared" si="93"/>
        <v>-2.2843908441230157E-3</v>
      </c>
      <c r="K423" s="22"/>
      <c r="L423" s="13">
        <v>420</v>
      </c>
      <c r="M423" s="5">
        <v>44075</v>
      </c>
      <c r="N423" s="26">
        <f t="shared" si="90"/>
        <v>0.94517152555409401</v>
      </c>
      <c r="O423" s="26">
        <f t="shared" si="91"/>
        <v>0.65601286691933103</v>
      </c>
      <c r="P423" s="26">
        <f t="shared" si="92"/>
        <v>0.69441506602475045</v>
      </c>
      <c r="Q423" s="22"/>
      <c r="AD423" s="59">
        <v>419</v>
      </c>
      <c r="AE423" s="61">
        <f t="shared" ca="1" si="94"/>
        <v>1.2246863231023133</v>
      </c>
      <c r="AF423" s="61">
        <f t="shared" ca="1" si="94"/>
        <v>0.83457010810391696</v>
      </c>
      <c r="AG423" s="61">
        <f t="shared" ca="1" si="94"/>
        <v>1.3594907210156955</v>
      </c>
      <c r="AH423" s="19"/>
      <c r="AI423" s="61">
        <f ca="1"/>
        <v>2.6556447046228678E-2</v>
      </c>
      <c r="AJ423" s="61">
        <f ca="1"/>
        <v>3.7309434741055629E-2</v>
      </c>
      <c r="AK423" s="61">
        <f ca="1"/>
        <v>5.8802927590866416E-2</v>
      </c>
      <c r="AL423" s="19"/>
      <c r="AM423" s="61">
        <f t="shared" ca="1" si="98"/>
        <v>2.6907663368738923E-2</v>
      </c>
      <c r="AN423" s="61">
        <f t="shared" ca="1" si="99"/>
        <v>3.7558487337972159E-2</v>
      </c>
      <c r="AO423" s="61">
        <f t="shared" ca="1" si="100"/>
        <v>5.9234596194121233E-2</v>
      </c>
      <c r="AP423" s="19"/>
      <c r="AQ423" s="62">
        <f t="shared" ca="1" si="95"/>
        <v>0.88182254099225443</v>
      </c>
      <c r="AR423" s="62">
        <f t="shared" ca="1" si="96"/>
        <v>1.1643792517532734</v>
      </c>
      <c r="AS423" s="62">
        <f t="shared" ca="1" si="97"/>
        <v>1.1135867723284736</v>
      </c>
      <c r="AT423" s="49"/>
    </row>
    <row r="424" spans="1:46" x14ac:dyDescent="0.3">
      <c r="A424" s="5">
        <v>44076</v>
      </c>
      <c r="B424" s="6">
        <v>54.93</v>
      </c>
      <c r="C424" s="6">
        <v>71.589995999999999</v>
      </c>
      <c r="D424" s="6">
        <v>52.91</v>
      </c>
      <c r="F424" s="13">
        <v>421</v>
      </c>
      <c r="G424" s="5">
        <v>44076</v>
      </c>
      <c r="H424" s="15">
        <f t="shared" si="93"/>
        <v>2.7500136838713662E-2</v>
      </c>
      <c r="I424" s="15">
        <f t="shared" si="93"/>
        <v>3.4388129836142867E-2</v>
      </c>
      <c r="J424" s="15">
        <f t="shared" si="93"/>
        <v>8.350760158910342E-3</v>
      </c>
      <c r="K424" s="22"/>
      <c r="L424" s="13">
        <v>421</v>
      </c>
      <c r="M424" s="5">
        <v>44076</v>
      </c>
      <c r="N424" s="26">
        <f t="shared" si="90"/>
        <v>0.97152456718209124</v>
      </c>
      <c r="O424" s="26">
        <f t="shared" si="91"/>
        <v>0.67896428909400053</v>
      </c>
      <c r="P424" s="26">
        <f t="shared" si="92"/>
        <v>0.70023823981572897</v>
      </c>
      <c r="Q424" s="22"/>
      <c r="AD424" s="59">
        <v>420</v>
      </c>
      <c r="AE424" s="61">
        <f t="shared" ca="1" si="94"/>
        <v>-1.4384045727472357</v>
      </c>
      <c r="AF424" s="61">
        <f t="shared" ca="1" si="94"/>
        <v>-1.340085134107847</v>
      </c>
      <c r="AG424" s="61">
        <f t="shared" ca="1" si="94"/>
        <v>-1.0932033110635744</v>
      </c>
      <c r="AH424" s="19"/>
      <c r="AI424" s="61">
        <f ca="1"/>
        <v>-3.1190774442921509E-2</v>
      </c>
      <c r="AJ424" s="61">
        <f ca="1"/>
        <v>-5.1642508512197968E-2</v>
      </c>
      <c r="AK424" s="61">
        <f ca="1"/>
        <v>-5.869852963588882E-2</v>
      </c>
      <c r="AL424" s="19"/>
      <c r="AM424" s="61">
        <f t="shared" ca="1" si="98"/>
        <v>-3.0839558120411264E-2</v>
      </c>
      <c r="AN424" s="61">
        <f t="shared" ca="1" si="99"/>
        <v>-5.1393455915281439E-2</v>
      </c>
      <c r="AO424" s="61">
        <f t="shared" ca="1" si="100"/>
        <v>-5.8266861032634003E-2</v>
      </c>
      <c r="AP424" s="19"/>
      <c r="AQ424" s="62">
        <f t="shared" ca="1" si="95"/>
        <v>0.85504258691510415</v>
      </c>
      <c r="AR424" s="62">
        <f t="shared" ca="1" si="96"/>
        <v>1.1060495000096298</v>
      </c>
      <c r="AS424" s="62">
        <f t="shared" ca="1" si="97"/>
        <v>1.0505557093817424</v>
      </c>
      <c r="AT424" s="49"/>
    </row>
    <row r="425" spans="1:46" x14ac:dyDescent="0.3">
      <c r="A425" s="5">
        <v>44077</v>
      </c>
      <c r="B425" s="6">
        <v>53.220001000000003</v>
      </c>
      <c r="C425" s="6">
        <v>74.150002000000001</v>
      </c>
      <c r="D425" s="6">
        <v>52.330002</v>
      </c>
      <c r="F425" s="13">
        <v>422</v>
      </c>
      <c r="G425" s="5">
        <v>44077</v>
      </c>
      <c r="H425" s="15">
        <f t="shared" si="93"/>
        <v>-3.1625363015057445E-2</v>
      </c>
      <c r="I425" s="15">
        <f t="shared" si="93"/>
        <v>3.5134752021927368E-2</v>
      </c>
      <c r="J425" s="15">
        <f t="shared" si="93"/>
        <v>-1.1022498312929754E-2</v>
      </c>
      <c r="K425" s="22"/>
      <c r="L425" s="13">
        <v>422</v>
      </c>
      <c r="M425" s="5">
        <v>44077</v>
      </c>
      <c r="N425" s="26">
        <f t="shared" si="90"/>
        <v>0.94128051041244243</v>
      </c>
      <c r="O425" s="26">
        <f t="shared" si="91"/>
        <v>0.70324355646351366</v>
      </c>
      <c r="P425" s="26">
        <f t="shared" si="92"/>
        <v>0.69256224702388169</v>
      </c>
      <c r="Q425" s="22"/>
      <c r="AD425" s="59">
        <v>421</v>
      </c>
      <c r="AE425" s="61">
        <f t="shared" ca="1" si="94"/>
        <v>-1.2894641226540775</v>
      </c>
      <c r="AF425" s="61">
        <f t="shared" ca="1" si="94"/>
        <v>-0.40325701547282256</v>
      </c>
      <c r="AG425" s="61">
        <f t="shared" ca="1" si="94"/>
        <v>0.33618465132619735</v>
      </c>
      <c r="AH425" s="19"/>
      <c r="AI425" s="61">
        <f ca="1"/>
        <v>-2.7961107301770639E-2</v>
      </c>
      <c r="AJ425" s="61">
        <f ca="1"/>
        <v>-2.8948329771401757E-2</v>
      </c>
      <c r="AK425" s="61">
        <f ca="1"/>
        <v>-1.3279422531059074E-2</v>
      </c>
      <c r="AL425" s="19"/>
      <c r="AM425" s="61">
        <f t="shared" ca="1" si="98"/>
        <v>-2.7609890979260393E-2</v>
      </c>
      <c r="AN425" s="61">
        <f t="shared" ca="1" si="99"/>
        <v>-2.8699277174485227E-2</v>
      </c>
      <c r="AO425" s="61">
        <f t="shared" ca="1" si="100"/>
        <v>-1.2847753927804255E-2</v>
      </c>
      <c r="AP425" s="19"/>
      <c r="AQ425" s="62">
        <f t="shared" ca="1" si="95"/>
        <v>0.83175787760468911</v>
      </c>
      <c r="AR425" s="62">
        <f t="shared" ca="1" si="96"/>
        <v>1.0747578504493702</v>
      </c>
      <c r="AS425" s="62">
        <f t="shared" ca="1" si="97"/>
        <v>1.037144762882839</v>
      </c>
      <c r="AT425" s="49"/>
    </row>
    <row r="426" spans="1:46" x14ac:dyDescent="0.3">
      <c r="A426" s="5">
        <v>44078</v>
      </c>
      <c r="B426" s="6">
        <v>53.200001</v>
      </c>
      <c r="C426" s="6">
        <v>74.050003000000004</v>
      </c>
      <c r="D426" s="6">
        <v>51.220001000000003</v>
      </c>
      <c r="F426" s="13">
        <v>423</v>
      </c>
      <c r="G426" s="5">
        <v>44078</v>
      </c>
      <c r="H426" s="15">
        <f t="shared" si="93"/>
        <v>-3.7586919488055936E-4</v>
      </c>
      <c r="I426" s="15">
        <f t="shared" si="93"/>
        <v>-1.3495143293202707E-3</v>
      </c>
      <c r="J426" s="15">
        <f t="shared" si="93"/>
        <v>-2.1439758308107893E-2</v>
      </c>
      <c r="K426" s="22"/>
      <c r="L426" s="13">
        <v>423</v>
      </c>
      <c r="M426" s="5">
        <v>44078</v>
      </c>
      <c r="N426" s="26">
        <f t="shared" si="90"/>
        <v>0.9409267785474571</v>
      </c>
      <c r="O426" s="26">
        <f t="shared" si="91"/>
        <v>0.70229515928878683</v>
      </c>
      <c r="P426" s="26">
        <f t="shared" si="92"/>
        <v>0.67787192106595884</v>
      </c>
      <c r="Q426" s="22"/>
      <c r="AD426" s="59">
        <v>422</v>
      </c>
      <c r="AE426" s="61">
        <f t="shared" ca="1" si="94"/>
        <v>-0.72189827034457632</v>
      </c>
      <c r="AF426" s="61">
        <f t="shared" ca="1" si="94"/>
        <v>-0.61187571989442191</v>
      </c>
      <c r="AG426" s="61">
        <f t="shared" ca="1" si="94"/>
        <v>-0.32739962838300357</v>
      </c>
      <c r="AH426" s="19"/>
      <c r="AI426" s="61">
        <f ca="1"/>
        <v>-1.56538477057592E-2</v>
      </c>
      <c r="AJ426" s="61">
        <f ca="1"/>
        <v>-2.4599137093926519E-2</v>
      </c>
      <c r="AK426" s="61">
        <f ca="1"/>
        <v>-2.3363515623138188E-2</v>
      </c>
      <c r="AL426" s="19"/>
      <c r="AM426" s="61">
        <f t="shared" ca="1" si="98"/>
        <v>-1.5302631383248956E-2</v>
      </c>
      <c r="AN426" s="61">
        <f t="shared" ca="1" si="99"/>
        <v>-2.435008449700999E-2</v>
      </c>
      <c r="AO426" s="61">
        <f t="shared" ca="1" si="100"/>
        <v>-2.2931847019883371E-2</v>
      </c>
      <c r="AP426" s="19"/>
      <c r="AQ426" s="62">
        <f t="shared" ca="1" si="95"/>
        <v>0.81912668513155285</v>
      </c>
      <c r="AR426" s="62">
        <f t="shared" ca="1" si="96"/>
        <v>1.0489034617191779</v>
      </c>
      <c r="AS426" s="62">
        <f t="shared" ca="1" si="97"/>
        <v>1.013631746677587</v>
      </c>
      <c r="AT426" s="49"/>
    </row>
    <row r="427" spans="1:46" x14ac:dyDescent="0.3">
      <c r="A427" s="5">
        <v>44082</v>
      </c>
      <c r="B427" s="6">
        <v>51.849997999999999</v>
      </c>
      <c r="C427" s="6">
        <v>75.059997999999993</v>
      </c>
      <c r="D427" s="6">
        <v>48.73</v>
      </c>
      <c r="F427" s="13">
        <v>424</v>
      </c>
      <c r="G427" s="5">
        <v>44082</v>
      </c>
      <c r="H427" s="15">
        <f t="shared" si="93"/>
        <v>-2.5703519041861644E-2</v>
      </c>
      <c r="I427" s="15">
        <f t="shared" si="93"/>
        <v>1.354718583455004E-2</v>
      </c>
      <c r="J427" s="15">
        <f t="shared" si="93"/>
        <v>-4.9835243439587909E-2</v>
      </c>
      <c r="K427" s="22"/>
      <c r="L427" s="13">
        <v>424</v>
      </c>
      <c r="M427" s="5">
        <v>44082</v>
      </c>
      <c r="N427" s="26">
        <f t="shared" si="90"/>
        <v>0.91704982460117046</v>
      </c>
      <c r="O427" s="26">
        <f t="shared" si="91"/>
        <v>0.71187401912226811</v>
      </c>
      <c r="P427" s="26">
        <f t="shared" si="92"/>
        <v>0.64491796307353</v>
      </c>
      <c r="Q427" s="22"/>
      <c r="AD427" s="59">
        <v>423</v>
      </c>
      <c r="AE427" s="61">
        <f t="shared" ca="1" si="94"/>
        <v>-1.09365137800792</v>
      </c>
      <c r="AF427" s="61">
        <f t="shared" ca="1" si="94"/>
        <v>-1.5924590032422608</v>
      </c>
      <c r="AG427" s="61">
        <f t="shared" ca="1" si="94"/>
        <v>0.8747930608489044</v>
      </c>
      <c r="AH427" s="19"/>
      <c r="AI427" s="61">
        <f ca="1"/>
        <v>-2.3715047975330403E-2</v>
      </c>
      <c r="AJ427" s="61">
        <f ca="1"/>
        <v>-5.173191787422695E-2</v>
      </c>
      <c r="AK427" s="61">
        <f ca="1"/>
        <v>-4.9619672699631086E-3</v>
      </c>
      <c r="AL427" s="19"/>
      <c r="AM427" s="61">
        <f t="shared" ca="1" si="98"/>
        <v>-2.3363831652820157E-2</v>
      </c>
      <c r="AN427" s="61">
        <f t="shared" ca="1" si="99"/>
        <v>-5.148286527731042E-2</v>
      </c>
      <c r="AO427" s="61">
        <f t="shared" ca="1" si="100"/>
        <v>-4.5302986667082904E-3</v>
      </c>
      <c r="AP427" s="19"/>
      <c r="AQ427" s="62">
        <f t="shared" ca="1" si="95"/>
        <v>0.80021058392752753</v>
      </c>
      <c r="AR427" s="62">
        <f t="shared" ca="1" si="96"/>
        <v>0.99626940705262446</v>
      </c>
      <c r="AS427" s="62">
        <f t="shared" ca="1" si="97"/>
        <v>1.0090500781265717</v>
      </c>
      <c r="AT427" s="49"/>
    </row>
    <row r="428" spans="1:46" x14ac:dyDescent="0.3">
      <c r="A428" s="5">
        <v>44083</v>
      </c>
      <c r="B428" s="6">
        <v>52.41</v>
      </c>
      <c r="C428" s="6">
        <v>73.510002</v>
      </c>
      <c r="D428" s="6">
        <v>47.75</v>
      </c>
      <c r="F428" s="13">
        <v>425</v>
      </c>
      <c r="G428" s="5">
        <v>44083</v>
      </c>
      <c r="H428" s="15">
        <f t="shared" si="93"/>
        <v>1.0742516711345339E-2</v>
      </c>
      <c r="I428" s="15">
        <f t="shared" si="93"/>
        <v>-2.0866288468345318E-2</v>
      </c>
      <c r="J428" s="15">
        <f t="shared" si="93"/>
        <v>-2.0315789928675502E-2</v>
      </c>
      <c r="K428" s="22"/>
      <c r="L428" s="13">
        <v>425</v>
      </c>
      <c r="M428" s="5">
        <v>44083</v>
      </c>
      <c r="N428" s="26">
        <f t="shared" si="90"/>
        <v>0.92695435219394495</v>
      </c>
      <c r="O428" s="26">
        <f t="shared" si="91"/>
        <v>0.69717375384723523</v>
      </c>
      <c r="P428" s="26">
        <f t="shared" si="92"/>
        <v>0.63194813742583744</v>
      </c>
      <c r="Q428" s="22"/>
      <c r="AD428" s="59">
        <v>424</v>
      </c>
      <c r="AE428" s="61">
        <f t="shared" ca="1" si="94"/>
        <v>-0.27180740950196985</v>
      </c>
      <c r="AF428" s="61">
        <f t="shared" ca="1" si="94"/>
        <v>0.50683108151707779</v>
      </c>
      <c r="AG428" s="61">
        <f t="shared" ca="1" si="94"/>
        <v>-6.9256509755241419E-2</v>
      </c>
      <c r="AH428" s="19"/>
      <c r="AI428" s="61">
        <f ca="1"/>
        <v>-5.8939492840311787E-3</v>
      </c>
      <c r="AJ428" s="61">
        <f ca="1"/>
        <v>6.7620678921628576E-3</v>
      </c>
      <c r="AK428" s="61">
        <f ca="1"/>
        <v>-2.2211136050084047E-3</v>
      </c>
      <c r="AL428" s="19"/>
      <c r="AM428" s="61">
        <f t="shared" ca="1" si="98"/>
        <v>-5.5427329615209348E-3</v>
      </c>
      <c r="AN428" s="61">
        <f t="shared" ca="1" si="99"/>
        <v>7.0111204890793881E-3</v>
      </c>
      <c r="AO428" s="61">
        <f t="shared" ca="1" si="100"/>
        <v>-1.7894450017535866E-3</v>
      </c>
      <c r="AP428" s="19"/>
      <c r="AQ428" s="62">
        <f t="shared" ca="1" si="95"/>
        <v>0.79578749965910367</v>
      </c>
      <c r="AR428" s="62">
        <f t="shared" ca="1" si="96"/>
        <v>1.0032789154458626</v>
      </c>
      <c r="AS428" s="62">
        <f t="shared" ca="1" si="97"/>
        <v>1.0072460530909315</v>
      </c>
      <c r="AT428" s="49"/>
    </row>
    <row r="429" spans="1:46" x14ac:dyDescent="0.3">
      <c r="A429" s="5">
        <v>44084</v>
      </c>
      <c r="B429" s="6">
        <v>50.98</v>
      </c>
      <c r="C429" s="6">
        <v>75.510002</v>
      </c>
      <c r="D429" s="6">
        <v>45.630001</v>
      </c>
      <c r="F429" s="13">
        <v>426</v>
      </c>
      <c r="G429" s="5">
        <v>44084</v>
      </c>
      <c r="H429" s="15">
        <f t="shared" si="93"/>
        <v>-2.7664013866105484E-2</v>
      </c>
      <c r="I429" s="15">
        <f t="shared" si="93"/>
        <v>2.6843645708713421E-2</v>
      </c>
      <c r="J429" s="15">
        <f t="shared" si="93"/>
        <v>-4.5413650072021743E-2</v>
      </c>
      <c r="K429" s="22"/>
      <c r="L429" s="13">
        <v>426</v>
      </c>
      <c r="M429" s="5">
        <v>44084</v>
      </c>
      <c r="N429" s="26">
        <f t="shared" si="90"/>
        <v>0.9016625238474969</v>
      </c>
      <c r="O429" s="26">
        <f t="shared" si="91"/>
        <v>0.71614188702310533</v>
      </c>
      <c r="P429" s="26">
        <f t="shared" si="92"/>
        <v>0.60389097681024295</v>
      </c>
      <c r="Q429" s="22"/>
      <c r="AD429" s="59">
        <v>425</v>
      </c>
      <c r="AE429" s="61">
        <f t="shared" ca="1" si="94"/>
        <v>-0.34312325447464448</v>
      </c>
      <c r="AF429" s="61">
        <f t="shared" ca="1" si="94"/>
        <v>0.67273832047025606</v>
      </c>
      <c r="AG429" s="61">
        <f t="shared" ca="1" si="94"/>
        <v>-2.1843491887498083</v>
      </c>
      <c r="AH429" s="19"/>
      <c r="AI429" s="61">
        <f ca="1"/>
        <v>-7.4403823786511683E-3</v>
      </c>
      <c r="AJ429" s="61">
        <f ca="1"/>
        <v>9.251970855631883E-3</v>
      </c>
      <c r="AK429" s="61">
        <f ca="1"/>
        <v>-5.6295028443979232E-2</v>
      </c>
      <c r="AL429" s="19"/>
      <c r="AM429" s="61">
        <f t="shared" ca="1" si="98"/>
        <v>-7.0891660561409244E-3</v>
      </c>
      <c r="AN429" s="61">
        <f t="shared" ca="1" si="99"/>
        <v>9.5010234525484145E-3</v>
      </c>
      <c r="AO429" s="61">
        <f t="shared" ca="1" si="100"/>
        <v>-5.5863359840724415E-2</v>
      </c>
      <c r="AP429" s="19"/>
      <c r="AQ429" s="62">
        <f t="shared" ca="1" si="95"/>
        <v>0.7901659794168977</v>
      </c>
      <c r="AR429" s="62">
        <f t="shared" ca="1" si="96"/>
        <v>1.0128565184192273</v>
      </c>
      <c r="AS429" s="62">
        <f t="shared" ca="1" si="97"/>
        <v>0.95252070635801189</v>
      </c>
      <c r="AT429" s="49"/>
    </row>
    <row r="430" spans="1:46" x14ac:dyDescent="0.3">
      <c r="A430" s="5">
        <v>44085</v>
      </c>
      <c r="B430" s="6">
        <v>51.75</v>
      </c>
      <c r="C430" s="6">
        <v>76.160004000000001</v>
      </c>
      <c r="D430" s="6">
        <v>46.389999000000003</v>
      </c>
      <c r="F430" s="13">
        <v>427</v>
      </c>
      <c r="G430" s="5">
        <v>44085</v>
      </c>
      <c r="H430" s="15">
        <f t="shared" si="93"/>
        <v>1.4991033197509144E-2</v>
      </c>
      <c r="I430" s="15">
        <f t="shared" si="93"/>
        <v>8.571318702225059E-3</v>
      </c>
      <c r="J430" s="15">
        <f t="shared" si="93"/>
        <v>1.6518480352564782E-2</v>
      </c>
      <c r="K430" s="22"/>
      <c r="L430" s="13">
        <v>427</v>
      </c>
      <c r="M430" s="5">
        <v>44085</v>
      </c>
      <c r="N430" s="26">
        <f t="shared" si="90"/>
        <v>0.91528120064943053</v>
      </c>
      <c r="O430" s="26">
        <f t="shared" si="91"/>
        <v>0.72230654927339621</v>
      </c>
      <c r="P430" s="26">
        <f t="shared" si="92"/>
        <v>0.61394918247615637</v>
      </c>
      <c r="Q430" s="22"/>
      <c r="AD430" s="59">
        <v>426</v>
      </c>
      <c r="AE430" s="61">
        <f t="shared" ca="1" si="94"/>
        <v>0.57070973336538289</v>
      </c>
      <c r="AF430" s="61">
        <f t="shared" ca="1" si="94"/>
        <v>0.72533631968285439</v>
      </c>
      <c r="AG430" s="61">
        <f t="shared" ca="1" si="94"/>
        <v>-1.5636903591866471</v>
      </c>
      <c r="AH430" s="19"/>
      <c r="AI430" s="61">
        <f ca="1"/>
        <v>1.2375432408269743E-2</v>
      </c>
      <c r="AJ430" s="61">
        <f ca="1"/>
        <v>2.469886461910736E-2</v>
      </c>
      <c r="AK430" s="61">
        <f ca="1"/>
        <v>-2.6520976350021246E-2</v>
      </c>
      <c r="AL430" s="19"/>
      <c r="AM430" s="61">
        <f t="shared" ca="1" si="98"/>
        <v>1.2726648730779987E-2</v>
      </c>
      <c r="AN430" s="61">
        <f t="shared" ca="1" si="99"/>
        <v>2.494791721602389E-2</v>
      </c>
      <c r="AO430" s="61">
        <f t="shared" ca="1" si="100"/>
        <v>-2.6089307746766429E-2</v>
      </c>
      <c r="AP430" s="19"/>
      <c r="AQ430" s="62">
        <f t="shared" ca="1" si="95"/>
        <v>0.80028640724285083</v>
      </c>
      <c r="AR430" s="62">
        <f t="shared" ca="1" si="96"/>
        <v>1.0384430168451724</v>
      </c>
      <c r="AS430" s="62">
        <f t="shared" ca="1" si="97"/>
        <v>0.92799146725568216</v>
      </c>
      <c r="AT430" s="49"/>
    </row>
    <row r="431" spans="1:46" x14ac:dyDescent="0.3">
      <c r="A431" s="5">
        <v>44088</v>
      </c>
      <c r="B431" s="6">
        <v>53.5</v>
      </c>
      <c r="C431" s="6">
        <v>80.589995999999999</v>
      </c>
      <c r="D431" s="6">
        <v>47.509998000000003</v>
      </c>
      <c r="F431" s="13">
        <v>428</v>
      </c>
      <c r="G431" s="5">
        <v>44088</v>
      </c>
      <c r="H431" s="15">
        <f t="shared" si="93"/>
        <v>3.3257221756482339E-2</v>
      </c>
      <c r="I431" s="15">
        <f t="shared" si="93"/>
        <v>5.6538079698352207E-2</v>
      </c>
      <c r="J431" s="15">
        <f t="shared" si="93"/>
        <v>2.3856275895146186E-2</v>
      </c>
      <c r="K431" s="22"/>
      <c r="L431" s="13">
        <v>428</v>
      </c>
      <c r="M431" s="5">
        <v>44088</v>
      </c>
      <c r="N431" s="26">
        <f t="shared" si="90"/>
        <v>0.94623273883564318</v>
      </c>
      <c r="O431" s="26">
        <f t="shared" si="91"/>
        <v>0.76432088838541556</v>
      </c>
      <c r="P431" s="26">
        <f t="shared" si="92"/>
        <v>0.62877182712471757</v>
      </c>
      <c r="Q431" s="22"/>
      <c r="AD431" s="59">
        <v>427</v>
      </c>
      <c r="AE431" s="61">
        <f t="shared" ca="1" si="94"/>
        <v>1.7899187185715844</v>
      </c>
      <c r="AF431" s="61">
        <f t="shared" ca="1" si="94"/>
        <v>-0.40833426585312516</v>
      </c>
      <c r="AG431" s="61">
        <f t="shared" ca="1" si="94"/>
        <v>-1.1715098761281242</v>
      </c>
      <c r="AH431" s="19"/>
      <c r="AI431" s="61">
        <f ca="1"/>
        <v>3.881310729949964E-2</v>
      </c>
      <c r="AJ431" s="61">
        <f ca="1"/>
        <v>1.914085183444391E-2</v>
      </c>
      <c r="AK431" s="61">
        <f ca="1"/>
        <v>-6.4426819895705492E-3</v>
      </c>
      <c r="AL431" s="19"/>
      <c r="AM431" s="61">
        <f t="shared" ca="1" si="98"/>
        <v>3.9164323622009882E-2</v>
      </c>
      <c r="AN431" s="61">
        <f t="shared" ca="1" si="99"/>
        <v>1.938990443136044E-2</v>
      </c>
      <c r="AO431" s="61">
        <f t="shared" ca="1" si="100"/>
        <v>-6.0110133863157311E-3</v>
      </c>
      <c r="AP431" s="19"/>
      <c r="AQ431" s="62">
        <f t="shared" ca="1" si="95"/>
        <v>0.83225093196939892</v>
      </c>
      <c r="AR431" s="62">
        <f t="shared" ca="1" si="96"/>
        <v>1.0587748064224269</v>
      </c>
      <c r="AS431" s="62">
        <f t="shared" ca="1" si="97"/>
        <v>0.92243002980670674</v>
      </c>
      <c r="AT431" s="49"/>
    </row>
    <row r="432" spans="1:46" x14ac:dyDescent="0.3">
      <c r="A432" s="5">
        <v>44089</v>
      </c>
      <c r="B432" s="6">
        <v>53.970001000000003</v>
      </c>
      <c r="C432" s="6">
        <v>80.620002999999997</v>
      </c>
      <c r="D432" s="6">
        <v>46.560001</v>
      </c>
      <c r="F432" s="13">
        <v>429</v>
      </c>
      <c r="G432" s="5">
        <v>44089</v>
      </c>
      <c r="H432" s="15">
        <f t="shared" si="93"/>
        <v>8.7467012574027354E-3</v>
      </c>
      <c r="I432" s="15">
        <f t="shared" si="93"/>
        <v>3.7227219815983456E-4</v>
      </c>
      <c r="J432" s="15">
        <f t="shared" si="93"/>
        <v>-2.0198348201583054E-2</v>
      </c>
      <c r="K432" s="22"/>
      <c r="L432" s="13">
        <v>429</v>
      </c>
      <c r="M432" s="5">
        <v>44089</v>
      </c>
      <c r="N432" s="26">
        <f t="shared" si="90"/>
        <v>0.95454545534939073</v>
      </c>
      <c r="O432" s="26">
        <f t="shared" si="91"/>
        <v>0.76460547677151969</v>
      </c>
      <c r="P432" s="26">
        <f t="shared" si="92"/>
        <v>0.61619907665958384</v>
      </c>
      <c r="Q432" s="22"/>
      <c r="AD432" s="59">
        <v>428</v>
      </c>
      <c r="AE432" s="61">
        <f t="shared" ca="1" si="94"/>
        <v>1.4452852476636719</v>
      </c>
      <c r="AF432" s="61">
        <f t="shared" ca="1" si="94"/>
        <v>-1.352844140203102</v>
      </c>
      <c r="AG432" s="61">
        <f t="shared" ca="1" si="94"/>
        <v>0.33992145278417324</v>
      </c>
      <c r="AH432" s="19"/>
      <c r="AI432" s="61">
        <f ca="1"/>
        <v>3.1339976957568509E-2</v>
      </c>
      <c r="AJ432" s="61">
        <f ca="1"/>
        <v>-6.7833509738380871E-3</v>
      </c>
      <c r="AK432" s="61">
        <f ca="1"/>
        <v>2.0536299437591672E-2</v>
      </c>
      <c r="AL432" s="19"/>
      <c r="AM432" s="61">
        <f t="shared" ca="1" si="98"/>
        <v>3.1691193280078751E-2</v>
      </c>
      <c r="AN432" s="61">
        <f t="shared" ca="1" si="99"/>
        <v>-6.5342983769215565E-3</v>
      </c>
      <c r="AO432" s="61">
        <f t="shared" ca="1" si="100"/>
        <v>2.0967968040846489E-2</v>
      </c>
      <c r="AP432" s="19"/>
      <c r="AQ432" s="62">
        <f t="shared" ca="1" si="95"/>
        <v>0.8590483352019318</v>
      </c>
      <c r="AR432" s="62">
        <f t="shared" ca="1" si="96"/>
        <v>1.0518790100546347</v>
      </c>
      <c r="AS432" s="62">
        <f t="shared" ca="1" si="97"/>
        <v>0.94197571372042566</v>
      </c>
      <c r="AT432" s="49"/>
    </row>
    <row r="433" spans="1:46" x14ac:dyDescent="0.3">
      <c r="A433" s="5">
        <v>44090</v>
      </c>
      <c r="B433" s="6">
        <v>54.07</v>
      </c>
      <c r="C433" s="6">
        <v>81.269997000000004</v>
      </c>
      <c r="D433" s="6">
        <v>49.099997999999999</v>
      </c>
      <c r="F433" s="13">
        <v>430</v>
      </c>
      <c r="G433" s="5">
        <v>44090</v>
      </c>
      <c r="H433" s="15">
        <f t="shared" si="93"/>
        <v>1.8511482345498766E-3</v>
      </c>
      <c r="I433" s="15">
        <f t="shared" si="93"/>
        <v>8.0301129504934642E-3</v>
      </c>
      <c r="J433" s="15">
        <f t="shared" si="93"/>
        <v>5.3117169166431055E-2</v>
      </c>
      <c r="K433" s="22"/>
      <c r="L433" s="13">
        <v>430</v>
      </c>
      <c r="M433" s="5">
        <v>44090</v>
      </c>
      <c r="N433" s="26">
        <f t="shared" si="90"/>
        <v>0.95631409698772385</v>
      </c>
      <c r="O433" s="26">
        <f t="shared" si="91"/>
        <v>0.77077006314927798</v>
      </c>
      <c r="P433" s="26">
        <f t="shared" si="92"/>
        <v>0.64981470751230042</v>
      </c>
      <c r="Q433" s="22"/>
      <c r="AD433" s="59">
        <v>429</v>
      </c>
      <c r="AE433" s="61">
        <f t="shared" ca="1" si="94"/>
        <v>-0.54853493857058377</v>
      </c>
      <c r="AF433" s="61">
        <f t="shared" ca="1" si="94"/>
        <v>-0.11195646534144703</v>
      </c>
      <c r="AG433" s="61">
        <f t="shared" ca="1" si="94"/>
        <v>0.73137167057614216</v>
      </c>
      <c r="AH433" s="19"/>
      <c r="AI433" s="61">
        <f ca="1"/>
        <v>-1.1894587842097615E-2</v>
      </c>
      <c r="AJ433" s="61">
        <f ca="1"/>
        <v>-1.1019341920762222E-2</v>
      </c>
      <c r="AK433" s="61">
        <f ca="1"/>
        <v>9.8443571172955879E-3</v>
      </c>
      <c r="AL433" s="19"/>
      <c r="AM433" s="61">
        <f t="shared" ca="1" si="98"/>
        <v>-1.1543371519587372E-2</v>
      </c>
      <c r="AN433" s="61">
        <f t="shared" ca="1" si="99"/>
        <v>-1.077028932384569E-2</v>
      </c>
      <c r="AO433" s="61">
        <f t="shared" ca="1" si="100"/>
        <v>1.0276025720550407E-2</v>
      </c>
      <c r="AP433" s="19"/>
      <c r="AQ433" s="62">
        <f t="shared" ca="1" si="95"/>
        <v>0.84918903537442259</v>
      </c>
      <c r="AR433" s="62">
        <f t="shared" ca="1" si="96"/>
        <v>1.0406107588707803</v>
      </c>
      <c r="AS433" s="62">
        <f t="shared" ca="1" si="97"/>
        <v>0.95170538594547616</v>
      </c>
      <c r="AT433" s="49"/>
    </row>
    <row r="434" spans="1:46" x14ac:dyDescent="0.3">
      <c r="A434" s="5">
        <v>44091</v>
      </c>
      <c r="B434" s="6">
        <v>53.889999000000003</v>
      </c>
      <c r="C434" s="6">
        <v>78.760002</v>
      </c>
      <c r="D434" s="6">
        <v>49</v>
      </c>
      <c r="F434" s="13">
        <v>431</v>
      </c>
      <c r="G434" s="5">
        <v>44091</v>
      </c>
      <c r="H434" s="15">
        <f t="shared" si="93"/>
        <v>-3.3345900048267229E-3</v>
      </c>
      <c r="I434" s="15">
        <f t="shared" si="93"/>
        <v>-3.1371628686597118E-2</v>
      </c>
      <c r="J434" s="15">
        <f t="shared" si="93"/>
        <v>-2.0386959566498549E-3</v>
      </c>
      <c r="K434" s="22"/>
      <c r="L434" s="13">
        <v>431</v>
      </c>
      <c r="M434" s="5">
        <v>44091</v>
      </c>
      <c r="N434" s="26">
        <f t="shared" si="90"/>
        <v>0.95313049251626303</v>
      </c>
      <c r="O434" s="26">
        <f t="shared" si="91"/>
        <v>0.746965103433894</v>
      </c>
      <c r="P434" s="26">
        <f t="shared" si="92"/>
        <v>0.64849128238462905</v>
      </c>
      <c r="Q434" s="22"/>
      <c r="AD434" s="59">
        <v>430</v>
      </c>
      <c r="AE434" s="61">
        <f t="shared" ca="1" si="94"/>
        <v>-0.92448156682199323</v>
      </c>
      <c r="AF434" s="61">
        <f t="shared" ca="1" si="94"/>
        <v>-1.8024035812898269</v>
      </c>
      <c r="AG434" s="61">
        <f t="shared" ca="1" si="94"/>
        <v>0.85246196330282376</v>
      </c>
      <c r="AH434" s="19"/>
      <c r="AI434" s="61">
        <f ca="1"/>
        <v>-2.0046721606502119E-2</v>
      </c>
      <c r="AJ434" s="61">
        <f ca="1"/>
        <v>-5.36473738700683E-2</v>
      </c>
      <c r="AK434" s="61">
        <f ca="1"/>
        <v>-4.5130390863868976E-3</v>
      </c>
      <c r="AL434" s="19"/>
      <c r="AM434" s="61">
        <f t="shared" ca="1" si="98"/>
        <v>-1.9695505283991874E-2</v>
      </c>
      <c r="AN434" s="61">
        <f t="shared" ca="1" si="99"/>
        <v>-5.3398321273151771E-2</v>
      </c>
      <c r="AO434" s="61">
        <f t="shared" ca="1" si="100"/>
        <v>-4.0813704831320794E-3</v>
      </c>
      <c r="AP434" s="19"/>
      <c r="AQ434" s="62">
        <f t="shared" ca="1" si="95"/>
        <v>0.83262745792653836</v>
      </c>
      <c r="AR434" s="62">
        <f t="shared" ca="1" si="96"/>
        <v>0.98650142171535171</v>
      </c>
      <c r="AS434" s="62">
        <f t="shared" ca="1" si="97"/>
        <v>0.94782903945858687</v>
      </c>
      <c r="AT434" s="49"/>
    </row>
    <row r="435" spans="1:46" x14ac:dyDescent="0.3">
      <c r="A435" s="5">
        <v>44092</v>
      </c>
      <c r="B435" s="6">
        <v>53.669998</v>
      </c>
      <c r="C435" s="6">
        <v>75.830001999999993</v>
      </c>
      <c r="D435" s="6">
        <v>48.709999000000003</v>
      </c>
      <c r="F435" s="13">
        <v>432</v>
      </c>
      <c r="G435" s="5">
        <v>44092</v>
      </c>
      <c r="H435" s="15">
        <f t="shared" si="93"/>
        <v>-4.0907644651161515E-3</v>
      </c>
      <c r="I435" s="15">
        <f t="shared" si="93"/>
        <v>-3.7911260076895853E-2</v>
      </c>
      <c r="J435" s="15">
        <f t="shared" si="93"/>
        <v>-5.9359708218408597E-3</v>
      </c>
      <c r="K435" s="22"/>
      <c r="L435" s="13">
        <v>432</v>
      </c>
      <c r="M435" s="5">
        <v>44092</v>
      </c>
      <c r="N435" s="26">
        <f t="shared" si="90"/>
        <v>0.94923942431483155</v>
      </c>
      <c r="O435" s="26">
        <f t="shared" si="91"/>
        <v>0.71917678833124443</v>
      </c>
      <c r="P435" s="26">
        <f t="shared" si="92"/>
        <v>0.64465325951967345</v>
      </c>
      <c r="Q435" s="22"/>
      <c r="AD435" s="59">
        <v>431</v>
      </c>
      <c r="AE435" s="61">
        <f t="shared" ca="1" si="94"/>
        <v>-0.78882018119637498</v>
      </c>
      <c r="AF435" s="61">
        <f t="shared" ca="1" si="94"/>
        <v>1.3642837672178081</v>
      </c>
      <c r="AG435" s="61">
        <f t="shared" ca="1" si="94"/>
        <v>8.2685363139446091E-2</v>
      </c>
      <c r="AH435" s="19"/>
      <c r="AI435" s="61">
        <f ca="1"/>
        <v>-1.7105001481418497E-2</v>
      </c>
      <c r="AJ435" s="61">
        <f ca="1"/>
        <v>1.7307215959768439E-2</v>
      </c>
      <c r="AK435" s="61">
        <f ca="1"/>
        <v>7.1061163590998254E-5</v>
      </c>
      <c r="AL435" s="19"/>
      <c r="AM435" s="61">
        <f t="shared" ca="1" si="98"/>
        <v>-1.6753785158908251E-2</v>
      </c>
      <c r="AN435" s="61">
        <f t="shared" ca="1" si="99"/>
        <v>1.7556268556684969E-2</v>
      </c>
      <c r="AO435" s="61">
        <f t="shared" ca="1" si="100"/>
        <v>5.0272976684581649E-4</v>
      </c>
      <c r="AP435" s="19"/>
      <c r="AQ435" s="62">
        <f t="shared" ca="1" si="95"/>
        <v>0.81879400133269509</v>
      </c>
      <c r="AR435" s="62">
        <f t="shared" ca="1" si="96"/>
        <v>1.0039736302238591</v>
      </c>
      <c r="AS435" s="62">
        <f t="shared" ca="1" si="97"/>
        <v>0.94830566112651515</v>
      </c>
      <c r="AT435" s="49"/>
    </row>
    <row r="436" spans="1:46" x14ac:dyDescent="0.3">
      <c r="A436" s="5">
        <v>44095</v>
      </c>
      <c r="B436" s="6">
        <v>51.970001000000003</v>
      </c>
      <c r="C436" s="6">
        <v>71.169998000000007</v>
      </c>
      <c r="D436" s="6">
        <v>47.360000999999997</v>
      </c>
      <c r="F436" s="13">
        <v>433</v>
      </c>
      <c r="G436" s="5">
        <v>44095</v>
      </c>
      <c r="H436" s="15">
        <f t="shared" si="93"/>
        <v>-3.2187500661749906E-2</v>
      </c>
      <c r="I436" s="15">
        <f t="shared" si="93"/>
        <v>-6.34226658781782E-2</v>
      </c>
      <c r="J436" s="15">
        <f t="shared" si="93"/>
        <v>-2.8106315598170985E-2</v>
      </c>
      <c r="K436" s="22"/>
      <c r="L436" s="13">
        <v>433</v>
      </c>
      <c r="M436" s="5">
        <v>44095</v>
      </c>
      <c r="N436" s="26">
        <f t="shared" si="90"/>
        <v>0.91917226885086201</v>
      </c>
      <c r="O436" s="26">
        <f t="shared" si="91"/>
        <v>0.67498100009520112</v>
      </c>
      <c r="P436" s="26">
        <f t="shared" si="92"/>
        <v>0.62678668943321048</v>
      </c>
      <c r="Q436" s="22"/>
      <c r="AD436" s="59">
        <v>432</v>
      </c>
      <c r="AE436" s="61">
        <f t="shared" ca="1" si="94"/>
        <v>-2.8170365515142119E-2</v>
      </c>
      <c r="AF436" s="61">
        <f t="shared" ca="1" si="94"/>
        <v>-0.66477136671252812</v>
      </c>
      <c r="AG436" s="61">
        <f t="shared" ca="1" si="94"/>
        <v>-1.3421972346482989</v>
      </c>
      <c r="AH436" s="19"/>
      <c r="AI436" s="61">
        <f ca="1"/>
        <v>-6.1085422933499975E-4</v>
      </c>
      <c r="AJ436" s="61">
        <f ca="1"/>
        <v>-1.4890414215288961E-2</v>
      </c>
      <c r="AK436" s="61">
        <f ca="1"/>
        <v>-3.9484891648587372E-2</v>
      </c>
      <c r="AL436" s="19"/>
      <c r="AM436" s="61">
        <f t="shared" ca="1" si="98"/>
        <v>-2.5963790682475554E-4</v>
      </c>
      <c r="AN436" s="61">
        <f t="shared" ca="1" si="99"/>
        <v>-1.464136161837243E-2</v>
      </c>
      <c r="AO436" s="61">
        <f t="shared" ca="1" si="100"/>
        <v>-3.9053223045332555E-2</v>
      </c>
      <c r="AP436" s="19"/>
      <c r="AQ436" s="62">
        <f t="shared" ca="1" si="95"/>
        <v>0.81858143896788627</v>
      </c>
      <c r="AR436" s="62">
        <f t="shared" ca="1" si="96"/>
        <v>0.98938117662391689</v>
      </c>
      <c r="AS436" s="62">
        <f t="shared" ca="1" si="97"/>
        <v>0.91198510215979556</v>
      </c>
      <c r="AT436" s="49"/>
    </row>
    <row r="437" spans="1:46" x14ac:dyDescent="0.3">
      <c r="A437" s="5">
        <v>44096</v>
      </c>
      <c r="B437" s="6">
        <v>52.610000999999997</v>
      </c>
      <c r="C437" s="6">
        <v>75.040001000000004</v>
      </c>
      <c r="D437" s="6">
        <v>47.419998</v>
      </c>
      <c r="F437" s="13">
        <v>434</v>
      </c>
      <c r="G437" s="5">
        <v>44096</v>
      </c>
      <c r="H437" s="15">
        <f t="shared" si="93"/>
        <v>1.2239586488288174E-2</v>
      </c>
      <c r="I437" s="15">
        <f t="shared" si="93"/>
        <v>5.2949964814744115E-2</v>
      </c>
      <c r="J437" s="15">
        <f t="shared" si="93"/>
        <v>1.2660267703467223E-3</v>
      </c>
      <c r="K437" s="22"/>
      <c r="L437" s="13">
        <v>434</v>
      </c>
      <c r="M437" s="5">
        <v>44096</v>
      </c>
      <c r="N437" s="26">
        <f t="shared" si="90"/>
        <v>0.9304916885303911</v>
      </c>
      <c r="O437" s="26">
        <f t="shared" si="91"/>
        <v>0.71168436624270925</v>
      </c>
      <c r="P437" s="26">
        <f t="shared" si="92"/>
        <v>0.62758072068768456</v>
      </c>
      <c r="Q437" s="22"/>
      <c r="AD437" s="59">
        <v>433</v>
      </c>
      <c r="AE437" s="61">
        <f t="shared" ca="1" si="94"/>
        <v>0.68728121380263862</v>
      </c>
      <c r="AF437" s="61">
        <f t="shared" ca="1" si="94"/>
        <v>-0.65375835767348511</v>
      </c>
      <c r="AG437" s="61">
        <f t="shared" ca="1" si="94"/>
        <v>-0.80674521925502474</v>
      </c>
      <c r="AH437" s="19"/>
      <c r="AI437" s="61">
        <f ca="1"/>
        <v>1.4903201592047784E-2</v>
      </c>
      <c r="AJ437" s="61">
        <f ca="1"/>
        <v>-3.4525453734553374E-3</v>
      </c>
      <c r="AK437" s="61">
        <f ca="1"/>
        <v>-1.5117888605382851E-2</v>
      </c>
      <c r="AL437" s="19"/>
      <c r="AM437" s="61">
        <f t="shared" ca="1" si="98"/>
        <v>1.5254417914558028E-2</v>
      </c>
      <c r="AN437" s="61">
        <f t="shared" ca="1" si="99"/>
        <v>-3.2034927765388068E-3</v>
      </c>
      <c r="AO437" s="61">
        <f t="shared" ca="1" si="100"/>
        <v>-1.4686220002128032E-2</v>
      </c>
      <c r="AP437" s="19"/>
      <c r="AQ437" s="62">
        <f t="shared" ca="1" si="95"/>
        <v>0.83116414930004356</v>
      </c>
      <c r="AR437" s="62">
        <f t="shared" ca="1" si="96"/>
        <v>0.98621677245050343</v>
      </c>
      <c r="AS437" s="62">
        <f t="shared" ca="1" si="97"/>
        <v>0.8986893593861085</v>
      </c>
      <c r="AT437" s="49"/>
    </row>
    <row r="438" spans="1:46" x14ac:dyDescent="0.3">
      <c r="A438" s="5">
        <v>44097</v>
      </c>
      <c r="B438" s="6">
        <v>51.580002</v>
      </c>
      <c r="C438" s="6">
        <v>72.010002</v>
      </c>
      <c r="D438" s="6">
        <v>44.509998000000003</v>
      </c>
      <c r="F438" s="13">
        <v>435</v>
      </c>
      <c r="G438" s="5">
        <v>44097</v>
      </c>
      <c r="H438" s="15">
        <f t="shared" si="93"/>
        <v>-1.9772195522591969E-2</v>
      </c>
      <c r="I438" s="15">
        <f t="shared" si="93"/>
        <v>-4.1216291989499901E-2</v>
      </c>
      <c r="J438" s="15">
        <f t="shared" si="93"/>
        <v>-6.3330200366922329E-2</v>
      </c>
      <c r="K438" s="22"/>
      <c r="L438" s="13">
        <v>435</v>
      </c>
      <c r="M438" s="5">
        <v>44097</v>
      </c>
      <c r="N438" s="26">
        <f t="shared" si="90"/>
        <v>0.91227451517024205</v>
      </c>
      <c r="O438" s="26">
        <f t="shared" si="91"/>
        <v>0.68294765396533275</v>
      </c>
      <c r="P438" s="26">
        <f t="shared" si="92"/>
        <v>0.58906827922361782</v>
      </c>
      <c r="Q438" s="22"/>
      <c r="AD438" s="59">
        <v>434</v>
      </c>
      <c r="AE438" s="61">
        <f t="shared" ca="1" si="94"/>
        <v>0.22413689094732978</v>
      </c>
      <c r="AF438" s="61">
        <f t="shared" ca="1" si="94"/>
        <v>0.43551263945409119</v>
      </c>
      <c r="AG438" s="61">
        <f t="shared" ca="1" si="94"/>
        <v>-1.1965632093733665</v>
      </c>
      <c r="AH438" s="19"/>
      <c r="AI438" s="61">
        <f ca="1"/>
        <v>4.8602481821394738E-3</v>
      </c>
      <c r="AJ438" s="61">
        <f ca="1"/>
        <v>1.297457675850738E-2</v>
      </c>
      <c r="AK438" s="61">
        <f ca="1"/>
        <v>-2.4277070118632244E-2</v>
      </c>
      <c r="AL438" s="19"/>
      <c r="AM438" s="61">
        <f t="shared" ca="1" si="98"/>
        <v>5.2114645046497177E-3</v>
      </c>
      <c r="AN438" s="61">
        <f t="shared" ca="1" si="99"/>
        <v>1.3223629355423911E-2</v>
      </c>
      <c r="AO438" s="61">
        <f t="shared" ca="1" si="100"/>
        <v>-2.3845401515377427E-2</v>
      </c>
      <c r="AP438" s="19"/>
      <c r="AQ438" s="62">
        <f t="shared" ca="1" si="95"/>
        <v>0.83550703833852369</v>
      </c>
      <c r="AR438" s="62">
        <f t="shared" ca="1" si="96"/>
        <v>0.99934474594062117</v>
      </c>
      <c r="AS438" s="62">
        <f t="shared" ca="1" si="97"/>
        <v>0.87751323080982113</v>
      </c>
      <c r="AT438" s="49"/>
    </row>
    <row r="439" spans="1:46" x14ac:dyDescent="0.3">
      <c r="A439" s="5">
        <v>44098</v>
      </c>
      <c r="B439" s="6">
        <v>51.759998000000003</v>
      </c>
      <c r="C439" s="6">
        <v>71.660004000000001</v>
      </c>
      <c r="D439" s="6">
        <v>44.580002</v>
      </c>
      <c r="F439" s="13">
        <v>436</v>
      </c>
      <c r="G439" s="5">
        <v>44098</v>
      </c>
      <c r="H439" s="15">
        <f t="shared" si="93"/>
        <v>3.4835723248511715E-3</v>
      </c>
      <c r="I439" s="15">
        <f t="shared" si="93"/>
        <v>-4.8722583387432088E-3</v>
      </c>
      <c r="J439" s="15">
        <f t="shared" si="93"/>
        <v>1.5715347268498243E-3</v>
      </c>
      <c r="K439" s="22"/>
      <c r="L439" s="13">
        <v>436</v>
      </c>
      <c r="M439" s="5">
        <v>44098</v>
      </c>
      <c r="N439" s="26">
        <f t="shared" si="90"/>
        <v>0.9154580312087367</v>
      </c>
      <c r="O439" s="26">
        <f t="shared" si="91"/>
        <v>0.67962824962768875</v>
      </c>
      <c r="P439" s="26">
        <f t="shared" si="92"/>
        <v>0.58999474827937404</v>
      </c>
      <c r="Q439" s="22"/>
      <c r="AD439" s="59">
        <v>435</v>
      </c>
      <c r="AE439" s="61">
        <f t="shared" ca="1" si="94"/>
        <v>1.1925743220462046</v>
      </c>
      <c r="AF439" s="61">
        <f t="shared" ca="1" si="94"/>
        <v>0.58175081768977888</v>
      </c>
      <c r="AG439" s="61">
        <f t="shared" ca="1" si="94"/>
        <v>-0.22657669989552076</v>
      </c>
      <c r="AH439" s="19"/>
      <c r="AI439" s="61">
        <f ca="1"/>
        <v>2.5860121269163764E-2</v>
      </c>
      <c r="AJ439" s="61">
        <f ca="1"/>
        <v>3.1311522300149573E-2</v>
      </c>
      <c r="AK439" s="61">
        <f ca="1"/>
        <v>1.5913009199378533E-2</v>
      </c>
      <c r="AL439" s="19"/>
      <c r="AM439" s="61">
        <f t="shared" ca="1" si="98"/>
        <v>2.621133759167401E-2</v>
      </c>
      <c r="AN439" s="61">
        <f t="shared" ca="1" si="99"/>
        <v>3.1560574897066103E-2</v>
      </c>
      <c r="AO439" s="61">
        <f t="shared" ca="1" si="100"/>
        <v>1.6344677802633351E-2</v>
      </c>
      <c r="AP439" s="19"/>
      <c r="AQ439" s="62">
        <f t="shared" ca="1" si="95"/>
        <v>0.85769633050893024</v>
      </c>
      <c r="AR439" s="62">
        <f t="shared" ca="1" si="96"/>
        <v>1.0313876268121254</v>
      </c>
      <c r="AS439" s="62">
        <f t="shared" ca="1" si="97"/>
        <v>0.89197375622514352</v>
      </c>
      <c r="AT439" s="49"/>
    </row>
    <row r="440" spans="1:46" x14ac:dyDescent="0.3">
      <c r="A440" s="5">
        <v>44099</v>
      </c>
      <c r="B440" s="6">
        <v>52.490001999999997</v>
      </c>
      <c r="C440" s="6">
        <v>71.069999999999993</v>
      </c>
      <c r="D440" s="6">
        <v>43.919998</v>
      </c>
      <c r="F440" s="13">
        <v>437</v>
      </c>
      <c r="G440" s="5">
        <v>44099</v>
      </c>
      <c r="H440" s="15">
        <f t="shared" si="93"/>
        <v>1.4005101813935316E-2</v>
      </c>
      <c r="I440" s="15">
        <f t="shared" si="93"/>
        <v>-8.26746085714853E-3</v>
      </c>
      <c r="J440" s="15">
        <f t="shared" si="93"/>
        <v>-1.4915621156955629E-2</v>
      </c>
      <c r="K440" s="22"/>
      <c r="L440" s="13">
        <v>437</v>
      </c>
      <c r="M440" s="5">
        <v>44099</v>
      </c>
      <c r="N440" s="26">
        <f t="shared" si="90"/>
        <v>0.92836931502707265</v>
      </c>
      <c r="O440" s="26">
        <f t="shared" si="91"/>
        <v>0.6740326124045406</v>
      </c>
      <c r="P440" s="26">
        <f t="shared" si="92"/>
        <v>0.58125991480306816</v>
      </c>
      <c r="Q440" s="22"/>
      <c r="AD440" s="59">
        <v>436</v>
      </c>
      <c r="AE440" s="61">
        <f t="shared" ca="1" si="94"/>
        <v>0.33966844273534352</v>
      </c>
      <c r="AF440" s="61">
        <f t="shared" ca="1" si="94"/>
        <v>1.646365197255818</v>
      </c>
      <c r="AG440" s="61">
        <f t="shared" ca="1" si="94"/>
        <v>0.68342055390480516</v>
      </c>
      <c r="AH440" s="19"/>
      <c r="AI440" s="61">
        <f ca="1"/>
        <v>7.3654672568940925E-3</v>
      </c>
      <c r="AJ440" s="61">
        <f ca="1"/>
        <v>4.1102028169476598E-2</v>
      </c>
      <c r="AK440" s="61">
        <f ca="1"/>
        <v>3.4122452801651867E-2</v>
      </c>
      <c r="AL440" s="19"/>
      <c r="AM440" s="61">
        <f t="shared" ca="1" si="98"/>
        <v>7.7166835794043364E-3</v>
      </c>
      <c r="AN440" s="61">
        <f t="shared" ca="1" si="99"/>
        <v>4.1351080766393128E-2</v>
      </c>
      <c r="AO440" s="61">
        <f t="shared" ca="1" si="100"/>
        <v>3.4554121404906685E-2</v>
      </c>
      <c r="AP440" s="19"/>
      <c r="AQ440" s="62">
        <f t="shared" ca="1" si="95"/>
        <v>0.86434050422164554</v>
      </c>
      <c r="AR440" s="62">
        <f t="shared" ca="1" si="96"/>
        <v>1.0749306918798998</v>
      </c>
      <c r="AS440" s="62">
        <f t="shared" ca="1" si="97"/>
        <v>0.92333381509792234</v>
      </c>
      <c r="AT440" s="49"/>
    </row>
    <row r="441" spans="1:46" x14ac:dyDescent="0.3">
      <c r="A441" s="5">
        <v>44102</v>
      </c>
      <c r="B441" s="6">
        <v>53.240001999999997</v>
      </c>
      <c r="C441" s="6">
        <v>70.440002000000007</v>
      </c>
      <c r="D441" s="6">
        <v>44.82</v>
      </c>
      <c r="F441" s="13">
        <v>438</v>
      </c>
      <c r="G441" s="5">
        <v>44102</v>
      </c>
      <c r="H441" s="15">
        <f t="shared" si="93"/>
        <v>1.4187317725946764E-2</v>
      </c>
      <c r="I441" s="15">
        <f t="shared" si="93"/>
        <v>-8.9039948178400632E-3</v>
      </c>
      <c r="J441" s="15">
        <f t="shared" si="93"/>
        <v>2.0284716708847423E-2</v>
      </c>
      <c r="K441" s="22"/>
      <c r="L441" s="13">
        <v>438</v>
      </c>
      <c r="M441" s="5">
        <v>44102</v>
      </c>
      <c r="N441" s="26">
        <f t="shared" si="90"/>
        <v>0.94163425996402084</v>
      </c>
      <c r="O441" s="26">
        <f t="shared" si="91"/>
        <v>0.66805766942227485</v>
      </c>
      <c r="P441" s="26">
        <f t="shared" si="92"/>
        <v>0.59317100564243008</v>
      </c>
      <c r="Q441" s="22"/>
      <c r="AD441" s="59">
        <v>437</v>
      </c>
      <c r="AE441" s="61">
        <f t="shared" ca="1" si="94"/>
        <v>0.96728938484810623</v>
      </c>
      <c r="AF441" s="61">
        <f t="shared" ca="1" si="94"/>
        <v>0.91562957193482253</v>
      </c>
      <c r="AG441" s="61">
        <f t="shared" ca="1" si="94"/>
        <v>-1.0415031970208104</v>
      </c>
      <c r="AH441" s="19"/>
      <c r="AI441" s="61">
        <f ca="1"/>
        <v>2.0974978525135229E-2</v>
      </c>
      <c r="AJ441" s="61">
        <f ca="1"/>
        <v>3.5042480817927754E-2</v>
      </c>
      <c r="AK441" s="61">
        <f ca="1"/>
        <v>-5.9427510429783184E-3</v>
      </c>
      <c r="AL441" s="19"/>
      <c r="AM441" s="61">
        <f t="shared" ca="1" si="98"/>
        <v>2.1326194847645474E-2</v>
      </c>
      <c r="AN441" s="61">
        <f t="shared" ca="1" si="99"/>
        <v>3.5291533414844284E-2</v>
      </c>
      <c r="AO441" s="61">
        <f t="shared" ca="1" si="100"/>
        <v>-5.5110824397235003E-3</v>
      </c>
      <c r="AP441" s="19"/>
      <c r="AQ441" s="62">
        <f t="shared" ca="1" si="95"/>
        <v>0.88297155683676376</v>
      </c>
      <c r="AR441" s="62">
        <f t="shared" ca="1" si="96"/>
        <v>1.1135439980723585</v>
      </c>
      <c r="AS441" s="62">
        <f t="shared" ca="1" si="97"/>
        <v>0.91825924236163103</v>
      </c>
      <c r="AT441" s="49"/>
    </row>
    <row r="442" spans="1:46" x14ac:dyDescent="0.3">
      <c r="A442" s="5">
        <v>44103</v>
      </c>
      <c r="B442" s="6">
        <v>52.57</v>
      </c>
      <c r="C442" s="6">
        <v>67.339995999999999</v>
      </c>
      <c r="D442" s="6">
        <v>43.41</v>
      </c>
      <c r="F442" s="13">
        <v>439</v>
      </c>
      <c r="G442" s="5">
        <v>44103</v>
      </c>
      <c r="H442" s="15">
        <f t="shared" si="93"/>
        <v>-1.2664416261293426E-2</v>
      </c>
      <c r="I442" s="15">
        <f t="shared" si="93"/>
        <v>-4.5006957688096413E-2</v>
      </c>
      <c r="J442" s="15">
        <f t="shared" si="93"/>
        <v>-3.1964639061278811E-2</v>
      </c>
      <c r="K442" s="22"/>
      <c r="L442" s="13">
        <v>439</v>
      </c>
      <c r="M442" s="5">
        <v>44103</v>
      </c>
      <c r="N442" s="26">
        <f t="shared" si="90"/>
        <v>0.92978420711382737</v>
      </c>
      <c r="O442" s="26">
        <f t="shared" si="91"/>
        <v>0.63865700609527676</v>
      </c>
      <c r="P442" s="26">
        <f t="shared" si="92"/>
        <v>0.57451033812891317</v>
      </c>
      <c r="Q442" s="22"/>
      <c r="AD442" s="59">
        <v>438</v>
      </c>
      <c r="AE442" s="61">
        <f t="shared" ca="1" si="94"/>
        <v>1.5133797636700375</v>
      </c>
      <c r="AF442" s="61">
        <f t="shared" ca="1" si="94"/>
        <v>-0.60510186446723913</v>
      </c>
      <c r="AG442" s="61">
        <f t="shared" ca="1" si="94"/>
        <v>-1.7618650374282883</v>
      </c>
      <c r="AH442" s="19"/>
      <c r="AI442" s="61">
        <f ca="1"/>
        <v>3.2816557837381716E-2</v>
      </c>
      <c r="AJ442" s="61">
        <f ca="1"/>
        <v>1.0535426675860236E-2</v>
      </c>
      <c r="AK442" s="61">
        <f ca="1"/>
        <v>-2.7039296863310799E-2</v>
      </c>
      <c r="AL442" s="19"/>
      <c r="AM442" s="61">
        <f t="shared" ca="1" si="98"/>
        <v>3.3167774159891958E-2</v>
      </c>
      <c r="AN442" s="61">
        <f t="shared" ca="1" si="99"/>
        <v>1.0784479272776768E-2</v>
      </c>
      <c r="AO442" s="61">
        <f t="shared" ca="1" si="100"/>
        <v>-2.6607628260055981E-2</v>
      </c>
      <c r="AP442" s="19"/>
      <c r="AQ442" s="62">
        <f t="shared" ca="1" si="95"/>
        <v>0.91274885152974394</v>
      </c>
      <c r="AR442" s="62">
        <f t="shared" ca="1" si="96"/>
        <v>1.1256179790157108</v>
      </c>
      <c r="AS442" s="62">
        <f t="shared" ca="1" si="97"/>
        <v>0.89414872605713336</v>
      </c>
      <c r="AT442" s="49"/>
    </row>
    <row r="443" spans="1:46" x14ac:dyDescent="0.3">
      <c r="A443" s="5">
        <v>44104</v>
      </c>
      <c r="B443" s="6">
        <v>52.939999</v>
      </c>
      <c r="C443" s="6">
        <v>67.970000999999996</v>
      </c>
      <c r="D443" s="6">
        <v>43.32</v>
      </c>
      <c r="F443" s="13">
        <v>440</v>
      </c>
      <c r="G443" s="5">
        <v>44104</v>
      </c>
      <c r="H443" s="15">
        <f t="shared" si="93"/>
        <v>7.0135630782896001E-3</v>
      </c>
      <c r="I443" s="15">
        <f t="shared" si="93"/>
        <v>9.3120917380524974E-3</v>
      </c>
      <c r="J443" s="15">
        <f t="shared" si="93"/>
        <v>-2.0754071787121957E-3</v>
      </c>
      <c r="K443" s="22"/>
      <c r="L443" s="13">
        <v>440</v>
      </c>
      <c r="M443" s="5">
        <v>44104</v>
      </c>
      <c r="N443" s="26">
        <f t="shared" si="90"/>
        <v>0.93632822892946188</v>
      </c>
      <c r="O443" s="26">
        <f t="shared" si="91"/>
        <v>0.64463201546600879</v>
      </c>
      <c r="P443" s="26">
        <f t="shared" si="92"/>
        <v>0.57331923169188015</v>
      </c>
      <c r="Q443" s="22"/>
      <c r="AD443" s="59">
        <v>439</v>
      </c>
      <c r="AE443" s="61">
        <f t="shared" ca="1" si="94"/>
        <v>-1.0941850326642644</v>
      </c>
      <c r="AF443" s="61">
        <f t="shared" ca="1" si="94"/>
        <v>1.2833079432411667</v>
      </c>
      <c r="AG443" s="61">
        <f t="shared" ca="1" si="94"/>
        <v>-0.63285969545478082</v>
      </c>
      <c r="AH443" s="19"/>
      <c r="AI443" s="61">
        <f ca="1"/>
        <v>-2.3726619894894493E-2</v>
      </c>
      <c r="AJ443" s="61">
        <f ca="1"/>
        <v>1.0767450180213422E-2</v>
      </c>
      <c r="AK443" s="61">
        <f ca="1"/>
        <v>-2.3343372601564345E-2</v>
      </c>
      <c r="AL443" s="19"/>
      <c r="AM443" s="61">
        <f t="shared" ca="1" si="98"/>
        <v>-2.3375403572384247E-2</v>
      </c>
      <c r="AN443" s="61">
        <f t="shared" ca="1" si="99"/>
        <v>1.1016502777129953E-2</v>
      </c>
      <c r="AO443" s="61">
        <f t="shared" ca="1" si="100"/>
        <v>-2.2911703998309527E-2</v>
      </c>
      <c r="AP443" s="19"/>
      <c r="AQ443" s="62">
        <f t="shared" ca="1" si="95"/>
        <v>0.8916604143645056</v>
      </c>
      <c r="AR443" s="62">
        <f t="shared" ca="1" si="96"/>
        <v>1.138086908500022</v>
      </c>
      <c r="AS443" s="62">
        <f t="shared" ca="1" si="97"/>
        <v>0.87389516293166569</v>
      </c>
      <c r="AT443" s="49"/>
    </row>
    <row r="444" spans="1:46" x14ac:dyDescent="0.3">
      <c r="A444" s="5">
        <v>44105</v>
      </c>
      <c r="B444" s="6">
        <v>52.540000999999997</v>
      </c>
      <c r="C444" s="6">
        <v>69.120002999999997</v>
      </c>
      <c r="D444" s="6">
        <v>40.279998999999997</v>
      </c>
      <c r="F444" s="13">
        <v>441</v>
      </c>
      <c r="G444" s="5">
        <v>44105</v>
      </c>
      <c r="H444" s="15">
        <f t="shared" si="93"/>
        <v>-7.5843746191352531E-3</v>
      </c>
      <c r="I444" s="15">
        <f t="shared" si="93"/>
        <v>1.6777721827657233E-2</v>
      </c>
      <c r="J444" s="15">
        <f t="shared" si="93"/>
        <v>-7.2759379108645175E-2</v>
      </c>
      <c r="K444" s="22"/>
      <c r="L444" s="13">
        <v>441</v>
      </c>
      <c r="M444" s="5">
        <v>44105</v>
      </c>
      <c r="N444" s="26">
        <f t="shared" si="90"/>
        <v>0.92925362700294256</v>
      </c>
      <c r="O444" s="26">
        <f t="shared" si="91"/>
        <v>0.65553871101026717</v>
      </c>
      <c r="P444" s="26">
        <f t="shared" si="92"/>
        <v>0.53308628991758311</v>
      </c>
      <c r="Q444" s="22"/>
      <c r="AD444" s="59">
        <v>440</v>
      </c>
      <c r="AE444" s="61">
        <f t="shared" ca="1" si="94"/>
        <v>-0.31959180491005196</v>
      </c>
      <c r="AF444" s="61">
        <f t="shared" ca="1" si="94"/>
        <v>-1.0794269854936271</v>
      </c>
      <c r="AG444" s="61">
        <f t="shared" ca="1" si="94"/>
        <v>-0.55607411284649544</v>
      </c>
      <c r="AH444" s="19"/>
      <c r="AI444" s="61">
        <f ca="1"/>
        <v>-6.9301197240474099E-3</v>
      </c>
      <c r="AJ444" s="61">
        <f ca="1"/>
        <v>-2.8464802894066124E-2</v>
      </c>
      <c r="AK444" s="61">
        <f ca="1"/>
        <v>-2.6570559346227974E-2</v>
      </c>
      <c r="AL444" s="19"/>
      <c r="AM444" s="61">
        <f t="shared" ca="1" si="98"/>
        <v>-6.578903401537166E-3</v>
      </c>
      <c r="AN444" s="61">
        <f t="shared" ca="1" si="99"/>
        <v>-2.8215750297149594E-2</v>
      </c>
      <c r="AO444" s="61">
        <f t="shared" ca="1" si="100"/>
        <v>-2.6138890742973157E-2</v>
      </c>
      <c r="AP444" s="19"/>
      <c r="AQ444" s="62">
        <f t="shared" ca="1" si="95"/>
        <v>0.88581352079416686</v>
      </c>
      <c r="AR444" s="62">
        <f t="shared" ca="1" si="96"/>
        <v>1.1064237332321347</v>
      </c>
      <c r="AS444" s="62">
        <f t="shared" ca="1" si="97"/>
        <v>0.85134846925034591</v>
      </c>
      <c r="AT444" s="49"/>
    </row>
    <row r="445" spans="1:46" x14ac:dyDescent="0.3">
      <c r="A445" s="5">
        <v>44106</v>
      </c>
      <c r="B445" s="6">
        <v>54.57</v>
      </c>
      <c r="C445" s="6">
        <v>69.930000000000007</v>
      </c>
      <c r="D445" s="6">
        <v>40.729999999999997</v>
      </c>
      <c r="F445" s="13">
        <v>442</v>
      </c>
      <c r="G445" s="5">
        <v>44106</v>
      </c>
      <c r="H445" s="15">
        <f t="shared" si="93"/>
        <v>3.790947790762933E-2</v>
      </c>
      <c r="I445" s="15">
        <f t="shared" si="93"/>
        <v>1.1650573817198541E-2</v>
      </c>
      <c r="J445" s="15">
        <f t="shared" si="93"/>
        <v>1.1109878636176573E-2</v>
      </c>
      <c r="K445" s="22"/>
      <c r="L445" s="13">
        <v>442</v>
      </c>
      <c r="M445" s="5">
        <v>44106</v>
      </c>
      <c r="N445" s="26">
        <f t="shared" si="90"/>
        <v>0.96515739361235608</v>
      </c>
      <c r="O445" s="26">
        <f t="shared" si="91"/>
        <v>0.66322077649429489</v>
      </c>
      <c r="P445" s="26">
        <f t="shared" si="92"/>
        <v>0.53904183533726402</v>
      </c>
      <c r="Q445" s="22"/>
      <c r="AD445" s="59">
        <v>441</v>
      </c>
      <c r="AE445" s="61">
        <f t="shared" ca="1" si="94"/>
        <v>-0.15341799807309042</v>
      </c>
      <c r="AF445" s="61">
        <f t="shared" ca="1" si="94"/>
        <v>-0.21635943687260165</v>
      </c>
      <c r="AG445" s="61">
        <f t="shared" ca="1" si="94"/>
        <v>0.13050833303700032</v>
      </c>
      <c r="AH445" s="19"/>
      <c r="AI445" s="61">
        <f ca="1"/>
        <v>-3.3267595668462994E-3</v>
      </c>
      <c r="AJ445" s="61">
        <f ca="1"/>
        <v>-7.1041428789686166E-3</v>
      </c>
      <c r="AK445" s="61">
        <f ca="1"/>
        <v>-4.4691988930579442E-4</v>
      </c>
      <c r="AL445" s="19"/>
      <c r="AM445" s="61">
        <f t="shared" ca="1" si="98"/>
        <v>-2.9755432443360551E-3</v>
      </c>
      <c r="AN445" s="61">
        <f t="shared" ca="1" si="99"/>
        <v>-6.855090282052086E-3</v>
      </c>
      <c r="AO445" s="61">
        <f t="shared" ca="1" si="100"/>
        <v>-1.525128605097618E-5</v>
      </c>
      <c r="AP445" s="19"/>
      <c r="AQ445" s="62">
        <f t="shared" ca="1" si="95"/>
        <v>0.88318166190343905</v>
      </c>
      <c r="AR445" s="62">
        <f t="shared" ca="1" si="96"/>
        <v>1.0988650360265035</v>
      </c>
      <c r="AS445" s="62">
        <f t="shared" ca="1" si="97"/>
        <v>0.85133548519032443</v>
      </c>
      <c r="AT445" s="49"/>
    </row>
    <row r="446" spans="1:46" x14ac:dyDescent="0.3">
      <c r="A446" s="5">
        <v>44109</v>
      </c>
      <c r="B446" s="6">
        <v>55.599997999999999</v>
      </c>
      <c r="C446" s="6">
        <v>71.800003000000004</v>
      </c>
      <c r="D446" s="6">
        <v>43.07</v>
      </c>
      <c r="F446" s="13">
        <v>443</v>
      </c>
      <c r="G446" s="5">
        <v>44109</v>
      </c>
      <c r="H446" s="15">
        <f t="shared" si="93"/>
        <v>1.869888408717247E-2</v>
      </c>
      <c r="I446" s="15">
        <f t="shared" si="93"/>
        <v>2.6389776121132035E-2</v>
      </c>
      <c r="J446" s="15">
        <f t="shared" si="93"/>
        <v>5.5861777405698081E-2</v>
      </c>
      <c r="K446" s="22"/>
      <c r="L446" s="13">
        <v>443</v>
      </c>
      <c r="M446" s="5">
        <v>44109</v>
      </c>
      <c r="N446" s="26">
        <f t="shared" si="90"/>
        <v>0.98337454928591184</v>
      </c>
      <c r="O446" s="26">
        <f t="shared" si="91"/>
        <v>0.68095600946593304</v>
      </c>
      <c r="P446" s="26">
        <f t="shared" si="92"/>
        <v>0.57001060270012194</v>
      </c>
      <c r="Q446" s="22"/>
      <c r="AD446" s="59">
        <v>442</v>
      </c>
      <c r="AE446" s="61">
        <f t="shared" ca="1" si="94"/>
        <v>-0.64033148770094073</v>
      </c>
      <c r="AF446" s="61">
        <f t="shared" ca="1" si="94"/>
        <v>0.63635327501169725</v>
      </c>
      <c r="AG446" s="61">
        <f t="shared" ca="1" si="94"/>
        <v>-0.86500176721953936</v>
      </c>
      <c r="AH446" s="19"/>
      <c r="AI446" s="61">
        <f ca="1"/>
        <v>-1.3885130359002325E-2</v>
      </c>
      <c r="AJ446" s="61">
        <f ca="1"/>
        <v>3.8091011682742197E-3</v>
      </c>
      <c r="AK446" s="61">
        <f ca="1"/>
        <v>-2.7141060917125596E-2</v>
      </c>
      <c r="AL446" s="19"/>
      <c r="AM446" s="61">
        <f t="shared" ca="1" si="98"/>
        <v>-1.3533914036492081E-2</v>
      </c>
      <c r="AN446" s="61">
        <f t="shared" ca="1" si="99"/>
        <v>4.0581537651907503E-3</v>
      </c>
      <c r="AO446" s="61">
        <f t="shared" ca="1" si="100"/>
        <v>-2.6709392313870779E-2</v>
      </c>
      <c r="AP446" s="19"/>
      <c r="AQ446" s="62">
        <f t="shared" ca="1" si="95"/>
        <v>0.87130927834025895</v>
      </c>
      <c r="AR446" s="62">
        <f t="shared" ca="1" si="96"/>
        <v>1.103333459953189</v>
      </c>
      <c r="AS446" s="62">
        <f t="shared" ca="1" si="97"/>
        <v>0.82889781389632011</v>
      </c>
      <c r="AT446" s="49"/>
    </row>
    <row r="447" spans="1:46" x14ac:dyDescent="0.3">
      <c r="A447" s="5">
        <v>44110</v>
      </c>
      <c r="B447" s="6">
        <v>55.07</v>
      </c>
      <c r="C447" s="6">
        <v>69.279999000000004</v>
      </c>
      <c r="D447" s="6">
        <v>42.330002</v>
      </c>
      <c r="F447" s="13">
        <v>444</v>
      </c>
      <c r="G447" s="5">
        <v>44110</v>
      </c>
      <c r="H447" s="15">
        <f t="shared" si="93"/>
        <v>-9.5780620109228373E-3</v>
      </c>
      <c r="I447" s="15">
        <f t="shared" si="93"/>
        <v>-3.5728268016907955E-2</v>
      </c>
      <c r="J447" s="15">
        <f t="shared" si="93"/>
        <v>-1.7330597285373218E-2</v>
      </c>
      <c r="K447" s="22"/>
      <c r="L447" s="13">
        <v>444</v>
      </c>
      <c r="M447" s="5">
        <v>44110</v>
      </c>
      <c r="N447" s="26">
        <f t="shared" si="90"/>
        <v>0.97400069023698821</v>
      </c>
      <c r="O447" s="26">
        <f t="shared" si="91"/>
        <v>0.65705612372807043</v>
      </c>
      <c r="P447" s="26">
        <f t="shared" si="92"/>
        <v>0.56021708735354925</v>
      </c>
      <c r="Q447" s="22"/>
      <c r="AD447" s="59">
        <v>443</v>
      </c>
      <c r="AE447" s="61">
        <f t="shared" ca="1" si="94"/>
        <v>-0.1115112370809986</v>
      </c>
      <c r="AF447" s="61">
        <f t="shared" ca="1" si="94"/>
        <v>1.0885301250194412</v>
      </c>
      <c r="AG447" s="61">
        <f t="shared" ca="1" si="94"/>
        <v>-2.2280513801615436E-2</v>
      </c>
      <c r="AH447" s="19"/>
      <c r="AI447" s="61">
        <f ca="1"/>
        <v>-2.4180414255786484E-3</v>
      </c>
      <c r="AJ447" s="61">
        <f ca="1"/>
        <v>2.1914898404435189E-2</v>
      </c>
      <c r="AK447" s="61">
        <f ca="1"/>
        <v>5.4474654229766887E-3</v>
      </c>
      <c r="AL447" s="19"/>
      <c r="AM447" s="61">
        <f t="shared" ca="1" si="98"/>
        <v>-2.0668251030684041E-3</v>
      </c>
      <c r="AN447" s="61">
        <f t="shared" ca="1" si="99"/>
        <v>2.2163951001351719E-2</v>
      </c>
      <c r="AO447" s="61">
        <f t="shared" ca="1" si="100"/>
        <v>5.8791340262315068E-3</v>
      </c>
      <c r="AP447" s="19"/>
      <c r="AQ447" s="62">
        <f t="shared" ca="1" si="95"/>
        <v>0.86951029418445869</v>
      </c>
      <c r="AR447" s="62">
        <f t="shared" ca="1" si="96"/>
        <v>1.1280607031570105</v>
      </c>
      <c r="AS447" s="62">
        <f t="shared" ca="1" si="97"/>
        <v>0.83378536845455464</v>
      </c>
      <c r="AT447" s="49"/>
    </row>
    <row r="448" spans="1:46" x14ac:dyDescent="0.3">
      <c r="A448" s="5">
        <v>44111</v>
      </c>
      <c r="B448" s="6">
        <v>57.07</v>
      </c>
      <c r="C448" s="6">
        <v>71.779999000000004</v>
      </c>
      <c r="D448" s="6">
        <v>42.349997999999999</v>
      </c>
      <c r="F448" s="13">
        <v>445</v>
      </c>
      <c r="G448" s="5">
        <v>44111</v>
      </c>
      <c r="H448" s="15">
        <f t="shared" si="93"/>
        <v>3.5673481274226669E-2</v>
      </c>
      <c r="I448" s="15">
        <f t="shared" si="93"/>
        <v>3.5449621968004504E-2</v>
      </c>
      <c r="J448" s="15">
        <f t="shared" si="93"/>
        <v>4.7227209191448197E-4</v>
      </c>
      <c r="K448" s="22"/>
      <c r="L448" s="13">
        <v>445</v>
      </c>
      <c r="M448" s="5">
        <v>44111</v>
      </c>
      <c r="N448" s="26">
        <f t="shared" si="90"/>
        <v>1.0093738767355169</v>
      </c>
      <c r="O448" s="26">
        <f t="shared" si="91"/>
        <v>0.68076629019790802</v>
      </c>
      <c r="P448" s="26">
        <f t="shared" si="92"/>
        <v>0.56048172473482605</v>
      </c>
      <c r="Q448" s="22"/>
      <c r="AD448" s="59">
        <v>444</v>
      </c>
      <c r="AE448" s="61">
        <f t="shared" ca="1" si="94"/>
        <v>-1.0556075852220048</v>
      </c>
      <c r="AF448" s="61">
        <f t="shared" ca="1" si="94"/>
        <v>0.1429453562087816</v>
      </c>
      <c r="AG448" s="61">
        <f t="shared" ca="1" si="94"/>
        <v>-0.46519982084162487</v>
      </c>
      <c r="AH448" s="19"/>
      <c r="AI448" s="61">
        <f ca="1"/>
        <v>-2.289009553689899E-2</v>
      </c>
      <c r="AJ448" s="61">
        <f ca="1"/>
        <v>-1.3415663852481352E-2</v>
      </c>
      <c r="AK448" s="61">
        <f ca="1"/>
        <v>-2.6508889969865918E-2</v>
      </c>
      <c r="AL448" s="19"/>
      <c r="AM448" s="61">
        <f t="shared" ca="1" si="98"/>
        <v>-2.2538879214388744E-2</v>
      </c>
      <c r="AN448" s="61">
        <f t="shared" ca="1" si="99"/>
        <v>-1.3166611255564821E-2</v>
      </c>
      <c r="AO448" s="61">
        <f t="shared" ca="1" si="100"/>
        <v>-2.60772213666111E-2</v>
      </c>
      <c r="AP448" s="19"/>
      <c r="AQ448" s="62">
        <f t="shared" ca="1" si="95"/>
        <v>0.85013171279554078</v>
      </c>
      <c r="AR448" s="62">
        <f t="shared" ca="1" si="96"/>
        <v>1.1133053187759745</v>
      </c>
      <c r="AS448" s="62">
        <f t="shared" ca="1" si="97"/>
        <v>0.81232361052623547</v>
      </c>
      <c r="AT448" s="49"/>
    </row>
    <row r="449" spans="1:46" x14ac:dyDescent="0.3">
      <c r="A449" s="5">
        <v>44112</v>
      </c>
      <c r="B449" s="6">
        <v>57.740001999999997</v>
      </c>
      <c r="C449" s="6">
        <v>74.330001999999993</v>
      </c>
      <c r="D449" s="6">
        <v>44.360000999999997</v>
      </c>
      <c r="F449" s="13">
        <v>446</v>
      </c>
      <c r="G449" s="5">
        <v>44112</v>
      </c>
      <c r="H449" s="15">
        <f t="shared" si="93"/>
        <v>1.1671624324204214E-2</v>
      </c>
      <c r="I449" s="15">
        <f t="shared" si="93"/>
        <v>3.4908793856233931E-2</v>
      </c>
      <c r="J449" s="15">
        <f t="shared" si="93"/>
        <v>4.6369811152436782E-2</v>
      </c>
      <c r="K449" s="22"/>
      <c r="L449" s="13">
        <v>446</v>
      </c>
      <c r="M449" s="5">
        <v>44112</v>
      </c>
      <c r="N449" s="26">
        <f t="shared" si="90"/>
        <v>1.0212239295857104</v>
      </c>
      <c r="O449" s="26">
        <f t="shared" si="91"/>
        <v>0.70495068844934194</v>
      </c>
      <c r="P449" s="26">
        <f t="shared" si="92"/>
        <v>0.58708314153211072</v>
      </c>
      <c r="Q449" s="22"/>
      <c r="AD449" s="59">
        <v>445</v>
      </c>
      <c r="AE449" s="61">
        <f t="shared" ca="1" si="94"/>
        <v>-1.0922394010915497</v>
      </c>
      <c r="AF449" s="61">
        <f t="shared" ca="1" si="94"/>
        <v>-0.17391687116756246</v>
      </c>
      <c r="AG449" s="61">
        <f t="shared" ca="1" si="94"/>
        <v>2.3402115007730973</v>
      </c>
      <c r="AH449" s="19"/>
      <c r="AI449" s="61">
        <f ca="1"/>
        <v>-2.3684430265715505E-2</v>
      </c>
      <c r="AJ449" s="61">
        <f ca="1"/>
        <v>-2.0876360367923667E-2</v>
      </c>
      <c r="AK449" s="61">
        <f ca="1"/>
        <v>4.2592877301205312E-2</v>
      </c>
      <c r="AL449" s="19"/>
      <c r="AM449" s="61">
        <f t="shared" ca="1" si="98"/>
        <v>-2.3333213943205259E-2</v>
      </c>
      <c r="AN449" s="61">
        <f t="shared" ca="1" si="99"/>
        <v>-2.0627307771007138E-2</v>
      </c>
      <c r="AO449" s="61">
        <f t="shared" ca="1" si="100"/>
        <v>4.3024545904460129E-2</v>
      </c>
      <c r="AP449" s="19"/>
      <c r="AQ449" s="62">
        <f t="shared" ca="1" si="95"/>
        <v>0.83052504054495435</v>
      </c>
      <c r="AR449" s="62">
        <f t="shared" ca="1" si="96"/>
        <v>1.0905760549914782</v>
      </c>
      <c r="AS449" s="62">
        <f t="shared" ca="1" si="97"/>
        <v>0.84803621547066144</v>
      </c>
      <c r="AT449" s="49"/>
    </row>
    <row r="450" spans="1:46" x14ac:dyDescent="0.3">
      <c r="A450" s="5">
        <v>44113</v>
      </c>
      <c r="B450" s="6">
        <v>58.139999000000003</v>
      </c>
      <c r="C450" s="6">
        <v>73.889999000000003</v>
      </c>
      <c r="D450" s="6">
        <v>43.639999000000003</v>
      </c>
      <c r="F450" s="13">
        <v>447</v>
      </c>
      <c r="G450" s="5">
        <v>44113</v>
      </c>
      <c r="H450" s="15">
        <f t="shared" si="93"/>
        <v>6.9036690580464074E-3</v>
      </c>
      <c r="I450" s="15">
        <f t="shared" si="93"/>
        <v>-5.9371783773127431E-3</v>
      </c>
      <c r="J450" s="15">
        <f t="shared" si="93"/>
        <v>-1.6364046974884541E-2</v>
      </c>
      <c r="K450" s="22"/>
      <c r="L450" s="13">
        <v>447</v>
      </c>
      <c r="M450" s="5">
        <v>44113</v>
      </c>
      <c r="N450" s="26">
        <f t="shared" si="90"/>
        <v>1.0282985138256366</v>
      </c>
      <c r="O450" s="26">
        <f t="shared" si="91"/>
        <v>0.70077767069845087</v>
      </c>
      <c r="P450" s="26">
        <f t="shared" si="92"/>
        <v>0.57755426356681494</v>
      </c>
      <c r="Q450" s="22"/>
      <c r="AD450" s="59">
        <v>446</v>
      </c>
      <c r="AE450" s="61">
        <f t="shared" ca="1" si="94"/>
        <v>0.88932504430564618</v>
      </c>
      <c r="AF450" s="61">
        <f t="shared" ca="1" si="94"/>
        <v>1.4465748623453798</v>
      </c>
      <c r="AG450" s="61">
        <f t="shared" ca="1" si="94"/>
        <v>0.15132088433779567</v>
      </c>
      <c r="AH450" s="19"/>
      <c r="AI450" s="61">
        <f ca="1"/>
        <v>1.9284377558950509E-2</v>
      </c>
      <c r="AJ450" s="61">
        <f ca="1"/>
        <v>4.5362792797706941E-2</v>
      </c>
      <c r="AK450" s="61">
        <f ca="1"/>
        <v>2.7204544005407352E-2</v>
      </c>
      <c r="AL450" s="19"/>
      <c r="AM450" s="61">
        <f t="shared" ca="1" si="98"/>
        <v>1.9635593881460755E-2</v>
      </c>
      <c r="AN450" s="61">
        <f t="shared" ca="1" si="99"/>
        <v>4.5611845394623471E-2</v>
      </c>
      <c r="AO450" s="61">
        <f t="shared" ca="1" si="100"/>
        <v>2.763621260866217E-2</v>
      </c>
      <c r="AP450" s="19"/>
      <c r="AQ450" s="62">
        <f t="shared" ca="1" si="95"/>
        <v>0.84699405323060228</v>
      </c>
      <c r="AR450" s="62">
        <f t="shared" ca="1" si="96"/>
        <v>1.1414711271086224</v>
      </c>
      <c r="AS450" s="62">
        <f t="shared" ca="1" si="97"/>
        <v>0.87179957683475395</v>
      </c>
      <c r="AT450" s="49"/>
    </row>
    <row r="451" spans="1:46" x14ac:dyDescent="0.3">
      <c r="A451" s="5">
        <v>44116</v>
      </c>
      <c r="B451" s="6">
        <v>58.77</v>
      </c>
      <c r="C451" s="6">
        <v>73.639999000000003</v>
      </c>
      <c r="D451" s="6">
        <v>43.09</v>
      </c>
      <c r="F451" s="13">
        <v>448</v>
      </c>
      <c r="G451" s="5">
        <v>44116</v>
      </c>
      <c r="H451" s="15">
        <f t="shared" si="93"/>
        <v>1.077764269369186E-2</v>
      </c>
      <c r="I451" s="15">
        <f t="shared" si="93"/>
        <v>-3.3891444816244198E-3</v>
      </c>
      <c r="J451" s="15">
        <f t="shared" si="93"/>
        <v>-1.2683186422366021E-2</v>
      </c>
      <c r="K451" s="22"/>
      <c r="L451" s="13">
        <v>448</v>
      </c>
      <c r="M451" s="5">
        <v>44116</v>
      </c>
      <c r="N451" s="26">
        <f t="shared" si="90"/>
        <v>1.0394410852592664</v>
      </c>
      <c r="O451" s="26">
        <f t="shared" si="91"/>
        <v>0.69840665405146707</v>
      </c>
      <c r="P451" s="26">
        <f t="shared" si="92"/>
        <v>0.57027529301946256</v>
      </c>
      <c r="Q451" s="22"/>
      <c r="AD451" s="59">
        <v>447</v>
      </c>
      <c r="AE451" s="61">
        <f t="shared" ca="1" si="94"/>
        <v>0.78918252832851299</v>
      </c>
      <c r="AF451" s="61">
        <f t="shared" ca="1" si="94"/>
        <v>0.83604508630903207</v>
      </c>
      <c r="AG451" s="61">
        <f t="shared" ca="1" si="94"/>
        <v>0.56790925310005202</v>
      </c>
      <c r="AH451" s="19"/>
      <c r="AI451" s="61">
        <f ca="1"/>
        <v>1.7112858719835762E-2</v>
      </c>
      <c r="AJ451" s="61">
        <f ca="1"/>
        <v>3.0524842332960135E-2</v>
      </c>
      <c r="AK451" s="61">
        <f ca="1"/>
        <v>3.2098227014019688E-2</v>
      </c>
      <c r="AL451" s="19"/>
      <c r="AM451" s="61">
        <f t="shared" ca="1" si="98"/>
        <v>1.7464075042346008E-2</v>
      </c>
      <c r="AN451" s="61">
        <f t="shared" ca="1" si="99"/>
        <v>3.0773894929876665E-2</v>
      </c>
      <c r="AO451" s="61">
        <f t="shared" ca="1" si="100"/>
        <v>3.2529895617274505E-2</v>
      </c>
      <c r="AP451" s="19"/>
      <c r="AQ451" s="62">
        <f t="shared" ca="1" si="95"/>
        <v>0.86191594015804529</v>
      </c>
      <c r="AR451" s="62">
        <f t="shared" ca="1" si="96"/>
        <v>1.1771447322331785</v>
      </c>
      <c r="AS451" s="62">
        <f t="shared" ca="1" si="97"/>
        <v>0.9006254352497316</v>
      </c>
      <c r="AT451" s="49"/>
    </row>
    <row r="452" spans="1:46" x14ac:dyDescent="0.3">
      <c r="A452" s="5">
        <v>44117</v>
      </c>
      <c r="B452" s="6">
        <v>57.939999</v>
      </c>
      <c r="C452" s="6">
        <v>72.25</v>
      </c>
      <c r="D452" s="6">
        <v>41.43</v>
      </c>
      <c r="F452" s="13">
        <v>449</v>
      </c>
      <c r="G452" s="5">
        <v>44117</v>
      </c>
      <c r="H452" s="15">
        <f t="shared" si="93"/>
        <v>-1.4223545542588664E-2</v>
      </c>
      <c r="I452" s="15">
        <f t="shared" si="93"/>
        <v>-1.9056015792759243E-2</v>
      </c>
      <c r="J452" s="15">
        <f t="shared" si="93"/>
        <v>-3.9285695538436284E-2</v>
      </c>
      <c r="K452" s="22"/>
      <c r="L452" s="13">
        <v>449</v>
      </c>
      <c r="M452" s="5">
        <v>44117</v>
      </c>
      <c r="N452" s="26">
        <f t="shared" ref="N452:N515" si="101">B452/B$3</f>
        <v>1.0247611951757836</v>
      </c>
      <c r="O452" s="26">
        <f t="shared" ref="O452:O515" si="102">C452/C$3</f>
        <v>0.68522381097830398</v>
      </c>
      <c r="P452" s="26">
        <f t="shared" ref="P452:P515" si="103">D452/D$3</f>
        <v>0.54830599651418732</v>
      </c>
      <c r="Q452" s="22"/>
      <c r="AD452" s="59">
        <v>448</v>
      </c>
      <c r="AE452" s="61">
        <f t="shared" ca="1" si="94"/>
        <v>-1.9168757982978002</v>
      </c>
      <c r="AF452" s="61">
        <f t="shared" ca="1" si="94"/>
        <v>-0.44853863704736446</v>
      </c>
      <c r="AG452" s="61">
        <f t="shared" ca="1" si="94"/>
        <v>2.4800182151789491E-2</v>
      </c>
      <c r="AH452" s="19"/>
      <c r="AI452" s="61">
        <f ca="1"/>
        <v>-4.156608077629368E-2</v>
      </c>
      <c r="AJ452" s="61">
        <f ca="1"/>
        <v>-3.9753031456285712E-2</v>
      </c>
      <c r="AK452" s="61">
        <f ca="1"/>
        <v>-3.0846322802914099E-2</v>
      </c>
      <c r="AL452" s="19"/>
      <c r="AM452" s="61">
        <f t="shared" ca="1" si="98"/>
        <v>-4.1214864453783438E-2</v>
      </c>
      <c r="AN452" s="61">
        <f t="shared" ca="1" si="99"/>
        <v>-3.9503978859369182E-2</v>
      </c>
      <c r="AO452" s="61">
        <f t="shared" ca="1" si="100"/>
        <v>-3.0414654199659281E-2</v>
      </c>
      <c r="AP452" s="19"/>
      <c r="AQ452" s="62">
        <f t="shared" ca="1" si="95"/>
        <v>0.82711429037586759</v>
      </c>
      <c r="AR452" s="62">
        <f t="shared" ca="1" si="96"/>
        <v>1.1315493603093316</v>
      </c>
      <c r="AS452" s="62">
        <f t="shared" ca="1" si="97"/>
        <v>0.87364559510639217</v>
      </c>
      <c r="AT452" s="49"/>
    </row>
    <row r="453" spans="1:46" x14ac:dyDescent="0.3">
      <c r="A453" s="5">
        <v>44118</v>
      </c>
      <c r="B453" s="6">
        <v>57.07</v>
      </c>
      <c r="C453" s="6">
        <v>72.970000999999996</v>
      </c>
      <c r="D453" s="6">
        <v>41.709999000000003</v>
      </c>
      <c r="F453" s="13">
        <v>450</v>
      </c>
      <c r="G453" s="5">
        <v>44118</v>
      </c>
      <c r="H453" s="15">
        <f t="shared" ref="H453:J516" si="104">LN(B453/B452)</f>
        <v>-1.5129390533353817E-2</v>
      </c>
      <c r="I453" s="15">
        <f t="shared" si="104"/>
        <v>9.9160844892491346E-3</v>
      </c>
      <c r="J453" s="15">
        <f t="shared" si="104"/>
        <v>6.7356281444773038E-3</v>
      </c>
      <c r="K453" s="22"/>
      <c r="L453" s="13">
        <v>450</v>
      </c>
      <c r="M453" s="5">
        <v>44118</v>
      </c>
      <c r="N453" s="26">
        <f t="shared" si="101"/>
        <v>1.0093738767355169</v>
      </c>
      <c r="O453" s="26">
        <f t="shared" si="102"/>
        <v>0.69205234840568375</v>
      </c>
      <c r="P453" s="26">
        <f t="shared" si="103"/>
        <v>0.55201164775044076</v>
      </c>
      <c r="Q453" s="22"/>
      <c r="AD453" s="59">
        <v>449</v>
      </c>
      <c r="AE453" s="61">
        <f t="shared" ref="AE453:AG516" ca="1" si="105">_xlfn.NORM.S.INV(RAND())</f>
        <v>1.7230644838353613</v>
      </c>
      <c r="AF453" s="61">
        <f t="shared" ca="1" si="105"/>
        <v>-0.44146775829981133</v>
      </c>
      <c r="AG453" s="61">
        <f t="shared" ca="1" si="105"/>
        <v>-0.35917052154857726</v>
      </c>
      <c r="AH453" s="19"/>
      <c r="AI453" s="61">
        <f ca="1"/>
        <v>3.7363421032006044E-2</v>
      </c>
      <c r="AJ453" s="61">
        <f ca="1"/>
        <v>1.7374236585731964E-2</v>
      </c>
      <c r="AK453" s="61">
        <f ca="1"/>
        <v>1.3148266668523499E-2</v>
      </c>
      <c r="AL453" s="19"/>
      <c r="AM453" s="61">
        <f t="shared" ca="1" si="98"/>
        <v>3.7714637354516287E-2</v>
      </c>
      <c r="AN453" s="61">
        <f t="shared" ca="1" si="99"/>
        <v>1.7623289182648494E-2</v>
      </c>
      <c r="AO453" s="61">
        <f t="shared" ca="1" si="100"/>
        <v>1.3579935271778318E-2</v>
      </c>
      <c r="AP453" s="19"/>
      <c r="AQ453" s="62">
        <f t="shared" ca="1" si="95"/>
        <v>0.85890431239234144</v>
      </c>
      <c r="AR453" s="62">
        <f t="shared" ca="1" si="96"/>
        <v>1.151667737202472</v>
      </c>
      <c r="AS453" s="62">
        <f t="shared" ca="1" si="97"/>
        <v>0.88559056815036163</v>
      </c>
      <c r="AT453" s="49"/>
    </row>
    <row r="454" spans="1:46" x14ac:dyDescent="0.3">
      <c r="A454" s="5">
        <v>44119</v>
      </c>
      <c r="B454" s="6">
        <v>56.790000999999997</v>
      </c>
      <c r="C454" s="6">
        <v>75.75</v>
      </c>
      <c r="D454" s="6">
        <v>41.560001</v>
      </c>
      <c r="F454" s="13">
        <v>451</v>
      </c>
      <c r="G454" s="5">
        <v>44119</v>
      </c>
      <c r="H454" s="15">
        <f t="shared" si="104"/>
        <v>-4.9183130505418204E-3</v>
      </c>
      <c r="I454" s="15">
        <f t="shared" si="104"/>
        <v>3.7390032907687887E-2</v>
      </c>
      <c r="J454" s="15">
        <f t="shared" si="104"/>
        <v>-3.6026939411636528E-3</v>
      </c>
      <c r="K454" s="22"/>
      <c r="L454" s="13">
        <v>451</v>
      </c>
      <c r="M454" s="5">
        <v>44119</v>
      </c>
      <c r="N454" s="26">
        <f t="shared" si="101"/>
        <v>1.0044216483123161</v>
      </c>
      <c r="O454" s="26">
        <f t="shared" si="102"/>
        <v>0.71841804403607645</v>
      </c>
      <c r="P454" s="26">
        <f t="shared" si="103"/>
        <v>0.55002649682441762</v>
      </c>
      <c r="Q454" s="22"/>
      <c r="AD454" s="59">
        <v>450</v>
      </c>
      <c r="AE454" s="61">
        <f t="shared" ca="1" si="105"/>
        <v>0.26883329553933039</v>
      </c>
      <c r="AF454" s="61">
        <f t="shared" ca="1" si="105"/>
        <v>-1.3653082434010475</v>
      </c>
      <c r="AG454" s="61">
        <f t="shared" ca="1" si="105"/>
        <v>-0.65238840662641362</v>
      </c>
      <c r="AH454" s="19"/>
      <c r="AI454" s="61">
        <f ca="1"/>
        <v>5.829457749775932E-3</v>
      </c>
      <c r="AJ454" s="61">
        <f ca="1"/>
        <v>-2.5468494439325765E-2</v>
      </c>
      <c r="AK454" s="61">
        <f ca="1"/>
        <v>-2.2357132575733941E-2</v>
      </c>
      <c r="AL454" s="19"/>
      <c r="AM454" s="61">
        <f t="shared" ca="1" si="98"/>
        <v>6.1806740722861759E-3</v>
      </c>
      <c r="AN454" s="61">
        <f t="shared" ca="1" si="99"/>
        <v>-2.5219441842409235E-2</v>
      </c>
      <c r="AO454" s="61">
        <f t="shared" ca="1" si="100"/>
        <v>-2.1925463972479124E-2</v>
      </c>
      <c r="AP454" s="19"/>
      <c r="AQ454" s="62">
        <f t="shared" ref="AQ454:AQ517" ca="1" si="106">AQ453*EXP(AM454)</f>
        <v>0.8642293592443121</v>
      </c>
      <c r="AR454" s="62">
        <f t="shared" ref="AR454:AR517" ca="1" si="107">AR453*EXP(AN454)</f>
        <v>1.1229865021892413</v>
      </c>
      <c r="AS454" s="62">
        <f t="shared" ref="AS454:AS517" ca="1" si="108">AS453*EXP(AO454)</f>
        <v>0.86638490002870405</v>
      </c>
      <c r="AT454" s="49"/>
    </row>
    <row r="455" spans="1:46" x14ac:dyDescent="0.3">
      <c r="A455" s="5">
        <v>44120</v>
      </c>
      <c r="B455" s="6">
        <v>56.66</v>
      </c>
      <c r="C455" s="6">
        <v>74.790001000000004</v>
      </c>
      <c r="D455" s="6">
        <v>40.220001000000003</v>
      </c>
      <c r="F455" s="13">
        <v>452</v>
      </c>
      <c r="G455" s="5">
        <v>44120</v>
      </c>
      <c r="H455" s="15">
        <f t="shared" si="104"/>
        <v>-2.2917770957044323E-3</v>
      </c>
      <c r="I455" s="15">
        <f t="shared" si="104"/>
        <v>-1.2754244815130909E-2</v>
      </c>
      <c r="J455" s="15">
        <f t="shared" si="104"/>
        <v>-3.277378108486613E-2</v>
      </c>
      <c r="K455" s="22"/>
      <c r="L455" s="13">
        <v>452</v>
      </c>
      <c r="M455" s="5">
        <v>44120</v>
      </c>
      <c r="N455" s="26">
        <f t="shared" si="101"/>
        <v>1.0021223735033185</v>
      </c>
      <c r="O455" s="26">
        <f t="shared" si="102"/>
        <v>0.70931334959572556</v>
      </c>
      <c r="P455" s="26">
        <f t="shared" si="103"/>
        <v>0.5322922454285931</v>
      </c>
      <c r="Q455" s="22"/>
      <c r="AD455" s="59">
        <v>451</v>
      </c>
      <c r="AE455" s="61">
        <f t="shared" ca="1" si="105"/>
        <v>0.38063924674039934</v>
      </c>
      <c r="AF455" s="61">
        <f t="shared" ca="1" si="105"/>
        <v>-0.80964612784584966</v>
      </c>
      <c r="AG455" s="61">
        <f t="shared" ca="1" si="105"/>
        <v>-0.95593776138541575</v>
      </c>
      <c r="AH455" s="19"/>
      <c r="AI455" s="61">
        <f ca="1"/>
        <v>8.253889840274883E-3</v>
      </c>
      <c r="AJ455" s="61">
        <f ca="1"/>
        <v>-1.164058837973057E-2</v>
      </c>
      <c r="AK455" s="61">
        <f ca="1"/>
        <v>-2.4568830836932936E-2</v>
      </c>
      <c r="AL455" s="19"/>
      <c r="AM455" s="61">
        <f t="shared" ref="AM455:AM518" ca="1" si="109">AI455+T$3</f>
        <v>8.6051061627851269E-3</v>
      </c>
      <c r="AN455" s="61">
        <f t="shared" ref="AN455:AN518" ca="1" si="110">AJ455+U$3</f>
        <v>-1.1391535782814039E-2</v>
      </c>
      <c r="AO455" s="61">
        <f t="shared" ref="AO455:AO518" ca="1" si="111">AK455+V$3</f>
        <v>-2.4137162233678119E-2</v>
      </c>
      <c r="AP455" s="19"/>
      <c r="AQ455" s="62">
        <f t="shared" ca="1" si="106"/>
        <v>0.87169823377092803</v>
      </c>
      <c r="AR455" s="62">
        <f t="shared" ca="1" si="107"/>
        <v>1.1102665487207932</v>
      </c>
      <c r="AS455" s="62">
        <f t="shared" ca="1" si="108"/>
        <v>0.8457231878106839</v>
      </c>
      <c r="AT455" s="49"/>
    </row>
    <row r="456" spans="1:46" x14ac:dyDescent="0.3">
      <c r="A456" s="5">
        <v>44123</v>
      </c>
      <c r="B456" s="6">
        <v>55.43</v>
      </c>
      <c r="C456" s="6">
        <v>74.360000999999997</v>
      </c>
      <c r="D456" s="6">
        <v>39.290000999999997</v>
      </c>
      <c r="F456" s="13">
        <v>453</v>
      </c>
      <c r="G456" s="5">
        <v>44123</v>
      </c>
      <c r="H456" s="15">
        <f t="shared" si="104"/>
        <v>-2.1947530970657107E-2</v>
      </c>
      <c r="I456" s="15">
        <f t="shared" si="104"/>
        <v>-5.7660232730141307E-3</v>
      </c>
      <c r="J456" s="15">
        <f t="shared" si="104"/>
        <v>-2.3394350185621009E-2</v>
      </c>
      <c r="K456" s="22"/>
      <c r="L456" s="13">
        <v>453</v>
      </c>
      <c r="M456" s="5">
        <v>44123</v>
      </c>
      <c r="N456" s="26">
        <f t="shared" si="101"/>
        <v>0.98036786380672336</v>
      </c>
      <c r="O456" s="26">
        <f t="shared" si="102"/>
        <v>0.70523520096291337</v>
      </c>
      <c r="P456" s="26">
        <f t="shared" si="103"/>
        <v>0.5199841455792521</v>
      </c>
      <c r="Q456" s="22"/>
      <c r="AD456" s="59">
        <v>452</v>
      </c>
      <c r="AE456" s="61">
        <f t="shared" ca="1" si="105"/>
        <v>0.12584908097161127</v>
      </c>
      <c r="AF456" s="61">
        <f t="shared" ca="1" si="105"/>
        <v>1.2198920877329673</v>
      </c>
      <c r="AG456" s="61">
        <f t="shared" ca="1" si="105"/>
        <v>-0.71663678778702211</v>
      </c>
      <c r="AH456" s="19"/>
      <c r="AI456" s="61">
        <f ca="1"/>
        <v>2.7289473162181561E-3</v>
      </c>
      <c r="AJ456" s="61">
        <f ca="1"/>
        <v>2.8485428246020763E-2</v>
      </c>
      <c r="AK456" s="61">
        <f ca="1"/>
        <v>-7.9096713798274525E-3</v>
      </c>
      <c r="AL456" s="19"/>
      <c r="AM456" s="61">
        <f t="shared" ca="1" si="109"/>
        <v>3.0801636387284004E-3</v>
      </c>
      <c r="AN456" s="61">
        <f t="shared" ca="1" si="110"/>
        <v>2.8734480842937293E-2</v>
      </c>
      <c r="AO456" s="61">
        <f t="shared" ca="1" si="111"/>
        <v>-7.4780027765726344E-3</v>
      </c>
      <c r="AP456" s="19"/>
      <c r="AQ456" s="62">
        <f t="shared" ca="1" si="106"/>
        <v>0.87438734630179338</v>
      </c>
      <c r="AR456" s="62">
        <f t="shared" ca="1" si="107"/>
        <v>1.1426322606399339</v>
      </c>
      <c r="AS456" s="62">
        <f t="shared" ca="1" si="108"/>
        <v>0.8394224552733901</v>
      </c>
      <c r="AT456" s="49"/>
    </row>
    <row r="457" spans="1:46" x14ac:dyDescent="0.3">
      <c r="A457" s="5">
        <v>44124</v>
      </c>
      <c r="B457" s="6">
        <v>56.299999</v>
      </c>
      <c r="C457" s="6">
        <v>73.510002</v>
      </c>
      <c r="D457" s="6">
        <v>40.700001</v>
      </c>
      <c r="F457" s="13">
        <v>454</v>
      </c>
      <c r="G457" s="5">
        <v>44124</v>
      </c>
      <c r="H457" s="15">
        <f t="shared" si="104"/>
        <v>1.5573553951941904E-2</v>
      </c>
      <c r="I457" s="15">
        <f t="shared" si="104"/>
        <v>-1.1496697708154886E-2</v>
      </c>
      <c r="J457" s="15">
        <f t="shared" si="104"/>
        <v>3.525805799643663E-2</v>
      </c>
      <c r="K457" s="22"/>
      <c r="L457" s="13">
        <v>454</v>
      </c>
      <c r="M457" s="5">
        <v>44124</v>
      </c>
      <c r="N457" s="26">
        <f t="shared" si="101"/>
        <v>0.99575518224699011</v>
      </c>
      <c r="O457" s="26">
        <f t="shared" si="102"/>
        <v>0.69717375384723523</v>
      </c>
      <c r="P457" s="26">
        <f t="shared" si="103"/>
        <v>0.53864481309276901</v>
      </c>
      <c r="Q457" s="22"/>
      <c r="AD457" s="59">
        <v>453</v>
      </c>
      <c r="AE457" s="61">
        <f t="shared" ca="1" si="105"/>
        <v>-0.38278389352166758</v>
      </c>
      <c r="AF457" s="61">
        <f t="shared" ca="1" si="105"/>
        <v>-0.79336867461565885</v>
      </c>
      <c r="AG457" s="61">
        <f t="shared" ca="1" si="105"/>
        <v>0.8942034495853286</v>
      </c>
      <c r="AH457" s="19"/>
      <c r="AI457" s="61">
        <f ca="1"/>
        <v>-8.3003949719198111E-3</v>
      </c>
      <c r="AJ457" s="61">
        <f ca="1"/>
        <v>-2.3236138335384487E-2</v>
      </c>
      <c r="AK457" s="61">
        <f ca="1"/>
        <v>1.1666343494820066E-2</v>
      </c>
      <c r="AL457" s="19"/>
      <c r="AM457" s="61">
        <f t="shared" ca="1" si="109"/>
        <v>-7.9491786494095672E-3</v>
      </c>
      <c r="AN457" s="61">
        <f t="shared" ca="1" si="110"/>
        <v>-2.2987085738467958E-2</v>
      </c>
      <c r="AO457" s="61">
        <f t="shared" ca="1" si="111"/>
        <v>1.2098012098074885E-2</v>
      </c>
      <c r="AP457" s="19"/>
      <c r="AQ457" s="62">
        <f t="shared" ca="1" si="106"/>
        <v>0.86746423804500195</v>
      </c>
      <c r="AR457" s="62">
        <f t="shared" ca="1" si="107"/>
        <v>1.1166660618969062</v>
      </c>
      <c r="AS457" s="62">
        <f t="shared" ca="1" si="108"/>
        <v>0.84963947650097893</v>
      </c>
      <c r="AT457" s="49"/>
    </row>
    <row r="458" spans="1:46" x14ac:dyDescent="0.3">
      <c r="A458" s="5">
        <v>44125</v>
      </c>
      <c r="B458" s="6">
        <v>55.32</v>
      </c>
      <c r="C458" s="6">
        <v>75.010002</v>
      </c>
      <c r="D458" s="6">
        <v>40.540000999999997</v>
      </c>
      <c r="F458" s="13">
        <v>455</v>
      </c>
      <c r="G458" s="5">
        <v>44125</v>
      </c>
      <c r="H458" s="15">
        <f t="shared" si="104"/>
        <v>-1.7560010587097767E-2</v>
      </c>
      <c r="I458" s="15">
        <f t="shared" si="104"/>
        <v>2.0199986051477641E-2</v>
      </c>
      <c r="J458" s="15">
        <f t="shared" si="104"/>
        <v>-3.9389513277243889E-3</v>
      </c>
      <c r="K458" s="22"/>
      <c r="L458" s="13">
        <v>455</v>
      </c>
      <c r="M458" s="5">
        <v>44125</v>
      </c>
      <c r="N458" s="26">
        <f t="shared" si="101"/>
        <v>0.97842233854930427</v>
      </c>
      <c r="O458" s="26">
        <f t="shared" si="102"/>
        <v>0.71139985372913783</v>
      </c>
      <c r="P458" s="26">
        <f t="shared" si="103"/>
        <v>0.53652729053804371</v>
      </c>
      <c r="Q458" s="22"/>
      <c r="AD458" s="59">
        <v>454</v>
      </c>
      <c r="AE458" s="61">
        <f t="shared" ca="1" si="105"/>
        <v>1.1477925559224798</v>
      </c>
      <c r="AF458" s="61">
        <f t="shared" ca="1" si="105"/>
        <v>1.1713821071644206</v>
      </c>
      <c r="AG458" s="61">
        <f t="shared" ca="1" si="105"/>
        <v>0.28288232297453325</v>
      </c>
      <c r="AH458" s="19"/>
      <c r="AI458" s="61">
        <f ca="1"/>
        <v>2.4889060697760663E-2</v>
      </c>
      <c r="AJ458" s="61">
        <f ca="1"/>
        <v>4.3426819056966257E-2</v>
      </c>
      <c r="AK458" s="61">
        <f ca="1"/>
        <v>3.2456106621517308E-2</v>
      </c>
      <c r="AL458" s="19"/>
      <c r="AM458" s="61">
        <f t="shared" ca="1" si="109"/>
        <v>2.5240277020270908E-2</v>
      </c>
      <c r="AN458" s="61">
        <f t="shared" ca="1" si="110"/>
        <v>4.3675871653882786E-2</v>
      </c>
      <c r="AO458" s="61">
        <f t="shared" ca="1" si="111"/>
        <v>3.2887775224772126E-2</v>
      </c>
      <c r="AP458" s="19"/>
      <c r="AQ458" s="62">
        <f t="shared" ca="1" si="106"/>
        <v>0.88963793365486421</v>
      </c>
      <c r="AR458" s="62">
        <f t="shared" ca="1" si="107"/>
        <v>1.1665181680971479</v>
      </c>
      <c r="AS458" s="62">
        <f t="shared" ca="1" si="108"/>
        <v>0.87804679496463955</v>
      </c>
      <c r="AT458" s="49"/>
    </row>
    <row r="459" spans="1:46" x14ac:dyDescent="0.3">
      <c r="A459" s="5">
        <v>44126</v>
      </c>
      <c r="B459" s="6">
        <v>56.32</v>
      </c>
      <c r="C459" s="6">
        <v>77.110000999999997</v>
      </c>
      <c r="D459" s="6">
        <v>41.279998999999997</v>
      </c>
      <c r="F459" s="13">
        <v>456</v>
      </c>
      <c r="G459" s="5">
        <v>44126</v>
      </c>
      <c r="H459" s="15">
        <f t="shared" si="104"/>
        <v>1.7915205053229549E-2</v>
      </c>
      <c r="I459" s="15">
        <f t="shared" si="104"/>
        <v>2.7611522168699644E-2</v>
      </c>
      <c r="J459" s="15">
        <f t="shared" si="104"/>
        <v>1.8088931257651562E-2</v>
      </c>
      <c r="K459" s="22"/>
      <c r="L459" s="13">
        <v>456</v>
      </c>
      <c r="M459" s="5">
        <v>44126</v>
      </c>
      <c r="N459" s="26">
        <f t="shared" si="101"/>
        <v>0.99610893179856863</v>
      </c>
      <c r="O459" s="26">
        <f t="shared" si="102"/>
        <v>0.73131638407973465</v>
      </c>
      <c r="P459" s="26">
        <f t="shared" si="103"/>
        <v>0.5463208058846164</v>
      </c>
      <c r="Q459" s="22"/>
      <c r="AD459" s="59">
        <v>455</v>
      </c>
      <c r="AE459" s="61">
        <f t="shared" ca="1" si="105"/>
        <v>-0.39455672839501144</v>
      </c>
      <c r="AF459" s="61">
        <f t="shared" ca="1" si="105"/>
        <v>-0.8979268443806312</v>
      </c>
      <c r="AG459" s="61">
        <f t="shared" ca="1" si="105"/>
        <v>-2.8662963889217008</v>
      </c>
      <c r="AH459" s="19"/>
      <c r="AI459" s="61">
        <f ca="1"/>
        <v>-8.5556804764610663E-3</v>
      </c>
      <c r="AJ459" s="61">
        <f ca="1"/>
        <v>-2.5693088944588743E-2</v>
      </c>
      <c r="AK459" s="61">
        <f ca="1"/>
        <v>-8.5587790430732419E-2</v>
      </c>
      <c r="AL459" s="19"/>
      <c r="AM459" s="61">
        <f t="shared" ca="1" si="109"/>
        <v>-8.2044641539508224E-3</v>
      </c>
      <c r="AN459" s="61">
        <f t="shared" ca="1" si="110"/>
        <v>-2.5444036347672214E-2</v>
      </c>
      <c r="AO459" s="61">
        <f t="shared" ca="1" si="111"/>
        <v>-8.5156121827477602E-2</v>
      </c>
      <c r="AP459" s="19"/>
      <c r="AQ459" s="62">
        <f t="shared" ca="1" si="106"/>
        <v>0.88236879160164228</v>
      </c>
      <c r="AR459" s="62">
        <f t="shared" ca="1" si="107"/>
        <v>1.1372116564681849</v>
      </c>
      <c r="AS459" s="62">
        <f t="shared" ca="1" si="108"/>
        <v>0.80637086553343418</v>
      </c>
      <c r="AT459" s="49"/>
    </row>
    <row r="460" spans="1:46" x14ac:dyDescent="0.3">
      <c r="A460" s="5">
        <v>44127</v>
      </c>
      <c r="B460" s="6">
        <v>51.669998</v>
      </c>
      <c r="C460" s="6">
        <v>77.389999000000003</v>
      </c>
      <c r="D460" s="6">
        <v>41.970001000000003</v>
      </c>
      <c r="F460" s="13">
        <v>457</v>
      </c>
      <c r="G460" s="5">
        <v>44127</v>
      </c>
      <c r="H460" s="15">
        <f t="shared" si="104"/>
        <v>-8.6172408257874714E-2</v>
      </c>
      <c r="I460" s="15">
        <f t="shared" si="104"/>
        <v>3.6245735474458186E-3</v>
      </c>
      <c r="J460" s="15">
        <f t="shared" si="104"/>
        <v>1.6577004223541313E-2</v>
      </c>
      <c r="K460" s="22"/>
      <c r="L460" s="13">
        <v>457</v>
      </c>
      <c r="M460" s="5">
        <v>44127</v>
      </c>
      <c r="N460" s="26">
        <f t="shared" si="101"/>
        <v>0.91386623781630283</v>
      </c>
      <c r="O460" s="26">
        <f t="shared" si="102"/>
        <v>0.73397190375622334</v>
      </c>
      <c r="P460" s="26">
        <f t="shared" si="103"/>
        <v>0.55545264837090136</v>
      </c>
      <c r="Q460" s="22"/>
      <c r="AD460" s="59">
        <v>456</v>
      </c>
      <c r="AE460" s="61">
        <f t="shared" ca="1" si="105"/>
        <v>-0.11330194627550115</v>
      </c>
      <c r="AF460" s="61">
        <f t="shared" ca="1" si="105"/>
        <v>0.92685669670797544</v>
      </c>
      <c r="AG460" s="61">
        <f t="shared" ca="1" si="105"/>
        <v>-0.40959241097257926</v>
      </c>
      <c r="AH460" s="19"/>
      <c r="AI460" s="61">
        <f ca="1"/>
        <v>-2.4568716737833791E-3</v>
      </c>
      <c r="AJ460" s="61">
        <f ca="1"/>
        <v>1.837273313380133E-2</v>
      </c>
      <c r="AK460" s="61">
        <f ca="1"/>
        <v>-5.6404854652321069E-3</v>
      </c>
      <c r="AL460" s="19"/>
      <c r="AM460" s="61">
        <f t="shared" ca="1" si="109"/>
        <v>-2.1056553512731348E-3</v>
      </c>
      <c r="AN460" s="61">
        <f t="shared" ca="1" si="110"/>
        <v>1.862178573071786E-2</v>
      </c>
      <c r="AO460" s="61">
        <f t="shared" ca="1" si="111"/>
        <v>-5.2088168619772888E-3</v>
      </c>
      <c r="AP460" s="19"/>
      <c r="AQ460" s="62">
        <f t="shared" ca="1" si="106"/>
        <v>0.88051278177808057</v>
      </c>
      <c r="AR460" s="62">
        <f t="shared" ca="1" si="107"/>
        <v>1.1585869738643748</v>
      </c>
      <c r="AS460" s="62">
        <f t="shared" ca="1" si="108"/>
        <v>0.80218154753910542</v>
      </c>
      <c r="AT460" s="49"/>
    </row>
    <row r="461" spans="1:46" x14ac:dyDescent="0.3">
      <c r="A461" s="5">
        <v>44130</v>
      </c>
      <c r="B461" s="6">
        <v>50.939999</v>
      </c>
      <c r="C461" s="6">
        <v>76.800003000000004</v>
      </c>
      <c r="D461" s="6">
        <v>39.540000999999997</v>
      </c>
      <c r="F461" s="13">
        <v>458</v>
      </c>
      <c r="G461" s="5">
        <v>44130</v>
      </c>
      <c r="H461" s="15">
        <f t="shared" si="104"/>
        <v>-1.4228853671539919E-2</v>
      </c>
      <c r="I461" s="15">
        <f t="shared" si="104"/>
        <v>-7.6528811446758601E-3</v>
      </c>
      <c r="J461" s="15">
        <f t="shared" si="104"/>
        <v>-5.9642258138726888E-2</v>
      </c>
      <c r="K461" s="22"/>
      <c r="L461" s="13">
        <v>458</v>
      </c>
      <c r="M461" s="5">
        <v>44130</v>
      </c>
      <c r="N461" s="26">
        <f t="shared" si="101"/>
        <v>0.90095504243093316</v>
      </c>
      <c r="O461" s="26">
        <f t="shared" si="102"/>
        <v>0.72837634240560811</v>
      </c>
      <c r="P461" s="26">
        <f t="shared" si="103"/>
        <v>0.52329277457101042</v>
      </c>
      <c r="Q461" s="22"/>
      <c r="AD461" s="59">
        <v>457</v>
      </c>
      <c r="AE461" s="61">
        <f t="shared" ca="1" si="105"/>
        <v>-2.4197739432190399</v>
      </c>
      <c r="AF461" s="61">
        <f t="shared" ca="1" si="105"/>
        <v>-1.8641027983396163</v>
      </c>
      <c r="AG461" s="61">
        <f t="shared" ca="1" si="105"/>
        <v>0.2788477998156535</v>
      </c>
      <c r="AH461" s="19"/>
      <c r="AI461" s="61">
        <f ca="1"/>
        <v>-5.2471067386593087E-2</v>
      </c>
      <c r="AJ461" s="61">
        <f ca="1"/>
        <v>-7.8393290699992096E-2</v>
      </c>
      <c r="AK461" s="61">
        <f ca="1"/>
        <v>-4.1737283891190434E-2</v>
      </c>
      <c r="AL461" s="19"/>
      <c r="AM461" s="61">
        <f t="shared" ca="1" si="109"/>
        <v>-5.2119851064082845E-2</v>
      </c>
      <c r="AN461" s="61">
        <f t="shared" ca="1" si="110"/>
        <v>-7.8144238103075567E-2</v>
      </c>
      <c r="AO461" s="61">
        <f t="shared" ca="1" si="111"/>
        <v>-4.1305615287935617E-2</v>
      </c>
      <c r="AP461" s="19"/>
      <c r="AQ461" s="62">
        <f t="shared" ca="1" si="106"/>
        <v>0.83579602432015188</v>
      </c>
      <c r="AR461" s="62">
        <f t="shared" ca="1" si="107"/>
        <v>1.071497174014858</v>
      </c>
      <c r="AS461" s="62">
        <f t="shared" ca="1" si="108"/>
        <v>0.76972194209172784</v>
      </c>
      <c r="AT461" s="49"/>
    </row>
    <row r="462" spans="1:46" x14ac:dyDescent="0.3">
      <c r="A462" s="5">
        <v>44131</v>
      </c>
      <c r="B462" s="6">
        <v>50.349997999999999</v>
      </c>
      <c r="C462" s="6">
        <v>74.470000999999996</v>
      </c>
      <c r="D462" s="6">
        <v>38.259998000000003</v>
      </c>
      <c r="F462" s="13">
        <v>459</v>
      </c>
      <c r="G462" s="5">
        <v>44131</v>
      </c>
      <c r="H462" s="15">
        <f t="shared" si="104"/>
        <v>-1.1649870477748233E-2</v>
      </c>
      <c r="I462" s="15">
        <f t="shared" si="104"/>
        <v>-3.0808306065345625E-2</v>
      </c>
      <c r="J462" s="15">
        <f t="shared" si="104"/>
        <v>-3.2907931295124926E-2</v>
      </c>
      <c r="K462" s="22"/>
      <c r="L462" s="13">
        <v>459</v>
      </c>
      <c r="M462" s="5">
        <v>44131</v>
      </c>
      <c r="N462" s="26">
        <f t="shared" si="101"/>
        <v>0.89051993472727398</v>
      </c>
      <c r="O462" s="26">
        <f t="shared" si="102"/>
        <v>0.70627844828758624</v>
      </c>
      <c r="P462" s="26">
        <f t="shared" si="103"/>
        <v>0.5063525544296601</v>
      </c>
      <c r="Q462" s="22"/>
      <c r="AD462" s="59">
        <v>458</v>
      </c>
      <c r="AE462" s="61">
        <f t="shared" ca="1" si="105"/>
        <v>0.43997646067931284</v>
      </c>
      <c r="AF462" s="61">
        <f t="shared" ca="1" si="105"/>
        <v>-1.8688310316449335</v>
      </c>
      <c r="AG462" s="61">
        <f t="shared" ca="1" si="105"/>
        <v>1.2023416025081159</v>
      </c>
      <c r="AH462" s="19"/>
      <c r="AI462" s="61">
        <f ca="1"/>
        <v>9.5405748877961122E-3</v>
      </c>
      <c r="AJ462" s="61">
        <f ca="1"/>
        <v>-3.3734283979642794E-2</v>
      </c>
      <c r="AK462" s="61">
        <f ca="1"/>
        <v>2.414366128405511E-2</v>
      </c>
      <c r="AL462" s="19"/>
      <c r="AM462" s="61">
        <f t="shared" ca="1" si="109"/>
        <v>9.8917912103063561E-3</v>
      </c>
      <c r="AN462" s="61">
        <f t="shared" ca="1" si="110"/>
        <v>-3.3485231382726265E-2</v>
      </c>
      <c r="AO462" s="61">
        <f t="shared" ca="1" si="111"/>
        <v>2.4575329887309927E-2</v>
      </c>
      <c r="AP462" s="19"/>
      <c r="AQ462" s="62">
        <f t="shared" ca="1" si="106"/>
        <v>0.84410456953695989</v>
      </c>
      <c r="AR462" s="62">
        <f t="shared" ca="1" si="107"/>
        <v>1.0362119078057139</v>
      </c>
      <c r="AS462" s="62">
        <f t="shared" ca="1" si="108"/>
        <v>0.78887246412328371</v>
      </c>
      <c r="AT462" s="49"/>
    </row>
    <row r="463" spans="1:46" x14ac:dyDescent="0.3">
      <c r="A463" s="5">
        <v>44132</v>
      </c>
      <c r="B463" s="6">
        <v>48.82</v>
      </c>
      <c r="C463" s="6">
        <v>74.300003000000004</v>
      </c>
      <c r="D463" s="6">
        <v>36.189999</v>
      </c>
      <c r="F463" s="13">
        <v>460</v>
      </c>
      <c r="G463" s="5">
        <v>44132</v>
      </c>
      <c r="H463" s="15">
        <f t="shared" si="104"/>
        <v>-3.0858514477810097E-2</v>
      </c>
      <c r="I463" s="15">
        <f t="shared" si="104"/>
        <v>-2.2853810502168367E-3</v>
      </c>
      <c r="J463" s="15">
        <f t="shared" si="104"/>
        <v>-5.5622101794482036E-2</v>
      </c>
      <c r="K463" s="22"/>
      <c r="L463" s="13">
        <v>460</v>
      </c>
      <c r="M463" s="5">
        <v>44132</v>
      </c>
      <c r="N463" s="26">
        <f t="shared" si="101"/>
        <v>0.86345948242908599</v>
      </c>
      <c r="O463" s="26">
        <f t="shared" si="102"/>
        <v>0.70466617593577052</v>
      </c>
      <c r="P463" s="26">
        <f t="shared" si="103"/>
        <v>0.47895711961241721</v>
      </c>
      <c r="Q463" s="22"/>
      <c r="AD463" s="59">
        <v>459</v>
      </c>
      <c r="AE463" s="61">
        <f t="shared" ca="1" si="105"/>
        <v>0.27111102796751435</v>
      </c>
      <c r="AF463" s="61">
        <f t="shared" ca="1" si="105"/>
        <v>-0.75044156212126845</v>
      </c>
      <c r="AG463" s="61">
        <f t="shared" ca="1" si="105"/>
        <v>-0.51199800773371662</v>
      </c>
      <c r="AH463" s="19"/>
      <c r="AI463" s="61">
        <f ca="1"/>
        <v>5.8788487484941337E-3</v>
      </c>
      <c r="AJ463" s="61">
        <f ca="1"/>
        <v>-1.2068089588198182E-2</v>
      </c>
      <c r="AK463" s="61">
        <f ca="1"/>
        <v>-1.4396507690460265E-2</v>
      </c>
      <c r="AL463" s="19"/>
      <c r="AM463" s="61">
        <f t="shared" ca="1" si="109"/>
        <v>6.2300650710043776E-3</v>
      </c>
      <c r="AN463" s="61">
        <f t="shared" ca="1" si="110"/>
        <v>-1.181903699128165E-2</v>
      </c>
      <c r="AO463" s="61">
        <f t="shared" ca="1" si="111"/>
        <v>-1.3964839087205446E-2</v>
      </c>
      <c r="AP463" s="19"/>
      <c r="AQ463" s="62">
        <f t="shared" ca="1" si="106"/>
        <v>0.84937981141937191</v>
      </c>
      <c r="AR463" s="62">
        <f t="shared" ca="1" si="107"/>
        <v>1.0240369706784027</v>
      </c>
      <c r="AS463" s="62">
        <f t="shared" ca="1" si="108"/>
        <v>0.77793255194631239</v>
      </c>
      <c r="AT463" s="49"/>
    </row>
    <row r="464" spans="1:46" x14ac:dyDescent="0.3">
      <c r="A464" s="5">
        <v>44133</v>
      </c>
      <c r="B464" s="6">
        <v>49.450001</v>
      </c>
      <c r="C464" s="6">
        <v>70.580001999999993</v>
      </c>
      <c r="D464" s="6">
        <v>37.529998999999997</v>
      </c>
      <c r="F464" s="13">
        <v>461</v>
      </c>
      <c r="G464" s="5">
        <v>44133</v>
      </c>
      <c r="H464" s="15">
        <f t="shared" si="104"/>
        <v>1.2822013326353757E-2</v>
      </c>
      <c r="I464" s="15">
        <f t="shared" si="104"/>
        <v>-5.1364145516800526E-2</v>
      </c>
      <c r="J464" s="15">
        <f t="shared" si="104"/>
        <v>3.6357776557870487E-2</v>
      </c>
      <c r="K464" s="22"/>
      <c r="L464" s="13">
        <v>461</v>
      </c>
      <c r="M464" s="5">
        <v>44133</v>
      </c>
      <c r="N464" s="26">
        <f t="shared" si="101"/>
        <v>0.87460205386271572</v>
      </c>
      <c r="O464" s="26">
        <f t="shared" si="102"/>
        <v>0.66938543874458567</v>
      </c>
      <c r="P464" s="26">
        <f t="shared" si="103"/>
        <v>0.49669137100824168</v>
      </c>
      <c r="Q464" s="22"/>
      <c r="AD464" s="59">
        <v>460</v>
      </c>
      <c r="AE464" s="61">
        <f t="shared" ca="1" si="105"/>
        <v>-0.50262980602350371</v>
      </c>
      <c r="AF464" s="61">
        <f t="shared" ca="1" si="105"/>
        <v>0.11432346471650594</v>
      </c>
      <c r="AG464" s="61">
        <f t="shared" ca="1" si="105"/>
        <v>0.23583218737054726</v>
      </c>
      <c r="AH464" s="19"/>
      <c r="AI464" s="61">
        <f ca="1"/>
        <v>-1.0899167873212412E-2</v>
      </c>
      <c r="AJ464" s="61">
        <f ca="1"/>
        <v>-5.3823947289326091E-3</v>
      </c>
      <c r="AK464" s="61">
        <f ca="1"/>
        <v>-5.7950128827246976E-4</v>
      </c>
      <c r="AL464" s="19"/>
      <c r="AM464" s="61">
        <f t="shared" ca="1" si="109"/>
        <v>-1.0547951550702168E-2</v>
      </c>
      <c r="AN464" s="61">
        <f t="shared" ca="1" si="110"/>
        <v>-5.1333421320160786E-3</v>
      </c>
      <c r="AO464" s="61">
        <f t="shared" ca="1" si="111"/>
        <v>-1.4783268501765152E-4</v>
      </c>
      <c r="AP464" s="19"/>
      <c r="AQ464" s="62">
        <f t="shared" ca="1" si="106"/>
        <v>0.8404676793188125</v>
      </c>
      <c r="AR464" s="62">
        <f t="shared" ca="1" si="107"/>
        <v>1.0187937077970575</v>
      </c>
      <c r="AS464" s="62">
        <f t="shared" ca="1" si="108"/>
        <v>0.77781755658864116</v>
      </c>
      <c r="AT464" s="49"/>
    </row>
    <row r="465" spans="1:46" x14ac:dyDescent="0.3">
      <c r="A465" s="5">
        <v>44134</v>
      </c>
      <c r="B465" s="6">
        <v>50.689999</v>
      </c>
      <c r="C465" s="6">
        <v>66.849997999999999</v>
      </c>
      <c r="D465" s="6">
        <v>38.610000999999997</v>
      </c>
      <c r="F465" s="13">
        <v>462</v>
      </c>
      <c r="G465" s="5">
        <v>44134</v>
      </c>
      <c r="H465" s="15">
        <f t="shared" si="104"/>
        <v>2.4766554465333046E-2</v>
      </c>
      <c r="I465" s="15">
        <f t="shared" si="104"/>
        <v>-5.4295572953537277E-2</v>
      </c>
      <c r="J465" s="15">
        <f t="shared" si="104"/>
        <v>2.8370749674591925E-2</v>
      </c>
      <c r="K465" s="22"/>
      <c r="L465" s="13">
        <v>462</v>
      </c>
      <c r="M465" s="5">
        <v>44134</v>
      </c>
      <c r="N465" s="26">
        <f t="shared" si="101"/>
        <v>0.8965333941186171</v>
      </c>
      <c r="O465" s="26">
        <f t="shared" si="102"/>
        <v>0.63400983243532183</v>
      </c>
      <c r="P465" s="26">
        <f t="shared" si="103"/>
        <v>0.51098467472166953</v>
      </c>
      <c r="Q465" s="22"/>
      <c r="AD465" s="59">
        <v>461</v>
      </c>
      <c r="AE465" s="61">
        <f t="shared" ca="1" si="105"/>
        <v>-0.42074628342362369</v>
      </c>
      <c r="AF465" s="61">
        <f t="shared" ca="1" si="105"/>
        <v>-5.1449216103528005E-2</v>
      </c>
      <c r="AG465" s="61">
        <f t="shared" ca="1" si="105"/>
        <v>-0.51740130946397389</v>
      </c>
      <c r="AH465" s="19"/>
      <c r="AI465" s="61">
        <f ca="1"/>
        <v>-9.1235822470302225E-3</v>
      </c>
      <c r="AJ465" s="61">
        <f ca="1"/>
        <v>-7.7039640732209915E-3</v>
      </c>
      <c r="AK465" s="61">
        <f ca="1"/>
        <v>-1.9834883493518238E-2</v>
      </c>
      <c r="AL465" s="19"/>
      <c r="AM465" s="61">
        <f t="shared" ca="1" si="109"/>
        <v>-8.7723659245199787E-3</v>
      </c>
      <c r="AN465" s="61">
        <f t="shared" ca="1" si="110"/>
        <v>-7.454911476304461E-3</v>
      </c>
      <c r="AO465" s="61">
        <f t="shared" ca="1" si="111"/>
        <v>-1.9403214890263421E-2</v>
      </c>
      <c r="AP465" s="19"/>
      <c r="AQ465" s="62">
        <f t="shared" ca="1" si="106"/>
        <v>0.83312703377702624</v>
      </c>
      <c r="AR465" s="62">
        <f t="shared" ca="1" si="107"/>
        <v>1.0112269307633364</v>
      </c>
      <c r="AS465" s="62">
        <f t="shared" ca="1" si="108"/>
        <v>0.76287087119731922</v>
      </c>
      <c r="AT465" s="49"/>
    </row>
    <row r="466" spans="1:46" x14ac:dyDescent="0.3">
      <c r="A466" s="5">
        <v>44137</v>
      </c>
      <c r="B466" s="6">
        <v>51.610000999999997</v>
      </c>
      <c r="C466" s="6">
        <v>67.430000000000007</v>
      </c>
      <c r="D466" s="6">
        <v>39.900002000000001</v>
      </c>
      <c r="F466" s="13">
        <v>463</v>
      </c>
      <c r="G466" s="5">
        <v>44137</v>
      </c>
      <c r="H466" s="15">
        <f t="shared" si="104"/>
        <v>1.7986838780224515E-2</v>
      </c>
      <c r="I466" s="15">
        <f t="shared" si="104"/>
        <v>8.6387491162652607E-3</v>
      </c>
      <c r="J466" s="15">
        <f t="shared" si="104"/>
        <v>3.2865037844959338E-2</v>
      </c>
      <c r="K466" s="22"/>
      <c r="L466" s="13">
        <v>463</v>
      </c>
      <c r="M466" s="5">
        <v>44137</v>
      </c>
      <c r="N466" s="26">
        <f t="shared" si="101"/>
        <v>0.91280509528112674</v>
      </c>
      <c r="O466" s="26">
        <f t="shared" si="102"/>
        <v>0.6395106100244573</v>
      </c>
      <c r="P466" s="26">
        <f t="shared" si="103"/>
        <v>0.52805721355365842</v>
      </c>
      <c r="Q466" s="22"/>
      <c r="AD466" s="59">
        <v>462</v>
      </c>
      <c r="AE466" s="61">
        <f t="shared" ca="1" si="105"/>
        <v>-0.42790729237920577</v>
      </c>
      <c r="AF466" s="61">
        <f t="shared" ca="1" si="105"/>
        <v>1.0005358548108445</v>
      </c>
      <c r="AG466" s="61">
        <f t="shared" ca="1" si="105"/>
        <v>-0.11913013409164001</v>
      </c>
      <c r="AH466" s="19"/>
      <c r="AI466" s="61">
        <f ca="1"/>
        <v>-9.2788636048270132E-3</v>
      </c>
      <c r="AJ466" s="61">
        <f ca="1"/>
        <v>1.5049915423978173E-2</v>
      </c>
      <c r="AK466" s="61">
        <f ca="1"/>
        <v>-2.328438176542044E-3</v>
      </c>
      <c r="AL466" s="19"/>
      <c r="AM466" s="61">
        <f t="shared" ca="1" si="109"/>
        <v>-8.9276472823167693E-3</v>
      </c>
      <c r="AN466" s="61">
        <f t="shared" ca="1" si="110"/>
        <v>1.5298968020894704E-2</v>
      </c>
      <c r="AO466" s="61">
        <f t="shared" ca="1" si="111"/>
        <v>-1.8967695732872258E-3</v>
      </c>
      <c r="AP466" s="19"/>
      <c r="AQ466" s="62">
        <f t="shared" ca="1" si="106"/>
        <v>0.82572227220951799</v>
      </c>
      <c r="AR466" s="62">
        <f t="shared" ca="1" si="107"/>
        <v>1.026816608153454</v>
      </c>
      <c r="AS466" s="62">
        <f t="shared" ca="1" si="108"/>
        <v>0.76142525237679437</v>
      </c>
      <c r="AT466" s="49"/>
    </row>
    <row r="467" spans="1:46" x14ac:dyDescent="0.3">
      <c r="A467" s="5">
        <v>44138</v>
      </c>
      <c r="B467" s="6">
        <v>52.59</v>
      </c>
      <c r="C467" s="6">
        <v>69.120002999999997</v>
      </c>
      <c r="D467" s="6">
        <v>39.479999999999997</v>
      </c>
      <c r="F467" s="13">
        <v>464</v>
      </c>
      <c r="G467" s="5">
        <v>44138</v>
      </c>
      <c r="H467" s="15">
        <f t="shared" si="104"/>
        <v>1.8810516064527424E-2</v>
      </c>
      <c r="I467" s="15">
        <f t="shared" si="104"/>
        <v>2.4754145152086304E-2</v>
      </c>
      <c r="J467" s="15">
        <f t="shared" si="104"/>
        <v>-1.0582159455849045E-2</v>
      </c>
      <c r="K467" s="22"/>
      <c r="L467" s="13">
        <v>464</v>
      </c>
      <c r="M467" s="5">
        <v>44138</v>
      </c>
      <c r="N467" s="26">
        <f t="shared" si="101"/>
        <v>0.9301379389788127</v>
      </c>
      <c r="O467" s="26">
        <f t="shared" si="102"/>
        <v>0.65553871101026717</v>
      </c>
      <c r="P467" s="26">
        <f t="shared" si="103"/>
        <v>0.52249869037847252</v>
      </c>
      <c r="Q467" s="22"/>
      <c r="AD467" s="59">
        <v>463</v>
      </c>
      <c r="AE467" s="61">
        <f t="shared" ca="1" si="105"/>
        <v>2.2941638625967782</v>
      </c>
      <c r="AF467" s="61">
        <f t="shared" ca="1" si="105"/>
        <v>1.0780244682452309</v>
      </c>
      <c r="AG467" s="61">
        <f t="shared" ca="1" si="105"/>
        <v>-0.72938327819303173</v>
      </c>
      <c r="AH467" s="19"/>
      <c r="AI467" s="61">
        <f ca="1"/>
        <v>4.9747302622022482E-2</v>
      </c>
      <c r="AJ467" s="61">
        <f ca="1"/>
        <v>5.9340986844664816E-2</v>
      </c>
      <c r="AK467" s="61">
        <f ca="1"/>
        <v>2.2802701895386676E-2</v>
      </c>
      <c r="AL467" s="19"/>
      <c r="AM467" s="61">
        <f t="shared" ca="1" si="109"/>
        <v>5.0098518944532724E-2</v>
      </c>
      <c r="AN467" s="61">
        <f t="shared" ca="1" si="110"/>
        <v>5.9590039441581345E-2</v>
      </c>
      <c r="AO467" s="61">
        <f t="shared" ca="1" si="111"/>
        <v>2.3234370498641493E-2</v>
      </c>
      <c r="AP467" s="19"/>
      <c r="AQ467" s="62">
        <f t="shared" ca="1" si="106"/>
        <v>0.86814348277447329</v>
      </c>
      <c r="AR467" s="62">
        <f t="shared" ca="1" si="107"/>
        <v>1.0898645080767464</v>
      </c>
      <c r="AS467" s="62">
        <f t="shared" ca="1" si="108"/>
        <v>0.77932361218479196</v>
      </c>
      <c r="AT467" s="49"/>
    </row>
    <row r="468" spans="1:46" x14ac:dyDescent="0.3">
      <c r="A468" s="5">
        <v>44139</v>
      </c>
      <c r="B468" s="6">
        <v>51.16</v>
      </c>
      <c r="C468" s="6">
        <v>68.709998999999996</v>
      </c>
      <c r="D468" s="6">
        <v>38.970001000000003</v>
      </c>
      <c r="F468" s="13">
        <v>465</v>
      </c>
      <c r="G468" s="5">
        <v>44139</v>
      </c>
      <c r="H468" s="15">
        <f t="shared" si="104"/>
        <v>-2.7568010890610967E-2</v>
      </c>
      <c r="I468" s="15">
        <f t="shared" si="104"/>
        <v>-5.9494334095148114E-3</v>
      </c>
      <c r="J468" s="15">
        <f t="shared" si="104"/>
        <v>-1.3002069553898496E-2</v>
      </c>
      <c r="K468" s="22"/>
      <c r="L468" s="13">
        <v>465</v>
      </c>
      <c r="M468" s="5">
        <v>44139</v>
      </c>
      <c r="N468" s="26">
        <f t="shared" si="101"/>
        <v>0.90484611063236453</v>
      </c>
      <c r="O468" s="26">
        <f t="shared" si="102"/>
        <v>0.65165020577294741</v>
      </c>
      <c r="P468" s="26">
        <f t="shared" si="103"/>
        <v>0.5157491004698016</v>
      </c>
      <c r="Q468" s="22"/>
      <c r="AD468" s="59">
        <v>464</v>
      </c>
      <c r="AE468" s="61">
        <f t="shared" ca="1" si="105"/>
        <v>-0.18015070118621657</v>
      </c>
      <c r="AF468" s="61">
        <f t="shared" ca="1" si="105"/>
        <v>0.46334316905176037</v>
      </c>
      <c r="AG468" s="61">
        <f t="shared" ca="1" si="105"/>
        <v>0.87791321198470307</v>
      </c>
      <c r="AH468" s="19"/>
      <c r="AI468" s="61">
        <f ca="1"/>
        <v>-3.9064391151798997E-3</v>
      </c>
      <c r="AJ468" s="61">
        <f ca="1"/>
        <v>7.2514556319004378E-3</v>
      </c>
      <c r="AK468" s="61">
        <f ca="1"/>
        <v>2.3093348151063783E-2</v>
      </c>
      <c r="AL468" s="19"/>
      <c r="AM468" s="61">
        <f t="shared" ca="1" si="109"/>
        <v>-3.5552227926696554E-3</v>
      </c>
      <c r="AN468" s="61">
        <f t="shared" ca="1" si="110"/>
        <v>7.5005082288169683E-3</v>
      </c>
      <c r="AO468" s="61">
        <f t="shared" ca="1" si="111"/>
        <v>2.35250167543186E-2</v>
      </c>
      <c r="AP468" s="19"/>
      <c r="AQ468" s="62">
        <f t="shared" ca="1" si="106"/>
        <v>0.8650625192782091</v>
      </c>
      <c r="AR468" s="62">
        <f t="shared" ca="1" si="107"/>
        <v>1.0980697791721721</v>
      </c>
      <c r="AS468" s="62">
        <f t="shared" ca="1" si="108"/>
        <v>0.79787456339653284</v>
      </c>
      <c r="AT468" s="49"/>
    </row>
    <row r="469" spans="1:46" x14ac:dyDescent="0.3">
      <c r="A469" s="5">
        <v>44140</v>
      </c>
      <c r="B469" s="6">
        <v>52.220001000000003</v>
      </c>
      <c r="C469" s="6">
        <v>69.930000000000007</v>
      </c>
      <c r="D469" s="6">
        <v>39.529998999999997</v>
      </c>
      <c r="F469" s="13">
        <v>466</v>
      </c>
      <c r="G469" s="5">
        <v>44140</v>
      </c>
      <c r="H469" s="15">
        <f t="shared" si="104"/>
        <v>2.0507605710091838E-2</v>
      </c>
      <c r="I469" s="15">
        <f t="shared" si="104"/>
        <v>1.7600007226713475E-2</v>
      </c>
      <c r="J469" s="15">
        <f t="shared" si="104"/>
        <v>1.426770699996883E-2</v>
      </c>
      <c r="K469" s="22"/>
      <c r="L469" s="13">
        <v>466</v>
      </c>
      <c r="M469" s="5">
        <v>44140</v>
      </c>
      <c r="N469" s="26">
        <f t="shared" si="101"/>
        <v>0.92359391716317807</v>
      </c>
      <c r="O469" s="26">
        <f t="shared" si="102"/>
        <v>0.66322077649429489</v>
      </c>
      <c r="P469" s="26">
        <f t="shared" si="103"/>
        <v>0.52316040294230814</v>
      </c>
      <c r="Q469" s="22"/>
      <c r="AD469" s="59">
        <v>465</v>
      </c>
      <c r="AE469" s="61">
        <f t="shared" ca="1" si="105"/>
        <v>0.84978040834060709</v>
      </c>
      <c r="AF469" s="61">
        <f t="shared" ca="1" si="105"/>
        <v>3.1915204583671787E-2</v>
      </c>
      <c r="AG469" s="61">
        <f t="shared" ca="1" si="105"/>
        <v>-1.8892887128552058</v>
      </c>
      <c r="AH469" s="19"/>
      <c r="AI469" s="61">
        <f ca="1"/>
        <v>1.8426880409551694E-2</v>
      </c>
      <c r="AJ469" s="61">
        <f ca="1"/>
        <v>1.3994759556310965E-2</v>
      </c>
      <c r="AK469" s="61">
        <f ca="1"/>
        <v>-3.5622760883266824E-2</v>
      </c>
      <c r="AL469" s="19"/>
      <c r="AM469" s="61">
        <f t="shared" ca="1" si="109"/>
        <v>1.877809673206194E-2</v>
      </c>
      <c r="AN469" s="61">
        <f t="shared" ca="1" si="110"/>
        <v>1.4243812153227496E-2</v>
      </c>
      <c r="AO469" s="61">
        <f t="shared" ca="1" si="111"/>
        <v>-3.5191092280012007E-2</v>
      </c>
      <c r="AP469" s="19"/>
      <c r="AQ469" s="62">
        <f t="shared" ca="1" si="106"/>
        <v>0.88146022394721868</v>
      </c>
      <c r="AR469" s="62">
        <f t="shared" ca="1" si="107"/>
        <v>1.1138224012008371</v>
      </c>
      <c r="AS469" s="62">
        <f t="shared" ca="1" si="108"/>
        <v>0.77028479036812769</v>
      </c>
      <c r="AT469" s="49"/>
    </row>
    <row r="470" spans="1:46" x14ac:dyDescent="0.3">
      <c r="A470" s="5">
        <v>44141</v>
      </c>
      <c r="B470" s="6">
        <v>51.740001999999997</v>
      </c>
      <c r="C470" s="6">
        <v>68.230002999999996</v>
      </c>
      <c r="D470" s="6">
        <v>38.169998</v>
      </c>
      <c r="F470" s="13">
        <v>467</v>
      </c>
      <c r="G470" s="5">
        <v>44141</v>
      </c>
      <c r="H470" s="15">
        <f t="shared" si="104"/>
        <v>-9.2343670080389465E-3</v>
      </c>
      <c r="I470" s="15">
        <f t="shared" si="104"/>
        <v>-2.4610346919515663E-2</v>
      </c>
      <c r="J470" s="15">
        <f t="shared" si="104"/>
        <v>-3.5010037651384683E-2</v>
      </c>
      <c r="K470" s="22"/>
      <c r="L470" s="13">
        <v>467</v>
      </c>
      <c r="M470" s="5">
        <v>44141</v>
      </c>
      <c r="N470" s="26">
        <f t="shared" si="101"/>
        <v>0.91510437009012435</v>
      </c>
      <c r="O470" s="26">
        <f t="shared" si="102"/>
        <v>0.64709789174700505</v>
      </c>
      <c r="P470" s="26">
        <f t="shared" si="103"/>
        <v>0.50516144799262708</v>
      </c>
      <c r="Q470" s="22"/>
      <c r="AD470" s="59">
        <v>466</v>
      </c>
      <c r="AE470" s="61">
        <f t="shared" ca="1" si="105"/>
        <v>-1.5067890824169354</v>
      </c>
      <c r="AF470" s="61">
        <f t="shared" ca="1" si="105"/>
        <v>1.1592768758077538</v>
      </c>
      <c r="AG470" s="61">
        <f t="shared" ca="1" si="105"/>
        <v>1.0707536921244587</v>
      </c>
      <c r="AH470" s="19"/>
      <c r="AI470" s="61">
        <f ca="1"/>
        <v>-3.2673643627926671E-2</v>
      </c>
      <c r="AJ470" s="61">
        <f ca="1"/>
        <v>1.6132907009817656E-3</v>
      </c>
      <c r="AK470" s="61">
        <f ca="1"/>
        <v>1.3333191861282408E-2</v>
      </c>
      <c r="AL470" s="19"/>
      <c r="AM470" s="61">
        <f t="shared" ca="1" si="109"/>
        <v>-3.2322427305416429E-2</v>
      </c>
      <c r="AN470" s="61">
        <f t="shared" ca="1" si="110"/>
        <v>1.8623432978982961E-3</v>
      </c>
      <c r="AO470" s="61">
        <f t="shared" ca="1" si="111"/>
        <v>1.3764860464537227E-2</v>
      </c>
      <c r="AP470" s="19"/>
      <c r="AQ470" s="62">
        <f t="shared" ca="1" si="106"/>
        <v>0.85342481690427485</v>
      </c>
      <c r="AR470" s="62">
        <f t="shared" ca="1" si="107"/>
        <v>1.1158986536320696</v>
      </c>
      <c r="AS470" s="62">
        <f t="shared" ca="1" si="108"/>
        <v>0.78096096246655622</v>
      </c>
      <c r="AT470" s="49"/>
    </row>
    <row r="471" spans="1:46" x14ac:dyDescent="0.3">
      <c r="A471" s="5">
        <v>44144</v>
      </c>
      <c r="B471" s="6">
        <v>62.110000999999997</v>
      </c>
      <c r="C471" s="6">
        <v>81.739998</v>
      </c>
      <c r="D471" s="6">
        <v>50.080002</v>
      </c>
      <c r="F471" s="13">
        <v>468</v>
      </c>
      <c r="G471" s="5">
        <v>44144</v>
      </c>
      <c r="H471" s="15">
        <f t="shared" si="104"/>
        <v>0.1826758072589835</v>
      </c>
      <c r="I471" s="15">
        <f t="shared" si="104"/>
        <v>0.18065905887204622</v>
      </c>
      <c r="J471" s="15">
        <f t="shared" si="104"/>
        <v>0.27157195236797815</v>
      </c>
      <c r="K471" s="22"/>
      <c r="L471" s="13">
        <v>468</v>
      </c>
      <c r="M471" s="5">
        <v>44144</v>
      </c>
      <c r="N471" s="26">
        <f t="shared" si="101"/>
        <v>1.0985143243984026</v>
      </c>
      <c r="O471" s="26">
        <f t="shared" si="102"/>
        <v>0.77522758392967395</v>
      </c>
      <c r="P471" s="26">
        <f t="shared" si="103"/>
        <v>0.6627845860980569</v>
      </c>
      <c r="Q471" s="22"/>
      <c r="AD471" s="59">
        <v>467</v>
      </c>
      <c r="AE471" s="61">
        <f t="shared" ca="1" si="105"/>
        <v>-0.15552255554978558</v>
      </c>
      <c r="AF471" s="61">
        <f t="shared" ca="1" si="105"/>
        <v>0.56975649781744708</v>
      </c>
      <c r="AG471" s="61">
        <f t="shared" ca="1" si="105"/>
        <v>8.6680989519518165E-2</v>
      </c>
      <c r="AH471" s="19"/>
      <c r="AI471" s="61">
        <f ca="1"/>
        <v>-3.372395390592598E-3</v>
      </c>
      <c r="AJ471" s="61">
        <f ca="1"/>
        <v>9.9499456779215401E-3</v>
      </c>
      <c r="AK471" s="61">
        <f ca="1"/>
        <v>3.9353201120338127E-3</v>
      </c>
      <c r="AL471" s="19"/>
      <c r="AM471" s="61">
        <f t="shared" ca="1" si="109"/>
        <v>-3.0211790680823537E-3</v>
      </c>
      <c r="AN471" s="61">
        <f t="shared" ca="1" si="110"/>
        <v>1.0198998274838071E-2</v>
      </c>
      <c r="AO471" s="61">
        <f t="shared" ca="1" si="111"/>
        <v>4.3669887152886309E-3</v>
      </c>
      <c r="AP471" s="19"/>
      <c r="AQ471" s="62">
        <f t="shared" ca="1" si="106"/>
        <v>0.85085035861920488</v>
      </c>
      <c r="AR471" s="62">
        <f t="shared" ca="1" si="107"/>
        <v>1.1273379375348118</v>
      </c>
      <c r="AS471" s="62">
        <f t="shared" ca="1" si="108"/>
        <v>0.78437886772178078</v>
      </c>
      <c r="AT471" s="49"/>
    </row>
    <row r="472" spans="1:46" x14ac:dyDescent="0.3">
      <c r="A472" s="5">
        <v>44145</v>
      </c>
      <c r="B472" s="6">
        <v>64.029999000000004</v>
      </c>
      <c r="C472" s="6">
        <v>81.349997999999999</v>
      </c>
      <c r="D472" s="6">
        <v>49.959999000000003</v>
      </c>
      <c r="F472" s="13">
        <v>469</v>
      </c>
      <c r="G472" s="5">
        <v>44145</v>
      </c>
      <c r="H472" s="15">
        <f t="shared" si="104"/>
        <v>3.0444685241353114E-2</v>
      </c>
      <c r="I472" s="15">
        <f t="shared" si="104"/>
        <v>-4.7826445883856509E-3</v>
      </c>
      <c r="J472" s="15">
        <f t="shared" si="104"/>
        <v>-2.3991014865805357E-3</v>
      </c>
      <c r="K472" s="22"/>
      <c r="L472" s="13">
        <v>469</v>
      </c>
      <c r="M472" s="5">
        <v>44145</v>
      </c>
      <c r="N472" s="26">
        <f t="shared" si="101"/>
        <v>1.1324725480638036</v>
      </c>
      <c r="O472" s="26">
        <f t="shared" si="102"/>
        <v>0.77152879796037932</v>
      </c>
      <c r="P472" s="26">
        <f t="shared" si="103"/>
        <v>0.66119640447846506</v>
      </c>
      <c r="Q472" s="22"/>
      <c r="AD472" s="59">
        <v>468</v>
      </c>
      <c r="AE472" s="61">
        <f t="shared" ca="1" si="105"/>
        <v>1.423281591489677</v>
      </c>
      <c r="AF472" s="61">
        <f t="shared" ca="1" si="105"/>
        <v>-0.88134494924421647</v>
      </c>
      <c r="AG472" s="61">
        <f t="shared" ca="1" si="105"/>
        <v>-0.21854817922785852</v>
      </c>
      <c r="AH472" s="19"/>
      <c r="AI472" s="61">
        <f ca="1"/>
        <v>3.0862843409993731E-2</v>
      </c>
      <c r="AJ472" s="61">
        <f ca="1"/>
        <v>3.1207550831344917E-3</v>
      </c>
      <c r="AK472" s="61">
        <f ca="1"/>
        <v>9.2237310122041324E-3</v>
      </c>
      <c r="AL472" s="19"/>
      <c r="AM472" s="61">
        <f t="shared" ca="1" si="109"/>
        <v>3.1214059732503976E-2</v>
      </c>
      <c r="AN472" s="61">
        <f t="shared" ca="1" si="110"/>
        <v>3.3698076800510223E-3</v>
      </c>
      <c r="AO472" s="61">
        <f t="shared" ca="1" si="111"/>
        <v>9.6553996154589514E-3</v>
      </c>
      <c r="AP472" s="19"/>
      <c r="AQ472" s="62">
        <f t="shared" ca="1" si="106"/>
        <v>0.87782769834436503</v>
      </c>
      <c r="AR472" s="62">
        <f t="shared" ca="1" si="107"/>
        <v>1.1311432575720979</v>
      </c>
      <c r="AS472" s="62">
        <f t="shared" ca="1" si="108"/>
        <v>0.79198903964253853</v>
      </c>
      <c r="AT472" s="49"/>
    </row>
    <row r="473" spans="1:46" x14ac:dyDescent="0.3">
      <c r="A473" s="5">
        <v>44146</v>
      </c>
      <c r="B473" s="6">
        <v>62.970001000000003</v>
      </c>
      <c r="C473" s="6">
        <v>76.209998999999996</v>
      </c>
      <c r="D473" s="6">
        <v>49.790000999999997</v>
      </c>
      <c r="F473" s="13">
        <v>470</v>
      </c>
      <c r="G473" s="5">
        <v>44146</v>
      </c>
      <c r="H473" s="15">
        <f t="shared" si="104"/>
        <v>-1.6693269531802255E-2</v>
      </c>
      <c r="I473" s="15">
        <f t="shared" si="104"/>
        <v>-6.5268134523532098E-2</v>
      </c>
      <c r="J473" s="15">
        <f t="shared" si="104"/>
        <v>-3.4084845029186605E-3</v>
      </c>
      <c r="K473" s="22"/>
      <c r="L473" s="13">
        <v>470</v>
      </c>
      <c r="M473" s="5">
        <v>44146</v>
      </c>
      <c r="N473" s="26">
        <f t="shared" si="101"/>
        <v>1.11372479459277</v>
      </c>
      <c r="O473" s="26">
        <f t="shared" si="102"/>
        <v>0.72278070518245996</v>
      </c>
      <c r="P473" s="26">
        <f t="shared" si="103"/>
        <v>0.65894656323310119</v>
      </c>
      <c r="Q473" s="22"/>
      <c r="AD473" s="59">
        <v>469</v>
      </c>
      <c r="AE473" s="61">
        <f t="shared" ca="1" si="105"/>
        <v>-0.55330862159153726</v>
      </c>
      <c r="AF473" s="61">
        <f t="shared" ca="1" si="105"/>
        <v>-7.70285731917114E-2</v>
      </c>
      <c r="AG473" s="61">
        <f t="shared" ca="1" si="105"/>
        <v>0.66637133960837525</v>
      </c>
      <c r="AH473" s="19"/>
      <c r="AI473" s="61">
        <f ca="1"/>
        <v>-1.1998101744367953E-2</v>
      </c>
      <c r="AJ473" s="61">
        <f ca="1"/>
        <v>-1.0334867941594291E-2</v>
      </c>
      <c r="AK473" s="61">
        <f ca="1"/>
        <v>8.3544960894268976E-3</v>
      </c>
      <c r="AL473" s="19"/>
      <c r="AM473" s="61">
        <f t="shared" ca="1" si="109"/>
        <v>-1.1646885421857709E-2</v>
      </c>
      <c r="AN473" s="61">
        <f t="shared" ca="1" si="110"/>
        <v>-1.008581534467776E-2</v>
      </c>
      <c r="AO473" s="61">
        <f t="shared" ca="1" si="111"/>
        <v>8.7861646926817166E-3</v>
      </c>
      <c r="AP473" s="19"/>
      <c r="AQ473" s="62">
        <f t="shared" ca="1" si="106"/>
        <v>0.86766304788384097</v>
      </c>
      <c r="AR473" s="62">
        <f t="shared" ca="1" si="107"/>
        <v>1.1197920946378337</v>
      </c>
      <c r="AS473" s="62">
        <f t="shared" ca="1" si="108"/>
        <v>0.79897824497228387</v>
      </c>
      <c r="AT473" s="49"/>
    </row>
    <row r="474" spans="1:46" x14ac:dyDescent="0.3">
      <c r="A474" s="5">
        <v>44147</v>
      </c>
      <c r="B474" s="6">
        <v>61.490001999999997</v>
      </c>
      <c r="C474" s="6">
        <v>74.269997000000004</v>
      </c>
      <c r="D474" s="6">
        <v>47.279998999999997</v>
      </c>
      <c r="F474" s="13">
        <v>471</v>
      </c>
      <c r="G474" s="5">
        <v>44147</v>
      </c>
      <c r="H474" s="15">
        <f t="shared" si="104"/>
        <v>-2.3783845890237618E-2</v>
      </c>
      <c r="I474" s="15">
        <f t="shared" si="104"/>
        <v>-2.57856132683442E-2</v>
      </c>
      <c r="J474" s="15">
        <f t="shared" si="104"/>
        <v>-5.1726828791195154E-2</v>
      </c>
      <c r="K474" s="22"/>
      <c r="L474" s="13">
        <v>471</v>
      </c>
      <c r="M474" s="5">
        <v>44147</v>
      </c>
      <c r="N474" s="26">
        <f t="shared" si="101"/>
        <v>1.0875486542704518</v>
      </c>
      <c r="O474" s="26">
        <f t="shared" si="102"/>
        <v>0.70438159703373293</v>
      </c>
      <c r="P474" s="26">
        <f t="shared" si="103"/>
        <v>0.6257279016868158</v>
      </c>
      <c r="Q474" s="22"/>
      <c r="AD474" s="59">
        <v>470</v>
      </c>
      <c r="AE474" s="61">
        <f t="shared" ca="1" si="105"/>
        <v>0.46321721814667133</v>
      </c>
      <c r="AF474" s="61">
        <f t="shared" ca="1" si="105"/>
        <v>-1.3404850275194424</v>
      </c>
      <c r="AG474" s="61">
        <f t="shared" ca="1" si="105"/>
        <v>-0.59039371545790498</v>
      </c>
      <c r="AH474" s="19"/>
      <c r="AI474" s="61">
        <f ca="1"/>
        <v>1.0044534092168305E-2</v>
      </c>
      <c r="AJ474" s="61">
        <f ca="1"/>
        <v>-2.1886373739268345E-2</v>
      </c>
      <c r="AK474" s="61">
        <f ca="1"/>
        <v>-1.772188624797643E-2</v>
      </c>
      <c r="AL474" s="19"/>
      <c r="AM474" s="61">
        <f t="shared" ca="1" si="109"/>
        <v>1.0395750414678549E-2</v>
      </c>
      <c r="AN474" s="61">
        <f t="shared" ca="1" si="110"/>
        <v>-2.1637321142351815E-2</v>
      </c>
      <c r="AO474" s="61">
        <f t="shared" ca="1" si="111"/>
        <v>-1.7290217644721613E-2</v>
      </c>
      <c r="AP474" s="19"/>
      <c r="AQ474" s="62">
        <f t="shared" ca="1" si="106"/>
        <v>0.8767301041431349</v>
      </c>
      <c r="AR474" s="62">
        <f t="shared" ca="1" si="107"/>
        <v>1.0958230416545807</v>
      </c>
      <c r="AS474" s="62">
        <f t="shared" ca="1" si="108"/>
        <v>0.78528247979954502</v>
      </c>
      <c r="AT474" s="49"/>
    </row>
    <row r="475" spans="1:46" x14ac:dyDescent="0.3">
      <c r="A475" s="5">
        <v>44148</v>
      </c>
      <c r="B475" s="6">
        <v>63.189999</v>
      </c>
      <c r="C475" s="6">
        <v>77.610000999999997</v>
      </c>
      <c r="D475" s="6">
        <v>50.919998</v>
      </c>
      <c r="F475" s="13">
        <v>472</v>
      </c>
      <c r="G475" s="5">
        <v>44148</v>
      </c>
      <c r="H475" s="15">
        <f t="shared" si="104"/>
        <v>2.7271452469083208E-2</v>
      </c>
      <c r="I475" s="15">
        <f t="shared" si="104"/>
        <v>4.3989236462940583E-2</v>
      </c>
      <c r="J475" s="15">
        <f t="shared" si="104"/>
        <v>7.4168382464657109E-2</v>
      </c>
      <c r="K475" s="22"/>
      <c r="L475" s="13">
        <v>472</v>
      </c>
      <c r="M475" s="5">
        <v>44148</v>
      </c>
      <c r="N475" s="26">
        <f t="shared" si="101"/>
        <v>1.1176158097344215</v>
      </c>
      <c r="O475" s="26">
        <f t="shared" si="102"/>
        <v>0.73605841737370215</v>
      </c>
      <c r="P475" s="26">
        <f t="shared" si="103"/>
        <v>0.67390152657230096</v>
      </c>
      <c r="Q475" s="22"/>
      <c r="AD475" s="59">
        <v>471</v>
      </c>
      <c r="AE475" s="61">
        <f t="shared" ca="1" si="105"/>
        <v>1.0708589814490013</v>
      </c>
      <c r="AF475" s="61">
        <f t="shared" ca="1" si="105"/>
        <v>1.6924089393938664</v>
      </c>
      <c r="AG475" s="61">
        <f t="shared" ca="1" si="105"/>
        <v>0.60770991952329911</v>
      </c>
      <c r="AH475" s="19"/>
      <c r="AI475" s="61">
        <f ca="1"/>
        <v>2.3220811156599307E-2</v>
      </c>
      <c r="AJ475" s="61">
        <f ca="1"/>
        <v>5.3547677153860593E-2</v>
      </c>
      <c r="AK475" s="61">
        <f ca="1"/>
        <v>4.3310750471242179E-2</v>
      </c>
      <c r="AL475" s="19"/>
      <c r="AM475" s="61">
        <f t="shared" ca="1" si="109"/>
        <v>2.3572027479109553E-2</v>
      </c>
      <c r="AN475" s="61">
        <f t="shared" ca="1" si="110"/>
        <v>5.3796729750777122E-2</v>
      </c>
      <c r="AO475" s="61">
        <f t="shared" ca="1" si="111"/>
        <v>4.3742419074496997E-2</v>
      </c>
      <c r="AP475" s="19"/>
      <c r="AQ475" s="62">
        <f t="shared" ca="1" si="106"/>
        <v>0.89764190878849892</v>
      </c>
      <c r="AR475" s="62">
        <f t="shared" ca="1" si="107"/>
        <v>1.1563892637273945</v>
      </c>
      <c r="AS475" s="62">
        <f t="shared" ca="1" si="108"/>
        <v>0.82039498967475399</v>
      </c>
      <c r="AT475" s="49"/>
    </row>
    <row r="476" spans="1:46" x14ac:dyDescent="0.3">
      <c r="A476" s="5">
        <v>44151</v>
      </c>
      <c r="B476" s="6">
        <v>66.180000000000007</v>
      </c>
      <c r="C476" s="6">
        <v>79.339995999999999</v>
      </c>
      <c r="D476" s="6">
        <v>55.669998</v>
      </c>
      <c r="F476" s="13">
        <v>473</v>
      </c>
      <c r="G476" s="5">
        <v>44151</v>
      </c>
      <c r="H476" s="15">
        <f t="shared" si="104"/>
        <v>4.6232257533391288E-2</v>
      </c>
      <c r="I476" s="15">
        <f t="shared" si="104"/>
        <v>2.2046066919266579E-2</v>
      </c>
      <c r="J476" s="15">
        <f t="shared" si="104"/>
        <v>8.9185631857516101E-2</v>
      </c>
      <c r="K476" s="22"/>
      <c r="L476" s="13">
        <v>473</v>
      </c>
      <c r="M476" s="5">
        <v>44151</v>
      </c>
      <c r="N476" s="26">
        <f t="shared" si="101"/>
        <v>1.1704987412363153</v>
      </c>
      <c r="O476" s="26">
        <f t="shared" si="102"/>
        <v>0.75246580515049677</v>
      </c>
      <c r="P476" s="26">
        <f t="shared" si="103"/>
        <v>0.73676547741570886</v>
      </c>
      <c r="Q476" s="22"/>
      <c r="AD476" s="59">
        <v>472</v>
      </c>
      <c r="AE476" s="61">
        <f t="shared" ca="1" si="105"/>
        <v>0.29143968841518147</v>
      </c>
      <c r="AF476" s="61">
        <f t="shared" ca="1" si="105"/>
        <v>-1.2522076209316979</v>
      </c>
      <c r="AG476" s="61">
        <f t="shared" ca="1" si="105"/>
        <v>-0.19897354507938905</v>
      </c>
      <c r="AH476" s="19"/>
      <c r="AI476" s="61">
        <f ca="1"/>
        <v>6.3196612116656805E-3</v>
      </c>
      <c r="AJ476" s="61">
        <f ca="1"/>
        <v>-2.2656294416978744E-2</v>
      </c>
      <c r="AK476" s="61">
        <f ca="1"/>
        <v>-9.6101356898216084E-3</v>
      </c>
      <c r="AL476" s="19"/>
      <c r="AM476" s="61">
        <f t="shared" ca="1" si="109"/>
        <v>6.6708775341759244E-3</v>
      </c>
      <c r="AN476" s="61">
        <f t="shared" ca="1" si="110"/>
        <v>-2.2407241820062214E-2</v>
      </c>
      <c r="AO476" s="61">
        <f t="shared" ca="1" si="111"/>
        <v>-9.1784670865667894E-3</v>
      </c>
      <c r="AP476" s="19"/>
      <c r="AQ476" s="62">
        <f t="shared" ca="1" si="106"/>
        <v>0.90364998532272078</v>
      </c>
      <c r="AR476" s="62">
        <f t="shared" ca="1" si="107"/>
        <v>1.1307659162104249</v>
      </c>
      <c r="AS476" s="62">
        <f t="shared" ca="1" si="108"/>
        <v>0.81289947256370609</v>
      </c>
      <c r="AT476" s="49"/>
    </row>
    <row r="477" spans="1:46" x14ac:dyDescent="0.3">
      <c r="A477" s="5">
        <v>44152</v>
      </c>
      <c r="B477" s="6">
        <v>65.529999000000004</v>
      </c>
      <c r="C477" s="6">
        <v>84.099997999999999</v>
      </c>
      <c r="D477" s="6">
        <v>54.150002000000001</v>
      </c>
      <c r="F477" s="13">
        <v>474</v>
      </c>
      <c r="G477" s="5">
        <v>44152</v>
      </c>
      <c r="H477" s="15">
        <f t="shared" si="104"/>
        <v>-9.8702647022469604E-3</v>
      </c>
      <c r="I477" s="15">
        <f t="shared" si="104"/>
        <v>5.8264178527437968E-2</v>
      </c>
      <c r="J477" s="15">
        <f t="shared" si="104"/>
        <v>-2.7683355887982933E-2</v>
      </c>
      <c r="K477" s="22"/>
      <c r="L477" s="13">
        <v>474</v>
      </c>
      <c r="M477" s="5">
        <v>44152</v>
      </c>
      <c r="N477" s="26">
        <f t="shared" si="101"/>
        <v>1.1590024379377002</v>
      </c>
      <c r="O477" s="26">
        <f t="shared" si="102"/>
        <v>0.7976099810772006</v>
      </c>
      <c r="P477" s="26">
        <f t="shared" si="103"/>
        <v>0.71664906608388224</v>
      </c>
      <c r="Q477" s="22"/>
      <c r="AD477" s="59">
        <v>473</v>
      </c>
      <c r="AE477" s="61">
        <f t="shared" ca="1" si="105"/>
        <v>1.6718847597917326</v>
      </c>
      <c r="AF477" s="61">
        <f t="shared" ca="1" si="105"/>
        <v>-0.29702428943918208</v>
      </c>
      <c r="AG477" s="61">
        <f t="shared" ca="1" si="105"/>
        <v>9.2142542762161536E-2</v>
      </c>
      <c r="AH477" s="19"/>
      <c r="AI477" s="61">
        <f ca="1"/>
        <v>3.6253625318796563E-2</v>
      </c>
      <c r="AJ477" s="61">
        <f ca="1"/>
        <v>1.9712780033582029E-2</v>
      </c>
      <c r="AK477" s="61">
        <f ca="1"/>
        <v>2.4971916198108571E-2</v>
      </c>
      <c r="AL477" s="19"/>
      <c r="AM477" s="61">
        <f t="shared" ca="1" si="109"/>
        <v>3.6604841641306805E-2</v>
      </c>
      <c r="AN477" s="61">
        <f t="shared" ca="1" si="110"/>
        <v>1.9961832630498558E-2</v>
      </c>
      <c r="AO477" s="61">
        <f t="shared" ca="1" si="111"/>
        <v>2.5403584801363389E-2</v>
      </c>
      <c r="AP477" s="19"/>
      <c r="AQ477" s="62">
        <f t="shared" ca="1" si="106"/>
        <v>0.93734081180057849</v>
      </c>
      <c r="AR477" s="62">
        <f t="shared" ca="1" si="107"/>
        <v>1.1535648735974458</v>
      </c>
      <c r="AS477" s="62">
        <f t="shared" ca="1" si="108"/>
        <v>0.83381456767555773</v>
      </c>
      <c r="AT477" s="49"/>
    </row>
    <row r="478" spans="1:46" x14ac:dyDescent="0.3">
      <c r="A478" s="5">
        <v>44153</v>
      </c>
      <c r="B478" s="6">
        <v>65.370002999999997</v>
      </c>
      <c r="C478" s="6">
        <v>81.739998</v>
      </c>
      <c r="D478" s="6">
        <v>51.25</v>
      </c>
      <c r="F478" s="13">
        <v>475</v>
      </c>
      <c r="G478" s="5">
        <v>44153</v>
      </c>
      <c r="H478" s="15">
        <f t="shared" si="104"/>
        <v>-2.4445542739708723E-3</v>
      </c>
      <c r="I478" s="15">
        <f t="shared" si="104"/>
        <v>-2.8463089529383073E-2</v>
      </c>
      <c r="J478" s="15">
        <f t="shared" si="104"/>
        <v>-5.5042392362922701E-2</v>
      </c>
      <c r="K478" s="22"/>
      <c r="L478" s="13">
        <v>475</v>
      </c>
      <c r="M478" s="5">
        <v>44153</v>
      </c>
      <c r="N478" s="26">
        <f t="shared" si="101"/>
        <v>1.1561726537641908</v>
      </c>
      <c r="O478" s="26">
        <f t="shared" si="102"/>
        <v>0.77522758392967395</v>
      </c>
      <c r="P478" s="26">
        <f t="shared" si="103"/>
        <v>0.67826894331045384</v>
      </c>
      <c r="Q478" s="22"/>
      <c r="AD478" s="59">
        <v>474</v>
      </c>
      <c r="AE478" s="61">
        <f t="shared" ca="1" si="105"/>
        <v>-0.30896796683828731</v>
      </c>
      <c r="AF478" s="61">
        <f t="shared" ca="1" si="105"/>
        <v>0.30114835680442903</v>
      </c>
      <c r="AG478" s="61">
        <f t="shared" ca="1" si="105"/>
        <v>0.68436211606949582</v>
      </c>
      <c r="AH478" s="19"/>
      <c r="AI478" s="61">
        <f ca="1"/>
        <v>-6.6997493934097289E-3</v>
      </c>
      <c r="AJ478" s="61">
        <f ca="1"/>
        <v>1.7096949646292353E-3</v>
      </c>
      <c r="AK478" s="61">
        <f ca="1"/>
        <v>1.5088981732423573E-2</v>
      </c>
      <c r="AL478" s="19"/>
      <c r="AM478" s="61">
        <f t="shared" ca="1" si="109"/>
        <v>-6.348533070899485E-3</v>
      </c>
      <c r="AN478" s="61">
        <f t="shared" ca="1" si="110"/>
        <v>1.9587475615457659E-3</v>
      </c>
      <c r="AO478" s="61">
        <f t="shared" ca="1" si="111"/>
        <v>1.5520650335678392E-2</v>
      </c>
      <c r="AP478" s="19"/>
      <c r="AQ478" s="62">
        <f t="shared" ca="1" si="106"/>
        <v>0.93140892198067005</v>
      </c>
      <c r="AR478" s="62">
        <f t="shared" ca="1" si="107"/>
        <v>1.1558266303628255</v>
      </c>
      <c r="AS478" s="62">
        <f t="shared" ca="1" si="108"/>
        <v>0.84685686266248839</v>
      </c>
      <c r="AT478" s="49"/>
    </row>
    <row r="479" spans="1:46" x14ac:dyDescent="0.3">
      <c r="A479" s="5">
        <v>44154</v>
      </c>
      <c r="B479" s="6">
        <v>62.32</v>
      </c>
      <c r="C479" s="6">
        <v>80.589995999999999</v>
      </c>
      <c r="D479" s="6">
        <v>51.209999000000003</v>
      </c>
      <c r="F479" s="13">
        <v>476</v>
      </c>
      <c r="G479" s="5">
        <v>44154</v>
      </c>
      <c r="H479" s="15">
        <f t="shared" si="104"/>
        <v>-4.7781081954755576E-2</v>
      </c>
      <c r="I479" s="15">
        <f t="shared" si="104"/>
        <v>-1.4168930965837018E-2</v>
      </c>
      <c r="J479" s="15">
        <f t="shared" si="104"/>
        <v>-7.8081207149482284E-4</v>
      </c>
      <c r="K479" s="22"/>
      <c r="L479" s="13">
        <v>476</v>
      </c>
      <c r="M479" s="5">
        <v>44154</v>
      </c>
      <c r="N479" s="26">
        <f t="shared" si="101"/>
        <v>1.1022284912941549</v>
      </c>
      <c r="O479" s="26">
        <f t="shared" si="102"/>
        <v>0.76432088838541556</v>
      </c>
      <c r="P479" s="26">
        <f t="shared" si="103"/>
        <v>0.67773954943725656</v>
      </c>
      <c r="Q479" s="22"/>
      <c r="AD479" s="59">
        <v>475</v>
      </c>
      <c r="AE479" s="61">
        <f t="shared" ca="1" si="105"/>
        <v>-0.59814887550032281</v>
      </c>
      <c r="AF479" s="61">
        <f t="shared" ca="1" si="105"/>
        <v>0.69635849977153286</v>
      </c>
      <c r="AG479" s="61">
        <f t="shared" ca="1" si="105"/>
        <v>1.2157843955560936</v>
      </c>
      <c r="AH479" s="19"/>
      <c r="AI479" s="61">
        <f ca="1"/>
        <v>-1.2970430581560846E-2</v>
      </c>
      <c r="AJ479" s="61">
        <f ca="1"/>
        <v>5.7736322909052399E-3</v>
      </c>
      <c r="AK479" s="61">
        <f ca="1"/>
        <v>2.7214442736757626E-2</v>
      </c>
      <c r="AL479" s="19"/>
      <c r="AM479" s="61">
        <f t="shared" ca="1" si="109"/>
        <v>-1.2619214259050602E-2</v>
      </c>
      <c r="AN479" s="61">
        <f t="shared" ca="1" si="110"/>
        <v>6.0226848878217705E-3</v>
      </c>
      <c r="AO479" s="61">
        <f t="shared" ca="1" si="111"/>
        <v>2.7646111340012443E-2</v>
      </c>
      <c r="AP479" s="19"/>
      <c r="AQ479" s="62">
        <f t="shared" ca="1" si="106"/>
        <v>0.91972912316822852</v>
      </c>
      <c r="AR479" s="62">
        <f t="shared" ca="1" si="107"/>
        <v>1.1628088145849236</v>
      </c>
      <c r="AS479" s="62">
        <f t="shared" ca="1" si="108"/>
        <v>0.8705957943837912</v>
      </c>
      <c r="AT479" s="49"/>
    </row>
    <row r="480" spans="1:46" x14ac:dyDescent="0.3">
      <c r="A480" s="5">
        <v>44155</v>
      </c>
      <c r="B480" s="6">
        <v>60.990001999999997</v>
      </c>
      <c r="C480" s="6">
        <v>78.220000999999996</v>
      </c>
      <c r="D480" s="6">
        <v>50.82</v>
      </c>
      <c r="F480" s="13">
        <v>477</v>
      </c>
      <c r="G480" s="5">
        <v>44155</v>
      </c>
      <c r="H480" s="15">
        <f t="shared" si="104"/>
        <v>-2.1572452461867425E-2</v>
      </c>
      <c r="I480" s="15">
        <f t="shared" si="104"/>
        <v>-2.9849140590647048E-2</v>
      </c>
      <c r="J480" s="15">
        <f t="shared" si="104"/>
        <v>-7.644828055004764E-3</v>
      </c>
      <c r="K480" s="22"/>
      <c r="L480" s="13">
        <v>477</v>
      </c>
      <c r="M480" s="5">
        <v>44155</v>
      </c>
      <c r="N480" s="26">
        <f t="shared" si="101"/>
        <v>1.0787053576458197</v>
      </c>
      <c r="O480" s="26">
        <f t="shared" si="102"/>
        <v>0.74184369799234251</v>
      </c>
      <c r="P480" s="26">
        <f t="shared" si="103"/>
        <v>0.67257810144462948</v>
      </c>
      <c r="Q480" s="22"/>
      <c r="AD480" s="59">
        <v>476</v>
      </c>
      <c r="AE480" s="61">
        <f t="shared" ca="1" si="105"/>
        <v>0.53894470881416146</v>
      </c>
      <c r="AF480" s="61">
        <f t="shared" ca="1" si="105"/>
        <v>6.4221167355900166E-2</v>
      </c>
      <c r="AG480" s="61">
        <f t="shared" ca="1" si="105"/>
        <v>-1.2720824804219237</v>
      </c>
      <c r="AH480" s="19"/>
      <c r="AI480" s="61">
        <f ca="1"/>
        <v>1.1686630568562914E-2</v>
      </c>
      <c r="AJ480" s="61">
        <f ca="1"/>
        <v>9.8316571261648986E-3</v>
      </c>
      <c r="AK480" s="61">
        <f ca="1"/>
        <v>-2.4175218634876004E-2</v>
      </c>
      <c r="AL480" s="19"/>
      <c r="AM480" s="61">
        <f t="shared" ca="1" si="109"/>
        <v>1.2037846891073158E-2</v>
      </c>
      <c r="AN480" s="61">
        <f t="shared" ca="1" si="110"/>
        <v>1.008070972308143E-2</v>
      </c>
      <c r="AO480" s="61">
        <f t="shared" ca="1" si="111"/>
        <v>-2.3743550031621187E-2</v>
      </c>
      <c r="AP480" s="19"/>
      <c r="AQ480" s="62">
        <f t="shared" ca="1" si="106"/>
        <v>0.93086758859921603</v>
      </c>
      <c r="AR480" s="62">
        <f t="shared" ca="1" si="107"/>
        <v>1.1745900344692899</v>
      </c>
      <c r="AS480" s="62">
        <f t="shared" ca="1" si="108"/>
        <v>0.85016823069416714</v>
      </c>
      <c r="AT480" s="49"/>
    </row>
    <row r="481" spans="1:46" x14ac:dyDescent="0.3">
      <c r="A481" s="5">
        <v>44158</v>
      </c>
      <c r="B481" s="6">
        <v>65.410004000000001</v>
      </c>
      <c r="C481" s="6">
        <v>83.339995999999999</v>
      </c>
      <c r="D481" s="6">
        <v>56.09</v>
      </c>
      <c r="F481" s="13">
        <v>478</v>
      </c>
      <c r="G481" s="5">
        <v>44158</v>
      </c>
      <c r="H481" s="15">
        <f t="shared" si="104"/>
        <v>6.9965264025223101E-2</v>
      </c>
      <c r="I481" s="15">
        <f t="shared" si="104"/>
        <v>6.3403195886323926E-2</v>
      </c>
      <c r="J481" s="15">
        <f t="shared" si="104"/>
        <v>9.8667565628227677E-2</v>
      </c>
      <c r="K481" s="22"/>
      <c r="L481" s="13">
        <v>478</v>
      </c>
      <c r="M481" s="5">
        <v>44158</v>
      </c>
      <c r="N481" s="26">
        <f t="shared" si="101"/>
        <v>1.1568801351807547</v>
      </c>
      <c r="O481" s="26">
        <f t="shared" si="102"/>
        <v>0.79040207150223685</v>
      </c>
      <c r="P481" s="26">
        <f t="shared" si="103"/>
        <v>0.74232400059089476</v>
      </c>
      <c r="Q481" s="22"/>
      <c r="AD481" s="59">
        <v>477</v>
      </c>
      <c r="AE481" s="61">
        <f t="shared" ca="1" si="105"/>
        <v>-0.15692427808546394</v>
      </c>
      <c r="AF481" s="61">
        <f t="shared" ca="1" si="105"/>
        <v>0.92716844348363114</v>
      </c>
      <c r="AG481" s="61">
        <f t="shared" ca="1" si="105"/>
        <v>-0.15460753826415663</v>
      </c>
      <c r="AH481" s="19"/>
      <c r="AI481" s="61">
        <f ca="1"/>
        <v>-3.4027907412959128E-3</v>
      </c>
      <c r="AJ481" s="61">
        <f ca="1"/>
        <v>1.7696717788950017E-2</v>
      </c>
      <c r="AK481" s="61">
        <f ca="1"/>
        <v>2.4986721955262258E-4</v>
      </c>
      <c r="AL481" s="19"/>
      <c r="AM481" s="61">
        <f t="shared" ca="1" si="109"/>
        <v>-3.0515744187856685E-3</v>
      </c>
      <c r="AN481" s="61">
        <f t="shared" ca="1" si="110"/>
        <v>1.7945770385866547E-2</v>
      </c>
      <c r="AO481" s="61">
        <f t="shared" ca="1" si="111"/>
        <v>6.8153582280744082E-4</v>
      </c>
      <c r="AP481" s="19"/>
      <c r="AQ481" s="62">
        <f t="shared" ca="1" si="106"/>
        <v>0.92803130664228173</v>
      </c>
      <c r="AR481" s="62">
        <f t="shared" ca="1" si="107"/>
        <v>1.1958592327898367</v>
      </c>
      <c r="AS481" s="62">
        <f t="shared" ca="1" si="108"/>
        <v>0.85074784829144057</v>
      </c>
      <c r="AT481" s="49"/>
    </row>
    <row r="482" spans="1:46" x14ac:dyDescent="0.3">
      <c r="A482" s="5">
        <v>44159</v>
      </c>
      <c r="B482" s="6">
        <v>66.519997000000004</v>
      </c>
      <c r="C482" s="6">
        <v>89.029999000000004</v>
      </c>
      <c r="D482" s="6">
        <v>58.490001999999997</v>
      </c>
      <c r="F482" s="13">
        <v>479</v>
      </c>
      <c r="G482" s="5">
        <v>44159</v>
      </c>
      <c r="H482" s="15">
        <f t="shared" si="104"/>
        <v>1.6827396099659168E-2</v>
      </c>
      <c r="I482" s="15">
        <f t="shared" si="104"/>
        <v>6.6044802355264998E-2</v>
      </c>
      <c r="J482" s="15">
        <f t="shared" si="104"/>
        <v>4.1898290128567404E-2</v>
      </c>
      <c r="K482" s="22"/>
      <c r="L482" s="13">
        <v>479</v>
      </c>
      <c r="M482" s="5">
        <v>44159</v>
      </c>
      <c r="N482" s="26">
        <f t="shared" si="101"/>
        <v>1.1765121298812855</v>
      </c>
      <c r="O482" s="26">
        <f t="shared" si="102"/>
        <v>0.84436643883978679</v>
      </c>
      <c r="P482" s="26">
        <f t="shared" si="103"/>
        <v>0.7740868653808064</v>
      </c>
      <c r="Q482" s="22"/>
      <c r="AD482" s="59">
        <v>478</v>
      </c>
      <c r="AE482" s="61">
        <f t="shared" ca="1" si="105"/>
        <v>1.0359640814081701</v>
      </c>
      <c r="AF482" s="61">
        <f t="shared" ca="1" si="105"/>
        <v>0.46457278214669639</v>
      </c>
      <c r="AG482" s="61">
        <f t="shared" ca="1" si="105"/>
        <v>-0.44472346427262371</v>
      </c>
      <c r="AH482" s="19"/>
      <c r="AI482" s="61">
        <f ca="1"/>
        <v>2.2464140205322291E-2</v>
      </c>
      <c r="AJ482" s="61">
        <f ca="1"/>
        <v>2.6313222047943237E-2</v>
      </c>
      <c r="AK482" s="61">
        <f ca="1"/>
        <v>7.1848753567863438E-3</v>
      </c>
      <c r="AL482" s="19"/>
      <c r="AM482" s="61">
        <f t="shared" ca="1" si="109"/>
        <v>2.2815356527832537E-2</v>
      </c>
      <c r="AN482" s="61">
        <f t="shared" ca="1" si="110"/>
        <v>2.6562274644859767E-2</v>
      </c>
      <c r="AO482" s="61">
        <f t="shared" ca="1" si="111"/>
        <v>7.6165439600411619E-3</v>
      </c>
      <c r="AP482" s="19"/>
      <c r="AQ482" s="62">
        <f t="shared" ca="1" si="106"/>
        <v>0.94944805816736466</v>
      </c>
      <c r="AR482" s="62">
        <f t="shared" ca="1" si="107"/>
        <v>1.2280496062892228</v>
      </c>
      <c r="AS482" s="62">
        <f t="shared" ca="1" si="108"/>
        <v>0.85725234612898116</v>
      </c>
      <c r="AT482" s="49"/>
    </row>
    <row r="483" spans="1:46" x14ac:dyDescent="0.3">
      <c r="A483" s="5">
        <v>44160</v>
      </c>
      <c r="B483" s="6">
        <v>65.830001999999993</v>
      </c>
      <c r="C483" s="6">
        <v>88.029999000000004</v>
      </c>
      <c r="D483" s="6">
        <v>56.43</v>
      </c>
      <c r="F483" s="13">
        <v>480</v>
      </c>
      <c r="G483" s="5">
        <v>44160</v>
      </c>
      <c r="H483" s="15">
        <f t="shared" si="104"/>
        <v>-1.0426917364437752E-2</v>
      </c>
      <c r="I483" s="15">
        <f t="shared" si="104"/>
        <v>-1.1295726240359783E-2</v>
      </c>
      <c r="J483" s="15">
        <f t="shared" si="104"/>
        <v>-3.5854901667764318E-2</v>
      </c>
      <c r="K483" s="22"/>
      <c r="L483" s="13">
        <v>480</v>
      </c>
      <c r="M483" s="5">
        <v>44160</v>
      </c>
      <c r="N483" s="26">
        <f t="shared" si="101"/>
        <v>1.1643084689722591</v>
      </c>
      <c r="O483" s="26">
        <f t="shared" si="102"/>
        <v>0.8348823722518518</v>
      </c>
      <c r="P483" s="26">
        <f t="shared" si="103"/>
        <v>0.74682373601968599</v>
      </c>
      <c r="Q483" s="22"/>
      <c r="AD483" s="59">
        <v>479</v>
      </c>
      <c r="AE483" s="61">
        <f t="shared" ca="1" si="105"/>
        <v>-0.11397843099029049</v>
      </c>
      <c r="AF483" s="61">
        <f t="shared" ca="1" si="105"/>
        <v>-0.7640170239395756</v>
      </c>
      <c r="AG483" s="61">
        <f t="shared" ca="1" si="105"/>
        <v>1.1474640398055098</v>
      </c>
      <c r="AH483" s="19"/>
      <c r="AI483" s="61">
        <f ca="1"/>
        <v>-2.4715407610157556E-3</v>
      </c>
      <c r="AJ483" s="61">
        <f ca="1"/>
        <v>-1.8390716405614828E-2</v>
      </c>
      <c r="AK483" s="61">
        <f ca="1"/>
        <v>2.2333323785467603E-2</v>
      </c>
      <c r="AL483" s="19"/>
      <c r="AM483" s="61">
        <f t="shared" ca="1" si="109"/>
        <v>-2.1203244385055112E-3</v>
      </c>
      <c r="AN483" s="61">
        <f t="shared" ca="1" si="110"/>
        <v>-1.8141663808698298E-2</v>
      </c>
      <c r="AO483" s="61">
        <f t="shared" ca="1" si="111"/>
        <v>2.276499238872242E-2</v>
      </c>
      <c r="AP483" s="19"/>
      <c r="AQ483" s="62">
        <f t="shared" ca="1" si="106"/>
        <v>0.9474370529916698</v>
      </c>
      <c r="AR483" s="62">
        <f t="shared" ca="1" si="107"/>
        <v>1.2059716144664672</v>
      </c>
      <c r="AS483" s="62">
        <f t="shared" ca="1" si="108"/>
        <v>0.87699151784102336</v>
      </c>
      <c r="AT483" s="49"/>
    </row>
    <row r="484" spans="1:46" x14ac:dyDescent="0.3">
      <c r="A484" s="5">
        <v>44162</v>
      </c>
      <c r="B484" s="6">
        <v>65.510002</v>
      </c>
      <c r="C484" s="6">
        <v>87.980002999999996</v>
      </c>
      <c r="D484" s="6">
        <v>56.619999</v>
      </c>
      <c r="F484" s="13">
        <v>481</v>
      </c>
      <c r="G484" s="5">
        <v>44162</v>
      </c>
      <c r="H484" s="15">
        <f t="shared" si="104"/>
        <v>-4.8728585875952675E-3</v>
      </c>
      <c r="I484" s="15">
        <f t="shared" si="104"/>
        <v>-5.6810409381919172E-4</v>
      </c>
      <c r="J484" s="15">
        <f t="shared" si="104"/>
        <v>3.3613300411010618E-3</v>
      </c>
      <c r="K484" s="22"/>
      <c r="L484" s="13">
        <v>481</v>
      </c>
      <c r="M484" s="5">
        <v>44162</v>
      </c>
      <c r="N484" s="26">
        <f t="shared" si="101"/>
        <v>1.1586487591324945</v>
      </c>
      <c r="O484" s="26">
        <f t="shared" si="102"/>
        <v>0.8344082068587213</v>
      </c>
      <c r="P484" s="26">
        <f t="shared" si="103"/>
        <v>0.74933828081890641</v>
      </c>
      <c r="Q484" s="22"/>
      <c r="AD484" s="59">
        <v>480</v>
      </c>
      <c r="AE484" s="61">
        <f t="shared" ca="1" si="105"/>
        <v>0.39945743896203145</v>
      </c>
      <c r="AF484" s="61">
        <f t="shared" ca="1" si="105"/>
        <v>0.59832436382200482</v>
      </c>
      <c r="AG484" s="61">
        <f t="shared" ca="1" si="105"/>
        <v>-1.1654311161863822</v>
      </c>
      <c r="AH484" s="19"/>
      <c r="AI484" s="61">
        <f ca="1"/>
        <v>8.6619488802203923E-3</v>
      </c>
      <c r="AJ484" s="61">
        <f ca="1"/>
        <v>1.9257631728329491E-2</v>
      </c>
      <c r="AK484" s="61">
        <f ca="1"/>
        <v>-1.974241528961828E-2</v>
      </c>
      <c r="AL484" s="19"/>
      <c r="AM484" s="61">
        <f t="shared" ca="1" si="109"/>
        <v>9.0131652027306362E-3</v>
      </c>
      <c r="AN484" s="61">
        <f t="shared" ca="1" si="110"/>
        <v>1.9506684325246021E-2</v>
      </c>
      <c r="AO484" s="61">
        <f t="shared" ca="1" si="111"/>
        <v>-1.9310746686363463E-2</v>
      </c>
      <c r="AP484" s="19"/>
      <c r="AQ484" s="62">
        <f t="shared" ca="1" si="106"/>
        <v>0.95601505909153284</v>
      </c>
      <c r="AR484" s="62">
        <f t="shared" ca="1" si="107"/>
        <v>1.2297270638186533</v>
      </c>
      <c r="AS484" s="62">
        <f t="shared" ca="1" si="108"/>
        <v>0.86021862654269499</v>
      </c>
      <c r="AT484" s="49"/>
    </row>
    <row r="485" spans="1:46" x14ac:dyDescent="0.3">
      <c r="A485" s="5">
        <v>44165</v>
      </c>
      <c r="B485" s="6">
        <v>64.180000000000007</v>
      </c>
      <c r="C485" s="6">
        <v>85.75</v>
      </c>
      <c r="D485" s="6">
        <v>53.77</v>
      </c>
      <c r="F485" s="13">
        <v>482</v>
      </c>
      <c r="G485" s="5">
        <v>44165</v>
      </c>
      <c r="H485" s="15">
        <f t="shared" si="104"/>
        <v>-2.0511197591763678E-2</v>
      </c>
      <c r="I485" s="15">
        <f t="shared" si="104"/>
        <v>-2.5673463973182511E-2</v>
      </c>
      <c r="J485" s="15">
        <f t="shared" si="104"/>
        <v>-5.1646571200562964E-2</v>
      </c>
      <c r="K485" s="22"/>
      <c r="L485" s="13">
        <v>482</v>
      </c>
      <c r="M485" s="5">
        <v>44165</v>
      </c>
      <c r="N485" s="26">
        <f t="shared" si="101"/>
        <v>1.1351255547377865</v>
      </c>
      <c r="O485" s="26">
        <f t="shared" si="102"/>
        <v>0.81325870991542659</v>
      </c>
      <c r="P485" s="26">
        <f t="shared" si="103"/>
        <v>0.71161992354737769</v>
      </c>
      <c r="Q485" s="22"/>
      <c r="AD485" s="59">
        <v>481</v>
      </c>
      <c r="AE485" s="61">
        <f t="shared" ca="1" si="105"/>
        <v>-3.7741128806325352E-2</v>
      </c>
      <c r="AF485" s="61">
        <f t="shared" ca="1" si="105"/>
        <v>2.4049624770285432</v>
      </c>
      <c r="AG485" s="61">
        <f t="shared" ca="1" si="105"/>
        <v>-0.5665314435681319</v>
      </c>
      <c r="AH485" s="19"/>
      <c r="AI485" s="61">
        <f ca="1"/>
        <v>-8.1838938649300393E-4</v>
      </c>
      <c r="AJ485" s="61">
        <f ca="1"/>
        <v>5.1683569855981007E-2</v>
      </c>
      <c r="AK485" s="61">
        <f ca="1"/>
        <v>1.8646977433109235E-3</v>
      </c>
      <c r="AL485" s="19"/>
      <c r="AM485" s="61">
        <f t="shared" ca="1" si="109"/>
        <v>-4.6717306398275972E-4</v>
      </c>
      <c r="AN485" s="61">
        <f t="shared" ca="1" si="110"/>
        <v>5.1932622452897537E-2</v>
      </c>
      <c r="AO485" s="61">
        <f t="shared" ca="1" si="111"/>
        <v>2.2963663465657416E-3</v>
      </c>
      <c r="AP485" s="19"/>
      <c r="AQ485" s="62">
        <f t="shared" ca="1" si="106"/>
        <v>0.9555685389163836</v>
      </c>
      <c r="AR485" s="62">
        <f t="shared" ca="1" si="107"/>
        <v>1.2952773833856706</v>
      </c>
      <c r="AS485" s="62">
        <f t="shared" ca="1" si="108"/>
        <v>0.86219627347925176</v>
      </c>
      <c r="AT485" s="49"/>
    </row>
    <row r="486" spans="1:46" x14ac:dyDescent="0.3">
      <c r="A486" s="5">
        <v>44166</v>
      </c>
      <c r="B486" s="6">
        <v>64.779999000000004</v>
      </c>
      <c r="C486" s="6">
        <v>88.620002999999997</v>
      </c>
      <c r="D486" s="6">
        <v>54.400002000000001</v>
      </c>
      <c r="F486" s="13">
        <v>483</v>
      </c>
      <c r="G486" s="5">
        <v>44166</v>
      </c>
      <c r="H486" s="15">
        <f t="shared" si="104"/>
        <v>9.3052626246089842E-3</v>
      </c>
      <c r="I486" s="15">
        <f t="shared" si="104"/>
        <v>3.2921513577697084E-2</v>
      </c>
      <c r="J486" s="15">
        <f t="shared" si="104"/>
        <v>1.1648499805015372E-2</v>
      </c>
      <c r="K486" s="22"/>
      <c r="L486" s="13">
        <v>483</v>
      </c>
      <c r="M486" s="5">
        <v>44166</v>
      </c>
      <c r="N486" s="26">
        <f t="shared" si="101"/>
        <v>1.145737493000752</v>
      </c>
      <c r="O486" s="26">
        <f t="shared" si="102"/>
        <v>0.84047800947499973</v>
      </c>
      <c r="P486" s="26">
        <f t="shared" si="103"/>
        <v>0.71995769507564045</v>
      </c>
      <c r="Q486" s="22"/>
      <c r="AD486" s="59">
        <v>482</v>
      </c>
      <c r="AE486" s="61">
        <f t="shared" ca="1" si="105"/>
        <v>7.3069958797249965E-2</v>
      </c>
      <c r="AF486" s="61">
        <f t="shared" ca="1" si="105"/>
        <v>0.56948359982104613</v>
      </c>
      <c r="AG486" s="61">
        <f t="shared" ca="1" si="105"/>
        <v>-3.1015827445705204</v>
      </c>
      <c r="AH486" s="19"/>
      <c r="AI486" s="61">
        <f ca="1"/>
        <v>1.5844697984000982E-3</v>
      </c>
      <c r="AJ486" s="61">
        <f ca="1"/>
        <v>1.3522021242334058E-2</v>
      </c>
      <c r="AK486" s="61">
        <f ca="1"/>
        <v>-7.4372196291059012E-2</v>
      </c>
      <c r="AL486" s="19"/>
      <c r="AM486" s="61">
        <f t="shared" ca="1" si="109"/>
        <v>1.9356861209103423E-3</v>
      </c>
      <c r="AN486" s="61">
        <f t="shared" ca="1" si="110"/>
        <v>1.3771073839250589E-2</v>
      </c>
      <c r="AO486" s="61">
        <f t="shared" ca="1" si="111"/>
        <v>-7.3940527687804194E-2</v>
      </c>
      <c r="AP486" s="19"/>
      <c r="AQ486" s="62">
        <f t="shared" ca="1" si="106"/>
        <v>0.95742001103107677</v>
      </c>
      <c r="AR486" s="62">
        <f t="shared" ca="1" si="107"/>
        <v>1.313238129411991</v>
      </c>
      <c r="AS486" s="62">
        <f t="shared" ca="1" si="108"/>
        <v>0.80074489444990271</v>
      </c>
      <c r="AT486" s="49"/>
    </row>
    <row r="487" spans="1:46" x14ac:dyDescent="0.3">
      <c r="A487" s="5">
        <v>44167</v>
      </c>
      <c r="B487" s="6">
        <v>64.790001000000004</v>
      </c>
      <c r="C487" s="6">
        <v>88.919998000000007</v>
      </c>
      <c r="D487" s="6">
        <v>58.07</v>
      </c>
      <c r="F487" s="13">
        <v>484</v>
      </c>
      <c r="G487" s="5">
        <v>44167</v>
      </c>
      <c r="H487" s="15">
        <f t="shared" si="104"/>
        <v>1.5438759002658277E-4</v>
      </c>
      <c r="I487" s="15">
        <f t="shared" si="104"/>
        <v>3.379466980121564E-3</v>
      </c>
      <c r="J487" s="15">
        <f t="shared" si="104"/>
        <v>6.5284988757356333E-2</v>
      </c>
      <c r="K487" s="22"/>
      <c r="L487" s="13">
        <v>484</v>
      </c>
      <c r="M487" s="5">
        <v>44167</v>
      </c>
      <c r="N487" s="26">
        <f t="shared" si="101"/>
        <v>1.1459143943064312</v>
      </c>
      <c r="O487" s="26">
        <f t="shared" si="102"/>
        <v>0.84332318203104739</v>
      </c>
      <c r="P487" s="26">
        <f t="shared" si="103"/>
        <v>0.76852834220562061</v>
      </c>
      <c r="Q487" s="22"/>
      <c r="AD487" s="59">
        <v>483</v>
      </c>
      <c r="AE487" s="61">
        <f t="shared" ca="1" si="105"/>
        <v>-1.1587106472029047</v>
      </c>
      <c r="AF487" s="61">
        <f t="shared" ca="1" si="105"/>
        <v>-1.1567526357638007</v>
      </c>
      <c r="AG487" s="61">
        <f t="shared" ca="1" si="105"/>
        <v>-0.38751792109910871</v>
      </c>
      <c r="AH487" s="19"/>
      <c r="AI487" s="61">
        <f ca="1"/>
        <v>-2.5125811698784355E-2</v>
      </c>
      <c r="AJ487" s="61">
        <f ca="1"/>
        <v>-4.3279726263084663E-2</v>
      </c>
      <c r="AK487" s="61">
        <f ca="1"/>
        <v>-3.5195159232044325E-2</v>
      </c>
      <c r="AL487" s="19"/>
      <c r="AM487" s="61">
        <f t="shared" ca="1" si="109"/>
        <v>-2.4774595376274109E-2</v>
      </c>
      <c r="AN487" s="61">
        <f t="shared" ca="1" si="110"/>
        <v>-4.3030673666168133E-2</v>
      </c>
      <c r="AO487" s="61">
        <f t="shared" ca="1" si="111"/>
        <v>-3.4763490628789508E-2</v>
      </c>
      <c r="AP487" s="19"/>
      <c r="AQ487" s="62">
        <f t="shared" ca="1" si="106"/>
        <v>0.93399172906214667</v>
      </c>
      <c r="AR487" s="62">
        <f t="shared" ca="1" si="107"/>
        <v>1.2579271762040194</v>
      </c>
      <c r="AS487" s="62">
        <f t="shared" ca="1" si="108"/>
        <v>0.7733864986472847</v>
      </c>
      <c r="AT487" s="49"/>
    </row>
    <row r="488" spans="1:46" x14ac:dyDescent="0.3">
      <c r="A488" s="5">
        <v>44168</v>
      </c>
      <c r="B488" s="6">
        <v>64.690002000000007</v>
      </c>
      <c r="C488" s="6">
        <v>96.660004000000001</v>
      </c>
      <c r="D488" s="6">
        <v>57.91</v>
      </c>
      <c r="F488" s="13">
        <v>485</v>
      </c>
      <c r="G488" s="5">
        <v>44168</v>
      </c>
      <c r="H488" s="15">
        <f t="shared" si="104"/>
        <v>-1.5446249237732275E-3</v>
      </c>
      <c r="I488" s="15">
        <f t="shared" si="104"/>
        <v>8.3462641195233611E-2</v>
      </c>
      <c r="J488" s="15">
        <f t="shared" si="104"/>
        <v>-2.7590981462601526E-3</v>
      </c>
      <c r="K488" s="22"/>
      <c r="L488" s="13">
        <v>485</v>
      </c>
      <c r="M488" s="5">
        <v>44168</v>
      </c>
      <c r="N488" s="26">
        <f t="shared" si="101"/>
        <v>1.144145752668098</v>
      </c>
      <c r="O488" s="26">
        <f t="shared" si="102"/>
        <v>0.91672991432606377</v>
      </c>
      <c r="P488" s="26">
        <f t="shared" si="103"/>
        <v>0.76641081965089519</v>
      </c>
      <c r="Q488" s="22"/>
      <c r="AD488" s="59">
        <v>484</v>
      </c>
      <c r="AE488" s="61">
        <f t="shared" ca="1" si="105"/>
        <v>0.3815809596987545</v>
      </c>
      <c r="AF488" s="61">
        <f t="shared" ca="1" si="105"/>
        <v>1.0575657511210403</v>
      </c>
      <c r="AG488" s="61">
        <f t="shared" ca="1" si="105"/>
        <v>0.12367165424147554</v>
      </c>
      <c r="AH488" s="19"/>
      <c r="AI488" s="61">
        <f ca="1"/>
        <v>8.2743102122832483E-3</v>
      </c>
      <c r="AJ488" s="61">
        <f ca="1"/>
        <v>2.8959901916717858E-2</v>
      </c>
      <c r="AK488" s="61">
        <f ca="1"/>
        <v>1.6254394494368281E-2</v>
      </c>
      <c r="AL488" s="19"/>
      <c r="AM488" s="61">
        <f t="shared" ca="1" si="109"/>
        <v>8.6255265347934922E-3</v>
      </c>
      <c r="AN488" s="61">
        <f t="shared" ca="1" si="110"/>
        <v>2.9208954513634387E-2</v>
      </c>
      <c r="AO488" s="61">
        <f t="shared" ca="1" si="111"/>
        <v>1.6686063097623098E-2</v>
      </c>
      <c r="AP488" s="19"/>
      <c r="AQ488" s="62">
        <f t="shared" ca="1" si="106"/>
        <v>0.94208274397231706</v>
      </c>
      <c r="AR488" s="62">
        <f t="shared" ca="1" si="107"/>
        <v>1.2952117853179317</v>
      </c>
      <c r="AS488" s="62">
        <f t="shared" ca="1" si="108"/>
        <v>0.7863995408562936</v>
      </c>
      <c r="AT488" s="49"/>
    </row>
    <row r="489" spans="1:46" x14ac:dyDescent="0.3">
      <c r="A489" s="5">
        <v>44169</v>
      </c>
      <c r="B489" s="6">
        <v>65.970000999999996</v>
      </c>
      <c r="C489" s="6">
        <v>96.209998999999996</v>
      </c>
      <c r="D489" s="6">
        <v>61.27</v>
      </c>
      <c r="F489" s="13">
        <v>486</v>
      </c>
      <c r="G489" s="5">
        <v>44169</v>
      </c>
      <c r="H489" s="15">
        <f t="shared" si="104"/>
        <v>1.9593447420611535E-2</v>
      </c>
      <c r="I489" s="15">
        <f t="shared" si="104"/>
        <v>-4.6664158198582335E-3</v>
      </c>
      <c r="J489" s="15">
        <f t="shared" si="104"/>
        <v>5.6400245499864957E-2</v>
      </c>
      <c r="K489" s="22"/>
      <c r="L489" s="13">
        <v>486</v>
      </c>
      <c r="M489" s="5">
        <v>44169</v>
      </c>
      <c r="N489" s="26">
        <f t="shared" si="101"/>
        <v>1.1667845743405629</v>
      </c>
      <c r="O489" s="26">
        <f t="shared" si="102"/>
        <v>0.91246203694116002</v>
      </c>
      <c r="P489" s="26">
        <f t="shared" si="103"/>
        <v>0.81087879330012702</v>
      </c>
      <c r="Q489" s="22"/>
      <c r="AD489" s="59">
        <v>485</v>
      </c>
      <c r="AE489" s="61">
        <f t="shared" ca="1" si="105"/>
        <v>-0.12349510642700816</v>
      </c>
      <c r="AF489" s="61">
        <f t="shared" ca="1" si="105"/>
        <v>0.83277830696872002</v>
      </c>
      <c r="AG489" s="61">
        <f t="shared" ca="1" si="105"/>
        <v>-0.43709768716833647</v>
      </c>
      <c r="AH489" s="19"/>
      <c r="AI489" s="61">
        <f ca="1"/>
        <v>-2.677903061732185E-3</v>
      </c>
      <c r="AJ489" s="61">
        <f ca="1"/>
        <v>1.6168296810355025E-2</v>
      </c>
      <c r="AK489" s="61">
        <f ca="1"/>
        <v>-7.1583222746742312E-3</v>
      </c>
      <c r="AL489" s="19"/>
      <c r="AM489" s="61">
        <f t="shared" ca="1" si="109"/>
        <v>-2.3266867392219407E-3</v>
      </c>
      <c r="AN489" s="61">
        <f t="shared" ca="1" si="110"/>
        <v>1.6417349407271555E-2</v>
      </c>
      <c r="AO489" s="61">
        <f t="shared" ca="1" si="111"/>
        <v>-6.7266536714194131E-3</v>
      </c>
      <c r="AP489" s="19"/>
      <c r="AQ489" s="62">
        <f t="shared" ca="1" si="106"/>
        <v>0.93989336053704997</v>
      </c>
      <c r="AR489" s="62">
        <f t="shared" ca="1" si="107"/>
        <v>1.3166512376996751</v>
      </c>
      <c r="AS489" s="62">
        <f t="shared" ca="1" si="108"/>
        <v>0.78112745512421855</v>
      </c>
      <c r="AT489" s="49"/>
    </row>
    <row r="490" spans="1:46" x14ac:dyDescent="0.3">
      <c r="A490" s="5">
        <v>44172</v>
      </c>
      <c r="B490" s="6">
        <v>64.529999000000004</v>
      </c>
      <c r="C490" s="6">
        <v>95.489998</v>
      </c>
      <c r="D490" s="6">
        <v>59.459999000000003</v>
      </c>
      <c r="F490" s="13">
        <v>487</v>
      </c>
      <c r="G490" s="5">
        <v>44172</v>
      </c>
      <c r="H490" s="15">
        <f t="shared" si="104"/>
        <v>-2.2069891942104597E-2</v>
      </c>
      <c r="I490" s="15">
        <f t="shared" si="104"/>
        <v>-7.5117829617338547E-3</v>
      </c>
      <c r="J490" s="15">
        <f t="shared" si="104"/>
        <v>-2.9986525985640597E-2</v>
      </c>
      <c r="K490" s="22"/>
      <c r="L490" s="13">
        <v>487</v>
      </c>
      <c r="M490" s="5">
        <v>44172</v>
      </c>
      <c r="N490" s="26">
        <f t="shared" si="101"/>
        <v>1.1413158446884359</v>
      </c>
      <c r="O490" s="26">
        <f t="shared" si="102"/>
        <v>0.90563349951378025</v>
      </c>
      <c r="P490" s="26">
        <f t="shared" si="103"/>
        <v>0.78692430616528086</v>
      </c>
      <c r="Q490" s="22"/>
      <c r="AD490" s="59">
        <v>486</v>
      </c>
      <c r="AE490" s="61">
        <f t="shared" ca="1" si="105"/>
        <v>9.863580252974849E-2</v>
      </c>
      <c r="AF490" s="61">
        <f t="shared" ca="1" si="105"/>
        <v>0.2677177056903064</v>
      </c>
      <c r="AG490" s="61">
        <f t="shared" ca="1" si="105"/>
        <v>9.4967727658075735E-2</v>
      </c>
      <c r="AH490" s="19"/>
      <c r="AI490" s="61">
        <f ca="1"/>
        <v>2.1388468355784044E-3</v>
      </c>
      <c r="AJ490" s="61">
        <f ca="1"/>
        <v>7.362997677993849E-3</v>
      </c>
      <c r="AK490" s="61">
        <f ca="1"/>
        <v>5.7758581787132092E-3</v>
      </c>
      <c r="AL490" s="19"/>
      <c r="AM490" s="61">
        <f t="shared" ca="1" si="109"/>
        <v>2.4900631580886488E-3</v>
      </c>
      <c r="AN490" s="61">
        <f t="shared" ca="1" si="110"/>
        <v>7.6120502749103796E-3</v>
      </c>
      <c r="AO490" s="61">
        <f t="shared" ca="1" si="111"/>
        <v>6.2075267819680273E-3</v>
      </c>
      <c r="AP490" s="19"/>
      <c r="AQ490" s="62">
        <f t="shared" ca="1" si="106"/>
        <v>0.94223667065095573</v>
      </c>
      <c r="AR490" s="62">
        <f t="shared" ca="1" si="107"/>
        <v>1.3267118956537025</v>
      </c>
      <c r="AS490" s="62">
        <f t="shared" ca="1" si="108"/>
        <v>0.78599140565492731</v>
      </c>
      <c r="AT490" s="49"/>
    </row>
    <row r="491" spans="1:46" x14ac:dyDescent="0.3">
      <c r="A491" s="5">
        <v>44173</v>
      </c>
      <c r="B491" s="6">
        <v>64.980002999999996</v>
      </c>
      <c r="C491" s="6">
        <v>97.150002000000001</v>
      </c>
      <c r="D491" s="6">
        <v>58.98</v>
      </c>
      <c r="F491" s="13">
        <v>488</v>
      </c>
      <c r="G491" s="5">
        <v>44173</v>
      </c>
      <c r="H491" s="15">
        <f t="shared" si="104"/>
        <v>6.9493599579246437E-3</v>
      </c>
      <c r="I491" s="15">
        <f t="shared" si="104"/>
        <v>1.7234687392660961E-2</v>
      </c>
      <c r="J491" s="15">
        <f t="shared" si="104"/>
        <v>-8.1053973647924518E-3</v>
      </c>
      <c r="K491" s="22"/>
      <c r="L491" s="13">
        <v>488</v>
      </c>
      <c r="M491" s="5">
        <v>44173</v>
      </c>
      <c r="N491" s="26">
        <f t="shared" si="101"/>
        <v>1.1492748823969776</v>
      </c>
      <c r="O491" s="26">
        <f t="shared" si="102"/>
        <v>0.92137708798601881</v>
      </c>
      <c r="P491" s="26">
        <f t="shared" si="103"/>
        <v>0.78057175173562077</v>
      </c>
      <c r="Q491" s="22"/>
      <c r="AD491" s="59">
        <v>487</v>
      </c>
      <c r="AE491" s="61">
        <f t="shared" ca="1" si="105"/>
        <v>-0.54370697142043511</v>
      </c>
      <c r="AF491" s="61">
        <f t="shared" ca="1" si="105"/>
        <v>0.19857790546298837</v>
      </c>
      <c r="AG491" s="61">
        <f t="shared" ca="1" si="105"/>
        <v>1.7003268299774008</v>
      </c>
      <c r="AH491" s="19"/>
      <c r="AI491" s="61">
        <f ca="1"/>
        <v>-1.1789896827308563E-2</v>
      </c>
      <c r="AJ491" s="61">
        <f ca="1"/>
        <v>-4.1939923944612793E-3</v>
      </c>
      <c r="AK491" s="61">
        <f ca="1"/>
        <v>3.6927206754464204E-2</v>
      </c>
      <c r="AL491" s="19"/>
      <c r="AM491" s="61">
        <f t="shared" ca="1" si="109"/>
        <v>-1.1438680504798319E-2</v>
      </c>
      <c r="AN491" s="61">
        <f t="shared" ca="1" si="110"/>
        <v>-3.9449397975447487E-3</v>
      </c>
      <c r="AO491" s="61">
        <f t="shared" ca="1" si="111"/>
        <v>3.7358875357719021E-2</v>
      </c>
      <c r="AP491" s="19"/>
      <c r="AQ491" s="62">
        <f t="shared" ca="1" si="106"/>
        <v>0.93152013477920692</v>
      </c>
      <c r="AR491" s="62">
        <f t="shared" ca="1" si="107"/>
        <v>1.3214884070449413</v>
      </c>
      <c r="AS491" s="62">
        <f t="shared" ca="1" si="108"/>
        <v>0.81591055374383592</v>
      </c>
      <c r="AT491" s="49"/>
    </row>
    <row r="492" spans="1:46" x14ac:dyDescent="0.3">
      <c r="A492" s="5">
        <v>44174</v>
      </c>
      <c r="B492" s="6">
        <v>64.610000999999997</v>
      </c>
      <c r="C492" s="6">
        <v>100.83000199999999</v>
      </c>
      <c r="D492" s="6">
        <v>58.799999</v>
      </c>
      <c r="F492" s="13">
        <v>489</v>
      </c>
      <c r="G492" s="5">
        <v>44174</v>
      </c>
      <c r="H492" s="15">
        <f t="shared" si="104"/>
        <v>-5.7103633614506008E-3</v>
      </c>
      <c r="I492" s="15">
        <f t="shared" si="104"/>
        <v>3.7179753830319802E-2</v>
      </c>
      <c r="J492" s="15">
        <f t="shared" si="104"/>
        <v>-3.0565654893518176E-3</v>
      </c>
      <c r="K492" s="22"/>
      <c r="L492" s="13">
        <v>489</v>
      </c>
      <c r="M492" s="5">
        <v>44174</v>
      </c>
      <c r="N492" s="26">
        <f t="shared" si="101"/>
        <v>1.1427308075215634</v>
      </c>
      <c r="O492" s="26">
        <f t="shared" si="102"/>
        <v>0.95627845302961956</v>
      </c>
      <c r="P492" s="26">
        <f t="shared" si="103"/>
        <v>0.77818952562703891</v>
      </c>
      <c r="Q492" s="22"/>
      <c r="AD492" s="59">
        <v>488</v>
      </c>
      <c r="AE492" s="61">
        <f t="shared" ca="1" si="105"/>
        <v>-2.2629455156478908</v>
      </c>
      <c r="AF492" s="61">
        <f t="shared" ca="1" si="105"/>
        <v>-0.11406183259587163</v>
      </c>
      <c r="AG492" s="61">
        <f t="shared" ca="1" si="105"/>
        <v>-0.38636949812013882</v>
      </c>
      <c r="AH492" s="19"/>
      <c r="AI492" s="61">
        <f ca="1"/>
        <v>-4.9070355095149787E-2</v>
      </c>
      <c r="AJ492" s="61">
        <f ca="1"/>
        <v>-3.7899637902968783E-2</v>
      </c>
      <c r="AK492" s="61">
        <f ca="1"/>
        <v>-4.4138300858132667E-2</v>
      </c>
      <c r="AL492" s="19"/>
      <c r="AM492" s="61">
        <f t="shared" ca="1" si="109"/>
        <v>-4.8719138772639545E-2</v>
      </c>
      <c r="AN492" s="61">
        <f t="shared" ca="1" si="110"/>
        <v>-3.7650585306052253E-2</v>
      </c>
      <c r="AO492" s="61">
        <f t="shared" ca="1" si="111"/>
        <v>-4.370663225487785E-2</v>
      </c>
      <c r="AP492" s="19"/>
      <c r="AQ492" s="62">
        <f t="shared" ca="1" si="106"/>
        <v>0.8872250463962208</v>
      </c>
      <c r="AR492" s="62">
        <f t="shared" ca="1" si="107"/>
        <v>1.2726585986338075</v>
      </c>
      <c r="AS492" s="62">
        <f t="shared" ca="1" si="108"/>
        <v>0.78101792521108337</v>
      </c>
      <c r="AT492" s="49"/>
    </row>
    <row r="493" spans="1:46" x14ac:dyDescent="0.3">
      <c r="A493" s="5">
        <v>44175</v>
      </c>
      <c r="B493" s="6">
        <v>64.129997000000003</v>
      </c>
      <c r="C493" s="6">
        <v>103.849998</v>
      </c>
      <c r="D493" s="6">
        <v>59.869999</v>
      </c>
      <c r="F493" s="13">
        <v>490</v>
      </c>
      <c r="G493" s="5">
        <v>44175</v>
      </c>
      <c r="H493" s="15">
        <f t="shared" si="104"/>
        <v>-7.4569866667618754E-3</v>
      </c>
      <c r="I493" s="15">
        <f t="shared" si="104"/>
        <v>2.951158082308495E-2</v>
      </c>
      <c r="J493" s="15">
        <f t="shared" si="104"/>
        <v>1.8033690336625902E-2</v>
      </c>
      <c r="K493" s="22"/>
      <c r="L493" s="13">
        <v>490</v>
      </c>
      <c r="M493" s="5">
        <v>44175</v>
      </c>
      <c r="N493" s="26">
        <f t="shared" si="101"/>
        <v>1.1342411720155436</v>
      </c>
      <c r="O493" s="26">
        <f t="shared" si="102"/>
        <v>0.98492029618891697</v>
      </c>
      <c r="P493" s="26">
        <f t="shared" si="103"/>
        <v>0.79235045771176449</v>
      </c>
      <c r="Q493" s="22"/>
      <c r="AD493" s="59">
        <v>489</v>
      </c>
      <c r="AE493" s="61">
        <f t="shared" ca="1" si="105"/>
        <v>-1.1677609617601514</v>
      </c>
      <c r="AF493" s="61">
        <f t="shared" ca="1" si="105"/>
        <v>2.0799858948203185</v>
      </c>
      <c r="AG493" s="61">
        <f t="shared" ca="1" si="105"/>
        <v>-7.2093530141101869E-2</v>
      </c>
      <c r="AH493" s="19"/>
      <c r="AI493" s="61">
        <f ca="1"/>
        <v>-2.532206129736108E-2</v>
      </c>
      <c r="AJ493" s="61">
        <f ca="1"/>
        <v>2.6932420862184458E-2</v>
      </c>
      <c r="AK493" s="61">
        <f ca="1"/>
        <v>-4.4531199971836102E-3</v>
      </c>
      <c r="AL493" s="19"/>
      <c r="AM493" s="61">
        <f t="shared" ca="1" si="109"/>
        <v>-2.4970844974850834E-2</v>
      </c>
      <c r="AN493" s="61">
        <f t="shared" ca="1" si="110"/>
        <v>2.7181473459100988E-2</v>
      </c>
      <c r="AO493" s="61">
        <f t="shared" ca="1" si="111"/>
        <v>-4.021451393928792E-3</v>
      </c>
      <c r="AP493" s="19"/>
      <c r="AQ493" s="62">
        <f t="shared" ca="1" si="106"/>
        <v>0.86534461072614532</v>
      </c>
      <c r="AR493" s="62">
        <f t="shared" ca="1" si="107"/>
        <v>1.3077257641323361</v>
      </c>
      <c r="AS493" s="62">
        <f t="shared" ca="1" si="108"/>
        <v>0.77788340646874665</v>
      </c>
      <c r="AT493" s="49"/>
    </row>
    <row r="494" spans="1:46" x14ac:dyDescent="0.3">
      <c r="A494" s="5">
        <v>44176</v>
      </c>
      <c r="B494" s="6">
        <v>64.199996999999996</v>
      </c>
      <c r="C494" s="6">
        <v>101.339996</v>
      </c>
      <c r="D494" s="6">
        <v>59.029998999999997</v>
      </c>
      <c r="F494" s="13">
        <v>491</v>
      </c>
      <c r="G494" s="5">
        <v>44176</v>
      </c>
      <c r="H494" s="15">
        <f t="shared" si="104"/>
        <v>1.0909375861500913E-3</v>
      </c>
      <c r="I494" s="15">
        <f t="shared" si="104"/>
        <v>-2.4466370486899692E-2</v>
      </c>
      <c r="J494" s="15">
        <f t="shared" si="104"/>
        <v>-1.412975592234531E-2</v>
      </c>
      <c r="K494" s="22"/>
      <c r="L494" s="13">
        <v>491</v>
      </c>
      <c r="M494" s="5">
        <v>44176</v>
      </c>
      <c r="N494" s="26">
        <f t="shared" si="101"/>
        <v>1.135479233542992</v>
      </c>
      <c r="O494" s="26">
        <f t="shared" si="102"/>
        <v>0.96111527008506692</v>
      </c>
      <c r="P494" s="26">
        <f t="shared" si="103"/>
        <v>0.7812334642994565</v>
      </c>
      <c r="Q494" s="22"/>
      <c r="AD494" s="59">
        <v>490</v>
      </c>
      <c r="AE494" s="61">
        <f t="shared" ca="1" si="105"/>
        <v>-0.2202708097746629</v>
      </c>
      <c r="AF494" s="61">
        <f t="shared" ca="1" si="105"/>
        <v>0.71190395513044424</v>
      </c>
      <c r="AG494" s="61">
        <f t="shared" ca="1" si="105"/>
        <v>-0.72353178109477911</v>
      </c>
      <c r="AH494" s="19"/>
      <c r="AI494" s="61">
        <f ca="1"/>
        <v>-4.7764149768512228E-3</v>
      </c>
      <c r="AJ494" s="61">
        <f ca="1"/>
        <v>1.2026203758887865E-2</v>
      </c>
      <c r="AK494" s="61">
        <f ca="1"/>
        <v>-1.6777917635767723E-2</v>
      </c>
      <c r="AL494" s="19"/>
      <c r="AM494" s="61">
        <f t="shared" ca="1" si="109"/>
        <v>-4.4251986543409789E-3</v>
      </c>
      <c r="AN494" s="61">
        <f t="shared" ca="1" si="110"/>
        <v>1.2275256355804396E-2</v>
      </c>
      <c r="AO494" s="61">
        <f t="shared" ca="1" si="111"/>
        <v>-1.6346249032512906E-2</v>
      </c>
      <c r="AP494" s="19"/>
      <c r="AQ494" s="62">
        <f t="shared" ca="1" si="106"/>
        <v>0.86152374919001196</v>
      </c>
      <c r="AR494" s="62">
        <f t="shared" ca="1" si="107"/>
        <v>1.3238773628250917</v>
      </c>
      <c r="AS494" s="62">
        <f t="shared" ca="1" si="108"/>
        <v>0.7652712918003004</v>
      </c>
      <c r="AT494" s="49"/>
    </row>
    <row r="495" spans="1:46" x14ac:dyDescent="0.3">
      <c r="A495" s="5">
        <v>44179</v>
      </c>
      <c r="B495" s="6">
        <v>63.080002</v>
      </c>
      <c r="C495" s="6">
        <v>98.900002000000001</v>
      </c>
      <c r="D495" s="6">
        <v>56.389999000000003</v>
      </c>
      <c r="F495" s="13">
        <v>492</v>
      </c>
      <c r="G495" s="5">
        <v>44179</v>
      </c>
      <c r="H495" s="15">
        <f t="shared" si="104"/>
        <v>-1.7599370166334796E-2</v>
      </c>
      <c r="I495" s="15">
        <f t="shared" si="104"/>
        <v>-2.4371901725562292E-2</v>
      </c>
      <c r="J495" s="15">
        <f t="shared" si="104"/>
        <v>-4.575395222660919E-2</v>
      </c>
      <c r="K495" s="22"/>
      <c r="L495" s="13">
        <v>492</v>
      </c>
      <c r="M495" s="5">
        <v>44179</v>
      </c>
      <c r="N495" s="26">
        <f t="shared" si="101"/>
        <v>1.1156703375367822</v>
      </c>
      <c r="O495" s="26">
        <f t="shared" si="102"/>
        <v>0.93797420451490499</v>
      </c>
      <c r="P495" s="26">
        <f t="shared" si="103"/>
        <v>0.74629434214648882</v>
      </c>
      <c r="Q495" s="22"/>
      <c r="AD495" s="59">
        <v>491</v>
      </c>
      <c r="AE495" s="61">
        <f t="shared" ca="1" si="105"/>
        <v>-0.81277312545069513</v>
      </c>
      <c r="AF495" s="61">
        <f t="shared" ca="1" si="105"/>
        <v>0.38875650780147686</v>
      </c>
      <c r="AG495" s="61">
        <f t="shared" ca="1" si="105"/>
        <v>-0.55596966627007505</v>
      </c>
      <c r="AH495" s="19"/>
      <c r="AI495" s="61">
        <f ca="1"/>
        <v>-1.7624403946924744E-2</v>
      </c>
      <c r="AJ495" s="61">
        <f ca="1"/>
        <v>-4.2717813097201927E-3</v>
      </c>
      <c r="AK495" s="61">
        <f ca="1"/>
        <v>-2.3515282220920832E-2</v>
      </c>
      <c r="AL495" s="19"/>
      <c r="AM495" s="61">
        <f t="shared" ca="1" si="109"/>
        <v>-1.7273187624414498E-2</v>
      </c>
      <c r="AN495" s="61">
        <f t="shared" ca="1" si="110"/>
        <v>-4.0227287128036622E-3</v>
      </c>
      <c r="AO495" s="61">
        <f t="shared" ca="1" si="111"/>
        <v>-2.3083613617666015E-2</v>
      </c>
      <c r="AP495" s="19"/>
      <c r="AQ495" s="62">
        <f t="shared" ca="1" si="106"/>
        <v>0.84677027441872066</v>
      </c>
      <c r="AR495" s="62">
        <f t="shared" ca="1" si="107"/>
        <v>1.3185624607173785</v>
      </c>
      <c r="AS495" s="62">
        <f t="shared" ca="1" si="108"/>
        <v>0.74780839380589303</v>
      </c>
      <c r="AT495" s="49"/>
    </row>
    <row r="496" spans="1:46" x14ac:dyDescent="0.3">
      <c r="A496" s="5">
        <v>44180</v>
      </c>
      <c r="B496" s="6">
        <v>63.34</v>
      </c>
      <c r="C496" s="6">
        <v>100.529999</v>
      </c>
      <c r="D496" s="6">
        <v>57.48</v>
      </c>
      <c r="F496" s="13">
        <v>493</v>
      </c>
      <c r="G496" s="5">
        <v>44180</v>
      </c>
      <c r="H496" s="15">
        <f t="shared" si="104"/>
        <v>4.1132473098860929E-3</v>
      </c>
      <c r="I496" s="15">
        <f t="shared" si="104"/>
        <v>1.6346921618936083E-2</v>
      </c>
      <c r="J496" s="15">
        <f t="shared" si="104"/>
        <v>1.9145241125374163E-2</v>
      </c>
      <c r="K496" s="22"/>
      <c r="L496" s="13">
        <v>493</v>
      </c>
      <c r="M496" s="5">
        <v>44180</v>
      </c>
      <c r="N496" s="26">
        <f t="shared" si="101"/>
        <v>1.1202688164084045</v>
      </c>
      <c r="O496" s="26">
        <f t="shared" si="102"/>
        <v>0.95343320460103931</v>
      </c>
      <c r="P496" s="26">
        <f t="shared" si="103"/>
        <v>0.76071997778507094</v>
      </c>
      <c r="Q496" s="22"/>
      <c r="AD496" s="59">
        <v>492</v>
      </c>
      <c r="AE496" s="61">
        <f t="shared" ca="1" si="105"/>
        <v>1.7926854792261748</v>
      </c>
      <c r="AF496" s="61">
        <f t="shared" ca="1" si="105"/>
        <v>0.13894167572889468</v>
      </c>
      <c r="AG496" s="61">
        <f t="shared" ca="1" si="105"/>
        <v>-0.43016889996697044</v>
      </c>
      <c r="AH496" s="19"/>
      <c r="AI496" s="61">
        <f ca="1"/>
        <v>3.8873102525564626E-2</v>
      </c>
      <c r="AJ496" s="61">
        <f ca="1"/>
        <v>3.1079757612127987E-2</v>
      </c>
      <c r="AK496" s="61">
        <f ca="1"/>
        <v>1.644549024235923E-2</v>
      </c>
      <c r="AL496" s="19"/>
      <c r="AM496" s="61">
        <f t="shared" ca="1" si="109"/>
        <v>3.9224318848074868E-2</v>
      </c>
      <c r="AN496" s="61">
        <f t="shared" ca="1" si="110"/>
        <v>3.1328810209044516E-2</v>
      </c>
      <c r="AO496" s="61">
        <f t="shared" ca="1" si="111"/>
        <v>1.6877158845614047E-2</v>
      </c>
      <c r="AP496" s="19"/>
      <c r="AQ496" s="62">
        <f t="shared" ca="1" si="106"/>
        <v>0.88064426072417079</v>
      </c>
      <c r="AR496" s="62">
        <f t="shared" ca="1" si="107"/>
        <v>1.3605253452827881</v>
      </c>
      <c r="AS496" s="62">
        <f t="shared" ca="1" si="108"/>
        <v>0.76053637885002257</v>
      </c>
      <c r="AT496" s="49"/>
    </row>
    <row r="497" spans="1:46" x14ac:dyDescent="0.3">
      <c r="A497" s="5">
        <v>44181</v>
      </c>
      <c r="B497" s="6">
        <v>62.599997999999999</v>
      </c>
      <c r="C497" s="6">
        <v>99.5</v>
      </c>
      <c r="D497" s="6">
        <v>56.919998</v>
      </c>
      <c r="F497" s="13">
        <v>494</v>
      </c>
      <c r="G497" s="5">
        <v>44181</v>
      </c>
      <c r="H497" s="15">
        <f t="shared" si="104"/>
        <v>-1.1751794953323298E-2</v>
      </c>
      <c r="I497" s="15">
        <f t="shared" si="104"/>
        <v>-1.0298536305502171E-2</v>
      </c>
      <c r="J497" s="15">
        <f t="shared" si="104"/>
        <v>-9.7903231262075879E-3</v>
      </c>
      <c r="K497" s="22"/>
      <c r="L497" s="13">
        <v>494</v>
      </c>
      <c r="M497" s="5">
        <v>44181</v>
      </c>
      <c r="N497" s="26">
        <f t="shared" si="101"/>
        <v>1.1071807020307622</v>
      </c>
      <c r="O497" s="26">
        <f t="shared" si="102"/>
        <v>0.94366462549953278</v>
      </c>
      <c r="P497" s="26">
        <f t="shared" si="103"/>
        <v>0.75330862237450036</v>
      </c>
      <c r="Q497" s="22"/>
      <c r="AD497" s="59">
        <v>493</v>
      </c>
      <c r="AE497" s="61">
        <f t="shared" ca="1" si="105"/>
        <v>-0.24050506393265955</v>
      </c>
      <c r="AF497" s="61">
        <f t="shared" ca="1" si="105"/>
        <v>0.35060971335078456</v>
      </c>
      <c r="AG497" s="61">
        <f t="shared" ca="1" si="105"/>
        <v>5.2114880605373018E-2</v>
      </c>
      <c r="AH497" s="19"/>
      <c r="AI497" s="61">
        <f ca="1"/>
        <v>-5.2151803071486848E-3</v>
      </c>
      <c r="AJ497" s="61">
        <f ca="1"/>
        <v>3.8563923727671437E-3</v>
      </c>
      <c r="AK497" s="61">
        <f ca="1"/>
        <v>2.5074237369299515E-4</v>
      </c>
      <c r="AL497" s="19"/>
      <c r="AM497" s="61">
        <f t="shared" ca="1" si="109"/>
        <v>-4.8639639846384409E-3</v>
      </c>
      <c r="AN497" s="61">
        <f t="shared" ca="1" si="110"/>
        <v>4.1054449696836743E-3</v>
      </c>
      <c r="AO497" s="61">
        <f t="shared" ca="1" si="111"/>
        <v>6.8241097694781338E-4</v>
      </c>
      <c r="AP497" s="19"/>
      <c r="AQ497" s="62">
        <f t="shared" ca="1" si="106"/>
        <v>0.87637123909270109</v>
      </c>
      <c r="AR497" s="62">
        <f t="shared" ca="1" si="107"/>
        <v>1.366122388532873</v>
      </c>
      <c r="AS497" s="62">
        <f t="shared" ca="1" si="108"/>
        <v>0.76105555434869987</v>
      </c>
      <c r="AT497" s="49"/>
    </row>
    <row r="498" spans="1:46" x14ac:dyDescent="0.3">
      <c r="A498" s="5">
        <v>44182</v>
      </c>
      <c r="B498" s="6">
        <v>62.349997999999999</v>
      </c>
      <c r="C498" s="6">
        <v>100.989998</v>
      </c>
      <c r="D498" s="6">
        <v>56.34</v>
      </c>
      <c r="F498" s="13">
        <v>495</v>
      </c>
      <c r="G498" s="5">
        <v>44182</v>
      </c>
      <c r="H498" s="15">
        <f t="shared" si="104"/>
        <v>-4.0016061081103839E-3</v>
      </c>
      <c r="I498" s="15">
        <f t="shared" si="104"/>
        <v>1.4863838069977308E-2</v>
      </c>
      <c r="J498" s="15">
        <f t="shared" si="104"/>
        <v>-1.0241975636389983E-2</v>
      </c>
      <c r="K498" s="22"/>
      <c r="L498" s="13">
        <v>495</v>
      </c>
      <c r="M498" s="5">
        <v>44182</v>
      </c>
      <c r="N498" s="26">
        <f t="shared" si="101"/>
        <v>1.1027590537184462</v>
      </c>
      <c r="O498" s="26">
        <f t="shared" si="102"/>
        <v>0.95779586574742281</v>
      </c>
      <c r="P498" s="26">
        <f t="shared" si="103"/>
        <v>0.74563262958265308</v>
      </c>
      <c r="Q498" s="22"/>
      <c r="AD498" s="59">
        <v>494</v>
      </c>
      <c r="AE498" s="61">
        <f t="shared" ca="1" si="105"/>
        <v>0.63519063217969229</v>
      </c>
      <c r="AF498" s="61">
        <f t="shared" ca="1" si="105"/>
        <v>-0.27412713786516235</v>
      </c>
      <c r="AG498" s="61">
        <f t="shared" ca="1" si="105"/>
        <v>0.16762734891649075</v>
      </c>
      <c r="AH498" s="19"/>
      <c r="AI498" s="61">
        <f ca="1"/>
        <v>1.3773654583657246E-2</v>
      </c>
      <c r="AJ498" s="61">
        <f ca="1"/>
        <v>3.983786120549628E-3</v>
      </c>
      <c r="AK498" s="61">
        <f ca="1"/>
        <v>1.1749364004777493E-2</v>
      </c>
      <c r="AL498" s="19"/>
      <c r="AM498" s="61">
        <f t="shared" ca="1" si="109"/>
        <v>1.4124870906167489E-2</v>
      </c>
      <c r="AN498" s="61">
        <f t="shared" ca="1" si="110"/>
        <v>4.2328387174661586E-3</v>
      </c>
      <c r="AO498" s="61">
        <f t="shared" ca="1" si="111"/>
        <v>1.2181032608032312E-2</v>
      </c>
      <c r="AP498" s="19"/>
      <c r="AQ498" s="62">
        <f t="shared" ca="1" si="106"/>
        <v>0.8888377060622964</v>
      </c>
      <c r="AR498" s="62">
        <f t="shared" ca="1" si="107"/>
        <v>1.3719172199130392</v>
      </c>
      <c r="AS498" s="62">
        <f t="shared" ca="1" si="108"/>
        <v>0.77038268860819292</v>
      </c>
      <c r="AT498" s="49"/>
    </row>
    <row r="499" spans="1:46" x14ac:dyDescent="0.3">
      <c r="A499" s="5">
        <v>44183</v>
      </c>
      <c r="B499" s="6">
        <v>63.049999</v>
      </c>
      <c r="C499" s="6">
        <v>101.209999</v>
      </c>
      <c r="D499" s="6">
        <v>54.77</v>
      </c>
      <c r="F499" s="13">
        <v>496</v>
      </c>
      <c r="G499" s="5">
        <v>44183</v>
      </c>
      <c r="H499" s="15">
        <f t="shared" si="104"/>
        <v>1.1164406501439968E-2</v>
      </c>
      <c r="I499" s="15">
        <f t="shared" si="104"/>
        <v>2.1760740858388777E-3</v>
      </c>
      <c r="J499" s="15">
        <f t="shared" si="104"/>
        <v>-2.8262163652596622E-2</v>
      </c>
      <c r="K499" s="22"/>
      <c r="L499" s="13">
        <v>496</v>
      </c>
      <c r="M499" s="5">
        <v>44183</v>
      </c>
      <c r="N499" s="26">
        <f t="shared" si="101"/>
        <v>1.1151396866795245</v>
      </c>
      <c r="O499" s="26">
        <f t="shared" si="102"/>
        <v>0.95988236988083508</v>
      </c>
      <c r="P499" s="26">
        <f t="shared" si="103"/>
        <v>0.72485443951441086</v>
      </c>
      <c r="Q499" s="22"/>
      <c r="AD499" s="59">
        <v>495</v>
      </c>
      <c r="AE499" s="61">
        <f t="shared" ca="1" si="105"/>
        <v>-1.4199911982424871</v>
      </c>
      <c r="AF499" s="61">
        <f t="shared" ca="1" si="105"/>
        <v>0.11791026477373803</v>
      </c>
      <c r="AG499" s="61">
        <f t="shared" ca="1" si="105"/>
        <v>0.5293115999649568</v>
      </c>
      <c r="AH499" s="19"/>
      <c r="AI499" s="61">
        <f ca="1"/>
        <v>-3.079149358564939E-2</v>
      </c>
      <c r="AJ499" s="61">
        <f ca="1"/>
        <v>-1.9663282483589565E-2</v>
      </c>
      <c r="AK499" s="61">
        <f ca="1"/>
        <v>-6.589827513422351E-3</v>
      </c>
      <c r="AL499" s="19"/>
      <c r="AM499" s="61">
        <f t="shared" ca="1" si="109"/>
        <v>-3.0440277263139144E-2</v>
      </c>
      <c r="AN499" s="61">
        <f t="shared" ca="1" si="110"/>
        <v>-1.9414229886673035E-2</v>
      </c>
      <c r="AO499" s="61">
        <f t="shared" ca="1" si="111"/>
        <v>-6.1581589101675329E-3</v>
      </c>
      <c r="AP499" s="19"/>
      <c r="AQ499" s="62">
        <f t="shared" ca="1" si="106"/>
        <v>0.86218889615278316</v>
      </c>
      <c r="AR499" s="62">
        <f t="shared" ca="1" si="107"/>
        <v>1.3455393848032482</v>
      </c>
      <c r="AS499" s="62">
        <f t="shared" ca="1" si="108"/>
        <v>0.76565312723192258</v>
      </c>
      <c r="AT499" s="49"/>
    </row>
    <row r="500" spans="1:46" x14ac:dyDescent="0.3">
      <c r="A500" s="5">
        <v>44186</v>
      </c>
      <c r="B500" s="6">
        <v>62.029998999999997</v>
      </c>
      <c r="C500" s="6">
        <v>101.33000199999999</v>
      </c>
      <c r="D500" s="6">
        <v>54.049999</v>
      </c>
      <c r="F500" s="13">
        <v>497</v>
      </c>
      <c r="G500" s="5">
        <v>44186</v>
      </c>
      <c r="H500" s="15">
        <f t="shared" si="104"/>
        <v>-1.6309923686705839E-2</v>
      </c>
      <c r="I500" s="15">
        <f t="shared" si="104"/>
        <v>1.18498087735408E-3</v>
      </c>
      <c r="J500" s="15">
        <f t="shared" si="104"/>
        <v>-1.3233073211800506E-2</v>
      </c>
      <c r="K500" s="22"/>
      <c r="L500" s="13">
        <v>497</v>
      </c>
      <c r="M500" s="5">
        <v>44186</v>
      </c>
      <c r="N500" s="26">
        <f t="shared" si="101"/>
        <v>1.0970993615652749</v>
      </c>
      <c r="O500" s="26">
        <f t="shared" si="102"/>
        <v>0.96102048632358705</v>
      </c>
      <c r="P500" s="26">
        <f t="shared" si="103"/>
        <v>0.7153255747836309</v>
      </c>
      <c r="Q500" s="22"/>
      <c r="AD500" s="59">
        <v>496</v>
      </c>
      <c r="AE500" s="61">
        <f t="shared" ca="1" si="105"/>
        <v>-0.46880873919328481</v>
      </c>
      <c r="AF500" s="61">
        <f t="shared" ca="1" si="105"/>
        <v>-0.3843041892372478</v>
      </c>
      <c r="AG500" s="61">
        <f t="shared" ca="1" si="105"/>
        <v>1.0645466461604414</v>
      </c>
      <c r="AH500" s="19"/>
      <c r="AI500" s="61">
        <f ca="1"/>
        <v>-1.0165782227124295E-2</v>
      </c>
      <c r="AJ500" s="61">
        <f ca="1"/>
        <v>-1.5691195430448425E-2</v>
      </c>
      <c r="AK500" s="61">
        <f ca="1"/>
        <v>1.7640285029914993E-2</v>
      </c>
      <c r="AL500" s="19"/>
      <c r="AM500" s="61">
        <f t="shared" ca="1" si="109"/>
        <v>-9.8145659046140511E-3</v>
      </c>
      <c r="AN500" s="61">
        <f t="shared" ca="1" si="110"/>
        <v>-1.5442142833531894E-2</v>
      </c>
      <c r="AO500" s="61">
        <f t="shared" ca="1" si="111"/>
        <v>1.807195363316981E-2</v>
      </c>
      <c r="AP500" s="19"/>
      <c r="AQ500" s="62">
        <f t="shared" ca="1" si="106"/>
        <v>0.85376827636659203</v>
      </c>
      <c r="AR500" s="62">
        <f t="shared" ca="1" si="107"/>
        <v>1.3249209793361514</v>
      </c>
      <c r="AS500" s="62">
        <f t="shared" ca="1" si="108"/>
        <v>0.77961576107297959</v>
      </c>
      <c r="AT500" s="49"/>
    </row>
    <row r="501" spans="1:46" x14ac:dyDescent="0.3">
      <c r="A501" s="5">
        <v>44187</v>
      </c>
      <c r="B501" s="6">
        <v>62.040000999999997</v>
      </c>
      <c r="C501" s="6">
        <v>98.839995999999999</v>
      </c>
      <c r="D501" s="6">
        <v>53.700001</v>
      </c>
      <c r="F501" s="13">
        <v>498</v>
      </c>
      <c r="G501" s="5">
        <v>44187</v>
      </c>
      <c r="H501" s="15">
        <f t="shared" si="104"/>
        <v>1.6123156317680821E-4</v>
      </c>
      <c r="I501" s="15">
        <f t="shared" si="104"/>
        <v>-2.4880196546754378E-2</v>
      </c>
      <c r="J501" s="15">
        <f t="shared" si="104"/>
        <v>-6.4965054470367475E-3</v>
      </c>
      <c r="K501" s="22"/>
      <c r="L501" s="13">
        <v>498</v>
      </c>
      <c r="M501" s="5">
        <v>44187</v>
      </c>
      <c r="N501" s="26">
        <f t="shared" si="101"/>
        <v>1.097276262870954</v>
      </c>
      <c r="O501" s="26">
        <f t="shared" si="102"/>
        <v>0.93740510361522933</v>
      </c>
      <c r="P501" s="26">
        <f t="shared" si="103"/>
        <v>0.71069352066420122</v>
      </c>
      <c r="Q501" s="22"/>
      <c r="AD501" s="59">
        <v>497</v>
      </c>
      <c r="AE501" s="61">
        <f t="shared" ca="1" si="105"/>
        <v>1.2471818682235638</v>
      </c>
      <c r="AF501" s="61">
        <f t="shared" ca="1" si="105"/>
        <v>-2.5846344207513763</v>
      </c>
      <c r="AG501" s="61">
        <f t="shared" ca="1" si="105"/>
        <v>0.40744713880748212</v>
      </c>
      <c r="AH501" s="19"/>
      <c r="AI501" s="61">
        <f ca="1"/>
        <v>2.7044246853835927E-2</v>
      </c>
      <c r="AJ501" s="61">
        <f ca="1"/>
        <v>-3.6658347244097902E-2</v>
      </c>
      <c r="AK501" s="61">
        <f ca="1"/>
        <v>1.0664384257532121E-2</v>
      </c>
      <c r="AL501" s="19"/>
      <c r="AM501" s="61">
        <f t="shared" ca="1" si="109"/>
        <v>2.7395463176346172E-2</v>
      </c>
      <c r="AN501" s="61">
        <f t="shared" ca="1" si="110"/>
        <v>-3.6409294647181373E-2</v>
      </c>
      <c r="AO501" s="61">
        <f t="shared" ca="1" si="111"/>
        <v>1.109605286078694E-2</v>
      </c>
      <c r="AP501" s="19"/>
      <c r="AQ501" s="62">
        <f t="shared" ca="1" si="106"/>
        <v>0.87748098096976057</v>
      </c>
      <c r="AR501" s="62">
        <f t="shared" ca="1" si="107"/>
        <v>1.2775491612920786</v>
      </c>
      <c r="AS501" s="62">
        <f t="shared" ca="1" si="108"/>
        <v>0.78831459085494959</v>
      </c>
      <c r="AT501" s="49"/>
    </row>
    <row r="502" spans="1:46" x14ac:dyDescent="0.3">
      <c r="A502" s="5">
        <v>44188</v>
      </c>
      <c r="B502" s="6">
        <v>62.27</v>
      </c>
      <c r="C502" s="6">
        <v>101.959999</v>
      </c>
      <c r="D502" s="6">
        <v>55.790000999999997</v>
      </c>
      <c r="F502" s="13">
        <v>499</v>
      </c>
      <c r="G502" s="5">
        <v>44188</v>
      </c>
      <c r="H502" s="15">
        <f t="shared" si="104"/>
        <v>3.7004144573896097E-3</v>
      </c>
      <c r="I502" s="15">
        <f t="shared" si="104"/>
        <v>3.1078229049183913E-2</v>
      </c>
      <c r="J502" s="15">
        <f t="shared" si="104"/>
        <v>3.8181639645003214E-2</v>
      </c>
      <c r="K502" s="22"/>
      <c r="L502" s="13">
        <v>499</v>
      </c>
      <c r="M502" s="5">
        <v>44188</v>
      </c>
      <c r="N502" s="26">
        <f t="shared" si="101"/>
        <v>1.1013441616316917</v>
      </c>
      <c r="O502" s="26">
        <f t="shared" si="102"/>
        <v>0.96699541982178627</v>
      </c>
      <c r="P502" s="26">
        <f t="shared" si="103"/>
        <v>0.7383536590353007</v>
      </c>
      <c r="Q502" s="22"/>
      <c r="AD502" s="59">
        <v>498</v>
      </c>
      <c r="AE502" s="61">
        <f t="shared" ca="1" si="105"/>
        <v>-0.24977817936632951</v>
      </c>
      <c r="AF502" s="61">
        <f t="shared" ca="1" si="105"/>
        <v>1.5267205934337809</v>
      </c>
      <c r="AG502" s="61">
        <f t="shared" ca="1" si="105"/>
        <v>-0.57306976163324408</v>
      </c>
      <c r="AH502" s="19"/>
      <c r="AI502" s="61">
        <f ca="1"/>
        <v>-5.4162611833880846E-3</v>
      </c>
      <c r="AJ502" s="61">
        <f ca="1"/>
        <v>2.9275213239875017E-2</v>
      </c>
      <c r="AK502" s="61">
        <f ca="1"/>
        <v>-7.6207608118622795E-3</v>
      </c>
      <c r="AL502" s="19"/>
      <c r="AM502" s="61">
        <f t="shared" ca="1" si="109"/>
        <v>-5.0650448608778407E-3</v>
      </c>
      <c r="AN502" s="61">
        <f t="shared" ca="1" si="110"/>
        <v>2.9524265836791547E-2</v>
      </c>
      <c r="AO502" s="61">
        <f t="shared" ca="1" si="111"/>
        <v>-7.1890922086074614E-3</v>
      </c>
      <c r="AP502" s="19"/>
      <c r="AQ502" s="62">
        <f t="shared" ca="1" si="106"/>
        <v>0.87304773720364215</v>
      </c>
      <c r="AR502" s="62">
        <f t="shared" ca="1" si="107"/>
        <v>1.3158301913020221</v>
      </c>
      <c r="AS502" s="62">
        <f t="shared" ca="1" si="108"/>
        <v>0.78266764709252246</v>
      </c>
      <c r="AT502" s="49"/>
    </row>
    <row r="503" spans="1:46" x14ac:dyDescent="0.3">
      <c r="A503" s="5">
        <v>44189</v>
      </c>
      <c r="B503" s="6">
        <v>62.209999000000003</v>
      </c>
      <c r="C503" s="6">
        <v>100.91999800000001</v>
      </c>
      <c r="D503" s="6">
        <v>55.68</v>
      </c>
      <c r="F503" s="13">
        <v>500</v>
      </c>
      <c r="G503" s="5">
        <v>44189</v>
      </c>
      <c r="H503" s="15">
        <f t="shared" si="104"/>
        <v>-9.6402643201838709E-4</v>
      </c>
      <c r="I503" s="15">
        <f t="shared" si="104"/>
        <v>-1.0252465744967383E-2</v>
      </c>
      <c r="J503" s="15">
        <f t="shared" si="104"/>
        <v>-1.9736437556317722E-3</v>
      </c>
      <c r="K503" s="22"/>
      <c r="L503" s="13">
        <v>500</v>
      </c>
      <c r="M503" s="5">
        <v>44189</v>
      </c>
      <c r="N503" s="26">
        <f t="shared" si="101"/>
        <v>1.1002829483501426</v>
      </c>
      <c r="O503" s="26">
        <f t="shared" si="102"/>
        <v>0.9571319810862674</v>
      </c>
      <c r="P503" s="26">
        <f t="shared" si="103"/>
        <v>0.73689784904441114</v>
      </c>
      <c r="Q503" s="22"/>
      <c r="AD503" s="59">
        <v>499</v>
      </c>
      <c r="AE503" s="61">
        <f t="shared" ca="1" si="105"/>
        <v>-0.57810374271346132</v>
      </c>
      <c r="AF503" s="61">
        <f t="shared" ca="1" si="105"/>
        <v>0.33447379635158286</v>
      </c>
      <c r="AG503" s="61">
        <f t="shared" ca="1" si="105"/>
        <v>-1.4878937453618855</v>
      </c>
      <c r="AH503" s="19"/>
      <c r="AI503" s="61">
        <f ca="1"/>
        <v>-1.2535766212940771E-2</v>
      </c>
      <c r="AJ503" s="61">
        <f ca="1"/>
        <v>-1.7785468042402792E-3</v>
      </c>
      <c r="AK503" s="61">
        <f ca="1"/>
        <v>-4.430605088381348E-2</v>
      </c>
      <c r="AL503" s="19"/>
      <c r="AM503" s="61">
        <f t="shared" ca="1" si="109"/>
        <v>-1.2184549890430527E-2</v>
      </c>
      <c r="AN503" s="61">
        <f t="shared" ca="1" si="110"/>
        <v>-1.5294942073237486E-3</v>
      </c>
      <c r="AO503" s="61">
        <f t="shared" ca="1" si="111"/>
        <v>-4.3874382280558663E-2</v>
      </c>
      <c r="AP503" s="19"/>
      <c r="AQ503" s="62">
        <f t="shared" ca="1" si="106"/>
        <v>0.8624745888298988</v>
      </c>
      <c r="AR503" s="62">
        <f t="shared" ca="1" si="107"/>
        <v>1.3138191749575685</v>
      </c>
      <c r="AS503" s="62">
        <f t="shared" ca="1" si="108"/>
        <v>0.74907099295128943</v>
      </c>
      <c r="AT503" s="49"/>
    </row>
    <row r="504" spans="1:46" x14ac:dyDescent="0.3">
      <c r="A504" s="5">
        <v>44193</v>
      </c>
      <c r="B504" s="6">
        <v>62.689999</v>
      </c>
      <c r="C504" s="6">
        <v>103.44000200000001</v>
      </c>
      <c r="D504" s="6">
        <v>55.09</v>
      </c>
      <c r="F504" s="13">
        <v>501</v>
      </c>
      <c r="G504" s="5">
        <v>44193</v>
      </c>
      <c r="H504" s="15">
        <f t="shared" si="104"/>
        <v>7.6861868820273767E-3</v>
      </c>
      <c r="I504" s="15">
        <f t="shared" si="104"/>
        <v>2.4663649843302642E-2</v>
      </c>
      <c r="J504" s="15">
        <f t="shared" si="104"/>
        <v>-1.0652804541538972E-2</v>
      </c>
      <c r="K504" s="22"/>
      <c r="L504" s="13">
        <v>501</v>
      </c>
      <c r="M504" s="5">
        <v>44193</v>
      </c>
      <c r="N504" s="26">
        <f t="shared" si="101"/>
        <v>1.1087725131097894</v>
      </c>
      <c r="O504" s="26">
        <f t="shared" si="102"/>
        <v>0.98103186682413002</v>
      </c>
      <c r="P504" s="26">
        <f t="shared" si="103"/>
        <v>0.72908948462386158</v>
      </c>
      <c r="Q504" s="22"/>
      <c r="AD504" s="59">
        <v>500</v>
      </c>
      <c r="AE504" s="61">
        <f t="shared" ca="1" si="105"/>
        <v>-0.72850965554785063</v>
      </c>
      <c r="AF504" s="61">
        <f t="shared" ca="1" si="105"/>
        <v>0.28350622519443314</v>
      </c>
      <c r="AG504" s="61">
        <f t="shared" ca="1" si="105"/>
        <v>-0.26918400266456843</v>
      </c>
      <c r="AH504" s="19"/>
      <c r="AI504" s="61">
        <f ca="1"/>
        <v>-1.5797210865566697E-2</v>
      </c>
      <c r="AJ504" s="61">
        <f ca="1"/>
        <v>-5.2405830011033345E-3</v>
      </c>
      <c r="AK504" s="61">
        <f ca="1"/>
        <v>-1.566402858907388E-2</v>
      </c>
      <c r="AL504" s="19"/>
      <c r="AM504" s="61">
        <f t="shared" ca="1" si="109"/>
        <v>-1.5445994543056453E-2</v>
      </c>
      <c r="AN504" s="61">
        <f t="shared" ca="1" si="110"/>
        <v>-4.9915304041868039E-3</v>
      </c>
      <c r="AO504" s="61">
        <f t="shared" ca="1" si="111"/>
        <v>-1.5232359985819061E-2</v>
      </c>
      <c r="AP504" s="19"/>
      <c r="AQ504" s="62">
        <f t="shared" ca="1" si="106"/>
        <v>0.84925516741453455</v>
      </c>
      <c r="AR504" s="62">
        <f t="shared" ca="1" si="107"/>
        <v>1.3072775465509616</v>
      </c>
      <c r="AS504" s="62">
        <f t="shared" ca="1" si="108"/>
        <v>0.7377473358886707</v>
      </c>
      <c r="AT504" s="49"/>
    </row>
    <row r="505" spans="1:46" x14ac:dyDescent="0.3">
      <c r="A505" s="5">
        <v>44194</v>
      </c>
      <c r="B505" s="6">
        <v>62.259998000000003</v>
      </c>
      <c r="C505" s="6">
        <v>101.55999799999999</v>
      </c>
      <c r="D505" s="6">
        <v>55.450001</v>
      </c>
      <c r="F505" s="13">
        <v>502</v>
      </c>
      <c r="G505" s="5">
        <v>44194</v>
      </c>
      <c r="H505" s="15">
        <f t="shared" si="104"/>
        <v>-6.8827964442616761E-3</v>
      </c>
      <c r="I505" s="15">
        <f t="shared" si="104"/>
        <v>-1.8342016654797101E-2</v>
      </c>
      <c r="J505" s="15">
        <f t="shared" si="104"/>
        <v>6.5135203460157109E-3</v>
      </c>
      <c r="K505" s="22"/>
      <c r="L505" s="13">
        <v>502</v>
      </c>
      <c r="M505" s="5">
        <v>44194</v>
      </c>
      <c r="N505" s="26">
        <f t="shared" si="101"/>
        <v>1.1011672603260125</v>
      </c>
      <c r="O505" s="26">
        <f t="shared" si="102"/>
        <v>0.96320178370254572</v>
      </c>
      <c r="P505" s="26">
        <f t="shared" si="103"/>
        <v>0.73385392360650947</v>
      </c>
      <c r="Q505" s="22"/>
      <c r="AD505" s="59">
        <v>501</v>
      </c>
      <c r="AE505" s="61">
        <f t="shared" ca="1" si="105"/>
        <v>1.0074398280130401</v>
      </c>
      <c r="AF505" s="61">
        <f t="shared" ca="1" si="105"/>
        <v>0.50265863043054926</v>
      </c>
      <c r="AG505" s="61">
        <f t="shared" ca="1" si="105"/>
        <v>-0.21184442549140625</v>
      </c>
      <c r="AH505" s="19"/>
      <c r="AI505" s="61">
        <f ca="1"/>
        <v>2.1845612170403025E-2</v>
      </c>
      <c r="AJ505" s="61">
        <f ca="1"/>
        <v>2.669458546402087E-2</v>
      </c>
      <c r="AK505" s="61">
        <f ca="1"/>
        <v>1.2997982546246598E-2</v>
      </c>
      <c r="AL505" s="19"/>
      <c r="AM505" s="61">
        <f t="shared" ca="1" si="109"/>
        <v>2.2196828492913271E-2</v>
      </c>
      <c r="AN505" s="61">
        <f t="shared" ca="1" si="110"/>
        <v>2.69436380609374E-2</v>
      </c>
      <c r="AO505" s="61">
        <f t="shared" ca="1" si="111"/>
        <v>1.3429651149501417E-2</v>
      </c>
      <c r="AP505" s="19"/>
      <c r="AQ505" s="62">
        <f t="shared" ca="1" si="106"/>
        <v>0.86831670896928403</v>
      </c>
      <c r="AR505" s="62">
        <f t="shared" ca="1" si="107"/>
        <v>1.3429791655590753</v>
      </c>
      <c r="AS505" s="62">
        <f t="shared" ca="1" si="108"/>
        <v>0.74772185247236345</v>
      </c>
      <c r="AT505" s="49"/>
    </row>
    <row r="506" spans="1:46" x14ac:dyDescent="0.3">
      <c r="A506" s="5">
        <v>44195</v>
      </c>
      <c r="B506" s="6">
        <v>62.099997999999999</v>
      </c>
      <c r="C506" s="6">
        <v>103.94000200000001</v>
      </c>
      <c r="D506" s="6">
        <v>56.720001000000003</v>
      </c>
      <c r="F506" s="13">
        <v>503</v>
      </c>
      <c r="G506" s="5">
        <v>44195</v>
      </c>
      <c r="H506" s="15">
        <f t="shared" si="104"/>
        <v>-2.5731761567945369E-3</v>
      </c>
      <c r="I506" s="15">
        <f t="shared" si="104"/>
        <v>2.3164091678480974E-2</v>
      </c>
      <c r="J506" s="15">
        <f t="shared" si="104"/>
        <v>2.264516802369651E-2</v>
      </c>
      <c r="K506" s="22"/>
      <c r="L506" s="13">
        <v>503</v>
      </c>
      <c r="M506" s="5">
        <v>44195</v>
      </c>
      <c r="N506" s="26">
        <f t="shared" si="101"/>
        <v>1.0983374054061301</v>
      </c>
      <c r="O506" s="26">
        <f t="shared" si="102"/>
        <v>0.98577390011809751</v>
      </c>
      <c r="P506" s="26">
        <f t="shared" si="103"/>
        <v>0.75066175888464171</v>
      </c>
      <c r="Q506" s="22"/>
      <c r="AD506" s="59">
        <v>502</v>
      </c>
      <c r="AE506" s="61">
        <f t="shared" ca="1" si="105"/>
        <v>-0.81874253472656633</v>
      </c>
      <c r="AF506" s="61">
        <f t="shared" ca="1" si="105"/>
        <v>-0.47613743447703044</v>
      </c>
      <c r="AG506" s="61">
        <f t="shared" ca="1" si="105"/>
        <v>-0.48332950631350635</v>
      </c>
      <c r="AH506" s="19"/>
      <c r="AI506" s="61">
        <f ca="1"/>
        <v>-1.7753846317874366E-2</v>
      </c>
      <c r="AJ506" s="61">
        <f ca="1"/>
        <v>-2.3164566482959316E-2</v>
      </c>
      <c r="AK506" s="61">
        <f ca="1"/>
        <v>-2.7833427447019127E-2</v>
      </c>
      <c r="AL506" s="19"/>
      <c r="AM506" s="61">
        <f t="shared" ca="1" si="109"/>
        <v>-1.740262999536412E-2</v>
      </c>
      <c r="AN506" s="61">
        <f t="shared" ca="1" si="110"/>
        <v>-2.2915513886042786E-2</v>
      </c>
      <c r="AO506" s="61">
        <f t="shared" ca="1" si="111"/>
        <v>-2.740175884376431E-2</v>
      </c>
      <c r="AP506" s="19"/>
      <c r="AQ506" s="62">
        <f t="shared" ca="1" si="106"/>
        <v>0.85333644066211378</v>
      </c>
      <c r="AR506" s="62">
        <f t="shared" ca="1" si="107"/>
        <v>1.312554042896158</v>
      </c>
      <c r="AS506" s="62">
        <f t="shared" ca="1" si="108"/>
        <v>0.72751112788610084</v>
      </c>
      <c r="AT506" s="49"/>
    </row>
    <row r="507" spans="1:46" x14ac:dyDescent="0.3">
      <c r="A507" s="5">
        <v>44196</v>
      </c>
      <c r="B507" s="6">
        <v>62.48</v>
      </c>
      <c r="C507" s="6">
        <v>103.739998</v>
      </c>
      <c r="D507" s="6">
        <v>56.57</v>
      </c>
      <c r="F507" s="13">
        <v>504</v>
      </c>
      <c r="G507" s="5">
        <v>44196</v>
      </c>
      <c r="H507" s="15">
        <f t="shared" si="104"/>
        <v>6.1005487981170819E-3</v>
      </c>
      <c r="I507" s="15">
        <f t="shared" si="104"/>
        <v>-1.9260791778787296E-3</v>
      </c>
      <c r="J507" s="15">
        <f t="shared" si="104"/>
        <v>-2.6480904992730644E-3</v>
      </c>
      <c r="K507" s="22"/>
      <c r="L507" s="13">
        <v>504</v>
      </c>
      <c r="M507" s="5">
        <v>44196</v>
      </c>
      <c r="N507" s="26">
        <f t="shared" si="101"/>
        <v>1.1050583462140371</v>
      </c>
      <c r="O507" s="26">
        <f t="shared" si="102"/>
        <v>0.9838770488642441</v>
      </c>
      <c r="P507" s="26">
        <f t="shared" si="103"/>
        <v>0.74867656825507067</v>
      </c>
      <c r="Q507" s="22"/>
      <c r="AD507" s="59">
        <v>503</v>
      </c>
      <c r="AE507" s="61">
        <f t="shared" ca="1" si="105"/>
        <v>-1.625606059457007</v>
      </c>
      <c r="AF507" s="61">
        <f t="shared" ca="1" si="105"/>
        <v>1.0087032276262515</v>
      </c>
      <c r="AG507" s="61">
        <f t="shared" ca="1" si="105"/>
        <v>1.1815124136779775</v>
      </c>
      <c r="AH507" s="19"/>
      <c r="AI507" s="61">
        <f ca="1"/>
        <v>-3.52501047996042E-2</v>
      </c>
      <c r="AJ507" s="61">
        <f ca="1"/>
        <v>-3.5193442428480617E-3</v>
      </c>
      <c r="AK507" s="61">
        <f ca="1"/>
        <v>1.3354830622371857E-2</v>
      </c>
      <c r="AL507" s="19"/>
      <c r="AM507" s="61">
        <f t="shared" ca="1" si="109"/>
        <v>-3.4898888477093958E-2</v>
      </c>
      <c r="AN507" s="61">
        <f t="shared" ca="1" si="110"/>
        <v>-3.2702916459315312E-3</v>
      </c>
      <c r="AO507" s="61">
        <f t="shared" ca="1" si="111"/>
        <v>1.3786499225626676E-2</v>
      </c>
      <c r="AP507" s="19"/>
      <c r="AQ507" s="62">
        <f t="shared" ca="1" si="106"/>
        <v>0.82406960771399473</v>
      </c>
      <c r="AR507" s="62">
        <f t="shared" ca="1" si="107"/>
        <v>1.3082686194863433</v>
      </c>
      <c r="AS507" s="62">
        <f t="shared" ca="1" si="108"/>
        <v>0.73761041644251346</v>
      </c>
      <c r="AT507" s="49"/>
    </row>
    <row r="508" spans="1:46" x14ac:dyDescent="0.3">
      <c r="A508" s="5">
        <v>44200</v>
      </c>
      <c r="B508" s="6">
        <v>61.150002000000001</v>
      </c>
      <c r="C508" s="6">
        <v>101.33000199999999</v>
      </c>
      <c r="D508" s="6">
        <v>55.73</v>
      </c>
      <c r="F508" s="13">
        <v>505</v>
      </c>
      <c r="G508" s="5">
        <v>44200</v>
      </c>
      <c r="H508" s="15">
        <f t="shared" si="104"/>
        <v>-2.151661069179012E-2</v>
      </c>
      <c r="I508" s="15">
        <f t="shared" si="104"/>
        <v>-2.3505212446569997E-2</v>
      </c>
      <c r="J508" s="15">
        <f t="shared" si="104"/>
        <v>-1.4960207773619456E-2</v>
      </c>
      <c r="K508" s="22"/>
      <c r="L508" s="13">
        <v>505</v>
      </c>
      <c r="M508" s="5">
        <v>44200</v>
      </c>
      <c r="N508" s="26">
        <f t="shared" si="101"/>
        <v>1.0815352125657021</v>
      </c>
      <c r="O508" s="26">
        <f t="shared" si="102"/>
        <v>0.96102048632358705</v>
      </c>
      <c r="P508" s="26">
        <f t="shared" si="103"/>
        <v>0.73755957484276269</v>
      </c>
      <c r="Q508" s="22"/>
      <c r="AD508" s="59">
        <v>504</v>
      </c>
      <c r="AE508" s="61">
        <f t="shared" ca="1" si="105"/>
        <v>-0.59033907042745726</v>
      </c>
      <c r="AF508" s="61">
        <f t="shared" ca="1" si="105"/>
        <v>-0.38401903089680839</v>
      </c>
      <c r="AG508" s="61">
        <f t="shared" ca="1" si="105"/>
        <v>1.1539405006425401</v>
      </c>
      <c r="AH508" s="19"/>
      <c r="AI508" s="61">
        <f ca="1"/>
        <v>-1.2801080543966285E-2</v>
      </c>
      <c r="AJ508" s="61">
        <f ca="1"/>
        <v>-1.758723103549336E-2</v>
      </c>
      <c r="AK508" s="61">
        <f ca="1"/>
        <v>1.813688277912881E-2</v>
      </c>
      <c r="AL508" s="19"/>
      <c r="AM508" s="61">
        <f t="shared" ca="1" si="109"/>
        <v>-1.2449864221456041E-2</v>
      </c>
      <c r="AN508" s="61">
        <f t="shared" ca="1" si="110"/>
        <v>-1.733817843857683E-2</v>
      </c>
      <c r="AO508" s="61">
        <f t="shared" ca="1" si="111"/>
        <v>1.8568551382383627E-2</v>
      </c>
      <c r="AP508" s="19"/>
      <c r="AQ508" s="62">
        <f t="shared" ca="1" si="106"/>
        <v>0.81387365380645482</v>
      </c>
      <c r="AR508" s="62">
        <f t="shared" ca="1" si="107"/>
        <v>1.2857811340655128</v>
      </c>
      <c r="AS508" s="62">
        <f t="shared" ca="1" si="108"/>
        <v>0.75143472484492935</v>
      </c>
      <c r="AT508" s="49"/>
    </row>
    <row r="509" spans="1:46" x14ac:dyDescent="0.3">
      <c r="A509" s="5">
        <v>44201</v>
      </c>
      <c r="B509" s="6">
        <v>62.080002</v>
      </c>
      <c r="C509" s="6">
        <v>104</v>
      </c>
      <c r="D509" s="6">
        <v>57.32</v>
      </c>
      <c r="F509" s="13">
        <v>506</v>
      </c>
      <c r="G509" s="5">
        <v>44201</v>
      </c>
      <c r="H509" s="15">
        <f t="shared" si="104"/>
        <v>1.5094013251817234E-2</v>
      </c>
      <c r="I509" s="15">
        <f t="shared" si="104"/>
        <v>2.600836194365538E-2</v>
      </c>
      <c r="J509" s="15">
        <f t="shared" si="104"/>
        <v>2.8131001378526144E-2</v>
      </c>
      <c r="K509" s="22"/>
      <c r="L509" s="13">
        <v>506</v>
      </c>
      <c r="M509" s="5">
        <v>44201</v>
      </c>
      <c r="N509" s="26">
        <f t="shared" si="101"/>
        <v>1.0979837442875178</v>
      </c>
      <c r="O509" s="26">
        <f t="shared" si="102"/>
        <v>0.98634292514524036</v>
      </c>
      <c r="P509" s="26">
        <f t="shared" si="103"/>
        <v>0.75860245523034564</v>
      </c>
      <c r="Q509" s="22"/>
      <c r="AD509" s="59">
        <v>505</v>
      </c>
      <c r="AE509" s="61">
        <f t="shared" ca="1" si="105"/>
        <v>1.2136606090309281</v>
      </c>
      <c r="AF509" s="61">
        <f t="shared" ca="1" si="105"/>
        <v>0.14342899523021346</v>
      </c>
      <c r="AG509" s="61">
        <f t="shared" ca="1" si="105"/>
        <v>-0.30901620128624391</v>
      </c>
      <c r="AH509" s="19"/>
      <c r="AI509" s="61">
        <f ca="1"/>
        <v>2.63173623219526E-2</v>
      </c>
      <c r="AJ509" s="61">
        <f ca="1"/>
        <v>2.2114201136659916E-2</v>
      </c>
      <c r="AK509" s="61">
        <f ca="1"/>
        <v>1.1025610078403686E-2</v>
      </c>
      <c r="AL509" s="19"/>
      <c r="AM509" s="61">
        <f t="shared" ca="1" si="109"/>
        <v>2.6668578644462846E-2</v>
      </c>
      <c r="AN509" s="61">
        <f t="shared" ca="1" si="110"/>
        <v>2.2363253733576446E-2</v>
      </c>
      <c r="AO509" s="61">
        <f t="shared" ca="1" si="111"/>
        <v>1.1457278681658505E-2</v>
      </c>
      <c r="AP509" s="19"/>
      <c r="AQ509" s="62">
        <f t="shared" ca="1" si="106"/>
        <v>0.83587051618757335</v>
      </c>
      <c r="AR509" s="62">
        <f t="shared" ca="1" si="107"/>
        <v>1.3148593133030138</v>
      </c>
      <c r="AS509" s="62">
        <f t="shared" ca="1" si="108"/>
        <v>0.76009363092813242</v>
      </c>
      <c r="AT509" s="49"/>
    </row>
    <row r="510" spans="1:46" x14ac:dyDescent="0.3">
      <c r="A510" s="5">
        <v>44202</v>
      </c>
      <c r="B510" s="6">
        <v>64.120002999999997</v>
      </c>
      <c r="C510" s="6">
        <v>109.44000200000001</v>
      </c>
      <c r="D510" s="6">
        <v>58.599997999999999</v>
      </c>
      <c r="F510" s="13">
        <v>507</v>
      </c>
      <c r="G510" s="5">
        <v>44202</v>
      </c>
      <c r="H510" s="15">
        <f t="shared" si="104"/>
        <v>3.2332466437167334E-2</v>
      </c>
      <c r="I510" s="15">
        <f t="shared" si="104"/>
        <v>5.0985573007721351E-2</v>
      </c>
      <c r="J510" s="15">
        <f t="shared" si="104"/>
        <v>2.2085059493302407E-2</v>
      </c>
      <c r="K510" s="22"/>
      <c r="L510" s="13">
        <v>507</v>
      </c>
      <c r="M510" s="5">
        <v>44202</v>
      </c>
      <c r="N510" s="26">
        <f t="shared" si="101"/>
        <v>1.1340644122026105</v>
      </c>
      <c r="O510" s="26">
        <f t="shared" si="102"/>
        <v>1.03793626635174</v>
      </c>
      <c r="P510" s="26">
        <f t="shared" si="103"/>
        <v>0.77554260919911622</v>
      </c>
      <c r="Q510" s="22"/>
      <c r="AD510" s="59">
        <v>506</v>
      </c>
      <c r="AE510" s="61">
        <f t="shared" ca="1" si="105"/>
        <v>0.38405249803717512</v>
      </c>
      <c r="AF510" s="61">
        <f t="shared" ca="1" si="105"/>
        <v>0.54661034775881501</v>
      </c>
      <c r="AG510" s="61">
        <f t="shared" ca="1" si="105"/>
        <v>0.47772760382735607</v>
      </c>
      <c r="AH510" s="19"/>
      <c r="AI510" s="61">
        <f ca="1"/>
        <v>8.3279037535589663E-3</v>
      </c>
      <c r="AJ510" s="61">
        <f ca="1"/>
        <v>1.7892451623418914E-2</v>
      </c>
      <c r="AK510" s="61">
        <f ca="1"/>
        <v>2.1763427020541539E-2</v>
      </c>
      <c r="AL510" s="19"/>
      <c r="AM510" s="61">
        <f t="shared" ca="1" si="109"/>
        <v>8.6791200760692102E-3</v>
      </c>
      <c r="AN510" s="61">
        <f t="shared" ca="1" si="110"/>
        <v>1.8141504220335444E-2</v>
      </c>
      <c r="AO510" s="61">
        <f t="shared" ca="1" si="111"/>
        <v>2.2195095623796356E-2</v>
      </c>
      <c r="AP510" s="19"/>
      <c r="AQ510" s="62">
        <f t="shared" ca="1" si="106"/>
        <v>0.84315670990341174</v>
      </c>
      <c r="AR510" s="62">
        <f t="shared" ca="1" si="107"/>
        <v>1.3389305228817925</v>
      </c>
      <c r="AS510" s="62">
        <f t="shared" ca="1" si="108"/>
        <v>0.77715259411283732</v>
      </c>
      <c r="AT510" s="49"/>
    </row>
    <row r="511" spans="1:46" x14ac:dyDescent="0.3">
      <c r="A511" s="5">
        <v>44203</v>
      </c>
      <c r="B511" s="6">
        <v>65.069999999999993</v>
      </c>
      <c r="C511" s="6">
        <v>112.18</v>
      </c>
      <c r="D511" s="6">
        <v>59.669998</v>
      </c>
      <c r="F511" s="13">
        <v>508</v>
      </c>
      <c r="G511" s="5">
        <v>44203</v>
      </c>
      <c r="H511" s="15">
        <f t="shared" si="104"/>
        <v>1.4707238978267593E-2</v>
      </c>
      <c r="I511" s="15">
        <f t="shared" si="104"/>
        <v>2.4728251931096932E-2</v>
      </c>
      <c r="J511" s="15">
        <f t="shared" si="104"/>
        <v>1.8094685563035767E-2</v>
      </c>
      <c r="K511" s="22"/>
      <c r="L511" s="13">
        <v>508</v>
      </c>
      <c r="M511" s="5">
        <v>44203</v>
      </c>
      <c r="N511" s="26">
        <f t="shared" si="101"/>
        <v>1.1508666227296316</v>
      </c>
      <c r="O511" s="26">
        <f t="shared" si="102"/>
        <v>1.0639225898345488</v>
      </c>
      <c r="P511" s="26">
        <f t="shared" si="103"/>
        <v>0.78970354128384179</v>
      </c>
      <c r="Q511" s="22"/>
      <c r="AD511" s="59">
        <v>507</v>
      </c>
      <c r="AE511" s="61">
        <f t="shared" ca="1" si="105"/>
        <v>-0.58059141435619488</v>
      </c>
      <c r="AF511" s="61">
        <f t="shared" ca="1" si="105"/>
        <v>0.73328201406157079</v>
      </c>
      <c r="AG511" s="61">
        <f t="shared" ca="1" si="105"/>
        <v>-0.29394918032850975</v>
      </c>
      <c r="AH511" s="19"/>
      <c r="AI511" s="61">
        <f ca="1"/>
        <v>-1.258970959338231E-2</v>
      </c>
      <c r="AJ511" s="61">
        <f ca="1"/>
        <v>6.8510177626279756E-3</v>
      </c>
      <c r="AK511" s="61">
        <f ca="1"/>
        <v>-1.0945410235522698E-2</v>
      </c>
      <c r="AL511" s="19"/>
      <c r="AM511" s="61">
        <f t="shared" ca="1" si="109"/>
        <v>-1.2238493270872066E-2</v>
      </c>
      <c r="AN511" s="61">
        <f t="shared" ca="1" si="110"/>
        <v>7.1000703595445061E-3</v>
      </c>
      <c r="AO511" s="61">
        <f t="shared" ca="1" si="111"/>
        <v>-1.0513741632267879E-2</v>
      </c>
      <c r="AP511" s="19"/>
      <c r="AQ511" s="62">
        <f t="shared" ca="1" si="106"/>
        <v>0.83290062968063261</v>
      </c>
      <c r="AR511" s="62">
        <f t="shared" ca="1" si="107"/>
        <v>1.3484708522275046</v>
      </c>
      <c r="AS511" s="62">
        <f t="shared" ca="1" si="108"/>
        <v>0.76902461513622178</v>
      </c>
      <c r="AT511" s="49"/>
    </row>
    <row r="512" spans="1:46" x14ac:dyDescent="0.3">
      <c r="A512" s="5">
        <v>44204</v>
      </c>
      <c r="B512" s="6">
        <v>64.370002999999997</v>
      </c>
      <c r="C512" s="6">
        <v>109.480003</v>
      </c>
      <c r="D512" s="6">
        <v>57.709999000000003</v>
      </c>
      <c r="F512" s="13">
        <v>509</v>
      </c>
      <c r="G512" s="5">
        <v>44204</v>
      </c>
      <c r="H512" s="15">
        <f t="shared" si="104"/>
        <v>-1.0815880836807642E-2</v>
      </c>
      <c r="I512" s="15">
        <f t="shared" si="104"/>
        <v>-2.4362812505447785E-2</v>
      </c>
      <c r="J512" s="15">
        <f t="shared" si="104"/>
        <v>-3.3398896621453851E-2</v>
      </c>
      <c r="K512" s="22"/>
      <c r="L512" s="13">
        <v>509</v>
      </c>
      <c r="M512" s="5">
        <v>44204</v>
      </c>
      <c r="N512" s="26">
        <f t="shared" si="101"/>
        <v>1.1384860605149265</v>
      </c>
      <c r="O512" s="26">
        <f t="shared" si="102"/>
        <v>1.038315638499324</v>
      </c>
      <c r="P512" s="26">
        <f t="shared" si="103"/>
        <v>0.76376390322297272</v>
      </c>
      <c r="Q512" s="22"/>
      <c r="AD512" s="59">
        <v>508</v>
      </c>
      <c r="AE512" s="61">
        <f t="shared" ca="1" si="105"/>
        <v>2.0603658410227994</v>
      </c>
      <c r="AF512" s="61">
        <f t="shared" ca="1" si="105"/>
        <v>-1.2312554568537515</v>
      </c>
      <c r="AG512" s="61">
        <f t="shared" ca="1" si="105"/>
        <v>-0.10748782769844439</v>
      </c>
      <c r="AH512" s="19"/>
      <c r="AI512" s="61">
        <f ca="1"/>
        <v>4.4677559731684274E-2</v>
      </c>
      <c r="AJ512" s="61">
        <f ca="1"/>
        <v>5.4869520829089052E-3</v>
      </c>
      <c r="AK512" s="61">
        <f ca="1"/>
        <v>1.901812891179816E-2</v>
      </c>
      <c r="AL512" s="19"/>
      <c r="AM512" s="61">
        <f t="shared" ca="1" si="109"/>
        <v>4.5028776054194516E-2</v>
      </c>
      <c r="AN512" s="61">
        <f t="shared" ca="1" si="110"/>
        <v>5.7360046798254358E-3</v>
      </c>
      <c r="AO512" s="61">
        <f t="shared" ca="1" si="111"/>
        <v>1.9449797515052977E-2</v>
      </c>
      <c r="AP512" s="19"/>
      <c r="AQ512" s="62">
        <f t="shared" ca="1" si="106"/>
        <v>0.87126233431287892</v>
      </c>
      <c r="AR512" s="62">
        <f t="shared" ca="1" si="107"/>
        <v>1.3562279133475377</v>
      </c>
      <c r="AS512" s="62">
        <f t="shared" ca="1" si="108"/>
        <v>0.78412839477567875</v>
      </c>
      <c r="AT512" s="49"/>
    </row>
    <row r="513" spans="1:46" x14ac:dyDescent="0.3">
      <c r="A513" s="5">
        <v>44207</v>
      </c>
      <c r="B513" s="6">
        <v>63.080002</v>
      </c>
      <c r="C513" s="6">
        <v>110.589996</v>
      </c>
      <c r="D513" s="6">
        <v>58.639999000000003</v>
      </c>
      <c r="F513" s="13">
        <v>510</v>
      </c>
      <c r="G513" s="5">
        <v>44207</v>
      </c>
      <c r="H513" s="15">
        <f t="shared" si="104"/>
        <v>-2.024393886947732E-2</v>
      </c>
      <c r="I513" s="15">
        <f t="shared" si="104"/>
        <v>1.0087721342889183E-2</v>
      </c>
      <c r="J513" s="15">
        <f t="shared" si="104"/>
        <v>1.5986589130334461E-2</v>
      </c>
      <c r="K513" s="22"/>
      <c r="L513" s="13">
        <v>510</v>
      </c>
      <c r="M513" s="5">
        <v>44207</v>
      </c>
      <c r="N513" s="26">
        <f t="shared" si="101"/>
        <v>1.1156703375367822</v>
      </c>
      <c r="O513" s="26">
        <f t="shared" si="102"/>
        <v>1.0488428860234658</v>
      </c>
      <c r="P513" s="26">
        <f t="shared" si="103"/>
        <v>0.77607200307231361</v>
      </c>
      <c r="Q513" s="22"/>
      <c r="AD513" s="59">
        <v>509</v>
      </c>
      <c r="AE513" s="61">
        <f t="shared" ca="1" si="105"/>
        <v>0.19405695786693147</v>
      </c>
      <c r="AF513" s="61">
        <f t="shared" ca="1" si="105"/>
        <v>-1.0348119983868067</v>
      </c>
      <c r="AG513" s="61">
        <f t="shared" ca="1" si="105"/>
        <v>2.1362172928394885</v>
      </c>
      <c r="AH513" s="19"/>
      <c r="AI513" s="61">
        <f ca="1"/>
        <v>4.2079863458349912E-3</v>
      </c>
      <c r="AJ513" s="61">
        <f ca="1"/>
        <v>-1.9455246742431497E-2</v>
      </c>
      <c r="AK513" s="61">
        <f ca="1"/>
        <v>5.0309465859988113E-2</v>
      </c>
      <c r="AL513" s="19"/>
      <c r="AM513" s="61">
        <f t="shared" ca="1" si="109"/>
        <v>4.5592026683452351E-3</v>
      </c>
      <c r="AN513" s="61">
        <f t="shared" ca="1" si="110"/>
        <v>-1.9206194145514967E-2</v>
      </c>
      <c r="AO513" s="61">
        <f t="shared" ca="1" si="111"/>
        <v>5.074113446324293E-2</v>
      </c>
      <c r="AP513" s="19"/>
      <c r="AQ513" s="62">
        <f t="shared" ca="1" si="106"/>
        <v>0.87524366482221294</v>
      </c>
      <c r="AR513" s="62">
        <f t="shared" ca="1" si="107"/>
        <v>1.3304284842255452</v>
      </c>
      <c r="AS513" s="62">
        <f t="shared" ca="1" si="108"/>
        <v>0.8249426842224582</v>
      </c>
      <c r="AT513" s="49"/>
    </row>
    <row r="514" spans="1:46" x14ac:dyDescent="0.3">
      <c r="A514" s="5">
        <v>44208</v>
      </c>
      <c r="B514" s="6">
        <v>64.400002000000001</v>
      </c>
      <c r="C514" s="6">
        <v>114.510002</v>
      </c>
      <c r="D514" s="6">
        <v>59.509998000000003</v>
      </c>
      <c r="F514" s="13">
        <v>511</v>
      </c>
      <c r="G514" s="5">
        <v>44208</v>
      </c>
      <c r="H514" s="15">
        <f t="shared" si="104"/>
        <v>2.0709870365600458E-2</v>
      </c>
      <c r="I514" s="15">
        <f t="shared" si="104"/>
        <v>3.4832539973339044E-2</v>
      </c>
      <c r="J514" s="15">
        <f t="shared" si="104"/>
        <v>1.4727291523773186E-2</v>
      </c>
      <c r="K514" s="22"/>
      <c r="L514" s="13">
        <v>511</v>
      </c>
      <c r="M514" s="5">
        <v>44208</v>
      </c>
      <c r="N514" s="26">
        <f t="shared" si="101"/>
        <v>1.1390166406258111</v>
      </c>
      <c r="O514" s="26">
        <f t="shared" si="102"/>
        <v>1.0860204839525704</v>
      </c>
      <c r="P514" s="26">
        <f t="shared" si="103"/>
        <v>0.78758601872911649</v>
      </c>
      <c r="Q514" s="22"/>
      <c r="AD514" s="59">
        <v>510</v>
      </c>
      <c r="AE514" s="61">
        <f t="shared" ca="1" si="105"/>
        <v>6.8944605401813751E-3</v>
      </c>
      <c r="AF514" s="61">
        <f t="shared" ca="1" si="105"/>
        <v>-0.66929742607053966</v>
      </c>
      <c r="AG514" s="61">
        <f t="shared" ca="1" si="105"/>
        <v>-1.9296189782052127</v>
      </c>
      <c r="AH514" s="19"/>
      <c r="AI514" s="61">
        <f ca="1"/>
        <v>1.4950144603872079E-4</v>
      </c>
      <c r="AJ514" s="61">
        <f ca="1"/>
        <v>-1.4439946214757438E-2</v>
      </c>
      <c r="AK514" s="61">
        <f ca="1"/>
        <v>-5.4048382993230629E-2</v>
      </c>
      <c r="AL514" s="19"/>
      <c r="AM514" s="61">
        <f t="shared" ca="1" si="109"/>
        <v>5.0071776854896505E-4</v>
      </c>
      <c r="AN514" s="61">
        <f t="shared" ca="1" si="110"/>
        <v>-1.4190893617840906E-2</v>
      </c>
      <c r="AO514" s="61">
        <f t="shared" ca="1" si="111"/>
        <v>-5.3616714389975811E-2</v>
      </c>
      <c r="AP514" s="19"/>
      <c r="AQ514" s="62">
        <f t="shared" ca="1" si="106"/>
        <v>0.87568202461510924</v>
      </c>
      <c r="AR514" s="62">
        <f t="shared" ca="1" si="107"/>
        <v>1.3116818455186157</v>
      </c>
      <c r="AS514" s="62">
        <f t="shared" ca="1" si="108"/>
        <v>0.78187680976153751</v>
      </c>
      <c r="AT514" s="49"/>
    </row>
    <row r="515" spans="1:46" x14ac:dyDescent="0.3">
      <c r="A515" s="5">
        <v>44209</v>
      </c>
      <c r="B515" s="6">
        <v>63.630001</v>
      </c>
      <c r="C515" s="6">
        <v>112.94000200000001</v>
      </c>
      <c r="D515" s="6">
        <v>57.700001</v>
      </c>
      <c r="F515" s="13">
        <v>512</v>
      </c>
      <c r="G515" s="5">
        <v>44209</v>
      </c>
      <c r="H515" s="15">
        <f t="shared" si="104"/>
        <v>-1.2028591205650105E-2</v>
      </c>
      <c r="I515" s="15">
        <f t="shared" si="104"/>
        <v>-1.3805450937763083E-2</v>
      </c>
      <c r="J515" s="15">
        <f t="shared" si="104"/>
        <v>-3.0887141203886942E-2</v>
      </c>
      <c r="K515" s="22"/>
      <c r="L515" s="13">
        <v>512</v>
      </c>
      <c r="M515" s="5">
        <v>44209</v>
      </c>
      <c r="N515" s="26">
        <f t="shared" si="101"/>
        <v>1.1253979461372843</v>
      </c>
      <c r="O515" s="26">
        <f t="shared" si="102"/>
        <v>1.0711304994095125</v>
      </c>
      <c r="P515" s="26">
        <f t="shared" si="103"/>
        <v>0.76363158453233426</v>
      </c>
      <c r="Q515" s="22"/>
      <c r="AD515" s="59">
        <v>511</v>
      </c>
      <c r="AE515" s="61">
        <f t="shared" ca="1" si="105"/>
        <v>0.29303618275649035</v>
      </c>
      <c r="AF515" s="61">
        <f t="shared" ca="1" si="105"/>
        <v>1.5375061911387917</v>
      </c>
      <c r="AG515" s="61">
        <f t="shared" ca="1" si="105"/>
        <v>0.6440597278122262</v>
      </c>
      <c r="AH515" s="19"/>
      <c r="AI515" s="61">
        <f ca="1"/>
        <v>6.354280049677339E-3</v>
      </c>
      <c r="AJ515" s="61">
        <f ca="1"/>
        <v>3.8005963004200616E-2</v>
      </c>
      <c r="AK515" s="61">
        <f ca="1"/>
        <v>3.1658377828606886E-2</v>
      </c>
      <c r="AL515" s="19"/>
      <c r="AM515" s="61">
        <f t="shared" ca="1" si="109"/>
        <v>6.7054963721875829E-3</v>
      </c>
      <c r="AN515" s="61">
        <f t="shared" ca="1" si="110"/>
        <v>3.8255015601117145E-2</v>
      </c>
      <c r="AO515" s="61">
        <f t="shared" ca="1" si="111"/>
        <v>3.2090046431861703E-2</v>
      </c>
      <c r="AP515" s="19"/>
      <c r="AQ515" s="62">
        <f t="shared" ca="1" si="106"/>
        <v>0.88157363827566582</v>
      </c>
      <c r="AR515" s="62">
        <f t="shared" ca="1" si="107"/>
        <v>1.3628323997527962</v>
      </c>
      <c r="AS515" s="62">
        <f t="shared" ca="1" si="108"/>
        <v>0.8073741909628388</v>
      </c>
      <c r="AT515" s="49"/>
    </row>
    <row r="516" spans="1:46" x14ac:dyDescent="0.3">
      <c r="A516" s="5">
        <v>44210</v>
      </c>
      <c r="B516" s="6">
        <v>65.349997999999999</v>
      </c>
      <c r="C516" s="6">
        <v>111.470001</v>
      </c>
      <c r="D516" s="6">
        <v>60.27</v>
      </c>
      <c r="F516" s="13">
        <v>513</v>
      </c>
      <c r="G516" s="5">
        <v>44210</v>
      </c>
      <c r="H516" s="15">
        <f t="shared" si="104"/>
        <v>2.667233650523481E-2</v>
      </c>
      <c r="I516" s="15">
        <f t="shared" si="104"/>
        <v>-1.3101216580652652E-2</v>
      </c>
      <c r="J516" s="15">
        <f t="shared" si="104"/>
        <v>4.3577276649876477E-2</v>
      </c>
      <c r="K516" s="22"/>
      <c r="L516" s="13">
        <v>513</v>
      </c>
      <c r="M516" s="5">
        <v>44210</v>
      </c>
      <c r="N516" s="26">
        <f t="shared" ref="N516:N579" si="112">B516/B$3</f>
        <v>1.1558188334662394</v>
      </c>
      <c r="O516" s="26">
        <f t="shared" ref="O516:O579" si="113">C516/C$3</f>
        <v>1.0571889120411815</v>
      </c>
      <c r="P516" s="26">
        <f t="shared" ref="P516:P579" si="114">D516/D$3</f>
        <v>0.79764427733309373</v>
      </c>
      <c r="Q516" s="22"/>
      <c r="AD516" s="59">
        <v>512</v>
      </c>
      <c r="AE516" s="61">
        <f t="shared" ca="1" si="105"/>
        <v>0.34240660967363545</v>
      </c>
      <c r="AF516" s="61">
        <f t="shared" ca="1" si="105"/>
        <v>1.6718927370812846</v>
      </c>
      <c r="AG516" s="61">
        <f t="shared" ca="1" si="105"/>
        <v>0.31579056835237485</v>
      </c>
      <c r="AH516" s="19"/>
      <c r="AI516" s="61">
        <f ca="1"/>
        <v>7.4248424486707786E-3</v>
      </c>
      <c r="AJ516" s="61">
        <f ca="1"/>
        <v>4.1699753938913869E-2</v>
      </c>
      <c r="AK516" s="61">
        <f ca="1"/>
        <v>2.4924023681090018E-2</v>
      </c>
      <c r="AL516" s="19"/>
      <c r="AM516" s="61">
        <f t="shared" ca="1" si="109"/>
        <v>7.7760587711810224E-3</v>
      </c>
      <c r="AN516" s="61">
        <f t="shared" ca="1" si="110"/>
        <v>4.1948806535830399E-2</v>
      </c>
      <c r="AO516" s="61">
        <f t="shared" ca="1" si="111"/>
        <v>2.5355692284344835E-2</v>
      </c>
      <c r="AP516" s="19"/>
      <c r="AQ516" s="62">
        <f t="shared" ca="1" si="106"/>
        <v>0.88845552901415037</v>
      </c>
      <c r="AR516" s="62">
        <f t="shared" ca="1" si="107"/>
        <v>1.421217626248843</v>
      </c>
      <c r="AS516" s="62">
        <f t="shared" ca="1" si="108"/>
        <v>0.8281074649726492</v>
      </c>
      <c r="AT516" s="49"/>
    </row>
    <row r="517" spans="1:46" x14ac:dyDescent="0.3">
      <c r="A517" s="5">
        <v>44211</v>
      </c>
      <c r="B517" s="6">
        <v>63.790000999999997</v>
      </c>
      <c r="C517" s="6">
        <v>110.07</v>
      </c>
      <c r="D517" s="6">
        <v>58.299999</v>
      </c>
      <c r="F517" s="13">
        <v>514</v>
      </c>
      <c r="G517" s="5">
        <v>44211</v>
      </c>
      <c r="H517" s="15">
        <f t="shared" ref="H517:J580" si="115">LN(B517/B516)</f>
        <v>-2.4160955535490782E-2</v>
      </c>
      <c r="I517" s="15">
        <f t="shared" si="115"/>
        <v>-1.2638978337255281E-2</v>
      </c>
      <c r="J517" s="15">
        <f t="shared" si="115"/>
        <v>-3.3232391291164863E-2</v>
      </c>
      <c r="K517" s="22"/>
      <c r="L517" s="13">
        <v>514</v>
      </c>
      <c r="M517" s="5">
        <v>44211</v>
      </c>
      <c r="N517" s="26">
        <f t="shared" si="112"/>
        <v>1.1282278010571667</v>
      </c>
      <c r="O517" s="26">
        <f t="shared" si="113"/>
        <v>1.0439112093340057</v>
      </c>
      <c r="P517" s="26">
        <f t="shared" si="114"/>
        <v>0.77157226764352227</v>
      </c>
      <c r="Q517" s="22"/>
      <c r="AD517" s="59">
        <v>513</v>
      </c>
      <c r="AE517" s="61">
        <f t="shared" ref="AE517:AG580" ca="1" si="116">_xlfn.NORM.S.INV(RAND())</f>
        <v>-0.56922657575372226</v>
      </c>
      <c r="AF517" s="61">
        <f t="shared" ca="1" si="116"/>
        <v>0.70417359145006664</v>
      </c>
      <c r="AG517" s="61">
        <f t="shared" ca="1" si="116"/>
        <v>-0.95912924681178302</v>
      </c>
      <c r="AH517" s="19"/>
      <c r="AI517" s="61">
        <f ca="1"/>
        <v>-1.2343271196184429E-2</v>
      </c>
      <c r="AJ517" s="61">
        <f ca="1"/>
        <v>6.3962028702684963E-3</v>
      </c>
      <c r="AK517" s="61">
        <f ca="1"/>
        <v>-2.8024366905938132E-2</v>
      </c>
      <c r="AL517" s="19"/>
      <c r="AM517" s="61">
        <f t="shared" ca="1" si="109"/>
        <v>-1.1992054873674185E-2</v>
      </c>
      <c r="AN517" s="61">
        <f t="shared" ca="1" si="110"/>
        <v>6.6452554671850269E-3</v>
      </c>
      <c r="AO517" s="61">
        <f t="shared" ca="1" si="111"/>
        <v>-2.7592698302683315E-2</v>
      </c>
      <c r="AP517" s="19"/>
      <c r="AQ517" s="62">
        <f t="shared" ca="1" si="106"/>
        <v>0.87786475107330086</v>
      </c>
      <c r="AR517" s="62">
        <f t="shared" ca="1" si="107"/>
        <v>1.4306934301480918</v>
      </c>
      <c r="AS517" s="62">
        <f t="shared" ca="1" si="108"/>
        <v>0.80557010866241729</v>
      </c>
      <c r="AT517" s="49"/>
    </row>
    <row r="518" spans="1:46" x14ac:dyDescent="0.3">
      <c r="A518" s="5">
        <v>44215</v>
      </c>
      <c r="B518" s="6">
        <v>64.199996999999996</v>
      </c>
      <c r="C518" s="6">
        <v>107.25</v>
      </c>
      <c r="D518" s="6">
        <v>60.540000999999997</v>
      </c>
      <c r="F518" s="13">
        <v>515</v>
      </c>
      <c r="G518" s="5">
        <v>44215</v>
      </c>
      <c r="H518" s="15">
        <f t="shared" si="115"/>
        <v>6.4067100366403734E-3</v>
      </c>
      <c r="I518" s="15">
        <f t="shared" si="115"/>
        <v>-2.5953969227173909E-2</v>
      </c>
      <c r="J518" s="15">
        <f t="shared" si="115"/>
        <v>3.7702243907789194E-2</v>
      </c>
      <c r="K518" s="22"/>
      <c r="L518" s="13">
        <v>515</v>
      </c>
      <c r="M518" s="5">
        <v>44215</v>
      </c>
      <c r="N518" s="26">
        <f t="shared" si="112"/>
        <v>1.135479233542992</v>
      </c>
      <c r="O518" s="26">
        <f t="shared" si="113"/>
        <v>1.0171661415560291</v>
      </c>
      <c r="P518" s="26">
        <f t="shared" si="114"/>
        <v>0.8012176098787086</v>
      </c>
      <c r="Q518" s="22"/>
      <c r="AD518" s="59">
        <v>514</v>
      </c>
      <c r="AE518" s="61">
        <f t="shared" ca="1" si="116"/>
        <v>1.6249214219012484</v>
      </c>
      <c r="AF518" s="61">
        <f t="shared" ca="1" si="116"/>
        <v>-0.74825112011965722</v>
      </c>
      <c r="AG518" s="61">
        <f t="shared" ca="1" si="116"/>
        <v>-1.1263402144158146</v>
      </c>
      <c r="AH518" s="19"/>
      <c r="AI518" s="61">
        <f ca="1"/>
        <v>3.5235258923846151E-2</v>
      </c>
      <c r="AJ518" s="61">
        <f ca="1"/>
        <v>9.1698196603816201E-3</v>
      </c>
      <c r="AK518" s="61">
        <f ca="1"/>
        <v>-1.0117213521132356E-2</v>
      </c>
      <c r="AL518" s="19"/>
      <c r="AM518" s="61">
        <f t="shared" ca="1" si="109"/>
        <v>3.5586475246356393E-2</v>
      </c>
      <c r="AN518" s="61">
        <f t="shared" ca="1" si="110"/>
        <v>9.4188722572981515E-3</v>
      </c>
      <c r="AO518" s="61">
        <f t="shared" ca="1" si="111"/>
        <v>-9.6855449178775369E-3</v>
      </c>
      <c r="AP518" s="19"/>
      <c r="AQ518" s="62">
        <f t="shared" ref="AQ518:AQ581" ca="1" si="117">AQ517*EXP(AM518)</f>
        <v>0.90966737886117455</v>
      </c>
      <c r="AR518" s="62">
        <f t="shared" ref="AR518:AR581" ca="1" si="118">AR517*EXP(AN518)</f>
        <v>1.4442326106176084</v>
      </c>
      <c r="AS518" s="62">
        <f t="shared" ref="AS518:AS581" ca="1" si="119">AS517*EXP(AO518)</f>
        <v>0.79780538667274803</v>
      </c>
      <c r="AT518" s="49"/>
    </row>
    <row r="519" spans="1:46" x14ac:dyDescent="0.3">
      <c r="A519" s="5">
        <v>44216</v>
      </c>
      <c r="B519" s="6">
        <v>66.690002000000007</v>
      </c>
      <c r="C519" s="6">
        <v>106.589996</v>
      </c>
      <c r="D519" s="6">
        <v>60.57</v>
      </c>
      <c r="F519" s="13">
        <v>516</v>
      </c>
      <c r="G519" s="5">
        <v>44216</v>
      </c>
      <c r="H519" s="15">
        <f t="shared" si="115"/>
        <v>3.8051882666775956E-2</v>
      </c>
      <c r="I519" s="15">
        <f t="shared" si="115"/>
        <v>-6.1728966340541458E-3</v>
      </c>
      <c r="J519" s="15">
        <f t="shared" si="115"/>
        <v>4.9540088127885469E-4</v>
      </c>
      <c r="K519" s="22"/>
      <c r="L519" s="13">
        <v>516</v>
      </c>
      <c r="M519" s="5">
        <v>44216</v>
      </c>
      <c r="N519" s="26">
        <f t="shared" si="112"/>
        <v>1.1795189391666268</v>
      </c>
      <c r="O519" s="26">
        <f t="shared" si="113"/>
        <v>1.0109066196717256</v>
      </c>
      <c r="P519" s="26">
        <f t="shared" si="114"/>
        <v>0.80161463212320372</v>
      </c>
      <c r="Q519" s="22"/>
      <c r="AD519" s="59">
        <v>515</v>
      </c>
      <c r="AE519" s="61">
        <f t="shared" ca="1" si="116"/>
        <v>-0.20489462146680643</v>
      </c>
      <c r="AF519" s="61">
        <f t="shared" ca="1" si="116"/>
        <v>-7.154661457007476E-2</v>
      </c>
      <c r="AG519" s="61">
        <f t="shared" ca="1" si="116"/>
        <v>-1.6486242521334704</v>
      </c>
      <c r="AH519" s="19"/>
      <c r="AI519" s="61">
        <f ca="1"/>
        <v>-4.4429933301261644E-3</v>
      </c>
      <c r="AJ519" s="61">
        <f ca="1"/>
        <v>-4.7622183271555044E-3</v>
      </c>
      <c r="AK519" s="61">
        <f ca="1"/>
        <v>-4.5768973472694714E-2</v>
      </c>
      <c r="AL519" s="19"/>
      <c r="AM519" s="61">
        <f t="shared" ref="AM519:AM582" ca="1" si="120">AI519+T$3</f>
        <v>-4.0917770076159205E-3</v>
      </c>
      <c r="AN519" s="61">
        <f t="shared" ref="AN519:AN582" ca="1" si="121">AJ519+U$3</f>
        <v>-4.5131657302389739E-3</v>
      </c>
      <c r="AO519" s="61">
        <f t="shared" ref="AO519:AO582" ca="1" si="122">AK519+V$3</f>
        <v>-4.5337304869439897E-2</v>
      </c>
      <c r="AP519" s="19"/>
      <c r="AQ519" s="62">
        <f t="shared" ca="1" si="117"/>
        <v>0.90595282753623929</v>
      </c>
      <c r="AR519" s="62">
        <f t="shared" ca="1" si="118"/>
        <v>1.4377292359354996</v>
      </c>
      <c r="AS519" s="62">
        <f t="shared" ca="1" si="119"/>
        <v>0.7624427216311791</v>
      </c>
      <c r="AT519" s="49"/>
    </row>
    <row r="520" spans="1:46" x14ac:dyDescent="0.3">
      <c r="A520" s="5">
        <v>44217</v>
      </c>
      <c r="B520" s="6">
        <v>68.080001999999993</v>
      </c>
      <c r="C520" s="6">
        <v>107.889999</v>
      </c>
      <c r="D520" s="6">
        <v>58.860000999999997</v>
      </c>
      <c r="F520" s="13">
        <v>517</v>
      </c>
      <c r="G520" s="5">
        <v>44217</v>
      </c>
      <c r="H520" s="15">
        <f t="shared" si="115"/>
        <v>2.0628467008603137E-2</v>
      </c>
      <c r="I520" s="15">
        <f t="shared" si="115"/>
        <v>1.2122519120476894E-2</v>
      </c>
      <c r="J520" s="15">
        <f t="shared" si="115"/>
        <v>-2.8637961198062788E-2</v>
      </c>
      <c r="K520" s="22"/>
      <c r="L520" s="13">
        <v>517</v>
      </c>
      <c r="M520" s="5">
        <v>44217</v>
      </c>
      <c r="N520" s="26">
        <f t="shared" si="112"/>
        <v>1.2041033037831039</v>
      </c>
      <c r="O520" s="26">
        <f t="shared" si="113"/>
        <v>1.0232359346882409</v>
      </c>
      <c r="P520" s="26">
        <f t="shared" si="114"/>
        <v>0.77898362305409274</v>
      </c>
      <c r="Q520" s="22"/>
      <c r="AD520" s="59">
        <v>516</v>
      </c>
      <c r="AE520" s="61">
        <f t="shared" ca="1" si="116"/>
        <v>1.2834974332969311</v>
      </c>
      <c r="AF520" s="61">
        <f t="shared" ca="1" si="116"/>
        <v>0.39033127935640671</v>
      </c>
      <c r="AG520" s="61">
        <f t="shared" ca="1" si="116"/>
        <v>-0.8412789612627426</v>
      </c>
      <c r="AH520" s="19"/>
      <c r="AI520" s="61">
        <f ca="1"/>
        <v>2.7831723910313334E-2</v>
      </c>
      <c r="AJ520" s="61">
        <f ca="1"/>
        <v>2.8573983105454854E-2</v>
      </c>
      <c r="AK520" s="61">
        <f ca="1"/>
        <v>1.5973890125476134E-4</v>
      </c>
      <c r="AL520" s="19"/>
      <c r="AM520" s="61">
        <f t="shared" ca="1" si="120"/>
        <v>2.818294023282358E-2</v>
      </c>
      <c r="AN520" s="61">
        <f t="shared" ca="1" si="121"/>
        <v>2.8823035702371384E-2</v>
      </c>
      <c r="AO520" s="61">
        <f t="shared" ca="1" si="122"/>
        <v>5.9140750450957958E-4</v>
      </c>
      <c r="AP520" s="19"/>
      <c r="AQ520" s="62">
        <f t="shared" ca="1" si="117"/>
        <v>0.93184843510513549</v>
      </c>
      <c r="AR520" s="62">
        <f t="shared" ca="1" si="118"/>
        <v>1.4797719456930172</v>
      </c>
      <c r="AS520" s="62">
        <f t="shared" ca="1" si="119"/>
        <v>0.76289376934186437</v>
      </c>
      <c r="AT520" s="49"/>
    </row>
    <row r="521" spans="1:46" x14ac:dyDescent="0.3">
      <c r="A521" s="5">
        <v>44218</v>
      </c>
      <c r="B521" s="6">
        <v>68.309997999999993</v>
      </c>
      <c r="C521" s="6">
        <v>108.470001</v>
      </c>
      <c r="D521" s="6">
        <v>59.450001</v>
      </c>
      <c r="F521" s="13">
        <v>518</v>
      </c>
      <c r="G521" s="5">
        <v>44218</v>
      </c>
      <c r="H521" s="15">
        <f t="shared" si="115"/>
        <v>3.3726258231457067E-3</v>
      </c>
      <c r="I521" s="15">
        <f t="shared" si="115"/>
        <v>5.3614659767159401E-3</v>
      </c>
      <c r="J521" s="15">
        <f t="shared" si="115"/>
        <v>9.973880162855572E-3</v>
      </c>
      <c r="K521" s="22"/>
      <c r="L521" s="13">
        <v>518</v>
      </c>
      <c r="M521" s="5">
        <v>44218</v>
      </c>
      <c r="N521" s="26">
        <f t="shared" si="112"/>
        <v>1.2081711494840617</v>
      </c>
      <c r="O521" s="26">
        <f t="shared" si="113"/>
        <v>1.0287367122773763</v>
      </c>
      <c r="P521" s="26">
        <f t="shared" si="114"/>
        <v>0.78679198747464241</v>
      </c>
      <c r="Q521" s="22"/>
      <c r="AD521" s="59">
        <v>517</v>
      </c>
      <c r="AE521" s="61">
        <f t="shared" ca="1" si="116"/>
        <v>1.0646697188873455</v>
      </c>
      <c r="AF521" s="61">
        <f t="shared" ca="1" si="116"/>
        <v>-0.13120888216047205</v>
      </c>
      <c r="AG521" s="61">
        <f t="shared" ca="1" si="116"/>
        <v>0.78612747147741258</v>
      </c>
      <c r="AH521" s="19"/>
      <c r="AI521" s="61">
        <f ca="1"/>
        <v>2.3086601424381951E-2</v>
      </c>
      <c r="AJ521" s="61">
        <f ca="1"/>
        <v>1.3812611637488315E-2</v>
      </c>
      <c r="AK521" s="61">
        <f ca="1"/>
        <v>3.4947593603794638E-2</v>
      </c>
      <c r="AL521" s="19"/>
      <c r="AM521" s="61">
        <f t="shared" ca="1" si="120"/>
        <v>2.3437817746892197E-2</v>
      </c>
      <c r="AN521" s="61">
        <f t="shared" ca="1" si="121"/>
        <v>1.4061664234404846E-2</v>
      </c>
      <c r="AO521" s="61">
        <f t="shared" ca="1" si="122"/>
        <v>3.5379262207049456E-2</v>
      </c>
      <c r="AP521" s="19"/>
      <c r="AQ521" s="62">
        <f t="shared" ca="1" si="117"/>
        <v>0.95394688703424102</v>
      </c>
      <c r="AR521" s="62">
        <f t="shared" ca="1" si="118"/>
        <v>1.5007269880352891</v>
      </c>
      <c r="AS521" s="62">
        <f t="shared" ca="1" si="119"/>
        <v>0.79036752294602497</v>
      </c>
      <c r="AT521" s="49"/>
    </row>
    <row r="522" spans="1:46" x14ac:dyDescent="0.3">
      <c r="A522" s="5">
        <v>44221</v>
      </c>
      <c r="B522" s="6">
        <v>68.559997999999993</v>
      </c>
      <c r="C522" s="6">
        <v>109.489998</v>
      </c>
      <c r="D522" s="6">
        <v>59.41</v>
      </c>
      <c r="F522" s="13">
        <v>519</v>
      </c>
      <c r="G522" s="5">
        <v>44221</v>
      </c>
      <c r="H522" s="15">
        <f t="shared" si="115"/>
        <v>3.6531056525280076E-3</v>
      </c>
      <c r="I522" s="15">
        <f t="shared" si="115"/>
        <v>9.3595563475600621E-3</v>
      </c>
      <c r="J522" s="15">
        <f t="shared" si="115"/>
        <v>-6.7307758999851034E-4</v>
      </c>
      <c r="K522" s="22"/>
      <c r="L522" s="13">
        <v>519</v>
      </c>
      <c r="M522" s="5">
        <v>44221</v>
      </c>
      <c r="N522" s="26">
        <f t="shared" si="112"/>
        <v>1.2125927977963777</v>
      </c>
      <c r="O522" s="26">
        <f t="shared" si="113"/>
        <v>1.0384104317448704</v>
      </c>
      <c r="P522" s="26">
        <f t="shared" si="114"/>
        <v>0.78626259360144501</v>
      </c>
      <c r="Q522" s="22"/>
      <c r="AD522" s="59">
        <v>518</v>
      </c>
      <c r="AE522" s="61">
        <f t="shared" ca="1" si="116"/>
        <v>0.60349625337085822</v>
      </c>
      <c r="AF522" s="61">
        <f t="shared" ca="1" si="116"/>
        <v>0.18207299726085399</v>
      </c>
      <c r="AG522" s="61">
        <f t="shared" ca="1" si="116"/>
        <v>0.11575814592200377</v>
      </c>
      <c r="AH522" s="19"/>
      <c r="AI522" s="61">
        <f ca="1"/>
        <v>1.3086384646349716E-2</v>
      </c>
      <c r="AJ522" s="61">
        <f ca="1"/>
        <v>1.3403669165138951E-2</v>
      </c>
      <c r="AK522" s="61">
        <f ca="1"/>
        <v>1.316494711290446E-2</v>
      </c>
      <c r="AL522" s="19"/>
      <c r="AM522" s="61">
        <f t="shared" ca="1" si="120"/>
        <v>1.343760096885996E-2</v>
      </c>
      <c r="AN522" s="61">
        <f t="shared" ca="1" si="121"/>
        <v>1.3652721762055483E-2</v>
      </c>
      <c r="AO522" s="61">
        <f t="shared" ca="1" si="122"/>
        <v>1.3596615716159279E-2</v>
      </c>
      <c r="AP522" s="19"/>
      <c r="AQ522" s="62">
        <f t="shared" ca="1" si="117"/>
        <v>0.96685215840066174</v>
      </c>
      <c r="AR522" s="62">
        <f t="shared" ca="1" si="118"/>
        <v>1.5213565000992806</v>
      </c>
      <c r="AS522" s="62">
        <f t="shared" ca="1" si="119"/>
        <v>0.80118723548247939</v>
      </c>
      <c r="AT522" s="49"/>
    </row>
    <row r="523" spans="1:46" x14ac:dyDescent="0.3">
      <c r="A523" s="5">
        <v>44222</v>
      </c>
      <c r="B523" s="6">
        <v>67.610000999999997</v>
      </c>
      <c r="C523" s="6">
        <v>107.07</v>
      </c>
      <c r="D523" s="6">
        <v>58.150002000000001</v>
      </c>
      <c r="F523" s="13">
        <v>520</v>
      </c>
      <c r="G523" s="5">
        <v>44222</v>
      </c>
      <c r="H523" s="15">
        <f t="shared" si="115"/>
        <v>-1.3953329224697397E-2</v>
      </c>
      <c r="I523" s="15">
        <f t="shared" si="115"/>
        <v>-2.2350376448646365E-2</v>
      </c>
      <c r="J523" s="15">
        <f t="shared" si="115"/>
        <v>-2.1436649009168099E-2</v>
      </c>
      <c r="K523" s="22"/>
      <c r="L523" s="13">
        <v>520</v>
      </c>
      <c r="M523" s="5">
        <v>44222</v>
      </c>
      <c r="N523" s="26">
        <f t="shared" si="112"/>
        <v>1.1957905872693564</v>
      </c>
      <c r="O523" s="26">
        <f t="shared" si="113"/>
        <v>1.0154590095702007</v>
      </c>
      <c r="P523" s="26">
        <f t="shared" si="114"/>
        <v>0.76958712995201517</v>
      </c>
      <c r="Q523" s="22"/>
      <c r="AD523" s="59">
        <v>519</v>
      </c>
      <c r="AE523" s="61">
        <f t="shared" ca="1" si="116"/>
        <v>0.6569997361492822</v>
      </c>
      <c r="AF523" s="61">
        <f t="shared" ca="1" si="116"/>
        <v>-1.6732349258882526</v>
      </c>
      <c r="AG523" s="61">
        <f t="shared" ca="1" si="116"/>
        <v>-2.9347705839408159E-2</v>
      </c>
      <c r="AH523" s="19"/>
      <c r="AI523" s="61">
        <f ca="1"/>
        <v>1.42465694058192E-2</v>
      </c>
      <c r="AJ523" s="61">
        <f ca="1"/>
        <v>-2.6085881936319034E-2</v>
      </c>
      <c r="AK523" s="61">
        <f ca="1"/>
        <v>-2.8280482219920876E-3</v>
      </c>
      <c r="AL523" s="19"/>
      <c r="AM523" s="61">
        <f t="shared" ca="1" si="120"/>
        <v>1.4597785728329444E-2</v>
      </c>
      <c r="AN523" s="61">
        <f t="shared" ca="1" si="121"/>
        <v>-2.5836829339402505E-2</v>
      </c>
      <c r="AO523" s="61">
        <f t="shared" ca="1" si="122"/>
        <v>-2.3963796187372694E-3</v>
      </c>
      <c r="AP523" s="19"/>
      <c r="AQ523" s="62">
        <f t="shared" ca="1" si="117"/>
        <v>0.98106957799109473</v>
      </c>
      <c r="AR523" s="62">
        <f t="shared" ca="1" si="118"/>
        <v>1.4825529112538223</v>
      </c>
      <c r="AS523" s="62">
        <f t="shared" ca="1" si="119"/>
        <v>0.79926958534712389</v>
      </c>
      <c r="AT523" s="49"/>
    </row>
    <row r="524" spans="1:46" x14ac:dyDescent="0.3">
      <c r="A524" s="5">
        <v>44223</v>
      </c>
      <c r="B524" s="6">
        <v>65.480002999999996</v>
      </c>
      <c r="C524" s="6">
        <v>100.80999799999999</v>
      </c>
      <c r="D524" s="6">
        <v>58.73</v>
      </c>
      <c r="F524" s="13">
        <v>521</v>
      </c>
      <c r="G524" s="5">
        <v>44223</v>
      </c>
      <c r="H524" s="15">
        <f t="shared" si="115"/>
        <v>-3.2011117574848515E-2</v>
      </c>
      <c r="I524" s="15">
        <f t="shared" si="115"/>
        <v>-6.0245288943630383E-2</v>
      </c>
      <c r="J524" s="15">
        <f t="shared" si="115"/>
        <v>9.924756175946136E-3</v>
      </c>
      <c r="K524" s="22"/>
      <c r="L524" s="13">
        <v>521</v>
      </c>
      <c r="M524" s="5">
        <v>44223</v>
      </c>
      <c r="N524" s="26">
        <f t="shared" si="112"/>
        <v>1.15811817902161</v>
      </c>
      <c r="O524" s="26">
        <f t="shared" si="113"/>
        <v>0.95608873376159442</v>
      </c>
      <c r="P524" s="26">
        <f t="shared" si="114"/>
        <v>0.77726312274386244</v>
      </c>
      <c r="Q524" s="22"/>
      <c r="AD524" s="59">
        <v>520</v>
      </c>
      <c r="AE524" s="61">
        <f t="shared" ca="1" si="116"/>
        <v>-0.45602810090704082</v>
      </c>
      <c r="AF524" s="61">
        <f t="shared" ca="1" si="116"/>
        <v>0.89062113553390232</v>
      </c>
      <c r="AG524" s="61">
        <f t="shared" ca="1" si="116"/>
        <v>0.29093973565210163</v>
      </c>
      <c r="AH524" s="19"/>
      <c r="AI524" s="61">
        <f ca="1"/>
        <v>-9.8886432263343878E-3</v>
      </c>
      <c r="AJ524" s="61">
        <f ca="1"/>
        <v>1.2220650752327439E-2</v>
      </c>
      <c r="AK524" s="61">
        <f ca="1"/>
        <v>6.9879630888667931E-3</v>
      </c>
      <c r="AL524" s="19"/>
      <c r="AM524" s="61">
        <f t="shared" ca="1" si="120"/>
        <v>-9.5374269038241439E-3</v>
      </c>
      <c r="AN524" s="61">
        <f t="shared" ca="1" si="121"/>
        <v>1.2469703349243971E-2</v>
      </c>
      <c r="AO524" s="61">
        <f t="shared" ca="1" si="122"/>
        <v>7.4196316921216112E-3</v>
      </c>
      <c r="AP524" s="19"/>
      <c r="AQ524" s="62">
        <f t="shared" ca="1" si="117"/>
        <v>0.97175717736342093</v>
      </c>
      <c r="AR524" s="62">
        <f t="shared" ca="1" si="118"/>
        <v>1.5011556505270276</v>
      </c>
      <c r="AS524" s="62">
        <f t="shared" ca="1" si="119"/>
        <v>0.80522192607426346</v>
      </c>
      <c r="AT524" s="49"/>
    </row>
    <row r="525" spans="1:46" x14ac:dyDescent="0.3">
      <c r="A525" s="5">
        <v>44224</v>
      </c>
      <c r="B525" s="6">
        <v>64.800003000000004</v>
      </c>
      <c r="C525" s="6">
        <v>103.540001</v>
      </c>
      <c r="D525" s="6">
        <v>58.330002</v>
      </c>
      <c r="F525" s="13">
        <v>522</v>
      </c>
      <c r="G525" s="5">
        <v>44224</v>
      </c>
      <c r="H525" s="15">
        <f t="shared" si="115"/>
        <v>-1.0439148663924919E-2</v>
      </c>
      <c r="I525" s="15">
        <f t="shared" si="115"/>
        <v>2.6720483905310191E-2</v>
      </c>
      <c r="J525" s="15">
        <f t="shared" si="115"/>
        <v>-6.8340944812087757E-3</v>
      </c>
      <c r="K525" s="22"/>
      <c r="L525" s="13">
        <v>522</v>
      </c>
      <c r="M525" s="5">
        <v>44224</v>
      </c>
      <c r="N525" s="26">
        <f t="shared" si="112"/>
        <v>1.1460912956121103</v>
      </c>
      <c r="O525" s="26">
        <f t="shared" si="113"/>
        <v>0.98198026399885685</v>
      </c>
      <c r="P525" s="26">
        <f t="shared" si="114"/>
        <v>0.7719693428260811</v>
      </c>
      <c r="Q525" s="22"/>
      <c r="AD525" s="59">
        <v>521</v>
      </c>
      <c r="AE525" s="61">
        <f t="shared" ca="1" si="116"/>
        <v>-1.4603322672581525</v>
      </c>
      <c r="AF525" s="61">
        <f t="shared" ca="1" si="116"/>
        <v>-0.10610935805128575</v>
      </c>
      <c r="AG525" s="61">
        <f t="shared" ca="1" si="116"/>
        <v>-8.9724108499242117E-2</v>
      </c>
      <c r="AH525" s="19"/>
      <c r="AI525" s="61">
        <f ca="1"/>
        <v>-3.1666260816158642E-2</v>
      </c>
      <c r="AJ525" s="61">
        <f ca="1"/>
        <v>-2.5164008995004639E-2</v>
      </c>
      <c r="AK525" s="61">
        <f ca="1"/>
        <v>-2.4623205285892184E-2</v>
      </c>
      <c r="AL525" s="19"/>
      <c r="AM525" s="61">
        <f t="shared" ca="1" si="120"/>
        <v>-3.13150444936484E-2</v>
      </c>
      <c r="AN525" s="61">
        <f t="shared" ca="1" si="121"/>
        <v>-2.491495639808811E-2</v>
      </c>
      <c r="AO525" s="61">
        <f t="shared" ca="1" si="122"/>
        <v>-2.4191536682637366E-2</v>
      </c>
      <c r="AP525" s="19"/>
      <c r="AQ525" s="62">
        <f t="shared" ca="1" si="117"/>
        <v>0.9417980913692624</v>
      </c>
      <c r="AR525" s="62">
        <f t="shared" ca="1" si="118"/>
        <v>1.4642165024069334</v>
      </c>
      <c r="AS525" s="62">
        <f t="shared" ca="1" si="119"/>
        <v>0.78597610193664746</v>
      </c>
      <c r="AT525" s="49"/>
    </row>
    <row r="526" spans="1:46" x14ac:dyDescent="0.3">
      <c r="A526" s="5">
        <v>44225</v>
      </c>
      <c r="B526" s="6">
        <v>67.5</v>
      </c>
      <c r="C526" s="6">
        <v>101.050003</v>
      </c>
      <c r="D526" s="6">
        <v>56.43</v>
      </c>
      <c r="F526" s="13">
        <v>523</v>
      </c>
      <c r="G526" s="5">
        <v>44225</v>
      </c>
      <c r="H526" s="15">
        <f t="shared" si="115"/>
        <v>4.0821948223959757E-2</v>
      </c>
      <c r="I526" s="15">
        <f t="shared" si="115"/>
        <v>-2.4342547593955682E-2</v>
      </c>
      <c r="J526" s="15">
        <f t="shared" si="115"/>
        <v>-3.3115643072170527E-2</v>
      </c>
      <c r="K526" s="22"/>
      <c r="L526" s="13">
        <v>523</v>
      </c>
      <c r="M526" s="5">
        <v>44225</v>
      </c>
      <c r="N526" s="26">
        <f t="shared" si="112"/>
        <v>1.1938450443253441</v>
      </c>
      <c r="O526" s="26">
        <f t="shared" si="113"/>
        <v>0.95836495716303194</v>
      </c>
      <c r="P526" s="26">
        <f t="shared" si="114"/>
        <v>0.74682373601968599</v>
      </c>
      <c r="Q526" s="22"/>
      <c r="AD526" s="59">
        <v>522</v>
      </c>
      <c r="AE526" s="61">
        <f t="shared" ca="1" si="116"/>
        <v>0.55797834377437461</v>
      </c>
      <c r="AF526" s="61">
        <f t="shared" ca="1" si="116"/>
        <v>4.9232299155321166E-2</v>
      </c>
      <c r="AG526" s="61">
        <f t="shared" ca="1" si="116"/>
        <v>-0.21285395879670241</v>
      </c>
      <c r="AH526" s="19"/>
      <c r="AI526" s="61">
        <f ca="1"/>
        <v>1.2099361330214378E-2</v>
      </c>
      <c r="AJ526" s="61">
        <f ca="1"/>
        <v>9.8037797091733592E-3</v>
      </c>
      <c r="AK526" s="61">
        <f ca="1"/>
        <v>3.1378423777949967E-3</v>
      </c>
      <c r="AL526" s="19"/>
      <c r="AM526" s="61">
        <f t="shared" ca="1" si="120"/>
        <v>1.2450577652724622E-2</v>
      </c>
      <c r="AN526" s="61">
        <f t="shared" ca="1" si="121"/>
        <v>1.0052832306089891E-2</v>
      </c>
      <c r="AO526" s="61">
        <f t="shared" ca="1" si="122"/>
        <v>3.5695109810498149E-3</v>
      </c>
      <c r="AP526" s="19"/>
      <c r="AQ526" s="62">
        <f t="shared" ca="1" si="117"/>
        <v>0.95359732283992993</v>
      </c>
      <c r="AR526" s="62">
        <f t="shared" ca="1" si="118"/>
        <v>1.4790102603621955</v>
      </c>
      <c r="AS526" s="62">
        <f t="shared" ca="1" si="119"/>
        <v>0.78878666544780018</v>
      </c>
      <c r="AT526" s="49"/>
    </row>
    <row r="527" spans="1:46" x14ac:dyDescent="0.3">
      <c r="A527" s="5">
        <v>44228</v>
      </c>
      <c r="B527" s="6">
        <v>68.699996999999996</v>
      </c>
      <c r="C527" s="6">
        <v>102.480003</v>
      </c>
      <c r="D527" s="6">
        <v>56.240001999999997</v>
      </c>
      <c r="F527" s="13">
        <v>524</v>
      </c>
      <c r="G527" s="5">
        <v>44228</v>
      </c>
      <c r="H527" s="15">
        <f t="shared" si="115"/>
        <v>1.7621557681696282E-2</v>
      </c>
      <c r="I527" s="15">
        <f t="shared" si="115"/>
        <v>1.4052213324580291E-2</v>
      </c>
      <c r="J527" s="15">
        <f t="shared" si="115"/>
        <v>-3.3726489167622341E-3</v>
      </c>
      <c r="K527" s="22"/>
      <c r="L527" s="13">
        <v>524</v>
      </c>
      <c r="M527" s="5">
        <v>44228</v>
      </c>
      <c r="N527" s="26">
        <f t="shared" si="112"/>
        <v>1.2150689031646815</v>
      </c>
      <c r="O527" s="26">
        <f t="shared" si="113"/>
        <v>0.9719271723837789</v>
      </c>
      <c r="P527" s="26">
        <f t="shared" si="114"/>
        <v>0.74430920445498161</v>
      </c>
      <c r="Q527" s="22"/>
      <c r="AD527" s="59">
        <v>523</v>
      </c>
      <c r="AE527" s="61">
        <f t="shared" ca="1" si="116"/>
        <v>-0.79792573515188558</v>
      </c>
      <c r="AF527" s="61">
        <f t="shared" ca="1" si="116"/>
        <v>-1.5407766510397651E-2</v>
      </c>
      <c r="AG527" s="61">
        <f t="shared" ca="1" si="116"/>
        <v>-0.71606493692811068</v>
      </c>
      <c r="AH527" s="19"/>
      <c r="AI527" s="61">
        <f ca="1"/>
        <v>-1.7302448906840504E-2</v>
      </c>
      <c r="AJ527" s="61">
        <f ca="1"/>
        <v>-1.282430672424377E-2</v>
      </c>
      <c r="AK527" s="61">
        <f ca="1"/>
        <v>-3.0243848580258303E-2</v>
      </c>
      <c r="AL527" s="19"/>
      <c r="AM527" s="61">
        <f t="shared" ca="1" si="120"/>
        <v>-1.6951232584330258E-2</v>
      </c>
      <c r="AN527" s="61">
        <f t="shared" ca="1" si="121"/>
        <v>-1.2575254127327238E-2</v>
      </c>
      <c r="AO527" s="61">
        <f t="shared" ca="1" si="122"/>
        <v>-2.9812179977003486E-2</v>
      </c>
      <c r="AP527" s="19"/>
      <c r="AQ527" s="62">
        <f t="shared" ca="1" si="117"/>
        <v>0.93756890733258347</v>
      </c>
      <c r="AR527" s="62">
        <f t="shared" ca="1" si="118"/>
        <v>1.4605277849567635</v>
      </c>
      <c r="AS527" s="62">
        <f t="shared" ca="1" si="119"/>
        <v>0.7656182813463801</v>
      </c>
      <c r="AT527" s="49"/>
    </row>
    <row r="528" spans="1:46" x14ac:dyDescent="0.3">
      <c r="A528" s="5">
        <v>44229</v>
      </c>
      <c r="B528" s="6">
        <v>67.5</v>
      </c>
      <c r="C528" s="6">
        <v>103.43</v>
      </c>
      <c r="D528" s="6">
        <v>57.77</v>
      </c>
      <c r="F528" s="13">
        <v>525</v>
      </c>
      <c r="G528" s="5">
        <v>44229</v>
      </c>
      <c r="H528" s="15">
        <f t="shared" si="115"/>
        <v>-1.7621557681696251E-2</v>
      </c>
      <c r="I528" s="15">
        <f t="shared" si="115"/>
        <v>9.2273685272293519E-3</v>
      </c>
      <c r="J528" s="15">
        <f t="shared" si="115"/>
        <v>2.6841326728887782E-2</v>
      </c>
      <c r="K528" s="22"/>
      <c r="L528" s="13">
        <v>525</v>
      </c>
      <c r="M528" s="5">
        <v>44229</v>
      </c>
      <c r="N528" s="26">
        <f t="shared" si="112"/>
        <v>1.1938450443253441</v>
      </c>
      <c r="O528" s="26">
        <f t="shared" si="113"/>
        <v>0.98093700719011745</v>
      </c>
      <c r="P528" s="26">
        <f t="shared" si="114"/>
        <v>0.76455798741551062</v>
      </c>
      <c r="Q528" s="22"/>
      <c r="AD528" s="59">
        <v>524</v>
      </c>
      <c r="AE528" s="61">
        <f t="shared" ca="1" si="116"/>
        <v>0.17079076677146882</v>
      </c>
      <c r="AF528" s="61">
        <f t="shared" ca="1" si="116"/>
        <v>-1.3702570247127819</v>
      </c>
      <c r="AG528" s="61">
        <f t="shared" ca="1" si="116"/>
        <v>0.16367911363118509</v>
      </c>
      <c r="AH528" s="19"/>
      <c r="AI528" s="61">
        <f ca="1"/>
        <v>3.7034756314269618E-3</v>
      </c>
      <c r="AJ528" s="61">
        <f ca="1"/>
        <v>-2.7110656027679488E-2</v>
      </c>
      <c r="AK528" s="61">
        <f ca="1"/>
        <v>-2.9330028352070143E-3</v>
      </c>
      <c r="AL528" s="19"/>
      <c r="AM528" s="61">
        <f t="shared" ca="1" si="120"/>
        <v>4.0546919539372062E-3</v>
      </c>
      <c r="AN528" s="61">
        <f t="shared" ca="1" si="121"/>
        <v>-2.6861603430762958E-2</v>
      </c>
      <c r="AO528" s="61">
        <f t="shared" ca="1" si="122"/>
        <v>-2.5013342319521962E-3</v>
      </c>
      <c r="AP528" s="19"/>
      <c r="AQ528" s="62">
        <f t="shared" ca="1" si="117"/>
        <v>0.94137817792795686</v>
      </c>
      <c r="AR528" s="62">
        <f t="shared" ca="1" si="118"/>
        <v>1.4218178991497821</v>
      </c>
      <c r="AS528" s="62">
        <f t="shared" ca="1" si="119"/>
        <v>0.76370560724648828</v>
      </c>
      <c r="AT528" s="49"/>
    </row>
    <row r="529" spans="1:46" x14ac:dyDescent="0.3">
      <c r="A529" s="5">
        <v>44230</v>
      </c>
      <c r="B529" s="6">
        <v>70.300003000000004</v>
      </c>
      <c r="C529" s="6">
        <v>105.19000200000001</v>
      </c>
      <c r="D529" s="6">
        <v>60.099997999999999</v>
      </c>
      <c r="F529" s="13">
        <v>526</v>
      </c>
      <c r="G529" s="5">
        <v>44230</v>
      </c>
      <c r="H529" s="15">
        <f t="shared" si="115"/>
        <v>4.0644243612387464E-2</v>
      </c>
      <c r="I529" s="15">
        <f t="shared" si="115"/>
        <v>1.6873202374684385E-2</v>
      </c>
      <c r="J529" s="15">
        <f t="shared" si="115"/>
        <v>3.9540198470116986E-2</v>
      </c>
      <c r="K529" s="22"/>
      <c r="L529" s="13">
        <v>526</v>
      </c>
      <c r="M529" s="5">
        <v>44230</v>
      </c>
      <c r="N529" s="26">
        <f t="shared" si="112"/>
        <v>1.2433675584830641</v>
      </c>
      <c r="O529" s="26">
        <f t="shared" si="113"/>
        <v>0.9976289833530162</v>
      </c>
      <c r="P529" s="26">
        <f t="shared" si="114"/>
        <v>0.79539438314966615</v>
      </c>
      <c r="Q529" s="22"/>
      <c r="AD529" s="59">
        <v>525</v>
      </c>
      <c r="AE529" s="61">
        <f t="shared" ca="1" si="116"/>
        <v>-0.26923473318478136</v>
      </c>
      <c r="AF529" s="61">
        <f t="shared" ca="1" si="116"/>
        <v>0.5927088857873366</v>
      </c>
      <c r="AG529" s="61">
        <f t="shared" ca="1" si="116"/>
        <v>0.40618209206696976</v>
      </c>
      <c r="AH529" s="19"/>
      <c r="AI529" s="61">
        <f ca="1"/>
        <v>-5.838162638017663E-3</v>
      </c>
      <c r="AJ529" s="61">
        <f ca="1"/>
        <v>8.6689777573515335E-3</v>
      </c>
      <c r="AK529" s="61">
        <f ca="1"/>
        <v>1.0602405789679595E-2</v>
      </c>
      <c r="AL529" s="19"/>
      <c r="AM529" s="61">
        <f t="shared" ca="1" si="120"/>
        <v>-5.4869463155074192E-3</v>
      </c>
      <c r="AN529" s="61">
        <f t="shared" ca="1" si="121"/>
        <v>8.9180303542680649E-3</v>
      </c>
      <c r="AO529" s="61">
        <f t="shared" ca="1" si="122"/>
        <v>1.1034074392934414E-2</v>
      </c>
      <c r="AP529" s="19"/>
      <c r="AQ529" s="62">
        <f t="shared" ca="1" si="117"/>
        <v>0.93622703135903007</v>
      </c>
      <c r="AR529" s="62">
        <f t="shared" ca="1" si="118"/>
        <v>1.4345544222700002</v>
      </c>
      <c r="AS529" s="62">
        <f t="shared" ca="1" si="119"/>
        <v>0.77217905408195264</v>
      </c>
      <c r="AT529" s="49"/>
    </row>
    <row r="530" spans="1:46" x14ac:dyDescent="0.3">
      <c r="A530" s="5">
        <v>44231</v>
      </c>
      <c r="B530" s="6">
        <v>70.370002999999997</v>
      </c>
      <c r="C530" s="6">
        <v>107.83000199999999</v>
      </c>
      <c r="D530" s="6">
        <v>61.060001</v>
      </c>
      <c r="F530" s="13">
        <v>527</v>
      </c>
      <c r="G530" s="5">
        <v>44231</v>
      </c>
      <c r="H530" s="15">
        <f t="shared" si="115"/>
        <v>9.9523711938831255E-4</v>
      </c>
      <c r="I530" s="15">
        <f t="shared" si="115"/>
        <v>2.4787673677297863E-2</v>
      </c>
      <c r="J530" s="15">
        <f t="shared" si="115"/>
        <v>1.5847195420774285E-2</v>
      </c>
      <c r="K530" s="22"/>
      <c r="L530" s="13">
        <v>527</v>
      </c>
      <c r="M530" s="5">
        <v>44231</v>
      </c>
      <c r="N530" s="26">
        <f t="shared" si="112"/>
        <v>1.2446056200105127</v>
      </c>
      <c r="O530" s="26">
        <f t="shared" si="113"/>
        <v>1.0226669191451645</v>
      </c>
      <c r="P530" s="26">
        <f t="shared" si="114"/>
        <v>0.80809955818156598</v>
      </c>
      <c r="Q530" s="22"/>
      <c r="AD530" s="59">
        <v>526</v>
      </c>
      <c r="AE530" s="61">
        <f t="shared" ca="1" si="116"/>
        <v>8.0494281804098053E-2</v>
      </c>
      <c r="AF530" s="61">
        <f t="shared" ca="1" si="116"/>
        <v>2.3690882915928236E-4</v>
      </c>
      <c r="AG530" s="61">
        <f t="shared" ca="1" si="116"/>
        <v>-1.2907394365411797</v>
      </c>
      <c r="AH530" s="19"/>
      <c r="AI530" s="61">
        <f ca="1"/>
        <v>1.7454609330818456E-3</v>
      </c>
      <c r="AJ530" s="61">
        <f ca="1"/>
        <v>1.2650731537417761E-3</v>
      </c>
      <c r="AK530" s="61">
        <f ca="1"/>
        <v>-3.1877671036667964E-2</v>
      </c>
      <c r="AL530" s="19"/>
      <c r="AM530" s="61">
        <f t="shared" ca="1" si="120"/>
        <v>2.0966772555920899E-3</v>
      </c>
      <c r="AN530" s="61">
        <f t="shared" ca="1" si="121"/>
        <v>1.5141257506583066E-3</v>
      </c>
      <c r="AO530" s="61">
        <f t="shared" ca="1" si="122"/>
        <v>-3.1446002433413146E-2</v>
      </c>
      <c r="AP530" s="19"/>
      <c r="AQ530" s="62">
        <f t="shared" ca="1" si="117"/>
        <v>0.93819205657372484</v>
      </c>
      <c r="AR530" s="62">
        <f t="shared" ca="1" si="118"/>
        <v>1.436728163304829</v>
      </c>
      <c r="AS530" s="62">
        <f t="shared" ca="1" si="119"/>
        <v>0.74827492410258789</v>
      </c>
      <c r="AT530" s="49"/>
    </row>
    <row r="531" spans="1:46" x14ac:dyDescent="0.3">
      <c r="A531" s="5">
        <v>44232</v>
      </c>
      <c r="B531" s="6">
        <v>70.819999999999993</v>
      </c>
      <c r="C531" s="6">
        <v>108.5</v>
      </c>
      <c r="D531" s="6">
        <v>61.720001000000003</v>
      </c>
      <c r="F531" s="13">
        <v>528</v>
      </c>
      <c r="G531" s="5">
        <v>44232</v>
      </c>
      <c r="H531" s="15">
        <f t="shared" si="115"/>
        <v>6.374368073497577E-3</v>
      </c>
      <c r="I531" s="15">
        <f t="shared" si="115"/>
        <v>6.194241538819447E-3</v>
      </c>
      <c r="J531" s="15">
        <f t="shared" si="115"/>
        <v>1.0751040013098189E-2</v>
      </c>
      <c r="K531" s="22"/>
      <c r="L531" s="13">
        <v>528</v>
      </c>
      <c r="M531" s="5">
        <v>44232</v>
      </c>
      <c r="N531" s="26">
        <f t="shared" si="112"/>
        <v>1.2525645339129017</v>
      </c>
      <c r="O531" s="26">
        <f t="shared" si="113"/>
        <v>1.0290212247909478</v>
      </c>
      <c r="P531" s="26">
        <f t="shared" si="114"/>
        <v>0.81683433871980793</v>
      </c>
      <c r="Q531" s="22"/>
      <c r="AD531" s="59">
        <v>527</v>
      </c>
      <c r="AE531" s="61">
        <f t="shared" ca="1" si="116"/>
        <v>0.84300886410042319</v>
      </c>
      <c r="AF531" s="61">
        <f t="shared" ca="1" si="116"/>
        <v>0.33391196578380711</v>
      </c>
      <c r="AG531" s="61">
        <f t="shared" ca="1" si="116"/>
        <v>1.2685033173837565</v>
      </c>
      <c r="AH531" s="19"/>
      <c r="AI531" s="61">
        <f ca="1"/>
        <v>1.8280044315571231E-2</v>
      </c>
      <c r="AJ531" s="61">
        <f ca="1"/>
        <v>2.0452975977922096E-2</v>
      </c>
      <c r="AK531" s="61">
        <f ca="1"/>
        <v>4.7306476238101941E-2</v>
      </c>
      <c r="AL531" s="19"/>
      <c r="AM531" s="61">
        <f t="shared" ca="1" si="120"/>
        <v>1.8631260638081477E-2</v>
      </c>
      <c r="AN531" s="61">
        <f t="shared" ca="1" si="121"/>
        <v>2.0702028574838625E-2</v>
      </c>
      <c r="AO531" s="61">
        <f t="shared" ca="1" si="122"/>
        <v>4.7738144841356758E-2</v>
      </c>
      <c r="AP531" s="19"/>
      <c r="AQ531" s="62">
        <f t="shared" ca="1" si="117"/>
        <v>0.95583560773661103</v>
      </c>
      <c r="AR531" s="62">
        <f t="shared" ca="1" si="118"/>
        <v>1.4667813585217726</v>
      </c>
      <c r="AS531" s="62">
        <f t="shared" ca="1" si="119"/>
        <v>0.78486254526665156</v>
      </c>
      <c r="AT531" s="49"/>
    </row>
    <row r="532" spans="1:46" x14ac:dyDescent="0.3">
      <c r="A532" s="5">
        <v>44235</v>
      </c>
      <c r="B532" s="6">
        <v>72.099997999999999</v>
      </c>
      <c r="C532" s="6">
        <v>110.209999</v>
      </c>
      <c r="D532" s="6">
        <v>64.790001000000004</v>
      </c>
      <c r="F532" s="13">
        <v>529</v>
      </c>
      <c r="G532" s="5">
        <v>44235</v>
      </c>
      <c r="H532" s="15">
        <f t="shared" si="115"/>
        <v>1.7912569867894409E-2</v>
      </c>
      <c r="I532" s="15">
        <f t="shared" si="115"/>
        <v>1.5637454649349496E-2</v>
      </c>
      <c r="J532" s="15">
        <f t="shared" si="115"/>
        <v>4.8543242199182858E-2</v>
      </c>
      <c r="K532" s="22"/>
      <c r="L532" s="13">
        <v>529</v>
      </c>
      <c r="M532" s="5">
        <v>44235</v>
      </c>
      <c r="N532" s="26">
        <f t="shared" si="112"/>
        <v>1.2752033378987737</v>
      </c>
      <c r="O532" s="26">
        <f t="shared" si="113"/>
        <v>1.0452389691722501</v>
      </c>
      <c r="P532" s="26">
        <f t="shared" si="114"/>
        <v>0.85746430273859997</v>
      </c>
      <c r="Q532" s="22"/>
      <c r="AD532" s="59">
        <v>528</v>
      </c>
      <c r="AE532" s="61">
        <f t="shared" ca="1" si="116"/>
        <v>7.6173846695482925E-2</v>
      </c>
      <c r="AF532" s="61">
        <f t="shared" ca="1" si="116"/>
        <v>-0.13265972697753706</v>
      </c>
      <c r="AG532" s="61">
        <f t="shared" ca="1" si="116"/>
        <v>1.7305057186975676</v>
      </c>
      <c r="AH532" s="19"/>
      <c r="AI532" s="61">
        <f ca="1"/>
        <v>1.6517753876370636E-3</v>
      </c>
      <c r="AJ532" s="61">
        <f ca="1"/>
        <v>-1.6911953730321535E-3</v>
      </c>
      <c r="AK532" s="61">
        <f ca="1"/>
        <v>4.4526738103429837E-2</v>
      </c>
      <c r="AL532" s="19"/>
      <c r="AM532" s="61">
        <f t="shared" ca="1" si="120"/>
        <v>2.0029917101473077E-3</v>
      </c>
      <c r="AN532" s="61">
        <f t="shared" ca="1" si="121"/>
        <v>-1.4421427761156227E-3</v>
      </c>
      <c r="AO532" s="61">
        <f t="shared" ca="1" si="122"/>
        <v>4.4958406706684655E-2</v>
      </c>
      <c r="AP532" s="19"/>
      <c r="AQ532" s="62">
        <f t="shared" ca="1" si="117"/>
        <v>0.9577520572106466</v>
      </c>
      <c r="AR532" s="62">
        <f t="shared" ca="1" si="118"/>
        <v>1.4646675749366529</v>
      </c>
      <c r="AS532" s="62">
        <f t="shared" ca="1" si="119"/>
        <v>0.82095394165955438</v>
      </c>
      <c r="AT532" s="49"/>
    </row>
    <row r="533" spans="1:46" x14ac:dyDescent="0.3">
      <c r="A533" s="5">
        <v>44236</v>
      </c>
      <c r="B533" s="6">
        <v>72.190002000000007</v>
      </c>
      <c r="C533" s="6">
        <v>110.360001</v>
      </c>
      <c r="D533" s="6">
        <v>64.589995999999999</v>
      </c>
      <c r="F533" s="13">
        <v>530</v>
      </c>
      <c r="G533" s="5">
        <v>44236</v>
      </c>
      <c r="H533" s="15">
        <f t="shared" si="115"/>
        <v>1.2475433040856762E-3</v>
      </c>
      <c r="I533" s="15">
        <f t="shared" si="115"/>
        <v>1.3601307804756127E-3</v>
      </c>
      <c r="J533" s="15">
        <f t="shared" si="115"/>
        <v>-3.0917477810581944E-3</v>
      </c>
      <c r="K533" s="22"/>
      <c r="L533" s="13">
        <v>530</v>
      </c>
      <c r="M533" s="5">
        <v>44236</v>
      </c>
      <c r="N533" s="26">
        <f t="shared" si="112"/>
        <v>1.2767952020375806</v>
      </c>
      <c r="O533" s="26">
        <f t="shared" si="113"/>
        <v>1.0466615981285736</v>
      </c>
      <c r="P533" s="26">
        <f t="shared" si="114"/>
        <v>0.85481733337261345</v>
      </c>
      <c r="Q533" s="22"/>
      <c r="AD533" s="59">
        <v>529</v>
      </c>
      <c r="AE533" s="61">
        <f t="shared" ca="1" si="116"/>
        <v>8.0068528429627899E-3</v>
      </c>
      <c r="AF533" s="61">
        <f t="shared" ca="1" si="116"/>
        <v>-1.4832381434427706</v>
      </c>
      <c r="AG533" s="61">
        <f t="shared" ca="1" si="116"/>
        <v>0.29139886498024536</v>
      </c>
      <c r="AH533" s="19"/>
      <c r="AI533" s="61">
        <f ca="1"/>
        <v>1.736228775646439E-4</v>
      </c>
      <c r="AJ533" s="61">
        <f ca="1"/>
        <v>-3.2114364442656675E-2</v>
      </c>
      <c r="AK533" s="61">
        <f ca="1"/>
        <v>-2.861714842459776E-3</v>
      </c>
      <c r="AL533" s="19"/>
      <c r="AM533" s="61">
        <f t="shared" ca="1" si="120"/>
        <v>5.2483920007488812E-4</v>
      </c>
      <c r="AN533" s="61">
        <f t="shared" ca="1" si="121"/>
        <v>-3.1865311845740145E-2</v>
      </c>
      <c r="AO533" s="61">
        <f t="shared" ca="1" si="122"/>
        <v>-2.4300462392049579E-3</v>
      </c>
      <c r="AP533" s="19"/>
      <c r="AQ533" s="62">
        <f t="shared" ca="1" si="117"/>
        <v>0.95825485496666751</v>
      </c>
      <c r="AR533" s="62">
        <f t="shared" ca="1" si="118"/>
        <v>1.4187312603110143</v>
      </c>
      <c r="AS533" s="62">
        <f t="shared" ca="1" si="119"/>
        <v>0.818961407576555</v>
      </c>
      <c r="AT533" s="49"/>
    </row>
    <row r="534" spans="1:46" x14ac:dyDescent="0.3">
      <c r="A534" s="5">
        <v>44237</v>
      </c>
      <c r="B534" s="6">
        <v>73.010002</v>
      </c>
      <c r="C534" s="6">
        <v>112.160004</v>
      </c>
      <c r="D534" s="6">
        <v>65.110000999999997</v>
      </c>
      <c r="F534" s="13">
        <v>531</v>
      </c>
      <c r="G534" s="5">
        <v>44237</v>
      </c>
      <c r="H534" s="15">
        <f t="shared" si="115"/>
        <v>1.129488560576407E-2</v>
      </c>
      <c r="I534" s="15">
        <f t="shared" si="115"/>
        <v>1.6178700539278095E-2</v>
      </c>
      <c r="J534" s="15">
        <f t="shared" si="115"/>
        <v>8.0186244921061477E-3</v>
      </c>
      <c r="K534" s="22"/>
      <c r="L534" s="13">
        <v>531</v>
      </c>
      <c r="M534" s="5">
        <v>44237</v>
      </c>
      <c r="N534" s="26">
        <f t="shared" si="112"/>
        <v>1.2912982085019773</v>
      </c>
      <c r="O534" s="26">
        <f t="shared" si="113"/>
        <v>1.0637329464390564</v>
      </c>
      <c r="P534" s="26">
        <f t="shared" si="114"/>
        <v>0.86169934784805058</v>
      </c>
      <c r="Q534" s="22"/>
      <c r="AD534" s="59">
        <v>530</v>
      </c>
      <c r="AE534" s="61">
        <f t="shared" ca="1" si="116"/>
        <v>-4.9326473485936575E-3</v>
      </c>
      <c r="AF534" s="61">
        <f t="shared" ca="1" si="116"/>
        <v>-0.7266536055333207</v>
      </c>
      <c r="AG534" s="61">
        <f t="shared" ca="1" si="116"/>
        <v>0.380733789353422</v>
      </c>
      <c r="AH534" s="19"/>
      <c r="AI534" s="61">
        <f ca="1"/>
        <v>-1.0696093002722643E-4</v>
      </c>
      <c r="AJ534" s="61">
        <f ca="1"/>
        <v>-1.5871763030997972E-2</v>
      </c>
      <c r="AK534" s="61">
        <f ca="1"/>
        <v>4.5640705891031872E-3</v>
      </c>
      <c r="AL534" s="19"/>
      <c r="AM534" s="61">
        <f t="shared" ca="1" si="120"/>
        <v>2.4425539248301779E-4</v>
      </c>
      <c r="AN534" s="61">
        <f t="shared" ca="1" si="121"/>
        <v>-1.5622710434081441E-2</v>
      </c>
      <c r="AO534" s="61">
        <f t="shared" ca="1" si="122"/>
        <v>4.9957391923580053E-3</v>
      </c>
      <c r="AP534" s="19"/>
      <c r="AQ534" s="62">
        <f t="shared" ca="1" si="117"/>
        <v>0.95848894246976979</v>
      </c>
      <c r="AR534" s="62">
        <f t="shared" ca="1" si="118"/>
        <v>1.3967390687668941</v>
      </c>
      <c r="AS534" s="62">
        <f t="shared" ca="1" si="119"/>
        <v>0.82306296179464833</v>
      </c>
      <c r="AT534" s="49"/>
    </row>
    <row r="535" spans="1:46" x14ac:dyDescent="0.3">
      <c r="A535" s="5">
        <v>44238</v>
      </c>
      <c r="B535" s="6">
        <v>73.059997999999993</v>
      </c>
      <c r="C535" s="6">
        <v>113.44000200000001</v>
      </c>
      <c r="D535" s="6">
        <v>64.550003000000004</v>
      </c>
      <c r="F535" s="13">
        <v>532</v>
      </c>
      <c r="G535" s="5">
        <v>44238</v>
      </c>
      <c r="H535" s="15">
        <f t="shared" si="115"/>
        <v>6.8454853087386558E-4</v>
      </c>
      <c r="I535" s="15">
        <f t="shared" si="115"/>
        <v>1.1347621464665315E-2</v>
      </c>
      <c r="J535" s="15">
        <f t="shared" si="115"/>
        <v>-8.6379988391435871E-3</v>
      </c>
      <c r="K535" s="22"/>
      <c r="L535" s="13">
        <v>532</v>
      </c>
      <c r="M535" s="5">
        <v>44238</v>
      </c>
      <c r="N535" s="26">
        <f t="shared" si="112"/>
        <v>1.2921824674180673</v>
      </c>
      <c r="O535" s="26">
        <f t="shared" si="113"/>
        <v>1.0758725327034799</v>
      </c>
      <c r="P535" s="26">
        <f t="shared" si="114"/>
        <v>0.85428804537554393</v>
      </c>
      <c r="Q535" s="22"/>
      <c r="AD535" s="59">
        <v>531</v>
      </c>
      <c r="AE535" s="61">
        <f t="shared" ca="1" si="116"/>
        <v>1.379784264294631</v>
      </c>
      <c r="AF535" s="61">
        <f t="shared" ca="1" si="116"/>
        <v>1.3297928786051898</v>
      </c>
      <c r="AG535" s="61">
        <f t="shared" ca="1" si="116"/>
        <v>7.8164950522459961E-2</v>
      </c>
      <c r="AH535" s="19"/>
      <c r="AI535" s="61">
        <f ca="1"/>
        <v>2.991963497815496E-2</v>
      </c>
      <c r="AJ535" s="61">
        <f ca="1"/>
        <v>5.0501250988569224E-2</v>
      </c>
      <c r="AK535" s="61">
        <f ca="1"/>
        <v>3.1754662529557498E-2</v>
      </c>
      <c r="AL535" s="19"/>
      <c r="AM535" s="61">
        <f t="shared" ca="1" si="120"/>
        <v>3.0270851300665206E-2</v>
      </c>
      <c r="AN535" s="61">
        <f t="shared" ca="1" si="121"/>
        <v>5.0750303585485754E-2</v>
      </c>
      <c r="AO535" s="61">
        <f t="shared" ca="1" si="122"/>
        <v>3.2186331132812315E-2</v>
      </c>
      <c r="AP535" s="19"/>
      <c r="AQ535" s="62">
        <f t="shared" ca="1" si="117"/>
        <v>0.98794682696052705</v>
      </c>
      <c r="AR535" s="62">
        <f t="shared" ca="1" si="118"/>
        <v>1.4694535349147251</v>
      </c>
      <c r="AS535" s="62">
        <f t="shared" ca="1" si="119"/>
        <v>0.84998527998681928</v>
      </c>
      <c r="AT535" s="49"/>
    </row>
    <row r="536" spans="1:46" x14ac:dyDescent="0.3">
      <c r="A536" s="5">
        <v>44239</v>
      </c>
      <c r="B536" s="6">
        <v>73.779999000000004</v>
      </c>
      <c r="C536" s="6">
        <v>110.699997</v>
      </c>
      <c r="D536" s="6">
        <v>64.739998</v>
      </c>
      <c r="F536" s="13">
        <v>533</v>
      </c>
      <c r="G536" s="5">
        <v>44239</v>
      </c>
      <c r="H536" s="15">
        <f t="shared" si="115"/>
        <v>9.8066846223453033E-3</v>
      </c>
      <c r="I536" s="15">
        <f t="shared" si="115"/>
        <v>-2.4450267799962924E-2</v>
      </c>
      <c r="J536" s="15">
        <f t="shared" si="115"/>
        <v>2.9390538370450414E-3</v>
      </c>
      <c r="K536" s="22"/>
      <c r="L536" s="13">
        <v>533</v>
      </c>
      <c r="M536" s="5">
        <v>44239</v>
      </c>
      <c r="N536" s="26">
        <f t="shared" si="112"/>
        <v>1.3049168322441311</v>
      </c>
      <c r="O536" s="26">
        <f t="shared" si="113"/>
        <v>1.049886142832205</v>
      </c>
      <c r="P536" s="26">
        <f t="shared" si="114"/>
        <v>0.85680253723670041</v>
      </c>
      <c r="Q536" s="22"/>
      <c r="AD536" s="59">
        <v>532</v>
      </c>
      <c r="AE536" s="61">
        <f t="shared" ca="1" si="116"/>
        <v>7.7719244219376107E-2</v>
      </c>
      <c r="AF536" s="61">
        <f t="shared" ca="1" si="116"/>
        <v>4.2087178447853479E-2</v>
      </c>
      <c r="AG536" s="61">
        <f t="shared" ca="1" si="116"/>
        <v>0.92425517083554831</v>
      </c>
      <c r="AH536" s="19"/>
      <c r="AI536" s="61">
        <f ca="1"/>
        <v>1.6852862277064464E-3</v>
      </c>
      <c r="AJ536" s="61">
        <f ca="1"/>
        <v>2.1312955252395633E-3</v>
      </c>
      <c r="AK536" s="61">
        <f ca="1"/>
        <v>2.512411756086742E-2</v>
      </c>
      <c r="AL536" s="19"/>
      <c r="AM536" s="61">
        <f t="shared" ca="1" si="120"/>
        <v>2.0365025502166907E-3</v>
      </c>
      <c r="AN536" s="61">
        <f t="shared" ca="1" si="121"/>
        <v>2.3803481221560938E-3</v>
      </c>
      <c r="AO536" s="61">
        <f t="shared" ca="1" si="122"/>
        <v>2.5555786164122237E-2</v>
      </c>
      <c r="AP536" s="19"/>
      <c r="AQ536" s="62">
        <f t="shared" ca="1" si="117"/>
        <v>0.98996083326153028</v>
      </c>
      <c r="AR536" s="62">
        <f t="shared" ca="1" si="118"/>
        <v>1.4729555121861326</v>
      </c>
      <c r="AS536" s="62">
        <f t="shared" ca="1" si="119"/>
        <v>0.87198726359734713</v>
      </c>
      <c r="AT536" s="49"/>
    </row>
    <row r="537" spans="1:46" x14ac:dyDescent="0.3">
      <c r="A537" s="5">
        <v>44243</v>
      </c>
      <c r="B537" s="6">
        <v>74.760002</v>
      </c>
      <c r="C537" s="6">
        <v>111.769997</v>
      </c>
      <c r="D537" s="6">
        <v>66.959998999999996</v>
      </c>
      <c r="F537" s="13">
        <v>534</v>
      </c>
      <c r="G537" s="5">
        <v>44243</v>
      </c>
      <c r="H537" s="15">
        <f t="shared" si="115"/>
        <v>1.3195330724914687E-2</v>
      </c>
      <c r="I537" s="15">
        <f t="shared" si="115"/>
        <v>9.6193489423661016E-3</v>
      </c>
      <c r="J537" s="15">
        <f t="shared" si="115"/>
        <v>3.3716193641634806E-2</v>
      </c>
      <c r="K537" s="22"/>
      <c r="L537" s="13">
        <v>534</v>
      </c>
      <c r="M537" s="5">
        <v>44243</v>
      </c>
      <c r="N537" s="26">
        <f t="shared" si="112"/>
        <v>1.32224974668819</v>
      </c>
      <c r="O537" s="26">
        <f t="shared" si="113"/>
        <v>1.0600340940812956</v>
      </c>
      <c r="P537" s="26">
        <f t="shared" si="114"/>
        <v>0.88618317591803009</v>
      </c>
      <c r="Q537" s="22"/>
      <c r="AD537" s="59">
        <v>533</v>
      </c>
      <c r="AE537" s="61">
        <f t="shared" ca="1" si="116"/>
        <v>1.0149419127262891</v>
      </c>
      <c r="AF537" s="61">
        <f t="shared" ca="1" si="116"/>
        <v>-0.10791956694452914</v>
      </c>
      <c r="AG537" s="61">
        <f t="shared" ca="1" si="116"/>
        <v>8.2067200512228641E-2</v>
      </c>
      <c r="AH537" s="19"/>
      <c r="AI537" s="61">
        <f ca="1"/>
        <v>2.2008289512074515E-2</v>
      </c>
      <c r="AJ537" s="61">
        <f ca="1"/>
        <v>1.354047217724891E-2</v>
      </c>
      <c r="AK537" s="61">
        <f ca="1"/>
        <v>1.6338859661852008E-2</v>
      </c>
      <c r="AL537" s="19"/>
      <c r="AM537" s="61">
        <f t="shared" ca="1" si="120"/>
        <v>2.2359505834584761E-2</v>
      </c>
      <c r="AN537" s="61">
        <f t="shared" ca="1" si="121"/>
        <v>1.3789524774165441E-2</v>
      </c>
      <c r="AO537" s="61">
        <f t="shared" ca="1" si="122"/>
        <v>1.6770528265106825E-2</v>
      </c>
      <c r="AP537" s="19"/>
      <c r="AQ537" s="62">
        <f t="shared" ca="1" si="117"/>
        <v>1.012345187260052</v>
      </c>
      <c r="AR537" s="62">
        <f t="shared" ca="1" si="118"/>
        <v>1.4934075566190079</v>
      </c>
      <c r="AS537" s="62">
        <f t="shared" ca="1" si="119"/>
        <v>0.886734262497332</v>
      </c>
      <c r="AT537" s="49"/>
    </row>
    <row r="538" spans="1:46" x14ac:dyDescent="0.3">
      <c r="A538" s="5">
        <v>44244</v>
      </c>
      <c r="B538" s="6">
        <v>76.5</v>
      </c>
      <c r="C538" s="6">
        <v>111.410004</v>
      </c>
      <c r="D538" s="6">
        <v>68.120002999999997</v>
      </c>
      <c r="F538" s="13">
        <v>535</v>
      </c>
      <c r="G538" s="5">
        <v>44244</v>
      </c>
      <c r="H538" s="15">
        <f t="shared" si="115"/>
        <v>2.3007731492854466E-2</v>
      </c>
      <c r="I538" s="15">
        <f t="shared" si="115"/>
        <v>-3.2260355820416856E-3</v>
      </c>
      <c r="J538" s="15">
        <f t="shared" si="115"/>
        <v>1.7175488587485414E-2</v>
      </c>
      <c r="K538" s="22"/>
      <c r="L538" s="13">
        <v>535</v>
      </c>
      <c r="M538" s="5">
        <v>44244</v>
      </c>
      <c r="N538" s="26">
        <f t="shared" si="112"/>
        <v>1.3530243835687235</v>
      </c>
      <c r="O538" s="26">
        <f t="shared" si="113"/>
        <v>1.0566198964981051</v>
      </c>
      <c r="P538" s="26">
        <f t="shared" si="114"/>
        <v>0.9015352673778525</v>
      </c>
      <c r="Q538" s="22"/>
      <c r="AD538" s="59">
        <v>534</v>
      </c>
      <c r="AE538" s="61">
        <f t="shared" ca="1" si="116"/>
        <v>-0.87429769191109663</v>
      </c>
      <c r="AF538" s="61">
        <f t="shared" ca="1" si="116"/>
        <v>3.6055065268228104E-2</v>
      </c>
      <c r="AG538" s="61">
        <f t="shared" ca="1" si="116"/>
        <v>0.41371196624407608</v>
      </c>
      <c r="AH538" s="19"/>
      <c r="AI538" s="61">
        <f ca="1"/>
        <v>-1.8958520169525307E-2</v>
      </c>
      <c r="AJ538" s="61">
        <f ca="1"/>
        <v>-1.2901109380976534E-2</v>
      </c>
      <c r="AK538" s="61">
        <f ca="1"/>
        <v>-2.0650274292464479E-3</v>
      </c>
      <c r="AL538" s="19"/>
      <c r="AM538" s="61">
        <f t="shared" ca="1" si="120"/>
        <v>-1.8607303847015061E-2</v>
      </c>
      <c r="AN538" s="61">
        <f t="shared" ca="1" si="121"/>
        <v>-1.2652056784060003E-2</v>
      </c>
      <c r="AO538" s="61">
        <f t="shared" ca="1" si="122"/>
        <v>-1.6333588259916298E-3</v>
      </c>
      <c r="AP538" s="19"/>
      <c r="AQ538" s="62">
        <f t="shared" ca="1" si="117"/>
        <v>0.99368234383112097</v>
      </c>
      <c r="AR538" s="62">
        <f t="shared" ca="1" si="118"/>
        <v>1.4746319051730266</v>
      </c>
      <c r="AS538" s="62">
        <f t="shared" ca="1" si="119"/>
        <v>0.88528708946153623</v>
      </c>
      <c r="AT538" s="49"/>
    </row>
    <row r="539" spans="1:46" x14ac:dyDescent="0.3">
      <c r="A539" s="5">
        <v>44245</v>
      </c>
      <c r="B539" s="6">
        <v>76.889999000000003</v>
      </c>
      <c r="C539" s="6">
        <v>110.989998</v>
      </c>
      <c r="D539" s="6">
        <v>67.830001999999993</v>
      </c>
      <c r="F539" s="13">
        <v>536</v>
      </c>
      <c r="G539" s="5">
        <v>44245</v>
      </c>
      <c r="H539" s="15">
        <f t="shared" si="115"/>
        <v>5.0850752060068961E-3</v>
      </c>
      <c r="I539" s="15">
        <f t="shared" si="115"/>
        <v>-3.7770368303977225E-3</v>
      </c>
      <c r="J539" s="15">
        <f t="shared" si="115"/>
        <v>-4.2662953909500456E-3</v>
      </c>
      <c r="K539" s="22"/>
      <c r="L539" s="13">
        <v>536</v>
      </c>
      <c r="M539" s="5">
        <v>44245</v>
      </c>
      <c r="N539" s="26">
        <f t="shared" si="112"/>
        <v>1.3599221372493433</v>
      </c>
      <c r="O539" s="26">
        <f t="shared" si="113"/>
        <v>1.052636531626773</v>
      </c>
      <c r="P539" s="26">
        <f t="shared" si="114"/>
        <v>0.8976972445128969</v>
      </c>
      <c r="Q539" s="22"/>
      <c r="AD539" s="59">
        <v>535</v>
      </c>
      <c r="AE539" s="61">
        <f t="shared" ca="1" si="116"/>
        <v>0.6845971225590689</v>
      </c>
      <c r="AF539" s="61">
        <f t="shared" ca="1" si="116"/>
        <v>-0.69044962001636645</v>
      </c>
      <c r="AG539" s="61">
        <f t="shared" ca="1" si="116"/>
        <v>0.29428287940035458</v>
      </c>
      <c r="AH539" s="19"/>
      <c r="AI539" s="61">
        <f ca="1"/>
        <v>1.4844998993037335E-2</v>
      </c>
      <c r="AJ539" s="61">
        <f ca="1"/>
        <v>-4.2920796011023232E-3</v>
      </c>
      <c r="AK539" s="61">
        <f ca="1"/>
        <v>1.2792346173326787E-2</v>
      </c>
      <c r="AL539" s="19"/>
      <c r="AM539" s="61">
        <f t="shared" ca="1" si="120"/>
        <v>1.5196215315547578E-2</v>
      </c>
      <c r="AN539" s="61">
        <f t="shared" ca="1" si="121"/>
        <v>-4.0430270041857926E-3</v>
      </c>
      <c r="AO539" s="61">
        <f t="shared" ca="1" si="122"/>
        <v>1.3224014776581606E-2</v>
      </c>
      <c r="AP539" s="19"/>
      <c r="AQ539" s="62">
        <f t="shared" ca="1" si="117"/>
        <v>1.0088978710948311</v>
      </c>
      <c r="AR539" s="62">
        <f t="shared" ca="1" si="118"/>
        <v>1.4686819645493274</v>
      </c>
      <c r="AS539" s="62">
        <f t="shared" ca="1" si="119"/>
        <v>0.89707188845413333</v>
      </c>
      <c r="AT539" s="49"/>
    </row>
    <row r="540" spans="1:46" x14ac:dyDescent="0.3">
      <c r="A540" s="5">
        <v>44246</v>
      </c>
      <c r="B540" s="6">
        <v>78.430000000000007</v>
      </c>
      <c r="C540" s="6">
        <v>113.459999</v>
      </c>
      <c r="D540" s="6">
        <v>71.529999000000004</v>
      </c>
      <c r="F540" s="13">
        <v>537</v>
      </c>
      <c r="G540" s="5">
        <v>44246</v>
      </c>
      <c r="H540" s="15">
        <f t="shared" si="115"/>
        <v>1.9830691186078119E-2</v>
      </c>
      <c r="I540" s="15">
        <f t="shared" si="115"/>
        <v>2.2010253940495581E-2</v>
      </c>
      <c r="J540" s="15">
        <f t="shared" si="115"/>
        <v>5.3112323696678079E-2</v>
      </c>
      <c r="K540" s="22"/>
      <c r="L540" s="13">
        <v>537</v>
      </c>
      <c r="M540" s="5">
        <v>44246</v>
      </c>
      <c r="N540" s="26">
        <f t="shared" si="112"/>
        <v>1.3871595085398036</v>
      </c>
      <c r="O540" s="26">
        <f t="shared" si="113"/>
        <v>1.0760621855830388</v>
      </c>
      <c r="P540" s="26">
        <f t="shared" si="114"/>
        <v>0.94666491388737217</v>
      </c>
      <c r="Q540" s="22"/>
      <c r="AD540" s="59">
        <v>536</v>
      </c>
      <c r="AE540" s="61">
        <f t="shared" ca="1" si="116"/>
        <v>-0.92388978711022007</v>
      </c>
      <c r="AF540" s="61">
        <f t="shared" ca="1" si="116"/>
        <v>-0.70074632412105364</v>
      </c>
      <c r="AG540" s="61">
        <f t="shared" ca="1" si="116"/>
        <v>-0.72214570697422231</v>
      </c>
      <c r="AH540" s="19"/>
      <c r="AI540" s="61">
        <f ca="1"/>
        <v>-2.003388928668089E-2</v>
      </c>
      <c r="AJ540" s="61">
        <f ca="1"/>
        <v>-2.9692469589577435E-2</v>
      </c>
      <c r="AK540" s="61">
        <f ca="1"/>
        <v>-3.7087295132217341E-2</v>
      </c>
      <c r="AL540" s="19"/>
      <c r="AM540" s="61">
        <f t="shared" ca="1" si="120"/>
        <v>-1.9682672964170644E-2</v>
      </c>
      <c r="AN540" s="61">
        <f t="shared" ca="1" si="121"/>
        <v>-2.9443416992660905E-2</v>
      </c>
      <c r="AO540" s="61">
        <f t="shared" ca="1" si="122"/>
        <v>-3.6655626528962523E-2</v>
      </c>
      <c r="AP540" s="19"/>
      <c r="AQ540" s="62">
        <f t="shared" ca="1" si="117"/>
        <v>0.98923421570965753</v>
      </c>
      <c r="AR540" s="62">
        <f t="shared" ca="1" si="118"/>
        <v>1.4260693578257768</v>
      </c>
      <c r="AS540" s="62">
        <f t="shared" ca="1" si="119"/>
        <v>0.8647845281725749</v>
      </c>
      <c r="AT540" s="49"/>
    </row>
    <row r="541" spans="1:46" x14ac:dyDescent="0.3">
      <c r="A541" s="5">
        <v>44249</v>
      </c>
      <c r="B541" s="6">
        <v>81.050003000000004</v>
      </c>
      <c r="C541" s="6">
        <v>117.379997</v>
      </c>
      <c r="D541" s="6">
        <v>74.25</v>
      </c>
      <c r="F541" s="13">
        <v>538</v>
      </c>
      <c r="G541" s="5">
        <v>44249</v>
      </c>
      <c r="H541" s="15">
        <f t="shared" si="115"/>
        <v>3.2859777971298111E-2</v>
      </c>
      <c r="I541" s="15">
        <f t="shared" si="115"/>
        <v>3.3966166487429249E-2</v>
      </c>
      <c r="J541" s="15">
        <f t="shared" si="115"/>
        <v>3.7320849542664784E-2</v>
      </c>
      <c r="K541" s="22"/>
      <c r="L541" s="13">
        <v>538</v>
      </c>
      <c r="M541" s="5">
        <v>44249</v>
      </c>
      <c r="N541" s="26">
        <f t="shared" si="112"/>
        <v>1.4334984359126561</v>
      </c>
      <c r="O541" s="26">
        <f t="shared" si="113"/>
        <v>1.113239707639611</v>
      </c>
      <c r="P541" s="26">
        <f t="shared" si="114"/>
        <v>0.98266281055221849</v>
      </c>
      <c r="Q541" s="22"/>
      <c r="AD541" s="59">
        <v>537</v>
      </c>
      <c r="AE541" s="61">
        <f t="shared" ca="1" si="116"/>
        <v>-0.3043044460982724</v>
      </c>
      <c r="AF541" s="61">
        <f t="shared" ca="1" si="116"/>
        <v>-0.77243074811578594</v>
      </c>
      <c r="AG541" s="61">
        <f t="shared" ca="1" si="116"/>
        <v>-0.19636514117501758</v>
      </c>
      <c r="AH541" s="19"/>
      <c r="AI541" s="61">
        <f ca="1"/>
        <v>-6.5986242814157665E-3</v>
      </c>
      <c r="AJ541" s="61">
        <f ca="1"/>
        <v>-2.1552644365536267E-2</v>
      </c>
      <c r="AK541" s="61">
        <f ca="1"/>
        <v>-1.496694363334114E-2</v>
      </c>
      <c r="AL541" s="19"/>
      <c r="AM541" s="61">
        <f t="shared" ca="1" si="120"/>
        <v>-6.2474079589055227E-3</v>
      </c>
      <c r="AN541" s="61">
        <f t="shared" ca="1" si="121"/>
        <v>-2.1303591768619737E-2</v>
      </c>
      <c r="AO541" s="61">
        <f t="shared" ca="1" si="122"/>
        <v>-1.4535275030086321E-2</v>
      </c>
      <c r="AP541" s="19"/>
      <c r="AQ541" s="62">
        <f t="shared" ca="1" si="117"/>
        <v>0.98307333081618964</v>
      </c>
      <c r="AR541" s="62">
        <f t="shared" ca="1" si="118"/>
        <v>1.396010278404737</v>
      </c>
      <c r="AS541" s="62">
        <f t="shared" ca="1" si="119"/>
        <v>0.85230555954065834</v>
      </c>
      <c r="AT541" s="49"/>
    </row>
    <row r="542" spans="1:46" x14ac:dyDescent="0.3">
      <c r="A542" s="5">
        <v>44250</v>
      </c>
      <c r="B542" s="6">
        <v>82.790001000000004</v>
      </c>
      <c r="C542" s="6">
        <v>117.129997</v>
      </c>
      <c r="D542" s="6">
        <v>75.809997999999993</v>
      </c>
      <c r="F542" s="13">
        <v>539</v>
      </c>
      <c r="G542" s="5">
        <v>44250</v>
      </c>
      <c r="H542" s="15">
        <f t="shared" si="115"/>
        <v>2.1241008033594598E-2</v>
      </c>
      <c r="I542" s="15">
        <f t="shared" si="115"/>
        <v>-2.1321061029556439E-3</v>
      </c>
      <c r="J542" s="15">
        <f t="shared" si="115"/>
        <v>2.0792406003659256E-2</v>
      </c>
      <c r="K542" s="22"/>
      <c r="L542" s="13">
        <v>539</v>
      </c>
      <c r="M542" s="5">
        <v>44250</v>
      </c>
      <c r="N542" s="26">
        <f t="shared" si="112"/>
        <v>1.4642730727931896</v>
      </c>
      <c r="O542" s="26">
        <f t="shared" si="113"/>
        <v>1.1108686909926273</v>
      </c>
      <c r="P542" s="26">
        <f t="shared" si="114"/>
        <v>1.0033086289917583</v>
      </c>
      <c r="Q542" s="22"/>
      <c r="AD542" s="59">
        <v>538</v>
      </c>
      <c r="AE542" s="61">
        <f t="shared" ca="1" si="116"/>
        <v>1.8333453201291827</v>
      </c>
      <c r="AF542" s="61">
        <f t="shared" ca="1" si="116"/>
        <v>-1.4591085251842351</v>
      </c>
      <c r="AG542" s="61">
        <f t="shared" ca="1" si="116"/>
        <v>0.59796754311545885</v>
      </c>
      <c r="AH542" s="19"/>
      <c r="AI542" s="61">
        <f ca="1"/>
        <v>3.9754782096471868E-2</v>
      </c>
      <c r="AJ542" s="61">
        <f ca="1"/>
        <v>-3.0190681306556839E-3</v>
      </c>
      <c r="AK542" s="61">
        <f ca="1"/>
        <v>3.2132865408878573E-2</v>
      </c>
      <c r="AL542" s="19"/>
      <c r="AM542" s="61">
        <f t="shared" ca="1" si="120"/>
        <v>4.010599841898211E-2</v>
      </c>
      <c r="AN542" s="61">
        <f t="shared" ca="1" si="121"/>
        <v>-2.7700155337391534E-3</v>
      </c>
      <c r="AO542" s="61">
        <f t="shared" ca="1" si="122"/>
        <v>3.2564534012133391E-2</v>
      </c>
      <c r="AP542" s="19"/>
      <c r="AQ542" s="62">
        <f t="shared" ca="1" si="117"/>
        <v>1.0233017771566735</v>
      </c>
      <c r="AR542" s="62">
        <f t="shared" ca="1" si="118"/>
        <v>1.3921486590902188</v>
      </c>
      <c r="AS542" s="62">
        <f t="shared" ca="1" si="119"/>
        <v>0.8805173518045244</v>
      </c>
      <c r="AT542" s="49"/>
    </row>
    <row r="543" spans="1:46" x14ac:dyDescent="0.3">
      <c r="A543" s="5">
        <v>44251</v>
      </c>
      <c r="B543" s="6">
        <v>82.150002000000001</v>
      </c>
      <c r="C543" s="6">
        <v>119.879997</v>
      </c>
      <c r="D543" s="6">
        <v>78.160004000000001</v>
      </c>
      <c r="F543" s="13">
        <v>540</v>
      </c>
      <c r="G543" s="5">
        <v>44251</v>
      </c>
      <c r="H543" s="15">
        <f t="shared" si="115"/>
        <v>-7.7604244004820418E-3</v>
      </c>
      <c r="I543" s="15">
        <f t="shared" si="115"/>
        <v>2.3206813954221424E-2</v>
      </c>
      <c r="J543" s="15">
        <f t="shared" si="115"/>
        <v>3.0527875225130424E-2</v>
      </c>
      <c r="K543" s="22"/>
      <c r="L543" s="13">
        <v>540</v>
      </c>
      <c r="M543" s="5">
        <v>44251</v>
      </c>
      <c r="N543" s="26">
        <f t="shared" si="112"/>
        <v>1.4529536708002535</v>
      </c>
      <c r="O543" s="26">
        <f t="shared" si="113"/>
        <v>1.1369498741094484</v>
      </c>
      <c r="P543" s="26">
        <f t="shared" si="114"/>
        <v>1.0344098209213823</v>
      </c>
      <c r="Q543" s="22"/>
      <c r="AD543" s="59">
        <v>539</v>
      </c>
      <c r="AE543" s="61">
        <f t="shared" ca="1" si="116"/>
        <v>0.64092516627751339</v>
      </c>
      <c r="AF543" s="61">
        <f t="shared" ca="1" si="116"/>
        <v>-2.0291009923582131</v>
      </c>
      <c r="AG543" s="61">
        <f t="shared" ca="1" si="116"/>
        <v>-1.4191462701843425</v>
      </c>
      <c r="AH543" s="19"/>
      <c r="AI543" s="61">
        <f ca="1"/>
        <v>1.3898003854348705E-2</v>
      </c>
      <c r="AJ543" s="61">
        <f ca="1"/>
        <v>-3.4072597624225889E-2</v>
      </c>
      <c r="AK543" s="61">
        <f ca="1"/>
        <v>-4.1178308383927095E-2</v>
      </c>
      <c r="AL543" s="19"/>
      <c r="AM543" s="61">
        <f t="shared" ca="1" si="120"/>
        <v>1.4249220176858949E-2</v>
      </c>
      <c r="AN543" s="61">
        <f t="shared" ca="1" si="121"/>
        <v>-3.382354502730936E-2</v>
      </c>
      <c r="AO543" s="61">
        <f t="shared" ca="1" si="122"/>
        <v>-4.0746639780672278E-2</v>
      </c>
      <c r="AP543" s="19"/>
      <c r="AQ543" s="62">
        <f t="shared" ca="1" si="117"/>
        <v>1.0379874104172218</v>
      </c>
      <c r="AR543" s="62">
        <f t="shared" ca="1" si="118"/>
        <v>1.3458486848376683</v>
      </c>
      <c r="AS543" s="62">
        <f t="shared" ca="1" si="119"/>
        <v>0.84536035724185699</v>
      </c>
      <c r="AT543" s="49"/>
    </row>
    <row r="544" spans="1:46" x14ac:dyDescent="0.3">
      <c r="A544" s="5">
        <v>44252</v>
      </c>
      <c r="B544" s="6">
        <v>79.389999000000003</v>
      </c>
      <c r="C544" s="6">
        <v>117.58000199999999</v>
      </c>
      <c r="D544" s="6">
        <v>78.150002000000001</v>
      </c>
      <c r="F544" s="13">
        <v>541</v>
      </c>
      <c r="G544" s="5">
        <v>44252</v>
      </c>
      <c r="H544" s="15">
        <f t="shared" si="115"/>
        <v>-3.4174465688008776E-2</v>
      </c>
      <c r="I544" s="15">
        <f t="shared" si="115"/>
        <v>-1.9372247439632975E-2</v>
      </c>
      <c r="J544" s="15">
        <f t="shared" si="115"/>
        <v>-1.2797645230275145E-4</v>
      </c>
      <c r="K544" s="22"/>
      <c r="L544" s="13">
        <v>541</v>
      </c>
      <c r="M544" s="5">
        <v>44252</v>
      </c>
      <c r="N544" s="26">
        <f t="shared" si="112"/>
        <v>1.4041386203725041</v>
      </c>
      <c r="O544" s="26">
        <f t="shared" si="113"/>
        <v>1.1151365683775307</v>
      </c>
      <c r="P544" s="26">
        <f t="shared" si="114"/>
        <v>1.0342774492926801</v>
      </c>
      <c r="Q544" s="22"/>
      <c r="AD544" s="59">
        <v>540</v>
      </c>
      <c r="AE544" s="61">
        <f t="shared" ca="1" si="116"/>
        <v>0.47107399195036881</v>
      </c>
      <c r="AF544" s="61">
        <f t="shared" ca="1" si="116"/>
        <v>-0.25923618592886111</v>
      </c>
      <c r="AG544" s="61">
        <f t="shared" ca="1" si="116"/>
        <v>0.54398848983216563</v>
      </c>
      <c r="AH544" s="19"/>
      <c r="AI544" s="61">
        <f ca="1"/>
        <v>1.0214902613099895E-2</v>
      </c>
      <c r="AJ544" s="61">
        <f ca="1"/>
        <v>1.7386470032756405E-3</v>
      </c>
      <c r="AK544" s="61">
        <f ca="1"/>
        <v>1.9071675508317006E-2</v>
      </c>
      <c r="AL544" s="19"/>
      <c r="AM544" s="61">
        <f t="shared" ca="1" si="120"/>
        <v>1.0566118935610139E-2</v>
      </c>
      <c r="AN544" s="61">
        <f t="shared" ca="1" si="121"/>
        <v>1.987699600192171E-3</v>
      </c>
      <c r="AO544" s="61">
        <f t="shared" ca="1" si="122"/>
        <v>1.9503344111571824E-2</v>
      </c>
      <c r="AP544" s="19"/>
      <c r="AQ544" s="62">
        <f t="shared" ca="1" si="117"/>
        <v>1.0490130554098269</v>
      </c>
      <c r="AR544" s="62">
        <f t="shared" ca="1" si="118"/>
        <v>1.3485264881831032</v>
      </c>
      <c r="AS544" s="62">
        <f t="shared" ca="1" si="119"/>
        <v>0.86200954081702419</v>
      </c>
      <c r="AT544" s="49"/>
    </row>
    <row r="545" spans="1:46" x14ac:dyDescent="0.3">
      <c r="A545" s="5">
        <v>44253</v>
      </c>
      <c r="B545" s="6">
        <v>77.790001000000004</v>
      </c>
      <c r="C545" s="6">
        <v>117.08000199999999</v>
      </c>
      <c r="D545" s="6">
        <v>76.980002999999996</v>
      </c>
      <c r="F545" s="13">
        <v>542</v>
      </c>
      <c r="G545" s="5">
        <v>44253</v>
      </c>
      <c r="H545" s="15">
        <f t="shared" si="115"/>
        <v>-2.0359502067171645E-2</v>
      </c>
      <c r="I545" s="15">
        <f t="shared" si="115"/>
        <v>-4.2614910777823952E-3</v>
      </c>
      <c r="J545" s="15">
        <f t="shared" si="115"/>
        <v>-1.5084395632535308E-2</v>
      </c>
      <c r="K545" s="22"/>
      <c r="L545" s="13">
        <v>542</v>
      </c>
      <c r="M545" s="5">
        <v>44253</v>
      </c>
      <c r="N545" s="26">
        <f t="shared" si="112"/>
        <v>1.3758401065468677</v>
      </c>
      <c r="O545" s="26">
        <f t="shared" si="113"/>
        <v>1.1103945350835633</v>
      </c>
      <c r="P545" s="26">
        <f t="shared" si="114"/>
        <v>1.0187930788457671</v>
      </c>
      <c r="Q545" s="22"/>
      <c r="AD545" s="59">
        <v>541</v>
      </c>
      <c r="AE545" s="61">
        <f t="shared" ca="1" si="116"/>
        <v>0.14956874371252055</v>
      </c>
      <c r="AF545" s="61">
        <f t="shared" ca="1" si="116"/>
        <v>-0.4949395872400999</v>
      </c>
      <c r="AG545" s="61">
        <f t="shared" ca="1" si="116"/>
        <v>0.21267411954926385</v>
      </c>
      <c r="AH545" s="19"/>
      <c r="AI545" s="61">
        <f ca="1"/>
        <v>3.2432912389441849E-3</v>
      </c>
      <c r="AJ545" s="61">
        <f ca="1"/>
        <v>-8.41691506669579E-3</v>
      </c>
      <c r="AK545" s="61">
        <f ca="1"/>
        <v>4.1730686749501793E-3</v>
      </c>
      <c r="AL545" s="19"/>
      <c r="AM545" s="61">
        <f t="shared" ca="1" si="120"/>
        <v>3.5945075614544292E-3</v>
      </c>
      <c r="AN545" s="61">
        <f t="shared" ca="1" si="121"/>
        <v>-8.1678624697792586E-3</v>
      </c>
      <c r="AO545" s="61">
        <f t="shared" ca="1" si="122"/>
        <v>4.6047372782049975E-3</v>
      </c>
      <c r="AP545" s="19"/>
      <c r="AQ545" s="62">
        <f t="shared" ca="1" si="117"/>
        <v>1.0527905257752297</v>
      </c>
      <c r="AR545" s="62">
        <f t="shared" ca="1" si="118"/>
        <v>1.3375567698521593</v>
      </c>
      <c r="AS545" s="62">
        <f t="shared" ca="1" si="119"/>
        <v>0.86598802118237561</v>
      </c>
      <c r="AT545" s="49"/>
    </row>
    <row r="546" spans="1:46" x14ac:dyDescent="0.3">
      <c r="A546" s="5">
        <v>44256</v>
      </c>
      <c r="B546" s="6">
        <v>79.040001000000004</v>
      </c>
      <c r="C546" s="6">
        <v>120.339996</v>
      </c>
      <c r="D546" s="6">
        <v>77.800003000000004</v>
      </c>
      <c r="F546" s="13">
        <v>543</v>
      </c>
      <c r="G546" s="5">
        <v>44256</v>
      </c>
      <c r="H546" s="15">
        <f t="shared" si="115"/>
        <v>1.5941165017628732E-2</v>
      </c>
      <c r="I546" s="15">
        <f t="shared" si="115"/>
        <v>2.7463557647027587E-2</v>
      </c>
      <c r="J546" s="15">
        <f t="shared" si="115"/>
        <v>1.0595782917996012E-2</v>
      </c>
      <c r="K546" s="22"/>
      <c r="L546" s="13">
        <v>543</v>
      </c>
      <c r="M546" s="5">
        <v>44256</v>
      </c>
      <c r="N546" s="26">
        <f t="shared" si="112"/>
        <v>1.3979483481084483</v>
      </c>
      <c r="O546" s="26">
        <f t="shared" si="113"/>
        <v>1.141312535255832</v>
      </c>
      <c r="P546" s="26">
        <f t="shared" si="114"/>
        <v>1.0296453819387343</v>
      </c>
      <c r="Q546" s="22"/>
      <c r="AD546" s="59">
        <v>542</v>
      </c>
      <c r="AE546" s="61">
        <f t="shared" ca="1" si="116"/>
        <v>1.1303255177880567</v>
      </c>
      <c r="AF546" s="61">
        <f t="shared" ca="1" si="116"/>
        <v>0.39793596006358123</v>
      </c>
      <c r="AG546" s="61">
        <f t="shared" ca="1" si="116"/>
        <v>-1.6708692648050811</v>
      </c>
      <c r="AH546" s="19"/>
      <c r="AI546" s="61">
        <f ca="1"/>
        <v>2.4510300467878915E-2</v>
      </c>
      <c r="AJ546" s="61">
        <f ca="1"/>
        <v>2.6341779998160196E-2</v>
      </c>
      <c r="AK546" s="61">
        <f ca="1"/>
        <v>-2.3303970464253431E-2</v>
      </c>
      <c r="AL546" s="19"/>
      <c r="AM546" s="61">
        <f t="shared" ca="1" si="120"/>
        <v>2.4861516790389161E-2</v>
      </c>
      <c r="AN546" s="61">
        <f t="shared" ca="1" si="121"/>
        <v>2.6590832595076726E-2</v>
      </c>
      <c r="AO546" s="61">
        <f t="shared" ca="1" si="122"/>
        <v>-2.2872301860998614E-2</v>
      </c>
      <c r="AP546" s="19"/>
      <c r="AQ546" s="62">
        <f t="shared" ca="1" si="117"/>
        <v>1.0792925705733263</v>
      </c>
      <c r="AR546" s="62">
        <f t="shared" ca="1" si="118"/>
        <v>1.3736006121181881</v>
      </c>
      <c r="AS546" s="62">
        <f t="shared" ca="1" si="119"/>
        <v>0.8464056820282323</v>
      </c>
      <c r="AT546" s="49"/>
    </row>
    <row r="547" spans="1:46" x14ac:dyDescent="0.3">
      <c r="A547" s="5">
        <v>44257</v>
      </c>
      <c r="B547" s="6">
        <v>77.610000999999997</v>
      </c>
      <c r="C547" s="6">
        <v>121.639999</v>
      </c>
      <c r="D547" s="6">
        <v>76.629997000000003</v>
      </c>
      <c r="F547" s="13">
        <v>544</v>
      </c>
      <c r="G547" s="5">
        <v>44257</v>
      </c>
      <c r="H547" s="15">
        <f t="shared" si="115"/>
        <v>-1.8257768340449315E-2</v>
      </c>
      <c r="I547" s="15">
        <f t="shared" si="115"/>
        <v>1.0744818035134477E-2</v>
      </c>
      <c r="J547" s="15">
        <f t="shared" si="115"/>
        <v>-1.5152863911602563E-2</v>
      </c>
      <c r="K547" s="22"/>
      <c r="L547" s="13">
        <v>544</v>
      </c>
      <c r="M547" s="5">
        <v>44257</v>
      </c>
      <c r="N547" s="26">
        <f t="shared" si="112"/>
        <v>1.372656519762</v>
      </c>
      <c r="O547" s="26">
        <f t="shared" si="113"/>
        <v>1.1536418502723473</v>
      </c>
      <c r="P547" s="26">
        <f t="shared" si="114"/>
        <v>1.0141609188502096</v>
      </c>
      <c r="Q547" s="22"/>
      <c r="AD547" s="59">
        <v>543</v>
      </c>
      <c r="AE547" s="61">
        <f t="shared" ca="1" si="116"/>
        <v>0.31045255230102758</v>
      </c>
      <c r="AF547" s="61">
        <f t="shared" ca="1" si="116"/>
        <v>0.16505458562165112</v>
      </c>
      <c r="AG547" s="61">
        <f t="shared" ca="1" si="116"/>
        <v>1.0463937168200519</v>
      </c>
      <c r="AH547" s="19"/>
      <c r="AI547" s="61">
        <f ca="1"/>
        <v>6.7319415674245353E-3</v>
      </c>
      <c r="AJ547" s="61">
        <f ca="1"/>
        <v>8.4469376361516347E-3</v>
      </c>
      <c r="AK547" s="61">
        <f ca="1"/>
        <v>3.2558056468834605E-2</v>
      </c>
      <c r="AL547" s="19"/>
      <c r="AM547" s="61">
        <f t="shared" ca="1" si="120"/>
        <v>7.0831578899347792E-3</v>
      </c>
      <c r="AN547" s="61">
        <f t="shared" ca="1" si="121"/>
        <v>8.6959902330681661E-3</v>
      </c>
      <c r="AO547" s="61">
        <f t="shared" ca="1" si="122"/>
        <v>3.2989725072089422E-2</v>
      </c>
      <c r="AP547" s="19"/>
      <c r="AQ547" s="62">
        <f t="shared" ca="1" si="117"/>
        <v>1.0869645089597986</v>
      </c>
      <c r="AR547" s="62">
        <f t="shared" ca="1" si="118"/>
        <v>1.3855975165063543</v>
      </c>
      <c r="AS547" s="62">
        <f t="shared" ca="1" si="119"/>
        <v>0.87479406058509745</v>
      </c>
      <c r="AT547" s="49"/>
    </row>
    <row r="548" spans="1:46" x14ac:dyDescent="0.3">
      <c r="A548" s="5">
        <v>44258</v>
      </c>
      <c r="B548" s="6">
        <v>76.910004000000001</v>
      </c>
      <c r="C548" s="6">
        <v>122.300003</v>
      </c>
      <c r="D548" s="6">
        <v>77.529999000000004</v>
      </c>
      <c r="F548" s="13">
        <v>545</v>
      </c>
      <c r="G548" s="5">
        <v>44258</v>
      </c>
      <c r="H548" s="15">
        <f t="shared" si="115"/>
        <v>-9.0603386731822767E-3</v>
      </c>
      <c r="I548" s="15">
        <f t="shared" si="115"/>
        <v>5.4112126347871112E-3</v>
      </c>
      <c r="J548" s="15">
        <f t="shared" si="115"/>
        <v>1.1676339499480742E-2</v>
      </c>
      <c r="K548" s="22"/>
      <c r="L548" s="13">
        <v>545</v>
      </c>
      <c r="M548" s="5">
        <v>44258</v>
      </c>
      <c r="N548" s="26">
        <f t="shared" si="112"/>
        <v>1.3602759575472947</v>
      </c>
      <c r="O548" s="26">
        <f t="shared" si="113"/>
        <v>1.1599013721566507</v>
      </c>
      <c r="P548" s="26">
        <f t="shared" si="114"/>
        <v>1.0260720096895717</v>
      </c>
      <c r="Q548" s="22"/>
      <c r="AD548" s="59">
        <v>544</v>
      </c>
      <c r="AE548" s="61">
        <f t="shared" ca="1" si="116"/>
        <v>1.7863552028301605E-2</v>
      </c>
      <c r="AF548" s="61">
        <f t="shared" ca="1" si="116"/>
        <v>-0.43702523908711616</v>
      </c>
      <c r="AG548" s="61">
        <f t="shared" ca="1" si="116"/>
        <v>-0.77926481841348427</v>
      </c>
      <c r="AH548" s="19"/>
      <c r="AI548" s="61">
        <f ca="1"/>
        <v>3.8735835009199378E-4</v>
      </c>
      <c r="AJ548" s="61">
        <f ca="1"/>
        <v>-9.2195819410281973E-3</v>
      </c>
      <c r="AK548" s="61">
        <f ca="1"/>
        <v>-2.2778518995538566E-2</v>
      </c>
      <c r="AL548" s="19"/>
      <c r="AM548" s="61">
        <f t="shared" ca="1" si="120"/>
        <v>7.3857467260223799E-4</v>
      </c>
      <c r="AN548" s="61">
        <f t="shared" ca="1" si="121"/>
        <v>-8.9705293441116659E-3</v>
      </c>
      <c r="AO548" s="61">
        <f t="shared" ca="1" si="122"/>
        <v>-2.2346850392283749E-2</v>
      </c>
      <c r="AP548" s="19"/>
      <c r="AQ548" s="62">
        <f t="shared" ca="1" si="117"/>
        <v>1.0877676099546538</v>
      </c>
      <c r="AR548" s="62">
        <f t="shared" ca="1" si="118"/>
        <v>1.3732235567877942</v>
      </c>
      <c r="AS548" s="62">
        <f t="shared" ca="1" si="119"/>
        <v>0.85546197866107587</v>
      </c>
      <c r="AT548" s="49"/>
    </row>
    <row r="549" spans="1:46" x14ac:dyDescent="0.3">
      <c r="A549" s="5">
        <v>44259</v>
      </c>
      <c r="B549" s="6">
        <v>75.800003000000004</v>
      </c>
      <c r="C549" s="6">
        <v>120.970001</v>
      </c>
      <c r="D549" s="6">
        <v>76.370002999999997</v>
      </c>
      <c r="F549" s="13">
        <v>546</v>
      </c>
      <c r="G549" s="5">
        <v>44259</v>
      </c>
      <c r="H549" s="15">
        <f t="shared" si="115"/>
        <v>-1.4537626851640924E-2</v>
      </c>
      <c r="I549" s="15">
        <f t="shared" si="115"/>
        <v>-1.0934477984701837E-2</v>
      </c>
      <c r="J549" s="15">
        <f t="shared" si="115"/>
        <v>-1.5074957149902007E-2</v>
      </c>
      <c r="K549" s="22"/>
      <c r="L549" s="13">
        <v>546</v>
      </c>
      <c r="M549" s="5">
        <v>44259</v>
      </c>
      <c r="N549" s="26">
        <f t="shared" si="112"/>
        <v>1.3406438213540182</v>
      </c>
      <c r="O549" s="26">
        <f t="shared" si="113"/>
        <v>1.147287544626564</v>
      </c>
      <c r="P549" s="26">
        <f t="shared" si="114"/>
        <v>1.0107200241058769</v>
      </c>
      <c r="Q549" s="22"/>
      <c r="AD549" s="59">
        <v>545</v>
      </c>
      <c r="AE549" s="61">
        <f t="shared" ca="1" si="116"/>
        <v>0.32103558551781408</v>
      </c>
      <c r="AF549" s="61">
        <f t="shared" ca="1" si="116"/>
        <v>1.9065948531904429</v>
      </c>
      <c r="AG549" s="61">
        <f t="shared" ca="1" si="116"/>
        <v>0.83092914575630272</v>
      </c>
      <c r="AH549" s="19"/>
      <c r="AI549" s="61">
        <f ca="1"/>
        <v>6.9614270739648005E-3</v>
      </c>
      <c r="AJ549" s="61">
        <f ca="1"/>
        <v>4.646673677655272E-2</v>
      </c>
      <c r="AK549" s="61">
        <f ca="1"/>
        <v>3.9458962783576593E-2</v>
      </c>
      <c r="AL549" s="19"/>
      <c r="AM549" s="61">
        <f t="shared" ca="1" si="120"/>
        <v>7.3126433964750444E-3</v>
      </c>
      <c r="AN549" s="61">
        <f t="shared" ca="1" si="121"/>
        <v>4.6715789373469249E-2</v>
      </c>
      <c r="AO549" s="61">
        <f t="shared" ca="1" si="122"/>
        <v>3.989063138683141E-2</v>
      </c>
      <c r="AP549" s="19"/>
      <c r="AQ549" s="62">
        <f t="shared" ca="1" si="117"/>
        <v>1.0957512216604244</v>
      </c>
      <c r="AR549" s="62">
        <f t="shared" ca="1" si="118"/>
        <v>1.4388968253682417</v>
      </c>
      <c r="AS549" s="62">
        <f t="shared" ca="1" si="119"/>
        <v>0.89027667065286764</v>
      </c>
      <c r="AT549" s="49"/>
    </row>
    <row r="550" spans="1:46" x14ac:dyDescent="0.3">
      <c r="A550" s="5">
        <v>44260</v>
      </c>
      <c r="B550" s="6">
        <v>76.919998000000007</v>
      </c>
      <c r="C550" s="6">
        <v>122.199997</v>
      </c>
      <c r="D550" s="6">
        <v>79.029999000000004</v>
      </c>
      <c r="F550" s="13">
        <v>547</v>
      </c>
      <c r="G550" s="5">
        <v>44260</v>
      </c>
      <c r="H550" s="15">
        <f t="shared" si="115"/>
        <v>1.4667562493377102E-2</v>
      </c>
      <c r="I550" s="15">
        <f t="shared" si="115"/>
        <v>1.011643294930718E-2</v>
      </c>
      <c r="J550" s="15">
        <f t="shared" si="115"/>
        <v>3.4237526380728439E-2</v>
      </c>
      <c r="K550" s="22"/>
      <c r="L550" s="13">
        <v>547</v>
      </c>
      <c r="M550" s="5">
        <v>44260</v>
      </c>
      <c r="N550" s="26">
        <f t="shared" si="112"/>
        <v>1.3604527173602281</v>
      </c>
      <c r="O550" s="26">
        <f t="shared" si="113"/>
        <v>1.1589529085934576</v>
      </c>
      <c r="P550" s="26">
        <f t="shared" si="114"/>
        <v>1.0459237836401214</v>
      </c>
      <c r="Q550" s="22"/>
      <c r="AD550" s="59">
        <v>546</v>
      </c>
      <c r="AE550" s="61">
        <f t="shared" ca="1" si="116"/>
        <v>1.05119533239846</v>
      </c>
      <c r="AF550" s="61">
        <f t="shared" ca="1" si="116"/>
        <v>0.59383978634624468</v>
      </c>
      <c r="AG550" s="61">
        <f t="shared" ca="1" si="116"/>
        <v>-7.5123975605104545E-2</v>
      </c>
      <c r="AH550" s="19"/>
      <c r="AI550" s="61">
        <f ca="1"/>
        <v>2.279441898997208E-2</v>
      </c>
      <c r="AJ550" s="61">
        <f ca="1"/>
        <v>2.9361376615318534E-2</v>
      </c>
      <c r="AK550" s="61">
        <f ca="1"/>
        <v>1.778940551090126E-2</v>
      </c>
      <c r="AL550" s="19"/>
      <c r="AM550" s="61">
        <f t="shared" ca="1" si="120"/>
        <v>2.3145635312482326E-2</v>
      </c>
      <c r="AN550" s="61">
        <f t="shared" ca="1" si="121"/>
        <v>2.9610429212235063E-2</v>
      </c>
      <c r="AO550" s="61">
        <f t="shared" ca="1" si="122"/>
        <v>1.8221074114156077E-2</v>
      </c>
      <c r="AP550" s="19"/>
      <c r="AQ550" s="62">
        <f t="shared" ca="1" si="117"/>
        <v>1.121408865631901</v>
      </c>
      <c r="AR550" s="62">
        <f t="shared" ca="1" si="118"/>
        <v>1.4821402465651849</v>
      </c>
      <c r="AS550" s="62">
        <f t="shared" ca="1" si="119"/>
        <v>0.90664715886582115</v>
      </c>
      <c r="AT550" s="49"/>
    </row>
    <row r="551" spans="1:46" x14ac:dyDescent="0.3">
      <c r="A551" s="5">
        <v>44263</v>
      </c>
      <c r="B551" s="6">
        <v>77.209998999999996</v>
      </c>
      <c r="C551" s="6">
        <v>126.550003</v>
      </c>
      <c r="D551" s="6">
        <v>80.559997999999993</v>
      </c>
      <c r="F551" s="13">
        <v>548</v>
      </c>
      <c r="G551" s="5">
        <v>44263</v>
      </c>
      <c r="H551" s="15">
        <f t="shared" si="115"/>
        <v>3.7630746494954847E-3</v>
      </c>
      <c r="I551" s="15">
        <f t="shared" si="115"/>
        <v>3.4978488509601502E-2</v>
      </c>
      <c r="J551" s="15">
        <f t="shared" si="115"/>
        <v>1.9174709020628851E-2</v>
      </c>
      <c r="K551" s="22"/>
      <c r="L551" s="13">
        <v>548</v>
      </c>
      <c r="M551" s="5">
        <v>44263</v>
      </c>
      <c r="N551" s="26">
        <f t="shared" si="112"/>
        <v>1.3655818470891077</v>
      </c>
      <c r="O551" s="26">
        <f t="shared" si="113"/>
        <v>1.2002086551553746</v>
      </c>
      <c r="P551" s="26">
        <f t="shared" si="114"/>
        <v>1.0661725798351662</v>
      </c>
      <c r="Q551" s="22"/>
      <c r="AD551" s="59">
        <v>547</v>
      </c>
      <c r="AE551" s="61">
        <f t="shared" ca="1" si="116"/>
        <v>7.7687284479496355E-2</v>
      </c>
      <c r="AF551" s="61">
        <f t="shared" ca="1" si="116"/>
        <v>-0.41955420178112718</v>
      </c>
      <c r="AG551" s="61">
        <f t="shared" ca="1" si="116"/>
        <v>-1.5887477833557182</v>
      </c>
      <c r="AH551" s="19"/>
      <c r="AI551" s="61">
        <f ca="1"/>
        <v>1.6845932036040968E-3</v>
      </c>
      <c r="AJ551" s="61">
        <f ca="1"/>
        <v>-7.9034498906033496E-3</v>
      </c>
      <c r="AK551" s="61">
        <f ca="1"/>
        <v>-4.2510468814147988E-2</v>
      </c>
      <c r="AL551" s="19"/>
      <c r="AM551" s="61">
        <f t="shared" ca="1" si="120"/>
        <v>2.0358095261143409E-3</v>
      </c>
      <c r="AN551" s="61">
        <f t="shared" ca="1" si="121"/>
        <v>-7.6543972936868191E-3</v>
      </c>
      <c r="AO551" s="61">
        <f t="shared" ca="1" si="122"/>
        <v>-4.2078800210893171E-2</v>
      </c>
      <c r="AP551" s="19"/>
      <c r="AQ551" s="62">
        <f t="shared" ca="1" si="117"/>
        <v>1.1236941659119741</v>
      </c>
      <c r="AR551" s="62">
        <f t="shared" ca="1" si="118"/>
        <v>1.4708386648509844</v>
      </c>
      <c r="AS551" s="62">
        <f t="shared" ca="1" si="119"/>
        <v>0.86928805949693977</v>
      </c>
      <c r="AT551" s="49"/>
    </row>
    <row r="552" spans="1:46" x14ac:dyDescent="0.3">
      <c r="A552" s="5">
        <v>44264</v>
      </c>
      <c r="B552" s="6">
        <v>76.800003000000004</v>
      </c>
      <c r="C552" s="6">
        <v>124.949997</v>
      </c>
      <c r="D552" s="6">
        <v>76.580001999999993</v>
      </c>
      <c r="F552" s="13">
        <v>549</v>
      </c>
      <c r="G552" s="5">
        <v>44264</v>
      </c>
      <c r="H552" s="15">
        <f t="shared" si="115"/>
        <v>-5.3242901529082795E-3</v>
      </c>
      <c r="I552" s="15">
        <f t="shared" si="115"/>
        <v>-1.2723877425820608E-2</v>
      </c>
      <c r="J552" s="15">
        <f t="shared" si="115"/>
        <v>-5.0666251418462503E-2</v>
      </c>
      <c r="K552" s="22"/>
      <c r="L552" s="13">
        <v>549</v>
      </c>
      <c r="M552" s="5">
        <v>44264</v>
      </c>
      <c r="N552" s="26">
        <f t="shared" si="112"/>
        <v>1.3583304146032826</v>
      </c>
      <c r="O552" s="26">
        <f t="shared" si="113"/>
        <v>1.1850340917102788</v>
      </c>
      <c r="P552" s="26">
        <f t="shared" si="114"/>
        <v>1.0134992592244378</v>
      </c>
      <c r="Q552" s="22"/>
      <c r="AD552" s="59">
        <v>548</v>
      </c>
      <c r="AE552" s="61">
        <f t="shared" ca="1" si="116"/>
        <v>-1.0133349074095603</v>
      </c>
      <c r="AF552" s="61">
        <f t="shared" ca="1" si="116"/>
        <v>-0.17515458791887611</v>
      </c>
      <c r="AG552" s="61">
        <f t="shared" ca="1" si="116"/>
        <v>-1.4711941133986197</v>
      </c>
      <c r="AH552" s="19"/>
      <c r="AI552" s="61">
        <f ca="1"/>
        <v>-2.1973442751078109E-2</v>
      </c>
      <c r="AJ552" s="61">
        <f ca="1"/>
        <v>-1.9668223602675658E-2</v>
      </c>
      <c r="AK552" s="61">
        <f ca="1"/>
        <v>-5.3898023039636839E-2</v>
      </c>
      <c r="AL552" s="19"/>
      <c r="AM552" s="61">
        <f t="shared" ca="1" si="120"/>
        <v>-2.1622226428567863E-2</v>
      </c>
      <c r="AN552" s="61">
        <f t="shared" ca="1" si="121"/>
        <v>-1.9419171005759128E-2</v>
      </c>
      <c r="AO552" s="61">
        <f t="shared" ca="1" si="122"/>
        <v>-5.3466354436382021E-2</v>
      </c>
      <c r="AP552" s="19"/>
      <c r="AQ552" s="62">
        <f t="shared" ca="1" si="117"/>
        <v>1.0996581883307546</v>
      </c>
      <c r="AR552" s="62">
        <f t="shared" ca="1" si="118"/>
        <v>1.4425517405276085</v>
      </c>
      <c r="AS552" s="62">
        <f t="shared" ca="1" si="119"/>
        <v>0.82403104056320897</v>
      </c>
      <c r="AT552" s="49"/>
    </row>
    <row r="553" spans="1:46" x14ac:dyDescent="0.3">
      <c r="A553" s="5">
        <v>44265</v>
      </c>
      <c r="B553" s="6">
        <v>76.510002</v>
      </c>
      <c r="C553" s="6">
        <v>122.610001</v>
      </c>
      <c r="D553" s="6">
        <v>81.370002999999997</v>
      </c>
      <c r="F553" s="13">
        <v>550</v>
      </c>
      <c r="G553" s="5">
        <v>44265</v>
      </c>
      <c r="H553" s="15">
        <f t="shared" si="115"/>
        <v>-3.7832018319918512E-3</v>
      </c>
      <c r="I553" s="15">
        <f t="shared" si="115"/>
        <v>-1.8905038871120022E-2</v>
      </c>
      <c r="J553" s="15">
        <f t="shared" si="115"/>
        <v>6.0670719411562414E-2</v>
      </c>
      <c r="K553" s="22"/>
      <c r="L553" s="13">
        <v>550</v>
      </c>
      <c r="M553" s="5">
        <v>44265</v>
      </c>
      <c r="N553" s="26">
        <f t="shared" si="112"/>
        <v>1.3532012848744026</v>
      </c>
      <c r="O553" s="26">
        <f t="shared" si="113"/>
        <v>1.1628414138307772</v>
      </c>
      <c r="P553" s="26">
        <f t="shared" si="114"/>
        <v>1.0768926039410431</v>
      </c>
      <c r="Q553" s="22"/>
      <c r="AD553" s="59">
        <v>549</v>
      </c>
      <c r="AE553" s="61">
        <f t="shared" ca="1" si="116"/>
        <v>-0.21682984460437674</v>
      </c>
      <c r="AF553" s="61">
        <f t="shared" ca="1" si="116"/>
        <v>-0.26095184447950104</v>
      </c>
      <c r="AG553" s="61">
        <f t="shared" ca="1" si="116"/>
        <v>-1.4204714669618557</v>
      </c>
      <c r="AH553" s="19"/>
      <c r="AI553" s="61">
        <f ca="1"/>
        <v>-4.7018001080404541E-3</v>
      </c>
      <c r="AJ553" s="61">
        <f ca="1"/>
        <v>-9.0659478859917274E-3</v>
      </c>
      <c r="AK553" s="61">
        <f ca="1"/>
        <v>-4.1433937681455611E-2</v>
      </c>
      <c r="AL553" s="19"/>
      <c r="AM553" s="61">
        <f t="shared" ca="1" si="120"/>
        <v>-4.3505837855302102E-3</v>
      </c>
      <c r="AN553" s="61">
        <f t="shared" ca="1" si="121"/>
        <v>-8.816895289075196E-3</v>
      </c>
      <c r="AO553" s="61">
        <f t="shared" ca="1" si="122"/>
        <v>-4.1002269078200794E-2</v>
      </c>
      <c r="AP553" s="19"/>
      <c r="AQ553" s="62">
        <f t="shared" ca="1" si="117"/>
        <v>1.0948844251050662</v>
      </c>
      <c r="AR553" s="62">
        <f t="shared" ca="1" si="118"/>
        <v>1.4298888187420562</v>
      </c>
      <c r="AS553" s="62">
        <f t="shared" ca="1" si="119"/>
        <v>0.7909272020360556</v>
      </c>
      <c r="AT553" s="49"/>
    </row>
    <row r="554" spans="1:46" x14ac:dyDescent="0.3">
      <c r="A554" s="5">
        <v>44266</v>
      </c>
      <c r="B554" s="6">
        <v>77.339995999999999</v>
      </c>
      <c r="C554" s="6">
        <v>121.75</v>
      </c>
      <c r="D554" s="6">
        <v>82.480002999999996</v>
      </c>
      <c r="F554" s="13">
        <v>551</v>
      </c>
      <c r="G554" s="5">
        <v>44266</v>
      </c>
      <c r="H554" s="15">
        <f t="shared" si="115"/>
        <v>1.078975707533646E-2</v>
      </c>
      <c r="I554" s="15">
        <f t="shared" si="115"/>
        <v>-7.0388324375379599E-3</v>
      </c>
      <c r="J554" s="15">
        <f t="shared" si="115"/>
        <v>1.3549184503967747E-2</v>
      </c>
      <c r="K554" s="22"/>
      <c r="L554" s="13">
        <v>551</v>
      </c>
      <c r="M554" s="5">
        <v>44266</v>
      </c>
      <c r="N554" s="26">
        <f t="shared" si="112"/>
        <v>1.3678810511517325</v>
      </c>
      <c r="O554" s="26">
        <f t="shared" si="113"/>
        <v>1.1546851070810866</v>
      </c>
      <c r="P554" s="26">
        <f t="shared" si="114"/>
        <v>1.09158291666445</v>
      </c>
      <c r="Q554" s="22"/>
      <c r="AD554" s="59">
        <v>550</v>
      </c>
      <c r="AE554" s="61">
        <f t="shared" ca="1" si="116"/>
        <v>1.801247661075535</v>
      </c>
      <c r="AF554" s="61">
        <f t="shared" ca="1" si="116"/>
        <v>-1.0600011265109925</v>
      </c>
      <c r="AG554" s="61">
        <f t="shared" ca="1" si="116"/>
        <v>0.41184454054835123</v>
      </c>
      <c r="AH554" s="19"/>
      <c r="AI554" s="61">
        <f ca="1"/>
        <v>3.9058767315473218E-2</v>
      </c>
      <c r="AJ554" s="61">
        <f ca="1"/>
        <v>5.1535339101978876E-3</v>
      </c>
      <c r="AK554" s="61">
        <f ca="1"/>
        <v>2.9700840160826698E-2</v>
      </c>
      <c r="AL554" s="19"/>
      <c r="AM554" s="61">
        <f t="shared" ca="1" si="120"/>
        <v>3.940998363798346E-2</v>
      </c>
      <c r="AN554" s="61">
        <f t="shared" ca="1" si="121"/>
        <v>5.4025865071144182E-3</v>
      </c>
      <c r="AO554" s="61">
        <f t="shared" ca="1" si="122"/>
        <v>3.0132508764081516E-2</v>
      </c>
      <c r="AP554" s="19"/>
      <c r="AQ554" s="62">
        <f t="shared" ca="1" si="117"/>
        <v>1.138895340984265</v>
      </c>
      <c r="AR554" s="62">
        <f t="shared" ca="1" si="118"/>
        <v>1.437634822166844</v>
      </c>
      <c r="AS554" s="62">
        <f t="shared" ca="1" si="119"/>
        <v>0.8151225250877191</v>
      </c>
      <c r="AT554" s="49"/>
    </row>
    <row r="555" spans="1:46" x14ac:dyDescent="0.3">
      <c r="A555" s="5">
        <v>44267</v>
      </c>
      <c r="B555" s="6">
        <v>78.430000000000007</v>
      </c>
      <c r="C555" s="6">
        <v>123.980003</v>
      </c>
      <c r="D555" s="6">
        <v>82.419998000000007</v>
      </c>
      <c r="F555" s="13">
        <v>552</v>
      </c>
      <c r="G555" s="5">
        <v>44267</v>
      </c>
      <c r="H555" s="15">
        <f t="shared" si="115"/>
        <v>1.399527276510492E-2</v>
      </c>
      <c r="I555" s="15">
        <f t="shared" si="115"/>
        <v>1.8150524508524939E-2</v>
      </c>
      <c r="J555" s="15">
        <f t="shared" si="115"/>
        <v>-7.2777443644150125E-4</v>
      </c>
      <c r="K555" s="22"/>
      <c r="L555" s="13">
        <v>552</v>
      </c>
      <c r="M555" s="5">
        <v>44267</v>
      </c>
      <c r="N555" s="26">
        <f t="shared" si="112"/>
        <v>1.3871595085398036</v>
      </c>
      <c r="O555" s="26">
        <f t="shared" si="113"/>
        <v>1.1758346040243814</v>
      </c>
      <c r="P555" s="26">
        <f t="shared" si="114"/>
        <v>1.0907887795338482</v>
      </c>
      <c r="Q555" s="22"/>
      <c r="AD555" s="59">
        <v>551</v>
      </c>
      <c r="AE555" s="61">
        <f t="shared" ca="1" si="116"/>
        <v>7.9595503585152272E-2</v>
      </c>
      <c r="AF555" s="61">
        <f t="shared" ca="1" si="116"/>
        <v>0.34073961750469456</v>
      </c>
      <c r="AG555" s="61">
        <f t="shared" ca="1" si="116"/>
        <v>1.5675038469950695</v>
      </c>
      <c r="AH555" s="19"/>
      <c r="AI555" s="61">
        <f ca="1"/>
        <v>1.7259715701915383E-3</v>
      </c>
      <c r="AJ555" s="61">
        <f ca="1"/>
        <v>8.6521780461314198E-3</v>
      </c>
      <c r="AK555" s="61">
        <f ca="1"/>
        <v>4.3735090586150834E-2</v>
      </c>
      <c r="AL555" s="19"/>
      <c r="AM555" s="61">
        <f t="shared" ca="1" si="120"/>
        <v>2.0771878927017826E-3</v>
      </c>
      <c r="AN555" s="61">
        <f t="shared" ca="1" si="121"/>
        <v>8.9012306430479513E-3</v>
      </c>
      <c r="AO555" s="61">
        <f t="shared" ca="1" si="122"/>
        <v>4.4166759189405651E-2</v>
      </c>
      <c r="AP555" s="19"/>
      <c r="AQ555" s="62">
        <f t="shared" ca="1" si="117"/>
        <v>1.1412634993010109</v>
      </c>
      <c r="AR555" s="62">
        <f t="shared" ca="1" si="118"/>
        <v>1.4504886639351218</v>
      </c>
      <c r="AS555" s="62">
        <f t="shared" ca="1" si="119"/>
        <v>0.85193071121875863</v>
      </c>
      <c r="AT555" s="49"/>
    </row>
    <row r="556" spans="1:46" x14ac:dyDescent="0.3">
      <c r="A556" s="5">
        <v>44270</v>
      </c>
      <c r="B556" s="6">
        <v>77.559997999999993</v>
      </c>
      <c r="C556" s="6">
        <v>124</v>
      </c>
      <c r="D556" s="6">
        <v>81.830001999999993</v>
      </c>
      <c r="F556" s="13">
        <v>553</v>
      </c>
      <c r="G556" s="5">
        <v>44270</v>
      </c>
      <c r="H556" s="15">
        <f t="shared" si="115"/>
        <v>-1.1154702636612493E-2</v>
      </c>
      <c r="I556" s="15">
        <f t="shared" si="115"/>
        <v>1.6127913381268623E-4</v>
      </c>
      <c r="J556" s="15">
        <f t="shared" si="115"/>
        <v>-7.184152664512145E-3</v>
      </c>
      <c r="K556" s="22"/>
      <c r="L556" s="13">
        <v>553</v>
      </c>
      <c r="M556" s="5">
        <v>44270</v>
      </c>
      <c r="N556" s="26">
        <f t="shared" si="112"/>
        <v>1.3717721370397571</v>
      </c>
      <c r="O556" s="26">
        <f t="shared" si="113"/>
        <v>1.1760242569039405</v>
      </c>
      <c r="P556" s="26">
        <f t="shared" si="114"/>
        <v>1.0829804680513624</v>
      </c>
      <c r="Q556" s="22"/>
      <c r="AD556" s="59">
        <v>552</v>
      </c>
      <c r="AE556" s="61">
        <f t="shared" ca="1" si="116"/>
        <v>0.26180132903081721</v>
      </c>
      <c r="AF556" s="61">
        <f t="shared" ca="1" si="116"/>
        <v>-0.58997278903284422</v>
      </c>
      <c r="AG556" s="61">
        <f t="shared" ca="1" si="116"/>
        <v>0.52226644716841875</v>
      </c>
      <c r="AH556" s="19"/>
      <c r="AI556" s="61">
        <f ca="1"/>
        <v>5.6769745851553517E-3</v>
      </c>
      <c r="AJ556" s="61">
        <f ca="1"/>
        <v>-8.7258560638054806E-3</v>
      </c>
      <c r="AK556" s="61">
        <f ca="1"/>
        <v>1.309384035795956E-2</v>
      </c>
      <c r="AL556" s="19"/>
      <c r="AM556" s="61">
        <f t="shared" ca="1" si="120"/>
        <v>6.0281909076655956E-3</v>
      </c>
      <c r="AN556" s="61">
        <f t="shared" ca="1" si="121"/>
        <v>-8.4768034668889491E-3</v>
      </c>
      <c r="AO556" s="61">
        <f t="shared" ca="1" si="122"/>
        <v>1.3525508961214379E-2</v>
      </c>
      <c r="AP556" s="19"/>
      <c r="AQ556" s="62">
        <f t="shared" ca="1" si="117"/>
        <v>1.1481640315169557</v>
      </c>
      <c r="AR556" s="62">
        <f t="shared" ca="1" si="118"/>
        <v>1.4382451229597235</v>
      </c>
      <c r="AS556" s="62">
        <f t="shared" ca="1" si="119"/>
        <v>0.86353178605122538</v>
      </c>
      <c r="AT556" s="49"/>
    </row>
    <row r="557" spans="1:46" x14ac:dyDescent="0.3">
      <c r="A557" s="5">
        <v>44271</v>
      </c>
      <c r="B557" s="6">
        <v>75.680000000000007</v>
      </c>
      <c r="C557" s="6">
        <v>121.760002</v>
      </c>
      <c r="D557" s="6">
        <v>79.319999999999993</v>
      </c>
      <c r="F557" s="13">
        <v>554</v>
      </c>
      <c r="G557" s="5">
        <v>44271</v>
      </c>
      <c r="H557" s="15">
        <f t="shared" si="115"/>
        <v>-2.4537879844339836E-2</v>
      </c>
      <c r="I557" s="15">
        <f t="shared" si="115"/>
        <v>-1.8229655065905747E-2</v>
      </c>
      <c r="J557" s="15">
        <f t="shared" si="115"/>
        <v>-3.1153645328608971E-2</v>
      </c>
      <c r="K557" s="22"/>
      <c r="L557" s="13">
        <v>554</v>
      </c>
      <c r="M557" s="5">
        <v>44271</v>
      </c>
      <c r="N557" s="26">
        <f t="shared" si="112"/>
        <v>1.3385213771043267</v>
      </c>
      <c r="O557" s="26">
        <f t="shared" si="113"/>
        <v>1.1547799667150991</v>
      </c>
      <c r="P557" s="26">
        <f t="shared" si="114"/>
        <v>1.0497618065050769</v>
      </c>
      <c r="Q557" s="22"/>
      <c r="AD557" s="59">
        <v>553</v>
      </c>
      <c r="AE557" s="61">
        <f t="shared" ca="1" si="116"/>
        <v>2.6609429123714619</v>
      </c>
      <c r="AF557" s="61">
        <f t="shared" ca="1" si="116"/>
        <v>8.5863481830497773E-2</v>
      </c>
      <c r="AG557" s="61">
        <f t="shared" ca="1" si="116"/>
        <v>0.7430966778126209</v>
      </c>
      <c r="AH557" s="19"/>
      <c r="AI557" s="61">
        <f ca="1"/>
        <v>5.7700644003621078E-2</v>
      </c>
      <c r="AJ557" s="61">
        <f ca="1"/>
        <v>4.3516307798069614E-2</v>
      </c>
      <c r="AK557" s="61">
        <f ca="1"/>
        <v>5.8959678278025882E-2</v>
      </c>
      <c r="AL557" s="19"/>
      <c r="AM557" s="61">
        <f t="shared" ca="1" si="120"/>
        <v>5.805186032613132E-2</v>
      </c>
      <c r="AN557" s="61">
        <f t="shared" ca="1" si="121"/>
        <v>4.3765360394986144E-2</v>
      </c>
      <c r="AO557" s="61">
        <f t="shared" ca="1" si="122"/>
        <v>5.9391346881280699E-2</v>
      </c>
      <c r="AP557" s="19"/>
      <c r="AQ557" s="62">
        <f t="shared" ca="1" si="117"/>
        <v>1.2167897432103676</v>
      </c>
      <c r="AR557" s="62">
        <f t="shared" ca="1" si="118"/>
        <v>1.5025881674368753</v>
      </c>
      <c r="AS557" s="62">
        <f t="shared" ca="1" si="119"/>
        <v>0.9163716872740767</v>
      </c>
      <c r="AT557" s="49"/>
    </row>
    <row r="558" spans="1:46" x14ac:dyDescent="0.3">
      <c r="A558" s="5">
        <v>44272</v>
      </c>
      <c r="B558" s="6">
        <v>75.669998000000007</v>
      </c>
      <c r="C558" s="6">
        <v>121.07</v>
      </c>
      <c r="D558" s="6">
        <v>79.139999000000003</v>
      </c>
      <c r="F558" s="13">
        <v>555</v>
      </c>
      <c r="G558" s="5">
        <v>44272</v>
      </c>
      <c r="H558" s="15">
        <f t="shared" si="115"/>
        <v>-1.3217046774665801E-4</v>
      </c>
      <c r="I558" s="15">
        <f t="shared" si="115"/>
        <v>-5.6830198194823189E-3</v>
      </c>
      <c r="J558" s="15">
        <f t="shared" si="115"/>
        <v>-2.2718803301522198E-3</v>
      </c>
      <c r="K558" s="22"/>
      <c r="L558" s="13">
        <v>555</v>
      </c>
      <c r="M558" s="5">
        <v>44272</v>
      </c>
      <c r="N558" s="26">
        <f t="shared" si="112"/>
        <v>1.3383444757986476</v>
      </c>
      <c r="O558" s="26">
        <f t="shared" si="113"/>
        <v>1.1482359418012908</v>
      </c>
      <c r="P558" s="26">
        <f t="shared" si="114"/>
        <v>1.0473795803964951</v>
      </c>
      <c r="Q558" s="22"/>
      <c r="AD558" s="59">
        <v>554</v>
      </c>
      <c r="AE558" s="61">
        <f t="shared" ca="1" si="116"/>
        <v>-0.50074556442275064</v>
      </c>
      <c r="AF558" s="61">
        <f t="shared" ca="1" si="116"/>
        <v>-1.0883099351727732</v>
      </c>
      <c r="AG558" s="61">
        <f t="shared" ca="1" si="116"/>
        <v>0.27014496238347896</v>
      </c>
      <c r="AH558" s="19"/>
      <c r="AI558" s="61">
        <f ca="1"/>
        <v>-1.0858309441670575E-2</v>
      </c>
      <c r="AJ558" s="61">
        <f ca="1"/>
        <v>-3.1493362703736504E-2</v>
      </c>
      <c r="AK558" s="61">
        <f ca="1"/>
        <v>-8.1420672666560716E-3</v>
      </c>
      <c r="AL558" s="19"/>
      <c r="AM558" s="61">
        <f t="shared" ca="1" si="120"/>
        <v>-1.0507093119160331E-2</v>
      </c>
      <c r="AN558" s="61">
        <f t="shared" ca="1" si="121"/>
        <v>-3.1244310106819974E-2</v>
      </c>
      <c r="AO558" s="61">
        <f t="shared" ca="1" si="122"/>
        <v>-7.7103986634012535E-3</v>
      </c>
      <c r="AP558" s="19"/>
      <c r="AQ558" s="62">
        <f t="shared" ca="1" si="117"/>
        <v>1.2040717516371449</v>
      </c>
      <c r="AR558" s="62">
        <f t="shared" ca="1" si="118"/>
        <v>1.4563666761579686</v>
      </c>
      <c r="AS558" s="62">
        <f t="shared" ca="1" si="119"/>
        <v>0.90933326562938532</v>
      </c>
      <c r="AT558" s="49"/>
    </row>
    <row r="559" spans="1:46" x14ac:dyDescent="0.3">
      <c r="A559" s="5">
        <v>44273</v>
      </c>
      <c r="B559" s="6">
        <v>77.489998</v>
      </c>
      <c r="C559" s="6">
        <v>122.480003</v>
      </c>
      <c r="D559" s="6">
        <v>73.699996999999996</v>
      </c>
      <c r="F559" s="13">
        <v>556</v>
      </c>
      <c r="G559" s="5">
        <v>44273</v>
      </c>
      <c r="H559" s="15">
        <f t="shared" si="115"/>
        <v>2.3767115690200392E-2</v>
      </c>
      <c r="I559" s="15">
        <f t="shared" si="115"/>
        <v>1.1578885123573987E-2</v>
      </c>
      <c r="J559" s="15">
        <f t="shared" si="115"/>
        <v>-7.1215664831716027E-2</v>
      </c>
      <c r="K559" s="22"/>
      <c r="L559" s="13">
        <v>556</v>
      </c>
      <c r="M559" s="5">
        <v>44273</v>
      </c>
      <c r="N559" s="26">
        <f t="shared" si="112"/>
        <v>1.3705340755123085</v>
      </c>
      <c r="O559" s="26">
        <f t="shared" si="113"/>
        <v>1.1616085041424788</v>
      </c>
      <c r="P559" s="26">
        <f t="shared" si="114"/>
        <v>0.97538378706680229</v>
      </c>
      <c r="Q559" s="22"/>
      <c r="AD559" s="59">
        <v>555</v>
      </c>
      <c r="AE559" s="61">
        <f t="shared" ca="1" si="116"/>
        <v>0.13511349087588026</v>
      </c>
      <c r="AF559" s="61">
        <f t="shared" ca="1" si="116"/>
        <v>0.17009205292083659</v>
      </c>
      <c r="AG559" s="61">
        <f t="shared" ca="1" si="116"/>
        <v>-0.40378457433445097</v>
      </c>
      <c r="AH559" s="19"/>
      <c r="AI559" s="61">
        <f ca="1"/>
        <v>2.9298394192785104E-3</v>
      </c>
      <c r="AJ559" s="61">
        <f ca="1"/>
        <v>5.8119658744490363E-3</v>
      </c>
      <c r="AK559" s="61">
        <f ca="1"/>
        <v>-7.1507004674030671E-3</v>
      </c>
      <c r="AL559" s="19"/>
      <c r="AM559" s="61">
        <f t="shared" ca="1" si="120"/>
        <v>3.2810557417887547E-3</v>
      </c>
      <c r="AN559" s="61">
        <f t="shared" ca="1" si="121"/>
        <v>6.0610184713655669E-3</v>
      </c>
      <c r="AO559" s="61">
        <f t="shared" ca="1" si="122"/>
        <v>-6.7190318641482489E-3</v>
      </c>
      <c r="AP559" s="19"/>
      <c r="AQ559" s="62">
        <f t="shared" ca="1" si="117"/>
        <v>1.2080288663784322</v>
      </c>
      <c r="AR559" s="62">
        <f t="shared" ca="1" si="118"/>
        <v>1.4652205461133248</v>
      </c>
      <c r="AS559" s="62">
        <f t="shared" ca="1" si="119"/>
        <v>0.90324390664985554</v>
      </c>
      <c r="AT559" s="49"/>
    </row>
    <row r="560" spans="1:46" x14ac:dyDescent="0.3">
      <c r="A560" s="5">
        <v>44274</v>
      </c>
      <c r="B560" s="6">
        <v>76.709998999999996</v>
      </c>
      <c r="C560" s="6">
        <v>121.75</v>
      </c>
      <c r="D560" s="6">
        <v>73.699996999999996</v>
      </c>
      <c r="F560" s="13">
        <v>557</v>
      </c>
      <c r="G560" s="5">
        <v>44274</v>
      </c>
      <c r="H560" s="15">
        <f t="shared" si="115"/>
        <v>-1.0116805030981776E-2</v>
      </c>
      <c r="I560" s="15">
        <f t="shared" si="115"/>
        <v>-5.9780138805237215E-3</v>
      </c>
      <c r="J560" s="15">
        <f t="shared" si="115"/>
        <v>0</v>
      </c>
      <c r="K560" s="22"/>
      <c r="L560" s="13">
        <v>557</v>
      </c>
      <c r="M560" s="5">
        <v>44274</v>
      </c>
      <c r="N560" s="26">
        <f t="shared" si="112"/>
        <v>1.3567385504644756</v>
      </c>
      <c r="O560" s="26">
        <f t="shared" si="113"/>
        <v>1.1546851070810866</v>
      </c>
      <c r="P560" s="26">
        <f t="shared" si="114"/>
        <v>0.97538378706680229</v>
      </c>
      <c r="Q560" s="22"/>
      <c r="AD560" s="59">
        <v>556</v>
      </c>
      <c r="AE560" s="61">
        <f t="shared" ca="1" si="116"/>
        <v>7.2248341170629213E-2</v>
      </c>
      <c r="AF560" s="61">
        <f t="shared" ca="1" si="116"/>
        <v>-0.35829171435900375</v>
      </c>
      <c r="AG560" s="61">
        <f t="shared" ca="1" si="116"/>
        <v>-0.4589795598228007</v>
      </c>
      <c r="AH560" s="19"/>
      <c r="AI560" s="61">
        <f ca="1"/>
        <v>1.5666536077707045E-3</v>
      </c>
      <c r="AJ560" s="61">
        <f ca="1"/>
        <v>-6.6569795636134653E-3</v>
      </c>
      <c r="AK560" s="61">
        <f ca="1"/>
        <v>-1.3214782338432717E-2</v>
      </c>
      <c r="AL560" s="19"/>
      <c r="AM560" s="61">
        <f t="shared" ca="1" si="120"/>
        <v>1.9178699302809486E-3</v>
      </c>
      <c r="AN560" s="61">
        <f t="shared" ca="1" si="121"/>
        <v>-6.4079269666969347E-3</v>
      </c>
      <c r="AO560" s="61">
        <f t="shared" ca="1" si="122"/>
        <v>-1.2783113735177898E-2</v>
      </c>
      <c r="AP560" s="19"/>
      <c r="AQ560" s="62">
        <f t="shared" ca="1" si="117"/>
        <v>1.2103479317381935</v>
      </c>
      <c r="AR560" s="62">
        <f t="shared" ca="1" si="118"/>
        <v>1.4558615378091502</v>
      </c>
      <c r="AS560" s="62">
        <f t="shared" ca="1" si="119"/>
        <v>0.89177112224281219</v>
      </c>
      <c r="AT560" s="49"/>
    </row>
    <row r="561" spans="1:46" x14ac:dyDescent="0.3">
      <c r="A561" s="5">
        <v>44277</v>
      </c>
      <c r="B561" s="6">
        <v>75.5</v>
      </c>
      <c r="C561" s="6">
        <v>121.519997</v>
      </c>
      <c r="D561" s="6">
        <v>72.279999000000004</v>
      </c>
      <c r="F561" s="13">
        <v>558</v>
      </c>
      <c r="G561" s="5">
        <v>44277</v>
      </c>
      <c r="H561" s="15">
        <f t="shared" si="115"/>
        <v>-1.5899408680115724E-2</v>
      </c>
      <c r="I561" s="15">
        <f t="shared" si="115"/>
        <v>-1.8909283624762825E-3</v>
      </c>
      <c r="J561" s="15">
        <f t="shared" si="115"/>
        <v>-1.9455306600785063E-2</v>
      </c>
      <c r="K561" s="22"/>
      <c r="L561" s="13">
        <v>558</v>
      </c>
      <c r="M561" s="5">
        <v>44277</v>
      </c>
      <c r="N561" s="26">
        <f t="shared" si="112"/>
        <v>1.335337790319459</v>
      </c>
      <c r="O561" s="26">
        <f t="shared" si="113"/>
        <v>1.1525037433136618</v>
      </c>
      <c r="P561" s="26">
        <f t="shared" si="114"/>
        <v>0.95659080086264703</v>
      </c>
      <c r="Q561" s="22"/>
      <c r="AD561" s="59">
        <v>557</v>
      </c>
      <c r="AE561" s="61">
        <f t="shared" ca="1" si="116"/>
        <v>-0.32551908518065903</v>
      </c>
      <c r="AF561" s="61">
        <f t="shared" ca="1" si="116"/>
        <v>0.63118620258010871</v>
      </c>
      <c r="AG561" s="61">
        <f t="shared" ca="1" si="116"/>
        <v>1.5521059095591776</v>
      </c>
      <c r="AH561" s="19"/>
      <c r="AI561" s="61">
        <f ca="1"/>
        <v>-7.0586485576476709E-3</v>
      </c>
      <c r="AJ561" s="61">
        <f ca="1"/>
        <v>8.6243396958997631E-3</v>
      </c>
      <c r="AK561" s="61">
        <f ca="1"/>
        <v>3.9400265511391488E-2</v>
      </c>
      <c r="AL561" s="19"/>
      <c r="AM561" s="61">
        <f t="shared" ca="1" si="120"/>
        <v>-6.707432235137427E-3</v>
      </c>
      <c r="AN561" s="61">
        <f t="shared" ca="1" si="121"/>
        <v>8.8733922928162946E-3</v>
      </c>
      <c r="AO561" s="61">
        <f t="shared" ca="1" si="122"/>
        <v>3.9831934114646306E-2</v>
      </c>
      <c r="AP561" s="19"/>
      <c r="AQ561" s="62">
        <f t="shared" ca="1" si="117"/>
        <v>1.2022567707968301</v>
      </c>
      <c r="AR561" s="62">
        <f t="shared" ca="1" si="118"/>
        <v>1.4688374534125319</v>
      </c>
      <c r="AS561" s="62">
        <f t="shared" ca="1" si="119"/>
        <v>0.92800901238060285</v>
      </c>
      <c r="AT561" s="49"/>
    </row>
    <row r="562" spans="1:46" x14ac:dyDescent="0.3">
      <c r="A562" s="5">
        <v>44278</v>
      </c>
      <c r="B562" s="6">
        <v>73.440002000000007</v>
      </c>
      <c r="C562" s="6">
        <v>113.55999799999999</v>
      </c>
      <c r="D562" s="6">
        <v>70.080001999999993</v>
      </c>
      <c r="F562" s="13">
        <v>559</v>
      </c>
      <c r="G562" s="5">
        <v>44278</v>
      </c>
      <c r="H562" s="15">
        <f t="shared" si="115"/>
        <v>-2.7663882709628836E-2</v>
      </c>
      <c r="I562" s="15">
        <f t="shared" si="115"/>
        <v>-6.7747519607287851E-2</v>
      </c>
      <c r="J562" s="15">
        <f t="shared" si="115"/>
        <v>-3.0909976721993641E-2</v>
      </c>
      <c r="K562" s="22"/>
      <c r="L562" s="13">
        <v>559</v>
      </c>
      <c r="M562" s="5">
        <v>44278</v>
      </c>
      <c r="N562" s="26">
        <f t="shared" si="112"/>
        <v>1.2989034435991611</v>
      </c>
      <c r="O562" s="26">
        <f t="shared" si="113"/>
        <v>1.0770105827577658</v>
      </c>
      <c r="P562" s="26">
        <f t="shared" si="114"/>
        <v>0.92747490543872169</v>
      </c>
      <c r="Q562" s="22"/>
      <c r="AD562" s="59">
        <v>558</v>
      </c>
      <c r="AE562" s="61">
        <f t="shared" ca="1" si="116"/>
        <v>-0.24483933005716624</v>
      </c>
      <c r="AF562" s="61">
        <f t="shared" ca="1" si="116"/>
        <v>1.2530338587493801</v>
      </c>
      <c r="AG562" s="61">
        <f t="shared" ca="1" si="116"/>
        <v>-1.337130824402216</v>
      </c>
      <c r="AH562" s="19"/>
      <c r="AI562" s="61">
        <f ca="1"/>
        <v>-5.3091657682814196E-3</v>
      </c>
      <c r="AJ562" s="61">
        <f ca="1"/>
        <v>2.340365809285198E-2</v>
      </c>
      <c r="AK562" s="61">
        <f ca="1"/>
        <v>-2.9050424815563011E-2</v>
      </c>
      <c r="AL562" s="19"/>
      <c r="AM562" s="61">
        <f t="shared" ca="1" si="120"/>
        <v>-4.9579494457711757E-3</v>
      </c>
      <c r="AN562" s="61">
        <f t="shared" ca="1" si="121"/>
        <v>2.365271068976851E-2</v>
      </c>
      <c r="AO562" s="61">
        <f t="shared" ca="1" si="122"/>
        <v>-2.8618756212308194E-2</v>
      </c>
      <c r="AP562" s="19"/>
      <c r="AQ562" s="62">
        <f t="shared" ca="1" si="117"/>
        <v>1.1963107946110128</v>
      </c>
      <c r="AR562" s="62">
        <f t="shared" ca="1" si="118"/>
        <v>1.5039935704871552</v>
      </c>
      <c r="AS562" s="62">
        <f t="shared" ca="1" si="119"/>
        <v>0.90182698420469509</v>
      </c>
      <c r="AT562" s="49"/>
    </row>
    <row r="563" spans="1:46" x14ac:dyDescent="0.3">
      <c r="A563" s="5">
        <v>44279</v>
      </c>
      <c r="B563" s="6">
        <v>73.690002000000007</v>
      </c>
      <c r="C563" s="6">
        <v>113.959999</v>
      </c>
      <c r="D563" s="6">
        <v>71.779999000000004</v>
      </c>
      <c r="F563" s="13">
        <v>560</v>
      </c>
      <c r="G563" s="5">
        <v>44279</v>
      </c>
      <c r="H563" s="15">
        <f t="shared" si="115"/>
        <v>3.398358374282158E-3</v>
      </c>
      <c r="I563" s="15">
        <f t="shared" si="115"/>
        <v>3.5161868617635348E-3</v>
      </c>
      <c r="J563" s="15">
        <f t="shared" si="115"/>
        <v>2.3968396621055665E-2</v>
      </c>
      <c r="K563" s="22"/>
      <c r="L563" s="13">
        <v>560</v>
      </c>
      <c r="M563" s="5">
        <v>44279</v>
      </c>
      <c r="N563" s="26">
        <f t="shared" si="112"/>
        <v>1.3033250919114772</v>
      </c>
      <c r="O563" s="26">
        <f t="shared" si="113"/>
        <v>1.0808042188770064</v>
      </c>
      <c r="P563" s="26">
        <f t="shared" si="114"/>
        <v>0.94997354287913038</v>
      </c>
      <c r="Q563" s="22"/>
      <c r="AD563" s="59">
        <v>559</v>
      </c>
      <c r="AE563" s="61">
        <f t="shared" ca="1" si="116"/>
        <v>-0.28119900179162632</v>
      </c>
      <c r="AF563" s="61">
        <f t="shared" ca="1" si="116"/>
        <v>0.48267394015674797</v>
      </c>
      <c r="AG563" s="61">
        <f t="shared" ca="1" si="116"/>
        <v>-0.39606383798318739</v>
      </c>
      <c r="AH563" s="19"/>
      <c r="AI563" s="61">
        <f ca="1"/>
        <v>-6.097599246160457E-3</v>
      </c>
      <c r="AJ563" s="61">
        <f ca="1"/>
        <v>6.0899874659883172E-3</v>
      </c>
      <c r="AK563" s="61">
        <f ca="1"/>
        <v>-1.0902794307178254E-2</v>
      </c>
      <c r="AL563" s="19"/>
      <c r="AM563" s="61">
        <f t="shared" ca="1" si="120"/>
        <v>-5.7463829236502131E-3</v>
      </c>
      <c r="AN563" s="61">
        <f t="shared" ca="1" si="121"/>
        <v>6.3390400629048478E-3</v>
      </c>
      <c r="AO563" s="61">
        <f t="shared" ca="1" si="122"/>
        <v>-1.0471125703923435E-2</v>
      </c>
      <c r="AP563" s="19"/>
      <c r="AQ563" s="62">
        <f t="shared" ca="1" si="117"/>
        <v>1.1894560485498271</v>
      </c>
      <c r="AR563" s="62">
        <f t="shared" ca="1" si="118"/>
        <v>1.5135577277461429</v>
      </c>
      <c r="AS563" s="62">
        <f t="shared" ca="1" si="119"/>
        <v>0.89243310854837543</v>
      </c>
      <c r="AT563" s="49"/>
    </row>
    <row r="564" spans="1:46" x14ac:dyDescent="0.3">
      <c r="A564" s="5">
        <v>44280</v>
      </c>
      <c r="B564" s="6">
        <v>75.180000000000007</v>
      </c>
      <c r="C564" s="6">
        <v>118.300003</v>
      </c>
      <c r="D564" s="6">
        <v>72.419998000000007</v>
      </c>
      <c r="F564" s="13">
        <v>561</v>
      </c>
      <c r="G564" s="5">
        <v>44280</v>
      </c>
      <c r="H564" s="15">
        <f t="shared" si="115"/>
        <v>2.0018106216399711E-2</v>
      </c>
      <c r="I564" s="15">
        <f t="shared" si="115"/>
        <v>3.7376295488898224E-2</v>
      </c>
      <c r="J564" s="15">
        <f t="shared" si="115"/>
        <v>8.8766049328105109E-3</v>
      </c>
      <c r="K564" s="22"/>
      <c r="L564" s="13">
        <v>561</v>
      </c>
      <c r="M564" s="5">
        <v>44280</v>
      </c>
      <c r="N564" s="26">
        <f t="shared" si="112"/>
        <v>1.3296780804796946</v>
      </c>
      <c r="O564" s="26">
        <f t="shared" si="113"/>
        <v>1.1219651058049107</v>
      </c>
      <c r="P564" s="26">
        <f t="shared" si="114"/>
        <v>0.95844361986351578</v>
      </c>
      <c r="Q564" s="22"/>
      <c r="AD564" s="59">
        <v>560</v>
      </c>
      <c r="AE564" s="61">
        <f t="shared" ca="1" si="116"/>
        <v>-4.3969948891801301E-2</v>
      </c>
      <c r="AF564" s="61">
        <f t="shared" ca="1" si="116"/>
        <v>1.0324558080577377</v>
      </c>
      <c r="AG564" s="61">
        <f t="shared" ca="1" si="116"/>
        <v>-0.52331539515292846</v>
      </c>
      <c r="AH564" s="19"/>
      <c r="AI564" s="61">
        <f ca="1"/>
        <v>-9.5345689532367814E-4</v>
      </c>
      <c r="AJ564" s="61">
        <f ca="1"/>
        <v>2.175324512951092E-2</v>
      </c>
      <c r="AK564" s="61">
        <f ca="1"/>
        <v>-6.7859675050360229E-3</v>
      </c>
      <c r="AL564" s="19"/>
      <c r="AM564" s="61">
        <f t="shared" ca="1" si="120"/>
        <v>-6.0224057281343393E-4</v>
      </c>
      <c r="AN564" s="61">
        <f t="shared" ca="1" si="121"/>
        <v>2.200229772642745E-2</v>
      </c>
      <c r="AO564" s="61">
        <f t="shared" ca="1" si="122"/>
        <v>-6.3542989017812048E-3</v>
      </c>
      <c r="AP564" s="19"/>
      <c r="AQ564" s="62">
        <f t="shared" ca="1" si="117"/>
        <v>1.1887399255186288</v>
      </c>
      <c r="AR564" s="62">
        <f t="shared" ca="1" si="118"/>
        <v>1.5472285347295034</v>
      </c>
      <c r="AS564" s="62">
        <f t="shared" ca="1" si="119"/>
        <v>0.88678030066261004</v>
      </c>
      <c r="AT564" s="49"/>
    </row>
    <row r="565" spans="1:46" x14ac:dyDescent="0.3">
      <c r="A565" s="5">
        <v>44281</v>
      </c>
      <c r="B565" s="6">
        <v>77.139999000000003</v>
      </c>
      <c r="C565" s="6">
        <v>122.160004</v>
      </c>
      <c r="D565" s="6">
        <v>73.110000999999997</v>
      </c>
      <c r="F565" s="13">
        <v>562</v>
      </c>
      <c r="G565" s="5">
        <v>44281</v>
      </c>
      <c r="H565" s="15">
        <f t="shared" si="115"/>
        <v>2.5736701680606468E-2</v>
      </c>
      <c r="I565" s="15">
        <f t="shared" si="115"/>
        <v>3.2107897310721979E-2</v>
      </c>
      <c r="J565" s="15">
        <f t="shared" si="115"/>
        <v>9.482693262429568E-3</v>
      </c>
      <c r="K565" s="22"/>
      <c r="L565" s="13">
        <v>562</v>
      </c>
      <c r="M565" s="5">
        <v>44281</v>
      </c>
      <c r="N565" s="26">
        <f t="shared" si="112"/>
        <v>1.3643437855616594</v>
      </c>
      <c r="O565" s="26">
        <f t="shared" si="113"/>
        <v>1.1585736123184063</v>
      </c>
      <c r="P565" s="26">
        <f t="shared" si="114"/>
        <v>0.96757547558431645</v>
      </c>
      <c r="Q565" s="22"/>
      <c r="AD565" s="59">
        <v>561</v>
      </c>
      <c r="AE565" s="61">
        <f t="shared" ca="1" si="116"/>
        <v>1.61234428930576</v>
      </c>
      <c r="AF565" s="61">
        <f t="shared" ca="1" si="116"/>
        <v>0.67817198910495002</v>
      </c>
      <c r="AG565" s="61">
        <f t="shared" ca="1" si="116"/>
        <v>-0.16874765551796389</v>
      </c>
      <c r="AH565" s="19"/>
      <c r="AI565" s="61">
        <f ca="1"/>
        <v>3.4962532798417226E-2</v>
      </c>
      <c r="AJ565" s="61">
        <f ca="1"/>
        <v>3.9977715955566442E-2</v>
      </c>
      <c r="AK565" s="61">
        <f ca="1"/>
        <v>2.4275959513131912E-2</v>
      </c>
      <c r="AL565" s="19"/>
      <c r="AM565" s="61">
        <f t="shared" ca="1" si="120"/>
        <v>3.5313749120927468E-2</v>
      </c>
      <c r="AN565" s="61">
        <f t="shared" ca="1" si="121"/>
        <v>4.0226768552482972E-2</v>
      </c>
      <c r="AO565" s="61">
        <f t="shared" ca="1" si="122"/>
        <v>2.4707628116386729E-2</v>
      </c>
      <c r="AP565" s="19"/>
      <c r="AQ565" s="62">
        <f t="shared" ca="1" si="117"/>
        <v>1.2314688071541431</v>
      </c>
      <c r="AR565" s="62">
        <f t="shared" ca="1" si="118"/>
        <v>1.6107373522500394</v>
      </c>
      <c r="AS565" s="62">
        <f t="shared" ca="1" si="119"/>
        <v>0.90896345664113565</v>
      </c>
      <c r="AT565" s="49"/>
    </row>
    <row r="566" spans="1:46" x14ac:dyDescent="0.3">
      <c r="A566" s="5">
        <v>44284</v>
      </c>
      <c r="B566" s="6">
        <v>76.379997000000003</v>
      </c>
      <c r="C566" s="6">
        <v>117.989998</v>
      </c>
      <c r="D566" s="6">
        <v>71.860000999999997</v>
      </c>
      <c r="F566" s="13">
        <v>563</v>
      </c>
      <c r="G566" s="5">
        <v>44284</v>
      </c>
      <c r="H566" s="15">
        <f t="shared" si="115"/>
        <v>-9.9010972965668572E-3</v>
      </c>
      <c r="I566" s="15">
        <f t="shared" si="115"/>
        <v>-3.4731835493080121E-2</v>
      </c>
      <c r="J566" s="15">
        <f t="shared" si="115"/>
        <v>-1.7245374381923584E-2</v>
      </c>
      <c r="K566" s="22"/>
      <c r="L566" s="13">
        <v>563</v>
      </c>
      <c r="M566" s="5">
        <v>44284</v>
      </c>
      <c r="N566" s="26">
        <f t="shared" si="112"/>
        <v>1.350901939319032</v>
      </c>
      <c r="O566" s="26">
        <f t="shared" si="113"/>
        <v>1.1190249977423179</v>
      </c>
      <c r="P566" s="26">
        <f t="shared" si="114"/>
        <v>0.95103233062552495</v>
      </c>
      <c r="Q566" s="22"/>
      <c r="AD566" s="59">
        <v>562</v>
      </c>
      <c r="AE566" s="61">
        <f t="shared" ca="1" si="116"/>
        <v>0.26591095272960646</v>
      </c>
      <c r="AF566" s="61">
        <f t="shared" ca="1" si="116"/>
        <v>-0.7331327358802342</v>
      </c>
      <c r="AG566" s="61">
        <f t="shared" ca="1" si="116"/>
        <v>-0.98735290912965057</v>
      </c>
      <c r="AH566" s="19"/>
      <c r="AI566" s="61">
        <f ca="1"/>
        <v>5.7660888359460051E-3</v>
      </c>
      <c r="AJ566" s="61">
        <f ca="1"/>
        <v>-1.1773257970998294E-2</v>
      </c>
      <c r="AK566" s="61">
        <f ca="1"/>
        <v>-2.6530016149549317E-2</v>
      </c>
      <c r="AL566" s="19"/>
      <c r="AM566" s="61">
        <f t="shared" ca="1" si="120"/>
        <v>6.117305158456249E-3</v>
      </c>
      <c r="AN566" s="61">
        <f t="shared" ca="1" si="121"/>
        <v>-1.1524205374081763E-2</v>
      </c>
      <c r="AO566" s="61">
        <f t="shared" ca="1" si="122"/>
        <v>-2.60983475462945E-2</v>
      </c>
      <c r="AP566" s="19"/>
      <c r="AQ566" s="62">
        <f t="shared" ca="1" si="117"/>
        <v>1.2390251663540537</v>
      </c>
      <c r="AR566" s="62">
        <f t="shared" ca="1" si="118"/>
        <v>1.5922814333551536</v>
      </c>
      <c r="AS566" s="62">
        <f t="shared" ca="1" si="119"/>
        <v>0.88554789523214084</v>
      </c>
      <c r="AT566" s="49"/>
    </row>
    <row r="567" spans="1:46" x14ac:dyDescent="0.3">
      <c r="A567" s="5">
        <v>44285</v>
      </c>
      <c r="B567" s="6">
        <v>77.559997999999993</v>
      </c>
      <c r="C567" s="6">
        <v>120.239998</v>
      </c>
      <c r="D567" s="6">
        <v>71.779999000000004</v>
      </c>
      <c r="F567" s="13">
        <v>564</v>
      </c>
      <c r="G567" s="5">
        <v>44285</v>
      </c>
      <c r="H567" s="15">
        <f t="shared" si="115"/>
        <v>1.5330962067891106E-2</v>
      </c>
      <c r="I567" s="15">
        <f t="shared" si="115"/>
        <v>1.8889870650080291E-2</v>
      </c>
      <c r="J567" s="15">
        <f t="shared" si="115"/>
        <v>-1.1139238133163168E-3</v>
      </c>
      <c r="K567" s="22"/>
      <c r="L567" s="13">
        <v>564</v>
      </c>
      <c r="M567" s="5">
        <v>44285</v>
      </c>
      <c r="N567" s="26">
        <f t="shared" si="112"/>
        <v>1.3717721370397571</v>
      </c>
      <c r="O567" s="26">
        <f t="shared" si="113"/>
        <v>1.1403641475651716</v>
      </c>
      <c r="P567" s="26">
        <f t="shared" si="114"/>
        <v>0.94997354287913038</v>
      </c>
      <c r="Q567" s="22"/>
      <c r="AD567" s="59">
        <v>563</v>
      </c>
      <c r="AE567" s="61">
        <f t="shared" ca="1" si="116"/>
        <v>0.53043998802393799</v>
      </c>
      <c r="AF567" s="61">
        <f t="shared" ca="1" si="116"/>
        <v>2.817638512984793</v>
      </c>
      <c r="AG567" s="61">
        <f t="shared" ca="1" si="116"/>
        <v>-0.49625326298786016</v>
      </c>
      <c r="AH567" s="19"/>
      <c r="AI567" s="61">
        <f ca="1"/>
        <v>1.1502211780626747E-2</v>
      </c>
      <c r="AJ567" s="61">
        <f ca="1"/>
        <v>6.9546866280887298E-2</v>
      </c>
      <c r="AK567" s="61">
        <f ca="1"/>
        <v>1.4966662592193218E-2</v>
      </c>
      <c r="AL567" s="19"/>
      <c r="AM567" s="61">
        <f t="shared" ca="1" si="120"/>
        <v>1.1853428103136991E-2</v>
      </c>
      <c r="AN567" s="61">
        <f t="shared" ca="1" si="121"/>
        <v>6.9795918877803828E-2</v>
      </c>
      <c r="AO567" s="61">
        <f t="shared" ca="1" si="122"/>
        <v>1.5398331195448037E-2</v>
      </c>
      <c r="AP567" s="19"/>
      <c r="AQ567" s="62">
        <f t="shared" ca="1" si="117"/>
        <v>1.2537992508715903</v>
      </c>
      <c r="AR567" s="62">
        <f t="shared" ca="1" si="118"/>
        <v>1.7073863832455016</v>
      </c>
      <c r="AS567" s="62">
        <f t="shared" ca="1" si="119"/>
        <v>0.89928938147283843</v>
      </c>
      <c r="AT567" s="49"/>
    </row>
    <row r="568" spans="1:46" x14ac:dyDescent="0.3">
      <c r="A568" s="5">
        <v>44286</v>
      </c>
      <c r="B568" s="6">
        <v>78.069999999999993</v>
      </c>
      <c r="C568" s="6">
        <v>123.160004</v>
      </c>
      <c r="D568" s="6">
        <v>71.599997999999999</v>
      </c>
      <c r="F568" s="13">
        <v>565</v>
      </c>
      <c r="G568" s="5">
        <v>44286</v>
      </c>
      <c r="H568" s="15">
        <f t="shared" si="115"/>
        <v>6.5540555442368106E-3</v>
      </c>
      <c r="I568" s="15">
        <f t="shared" si="115"/>
        <v>2.3994626723057442E-2</v>
      </c>
      <c r="J568" s="15">
        <f t="shared" si="115"/>
        <v>-2.5108257543653137E-3</v>
      </c>
      <c r="K568" s="22"/>
      <c r="L568" s="13">
        <v>565</v>
      </c>
      <c r="M568" s="5">
        <v>44286</v>
      </c>
      <c r="N568" s="26">
        <f t="shared" si="112"/>
        <v>1.3807923349700684</v>
      </c>
      <c r="O568" s="26">
        <f t="shared" si="113"/>
        <v>1.1680576789063413</v>
      </c>
      <c r="P568" s="26">
        <f t="shared" si="114"/>
        <v>0.94759131677054842</v>
      </c>
      <c r="Q568" s="22"/>
      <c r="AD568" s="59">
        <v>564</v>
      </c>
      <c r="AE568" s="61">
        <f t="shared" ca="1" si="116"/>
        <v>-0.80860810961351992</v>
      </c>
      <c r="AF568" s="61">
        <f t="shared" ca="1" si="116"/>
        <v>-0.69008709958080283</v>
      </c>
      <c r="AG568" s="61">
        <f t="shared" ca="1" si="116"/>
        <v>-0.33314400137842998</v>
      </c>
      <c r="AH568" s="19"/>
      <c r="AI568" s="61">
        <f ca="1"/>
        <v>-1.7534088557228499E-2</v>
      </c>
      <c r="AJ568" s="61">
        <f ca="1"/>
        <v>-2.765635272531379E-2</v>
      </c>
      <c r="AK568" s="61">
        <f ca="1"/>
        <v>-2.53426719912993E-2</v>
      </c>
      <c r="AL568" s="19"/>
      <c r="AM568" s="61">
        <f t="shared" ca="1" si="120"/>
        <v>-1.7182872234718254E-2</v>
      </c>
      <c r="AN568" s="61">
        <f t="shared" ca="1" si="121"/>
        <v>-2.7407300128397261E-2</v>
      </c>
      <c r="AO568" s="61">
        <f t="shared" ca="1" si="122"/>
        <v>-2.4911003388044483E-2</v>
      </c>
      <c r="AP568" s="19"/>
      <c r="AQ568" s="62">
        <f t="shared" ca="1" si="117"/>
        <v>1.2324394157352418</v>
      </c>
      <c r="AR568" s="62">
        <f t="shared" ca="1" si="118"/>
        <v>1.6612269739857866</v>
      </c>
      <c r="AS568" s="62">
        <f t="shared" ca="1" si="119"/>
        <v>0.87716390867464933</v>
      </c>
      <c r="AT568" s="49"/>
    </row>
    <row r="569" spans="1:46" x14ac:dyDescent="0.3">
      <c r="A569" s="5">
        <v>44287</v>
      </c>
      <c r="B569" s="6">
        <v>77.660004000000001</v>
      </c>
      <c r="C569" s="6">
        <v>119.94000200000001</v>
      </c>
      <c r="D569" s="6">
        <v>75.300003000000004</v>
      </c>
      <c r="F569" s="13">
        <v>566</v>
      </c>
      <c r="G569" s="5">
        <v>44287</v>
      </c>
      <c r="H569" s="15">
        <f t="shared" si="115"/>
        <v>-5.2654843221124192E-3</v>
      </c>
      <c r="I569" s="15">
        <f t="shared" si="115"/>
        <v>-2.6492721119008598E-2</v>
      </c>
      <c r="J569" s="15">
        <f t="shared" si="115"/>
        <v>5.0385128612846053E-2</v>
      </c>
      <c r="K569" s="22"/>
      <c r="L569" s="13">
        <v>566</v>
      </c>
      <c r="M569" s="5">
        <v>44287</v>
      </c>
      <c r="N569" s="26">
        <f t="shared" si="112"/>
        <v>1.3735409024842431</v>
      </c>
      <c r="O569" s="26">
        <f t="shared" si="113"/>
        <v>1.1375189655250575</v>
      </c>
      <c r="P569" s="26">
        <f t="shared" si="114"/>
        <v>0.99655909202115134</v>
      </c>
      <c r="Q569" s="22"/>
      <c r="AD569" s="59">
        <v>565</v>
      </c>
      <c r="AE569" s="61">
        <f t="shared" ca="1" si="116"/>
        <v>-1.0773859942119643</v>
      </c>
      <c r="AF569" s="61">
        <f t="shared" ca="1" si="116"/>
        <v>0.92195393500804612</v>
      </c>
      <c r="AG569" s="61">
        <f t="shared" ca="1" si="116"/>
        <v>-1.1372482471630885</v>
      </c>
      <c r="AH569" s="19"/>
      <c r="AI569" s="61">
        <f ca="1"/>
        <v>-2.3362344760380075E-2</v>
      </c>
      <c r="AJ569" s="61">
        <f ca="1"/>
        <v>3.1759973195575261E-3</v>
      </c>
      <c r="AK569" s="61">
        <f ca="1"/>
        <v>-3.8562391084077233E-2</v>
      </c>
      <c r="AL569" s="19"/>
      <c r="AM569" s="61">
        <f t="shared" ca="1" si="120"/>
        <v>-2.3011128437869829E-2</v>
      </c>
      <c r="AN569" s="61">
        <f t="shared" ca="1" si="121"/>
        <v>3.4250499164740567E-3</v>
      </c>
      <c r="AO569" s="61">
        <f t="shared" ca="1" si="122"/>
        <v>-3.8130722480822415E-2</v>
      </c>
      <c r="AP569" s="19"/>
      <c r="AQ569" s="62">
        <f t="shared" ca="1" si="117"/>
        <v>1.2044034013185088</v>
      </c>
      <c r="AR569" s="62">
        <f t="shared" ca="1" si="118"/>
        <v>1.6669265143276082</v>
      </c>
      <c r="AS569" s="62">
        <f t="shared" ca="1" si="119"/>
        <v>0.84434666385865031</v>
      </c>
      <c r="AT569" s="49"/>
    </row>
    <row r="570" spans="1:46" x14ac:dyDescent="0.3">
      <c r="A570" s="5">
        <v>44291</v>
      </c>
      <c r="B570" s="6">
        <v>78.190002000000007</v>
      </c>
      <c r="C570" s="6">
        <v>123.30999799999999</v>
      </c>
      <c r="D570" s="6">
        <v>74.620002999999997</v>
      </c>
      <c r="F570" s="13">
        <v>567</v>
      </c>
      <c r="G570" s="5">
        <v>44291</v>
      </c>
      <c r="H570" s="15">
        <f t="shared" si="115"/>
        <v>6.8014119050538576E-3</v>
      </c>
      <c r="I570" s="15">
        <f t="shared" si="115"/>
        <v>2.7709859247786291E-2</v>
      </c>
      <c r="J570" s="15">
        <f t="shared" si="115"/>
        <v>-9.0715666497748777E-3</v>
      </c>
      <c r="K570" s="22"/>
      <c r="L570" s="13">
        <v>567</v>
      </c>
      <c r="M570" s="5">
        <v>44291</v>
      </c>
      <c r="N570" s="26">
        <f t="shared" si="112"/>
        <v>1.3829147615331667</v>
      </c>
      <c r="O570" s="26">
        <f t="shared" si="113"/>
        <v>1.1694802319901321</v>
      </c>
      <c r="P570" s="26">
        <f t="shared" si="114"/>
        <v>0.98755962116356866</v>
      </c>
      <c r="Q570" s="22"/>
      <c r="AD570" s="59">
        <v>566</v>
      </c>
      <c r="AE570" s="61">
        <f t="shared" ca="1" si="116"/>
        <v>0.40945682318676035</v>
      </c>
      <c r="AF570" s="61">
        <f t="shared" ca="1" si="116"/>
        <v>1.399667190191209</v>
      </c>
      <c r="AG570" s="61">
        <f t="shared" ca="1" si="116"/>
        <v>6.3015996914035033E-2</v>
      </c>
      <c r="AH570" s="19"/>
      <c r="AI570" s="61">
        <f ca="1"/>
        <v>8.8787783757815365E-3</v>
      </c>
      <c r="AJ570" s="61">
        <f ca="1"/>
        <v>3.6832147256586983E-2</v>
      </c>
      <c r="AK570" s="61">
        <f ca="1"/>
        <v>1.7521516314760056E-2</v>
      </c>
      <c r="AL570" s="19"/>
      <c r="AM570" s="61">
        <f t="shared" ca="1" si="120"/>
        <v>9.2299946982917803E-3</v>
      </c>
      <c r="AN570" s="61">
        <f t="shared" ca="1" si="121"/>
        <v>3.7081199853503513E-2</v>
      </c>
      <c r="AO570" s="61">
        <f t="shared" ca="1" si="122"/>
        <v>1.7953184918014873E-2</v>
      </c>
      <c r="AP570" s="19"/>
      <c r="AQ570" s="62">
        <f t="shared" ca="1" si="117"/>
        <v>1.2155714997854155</v>
      </c>
      <c r="AR570" s="62">
        <f t="shared" ca="1" si="118"/>
        <v>1.7298984719675188</v>
      </c>
      <c r="AS570" s="62">
        <f t="shared" ca="1" si="119"/>
        <v>0.85964226721386561</v>
      </c>
      <c r="AT570" s="49"/>
    </row>
    <row r="571" spans="1:46" x14ac:dyDescent="0.3">
      <c r="A571" s="5">
        <v>44292</v>
      </c>
      <c r="B571" s="6">
        <v>79.349997999999999</v>
      </c>
      <c r="C571" s="6">
        <v>123.699997</v>
      </c>
      <c r="D571" s="6">
        <v>74.180000000000007</v>
      </c>
      <c r="F571" s="13">
        <v>568</v>
      </c>
      <c r="G571" s="5">
        <v>44292</v>
      </c>
      <c r="H571" s="15">
        <f t="shared" si="115"/>
        <v>1.4726634052487862E-2</v>
      </c>
      <c r="I571" s="15">
        <f t="shared" si="115"/>
        <v>3.1577614830645634E-3</v>
      </c>
      <c r="J571" s="15">
        <f t="shared" si="115"/>
        <v>-5.9140359352648419E-3</v>
      </c>
      <c r="K571" s="22"/>
      <c r="L571" s="13">
        <v>568</v>
      </c>
      <c r="M571" s="5">
        <v>44292</v>
      </c>
      <c r="N571" s="26">
        <f t="shared" si="112"/>
        <v>1.4034311389559404</v>
      </c>
      <c r="O571" s="26">
        <f t="shared" si="113"/>
        <v>1.1731790084753602</v>
      </c>
      <c r="P571" s="26">
        <f t="shared" si="114"/>
        <v>0.98173639443452621</v>
      </c>
      <c r="Q571" s="22"/>
      <c r="AD571" s="59">
        <v>567</v>
      </c>
      <c r="AE571" s="61">
        <f t="shared" ca="1" si="116"/>
        <v>0.19583840109640138</v>
      </c>
      <c r="AF571" s="61">
        <f t="shared" ca="1" si="116"/>
        <v>0.75837100779826894</v>
      </c>
      <c r="AG571" s="61">
        <f t="shared" ca="1" si="116"/>
        <v>-0.99741339801262408</v>
      </c>
      <c r="AH571" s="19"/>
      <c r="AI571" s="61">
        <f ca="1"/>
        <v>4.2466156682148155E-3</v>
      </c>
      <c r="AJ571" s="61">
        <f ca="1"/>
        <v>1.9549294413380755E-2</v>
      </c>
      <c r="AK571" s="61">
        <f ca="1"/>
        <v>-1.7319269166417128E-2</v>
      </c>
      <c r="AL571" s="19"/>
      <c r="AM571" s="61">
        <f t="shared" ca="1" si="120"/>
        <v>4.5978319907250594E-3</v>
      </c>
      <c r="AN571" s="61">
        <f t="shared" ca="1" si="121"/>
        <v>1.9798347010297285E-2</v>
      </c>
      <c r="AO571" s="61">
        <f t="shared" ca="1" si="122"/>
        <v>-1.6887600563162311E-2</v>
      </c>
      <c r="AP571" s="19"/>
      <c r="AQ571" s="62">
        <f t="shared" ca="1" si="117"/>
        <v>1.2211733616553617</v>
      </c>
      <c r="AR571" s="62">
        <f t="shared" ca="1" si="118"/>
        <v>1.764488888873825</v>
      </c>
      <c r="AS571" s="62">
        <f t="shared" ca="1" si="119"/>
        <v>0.84524686598920395</v>
      </c>
      <c r="AT571" s="49"/>
    </row>
    <row r="572" spans="1:46" x14ac:dyDescent="0.3">
      <c r="A572" s="5">
        <v>44293</v>
      </c>
      <c r="B572" s="6">
        <v>79.580001999999993</v>
      </c>
      <c r="C572" s="6">
        <v>123.639999</v>
      </c>
      <c r="D572" s="6">
        <v>74.410004000000001</v>
      </c>
      <c r="F572" s="13">
        <v>569</v>
      </c>
      <c r="G572" s="5">
        <v>44293</v>
      </c>
      <c r="H572" s="15">
        <f t="shared" si="115"/>
        <v>2.8944083630960101E-3</v>
      </c>
      <c r="I572" s="15">
        <f t="shared" si="115"/>
        <v>-4.8514597030062428E-4</v>
      </c>
      <c r="J572" s="15">
        <f t="shared" si="115"/>
        <v>3.0958231039391422E-3</v>
      </c>
      <c r="K572" s="22"/>
      <c r="L572" s="13">
        <v>569</v>
      </c>
      <c r="M572" s="5">
        <v>44293</v>
      </c>
      <c r="N572" s="26">
        <f t="shared" si="112"/>
        <v>1.4074991261496439</v>
      </c>
      <c r="O572" s="26">
        <f t="shared" si="113"/>
        <v>1.1726099834482173</v>
      </c>
      <c r="P572" s="26">
        <f t="shared" si="114"/>
        <v>0.98478038604500762</v>
      </c>
      <c r="Q572" s="22"/>
      <c r="AD572" s="59">
        <v>568</v>
      </c>
      <c r="AE572" s="61">
        <f t="shared" ca="1" si="116"/>
        <v>-1.137917656994911</v>
      </c>
      <c r="AF572" s="61">
        <f t="shared" ca="1" si="116"/>
        <v>-1.2676878825488105</v>
      </c>
      <c r="AG572" s="61">
        <f t="shared" ca="1" si="116"/>
        <v>-0.40471193510912323</v>
      </c>
      <c r="AH572" s="19"/>
      <c r="AI572" s="61">
        <f ca="1"/>
        <v>-2.4674930576839133E-2</v>
      </c>
      <c r="AJ572" s="61">
        <f ca="1"/>
        <v>-4.5365557831961813E-2</v>
      </c>
      <c r="AK572" s="61">
        <f ca="1"/>
        <v>-3.6109698428359829E-2</v>
      </c>
      <c r="AL572" s="19"/>
      <c r="AM572" s="61">
        <f t="shared" ca="1" si="120"/>
        <v>-2.4323714254328888E-2</v>
      </c>
      <c r="AN572" s="61">
        <f t="shared" ca="1" si="121"/>
        <v>-4.5116505235045283E-2</v>
      </c>
      <c r="AO572" s="61">
        <f t="shared" ca="1" si="122"/>
        <v>-3.5678029825105012E-2</v>
      </c>
      <c r="AP572" s="19"/>
      <c r="AQ572" s="62">
        <f t="shared" ca="1" si="117"/>
        <v>1.1918282278819539</v>
      </c>
      <c r="AR572" s="62">
        <f t="shared" ca="1" si="118"/>
        <v>1.6866504194350118</v>
      </c>
      <c r="AS572" s="62">
        <f t="shared" ca="1" si="119"/>
        <v>0.81562174847942848</v>
      </c>
      <c r="AT572" s="49"/>
    </row>
    <row r="573" spans="1:46" x14ac:dyDescent="0.3">
      <c r="A573" s="5">
        <v>44294</v>
      </c>
      <c r="B573" s="6">
        <v>80.239998</v>
      </c>
      <c r="C573" s="6">
        <v>123.58000199999999</v>
      </c>
      <c r="D573" s="6">
        <v>72.879997000000003</v>
      </c>
      <c r="F573" s="13">
        <v>570</v>
      </c>
      <c r="G573" s="5">
        <v>44294</v>
      </c>
      <c r="H573" s="15">
        <f t="shared" si="115"/>
        <v>8.2592885977306654E-3</v>
      </c>
      <c r="I573" s="15">
        <f t="shared" si="115"/>
        <v>-4.8537335923634812E-4</v>
      </c>
      <c r="J573" s="15">
        <f t="shared" si="115"/>
        <v>-2.0776183377238421E-2</v>
      </c>
      <c r="K573" s="22"/>
      <c r="L573" s="13">
        <v>570</v>
      </c>
      <c r="M573" s="5">
        <v>44294</v>
      </c>
      <c r="N573" s="26">
        <f t="shared" si="112"/>
        <v>1.4191722069477857</v>
      </c>
      <c r="O573" s="26">
        <f t="shared" si="113"/>
        <v>1.1720409679051409</v>
      </c>
      <c r="P573" s="26">
        <f t="shared" si="114"/>
        <v>0.96453148397383504</v>
      </c>
      <c r="Q573" s="22"/>
      <c r="AD573" s="59">
        <v>569</v>
      </c>
      <c r="AE573" s="61">
        <f t="shared" ca="1" si="116"/>
        <v>0.52872866791542872</v>
      </c>
      <c r="AF573" s="61">
        <f t="shared" ca="1" si="116"/>
        <v>-0.4101119333958369</v>
      </c>
      <c r="AG573" s="61">
        <f t="shared" ca="1" si="116"/>
        <v>-1.0064589136847146</v>
      </c>
      <c r="AH573" s="19"/>
      <c r="AI573" s="61">
        <f ca="1"/>
        <v>1.1465103027974355E-2</v>
      </c>
      <c r="AJ573" s="61">
        <f ca="1"/>
        <v>-6.3836043017220963E-4</v>
      </c>
      <c r="AK573" s="61">
        <f ca="1"/>
        <v>-2.0861374572924266E-2</v>
      </c>
      <c r="AL573" s="19"/>
      <c r="AM573" s="61">
        <f t="shared" ca="1" si="120"/>
        <v>1.1816319350484598E-2</v>
      </c>
      <c r="AN573" s="61">
        <f t="shared" ca="1" si="121"/>
        <v>-3.8930783325567895E-4</v>
      </c>
      <c r="AO573" s="61">
        <f t="shared" ca="1" si="122"/>
        <v>-2.0429705969669448E-2</v>
      </c>
      <c r="AP573" s="19"/>
      <c r="AQ573" s="62">
        <f t="shared" ca="1" si="117"/>
        <v>1.2059947842768801</v>
      </c>
      <c r="AR573" s="62">
        <f t="shared" ca="1" si="118"/>
        <v>1.6859939210130426</v>
      </c>
      <c r="AS573" s="62">
        <f t="shared" ca="1" si="119"/>
        <v>0.79912789196502443</v>
      </c>
      <c r="AT573" s="49"/>
    </row>
    <row r="574" spans="1:46" x14ac:dyDescent="0.3">
      <c r="A574" s="5">
        <v>44295</v>
      </c>
      <c r="B574" s="6">
        <v>81.349997999999999</v>
      </c>
      <c r="C574" s="6">
        <v>127.540001</v>
      </c>
      <c r="D574" s="6">
        <v>71.089995999999999</v>
      </c>
      <c r="F574" s="13">
        <v>571</v>
      </c>
      <c r="G574" s="5">
        <v>44295</v>
      </c>
      <c r="H574" s="15">
        <f t="shared" si="115"/>
        <v>1.3738690351465009E-2</v>
      </c>
      <c r="I574" s="15">
        <f t="shared" si="115"/>
        <v>3.1541312911121118E-2</v>
      </c>
      <c r="J574" s="15">
        <f t="shared" si="115"/>
        <v>-2.4867588113459561E-2</v>
      </c>
      <c r="K574" s="22"/>
      <c r="L574" s="13">
        <v>571</v>
      </c>
      <c r="M574" s="5">
        <v>44295</v>
      </c>
      <c r="N574" s="26">
        <f t="shared" si="112"/>
        <v>1.4388043254544691</v>
      </c>
      <c r="O574" s="26">
        <f t="shared" si="113"/>
        <v>1.2095978621092969</v>
      </c>
      <c r="P574" s="26">
        <f t="shared" si="114"/>
        <v>0.9408416871583295</v>
      </c>
      <c r="Q574" s="22"/>
      <c r="AD574" s="59">
        <v>570</v>
      </c>
      <c r="AE574" s="61">
        <f t="shared" ca="1" si="116"/>
        <v>-0.13367407042295168</v>
      </c>
      <c r="AF574" s="61">
        <f t="shared" ca="1" si="116"/>
        <v>0.4709686095008021</v>
      </c>
      <c r="AG574" s="61">
        <f t="shared" ca="1" si="116"/>
        <v>-0.82722515950245301</v>
      </c>
      <c r="AH574" s="19"/>
      <c r="AI574" s="61">
        <f ca="1"/>
        <v>-2.8986266162003929E-3</v>
      </c>
      <c r="AJ574" s="61">
        <f ca="1"/>
        <v>8.1446702697952691E-3</v>
      </c>
      <c r="AK574" s="61">
        <f ca="1"/>
        <v>-1.9851800923728936E-2</v>
      </c>
      <c r="AL574" s="19"/>
      <c r="AM574" s="61">
        <f t="shared" ca="1" si="120"/>
        <v>-2.5474102936901485E-3</v>
      </c>
      <c r="AN574" s="61">
        <f t="shared" ca="1" si="121"/>
        <v>8.3937228667118006E-3</v>
      </c>
      <c r="AO574" s="61">
        <f t="shared" ca="1" si="122"/>
        <v>-1.9420132320474119E-2</v>
      </c>
      <c r="AP574" s="19"/>
      <c r="AQ574" s="62">
        <f t="shared" ca="1" si="117"/>
        <v>1.2029265304591905</v>
      </c>
      <c r="AR574" s="62">
        <f t="shared" ca="1" si="118"/>
        <v>1.7002052462662065</v>
      </c>
      <c r="AS574" s="62">
        <f t="shared" ca="1" si="119"/>
        <v>0.78375844395418437</v>
      </c>
      <c r="AT574" s="49"/>
    </row>
    <row r="575" spans="1:46" x14ac:dyDescent="0.3">
      <c r="A575" s="5">
        <v>44298</v>
      </c>
      <c r="B575" s="6">
        <v>81.849997999999999</v>
      </c>
      <c r="C575" s="6">
        <v>127.760002</v>
      </c>
      <c r="D575" s="6">
        <v>70.300003000000004</v>
      </c>
      <c r="F575" s="13">
        <v>572</v>
      </c>
      <c r="G575" s="5">
        <v>44298</v>
      </c>
      <c r="H575" s="15">
        <f t="shared" si="115"/>
        <v>6.1274703022811241E-3</v>
      </c>
      <c r="I575" s="15">
        <f t="shared" si="115"/>
        <v>1.7234708333058464E-3</v>
      </c>
      <c r="J575" s="15">
        <f t="shared" si="115"/>
        <v>-1.1174782183814376E-2</v>
      </c>
      <c r="K575" s="22"/>
      <c r="L575" s="13">
        <v>572</v>
      </c>
      <c r="M575" s="5">
        <v>44298</v>
      </c>
      <c r="N575" s="26">
        <f t="shared" si="112"/>
        <v>1.4476476220791012</v>
      </c>
      <c r="O575" s="26">
        <f t="shared" si="113"/>
        <v>1.2116843662427093</v>
      </c>
      <c r="P575" s="26">
        <f t="shared" si="114"/>
        <v>0.93038651218598512</v>
      </c>
      <c r="Q575" s="22"/>
      <c r="AD575" s="59">
        <v>571</v>
      </c>
      <c r="AE575" s="61">
        <f t="shared" ca="1" si="116"/>
        <v>1.7309345540492691</v>
      </c>
      <c r="AF575" s="61">
        <f t="shared" ca="1" si="116"/>
        <v>0.18037596313565818</v>
      </c>
      <c r="AG575" s="61">
        <f t="shared" ca="1" si="116"/>
        <v>-0.39278072721495583</v>
      </c>
      <c r="AH575" s="19"/>
      <c r="AI575" s="61">
        <f ca="1"/>
        <v>3.7534077876083725E-2</v>
      </c>
      <c r="AJ575" s="61">
        <f ca="1"/>
        <v>3.1013827665338264E-2</v>
      </c>
      <c r="AK575" s="61">
        <f ca="1"/>
        <v>1.6782769250967364E-2</v>
      </c>
      <c r="AL575" s="19"/>
      <c r="AM575" s="61">
        <f t="shared" ca="1" si="120"/>
        <v>3.7885294198593968E-2</v>
      </c>
      <c r="AN575" s="61">
        <f t="shared" ca="1" si="121"/>
        <v>3.1262880262254794E-2</v>
      </c>
      <c r="AO575" s="61">
        <f t="shared" ca="1" si="122"/>
        <v>1.7214437854222182E-2</v>
      </c>
      <c r="AP575" s="19"/>
      <c r="AQ575" s="62">
        <f t="shared" ca="1" si="117"/>
        <v>1.2493740393761019</v>
      </c>
      <c r="AR575" s="62">
        <f t="shared" ca="1" si="118"/>
        <v>1.7541981486172369</v>
      </c>
      <c r="AS575" s="62">
        <f t="shared" ca="1" si="119"/>
        <v>0.79736720248124093</v>
      </c>
      <c r="AT575" s="49"/>
    </row>
    <row r="576" spans="1:46" x14ac:dyDescent="0.3">
      <c r="A576" s="5">
        <v>44299</v>
      </c>
      <c r="B576" s="6">
        <v>82.57</v>
      </c>
      <c r="C576" s="6">
        <v>124.519997</v>
      </c>
      <c r="D576" s="6">
        <v>70.279999000000004</v>
      </c>
      <c r="F576" s="13">
        <v>573</v>
      </c>
      <c r="G576" s="5">
        <v>44299</v>
      </c>
      <c r="H576" s="15">
        <f t="shared" si="115"/>
        <v>8.7581390471354117E-3</v>
      </c>
      <c r="I576" s="15">
        <f t="shared" si="115"/>
        <v>-2.5687198080216939E-2</v>
      </c>
      <c r="J576" s="15">
        <f t="shared" si="115"/>
        <v>-2.8459240077422112E-4</v>
      </c>
      <c r="K576" s="22"/>
      <c r="L576" s="13">
        <v>573</v>
      </c>
      <c r="M576" s="5">
        <v>44299</v>
      </c>
      <c r="N576" s="26">
        <f t="shared" si="112"/>
        <v>1.4603820045917579</v>
      </c>
      <c r="O576" s="26">
        <f t="shared" si="113"/>
        <v>1.180955943077467</v>
      </c>
      <c r="P576" s="26">
        <f t="shared" si="114"/>
        <v>0.93012176892858056</v>
      </c>
      <c r="Q576" s="22"/>
      <c r="AD576" s="59">
        <v>572</v>
      </c>
      <c r="AE576" s="61">
        <f t="shared" ca="1" si="116"/>
        <v>-0.1983919070445696</v>
      </c>
      <c r="AF576" s="61">
        <f t="shared" ca="1" si="116"/>
        <v>-0.37956021346627261</v>
      </c>
      <c r="AG576" s="61">
        <f t="shared" ca="1" si="116"/>
        <v>0.21782585861306444</v>
      </c>
      <c r="AH576" s="19"/>
      <c r="AI576" s="61">
        <f ca="1"/>
        <v>-4.3019866184863765E-3</v>
      </c>
      <c r="AJ576" s="61">
        <f ca="1"/>
        <v>-1.1355424654051146E-2</v>
      </c>
      <c r="AK576" s="61">
        <f ca="1"/>
        <v>-2.3697919144070358E-5</v>
      </c>
      <c r="AL576" s="19"/>
      <c r="AM576" s="61">
        <f t="shared" ca="1" si="120"/>
        <v>-3.9507702959761326E-3</v>
      </c>
      <c r="AN576" s="61">
        <f t="shared" ca="1" si="121"/>
        <v>-1.1106372057134615E-2</v>
      </c>
      <c r="AO576" s="61">
        <f t="shared" ca="1" si="122"/>
        <v>4.0797068411074788E-4</v>
      </c>
      <c r="AP576" s="19"/>
      <c r="AQ576" s="62">
        <f t="shared" ca="1" si="117"/>
        <v>1.2444477871858339</v>
      </c>
      <c r="AR576" s="62">
        <f t="shared" ca="1" si="118"/>
        <v>1.7348231633748243</v>
      </c>
      <c r="AS576" s="62">
        <f t="shared" ca="1" si="119"/>
        <v>0.7976925712902796</v>
      </c>
      <c r="AT576" s="49"/>
    </row>
    <row r="577" spans="1:46" x14ac:dyDescent="0.3">
      <c r="A577" s="5">
        <v>44300</v>
      </c>
      <c r="B577" s="6">
        <v>82.889999000000003</v>
      </c>
      <c r="C577" s="6">
        <v>125.790001</v>
      </c>
      <c r="D577" s="6">
        <v>72.279999000000004</v>
      </c>
      <c r="F577" s="13">
        <v>574</v>
      </c>
      <c r="G577" s="5">
        <v>44300</v>
      </c>
      <c r="H577" s="15">
        <f t="shared" si="115"/>
        <v>3.867997109916269E-3</v>
      </c>
      <c r="I577" s="15">
        <f t="shared" si="115"/>
        <v>1.0147536319646691E-2</v>
      </c>
      <c r="J577" s="15">
        <f t="shared" si="115"/>
        <v>2.8060202798844514E-2</v>
      </c>
      <c r="K577" s="22"/>
      <c r="L577" s="13">
        <v>574</v>
      </c>
      <c r="M577" s="5">
        <v>44300</v>
      </c>
      <c r="N577" s="26">
        <f t="shared" si="112"/>
        <v>1.4660416967449295</v>
      </c>
      <c r="O577" s="26">
        <f t="shared" si="113"/>
        <v>1.1930007455804108</v>
      </c>
      <c r="P577" s="26">
        <f t="shared" si="114"/>
        <v>0.95659080086264703</v>
      </c>
      <c r="Q577" s="22"/>
      <c r="AD577" s="59">
        <v>573</v>
      </c>
      <c r="AE577" s="61">
        <f t="shared" ca="1" si="116"/>
        <v>0.4546929905261507</v>
      </c>
      <c r="AF577" s="61">
        <f t="shared" ca="1" si="116"/>
        <v>0.66993749831716998</v>
      </c>
      <c r="AG577" s="61">
        <f t="shared" ca="1" si="116"/>
        <v>0.28542088209025629</v>
      </c>
      <c r="AH577" s="19"/>
      <c r="AI577" s="61">
        <f ca="1"/>
        <v>9.859692312568025E-3</v>
      </c>
      <c r="AJ577" s="61">
        <f ca="1"/>
        <v>2.1678781599148638E-2</v>
      </c>
      <c r="AK577" s="61">
        <f ca="1"/>
        <v>1.8748815900752048E-2</v>
      </c>
      <c r="AL577" s="19"/>
      <c r="AM577" s="61">
        <f t="shared" ca="1" si="120"/>
        <v>1.0210908635078269E-2</v>
      </c>
      <c r="AN577" s="61">
        <f t="shared" ca="1" si="121"/>
        <v>2.1927834196065168E-2</v>
      </c>
      <c r="AO577" s="61">
        <f t="shared" ca="1" si="122"/>
        <v>1.9180484504006865E-2</v>
      </c>
      <c r="AP577" s="19"/>
      <c r="AQ577" s="62">
        <f t="shared" ca="1" si="117"/>
        <v>1.2572198259319107</v>
      </c>
      <c r="AR577" s="62">
        <f t="shared" ca="1" si="118"/>
        <v>1.7732842208162001</v>
      </c>
      <c r="AS577" s="62">
        <f t="shared" ca="1" si="119"/>
        <v>0.81314037589182997</v>
      </c>
      <c r="AT577" s="49"/>
    </row>
    <row r="578" spans="1:46" x14ac:dyDescent="0.3">
      <c r="A578" s="5">
        <v>44301</v>
      </c>
      <c r="B578" s="6">
        <v>82.230002999999996</v>
      </c>
      <c r="C578" s="6">
        <v>125.980003</v>
      </c>
      <c r="D578" s="6">
        <v>71.389999000000003</v>
      </c>
      <c r="F578" s="13">
        <v>575</v>
      </c>
      <c r="G578" s="5">
        <v>44301</v>
      </c>
      <c r="H578" s="15">
        <f t="shared" si="115"/>
        <v>-7.9941800734146182E-3</v>
      </c>
      <c r="I578" s="15">
        <f t="shared" si="115"/>
        <v>1.5093302065479124E-3</v>
      </c>
      <c r="J578" s="15">
        <f t="shared" si="115"/>
        <v>-1.2389662382136906E-2</v>
      </c>
      <c r="K578" s="22"/>
      <c r="L578" s="13">
        <v>575</v>
      </c>
      <c r="M578" s="5">
        <v>44301</v>
      </c>
      <c r="N578" s="26">
        <f t="shared" si="112"/>
        <v>1.4543686159467879</v>
      </c>
      <c r="O578" s="26">
        <f t="shared" si="113"/>
        <v>1.1948027372002514</v>
      </c>
      <c r="P578" s="26">
        <f t="shared" si="114"/>
        <v>0.94481208165198749</v>
      </c>
      <c r="Q578" s="22"/>
      <c r="AD578" s="59">
        <v>574</v>
      </c>
      <c r="AE578" s="61">
        <f t="shared" ca="1" si="116"/>
        <v>1.1873376091408783</v>
      </c>
      <c r="AF578" s="61">
        <f t="shared" ca="1" si="116"/>
        <v>0.80293274599601305</v>
      </c>
      <c r="AG578" s="61">
        <f t="shared" ca="1" si="116"/>
        <v>0.50390205579578506</v>
      </c>
      <c r="AH578" s="19"/>
      <c r="AI578" s="61">
        <f ca="1"/>
        <v>2.5746566895000166E-2</v>
      </c>
      <c r="AJ578" s="61">
        <f ca="1"/>
        <v>3.6037169789349087E-2</v>
      </c>
      <c r="AK578" s="61">
        <f ca="1"/>
        <v>3.6108131871410827E-2</v>
      </c>
      <c r="AL578" s="19"/>
      <c r="AM578" s="61">
        <f t="shared" ca="1" si="120"/>
        <v>2.6097783217510412E-2</v>
      </c>
      <c r="AN578" s="61">
        <f t="shared" ca="1" si="121"/>
        <v>3.6286222386265617E-2</v>
      </c>
      <c r="AO578" s="61">
        <f t="shared" ca="1" si="122"/>
        <v>3.6539800474665644E-2</v>
      </c>
      <c r="AP578" s="19"/>
      <c r="AQ578" s="62">
        <f t="shared" ca="1" si="117"/>
        <v>1.2904623679797762</v>
      </c>
      <c r="AR578" s="62">
        <f t="shared" ca="1" si="118"/>
        <v>1.8388116887551311</v>
      </c>
      <c r="AS578" s="62">
        <f t="shared" ca="1" si="119"/>
        <v>0.84340187056112403</v>
      </c>
      <c r="AT578" s="49"/>
    </row>
    <row r="579" spans="1:46" x14ac:dyDescent="0.3">
      <c r="A579" s="5">
        <v>44302</v>
      </c>
      <c r="B579" s="6">
        <v>83.300003000000004</v>
      </c>
      <c r="C579" s="6">
        <v>124.55999799999999</v>
      </c>
      <c r="D579" s="6">
        <v>72.5</v>
      </c>
      <c r="F579" s="13">
        <v>576</v>
      </c>
      <c r="G579" s="5">
        <v>44302</v>
      </c>
      <c r="H579" s="15">
        <f t="shared" si="115"/>
        <v>1.2928349721363436E-2</v>
      </c>
      <c r="I579" s="15">
        <f t="shared" si="115"/>
        <v>-1.1335676537862632E-2</v>
      </c>
      <c r="J579" s="15">
        <f t="shared" si="115"/>
        <v>1.5428772353824144E-2</v>
      </c>
      <c r="K579" s="22"/>
      <c r="L579" s="13">
        <v>576</v>
      </c>
      <c r="M579" s="5">
        <v>44302</v>
      </c>
      <c r="N579" s="26">
        <f t="shared" si="112"/>
        <v>1.4732932707235009</v>
      </c>
      <c r="O579" s="26">
        <f t="shared" si="113"/>
        <v>1.1813353152250508</v>
      </c>
      <c r="P579" s="26">
        <f t="shared" si="114"/>
        <v>0.95950240760991035</v>
      </c>
      <c r="Q579" s="22"/>
      <c r="AD579" s="59">
        <v>575</v>
      </c>
      <c r="AE579" s="61">
        <f t="shared" ca="1" si="116"/>
        <v>0.36795098810970983</v>
      </c>
      <c r="AF579" s="61">
        <f t="shared" ca="1" si="116"/>
        <v>-0.65897850824990467</v>
      </c>
      <c r="AG579" s="61">
        <f t="shared" ca="1" si="116"/>
        <v>-0.93223146680291835</v>
      </c>
      <c r="AH579" s="19"/>
      <c r="AI579" s="61">
        <f ca="1"/>
        <v>7.9787540262476614E-3</v>
      </c>
      <c r="AJ579" s="61">
        <f ca="1"/>
        <v>-8.5642752582768961E-3</v>
      </c>
      <c r="AK579" s="61">
        <f ca="1"/>
        <v>-2.3087881796692092E-2</v>
      </c>
      <c r="AL579" s="19"/>
      <c r="AM579" s="61">
        <f t="shared" ca="1" si="120"/>
        <v>8.3299703487579053E-3</v>
      </c>
      <c r="AN579" s="61">
        <f t="shared" ca="1" si="121"/>
        <v>-8.3152226613603646E-3</v>
      </c>
      <c r="AO579" s="61">
        <f t="shared" ca="1" si="122"/>
        <v>-2.2656213193437275E-2</v>
      </c>
      <c r="AP579" s="19"/>
      <c r="AQ579" s="62">
        <f t="shared" ca="1" si="117"/>
        <v>1.3012567773791841</v>
      </c>
      <c r="AR579" s="62">
        <f t="shared" ca="1" si="118"/>
        <v>1.8235849547078047</v>
      </c>
      <c r="AS579" s="62">
        <f t="shared" ca="1" si="119"/>
        <v>0.82450841323948254</v>
      </c>
      <c r="AT579" s="49"/>
    </row>
    <row r="580" spans="1:46" x14ac:dyDescent="0.3">
      <c r="A580" s="5">
        <v>44305</v>
      </c>
      <c r="B580" s="6">
        <v>81.480002999999996</v>
      </c>
      <c r="C580" s="6">
        <v>122.18</v>
      </c>
      <c r="D580" s="6">
        <v>70.849997999999999</v>
      </c>
      <c r="F580" s="13">
        <v>577</v>
      </c>
      <c r="G580" s="5">
        <v>44305</v>
      </c>
      <c r="H580" s="15">
        <f t="shared" si="115"/>
        <v>-2.2090957009746618E-2</v>
      </c>
      <c r="I580" s="15">
        <f t="shared" si="115"/>
        <v>-1.9292144247602824E-2</v>
      </c>
      <c r="J580" s="15">
        <f t="shared" si="115"/>
        <v>-2.3021623952592107E-2</v>
      </c>
      <c r="K580" s="22"/>
      <c r="L580" s="13">
        <v>577</v>
      </c>
      <c r="M580" s="5">
        <v>44305</v>
      </c>
      <c r="N580" s="26">
        <f t="shared" ref="N580:N643" si="123">B580/B$3</f>
        <v>1.4411036710098395</v>
      </c>
      <c r="O580" s="26">
        <f t="shared" ref="O580:O643" si="124">C580/C$3</f>
        <v>1.1587632557138987</v>
      </c>
      <c r="P580" s="26">
        <f t="shared" ref="P580:P643" si="125">D580/D$3</f>
        <v>0.93766542979527345</v>
      </c>
      <c r="Q580" s="22"/>
      <c r="AD580" s="59">
        <v>576</v>
      </c>
      <c r="AE580" s="61">
        <f t="shared" ca="1" si="116"/>
        <v>-2.7210249533709567</v>
      </c>
      <c r="AF580" s="61">
        <f t="shared" ca="1" si="116"/>
        <v>-0.15437748309948662</v>
      </c>
      <c r="AG580" s="61">
        <f t="shared" ca="1" si="116"/>
        <v>-0.53552841392446593</v>
      </c>
      <c r="AH580" s="19"/>
      <c r="AI580" s="61">
        <f ca="1"/>
        <v>-5.9003480093266156E-2</v>
      </c>
      <c r="AJ580" s="61">
        <f ca="1"/>
        <v>-4.5945953744860095E-2</v>
      </c>
      <c r="AK580" s="61">
        <f ca="1"/>
        <v>-5.5012040798441755E-2</v>
      </c>
      <c r="AL580" s="19"/>
      <c r="AM580" s="61">
        <f t="shared" ca="1" si="120"/>
        <v>-5.8652263770755914E-2</v>
      </c>
      <c r="AN580" s="61">
        <f t="shared" ca="1" si="121"/>
        <v>-4.5696901147943565E-2</v>
      </c>
      <c r="AO580" s="61">
        <f t="shared" ca="1" si="122"/>
        <v>-5.4580372195186938E-2</v>
      </c>
      <c r="AP580" s="19"/>
      <c r="AQ580" s="62">
        <f t="shared" ca="1" si="117"/>
        <v>1.2271302158969861</v>
      </c>
      <c r="AR580" s="62">
        <f t="shared" ca="1" si="118"/>
        <v>1.7421281103803743</v>
      </c>
      <c r="AS580" s="62">
        <f t="shared" ca="1" si="119"/>
        <v>0.78071250744231091</v>
      </c>
      <c r="AT580" s="49"/>
    </row>
    <row r="581" spans="1:46" x14ac:dyDescent="0.3">
      <c r="A581" s="5">
        <v>44306</v>
      </c>
      <c r="B581" s="6">
        <v>81.25</v>
      </c>
      <c r="C581" s="6">
        <v>119.44000200000001</v>
      </c>
      <c r="D581" s="6">
        <v>68.680000000000007</v>
      </c>
      <c r="F581" s="13">
        <v>578</v>
      </c>
      <c r="G581" s="5">
        <v>44306</v>
      </c>
      <c r="H581" s="15">
        <f t="shared" ref="H581:J644" si="126">LN(B581/B580)</f>
        <v>-2.8268069676087712E-3</v>
      </c>
      <c r="I581" s="15">
        <f t="shared" si="126"/>
        <v>-2.268119724587702E-2</v>
      </c>
      <c r="J581" s="15">
        <f t="shared" si="126"/>
        <v>-3.1106901878762114E-2</v>
      </c>
      <c r="K581" s="22"/>
      <c r="L581" s="13">
        <v>578</v>
      </c>
      <c r="M581" s="5">
        <v>44306</v>
      </c>
      <c r="N581" s="26">
        <f t="shared" si="123"/>
        <v>1.4370357015027291</v>
      </c>
      <c r="O581" s="26">
        <f t="shared" si="124"/>
        <v>1.1327769322310901</v>
      </c>
      <c r="P581" s="26">
        <f t="shared" si="125"/>
        <v>0.90894655661584334</v>
      </c>
      <c r="Q581" s="22"/>
      <c r="AD581" s="59">
        <v>577</v>
      </c>
      <c r="AE581" s="61">
        <f t="shared" ref="AE581:AG644" ca="1" si="127">_xlfn.NORM.S.INV(RAND())</f>
        <v>-0.8450167532567554</v>
      </c>
      <c r="AF581" s="61">
        <f t="shared" ca="1" si="127"/>
        <v>0.16975398431172192</v>
      </c>
      <c r="AG581" s="61">
        <f t="shared" ca="1" si="127"/>
        <v>-2.5664747572655382</v>
      </c>
      <c r="AH581" s="19"/>
      <c r="AI581" s="61">
        <f ca="1"/>
        <v>-1.8323583955925638E-2</v>
      </c>
      <c r="AJ581" s="61">
        <f ca="1"/>
        <v>-9.5367121755382239E-3</v>
      </c>
      <c r="AK581" s="61">
        <f ca="1"/>
        <v>-7.704306627359736E-2</v>
      </c>
      <c r="AL581" s="19"/>
      <c r="AM581" s="61">
        <f t="shared" ca="1" si="120"/>
        <v>-1.7972367633415393E-2</v>
      </c>
      <c r="AN581" s="61">
        <f t="shared" ca="1" si="121"/>
        <v>-9.2876595786216924E-3</v>
      </c>
      <c r="AO581" s="61">
        <f t="shared" ca="1" si="122"/>
        <v>-7.6611397670342543E-2</v>
      </c>
      <c r="AP581" s="19"/>
      <c r="AQ581" s="62">
        <f t="shared" ca="1" si="117"/>
        <v>1.2052727837627062</v>
      </c>
      <c r="AR581" s="62">
        <f t="shared" ca="1" si="118"/>
        <v>1.726022723993438</v>
      </c>
      <c r="AS581" s="62">
        <f t="shared" ca="1" si="119"/>
        <v>0.7231347464778014</v>
      </c>
      <c r="AT581" s="49"/>
    </row>
    <row r="582" spans="1:46" x14ac:dyDescent="0.3">
      <c r="A582" s="5">
        <v>44307</v>
      </c>
      <c r="B582" s="6">
        <v>82.5</v>
      </c>
      <c r="C582" s="6">
        <v>122.629997</v>
      </c>
      <c r="D582" s="6">
        <v>70.300003000000004</v>
      </c>
      <c r="F582" s="13">
        <v>579</v>
      </c>
      <c r="G582" s="5">
        <v>44307</v>
      </c>
      <c r="H582" s="15">
        <f t="shared" si="126"/>
        <v>1.5267472130788381E-2</v>
      </c>
      <c r="I582" s="15">
        <f t="shared" si="126"/>
        <v>2.6357497334356217E-2</v>
      </c>
      <c r="J582" s="15">
        <f t="shared" si="126"/>
        <v>2.3313805461596723E-2</v>
      </c>
      <c r="K582" s="22"/>
      <c r="L582" s="13">
        <v>579</v>
      </c>
      <c r="M582" s="5">
        <v>44307</v>
      </c>
      <c r="N582" s="26">
        <f t="shared" si="123"/>
        <v>1.4591439430643096</v>
      </c>
      <c r="O582" s="26">
        <f t="shared" si="124"/>
        <v>1.1630310572262696</v>
      </c>
      <c r="P582" s="26">
        <f t="shared" si="125"/>
        <v>0.93038651218598512</v>
      </c>
      <c r="Q582" s="22"/>
      <c r="AD582" s="59">
        <v>578</v>
      </c>
      <c r="AE582" s="61">
        <f t="shared" ca="1" si="127"/>
        <v>-0.7360406317707352</v>
      </c>
      <c r="AF582" s="61">
        <f t="shared" ca="1" si="127"/>
        <v>-1.2304683582087876</v>
      </c>
      <c r="AG582" s="61">
        <f t="shared" ca="1" si="127"/>
        <v>-1.0066069023560402</v>
      </c>
      <c r="AH582" s="19"/>
      <c r="AI582" s="61">
        <f ca="1"/>
        <v>-1.5960514698962026E-2</v>
      </c>
      <c r="AJ582" s="61">
        <f ca="1"/>
        <v>-3.8266238595127469E-2</v>
      </c>
      <c r="AK582" s="61">
        <f ca="1"/>
        <v>-4.533015093980905E-2</v>
      </c>
      <c r="AL582" s="19"/>
      <c r="AM582" s="61">
        <f t="shared" ca="1" si="120"/>
        <v>-1.5609298376451782E-2</v>
      </c>
      <c r="AN582" s="61">
        <f t="shared" ca="1" si="121"/>
        <v>-3.8017185998210939E-2</v>
      </c>
      <c r="AO582" s="61">
        <f t="shared" ca="1" si="122"/>
        <v>-4.4898482336554232E-2</v>
      </c>
      <c r="AP582" s="19"/>
      <c r="AQ582" s="62">
        <f t="shared" ref="AQ582:AQ645" ca="1" si="128">AQ581*EXP(AM582)</f>
        <v>1.1866053927188784</v>
      </c>
      <c r="AR582" s="62">
        <f t="shared" ref="AR582:AR645" ca="1" si="129">AR581*EXP(AN582)</f>
        <v>1.6616358555445305</v>
      </c>
      <c r="AS582" s="62">
        <f t="shared" ref="AS582:AS645" ca="1" si="130">AS581*EXP(AO582)</f>
        <v>0.69138518090437118</v>
      </c>
      <c r="AT582" s="49"/>
    </row>
    <row r="583" spans="1:46" x14ac:dyDescent="0.3">
      <c r="A583" s="5">
        <v>44308</v>
      </c>
      <c r="B583" s="6">
        <v>85.199996999999996</v>
      </c>
      <c r="C583" s="6">
        <v>123.43</v>
      </c>
      <c r="D583" s="6">
        <v>68.480002999999996</v>
      </c>
      <c r="F583" s="13">
        <v>580</v>
      </c>
      <c r="G583" s="5">
        <v>44308</v>
      </c>
      <c r="H583" s="15">
        <f t="shared" si="126"/>
        <v>3.2203105283366548E-2</v>
      </c>
      <c r="I583" s="15">
        <f t="shared" si="126"/>
        <v>6.502526445737373E-3</v>
      </c>
      <c r="J583" s="15">
        <f t="shared" si="126"/>
        <v>-2.6230065848974669E-2</v>
      </c>
      <c r="K583" s="22"/>
      <c r="L583" s="13">
        <v>580</v>
      </c>
      <c r="M583" s="5">
        <v>44308</v>
      </c>
      <c r="N583" s="26">
        <f t="shared" si="123"/>
        <v>1.5068976917775434</v>
      </c>
      <c r="O583" s="26">
        <f t="shared" si="124"/>
        <v>1.1706183389488176</v>
      </c>
      <c r="P583" s="26">
        <f t="shared" si="125"/>
        <v>0.90629969312598446</v>
      </c>
      <c r="Q583" s="22"/>
      <c r="AD583" s="59">
        <v>579</v>
      </c>
      <c r="AE583" s="61">
        <f t="shared" ca="1" si="127"/>
        <v>-0.54178295197630943</v>
      </c>
      <c r="AF583" s="61">
        <f t="shared" ca="1" si="127"/>
        <v>0.66379136417725326</v>
      </c>
      <c r="AG583" s="61">
        <f t="shared" ca="1" si="127"/>
        <v>-0.66389500485837183</v>
      </c>
      <c r="AH583" s="19"/>
      <c r="AI583" s="61">
        <f ca="1"/>
        <v>-1.1748175841681479E-2</v>
      </c>
      <c r="AJ583" s="61">
        <f ca="1"/>
        <v>5.9480109401018177E-3</v>
      </c>
      <c r="AK583" s="61">
        <f ca="1"/>
        <v>-2.0339374600213293E-2</v>
      </c>
      <c r="AL583" s="19"/>
      <c r="AM583" s="61">
        <f t="shared" ref="AM583:AM646" ca="1" si="131">AI583+T$3</f>
        <v>-1.1396959519171235E-2</v>
      </c>
      <c r="AN583" s="61">
        <f t="shared" ref="AN583:AN646" ca="1" si="132">AJ583+U$3</f>
        <v>6.1970635370183482E-3</v>
      </c>
      <c r="AO583" s="61">
        <f t="shared" ref="AO583:AO646" ca="1" si="133">AK583+V$3</f>
        <v>-1.9907705996958475E-2</v>
      </c>
      <c r="AP583" s="19"/>
      <c r="AQ583" s="62">
        <f t="shared" ca="1" si="128"/>
        <v>1.1731584716525252</v>
      </c>
      <c r="AR583" s="62">
        <f t="shared" ca="1" si="129"/>
        <v>1.671965090924068</v>
      </c>
      <c r="AS583" s="62">
        <f t="shared" ca="1" si="130"/>
        <v>0.67775738712222211</v>
      </c>
      <c r="AT583" s="49"/>
    </row>
    <row r="584" spans="1:46" x14ac:dyDescent="0.3">
      <c r="A584" s="5">
        <v>44309</v>
      </c>
      <c r="B584" s="6">
        <v>87</v>
      </c>
      <c r="C584" s="6">
        <v>125.480003</v>
      </c>
      <c r="D584" s="6">
        <v>70.180000000000007</v>
      </c>
      <c r="F584" s="13">
        <v>581</v>
      </c>
      <c r="G584" s="5">
        <v>44309</v>
      </c>
      <c r="H584" s="15">
        <f t="shared" si="126"/>
        <v>2.0906720030582037E-2</v>
      </c>
      <c r="I584" s="15">
        <f t="shared" si="126"/>
        <v>1.6472213474832312E-2</v>
      </c>
      <c r="J584" s="15">
        <f t="shared" si="126"/>
        <v>2.4521594513172224E-2</v>
      </c>
      <c r="K584" s="22"/>
      <c r="L584" s="13">
        <v>581</v>
      </c>
      <c r="M584" s="5">
        <v>44309</v>
      </c>
      <c r="N584" s="26">
        <f t="shared" si="123"/>
        <v>1.5387336126859992</v>
      </c>
      <c r="O584" s="26">
        <f t="shared" si="124"/>
        <v>1.190060703906284</v>
      </c>
      <c r="P584" s="26">
        <f t="shared" si="125"/>
        <v>0.92879833056639327</v>
      </c>
      <c r="Q584" s="22"/>
      <c r="AD584" s="59">
        <v>580</v>
      </c>
      <c r="AE584" s="61">
        <f t="shared" ca="1" si="127"/>
        <v>1.8254489202061808</v>
      </c>
      <c r="AF584" s="61">
        <f t="shared" ca="1" si="127"/>
        <v>1.684355607700579</v>
      </c>
      <c r="AG584" s="61">
        <f t="shared" ca="1" si="127"/>
        <v>0.26895376790844722</v>
      </c>
      <c r="AH584" s="19"/>
      <c r="AI584" s="61">
        <f ca="1"/>
        <v>3.9583554311482937E-2</v>
      </c>
      <c r="AJ584" s="61">
        <f ca="1"/>
        <v>6.5183726505234171E-2</v>
      </c>
      <c r="AK584" s="61">
        <f ca="1"/>
        <v>4.5724596194432712E-2</v>
      </c>
      <c r="AL584" s="19"/>
      <c r="AM584" s="61">
        <f t="shared" ca="1" si="131"/>
        <v>3.9934770633993179E-2</v>
      </c>
      <c r="AN584" s="61">
        <f t="shared" ca="1" si="132"/>
        <v>6.5432779102150701E-2</v>
      </c>
      <c r="AO584" s="61">
        <f t="shared" ca="1" si="133"/>
        <v>4.615626479768753E-2</v>
      </c>
      <c r="AP584" s="19"/>
      <c r="AQ584" s="62">
        <f t="shared" ca="1" si="128"/>
        <v>1.2209563323259822</v>
      </c>
      <c r="AR584" s="62">
        <f t="shared" ca="1" si="129"/>
        <v>1.7850249896058037</v>
      </c>
      <c r="AS584" s="62">
        <f t="shared" ca="1" si="130"/>
        <v>0.70977332081167932</v>
      </c>
      <c r="AT584" s="49"/>
    </row>
    <row r="585" spans="1:46" x14ac:dyDescent="0.3">
      <c r="A585" s="5">
        <v>44312</v>
      </c>
      <c r="B585" s="6">
        <v>87.699996999999996</v>
      </c>
      <c r="C585" s="6">
        <v>125.83000199999999</v>
      </c>
      <c r="D585" s="6">
        <v>70.519997000000004</v>
      </c>
      <c r="F585" s="13">
        <v>582</v>
      </c>
      <c r="G585" s="5">
        <v>44312</v>
      </c>
      <c r="H585" s="15">
        <f t="shared" si="126"/>
        <v>8.013746516027348E-3</v>
      </c>
      <c r="I585" s="15">
        <f t="shared" si="126"/>
        <v>2.7853982676675415E-3</v>
      </c>
      <c r="J585" s="15">
        <f t="shared" si="126"/>
        <v>4.8329448334763969E-3</v>
      </c>
      <c r="K585" s="22"/>
      <c r="L585" s="13">
        <v>582</v>
      </c>
      <c r="M585" s="5">
        <v>44312</v>
      </c>
      <c r="N585" s="26">
        <f t="shared" si="123"/>
        <v>1.5511141749007045</v>
      </c>
      <c r="O585" s="26">
        <f t="shared" si="124"/>
        <v>1.1933801177279946</v>
      </c>
      <c r="P585" s="26">
        <f t="shared" si="125"/>
        <v>0.93329802629163661</v>
      </c>
      <c r="Q585" s="22"/>
      <c r="AD585" s="59">
        <v>581</v>
      </c>
      <c r="AE585" s="61">
        <f t="shared" ca="1" si="127"/>
        <v>0.56875817120466721</v>
      </c>
      <c r="AF585" s="61">
        <f t="shared" ca="1" si="127"/>
        <v>3.1336939073685071</v>
      </c>
      <c r="AG585" s="61">
        <f t="shared" ca="1" si="127"/>
        <v>1.1311931188950495</v>
      </c>
      <c r="AH585" s="19"/>
      <c r="AI585" s="61">
        <f ca="1"/>
        <v>1.2333114178531385E-2</v>
      </c>
      <c r="AJ585" s="61">
        <f ca="1"/>
        <v>7.7016421051200074E-2</v>
      </c>
      <c r="AK585" s="61">
        <f ca="1"/>
        <v>5.9453745612015149E-2</v>
      </c>
      <c r="AL585" s="19"/>
      <c r="AM585" s="61">
        <f t="shared" ca="1" si="131"/>
        <v>1.2684330501041629E-2</v>
      </c>
      <c r="AN585" s="61">
        <f t="shared" ca="1" si="132"/>
        <v>7.7265473648116603E-2</v>
      </c>
      <c r="AO585" s="61">
        <f t="shared" ca="1" si="133"/>
        <v>5.9885414215269966E-2</v>
      </c>
      <c r="AP585" s="19"/>
      <c r="AQ585" s="62">
        <f t="shared" ca="1" si="128"/>
        <v>1.2365419837826486</v>
      </c>
      <c r="AR585" s="62">
        <f t="shared" ca="1" si="129"/>
        <v>1.928413971330893</v>
      </c>
      <c r="AS585" s="62">
        <f t="shared" ca="1" si="130"/>
        <v>0.75357689765314884</v>
      </c>
      <c r="AT585" s="49"/>
    </row>
    <row r="586" spans="1:46" x14ac:dyDescent="0.3">
      <c r="A586" s="5">
        <v>44313</v>
      </c>
      <c r="B586" s="6">
        <v>88.940002000000007</v>
      </c>
      <c r="C586" s="6">
        <v>128.85000600000001</v>
      </c>
      <c r="D586" s="6">
        <v>71.819999999999993</v>
      </c>
      <c r="F586" s="13">
        <v>583</v>
      </c>
      <c r="G586" s="5">
        <v>44313</v>
      </c>
      <c r="H586" s="15">
        <f t="shared" si="126"/>
        <v>1.4040142399009118E-2</v>
      </c>
      <c r="I586" s="15">
        <f t="shared" si="126"/>
        <v>2.3717178165810069E-2</v>
      </c>
      <c r="J586" s="15">
        <f t="shared" si="126"/>
        <v>1.8266673809391145E-2</v>
      </c>
      <c r="K586" s="22"/>
      <c r="L586" s="13">
        <v>583</v>
      </c>
      <c r="M586" s="5">
        <v>44313</v>
      </c>
      <c r="N586" s="26">
        <f t="shared" si="123"/>
        <v>1.5730456389627587</v>
      </c>
      <c r="O586" s="26">
        <f t="shared" si="124"/>
        <v>1.2220220367598247</v>
      </c>
      <c r="P586" s="26">
        <f t="shared" si="125"/>
        <v>0.95050293675232755</v>
      </c>
      <c r="Q586" s="22"/>
      <c r="AD586" s="59">
        <v>582</v>
      </c>
      <c r="AE586" s="61">
        <f t="shared" ca="1" si="127"/>
        <v>-0.57239959305504451</v>
      </c>
      <c r="AF586" s="61">
        <f t="shared" ca="1" si="127"/>
        <v>0.30001789037897325</v>
      </c>
      <c r="AG586" s="61">
        <f t="shared" ca="1" si="127"/>
        <v>-0.6259172230460075</v>
      </c>
      <c r="AH586" s="19"/>
      <c r="AI586" s="61">
        <f ca="1"/>
        <v>-1.2412075807087471E-2</v>
      </c>
      <c r="AJ586" s="61">
        <f ca="1"/>
        <v>-2.4381977053185306E-3</v>
      </c>
      <c r="AK586" s="61">
        <f ca="1"/>
        <v>-2.2380623511316321E-2</v>
      </c>
      <c r="AL586" s="19"/>
      <c r="AM586" s="61">
        <f t="shared" ca="1" si="131"/>
        <v>-1.2060859484577227E-2</v>
      </c>
      <c r="AN586" s="61">
        <f t="shared" ca="1" si="132"/>
        <v>-2.189145108402E-3</v>
      </c>
      <c r="AO586" s="61">
        <f t="shared" ca="1" si="133"/>
        <v>-2.1948954908061504E-2</v>
      </c>
      <c r="AP586" s="19"/>
      <c r="AQ586" s="62">
        <f t="shared" ca="1" si="128"/>
        <v>1.221717800563578</v>
      </c>
      <c r="AR586" s="62">
        <f t="shared" ca="1" si="129"/>
        <v>1.9241970107719677</v>
      </c>
      <c r="AS586" s="62">
        <f t="shared" ca="1" si="130"/>
        <v>0.73721687183194895</v>
      </c>
      <c r="AT586" s="49"/>
    </row>
    <row r="587" spans="1:46" x14ac:dyDescent="0.3">
      <c r="A587" s="5">
        <v>44314</v>
      </c>
      <c r="B587" s="6">
        <v>87.68</v>
      </c>
      <c r="C587" s="6">
        <v>132.28999300000001</v>
      </c>
      <c r="D587" s="6">
        <v>74.120002999999997</v>
      </c>
      <c r="F587" s="13">
        <v>584</v>
      </c>
      <c r="G587" s="5">
        <v>44314</v>
      </c>
      <c r="H587" s="15">
        <f t="shared" si="126"/>
        <v>-1.4268184369914673E-2</v>
      </c>
      <c r="I587" s="15">
        <f t="shared" si="126"/>
        <v>2.6347445896087677E-2</v>
      </c>
      <c r="J587" s="15">
        <f t="shared" si="126"/>
        <v>3.1522453094127004E-2</v>
      </c>
      <c r="K587" s="22"/>
      <c r="L587" s="13">
        <v>584</v>
      </c>
      <c r="M587" s="5">
        <v>44314</v>
      </c>
      <c r="N587" s="26">
        <f t="shared" si="123"/>
        <v>1.550760496095499</v>
      </c>
      <c r="O587" s="26">
        <f t="shared" si="124"/>
        <v>1.2546471025294557</v>
      </c>
      <c r="P587" s="26">
        <f t="shared" si="125"/>
        <v>0.98094236318005201</v>
      </c>
      <c r="Q587" s="22"/>
      <c r="AD587" s="59">
        <v>583</v>
      </c>
      <c r="AE587" s="61">
        <f t="shared" ca="1" si="127"/>
        <v>-0.28558234568548491</v>
      </c>
      <c r="AF587" s="61">
        <f t="shared" ca="1" si="127"/>
        <v>-0.61736698742314022</v>
      </c>
      <c r="AG587" s="61">
        <f t="shared" ca="1" si="127"/>
        <v>0.64066135743510322</v>
      </c>
      <c r="AH587" s="19"/>
      <c r="AI587" s="61">
        <f ca="1"/>
        <v>-6.1926489236221859E-3</v>
      </c>
      <c r="AJ587" s="61">
        <f ca="1"/>
        <v>-1.788913108990688E-2</v>
      </c>
      <c r="AK587" s="61">
        <f ca="1"/>
        <v>7.8462973834808707E-3</v>
      </c>
      <c r="AL587" s="19"/>
      <c r="AM587" s="61">
        <f t="shared" ca="1" si="131"/>
        <v>-5.841432601111942E-3</v>
      </c>
      <c r="AN587" s="61">
        <f t="shared" ca="1" si="132"/>
        <v>-1.764007849299035E-2</v>
      </c>
      <c r="AO587" s="61">
        <f t="shared" ca="1" si="133"/>
        <v>8.2779659867356897E-3</v>
      </c>
      <c r="AP587" s="19"/>
      <c r="AQ587" s="62">
        <f t="shared" ca="1" si="128"/>
        <v>1.2146020217789986</v>
      </c>
      <c r="AR587" s="62">
        <f t="shared" ca="1" si="129"/>
        <v>1.8905516503199742</v>
      </c>
      <c r="AS587" s="62">
        <f t="shared" ca="1" si="130"/>
        <v>0.74334485665361782</v>
      </c>
      <c r="AT587" s="49"/>
    </row>
    <row r="588" spans="1:46" x14ac:dyDescent="0.3">
      <c r="A588" s="5">
        <v>44315</v>
      </c>
      <c r="B588" s="6">
        <v>88.800003000000004</v>
      </c>
      <c r="C588" s="6">
        <v>133.41000399999999</v>
      </c>
      <c r="D588" s="6">
        <v>74.860000999999997</v>
      </c>
      <c r="F588" s="13">
        <v>585</v>
      </c>
      <c r="G588" s="5">
        <v>44315</v>
      </c>
      <c r="H588" s="15">
        <f t="shared" si="126"/>
        <v>1.2692860582202193E-2</v>
      </c>
      <c r="I588" s="15">
        <f t="shared" si="126"/>
        <v>8.4306936132391812E-3</v>
      </c>
      <c r="J588" s="15">
        <f t="shared" si="126"/>
        <v>9.9342739424877133E-3</v>
      </c>
      <c r="K588" s="22"/>
      <c r="L588" s="13">
        <v>585</v>
      </c>
      <c r="M588" s="5">
        <v>44315</v>
      </c>
      <c r="N588" s="26">
        <f t="shared" si="123"/>
        <v>1.5705695335944547</v>
      </c>
      <c r="O588" s="26">
        <f t="shared" si="124"/>
        <v>1.2652693614326751</v>
      </c>
      <c r="P588" s="26">
        <f t="shared" si="125"/>
        <v>0.9907358785266247</v>
      </c>
      <c r="Q588" s="22"/>
      <c r="AD588" s="59">
        <v>584</v>
      </c>
      <c r="AE588" s="61">
        <f t="shared" ca="1" si="127"/>
        <v>0.63827585692510613</v>
      </c>
      <c r="AF588" s="61">
        <f t="shared" ca="1" si="127"/>
        <v>-1.4572881162509865</v>
      </c>
      <c r="AG588" s="61">
        <f t="shared" ca="1" si="127"/>
        <v>0.4326079125047374</v>
      </c>
      <c r="AH588" s="19"/>
      <c r="AI588" s="61">
        <f ca="1"/>
        <v>1.3840555475772827E-2</v>
      </c>
      <c r="AJ588" s="61">
        <f ca="1"/>
        <v>-2.1685130763488297E-2</v>
      </c>
      <c r="AK588" s="61">
        <f ca="1"/>
        <v>1.0251375360108648E-2</v>
      </c>
      <c r="AL588" s="19"/>
      <c r="AM588" s="61">
        <f t="shared" ca="1" si="131"/>
        <v>1.419177179828307E-2</v>
      </c>
      <c r="AN588" s="61">
        <f t="shared" ca="1" si="132"/>
        <v>-2.1436078166571768E-2</v>
      </c>
      <c r="AO588" s="61">
        <f t="shared" ca="1" si="133"/>
        <v>1.0683043963363467E-2</v>
      </c>
      <c r="AP588" s="19"/>
      <c r="AQ588" s="62">
        <f t="shared" ca="1" si="128"/>
        <v>1.2319622714777434</v>
      </c>
      <c r="AR588" s="62">
        <f t="shared" ca="1" si="129"/>
        <v>1.8504569096640451</v>
      </c>
      <c r="AS588" s="62">
        <f t="shared" ca="1" si="130"/>
        <v>0.75132861191108236</v>
      </c>
      <c r="AT588" s="49"/>
    </row>
    <row r="589" spans="1:46" x14ac:dyDescent="0.3">
      <c r="A589" s="5">
        <v>44316</v>
      </c>
      <c r="B589" s="6">
        <v>87.610000999999997</v>
      </c>
      <c r="C589" s="6">
        <v>133.28999300000001</v>
      </c>
      <c r="D589" s="6">
        <v>73.959998999999996</v>
      </c>
      <c r="F589" s="13">
        <v>586</v>
      </c>
      <c r="G589" s="5">
        <v>44316</v>
      </c>
      <c r="H589" s="15">
        <f t="shared" si="126"/>
        <v>-1.3491525689413168E-2</v>
      </c>
      <c r="I589" s="15">
        <f t="shared" si="126"/>
        <v>-8.9997007461665296E-4</v>
      </c>
      <c r="J589" s="15">
        <f t="shared" si="126"/>
        <v>-1.2095322836449632E-2</v>
      </c>
      <c r="K589" s="22"/>
      <c r="L589" s="13">
        <v>586</v>
      </c>
      <c r="M589" s="5">
        <v>44316</v>
      </c>
      <c r="N589" s="26">
        <f t="shared" si="123"/>
        <v>1.5495224522546436</v>
      </c>
      <c r="O589" s="26">
        <f t="shared" si="124"/>
        <v>1.2641311691173907</v>
      </c>
      <c r="P589" s="26">
        <f t="shared" si="125"/>
        <v>0.97882478768726278</v>
      </c>
      <c r="Q589" s="22"/>
      <c r="AD589" s="59">
        <v>585</v>
      </c>
      <c r="AE589" s="61">
        <f t="shared" ca="1" si="127"/>
        <v>-1.2598368716832087</v>
      </c>
      <c r="AF589" s="61">
        <f t="shared" ca="1" si="127"/>
        <v>-0.40071413099143155</v>
      </c>
      <c r="AG589" s="61">
        <f t="shared" ca="1" si="127"/>
        <v>-0.42619312589835306</v>
      </c>
      <c r="AH589" s="19"/>
      <c r="AI589" s="61">
        <f ca="1"/>
        <v>-2.7318661553262454E-2</v>
      </c>
      <c r="AJ589" s="61">
        <f ca="1"/>
        <v>-2.8429321845753055E-2</v>
      </c>
      <c r="AK589" s="61">
        <f ca="1"/>
        <v>-3.2355839986932464E-2</v>
      </c>
      <c r="AL589" s="19"/>
      <c r="AM589" s="61">
        <f t="shared" ca="1" si="131"/>
        <v>-2.6967445230752209E-2</v>
      </c>
      <c r="AN589" s="61">
        <f t="shared" ca="1" si="132"/>
        <v>-2.8180269248836525E-2</v>
      </c>
      <c r="AO589" s="61">
        <f t="shared" ca="1" si="133"/>
        <v>-3.1924171383677646E-2</v>
      </c>
      <c r="AP589" s="19"/>
      <c r="AQ589" s="62">
        <f t="shared" ca="1" si="128"/>
        <v>1.1991833645789898</v>
      </c>
      <c r="AR589" s="62">
        <f t="shared" ca="1" si="129"/>
        <v>1.7990384316841612</v>
      </c>
      <c r="AS589" s="62">
        <f t="shared" ca="1" si="130"/>
        <v>0.72772188599185261</v>
      </c>
      <c r="AT589" s="49"/>
    </row>
    <row r="590" spans="1:46" x14ac:dyDescent="0.3">
      <c r="A590" s="5">
        <v>44319</v>
      </c>
      <c r="B590" s="6">
        <v>87.550003000000004</v>
      </c>
      <c r="C590" s="6">
        <v>136.30999800000001</v>
      </c>
      <c r="D590" s="6">
        <v>78.150002000000001</v>
      </c>
      <c r="F590" s="13">
        <v>587</v>
      </c>
      <c r="G590" s="5">
        <v>44319</v>
      </c>
      <c r="H590" s="15">
        <f t="shared" si="126"/>
        <v>-6.8506509450056699E-4</v>
      </c>
      <c r="I590" s="15">
        <f t="shared" si="126"/>
        <v>2.2404535811456436E-2</v>
      </c>
      <c r="J590" s="15">
        <f t="shared" si="126"/>
        <v>5.5105689461194103E-2</v>
      </c>
      <c r="K590" s="22"/>
      <c r="L590" s="13">
        <v>587</v>
      </c>
      <c r="M590" s="5">
        <v>44319</v>
      </c>
      <c r="N590" s="26">
        <f t="shared" si="123"/>
        <v>1.5484612920328744</v>
      </c>
      <c r="O590" s="26">
        <f t="shared" si="124"/>
        <v>1.2927730976332872</v>
      </c>
      <c r="P590" s="26">
        <f t="shared" si="125"/>
        <v>1.0342774492926801</v>
      </c>
      <c r="Q590" s="22"/>
      <c r="AD590" s="59">
        <v>586</v>
      </c>
      <c r="AE590" s="61">
        <f t="shared" ca="1" si="127"/>
        <v>-0.19514360545557996</v>
      </c>
      <c r="AF590" s="61">
        <f t="shared" ca="1" si="127"/>
        <v>-0.16652823804445691</v>
      </c>
      <c r="AG590" s="61">
        <f t="shared" ca="1" si="127"/>
        <v>-0.17840398806104632</v>
      </c>
      <c r="AH590" s="19"/>
      <c r="AI590" s="61">
        <f ca="1"/>
        <v>-4.2315495216470279E-3</v>
      </c>
      <c r="AJ590" s="61">
        <f ca="1"/>
        <v>-6.6741143701826988E-3</v>
      </c>
      <c r="AK590" s="61">
        <f ca="1"/>
        <v>-8.6268240646078347E-3</v>
      </c>
      <c r="AL590" s="19"/>
      <c r="AM590" s="61">
        <f t="shared" ca="1" si="131"/>
        <v>-3.8803331991367836E-3</v>
      </c>
      <c r="AN590" s="61">
        <f t="shared" ca="1" si="132"/>
        <v>-6.4250617732661683E-3</v>
      </c>
      <c r="AO590" s="61">
        <f t="shared" ca="1" si="133"/>
        <v>-8.1951554613530157E-3</v>
      </c>
      <c r="AP590" s="19"/>
      <c r="AQ590" s="62">
        <f t="shared" ca="1" si="128"/>
        <v>1.1945391499350162</v>
      </c>
      <c r="AR590" s="62">
        <f t="shared" ca="1" si="129"/>
        <v>1.7875165526569563</v>
      </c>
      <c r="AS590" s="62">
        <f t="shared" ca="1" si="130"/>
        <v>0.72178246249419731</v>
      </c>
      <c r="AT590" s="49"/>
    </row>
    <row r="591" spans="1:46" x14ac:dyDescent="0.3">
      <c r="A591" s="5">
        <v>44320</v>
      </c>
      <c r="B591" s="6">
        <v>89.160004000000001</v>
      </c>
      <c r="C591" s="6">
        <v>135.41000399999999</v>
      </c>
      <c r="D591" s="6">
        <v>78.160004000000001</v>
      </c>
      <c r="F591" s="13">
        <v>588</v>
      </c>
      <c r="G591" s="5">
        <v>44320</v>
      </c>
      <c r="H591" s="15">
        <f t="shared" si="126"/>
        <v>1.8222460382840516E-2</v>
      </c>
      <c r="I591" s="15">
        <f t="shared" si="126"/>
        <v>-6.6244463756658777E-3</v>
      </c>
      <c r="J591" s="15">
        <f t="shared" si="126"/>
        <v>1.2797645230269681E-4</v>
      </c>
      <c r="K591" s="22"/>
      <c r="L591" s="13">
        <v>588</v>
      </c>
      <c r="M591" s="5">
        <v>44320</v>
      </c>
      <c r="N591" s="26">
        <f t="shared" si="123"/>
        <v>1.5769367248507833</v>
      </c>
      <c r="O591" s="26">
        <f t="shared" si="124"/>
        <v>1.2842374946085451</v>
      </c>
      <c r="P591" s="26">
        <f t="shared" si="125"/>
        <v>1.0344098209213823</v>
      </c>
      <c r="Q591" s="22"/>
      <c r="AD591" s="59">
        <v>587</v>
      </c>
      <c r="AE591" s="61">
        <f t="shared" ca="1" si="127"/>
        <v>-1.4914163108010379</v>
      </c>
      <c r="AF591" s="61">
        <f t="shared" ca="1" si="127"/>
        <v>0.55663112152410688</v>
      </c>
      <c r="AG591" s="61">
        <f t="shared" ca="1" si="127"/>
        <v>-0.12168559453411773</v>
      </c>
      <c r="AH591" s="19"/>
      <c r="AI591" s="61">
        <f ca="1"/>
        <v>-3.2340296069723197E-2</v>
      </c>
      <c r="AJ591" s="61">
        <f ca="1"/>
        <v>-1.1245208212000306E-2</v>
      </c>
      <c r="AK591" s="61">
        <f ca="1"/>
        <v>-2.1234017071187331E-2</v>
      </c>
      <c r="AL591" s="19"/>
      <c r="AM591" s="61">
        <f t="shared" ca="1" si="131"/>
        <v>-3.1989079747212955E-2</v>
      </c>
      <c r="AN591" s="61">
        <f t="shared" ca="1" si="132"/>
        <v>-1.0996155615083774E-2</v>
      </c>
      <c r="AO591" s="61">
        <f t="shared" ca="1" si="133"/>
        <v>-2.0802348467932514E-2</v>
      </c>
      <c r="AP591" s="19"/>
      <c r="AQ591" s="62">
        <f t="shared" ca="1" si="128"/>
        <v>1.156931663180589</v>
      </c>
      <c r="AR591" s="62">
        <f t="shared" ca="1" si="129"/>
        <v>1.7679684166245238</v>
      </c>
      <c r="AS591" s="62">
        <f t="shared" ca="1" si="130"/>
        <v>0.7069227861322368</v>
      </c>
      <c r="AT591" s="49"/>
    </row>
    <row r="592" spans="1:46" x14ac:dyDescent="0.3">
      <c r="A592" s="5">
        <v>44321</v>
      </c>
      <c r="B592" s="6">
        <v>89.139999000000003</v>
      </c>
      <c r="C592" s="6">
        <v>134.949997</v>
      </c>
      <c r="D592" s="6">
        <v>80.059997999999993</v>
      </c>
      <c r="F592" s="13">
        <v>589</v>
      </c>
      <c r="G592" s="5">
        <v>44321</v>
      </c>
      <c r="H592" s="15">
        <f t="shared" si="126"/>
        <v>-2.2439708073302355E-4</v>
      </c>
      <c r="I592" s="15">
        <f t="shared" si="126"/>
        <v>-3.4029253010903391E-3</v>
      </c>
      <c r="J592" s="15">
        <f t="shared" si="126"/>
        <v>2.4018269671564434E-2</v>
      </c>
      <c r="K592" s="22"/>
      <c r="L592" s="13">
        <v>589</v>
      </c>
      <c r="M592" s="5">
        <v>44321</v>
      </c>
      <c r="N592" s="26">
        <f t="shared" si="123"/>
        <v>1.5765829045528317</v>
      </c>
      <c r="O592" s="26">
        <f t="shared" si="124"/>
        <v>1.279874757589629</v>
      </c>
      <c r="P592" s="26">
        <f t="shared" si="125"/>
        <v>1.0595553218516496</v>
      </c>
      <c r="Q592" s="22"/>
      <c r="AD592" s="59">
        <v>588</v>
      </c>
      <c r="AE592" s="61">
        <f t="shared" ca="1" si="127"/>
        <v>-0.21690851542845563</v>
      </c>
      <c r="AF592" s="61">
        <f t="shared" ca="1" si="127"/>
        <v>0.93516381808191473</v>
      </c>
      <c r="AG592" s="61">
        <f t="shared" ca="1" si="127"/>
        <v>-9.1038655756288028E-2</v>
      </c>
      <c r="AH592" s="19"/>
      <c r="AI592" s="61">
        <f ca="1"/>
        <v>-4.7035060285968641E-3</v>
      </c>
      <c r="AJ592" s="61">
        <f ca="1"/>
        <v>1.6931611839393033E-2</v>
      </c>
      <c r="AK592" s="61">
        <f ca="1"/>
        <v>1.04850638569537E-3</v>
      </c>
      <c r="AL592" s="19"/>
      <c r="AM592" s="61">
        <f t="shared" ca="1" si="131"/>
        <v>-4.3522897060866202E-3</v>
      </c>
      <c r="AN592" s="61">
        <f t="shared" ca="1" si="132"/>
        <v>1.7180664436309563E-2</v>
      </c>
      <c r="AO592" s="61">
        <f t="shared" ca="1" si="133"/>
        <v>1.4801749889501881E-3</v>
      </c>
      <c r="AP592" s="19"/>
      <c r="AQ592" s="62">
        <f t="shared" ca="1" si="128"/>
        <v>1.1519073030787861</v>
      </c>
      <c r="AR592" s="62">
        <f t="shared" ca="1" si="129"/>
        <v>1.7986057197257412</v>
      </c>
      <c r="AS592" s="62">
        <f t="shared" ca="1" si="130"/>
        <v>0.70796993034654276</v>
      </c>
      <c r="AT592" s="49"/>
    </row>
    <row r="593" spans="1:46" x14ac:dyDescent="0.3">
      <c r="A593" s="5">
        <v>44322</v>
      </c>
      <c r="B593" s="6">
        <v>89.699996999999996</v>
      </c>
      <c r="C593" s="6">
        <v>134</v>
      </c>
      <c r="D593" s="6">
        <v>80.459998999999996</v>
      </c>
      <c r="F593" s="13">
        <v>590</v>
      </c>
      <c r="G593" s="5">
        <v>44322</v>
      </c>
      <c r="H593" s="15">
        <f t="shared" si="126"/>
        <v>6.2625793198322456E-3</v>
      </c>
      <c r="I593" s="15">
        <f t="shared" si="126"/>
        <v>-7.0645172826462798E-3</v>
      </c>
      <c r="J593" s="15">
        <f t="shared" si="126"/>
        <v>4.9838255099430183E-3</v>
      </c>
      <c r="K593" s="22"/>
      <c r="L593" s="13">
        <v>590</v>
      </c>
      <c r="M593" s="5">
        <v>44322</v>
      </c>
      <c r="N593" s="26">
        <f t="shared" si="123"/>
        <v>1.5864873613992332</v>
      </c>
      <c r="O593" s="26">
        <f t="shared" si="124"/>
        <v>1.2708649227832904</v>
      </c>
      <c r="P593" s="26">
        <f t="shared" si="125"/>
        <v>1.0648491414729788</v>
      </c>
      <c r="Q593" s="22"/>
      <c r="AD593" s="59">
        <v>589</v>
      </c>
      <c r="AE593" s="61">
        <f t="shared" ca="1" si="127"/>
        <v>0.10334054201159716</v>
      </c>
      <c r="AF593" s="61">
        <f t="shared" ca="1" si="127"/>
        <v>0.73346909518656744</v>
      </c>
      <c r="AG593" s="61">
        <f t="shared" ca="1" si="127"/>
        <v>0.98814579141002479</v>
      </c>
      <c r="AH593" s="19"/>
      <c r="AI593" s="61">
        <f ca="1"/>
        <v>2.2408657465102428E-3</v>
      </c>
      <c r="AJ593" s="61">
        <f ca="1"/>
        <v>1.756021825519417E-2</v>
      </c>
      <c r="AK593" s="61">
        <f ca="1"/>
        <v>3.200859102190147E-2</v>
      </c>
      <c r="AL593" s="19"/>
      <c r="AM593" s="61">
        <f t="shared" ca="1" si="131"/>
        <v>2.5920820690204871E-3</v>
      </c>
      <c r="AN593" s="61">
        <f t="shared" ca="1" si="132"/>
        <v>1.78092708521107E-2</v>
      </c>
      <c r="AO593" s="61">
        <f t="shared" ca="1" si="133"/>
        <v>3.2440259625156287E-2</v>
      </c>
      <c r="AP593" s="19"/>
      <c r="AQ593" s="62">
        <f t="shared" ca="1" si="128"/>
        <v>1.1548970144589388</v>
      </c>
      <c r="AR593" s="62">
        <f t="shared" ca="1" si="129"/>
        <v>1.8309245089717778</v>
      </c>
      <c r="AS593" s="62">
        <f t="shared" ca="1" si="130"/>
        <v>0.73131324314246027</v>
      </c>
      <c r="AT593" s="49"/>
    </row>
    <row r="594" spans="1:46" x14ac:dyDescent="0.3">
      <c r="A594" s="5">
        <v>44323</v>
      </c>
      <c r="B594" s="6">
        <v>90.32</v>
      </c>
      <c r="C594" s="6">
        <v>139.63999899999999</v>
      </c>
      <c r="D594" s="6">
        <v>80.489998</v>
      </c>
      <c r="F594" s="13">
        <v>591</v>
      </c>
      <c r="G594" s="5">
        <v>44323</v>
      </c>
      <c r="H594" s="15">
        <f t="shared" si="126"/>
        <v>6.8881842214726938E-3</v>
      </c>
      <c r="I594" s="15">
        <f t="shared" si="126"/>
        <v>4.1227875124652015E-2</v>
      </c>
      <c r="J594" s="15">
        <f t="shared" si="126"/>
        <v>3.7277416472885364E-4</v>
      </c>
      <c r="K594" s="22"/>
      <c r="L594" s="13">
        <v>591</v>
      </c>
      <c r="M594" s="5">
        <v>44323</v>
      </c>
      <c r="N594" s="26">
        <f t="shared" si="123"/>
        <v>1.5974531022735567</v>
      </c>
      <c r="O594" s="26">
        <f t="shared" si="124"/>
        <v>1.3243550488551772</v>
      </c>
      <c r="P594" s="26">
        <f t="shared" si="125"/>
        <v>1.0652461637174739</v>
      </c>
      <c r="Q594" s="22"/>
      <c r="AD594" s="59">
        <v>590</v>
      </c>
      <c r="AE594" s="61">
        <f t="shared" ca="1" si="127"/>
        <v>-0.17089090361007275</v>
      </c>
      <c r="AF594" s="61">
        <f t="shared" ca="1" si="127"/>
        <v>0.31253808044523151</v>
      </c>
      <c r="AG594" s="61">
        <f t="shared" ca="1" si="127"/>
        <v>0.90937446673152544</v>
      </c>
      <c r="AH594" s="19"/>
      <c r="AI594" s="61">
        <f ca="1"/>
        <v>-3.7056470271562992E-3</v>
      </c>
      <c r="AJ594" s="61">
        <f ca="1"/>
        <v>4.1184910506473719E-3</v>
      </c>
      <c r="AK594" s="61">
        <f ca="1"/>
        <v>2.2974163743979571E-2</v>
      </c>
      <c r="AL594" s="19"/>
      <c r="AM594" s="61">
        <f t="shared" ca="1" si="131"/>
        <v>-3.3544307046460549E-3</v>
      </c>
      <c r="AN594" s="61">
        <f t="shared" ca="1" si="132"/>
        <v>4.3675436475639024E-3</v>
      </c>
      <c r="AO594" s="61">
        <f t="shared" ca="1" si="133"/>
        <v>2.3405832347234388E-2</v>
      </c>
      <c r="AP594" s="19"/>
      <c r="AQ594" s="62">
        <f t="shared" ca="1" si="128"/>
        <v>1.1510294827629908</v>
      </c>
      <c r="AR594" s="62">
        <f t="shared" ca="1" si="129"/>
        <v>1.8389386399741645</v>
      </c>
      <c r="AS594" s="62">
        <f t="shared" ca="1" si="130"/>
        <v>0.74863212912814026</v>
      </c>
      <c r="AT594" s="49"/>
    </row>
    <row r="595" spans="1:46" x14ac:dyDescent="0.3">
      <c r="A595" s="5">
        <v>44326</v>
      </c>
      <c r="B595" s="6">
        <v>90.800003000000004</v>
      </c>
      <c r="C595" s="6">
        <v>137.570007</v>
      </c>
      <c r="D595" s="6">
        <v>79.639999000000003</v>
      </c>
      <c r="F595" s="13">
        <v>592</v>
      </c>
      <c r="G595" s="5">
        <v>44326</v>
      </c>
      <c r="H595" s="15">
        <f t="shared" si="126"/>
        <v>5.3003988054882772E-3</v>
      </c>
      <c r="I595" s="15">
        <f t="shared" si="126"/>
        <v>-1.4934745719473607E-2</v>
      </c>
      <c r="J595" s="15">
        <f t="shared" si="126"/>
        <v>-1.0616461618343787E-2</v>
      </c>
      <c r="K595" s="22"/>
      <c r="L595" s="13">
        <v>592</v>
      </c>
      <c r="M595" s="5">
        <v>44326</v>
      </c>
      <c r="N595" s="26">
        <f t="shared" si="123"/>
        <v>1.6059427200929834</v>
      </c>
      <c r="O595" s="26">
        <f t="shared" si="124"/>
        <v>1.3047231068906846</v>
      </c>
      <c r="P595" s="26">
        <f t="shared" si="125"/>
        <v>1.0539968383800118</v>
      </c>
      <c r="Q595" s="22"/>
      <c r="AD595" s="59">
        <v>591</v>
      </c>
      <c r="AE595" s="61">
        <f t="shared" ca="1" si="127"/>
        <v>-0.7559302307398994</v>
      </c>
      <c r="AF595" s="61">
        <f t="shared" ca="1" si="127"/>
        <v>1.1276972745611318</v>
      </c>
      <c r="AG595" s="61">
        <f t="shared" ca="1" si="127"/>
        <v>-0.57523843526612728</v>
      </c>
      <c r="AH595" s="19"/>
      <c r="AI595" s="61">
        <f ca="1"/>
        <v>-1.6391806427979896E-2</v>
      </c>
      <c r="AJ595" s="61">
        <f ca="1"/>
        <v>1.2679572407214202E-2</v>
      </c>
      <c r="AK595" s="61">
        <f ca="1"/>
        <v>-1.796510111332731E-2</v>
      </c>
      <c r="AL595" s="19"/>
      <c r="AM595" s="61">
        <f t="shared" ca="1" si="131"/>
        <v>-1.6040590105469651E-2</v>
      </c>
      <c r="AN595" s="61">
        <f t="shared" ca="1" si="132"/>
        <v>1.2928625004130733E-2</v>
      </c>
      <c r="AO595" s="61">
        <f t="shared" ca="1" si="133"/>
        <v>-1.7533432510072493E-2</v>
      </c>
      <c r="AP595" s="19"/>
      <c r="AQ595" s="62">
        <f t="shared" ca="1" si="128"/>
        <v>1.132713582279274</v>
      </c>
      <c r="AR595" s="62">
        <f t="shared" ca="1" si="129"/>
        <v>1.8628679412242437</v>
      </c>
      <c r="AS595" s="62">
        <f t="shared" ca="1" si="130"/>
        <v>0.73562044132953841</v>
      </c>
      <c r="AT595" s="49"/>
    </row>
    <row r="596" spans="1:46" x14ac:dyDescent="0.3">
      <c r="A596" s="5">
        <v>44327</v>
      </c>
      <c r="B596" s="6">
        <v>89.68</v>
      </c>
      <c r="C596" s="6">
        <v>134.050003</v>
      </c>
      <c r="D596" s="6">
        <v>77.690002000000007</v>
      </c>
      <c r="F596" s="13">
        <v>593</v>
      </c>
      <c r="G596" s="5">
        <v>44327</v>
      </c>
      <c r="H596" s="15">
        <f t="shared" si="126"/>
        <v>-1.2411539882990085E-2</v>
      </c>
      <c r="I596" s="15">
        <f t="shared" si="126"/>
        <v>-2.5920042294412499E-2</v>
      </c>
      <c r="J596" s="15">
        <f t="shared" si="126"/>
        <v>-2.4789891933823142E-2</v>
      </c>
      <c r="K596" s="22"/>
      <c r="L596" s="13">
        <v>593</v>
      </c>
      <c r="M596" s="5">
        <v>44327</v>
      </c>
      <c r="N596" s="26">
        <f t="shared" si="123"/>
        <v>1.5861336825940278</v>
      </c>
      <c r="O596" s="26">
        <f t="shared" si="124"/>
        <v>1.2713391545648871</v>
      </c>
      <c r="P596" s="26">
        <f t="shared" si="125"/>
        <v>1.0281895719478449</v>
      </c>
      <c r="Q596" s="22"/>
      <c r="AD596" s="59">
        <v>592</v>
      </c>
      <c r="AE596" s="61">
        <f t="shared" ca="1" si="127"/>
        <v>-0.79716141978111077</v>
      </c>
      <c r="AF596" s="61">
        <f t="shared" ca="1" si="127"/>
        <v>-0.45101872185692599</v>
      </c>
      <c r="AG596" s="61">
        <f t="shared" ca="1" si="127"/>
        <v>-0.24464807849402773</v>
      </c>
      <c r="AH596" s="19"/>
      <c r="AI596" s="61">
        <f ca="1"/>
        <v>-1.7285875274647745E-2</v>
      </c>
      <c r="AJ596" s="61">
        <f ca="1"/>
        <v>-2.2280790799280085E-2</v>
      </c>
      <c r="AK596" s="61">
        <f ca="1"/>
        <v>-2.12226496763534E-2</v>
      </c>
      <c r="AL596" s="19"/>
      <c r="AM596" s="61">
        <f t="shared" ca="1" si="131"/>
        <v>-1.6934658952137499E-2</v>
      </c>
      <c r="AN596" s="61">
        <f t="shared" ca="1" si="132"/>
        <v>-2.2031738202363555E-2</v>
      </c>
      <c r="AO596" s="61">
        <f t="shared" ca="1" si="133"/>
        <v>-2.0790981073098583E-2</v>
      </c>
      <c r="AP596" s="19"/>
      <c r="AQ596" s="62">
        <f t="shared" ca="1" si="128"/>
        <v>1.1136929724064895</v>
      </c>
      <c r="AR596" s="62">
        <f t="shared" ca="1" si="129"/>
        <v>1.82227453605677</v>
      </c>
      <c r="AS596" s="62">
        <f t="shared" ca="1" si="130"/>
        <v>0.72048406594366676</v>
      </c>
      <c r="AT596" s="49"/>
    </row>
    <row r="597" spans="1:46" x14ac:dyDescent="0.3">
      <c r="A597" s="5">
        <v>44328</v>
      </c>
      <c r="B597" s="6">
        <v>87.449996999999996</v>
      </c>
      <c r="C597" s="6">
        <v>128.03999300000001</v>
      </c>
      <c r="D597" s="6">
        <v>79.970000999999996</v>
      </c>
      <c r="F597" s="13">
        <v>594</v>
      </c>
      <c r="G597" s="5">
        <v>44328</v>
      </c>
      <c r="H597" s="15">
        <f t="shared" si="126"/>
        <v>-2.5180611604611429E-2</v>
      </c>
      <c r="I597" s="15">
        <f t="shared" si="126"/>
        <v>-4.5870226630431797E-2</v>
      </c>
      <c r="J597" s="15">
        <f t="shared" si="126"/>
        <v>2.8925002142819522E-2</v>
      </c>
      <c r="K597" s="22"/>
      <c r="L597" s="13">
        <v>594</v>
      </c>
      <c r="M597" s="5">
        <v>44328</v>
      </c>
      <c r="N597" s="26">
        <f t="shared" si="123"/>
        <v>1.5466925265883884</v>
      </c>
      <c r="O597" s="26">
        <f t="shared" si="124"/>
        <v>1.2143398195307318</v>
      </c>
      <c r="P597" s="26">
        <f t="shared" si="125"/>
        <v>1.0583642551181645</v>
      </c>
      <c r="Q597" s="22"/>
      <c r="AD597" s="59">
        <v>593</v>
      </c>
      <c r="AE597" s="61">
        <f t="shared" ca="1" si="127"/>
        <v>0.3278612729868523</v>
      </c>
      <c r="AF597" s="61">
        <f t="shared" ca="1" si="127"/>
        <v>-2.3335649609606168</v>
      </c>
      <c r="AG597" s="61">
        <f t="shared" ca="1" si="127"/>
        <v>5.0395466175970446E-2</v>
      </c>
      <c r="AH597" s="19"/>
      <c r="AI597" s="61">
        <f ca="1"/>
        <v>7.1094372251408562E-3</v>
      </c>
      <c r="AJ597" s="61">
        <f ca="1"/>
        <v>-4.5590613655746945E-2</v>
      </c>
      <c r="AK597" s="61">
        <f ca="1"/>
        <v>-1.0298580564220028E-2</v>
      </c>
      <c r="AL597" s="19"/>
      <c r="AM597" s="61">
        <f t="shared" ca="1" si="131"/>
        <v>7.4606535476511001E-3</v>
      </c>
      <c r="AN597" s="61">
        <f t="shared" ca="1" si="132"/>
        <v>-4.5341561058830415E-2</v>
      </c>
      <c r="AO597" s="61">
        <f t="shared" ca="1" si="133"/>
        <v>-9.8669119609652092E-3</v>
      </c>
      <c r="AP597" s="19"/>
      <c r="AQ597" s="62">
        <f t="shared" ca="1" si="128"/>
        <v>1.1220329218845295</v>
      </c>
      <c r="AR597" s="62">
        <f t="shared" ca="1" si="129"/>
        <v>1.7414949392270505</v>
      </c>
      <c r="AS597" s="62">
        <f t="shared" ca="1" si="130"/>
        <v>0.71341006973582943</v>
      </c>
      <c r="AT597" s="49"/>
    </row>
    <row r="598" spans="1:46" x14ac:dyDescent="0.3">
      <c r="A598" s="5">
        <v>44329</v>
      </c>
      <c r="B598" s="6">
        <v>88.610000999999997</v>
      </c>
      <c r="C598" s="6">
        <v>131.53999300000001</v>
      </c>
      <c r="D598" s="6">
        <v>78.5</v>
      </c>
      <c r="F598" s="13">
        <v>595</v>
      </c>
      <c r="G598" s="5">
        <v>44329</v>
      </c>
      <c r="H598" s="15">
        <f t="shared" si="126"/>
        <v>1.3177562185325894E-2</v>
      </c>
      <c r="I598" s="15">
        <f t="shared" si="126"/>
        <v>2.6968274226206287E-2</v>
      </c>
      <c r="J598" s="15">
        <f t="shared" si="126"/>
        <v>-1.855295206012491E-2</v>
      </c>
      <c r="K598" s="22"/>
      <c r="L598" s="13">
        <v>595</v>
      </c>
      <c r="M598" s="5">
        <v>44329</v>
      </c>
      <c r="N598" s="26">
        <f t="shared" si="123"/>
        <v>1.567209045503908</v>
      </c>
      <c r="O598" s="26">
        <f t="shared" si="124"/>
        <v>1.2475340525885044</v>
      </c>
      <c r="P598" s="26">
        <f t="shared" si="125"/>
        <v>1.0389095034121099</v>
      </c>
      <c r="Q598" s="22"/>
      <c r="AD598" s="59">
        <v>594</v>
      </c>
      <c r="AE598" s="61">
        <f t="shared" ca="1" si="127"/>
        <v>0.51248679523801033</v>
      </c>
      <c r="AF598" s="61">
        <f t="shared" ca="1" si="127"/>
        <v>-0.18377557246113527</v>
      </c>
      <c r="AG598" s="61">
        <f t="shared" ca="1" si="127"/>
        <v>0.80229832247498645</v>
      </c>
      <c r="AH598" s="19"/>
      <c r="AI598" s="61">
        <f ca="1"/>
        <v>1.1112909634814842E-2</v>
      </c>
      <c r="AJ598" s="61">
        <f ca="1"/>
        <v>4.02706741782719E-3</v>
      </c>
      <c r="AK598" s="61">
        <f ca="1"/>
        <v>2.6832887011279873E-2</v>
      </c>
      <c r="AL598" s="19"/>
      <c r="AM598" s="61">
        <f t="shared" ca="1" si="131"/>
        <v>1.1464125957325086E-2</v>
      </c>
      <c r="AN598" s="61">
        <f t="shared" ca="1" si="132"/>
        <v>4.2761200147437206E-3</v>
      </c>
      <c r="AO598" s="61">
        <f t="shared" ca="1" si="133"/>
        <v>2.726455561453469E-2</v>
      </c>
      <c r="AP598" s="19"/>
      <c r="AQ598" s="62">
        <f t="shared" ca="1" si="128"/>
        <v>1.1349700634498772</v>
      </c>
      <c r="AR598" s="62">
        <f t="shared" ca="1" si="129"/>
        <v>1.7489577251047403</v>
      </c>
      <c r="AS598" s="62">
        <f t="shared" ca="1" si="130"/>
        <v>0.73312846341156901</v>
      </c>
      <c r="AT598" s="49"/>
    </row>
    <row r="599" spans="1:46" x14ac:dyDescent="0.3">
      <c r="A599" s="5">
        <v>44330</v>
      </c>
      <c r="B599" s="6">
        <v>90.120002999999997</v>
      </c>
      <c r="C599" s="6">
        <v>136.479996</v>
      </c>
      <c r="D599" s="6">
        <v>81.209998999999996</v>
      </c>
      <c r="F599" s="13">
        <v>596</v>
      </c>
      <c r="G599" s="5">
        <v>44330</v>
      </c>
      <c r="H599" s="15">
        <f t="shared" si="126"/>
        <v>1.6897419508372178E-2</v>
      </c>
      <c r="I599" s="15">
        <f t="shared" si="126"/>
        <v>3.6867119777593195E-2</v>
      </c>
      <c r="J599" s="15">
        <f t="shared" si="126"/>
        <v>3.3939755192202249E-2</v>
      </c>
      <c r="K599" s="22"/>
      <c r="L599" s="13">
        <v>596</v>
      </c>
      <c r="M599" s="5">
        <v>44330</v>
      </c>
      <c r="N599" s="26">
        <f t="shared" si="123"/>
        <v>1.5939158366834836</v>
      </c>
      <c r="O599" s="26">
        <f t="shared" si="124"/>
        <v>1.2943853699851029</v>
      </c>
      <c r="P599" s="26">
        <f t="shared" si="125"/>
        <v>1.0747750284482538</v>
      </c>
      <c r="Q599" s="22"/>
      <c r="AD599" s="59">
        <v>595</v>
      </c>
      <c r="AE599" s="61">
        <f t="shared" ca="1" si="127"/>
        <v>0.17035092890345893</v>
      </c>
      <c r="AF599" s="61">
        <f t="shared" ca="1" si="127"/>
        <v>7.563528189073547E-2</v>
      </c>
      <c r="AG599" s="61">
        <f t="shared" ca="1" si="127"/>
        <v>-0.5324410396641801</v>
      </c>
      <c r="AH599" s="19"/>
      <c r="AI599" s="61">
        <f ca="1"/>
        <v>3.6939380618220838E-3</v>
      </c>
      <c r="AJ599" s="61">
        <f ca="1"/>
        <v>4.3104001231134281E-3</v>
      </c>
      <c r="AK599" s="61">
        <f ca="1"/>
        <v>-1.0591429041633902E-2</v>
      </c>
      <c r="AL599" s="19"/>
      <c r="AM599" s="61">
        <f t="shared" ca="1" si="131"/>
        <v>4.0451543843323277E-3</v>
      </c>
      <c r="AN599" s="61">
        <f t="shared" ca="1" si="132"/>
        <v>4.5594527200299587E-3</v>
      </c>
      <c r="AO599" s="61">
        <f t="shared" ca="1" si="133"/>
        <v>-1.0159760438379083E-2</v>
      </c>
      <c r="AP599" s="19"/>
      <c r="AQ599" s="62">
        <f t="shared" ca="1" si="128"/>
        <v>1.1395704910248452</v>
      </c>
      <c r="AR599" s="62">
        <f t="shared" ca="1" si="129"/>
        <v>1.7569502220215205</v>
      </c>
      <c r="AS599" s="62">
        <f t="shared" ca="1" si="130"/>
        <v>0.72571776306755498</v>
      </c>
      <c r="AT599" s="49"/>
    </row>
    <row r="600" spans="1:46" x14ac:dyDescent="0.3">
      <c r="A600" s="5">
        <v>44333</v>
      </c>
      <c r="B600" s="6">
        <v>89.730002999999996</v>
      </c>
      <c r="C600" s="6">
        <v>138.11999499999999</v>
      </c>
      <c r="D600" s="6">
        <v>81.620002999999997</v>
      </c>
      <c r="F600" s="13">
        <v>597</v>
      </c>
      <c r="G600" s="5">
        <v>44333</v>
      </c>
      <c r="H600" s="15">
        <f t="shared" si="126"/>
        <v>-4.3369541093911832E-3</v>
      </c>
      <c r="I600" s="15">
        <f t="shared" si="126"/>
        <v>1.1944781886340372E-2</v>
      </c>
      <c r="J600" s="15">
        <f t="shared" si="126"/>
        <v>5.0359867527911906E-3</v>
      </c>
      <c r="K600" s="22"/>
      <c r="L600" s="13">
        <v>597</v>
      </c>
      <c r="M600" s="5">
        <v>44333</v>
      </c>
      <c r="N600" s="26">
        <f t="shared" si="123"/>
        <v>1.5870180653162704</v>
      </c>
      <c r="O600" s="26">
        <f t="shared" si="124"/>
        <v>1.3099392297052497</v>
      </c>
      <c r="P600" s="26">
        <f t="shared" si="125"/>
        <v>1.0802012329328015</v>
      </c>
      <c r="Q600" s="22"/>
      <c r="AD600" s="59">
        <v>596</v>
      </c>
      <c r="AE600" s="61">
        <f t="shared" ca="1" si="127"/>
        <v>-0.16112570352013089</v>
      </c>
      <c r="AF600" s="61">
        <f t="shared" ca="1" si="127"/>
        <v>0.12147175933072168</v>
      </c>
      <c r="AG600" s="61">
        <f t="shared" ca="1" si="127"/>
        <v>-0.12960813037078592</v>
      </c>
      <c r="AH600" s="19"/>
      <c r="AI600" s="61">
        <f ca="1"/>
        <v>-3.4938956470743779E-3</v>
      </c>
      <c r="AJ600" s="61">
        <f ca="1"/>
        <v>1.1831834144099794E-4</v>
      </c>
      <c r="AK600" s="61">
        <f ca="1"/>
        <v>-4.8458146464667303E-3</v>
      </c>
      <c r="AL600" s="19"/>
      <c r="AM600" s="61">
        <f t="shared" ca="1" si="131"/>
        <v>-3.1426793245641336E-3</v>
      </c>
      <c r="AN600" s="61">
        <f t="shared" ca="1" si="132"/>
        <v>3.6737093835752862E-4</v>
      </c>
      <c r="AO600" s="61">
        <f t="shared" ca="1" si="133"/>
        <v>-4.4141460432119122E-3</v>
      </c>
      <c r="AP600" s="19"/>
      <c r="AQ600" s="62">
        <f t="shared" ca="1" si="128"/>
        <v>1.1359948079593543</v>
      </c>
      <c r="AR600" s="62">
        <f t="shared" ca="1" si="129"/>
        <v>1.7575957930479882</v>
      </c>
      <c r="AS600" s="62">
        <f t="shared" ca="1" si="130"/>
        <v>0.72252139867485121</v>
      </c>
      <c r="AT600" s="49"/>
    </row>
    <row r="601" spans="1:46" x14ac:dyDescent="0.3">
      <c r="A601" s="5">
        <v>44334</v>
      </c>
      <c r="B601" s="6">
        <v>88.360000999999997</v>
      </c>
      <c r="C601" s="6">
        <v>136.699997</v>
      </c>
      <c r="D601" s="6">
        <v>79.580001999999993</v>
      </c>
      <c r="F601" s="13">
        <v>598</v>
      </c>
      <c r="G601" s="5">
        <v>44334</v>
      </c>
      <c r="H601" s="15">
        <f t="shared" si="126"/>
        <v>-1.5385804874345543E-2</v>
      </c>
      <c r="I601" s="15">
        <f t="shared" si="126"/>
        <v>-1.0334114537348647E-2</v>
      </c>
      <c r="J601" s="15">
        <f t="shared" si="126"/>
        <v>-2.5311536602631215E-2</v>
      </c>
      <c r="K601" s="22"/>
      <c r="L601" s="13">
        <v>598</v>
      </c>
      <c r="M601" s="5">
        <v>44334</v>
      </c>
      <c r="N601" s="26">
        <f t="shared" si="123"/>
        <v>1.562787397191592</v>
      </c>
      <c r="O601" s="26">
        <f t="shared" si="124"/>
        <v>1.2964718741185151</v>
      </c>
      <c r="P601" s="26">
        <f t="shared" si="125"/>
        <v>1.0532028071255375</v>
      </c>
      <c r="Q601" s="22"/>
      <c r="AD601" s="59">
        <v>597</v>
      </c>
      <c r="AE601" s="61">
        <f t="shared" ca="1" si="127"/>
        <v>0.9333481398012744</v>
      </c>
      <c r="AF601" s="61">
        <f t="shared" ca="1" si="127"/>
        <v>0.18020330408256871</v>
      </c>
      <c r="AG601" s="61">
        <f t="shared" ca="1" si="127"/>
        <v>-0.25494466715409109</v>
      </c>
      <c r="AH601" s="19"/>
      <c r="AI601" s="61">
        <f ca="1"/>
        <v>2.0238986900368829E-2</v>
      </c>
      <c r="AJ601" s="61">
        <f ca="1"/>
        <v>1.8525982670561186E-2</v>
      </c>
      <c r="AK601" s="61">
        <f ca="1"/>
        <v>8.5281321807650773E-3</v>
      </c>
      <c r="AL601" s="19"/>
      <c r="AM601" s="61">
        <f t="shared" ca="1" si="131"/>
        <v>2.0590203222879074E-2</v>
      </c>
      <c r="AN601" s="61">
        <f t="shared" ca="1" si="132"/>
        <v>1.8775035267477716E-2</v>
      </c>
      <c r="AO601" s="61">
        <f t="shared" ca="1" si="133"/>
        <v>8.9598007840198963E-3</v>
      </c>
      <c r="AP601" s="19"/>
      <c r="AQ601" s="62">
        <f t="shared" ca="1" si="128"/>
        <v>1.159627639381146</v>
      </c>
      <c r="AR601" s="62">
        <f t="shared" ca="1" si="129"/>
        <v>1.7909064418514977</v>
      </c>
      <c r="AS601" s="62">
        <f t="shared" ca="1" si="130"/>
        <v>0.72902413457610493</v>
      </c>
      <c r="AT601" s="49"/>
    </row>
    <row r="602" spans="1:46" x14ac:dyDescent="0.3">
      <c r="A602" s="5">
        <v>44335</v>
      </c>
      <c r="B602" s="6">
        <v>88.050003000000004</v>
      </c>
      <c r="C602" s="6">
        <v>131.050003</v>
      </c>
      <c r="D602" s="6">
        <v>77.279999000000004</v>
      </c>
      <c r="F602" s="13">
        <v>599</v>
      </c>
      <c r="G602" s="5">
        <v>44335</v>
      </c>
      <c r="H602" s="15">
        <f t="shared" si="126"/>
        <v>-3.5145208554896237E-3</v>
      </c>
      <c r="I602" s="15">
        <f t="shared" si="126"/>
        <v>-4.2209769122595726E-2</v>
      </c>
      <c r="J602" s="15">
        <f t="shared" si="126"/>
        <v>-2.9327653166420987E-2</v>
      </c>
      <c r="K602" s="22"/>
      <c r="L602" s="13">
        <v>599</v>
      </c>
      <c r="M602" s="5">
        <v>44335</v>
      </c>
      <c r="N602" s="26">
        <f t="shared" si="123"/>
        <v>1.5573045886575065</v>
      </c>
      <c r="O602" s="26">
        <f t="shared" si="124"/>
        <v>1.2428869548010819</v>
      </c>
      <c r="P602" s="26">
        <f t="shared" si="125"/>
        <v>1.0227633806978134</v>
      </c>
      <c r="Q602" s="22"/>
      <c r="AD602" s="59">
        <v>598</v>
      </c>
      <c r="AE602" s="61">
        <f t="shared" ca="1" si="127"/>
        <v>0.22469388220372971</v>
      </c>
      <c r="AF602" s="61">
        <f t="shared" ca="1" si="127"/>
        <v>-0.31999349638973956</v>
      </c>
      <c r="AG602" s="61">
        <f t="shared" ca="1" si="127"/>
        <v>0.93019017237417601</v>
      </c>
      <c r="AH602" s="19"/>
      <c r="AI602" s="61">
        <f ca="1"/>
        <v>4.8723261391859186E-3</v>
      </c>
      <c r="AJ602" s="61">
        <f ca="1"/>
        <v>-3.4383997009847802E-3</v>
      </c>
      <c r="AK602" s="61">
        <f ca="1"/>
        <v>2.4897863650510096E-2</v>
      </c>
      <c r="AL602" s="19"/>
      <c r="AM602" s="61">
        <f t="shared" ca="1" si="131"/>
        <v>5.2235424616961625E-3</v>
      </c>
      <c r="AN602" s="61">
        <f t="shared" ca="1" si="132"/>
        <v>-3.1893471040682496E-3</v>
      </c>
      <c r="AO602" s="61">
        <f t="shared" ca="1" si="133"/>
        <v>2.5329532253764914E-2</v>
      </c>
      <c r="AP602" s="19"/>
      <c r="AQ602" s="62">
        <f t="shared" ca="1" si="128"/>
        <v>1.1657008516270722</v>
      </c>
      <c r="AR602" s="62">
        <f t="shared" ca="1" si="129"/>
        <v>1.7852037183937708</v>
      </c>
      <c r="AS602" s="62">
        <f t="shared" ca="1" si="130"/>
        <v>0.74772582759140316</v>
      </c>
      <c r="AT602" s="49"/>
    </row>
    <row r="603" spans="1:46" x14ac:dyDescent="0.3">
      <c r="A603" s="5">
        <v>44336</v>
      </c>
      <c r="B603" s="6">
        <v>87.720000999999996</v>
      </c>
      <c r="C603" s="6">
        <v>121.870003</v>
      </c>
      <c r="D603" s="6">
        <v>76.989998</v>
      </c>
      <c r="F603" s="13">
        <v>600</v>
      </c>
      <c r="G603" s="5">
        <v>44336</v>
      </c>
      <c r="H603" s="15">
        <f t="shared" si="126"/>
        <v>-3.754934064168713E-3</v>
      </c>
      <c r="I603" s="15">
        <f t="shared" si="126"/>
        <v>-7.2624025209635942E-2</v>
      </c>
      <c r="J603" s="15">
        <f t="shared" si="126"/>
        <v>-3.7596596517457241E-3</v>
      </c>
      <c r="K603" s="22"/>
      <c r="L603" s="13">
        <v>600</v>
      </c>
      <c r="M603" s="5">
        <v>44336</v>
      </c>
      <c r="N603" s="26">
        <f t="shared" si="123"/>
        <v>1.5514679775120628</v>
      </c>
      <c r="O603" s="26">
        <f t="shared" si="124"/>
        <v>1.1558232235238386</v>
      </c>
      <c r="P603" s="26">
        <f t="shared" si="125"/>
        <v>1.0189253578328576</v>
      </c>
      <c r="Q603" s="22"/>
      <c r="AD603" s="59">
        <v>599</v>
      </c>
      <c r="AE603" s="61">
        <f t="shared" ca="1" si="127"/>
        <v>-0.65382036473130767</v>
      </c>
      <c r="AF603" s="61">
        <f t="shared" ca="1" si="127"/>
        <v>-0.30934422437890013</v>
      </c>
      <c r="AG603" s="61">
        <f t="shared" ca="1" si="127"/>
        <v>0.86824492768585915</v>
      </c>
      <c r="AH603" s="19"/>
      <c r="AI603" s="61">
        <f ca="1"/>
        <v>-1.4177627010440886E-2</v>
      </c>
      <c r="AJ603" s="61">
        <f ca="1"/>
        <v>-1.6957728795741027E-2</v>
      </c>
      <c r="AK603" s="61">
        <f ca="1"/>
        <v>1.0405298625311376E-2</v>
      </c>
      <c r="AL603" s="19"/>
      <c r="AM603" s="61">
        <f t="shared" ca="1" si="131"/>
        <v>-1.3826410687930642E-2</v>
      </c>
      <c r="AN603" s="61">
        <f t="shared" ca="1" si="132"/>
        <v>-1.6708676198824497E-2</v>
      </c>
      <c r="AO603" s="61">
        <f t="shared" ca="1" si="133"/>
        <v>1.0836967228566195E-2</v>
      </c>
      <c r="AP603" s="19"/>
      <c r="AQ603" s="62">
        <f t="shared" ca="1" si="128"/>
        <v>1.1496943044569732</v>
      </c>
      <c r="AR603" s="62">
        <f t="shared" ca="1" si="129"/>
        <v>1.7556231418404609</v>
      </c>
      <c r="AS603" s="62">
        <f t="shared" ca="1" si="130"/>
        <v>0.75587297332346848</v>
      </c>
      <c r="AT603" s="49"/>
    </row>
    <row r="604" spans="1:46" x14ac:dyDescent="0.3">
      <c r="A604" s="5">
        <v>44337</v>
      </c>
      <c r="B604" s="6">
        <v>88.010002</v>
      </c>
      <c r="C604" s="6">
        <v>121.089996</v>
      </c>
      <c r="D604" s="6">
        <v>77.199996999999996</v>
      </c>
      <c r="F604" s="13">
        <v>601</v>
      </c>
      <c r="G604" s="5">
        <v>44337</v>
      </c>
      <c r="H604" s="15">
        <f t="shared" si="126"/>
        <v>3.3005321608144097E-3</v>
      </c>
      <c r="I604" s="15">
        <f t="shared" si="126"/>
        <v>-6.4208897188117826E-3</v>
      </c>
      <c r="J604" s="15">
        <f t="shared" si="126"/>
        <v>2.7239008580677662E-3</v>
      </c>
      <c r="K604" s="22"/>
      <c r="L604" s="13">
        <v>601</v>
      </c>
      <c r="M604" s="5">
        <v>44337</v>
      </c>
      <c r="N604" s="26">
        <f t="shared" si="123"/>
        <v>1.5565971072409426</v>
      </c>
      <c r="O604" s="26">
        <f t="shared" si="124"/>
        <v>1.1484255851967833</v>
      </c>
      <c r="P604" s="26">
        <f t="shared" si="125"/>
        <v>1.0217045929514186</v>
      </c>
      <c r="Q604" s="22"/>
      <c r="AD604" s="59">
        <v>600</v>
      </c>
      <c r="AE604" s="61">
        <f t="shared" ca="1" si="127"/>
        <v>0.76999723874484793</v>
      </c>
      <c r="AF604" s="61">
        <f t="shared" ca="1" si="127"/>
        <v>-0.50175078309977317</v>
      </c>
      <c r="AG604" s="61">
        <f t="shared" ca="1" si="127"/>
        <v>-1.0366532891545497</v>
      </c>
      <c r="AH604" s="19"/>
      <c r="AI604" s="61">
        <f ca="1"/>
        <v>1.6696839436134984E-2</v>
      </c>
      <c r="AJ604" s="61">
        <f ca="1"/>
        <v>1.1461931182955333E-3</v>
      </c>
      <c r="AK604" s="61">
        <f ca="1"/>
        <v>-1.8715441232896278E-2</v>
      </c>
      <c r="AL604" s="19"/>
      <c r="AM604" s="61">
        <f t="shared" ca="1" si="131"/>
        <v>1.7048055758645229E-2</v>
      </c>
      <c r="AN604" s="61">
        <f t="shared" ca="1" si="132"/>
        <v>1.3952457152120639E-3</v>
      </c>
      <c r="AO604" s="61">
        <f t="shared" ca="1" si="133"/>
        <v>-1.8283772629641461E-2</v>
      </c>
      <c r="AP604" s="19"/>
      <c r="AQ604" s="62">
        <f t="shared" ca="1" si="128"/>
        <v>1.1694623819340215</v>
      </c>
      <c r="AR604" s="62">
        <f t="shared" ca="1" si="129"/>
        <v>1.758074377146766</v>
      </c>
      <c r="AS604" s="62">
        <f t="shared" ca="1" si="130"/>
        <v>0.74217834002641458</v>
      </c>
      <c r="AT604" s="49"/>
    </row>
    <row r="605" spans="1:46" x14ac:dyDescent="0.3">
      <c r="A605" s="5">
        <v>44340</v>
      </c>
      <c r="B605" s="6">
        <v>88.019997000000004</v>
      </c>
      <c r="C605" s="6">
        <v>119.610001</v>
      </c>
      <c r="D605" s="6">
        <v>78.309997999999993</v>
      </c>
      <c r="F605" s="13">
        <v>602</v>
      </c>
      <c r="G605" s="5">
        <v>44340</v>
      </c>
      <c r="H605" s="15">
        <f t="shared" si="126"/>
        <v>1.1356018937139185E-4</v>
      </c>
      <c r="I605" s="15">
        <f t="shared" si="126"/>
        <v>-1.2297579311115045E-2</v>
      </c>
      <c r="J605" s="15">
        <f t="shared" si="126"/>
        <v>1.4275865052697474E-2</v>
      </c>
      <c r="K605" s="22"/>
      <c r="L605" s="13">
        <v>602</v>
      </c>
      <c r="M605" s="5">
        <v>44340</v>
      </c>
      <c r="N605" s="26">
        <f t="shared" si="123"/>
        <v>1.5567738847404691</v>
      </c>
      <c r="O605" s="26">
        <f t="shared" si="124"/>
        <v>1.1343892140669722</v>
      </c>
      <c r="P605" s="26">
        <f t="shared" si="125"/>
        <v>1.0363949189093413</v>
      </c>
      <c r="Q605" s="22"/>
      <c r="AD605" s="59">
        <v>601</v>
      </c>
      <c r="AE605" s="61">
        <f t="shared" ca="1" si="127"/>
        <v>5.3047989411485905E-2</v>
      </c>
      <c r="AF605" s="61">
        <f t="shared" ca="1" si="127"/>
        <v>0.68562472920040196</v>
      </c>
      <c r="AG605" s="61">
        <f t="shared" ca="1" si="127"/>
        <v>-1.600447986764042</v>
      </c>
      <c r="AH605" s="19"/>
      <c r="AI605" s="61">
        <f ca="1"/>
        <v>1.1503077115668362E-3</v>
      </c>
      <c r="AJ605" s="61">
        <f ca="1"/>
        <v>1.5733076245420446E-2</v>
      </c>
      <c r="AK605" s="61">
        <f ca="1"/>
        <v>-3.53911073722738E-2</v>
      </c>
      <c r="AL605" s="19"/>
      <c r="AM605" s="61">
        <f t="shared" ca="1" si="131"/>
        <v>1.5015240340770803E-3</v>
      </c>
      <c r="AN605" s="61">
        <f t="shared" ca="1" si="132"/>
        <v>1.5982128842336976E-2</v>
      </c>
      <c r="AO605" s="61">
        <f t="shared" ca="1" si="133"/>
        <v>-3.4959438769018983E-2</v>
      </c>
      <c r="AP605" s="19"/>
      <c r="AQ605" s="62">
        <f t="shared" ca="1" si="128"/>
        <v>1.1712196767875107</v>
      </c>
      <c r="AR605" s="62">
        <f t="shared" ca="1" si="129"/>
        <v>1.7863978804128424</v>
      </c>
      <c r="AS605" s="62">
        <f t="shared" ca="1" si="130"/>
        <v>0.71668049381206667</v>
      </c>
      <c r="AT605" s="49"/>
    </row>
    <row r="606" spans="1:46" x14ac:dyDescent="0.3">
      <c r="A606" s="5">
        <v>44341</v>
      </c>
      <c r="B606" s="6">
        <v>87.220000999999996</v>
      </c>
      <c r="C606" s="6">
        <v>121.550003</v>
      </c>
      <c r="D606" s="6">
        <v>77.330001999999993</v>
      </c>
      <c r="F606" s="13">
        <v>603</v>
      </c>
      <c r="G606" s="5">
        <v>44341</v>
      </c>
      <c r="H606" s="15">
        <f t="shared" si="126"/>
        <v>-9.1303534199012933E-3</v>
      </c>
      <c r="I606" s="15">
        <f t="shared" si="126"/>
        <v>1.6089267021454922E-2</v>
      </c>
      <c r="J606" s="15">
        <f t="shared" si="126"/>
        <v>-1.259327873919603E-2</v>
      </c>
      <c r="K606" s="22"/>
      <c r="L606" s="13">
        <v>603</v>
      </c>
      <c r="M606" s="5">
        <v>44341</v>
      </c>
      <c r="N606" s="26">
        <f t="shared" si="123"/>
        <v>1.5426246808874304</v>
      </c>
      <c r="O606" s="26">
        <f t="shared" si="124"/>
        <v>1.1527883222156994</v>
      </c>
      <c r="P606" s="26">
        <f t="shared" si="125"/>
        <v>1.0234251461997128</v>
      </c>
      <c r="Q606" s="22"/>
      <c r="AD606" s="59">
        <v>602</v>
      </c>
      <c r="AE606" s="61">
        <f t="shared" ca="1" si="127"/>
        <v>-1.1564452001961596</v>
      </c>
      <c r="AF606" s="61">
        <f t="shared" ca="1" si="127"/>
        <v>-0.61124076942045058</v>
      </c>
      <c r="AG606" s="61">
        <f t="shared" ca="1" si="127"/>
        <v>1.7433504672828726</v>
      </c>
      <c r="AH606" s="19"/>
      <c r="AI606" s="61">
        <f ca="1"/>
        <v>-2.5076687100643775E-2</v>
      </c>
      <c r="AJ606" s="61">
        <f ca="1"/>
        <v>-3.138701118647657E-2</v>
      </c>
      <c r="AK606" s="61">
        <f ca="1"/>
        <v>2.32728123148392E-2</v>
      </c>
      <c r="AL606" s="19"/>
      <c r="AM606" s="61">
        <f t="shared" ca="1" si="131"/>
        <v>-2.4725470778133529E-2</v>
      </c>
      <c r="AN606" s="61">
        <f t="shared" ca="1" si="132"/>
        <v>-3.113795858956004E-2</v>
      </c>
      <c r="AO606" s="61">
        <f t="shared" ca="1" si="133"/>
        <v>2.3704480918094017E-2</v>
      </c>
      <c r="AP606" s="19"/>
      <c r="AQ606" s="62">
        <f t="shared" ca="1" si="128"/>
        <v>1.1426157983060616</v>
      </c>
      <c r="AR606" s="62">
        <f t="shared" ca="1" si="129"/>
        <v>1.7316301991156824</v>
      </c>
      <c r="AS606" s="62">
        <f t="shared" ca="1" si="130"/>
        <v>0.73387198560910782</v>
      </c>
      <c r="AT606" s="49"/>
    </row>
    <row r="607" spans="1:46" x14ac:dyDescent="0.3">
      <c r="A607" s="5">
        <v>44342</v>
      </c>
      <c r="B607" s="6">
        <v>87.68</v>
      </c>
      <c r="C607" s="6">
        <v>124.040001</v>
      </c>
      <c r="D607" s="6">
        <v>79.089995999999999</v>
      </c>
      <c r="F607" s="13">
        <v>604</v>
      </c>
      <c r="G607" s="5">
        <v>44342</v>
      </c>
      <c r="H607" s="15">
        <f t="shared" si="126"/>
        <v>5.2601493198250358E-3</v>
      </c>
      <c r="I607" s="15">
        <f t="shared" si="126"/>
        <v>2.0278376850830376E-2</v>
      </c>
      <c r="J607" s="15">
        <f t="shared" si="126"/>
        <v>2.2504389471903183E-2</v>
      </c>
      <c r="K607" s="22"/>
      <c r="L607" s="13">
        <v>604</v>
      </c>
      <c r="M607" s="5">
        <v>44342</v>
      </c>
      <c r="N607" s="26">
        <f t="shared" si="123"/>
        <v>1.550760496095499</v>
      </c>
      <c r="O607" s="26">
        <f t="shared" si="124"/>
        <v>1.1764036290515245</v>
      </c>
      <c r="P607" s="26">
        <f t="shared" si="125"/>
        <v>1.0467178148945955</v>
      </c>
      <c r="Q607" s="22"/>
      <c r="AD607" s="59">
        <v>603</v>
      </c>
      <c r="AE607" s="61">
        <f t="shared" ca="1" si="127"/>
        <v>-0.52340303680120803</v>
      </c>
      <c r="AF607" s="61">
        <f t="shared" ca="1" si="127"/>
        <v>0.11530500315079852</v>
      </c>
      <c r="AG607" s="61">
        <f t="shared" ca="1" si="127"/>
        <v>0.25274578893825234</v>
      </c>
      <c r="AH607" s="19"/>
      <c r="AI607" s="61">
        <f ca="1"/>
        <v>-1.134962052604334E-2</v>
      </c>
      <c r="AJ607" s="61">
        <f ca="1"/>
        <v>-5.6862096200174708E-3</v>
      </c>
      <c r="AK607" s="61">
        <f ca="1"/>
        <v>-4.4619895757488405E-4</v>
      </c>
      <c r="AL607" s="19"/>
      <c r="AM607" s="61">
        <f t="shared" ca="1" si="131"/>
        <v>-1.0998404203533096E-2</v>
      </c>
      <c r="AN607" s="61">
        <f t="shared" ca="1" si="132"/>
        <v>-5.4371570231009402E-3</v>
      </c>
      <c r="AO607" s="61">
        <f t="shared" ca="1" si="133"/>
        <v>-1.4530354320065812E-5</v>
      </c>
      <c r="AP607" s="19"/>
      <c r="AQ607" s="62">
        <f t="shared" ca="1" si="128"/>
        <v>1.1301177034421332</v>
      </c>
      <c r="AR607" s="62">
        <f t="shared" ca="1" si="129"/>
        <v>1.7222406033023445</v>
      </c>
      <c r="AS607" s="62">
        <f t="shared" ca="1" si="130"/>
        <v>0.73386132226660261</v>
      </c>
      <c r="AT607" s="49"/>
    </row>
    <row r="608" spans="1:46" x14ac:dyDescent="0.3">
      <c r="A608" s="5">
        <v>44343</v>
      </c>
      <c r="B608" s="6">
        <v>88.940002000000007</v>
      </c>
      <c r="C608" s="6">
        <v>125.639999</v>
      </c>
      <c r="D608" s="6">
        <v>80.790001000000004</v>
      </c>
      <c r="F608" s="13">
        <v>605</v>
      </c>
      <c r="G608" s="5">
        <v>44343</v>
      </c>
      <c r="H608" s="15">
        <f t="shared" si="126"/>
        <v>1.4268184369914763E-2</v>
      </c>
      <c r="I608" s="15">
        <f t="shared" si="126"/>
        <v>1.2816564417033499E-2</v>
      </c>
      <c r="J608" s="15">
        <f t="shared" si="126"/>
        <v>2.1266813913356046E-2</v>
      </c>
      <c r="K608" s="22"/>
      <c r="L608" s="13">
        <v>605</v>
      </c>
      <c r="M608" s="5">
        <v>44343</v>
      </c>
      <c r="N608" s="26">
        <f t="shared" si="123"/>
        <v>1.5730456389627587</v>
      </c>
      <c r="O608" s="26">
        <f t="shared" si="124"/>
        <v>1.1915781166240873</v>
      </c>
      <c r="P608" s="26">
        <f t="shared" si="125"/>
        <v>1.0692165582111319</v>
      </c>
      <c r="Q608" s="22"/>
      <c r="AD608" s="59">
        <v>604</v>
      </c>
      <c r="AE608" s="61">
        <f t="shared" ca="1" si="127"/>
        <v>-3.9524026880210714E-2</v>
      </c>
      <c r="AF608" s="61">
        <f t="shared" ca="1" si="127"/>
        <v>0.84012078965415782</v>
      </c>
      <c r="AG608" s="61">
        <f t="shared" ca="1" si="127"/>
        <v>-0.16452312073314637</v>
      </c>
      <c r="AH608" s="19"/>
      <c r="AI608" s="61">
        <f ca="1"/>
        <v>-8.5705025613350215E-4</v>
      </c>
      <c r="AJ608" s="61">
        <f ca="1"/>
        <v>1.7642236855722943E-2</v>
      </c>
      <c r="AK608" s="61">
        <f ca="1"/>
        <v>1.1174535809541537E-3</v>
      </c>
      <c r="AL608" s="19"/>
      <c r="AM608" s="61">
        <f t="shared" ca="1" si="131"/>
        <v>-5.0583393362325793E-4</v>
      </c>
      <c r="AN608" s="61">
        <f t="shared" ca="1" si="132"/>
        <v>1.7891289452639472E-2</v>
      </c>
      <c r="AO608" s="61">
        <f t="shared" ca="1" si="133"/>
        <v>1.5491221842089719E-3</v>
      </c>
      <c r="AP608" s="19"/>
      <c r="AQ608" s="62">
        <f t="shared" ca="1" si="128"/>
        <v>1.1295461961148294</v>
      </c>
      <c r="AR608" s="62">
        <f t="shared" ca="1" si="129"/>
        <v>1.7533310027838587</v>
      </c>
      <c r="AS608" s="62">
        <f t="shared" ca="1" si="130"/>
        <v>0.73499904412862327</v>
      </c>
      <c r="AT608" s="49"/>
    </row>
    <row r="609" spans="1:46" x14ac:dyDescent="0.3">
      <c r="A609" s="5">
        <v>44344</v>
      </c>
      <c r="B609" s="6">
        <v>88.790001000000004</v>
      </c>
      <c r="C609" s="6">
        <v>124.08000199999999</v>
      </c>
      <c r="D609" s="6">
        <v>80.400002000000001</v>
      </c>
      <c r="F609" s="13">
        <v>606</v>
      </c>
      <c r="G609" s="5">
        <v>44344</v>
      </c>
      <c r="H609" s="15">
        <f t="shared" si="126"/>
        <v>-1.6879652628551556E-3</v>
      </c>
      <c r="I609" s="15">
        <f t="shared" si="126"/>
        <v>-1.2494131724280821E-2</v>
      </c>
      <c r="J609" s="15">
        <f t="shared" si="126"/>
        <v>-4.8390068088444782E-3</v>
      </c>
      <c r="K609" s="22"/>
      <c r="L609" s="13">
        <v>606</v>
      </c>
      <c r="M609" s="5">
        <v>44344</v>
      </c>
      <c r="N609" s="26">
        <f t="shared" si="123"/>
        <v>1.5703926322887756</v>
      </c>
      <c r="O609" s="26">
        <f t="shared" si="124"/>
        <v>1.1767830011991083</v>
      </c>
      <c r="P609" s="26">
        <f t="shared" si="125"/>
        <v>1.064055110218505</v>
      </c>
      <c r="Q609" s="22"/>
      <c r="AD609" s="59">
        <v>605</v>
      </c>
      <c r="AE609" s="61">
        <f t="shared" ca="1" si="127"/>
        <v>-1.1351487636247835</v>
      </c>
      <c r="AF609" s="61">
        <f t="shared" ca="1" si="127"/>
        <v>0.26427798944484343</v>
      </c>
      <c r="AG609" s="61">
        <f t="shared" ca="1" si="127"/>
        <v>-0.49139679126744595</v>
      </c>
      <c r="AH609" s="19"/>
      <c r="AI609" s="61">
        <f ca="1"/>
        <v>-2.4614889104362998E-2</v>
      </c>
      <c r="AJ609" s="61">
        <f ca="1"/>
        <v>-1.2023381002273709E-2</v>
      </c>
      <c r="AK609" s="61">
        <f ca="1"/>
        <v>-2.7500839222173369E-2</v>
      </c>
      <c r="AL609" s="19"/>
      <c r="AM609" s="61">
        <f t="shared" ca="1" si="131"/>
        <v>-2.4263672781852753E-2</v>
      </c>
      <c r="AN609" s="61">
        <f t="shared" ca="1" si="132"/>
        <v>-1.1774328405357177E-2</v>
      </c>
      <c r="AO609" s="61">
        <f t="shared" ca="1" si="133"/>
        <v>-2.7069170618918552E-2</v>
      </c>
      <c r="AP609" s="19"/>
      <c r="AQ609" s="62">
        <f t="shared" ca="1" si="128"/>
        <v>1.1024690803619546</v>
      </c>
      <c r="AR609" s="62">
        <f t="shared" ca="1" si="129"/>
        <v>1.732807768506291</v>
      </c>
      <c r="AS609" s="62">
        <f t="shared" ca="1" si="130"/>
        <v>0.7153700978084061</v>
      </c>
      <c r="AT609" s="49"/>
    </row>
    <row r="610" spans="1:46" x14ac:dyDescent="0.3">
      <c r="A610" s="5">
        <v>44348</v>
      </c>
      <c r="B610" s="6">
        <v>90.269997000000004</v>
      </c>
      <c r="C610" s="6">
        <v>124.91999800000001</v>
      </c>
      <c r="D610" s="6">
        <v>82.18</v>
      </c>
      <c r="F610" s="13">
        <v>607</v>
      </c>
      <c r="G610" s="5">
        <v>44348</v>
      </c>
      <c r="H610" s="15">
        <f t="shared" si="126"/>
        <v>1.6531103769665725E-2</v>
      </c>
      <c r="I610" s="15">
        <f t="shared" si="126"/>
        <v>6.7469814177148158E-3</v>
      </c>
      <c r="J610" s="15">
        <f t="shared" si="126"/>
        <v>2.1897762394721396E-2</v>
      </c>
      <c r="K610" s="22"/>
      <c r="L610" s="13">
        <v>607</v>
      </c>
      <c r="M610" s="5">
        <v>44348</v>
      </c>
      <c r="N610" s="26">
        <f t="shared" si="123"/>
        <v>1.5965687195513139</v>
      </c>
      <c r="O610" s="26">
        <f t="shared" si="124"/>
        <v>1.1847495791967075</v>
      </c>
      <c r="P610" s="26">
        <f t="shared" si="125"/>
        <v>1.0876125221707922</v>
      </c>
      <c r="Q610" s="22"/>
      <c r="AD610" s="59">
        <v>606</v>
      </c>
      <c r="AE610" s="61">
        <f t="shared" ca="1" si="127"/>
        <v>-0.85343902509413105</v>
      </c>
      <c r="AF610" s="61">
        <f t="shared" ca="1" si="127"/>
        <v>1.2939827814861051</v>
      </c>
      <c r="AG610" s="61">
        <f t="shared" ca="1" si="127"/>
        <v>-0.87536786053727356</v>
      </c>
      <c r="AH610" s="19"/>
      <c r="AI610" s="61">
        <f ca="1"/>
        <v>-1.850621489728508E-2</v>
      </c>
      <c r="AJ610" s="61">
        <f ca="1"/>
        <v>1.4767716515192994E-2</v>
      </c>
      <c r="AK610" s="61">
        <f ca="1"/>
        <v>-2.592409005410895E-2</v>
      </c>
      <c r="AL610" s="19"/>
      <c r="AM610" s="61">
        <f t="shared" ca="1" si="131"/>
        <v>-1.8154998574774834E-2</v>
      </c>
      <c r="AN610" s="61">
        <f t="shared" ca="1" si="132"/>
        <v>1.5016769112109526E-2</v>
      </c>
      <c r="AO610" s="61">
        <f t="shared" ca="1" si="133"/>
        <v>-2.5492421450854133E-2</v>
      </c>
      <c r="AP610" s="19"/>
      <c r="AQ610" s="62">
        <f t="shared" ca="1" si="128"/>
        <v>1.0826343503245233</v>
      </c>
      <c r="AR610" s="62">
        <f t="shared" ca="1" si="129"/>
        <v>1.7590253013235075</v>
      </c>
      <c r="AS610" s="62">
        <f t="shared" ca="1" si="130"/>
        <v>0.69736406557436248</v>
      </c>
      <c r="AT610" s="49"/>
    </row>
    <row r="611" spans="1:46" x14ac:dyDescent="0.3">
      <c r="A611" s="5">
        <v>44349</v>
      </c>
      <c r="B611" s="6">
        <v>90.220000999999996</v>
      </c>
      <c r="C611" s="6">
        <v>122.91999800000001</v>
      </c>
      <c r="D611" s="6">
        <v>84.389999000000003</v>
      </c>
      <c r="F611" s="13">
        <v>608</v>
      </c>
      <c r="G611" s="5">
        <v>44349</v>
      </c>
      <c r="H611" s="15">
        <f t="shared" si="126"/>
        <v>-5.5400301216400728E-4</v>
      </c>
      <c r="I611" s="15">
        <f t="shared" si="126"/>
        <v>-1.6139795413092572E-2</v>
      </c>
      <c r="J611" s="15">
        <f t="shared" si="126"/>
        <v>2.6536935864866239E-2</v>
      </c>
      <c r="K611" s="22"/>
      <c r="L611" s="13">
        <v>608</v>
      </c>
      <c r="M611" s="5">
        <v>44349</v>
      </c>
      <c r="N611" s="26">
        <f t="shared" si="123"/>
        <v>1.5956844606352236</v>
      </c>
      <c r="O611" s="26">
        <f t="shared" si="124"/>
        <v>1.1657814460208376</v>
      </c>
      <c r="P611" s="26">
        <f t="shared" si="125"/>
        <v>1.1168607892234197</v>
      </c>
      <c r="Q611" s="22"/>
      <c r="AD611" s="59">
        <v>607</v>
      </c>
      <c r="AE611" s="61">
        <f t="shared" ca="1" si="127"/>
        <v>0.15418047845640659</v>
      </c>
      <c r="AF611" s="61">
        <f t="shared" ca="1" si="127"/>
        <v>1.4090763736813827</v>
      </c>
      <c r="AG611" s="61">
        <f t="shared" ca="1" si="127"/>
        <v>-0.48513186789677942</v>
      </c>
      <c r="AH611" s="19"/>
      <c r="AI611" s="61">
        <f ca="1"/>
        <v>3.3432934086483628E-3</v>
      </c>
      <c r="AJ611" s="61">
        <f ca="1"/>
        <v>3.3040993824473168E-2</v>
      </c>
      <c r="AK611" s="61">
        <f ca="1"/>
        <v>-2.2759096032861498E-4</v>
      </c>
      <c r="AL611" s="19"/>
      <c r="AM611" s="61">
        <f t="shared" ca="1" si="131"/>
        <v>3.6945097311586071E-3</v>
      </c>
      <c r="AN611" s="61">
        <f t="shared" ca="1" si="132"/>
        <v>3.3290046421389698E-2</v>
      </c>
      <c r="AO611" s="61">
        <f t="shared" ca="1" si="133"/>
        <v>2.0407764292620326E-4</v>
      </c>
      <c r="AP611" s="19"/>
      <c r="AQ611" s="62">
        <f t="shared" ca="1" si="128"/>
        <v>1.0866415512304644</v>
      </c>
      <c r="AR611" s="62">
        <f t="shared" ca="1" si="129"/>
        <v>1.8185689416476738</v>
      </c>
      <c r="AS611" s="62">
        <f t="shared" ca="1" si="130"/>
        <v>0.69750639651191348</v>
      </c>
      <c r="AT611" s="49"/>
    </row>
    <row r="612" spans="1:46" x14ac:dyDescent="0.3">
      <c r="A612" s="5">
        <v>44350</v>
      </c>
      <c r="B612" s="6">
        <v>90.07</v>
      </c>
      <c r="C612" s="6">
        <v>121.139999</v>
      </c>
      <c r="D612" s="6">
        <v>83.32</v>
      </c>
      <c r="F612" s="13">
        <v>609</v>
      </c>
      <c r="G612" s="5">
        <v>44350</v>
      </c>
      <c r="H612" s="15">
        <f t="shared" si="126"/>
        <v>-1.6639972686152778E-3</v>
      </c>
      <c r="I612" s="15">
        <f t="shared" si="126"/>
        <v>-1.4586827693649216E-2</v>
      </c>
      <c r="J612" s="15">
        <f t="shared" si="126"/>
        <v>-1.2760282927358802E-2</v>
      </c>
      <c r="K612" s="22"/>
      <c r="L612" s="13">
        <v>609</v>
      </c>
      <c r="M612" s="5">
        <v>44350</v>
      </c>
      <c r="N612" s="26">
        <f t="shared" si="123"/>
        <v>1.5930314539612407</v>
      </c>
      <c r="O612" s="26">
        <f t="shared" si="124"/>
        <v>1.1488998169783797</v>
      </c>
      <c r="P612" s="26">
        <f t="shared" si="125"/>
        <v>1.1026998703732098</v>
      </c>
      <c r="Q612" s="22"/>
      <c r="AD612" s="59">
        <v>608</v>
      </c>
      <c r="AE612" s="61">
        <f t="shared" ca="1" si="127"/>
        <v>-8.4120378363766929E-2</v>
      </c>
      <c r="AF612" s="61">
        <f t="shared" ca="1" si="127"/>
        <v>-1.3865812684317504</v>
      </c>
      <c r="AG612" s="61">
        <f t="shared" ca="1" si="127"/>
        <v>0.61307383068061239</v>
      </c>
      <c r="AH612" s="19"/>
      <c r="AI612" s="61">
        <f ca="1"/>
        <v>-1.8240902436692504E-3</v>
      </c>
      <c r="AJ612" s="61">
        <f ca="1"/>
        <v>-3.1455435459364169E-2</v>
      </c>
      <c r="AK612" s="61">
        <f ca="1"/>
        <v>4.6990554336578567E-3</v>
      </c>
      <c r="AL612" s="19"/>
      <c r="AM612" s="61">
        <f t="shared" ca="1" si="131"/>
        <v>-1.4728739211590063E-3</v>
      </c>
      <c r="AN612" s="61">
        <f t="shared" ca="1" si="132"/>
        <v>-3.1206382862447639E-2</v>
      </c>
      <c r="AO612" s="61">
        <f t="shared" ca="1" si="133"/>
        <v>5.1307240369126749E-3</v>
      </c>
      <c r="AP612" s="19"/>
      <c r="AQ612" s="62">
        <f t="shared" ca="1" si="128"/>
        <v>1.0850422433065983</v>
      </c>
      <c r="AR612" s="62">
        <f t="shared" ca="1" si="129"/>
        <v>1.7626943394361638</v>
      </c>
      <c r="AS612" s="62">
        <f t="shared" ca="1" si="130"/>
        <v>0.70109430576174081</v>
      </c>
      <c r="AT612" s="49"/>
    </row>
    <row r="613" spans="1:46" x14ac:dyDescent="0.3">
      <c r="A613" s="5">
        <v>44351</v>
      </c>
      <c r="B613" s="6">
        <v>90.379997000000003</v>
      </c>
      <c r="C613" s="6">
        <v>120.769997</v>
      </c>
      <c r="D613" s="6">
        <v>83.239998</v>
      </c>
      <c r="F613" s="13">
        <v>610</v>
      </c>
      <c r="G613" s="5">
        <v>44351</v>
      </c>
      <c r="H613" s="15">
        <f t="shared" si="126"/>
        <v>3.4358249942972896E-3</v>
      </c>
      <c r="I613" s="15">
        <f t="shared" si="126"/>
        <v>-3.0590078512119064E-3</v>
      </c>
      <c r="J613" s="15">
        <f t="shared" si="126"/>
        <v>-9.6063889424793827E-4</v>
      </c>
      <c r="K613" s="22"/>
      <c r="L613" s="13">
        <v>610</v>
      </c>
      <c r="M613" s="5">
        <v>44351</v>
      </c>
      <c r="N613" s="26">
        <f t="shared" si="123"/>
        <v>1.5985142448087331</v>
      </c>
      <c r="O613" s="26">
        <f t="shared" si="124"/>
        <v>1.1453906933727107</v>
      </c>
      <c r="P613" s="26">
        <f t="shared" si="125"/>
        <v>1.1016410826268155</v>
      </c>
      <c r="Q613" s="22"/>
      <c r="AD613" s="59">
        <v>609</v>
      </c>
      <c r="AE613" s="61">
        <f t="shared" ca="1" si="127"/>
        <v>6.9293642456614027E-2</v>
      </c>
      <c r="AF613" s="61">
        <f t="shared" ca="1" si="127"/>
        <v>2.9470765532848501E-2</v>
      </c>
      <c r="AG613" s="61">
        <f t="shared" ca="1" si="127"/>
        <v>-0.73563194257473352</v>
      </c>
      <c r="AH613" s="19"/>
      <c r="AI613" s="61">
        <f ca="1"/>
        <v>1.502583079296493E-3</v>
      </c>
      <c r="AJ613" s="61">
        <f ca="1"/>
        <v>1.7251845859631175E-3</v>
      </c>
      <c r="AK613" s="61">
        <f ca="1"/>
        <v>-1.7615459234907954E-2</v>
      </c>
      <c r="AL613" s="19"/>
      <c r="AM613" s="61">
        <f t="shared" ca="1" si="131"/>
        <v>1.8537994018067373E-3</v>
      </c>
      <c r="AN613" s="61">
        <f t="shared" ca="1" si="132"/>
        <v>1.9742371828796483E-3</v>
      </c>
      <c r="AO613" s="61">
        <f t="shared" ca="1" si="133"/>
        <v>-1.7183790631653137E-2</v>
      </c>
      <c r="AP613" s="19"/>
      <c r="AQ613" s="62">
        <f t="shared" ca="1" si="128"/>
        <v>1.0870555595338085</v>
      </c>
      <c r="AR613" s="62">
        <f t="shared" ca="1" si="129"/>
        <v>1.7661777535545518</v>
      </c>
      <c r="AS613" s="62">
        <f t="shared" ca="1" si="130"/>
        <v>0.68914976813185647</v>
      </c>
      <c r="AT613" s="49"/>
    </row>
    <row r="614" spans="1:46" x14ac:dyDescent="0.3">
      <c r="A614" s="5">
        <v>44354</v>
      </c>
      <c r="B614" s="6">
        <v>89.830001999999993</v>
      </c>
      <c r="C614" s="6">
        <v>120.949997</v>
      </c>
      <c r="D614" s="6">
        <v>82.690002000000007</v>
      </c>
      <c r="F614" s="13">
        <v>611</v>
      </c>
      <c r="G614" s="5">
        <v>44354</v>
      </c>
      <c r="H614" s="15">
        <f t="shared" si="126"/>
        <v>-6.1039532845569202E-3</v>
      </c>
      <c r="I614" s="15">
        <f t="shared" si="126"/>
        <v>1.4893268057204563E-3</v>
      </c>
      <c r="J614" s="15">
        <f t="shared" si="126"/>
        <v>-6.6292775777266411E-3</v>
      </c>
      <c r="K614" s="22"/>
      <c r="L614" s="13">
        <v>611</v>
      </c>
      <c r="M614" s="5">
        <v>44354</v>
      </c>
      <c r="N614" s="26">
        <f t="shared" si="123"/>
        <v>1.5887867069546038</v>
      </c>
      <c r="O614" s="26">
        <f t="shared" si="124"/>
        <v>1.1470978253585389</v>
      </c>
      <c r="P614" s="26">
        <f t="shared" si="125"/>
        <v>1.0943621517830111</v>
      </c>
      <c r="Q614" s="22"/>
      <c r="AD614" s="59">
        <v>610</v>
      </c>
      <c r="AE614" s="61">
        <f t="shared" ca="1" si="127"/>
        <v>1.6316909316811423</v>
      </c>
      <c r="AF614" s="61">
        <f t="shared" ca="1" si="127"/>
        <v>-0.14556203920023394</v>
      </c>
      <c r="AG614" s="61">
        <f t="shared" ca="1" si="127"/>
        <v>-0.20420786306032393</v>
      </c>
      <c r="AH614" s="19"/>
      <c r="AI614" s="61">
        <f ca="1"/>
        <v>3.5382050902010222E-2</v>
      </c>
      <c r="AJ614" s="61">
        <f ca="1"/>
        <v>2.2375838792562781E-2</v>
      </c>
      <c r="AK614" s="61">
        <f ca="1"/>
        <v>1.7852213287013082E-2</v>
      </c>
      <c r="AL614" s="19"/>
      <c r="AM614" s="61">
        <f t="shared" ca="1" si="131"/>
        <v>3.5733267224520464E-2</v>
      </c>
      <c r="AN614" s="61">
        <f t="shared" ca="1" si="132"/>
        <v>2.2624891389479311E-2</v>
      </c>
      <c r="AO614" s="61">
        <f t="shared" ca="1" si="133"/>
        <v>1.8283881890267899E-2</v>
      </c>
      <c r="AP614" s="19"/>
      <c r="AQ614" s="62">
        <f t="shared" ca="1" si="128"/>
        <v>1.1266019595032806</v>
      </c>
      <c r="AR614" s="62">
        <f t="shared" ca="1" si="129"/>
        <v>1.8065928024735904</v>
      </c>
      <c r="AS614" s="62">
        <f t="shared" ca="1" si="130"/>
        <v>0.70186599786701842</v>
      </c>
      <c r="AT614" s="49"/>
    </row>
    <row r="615" spans="1:46" x14ac:dyDescent="0.3">
      <c r="A615" s="5">
        <v>44355</v>
      </c>
      <c r="B615" s="6">
        <v>91.309997999999993</v>
      </c>
      <c r="C615" s="6">
        <v>122.459999</v>
      </c>
      <c r="D615" s="6">
        <v>83.260002</v>
      </c>
      <c r="F615" s="13">
        <v>612</v>
      </c>
      <c r="G615" s="5">
        <v>44355</v>
      </c>
      <c r="H615" s="15">
        <f t="shared" si="126"/>
        <v>1.6341271219450511E-2</v>
      </c>
      <c r="I615" s="15">
        <f t="shared" si="126"/>
        <v>1.2407225631478568E-2</v>
      </c>
      <c r="J615" s="15">
        <f t="shared" si="126"/>
        <v>6.8695658671711485E-3</v>
      </c>
      <c r="K615" s="22"/>
      <c r="L615" s="13">
        <v>612</v>
      </c>
      <c r="M615" s="5">
        <v>44355</v>
      </c>
      <c r="N615" s="26">
        <f t="shared" si="123"/>
        <v>1.6149627942171418</v>
      </c>
      <c r="O615" s="26">
        <f t="shared" si="124"/>
        <v>1.1614187848744539</v>
      </c>
      <c r="P615" s="26">
        <f t="shared" si="125"/>
        <v>1.10190582588422</v>
      </c>
      <c r="Q615" s="22"/>
      <c r="AD615" s="59">
        <v>611</v>
      </c>
      <c r="AE615" s="61">
        <f t="shared" ca="1" si="127"/>
        <v>-0.48477500430828169</v>
      </c>
      <c r="AF615" s="61">
        <f t="shared" ca="1" si="127"/>
        <v>-0.82052105029660483</v>
      </c>
      <c r="AG615" s="61">
        <f t="shared" ca="1" si="127"/>
        <v>-0.77829863805269928</v>
      </c>
      <c r="AH615" s="19"/>
      <c r="AI615" s="61">
        <f ca="1"/>
        <v>-1.0511999267401506E-2</v>
      </c>
      <c r="AJ615" s="61">
        <f ca="1"/>
        <v>-2.5422722182056531E-2</v>
      </c>
      <c r="AK615" s="61">
        <f ca="1"/>
        <v>-3.2881278808472546E-2</v>
      </c>
      <c r="AL615" s="19"/>
      <c r="AM615" s="61">
        <f t="shared" ca="1" si="131"/>
        <v>-1.0160782944891263E-2</v>
      </c>
      <c r="AN615" s="61">
        <f t="shared" ca="1" si="132"/>
        <v>-2.5173669585140002E-2</v>
      </c>
      <c r="AO615" s="61">
        <f t="shared" ca="1" si="133"/>
        <v>-3.2449610205217728E-2</v>
      </c>
      <c r="AP615" s="19"/>
      <c r="AQ615" s="62">
        <f t="shared" ca="1" si="128"/>
        <v>1.1152127611002582</v>
      </c>
      <c r="AR615" s="62">
        <f t="shared" ca="1" si="129"/>
        <v>1.761681890119839</v>
      </c>
      <c r="AS615" s="62">
        <f t="shared" ca="1" si="130"/>
        <v>0.67945627950841336</v>
      </c>
      <c r="AT615" s="49"/>
    </row>
    <row r="616" spans="1:46" x14ac:dyDescent="0.3">
      <c r="A616" s="5">
        <v>44356</v>
      </c>
      <c r="B616" s="6">
        <v>91.309997999999993</v>
      </c>
      <c r="C616" s="6">
        <v>121.44000200000001</v>
      </c>
      <c r="D616" s="6">
        <v>81.93</v>
      </c>
      <c r="F616" s="13">
        <v>613</v>
      </c>
      <c r="G616" s="5">
        <v>44356</v>
      </c>
      <c r="H616" s="15">
        <f t="shared" si="126"/>
        <v>0</v>
      </c>
      <c r="I616" s="15">
        <f t="shared" si="126"/>
        <v>-8.3641077675186502E-3</v>
      </c>
      <c r="J616" s="15">
        <f t="shared" si="126"/>
        <v>-1.6103041634244263E-2</v>
      </c>
      <c r="K616" s="22"/>
      <c r="L616" s="13">
        <v>613</v>
      </c>
      <c r="M616" s="5">
        <v>44356</v>
      </c>
      <c r="N616" s="26">
        <f t="shared" si="123"/>
        <v>1.6149627942171418</v>
      </c>
      <c r="O616" s="26">
        <f t="shared" si="124"/>
        <v>1.1517450654069601</v>
      </c>
      <c r="P616" s="26">
        <f t="shared" si="125"/>
        <v>1.0843038931790339</v>
      </c>
      <c r="Q616" s="22"/>
      <c r="AD616" s="59">
        <v>612</v>
      </c>
      <c r="AE616" s="61">
        <f t="shared" ca="1" si="127"/>
        <v>-1.8450387378709547</v>
      </c>
      <c r="AF616" s="61">
        <f t="shared" ca="1" si="127"/>
        <v>-1.0263686847841089</v>
      </c>
      <c r="AG616" s="61">
        <f t="shared" ca="1" si="127"/>
        <v>-1.3040400120429574</v>
      </c>
      <c r="AH616" s="19"/>
      <c r="AI616" s="61">
        <f ca="1"/>
        <v>-4.000834549731247E-2</v>
      </c>
      <c r="AJ616" s="61">
        <f ca="1"/>
        <v>-5.1188337605939757E-2</v>
      </c>
      <c r="AK616" s="61">
        <f ca="1"/>
        <v>-6.789906252626543E-2</v>
      </c>
      <c r="AL616" s="19"/>
      <c r="AM616" s="61">
        <f t="shared" ca="1" si="131"/>
        <v>-3.9657129174802228E-2</v>
      </c>
      <c r="AN616" s="61">
        <f t="shared" ca="1" si="132"/>
        <v>-5.0939285009023227E-2</v>
      </c>
      <c r="AO616" s="61">
        <f t="shared" ca="1" si="133"/>
        <v>-6.7467393923010613E-2</v>
      </c>
      <c r="AP616" s="19"/>
      <c r="AQ616" s="62">
        <f t="shared" ca="1" si="128"/>
        <v>1.0718520870861388</v>
      </c>
      <c r="AR616" s="62">
        <f t="shared" ca="1" si="129"/>
        <v>1.6741903698116001</v>
      </c>
      <c r="AS616" s="62">
        <f t="shared" ca="1" si="130"/>
        <v>0.63512732807608685</v>
      </c>
      <c r="AT616" s="49"/>
    </row>
    <row r="617" spans="1:46" x14ac:dyDescent="0.3">
      <c r="A617" s="5">
        <v>44357</v>
      </c>
      <c r="B617" s="6">
        <v>91.230002999999996</v>
      </c>
      <c r="C617" s="6">
        <v>119.660004</v>
      </c>
      <c r="D617" s="6">
        <v>81.940002000000007</v>
      </c>
      <c r="F617" s="13">
        <v>614</v>
      </c>
      <c r="G617" s="5">
        <v>44357</v>
      </c>
      <c r="H617" s="15">
        <f t="shared" si="126"/>
        <v>-8.7646548354031607E-4</v>
      </c>
      <c r="I617" s="15">
        <f t="shared" si="126"/>
        <v>-1.4765908726426615E-2</v>
      </c>
      <c r="J617" s="15">
        <f t="shared" si="126"/>
        <v>1.2207237310495707E-4</v>
      </c>
      <c r="K617" s="22"/>
      <c r="L617" s="13">
        <v>614</v>
      </c>
      <c r="M617" s="5">
        <v>44357</v>
      </c>
      <c r="N617" s="26">
        <f t="shared" si="123"/>
        <v>1.613547955190167</v>
      </c>
      <c r="O617" s="26">
        <f t="shared" si="124"/>
        <v>1.1348634458485689</v>
      </c>
      <c r="P617" s="26">
        <f t="shared" si="125"/>
        <v>1.0844362648077361</v>
      </c>
      <c r="Q617" s="22"/>
      <c r="AD617" s="59">
        <v>613</v>
      </c>
      <c r="AE617" s="61">
        <f t="shared" ca="1" si="127"/>
        <v>-0.30272923841548055</v>
      </c>
      <c r="AF617" s="61">
        <f t="shared" ca="1" si="127"/>
        <v>-1.494802595381143</v>
      </c>
      <c r="AG617" s="61">
        <f t="shared" ca="1" si="127"/>
        <v>-0.71986338938259453</v>
      </c>
      <c r="AH617" s="19"/>
      <c r="AI617" s="61">
        <f ca="1"/>
        <v>-6.5644670293702736E-3</v>
      </c>
      <c r="AJ617" s="61">
        <f ca="1"/>
        <v>-3.7229475877338311E-2</v>
      </c>
      <c r="AK617" s="61">
        <f ca="1"/>
        <v>-3.3442946031629284E-2</v>
      </c>
      <c r="AL617" s="19"/>
      <c r="AM617" s="61">
        <f t="shared" ca="1" si="131"/>
        <v>-6.2132507068600297E-3</v>
      </c>
      <c r="AN617" s="61">
        <f t="shared" ca="1" si="132"/>
        <v>-3.6980423280421781E-2</v>
      </c>
      <c r="AO617" s="61">
        <f t="shared" ca="1" si="133"/>
        <v>-3.3011277428374466E-2</v>
      </c>
      <c r="AP617" s="19"/>
      <c r="AQ617" s="62">
        <f t="shared" ca="1" si="128"/>
        <v>1.0652130477144797</v>
      </c>
      <c r="AR617" s="62">
        <f t="shared" ca="1" si="129"/>
        <v>1.6134088903628911</v>
      </c>
      <c r="AS617" s="62">
        <f t="shared" ca="1" si="130"/>
        <v>0.61450325010690221</v>
      </c>
      <c r="AT617" s="49"/>
    </row>
    <row r="618" spans="1:46" x14ac:dyDescent="0.3">
      <c r="A618" s="5">
        <v>44358</v>
      </c>
      <c r="B618" s="6">
        <v>90.639999000000003</v>
      </c>
      <c r="C618" s="6">
        <v>122.730003</v>
      </c>
      <c r="D618" s="6">
        <v>81.290001000000004</v>
      </c>
      <c r="F618" s="13">
        <v>615</v>
      </c>
      <c r="G618" s="5">
        <v>44358</v>
      </c>
      <c r="H618" s="15">
        <f t="shared" si="126"/>
        <v>-6.4882175542079852E-3</v>
      </c>
      <c r="I618" s="15">
        <f t="shared" si="126"/>
        <v>2.5332423663386418E-2</v>
      </c>
      <c r="J618" s="15">
        <f t="shared" si="126"/>
        <v>-7.9642764667112627E-3</v>
      </c>
      <c r="K618" s="22"/>
      <c r="L618" s="13">
        <v>615</v>
      </c>
      <c r="M618" s="5">
        <v>44358</v>
      </c>
      <c r="N618" s="26">
        <f t="shared" si="123"/>
        <v>1.6031127944267283</v>
      </c>
      <c r="O618" s="26">
        <f t="shared" si="124"/>
        <v>1.1639795207894628</v>
      </c>
      <c r="P618" s="26">
        <f t="shared" si="125"/>
        <v>1.0758338161946486</v>
      </c>
      <c r="Q618" s="22"/>
      <c r="AD618" s="59">
        <v>614</v>
      </c>
      <c r="AE618" s="61">
        <f t="shared" ca="1" si="127"/>
        <v>0.3249192002182939</v>
      </c>
      <c r="AF618" s="61">
        <f t="shared" ca="1" si="127"/>
        <v>1.8520734264976837</v>
      </c>
      <c r="AG618" s="61">
        <f t="shared" ca="1" si="127"/>
        <v>1.338829532506463</v>
      </c>
      <c r="AH618" s="19"/>
      <c r="AI618" s="61">
        <f ca="1"/>
        <v>7.0456404812640604E-3</v>
      </c>
      <c r="AJ618" s="61">
        <f ca="1"/>
        <v>4.5342445735349554E-2</v>
      </c>
      <c r="AK618" s="61">
        <f ca="1"/>
        <v>5.2144765417722019E-2</v>
      </c>
      <c r="AL618" s="19"/>
      <c r="AM618" s="61">
        <f t="shared" ca="1" si="131"/>
        <v>7.3968568037743043E-3</v>
      </c>
      <c r="AN618" s="61">
        <f t="shared" ca="1" si="132"/>
        <v>4.5591498332266084E-2</v>
      </c>
      <c r="AO618" s="61">
        <f t="shared" ca="1" si="133"/>
        <v>5.2576434020976837E-2</v>
      </c>
      <c r="AP618" s="19"/>
      <c r="AQ618" s="62">
        <f t="shared" ca="1" si="128"/>
        <v>1.0731214888390366</v>
      </c>
      <c r="AR618" s="62">
        <f t="shared" ca="1" si="129"/>
        <v>1.6886691984092566</v>
      </c>
      <c r="AS618" s="62">
        <f t="shared" ca="1" si="130"/>
        <v>0.64767605228635394</v>
      </c>
      <c r="AT618" s="49"/>
    </row>
    <row r="619" spans="1:46" x14ac:dyDescent="0.3">
      <c r="A619" s="5">
        <v>44361</v>
      </c>
      <c r="B619" s="6">
        <v>90.68</v>
      </c>
      <c r="C619" s="6">
        <v>120.379997</v>
      </c>
      <c r="D619" s="6">
        <v>81.949996999999996</v>
      </c>
      <c r="F619" s="13">
        <v>616</v>
      </c>
      <c r="G619" s="5">
        <v>44361</v>
      </c>
      <c r="H619" s="15">
        <f t="shared" si="126"/>
        <v>4.4121995223402808E-4</v>
      </c>
      <c r="I619" s="15">
        <f t="shared" si="126"/>
        <v>-1.9333463854776571E-2</v>
      </c>
      <c r="J619" s="15">
        <f t="shared" si="126"/>
        <v>8.0862485220332889E-3</v>
      </c>
      <c r="K619" s="22"/>
      <c r="L619" s="13">
        <v>616</v>
      </c>
      <c r="M619" s="5">
        <v>44361</v>
      </c>
      <c r="N619" s="26">
        <f t="shared" si="123"/>
        <v>1.603820275843292</v>
      </c>
      <c r="O619" s="26">
        <f t="shared" si="124"/>
        <v>1.141691907403416</v>
      </c>
      <c r="P619" s="26">
        <f t="shared" si="125"/>
        <v>1.0845685437948265</v>
      </c>
      <c r="Q619" s="22"/>
      <c r="AD619" s="59">
        <v>615</v>
      </c>
      <c r="AE619" s="61">
        <f t="shared" ca="1" si="127"/>
        <v>-1.0124989300139602</v>
      </c>
      <c r="AF619" s="61">
        <f t="shared" ca="1" si="127"/>
        <v>1.8486785969096535</v>
      </c>
      <c r="AG619" s="61">
        <f t="shared" ca="1" si="127"/>
        <v>0.87862870236884949</v>
      </c>
      <c r="AH619" s="19"/>
      <c r="AI619" s="61">
        <f ca="1"/>
        <v>-2.1955315179128205E-2</v>
      </c>
      <c r="AJ619" s="61">
        <f ca="1"/>
        <v>2.4334935147674749E-2</v>
      </c>
      <c r="AK619" s="61">
        <f ca="1"/>
        <v>2.0569449673939449E-2</v>
      </c>
      <c r="AL619" s="19"/>
      <c r="AM619" s="61">
        <f t="shared" ca="1" si="131"/>
        <v>-2.1604098856617959E-2</v>
      </c>
      <c r="AN619" s="61">
        <f t="shared" ca="1" si="132"/>
        <v>2.4583987744591279E-2</v>
      </c>
      <c r="AO619" s="61">
        <f t="shared" ca="1" si="133"/>
        <v>2.1001118277194267E-2</v>
      </c>
      <c r="AP619" s="19"/>
      <c r="AQ619" s="62">
        <f t="shared" ca="1" si="128"/>
        <v>1.0501863051483349</v>
      </c>
      <c r="AR619" s="62">
        <f t="shared" ca="1" si="129"/>
        <v>1.7306979213637566</v>
      </c>
      <c r="AS619" s="62">
        <f t="shared" ca="1" si="130"/>
        <v>0.66142180656487415</v>
      </c>
      <c r="AT619" s="49"/>
    </row>
    <row r="620" spans="1:46" x14ac:dyDescent="0.3">
      <c r="A620" s="5">
        <v>44362</v>
      </c>
      <c r="B620" s="6">
        <v>91.43</v>
      </c>
      <c r="C620" s="6">
        <v>121.30999799999999</v>
      </c>
      <c r="D620" s="6">
        <v>82.300003000000004</v>
      </c>
      <c r="F620" s="13">
        <v>617</v>
      </c>
      <c r="G620" s="5">
        <v>44362</v>
      </c>
      <c r="H620" s="15">
        <f t="shared" si="126"/>
        <v>8.2368265370069416E-3</v>
      </c>
      <c r="I620" s="15">
        <f t="shared" si="126"/>
        <v>7.6958550975995263E-3</v>
      </c>
      <c r="J620" s="15">
        <f t="shared" si="126"/>
        <v>4.2618755528780715E-3</v>
      </c>
      <c r="K620" s="22"/>
      <c r="L620" s="13">
        <v>617</v>
      </c>
      <c r="M620" s="5">
        <v>44362</v>
      </c>
      <c r="N620" s="26">
        <f t="shared" si="123"/>
        <v>1.6170852207802404</v>
      </c>
      <c r="O620" s="26">
        <f t="shared" si="124"/>
        <v>1.1505120988142621</v>
      </c>
      <c r="P620" s="26">
        <f t="shared" si="125"/>
        <v>1.0892007037903841</v>
      </c>
      <c r="Q620" s="22"/>
      <c r="AD620" s="59">
        <v>616</v>
      </c>
      <c r="AE620" s="61">
        <f t="shared" ca="1" si="127"/>
        <v>-1.5213770306708401</v>
      </c>
      <c r="AF620" s="61">
        <f t="shared" ca="1" si="127"/>
        <v>1.567242539435592</v>
      </c>
      <c r="AG620" s="61">
        <f t="shared" ca="1" si="127"/>
        <v>-2.4415715493723287</v>
      </c>
      <c r="AH620" s="19"/>
      <c r="AI620" s="61">
        <f ca="1"/>
        <v>-3.2989972852814714E-2</v>
      </c>
      <c r="AJ620" s="61">
        <f ca="1"/>
        <v>1.0252504055185064E-2</v>
      </c>
      <c r="AK620" s="61">
        <f ca="1"/>
        <v>-7.399488592145595E-2</v>
      </c>
      <c r="AL620" s="19"/>
      <c r="AM620" s="61">
        <f t="shared" ca="1" si="131"/>
        <v>-3.2638756530304472E-2</v>
      </c>
      <c r="AN620" s="61">
        <f t="shared" ca="1" si="132"/>
        <v>1.0501556652101595E-2</v>
      </c>
      <c r="AO620" s="61">
        <f t="shared" ca="1" si="133"/>
        <v>-7.3563217318201132E-2</v>
      </c>
      <c r="AP620" s="19"/>
      <c r="AQ620" s="62">
        <f t="shared" ca="1" si="128"/>
        <v>1.0164628692424365</v>
      </c>
      <c r="AR620" s="62">
        <f t="shared" ca="1" si="129"/>
        <v>1.7489687115895978</v>
      </c>
      <c r="AS620" s="62">
        <f t="shared" ca="1" si="130"/>
        <v>0.61451205906182194</v>
      </c>
      <c r="AT620" s="49"/>
    </row>
    <row r="621" spans="1:46" x14ac:dyDescent="0.3">
      <c r="A621" s="5">
        <v>44363</v>
      </c>
      <c r="B621" s="6">
        <v>91.209998999999996</v>
      </c>
      <c r="C621" s="6">
        <v>121.470001</v>
      </c>
      <c r="D621" s="6">
        <v>81.459998999999996</v>
      </c>
      <c r="F621" s="13">
        <v>618</v>
      </c>
      <c r="G621" s="5">
        <v>44363</v>
      </c>
      <c r="H621" s="15">
        <f t="shared" si="126"/>
        <v>-2.4091229479784272E-3</v>
      </c>
      <c r="I621" s="15">
        <f t="shared" si="126"/>
        <v>1.3180906485238777E-3</v>
      </c>
      <c r="J621" s="15">
        <f t="shared" si="126"/>
        <v>-1.0259054190725592E-2</v>
      </c>
      <c r="K621" s="22"/>
      <c r="L621" s="13">
        <v>618</v>
      </c>
      <c r="M621" s="5">
        <v>44363</v>
      </c>
      <c r="N621" s="26">
        <f t="shared" si="123"/>
        <v>1.6131941525788087</v>
      </c>
      <c r="O621" s="26">
        <f t="shared" si="124"/>
        <v>1.1520295779205314</v>
      </c>
      <c r="P621" s="26">
        <f t="shared" si="125"/>
        <v>1.0780836574400121</v>
      </c>
      <c r="Q621" s="22"/>
      <c r="AD621" s="59">
        <v>617</v>
      </c>
      <c r="AE621" s="61">
        <f t="shared" ca="1" si="127"/>
        <v>1.3094022909292691</v>
      </c>
      <c r="AF621" s="61">
        <f t="shared" ca="1" si="127"/>
        <v>0.10448164482972991</v>
      </c>
      <c r="AG621" s="61">
        <f t="shared" ca="1" si="127"/>
        <v>1.6115615045862692</v>
      </c>
      <c r="AH621" s="19"/>
      <c r="AI621" s="61">
        <f ca="1"/>
        <v>2.8393452221453952E-2</v>
      </c>
      <c r="AJ621" s="61">
        <f ca="1"/>
        <v>2.2766222000308652E-2</v>
      </c>
      <c r="AK621" s="61">
        <f ca="1"/>
        <v>6.1371075138986264E-2</v>
      </c>
      <c r="AL621" s="19"/>
      <c r="AM621" s="61">
        <f t="shared" ca="1" si="131"/>
        <v>2.8744668543964198E-2</v>
      </c>
      <c r="AN621" s="61">
        <f t="shared" ca="1" si="132"/>
        <v>2.3015274597225181E-2</v>
      </c>
      <c r="AO621" s="61">
        <f t="shared" ca="1" si="133"/>
        <v>6.1802743742241081E-2</v>
      </c>
      <c r="AP621" s="19"/>
      <c r="AQ621" s="62">
        <f t="shared" ca="1" si="128"/>
        <v>1.0461047394197827</v>
      </c>
      <c r="AR621" s="62">
        <f t="shared" ca="1" si="129"/>
        <v>1.7896884978468282</v>
      </c>
      <c r="AS621" s="62">
        <f t="shared" ca="1" si="130"/>
        <v>0.65368873431123775</v>
      </c>
      <c r="AT621" s="49"/>
    </row>
    <row r="622" spans="1:46" x14ac:dyDescent="0.3">
      <c r="A622" s="5">
        <v>44364</v>
      </c>
      <c r="B622" s="6">
        <v>87.839995999999999</v>
      </c>
      <c r="C622" s="6">
        <v>117.050003</v>
      </c>
      <c r="D622" s="6">
        <v>78.580001999999993</v>
      </c>
      <c r="F622" s="13">
        <v>619</v>
      </c>
      <c r="G622" s="5">
        <v>44364</v>
      </c>
      <c r="H622" s="15">
        <f t="shared" si="126"/>
        <v>-3.7647597004477985E-2</v>
      </c>
      <c r="I622" s="15">
        <f t="shared" si="126"/>
        <v>-3.7066107377672665E-2</v>
      </c>
      <c r="J622" s="15">
        <f t="shared" si="126"/>
        <v>-3.5994850362220547E-2</v>
      </c>
      <c r="K622" s="22"/>
      <c r="L622" s="13">
        <v>619</v>
      </c>
      <c r="M622" s="5">
        <v>44364</v>
      </c>
      <c r="N622" s="26">
        <f t="shared" si="123"/>
        <v>1.5535902802690083</v>
      </c>
      <c r="O622" s="26">
        <f t="shared" si="124"/>
        <v>1.110110022569992</v>
      </c>
      <c r="P622" s="26">
        <f t="shared" si="125"/>
        <v>1.0399682911585042</v>
      </c>
      <c r="Q622" s="22"/>
      <c r="AD622" s="59">
        <v>618</v>
      </c>
      <c r="AE622" s="61">
        <f t="shared" ca="1" si="127"/>
        <v>-0.55245652789011612</v>
      </c>
      <c r="AF622" s="61">
        <f t="shared" ca="1" si="127"/>
        <v>-1.2306301728897611</v>
      </c>
      <c r="AG622" s="61">
        <f t="shared" ca="1" si="127"/>
        <v>-1.1333428778037467</v>
      </c>
      <c r="AH622" s="19"/>
      <c r="AI622" s="61">
        <f ca="1"/>
        <v>-1.1979624701852369E-2</v>
      </c>
      <c r="AJ622" s="61">
        <f ca="1"/>
        <v>-3.5396235371583554E-2</v>
      </c>
      <c r="AK622" s="61">
        <f ca="1"/>
        <v>-4.586570513341115E-2</v>
      </c>
      <c r="AL622" s="19"/>
      <c r="AM622" s="61">
        <f t="shared" ca="1" si="131"/>
        <v>-1.1628408379342125E-2</v>
      </c>
      <c r="AN622" s="61">
        <f t="shared" ca="1" si="132"/>
        <v>-3.5147182774667024E-2</v>
      </c>
      <c r="AO622" s="61">
        <f t="shared" ca="1" si="133"/>
        <v>-4.5434036530156333E-2</v>
      </c>
      <c r="AP622" s="19"/>
      <c r="AQ622" s="62">
        <f t="shared" ca="1" si="128"/>
        <v>1.0340106600289996</v>
      </c>
      <c r="AR622" s="62">
        <f t="shared" ca="1" si="129"/>
        <v>1.727878574255683</v>
      </c>
      <c r="AS622" s="62">
        <f t="shared" ca="1" si="130"/>
        <v>0.62465360257495395</v>
      </c>
      <c r="AT622" s="49"/>
    </row>
    <row r="623" spans="1:46" x14ac:dyDescent="0.3">
      <c r="A623" s="5">
        <v>44365</v>
      </c>
      <c r="B623" s="6">
        <v>86.019997000000004</v>
      </c>
      <c r="C623" s="6">
        <v>113.480003</v>
      </c>
      <c r="D623" s="6">
        <v>76.019997000000004</v>
      </c>
      <c r="F623" s="13">
        <v>620</v>
      </c>
      <c r="G623" s="5">
        <v>44365</v>
      </c>
      <c r="H623" s="15">
        <f t="shared" si="126"/>
        <v>-2.0937139743899488E-2</v>
      </c>
      <c r="I623" s="15">
        <f t="shared" si="126"/>
        <v>-3.0974583189965422E-2</v>
      </c>
      <c r="J623" s="15">
        <f t="shared" si="126"/>
        <v>-3.312081548427942E-2</v>
      </c>
      <c r="K623" s="22"/>
      <c r="L623" s="13">
        <v>620</v>
      </c>
      <c r="M623" s="5">
        <v>44365</v>
      </c>
      <c r="N623" s="26">
        <f t="shared" si="123"/>
        <v>1.5214006982419404</v>
      </c>
      <c r="O623" s="26">
        <f t="shared" si="124"/>
        <v>1.0762519048510639</v>
      </c>
      <c r="P623" s="26">
        <f t="shared" si="125"/>
        <v>1.0060878641103195</v>
      </c>
      <c r="Q623" s="22"/>
      <c r="AD623" s="59">
        <v>619</v>
      </c>
      <c r="AE623" s="61">
        <f t="shared" ca="1" si="127"/>
        <v>-0.61782286179606349</v>
      </c>
      <c r="AF623" s="61">
        <f t="shared" ca="1" si="127"/>
        <v>0.47546008300208381</v>
      </c>
      <c r="AG623" s="61">
        <f t="shared" ca="1" si="127"/>
        <v>-1.2767935940999586</v>
      </c>
      <c r="AH623" s="19"/>
      <c r="AI623" s="61">
        <f ca="1"/>
        <v>-1.3397046903957236E-2</v>
      </c>
      <c r="AJ623" s="61">
        <f ca="1"/>
        <v>6.6423653179559575E-4</v>
      </c>
      <c r="AK623" s="61">
        <f ca="1"/>
        <v>-3.8491655777277381E-2</v>
      </c>
      <c r="AL623" s="19"/>
      <c r="AM623" s="61">
        <f t="shared" ca="1" si="131"/>
        <v>-1.3045830581446993E-2</v>
      </c>
      <c r="AN623" s="61">
        <f t="shared" ca="1" si="132"/>
        <v>9.1328912871212642E-4</v>
      </c>
      <c r="AO623" s="61">
        <f t="shared" ca="1" si="133"/>
        <v>-3.8059987174022564E-2</v>
      </c>
      <c r="AP623" s="19"/>
      <c r="AQ623" s="62">
        <f t="shared" ca="1" si="128"/>
        <v>1.0206087417925342</v>
      </c>
      <c r="AR623" s="62">
        <f t="shared" ca="1" si="129"/>
        <v>1.7294573478019062</v>
      </c>
      <c r="AS623" s="62">
        <f t="shared" ca="1" si="130"/>
        <v>0.60132603384183436</v>
      </c>
      <c r="AT623" s="49"/>
    </row>
    <row r="624" spans="1:46" x14ac:dyDescent="0.3">
      <c r="A624" s="5">
        <v>44368</v>
      </c>
      <c r="B624" s="6">
        <v>87.940002000000007</v>
      </c>
      <c r="C624" s="6">
        <v>115.43</v>
      </c>
      <c r="D624" s="6">
        <v>79.980002999999996</v>
      </c>
      <c r="F624" s="13">
        <v>621</v>
      </c>
      <c r="G624" s="5">
        <v>44368</v>
      </c>
      <c r="H624" s="15">
        <f t="shared" si="126"/>
        <v>2.2074994015463607E-2</v>
      </c>
      <c r="I624" s="15">
        <f t="shared" si="126"/>
        <v>1.7037649249794264E-2</v>
      </c>
      <c r="J624" s="15">
        <f t="shared" si="126"/>
        <v>5.0780216830246042E-2</v>
      </c>
      <c r="K624" s="22"/>
      <c r="L624" s="13">
        <v>621</v>
      </c>
      <c r="M624" s="5">
        <v>44368</v>
      </c>
      <c r="N624" s="26">
        <f t="shared" si="123"/>
        <v>1.5553590457134943</v>
      </c>
      <c r="O624" s="26">
        <f t="shared" si="124"/>
        <v>1.0947458062453375</v>
      </c>
      <c r="P624" s="26">
        <f t="shared" si="125"/>
        <v>1.0584966267468667</v>
      </c>
      <c r="Q624" s="22"/>
      <c r="AD624" s="59">
        <v>620</v>
      </c>
      <c r="AE624" s="61">
        <f t="shared" ca="1" si="127"/>
        <v>0.64989388758153488</v>
      </c>
      <c r="AF624" s="61">
        <f t="shared" ca="1" si="127"/>
        <v>-0.57738768085996084</v>
      </c>
      <c r="AG624" s="61">
        <f t="shared" ca="1" si="127"/>
        <v>0.62912983962059976</v>
      </c>
      <c r="AH624" s="19"/>
      <c r="AI624" s="61">
        <f ca="1"/>
        <v>1.4092484161583043E-2</v>
      </c>
      <c r="AJ624" s="61">
        <f ca="1"/>
        <v>-2.3777500610386408E-3</v>
      </c>
      <c r="AK624" s="61">
        <f ca="1"/>
        <v>2.1654585277991946E-2</v>
      </c>
      <c r="AL624" s="19"/>
      <c r="AM624" s="61">
        <f t="shared" ca="1" si="131"/>
        <v>1.4443700484093287E-2</v>
      </c>
      <c r="AN624" s="61">
        <f t="shared" ca="1" si="132"/>
        <v>-2.1286974641221102E-3</v>
      </c>
      <c r="AO624" s="61">
        <f t="shared" ca="1" si="133"/>
        <v>2.2086253881246763E-2</v>
      </c>
      <c r="AP624" s="19"/>
      <c r="AQ624" s="62">
        <f t="shared" ca="1" si="128"/>
        <v>1.0354570831297985</v>
      </c>
      <c r="AR624" s="62">
        <f t="shared" ca="1" si="129"/>
        <v>1.7257797719432346</v>
      </c>
      <c r="AS624" s="62">
        <f t="shared" ca="1" si="130"/>
        <v>0.61475482323785513</v>
      </c>
      <c r="AT624" s="49"/>
    </row>
    <row r="625" spans="1:46" x14ac:dyDescent="0.3">
      <c r="A625" s="5">
        <v>44369</v>
      </c>
      <c r="B625" s="6">
        <v>87.879997000000003</v>
      </c>
      <c r="C625" s="6">
        <v>117.349998</v>
      </c>
      <c r="D625" s="6">
        <v>80.980002999999996</v>
      </c>
      <c r="F625" s="13">
        <v>622</v>
      </c>
      <c r="G625" s="5">
        <v>44369</v>
      </c>
      <c r="H625" s="15">
        <f t="shared" si="126"/>
        <v>-6.82573116494309E-4</v>
      </c>
      <c r="I625" s="15">
        <f t="shared" si="126"/>
        <v>1.6496619627177835E-2</v>
      </c>
      <c r="J625" s="15">
        <f t="shared" si="126"/>
        <v>1.2425606722149766E-2</v>
      </c>
      <c r="K625" s="22"/>
      <c r="L625" s="13">
        <v>622</v>
      </c>
      <c r="M625" s="5">
        <v>44369</v>
      </c>
      <c r="N625" s="26">
        <f t="shared" si="123"/>
        <v>1.5542977616855722</v>
      </c>
      <c r="O625" s="26">
        <f t="shared" si="124"/>
        <v>1.1129551951260395</v>
      </c>
      <c r="P625" s="26">
        <f t="shared" si="125"/>
        <v>1.0717311427139</v>
      </c>
      <c r="Q625" s="22"/>
      <c r="AD625" s="59">
        <v>621</v>
      </c>
      <c r="AE625" s="61">
        <f t="shared" ca="1" si="127"/>
        <v>-0.94190059002963811</v>
      </c>
      <c r="AF625" s="61">
        <f t="shared" ca="1" si="127"/>
        <v>0.62763487548453756</v>
      </c>
      <c r="AG625" s="61">
        <f t="shared" ca="1" si="127"/>
        <v>0.32510695619633323</v>
      </c>
      <c r="AH625" s="19"/>
      <c r="AI625" s="61">
        <f ca="1"/>
        <v>-2.0424440667035963E-2</v>
      </c>
      <c r="AJ625" s="61">
        <f ca="1"/>
        <v>-1.1006636126536552E-3</v>
      </c>
      <c r="AK625" s="61">
        <f ca="1"/>
        <v>-1.1677759908448344E-3</v>
      </c>
      <c r="AL625" s="19"/>
      <c r="AM625" s="61">
        <f t="shared" ca="1" si="131"/>
        <v>-2.0073224344525718E-2</v>
      </c>
      <c r="AN625" s="61">
        <f t="shared" ca="1" si="132"/>
        <v>-8.5161101573712455E-4</v>
      </c>
      <c r="AO625" s="61">
        <f t="shared" ca="1" si="133"/>
        <v>-7.3610738759001613E-4</v>
      </c>
      <c r="AP625" s="19"/>
      <c r="AQ625" s="62">
        <f t="shared" ca="1" si="128"/>
        <v>1.0148793425544209</v>
      </c>
      <c r="AR625" s="62">
        <f t="shared" ca="1" si="129"/>
        <v>1.7243107045045039</v>
      </c>
      <c r="AS625" s="62">
        <f t="shared" ca="1" si="130"/>
        <v>0.61430246418376</v>
      </c>
      <c r="AT625" s="49"/>
    </row>
    <row r="626" spans="1:46" x14ac:dyDescent="0.3">
      <c r="A626" s="5">
        <v>44370</v>
      </c>
      <c r="B626" s="6">
        <v>87.75</v>
      </c>
      <c r="C626" s="6">
        <v>119.66999800000001</v>
      </c>
      <c r="D626" s="6">
        <v>80.849997999999999</v>
      </c>
      <c r="F626" s="13">
        <v>623</v>
      </c>
      <c r="G626" s="5">
        <v>44370</v>
      </c>
      <c r="H626" s="15">
        <f t="shared" si="126"/>
        <v>-1.4803510329735685E-3</v>
      </c>
      <c r="I626" s="15">
        <f t="shared" si="126"/>
        <v>1.9577032618799776E-2</v>
      </c>
      <c r="J626" s="15">
        <f t="shared" si="126"/>
        <v>-1.6066863642506606E-3</v>
      </c>
      <c r="K626" s="22"/>
      <c r="L626" s="13">
        <v>623</v>
      </c>
      <c r="M626" s="5">
        <v>44370</v>
      </c>
      <c r="N626" s="26">
        <f t="shared" si="123"/>
        <v>1.5519985576229474</v>
      </c>
      <c r="O626" s="26">
        <f t="shared" si="124"/>
        <v>1.1349582296100487</v>
      </c>
      <c r="P626" s="26">
        <f t="shared" si="125"/>
        <v>1.070010589465606</v>
      </c>
      <c r="Q626" s="22"/>
      <c r="AD626" s="59">
        <v>622</v>
      </c>
      <c r="AE626" s="61">
        <f t="shared" ca="1" si="127"/>
        <v>-0.27147500010921133</v>
      </c>
      <c r="AF626" s="61">
        <f t="shared" ca="1" si="127"/>
        <v>0.93525550380356648</v>
      </c>
      <c r="AG626" s="61">
        <f t="shared" ca="1" si="127"/>
        <v>-0.93652529586056688</v>
      </c>
      <c r="AH626" s="19"/>
      <c r="AI626" s="61">
        <f ca="1"/>
        <v>-5.8867412240815094E-3</v>
      </c>
      <c r="AJ626" s="61">
        <f ca="1"/>
        <v>1.607951166463701E-2</v>
      </c>
      <c r="AK626" s="61">
        <f ca="1"/>
        <v>-2.1418427296207129E-2</v>
      </c>
      <c r="AL626" s="19"/>
      <c r="AM626" s="61">
        <f t="shared" ca="1" si="131"/>
        <v>-5.5355249015712656E-3</v>
      </c>
      <c r="AN626" s="61">
        <f t="shared" ca="1" si="132"/>
        <v>1.632856426155354E-2</v>
      </c>
      <c r="AO626" s="61">
        <f t="shared" ca="1" si="133"/>
        <v>-2.0986758692952311E-2</v>
      </c>
      <c r="AP626" s="19"/>
      <c r="AQ626" s="62">
        <f t="shared" ca="1" si="128"/>
        <v>1.0092769730153264</v>
      </c>
      <c r="AR626" s="62">
        <f t="shared" ca="1" si="129"/>
        <v>1.7526973485144608</v>
      </c>
      <c r="AS626" s="62">
        <f t="shared" ca="1" si="130"/>
        <v>0.60154458809434797</v>
      </c>
      <c r="AT626" s="49"/>
    </row>
    <row r="627" spans="1:46" x14ac:dyDescent="0.3">
      <c r="A627" s="5">
        <v>44371</v>
      </c>
      <c r="B627" s="6">
        <v>89.339995999999999</v>
      </c>
      <c r="C627" s="6">
        <v>120.389999</v>
      </c>
      <c r="D627" s="6">
        <v>81.730002999999996</v>
      </c>
      <c r="F627" s="13">
        <v>624</v>
      </c>
      <c r="G627" s="5">
        <v>44371</v>
      </c>
      <c r="H627" s="15">
        <f t="shared" si="126"/>
        <v>1.7957408805218188E-2</v>
      </c>
      <c r="I627" s="15">
        <f t="shared" si="126"/>
        <v>5.9985267677988676E-3</v>
      </c>
      <c r="J627" s="15">
        <f t="shared" si="126"/>
        <v>1.0825606948317509E-2</v>
      </c>
      <c r="K627" s="22"/>
      <c r="L627" s="13">
        <v>624</v>
      </c>
      <c r="M627" s="5">
        <v>44371</v>
      </c>
      <c r="N627" s="26">
        <f t="shared" si="123"/>
        <v>1.5801201701429048</v>
      </c>
      <c r="O627" s="26">
        <f t="shared" si="124"/>
        <v>1.1417867670374284</v>
      </c>
      <c r="P627" s="26">
        <f t="shared" si="125"/>
        <v>1.081657029689175</v>
      </c>
      <c r="Q627" s="22"/>
      <c r="AD627" s="59">
        <v>623</v>
      </c>
      <c r="AE627" s="61">
        <f t="shared" ca="1" si="127"/>
        <v>1.0385377785086098</v>
      </c>
      <c r="AF627" s="61">
        <f t="shared" ca="1" si="127"/>
        <v>1.4780511858815941</v>
      </c>
      <c r="AG627" s="61">
        <f t="shared" ca="1" si="127"/>
        <v>-0.50474891557056711</v>
      </c>
      <c r="AH627" s="19"/>
      <c r="AI627" s="61">
        <f ca="1"/>
        <v>2.2519948986290568E-2</v>
      </c>
      <c r="AJ627" s="61">
        <f ca="1"/>
        <v>4.8382490857861338E-2</v>
      </c>
      <c r="AK627" s="61">
        <f ca="1"/>
        <v>1.2822435578467233E-2</v>
      </c>
      <c r="AL627" s="19"/>
      <c r="AM627" s="61">
        <f t="shared" ca="1" si="131"/>
        <v>2.2871165308800814E-2</v>
      </c>
      <c r="AN627" s="61">
        <f t="shared" ca="1" si="132"/>
        <v>4.8631543454777867E-2</v>
      </c>
      <c r="AO627" s="61">
        <f t="shared" ca="1" si="133"/>
        <v>1.3254104181722052E-2</v>
      </c>
      <c r="AP627" s="19"/>
      <c r="AQ627" s="62">
        <f t="shared" ca="1" si="128"/>
        <v>1.0326263089601155</v>
      </c>
      <c r="AR627" s="62">
        <f t="shared" ca="1" si="129"/>
        <v>1.8400403242795345</v>
      </c>
      <c r="AS627" s="62">
        <f t="shared" ca="1" si="130"/>
        <v>0.60957059399956837</v>
      </c>
      <c r="AT627" s="49"/>
    </row>
    <row r="628" spans="1:46" x14ac:dyDescent="0.3">
      <c r="A628" s="5">
        <v>44372</v>
      </c>
      <c r="B628" s="6">
        <v>89.690002000000007</v>
      </c>
      <c r="C628" s="6">
        <v>121.18</v>
      </c>
      <c r="D628" s="6">
        <v>82.089995999999999</v>
      </c>
      <c r="F628" s="13">
        <v>625</v>
      </c>
      <c r="G628" s="5">
        <v>44372</v>
      </c>
      <c r="H628" s="15">
        <f t="shared" si="126"/>
        <v>3.9100312777481166E-3</v>
      </c>
      <c r="I628" s="15">
        <f t="shared" si="126"/>
        <v>6.5405788762456368E-3</v>
      </c>
      <c r="J628" s="15">
        <f t="shared" si="126"/>
        <v>4.394989398901125E-3</v>
      </c>
      <c r="K628" s="22"/>
      <c r="L628" s="13">
        <v>625</v>
      </c>
      <c r="M628" s="5">
        <v>44372</v>
      </c>
      <c r="N628" s="26">
        <f t="shared" si="123"/>
        <v>1.5863105838997069</v>
      </c>
      <c r="O628" s="26">
        <f t="shared" si="124"/>
        <v>1.1492791891259637</v>
      </c>
      <c r="P628" s="26">
        <f t="shared" si="125"/>
        <v>1.0864213627956953</v>
      </c>
      <c r="Q628" s="22"/>
      <c r="AD628" s="59">
        <v>624</v>
      </c>
      <c r="AE628" s="61">
        <f t="shared" ca="1" si="127"/>
        <v>0.70284796101260749</v>
      </c>
      <c r="AF628" s="61">
        <f t="shared" ca="1" si="127"/>
        <v>-0.32955804134429989</v>
      </c>
      <c r="AG628" s="61">
        <f t="shared" ca="1" si="127"/>
        <v>2.0550952254381292</v>
      </c>
      <c r="AH628" s="19"/>
      <c r="AI628" s="61">
        <f ca="1"/>
        <v>1.5240755372281378E-2</v>
      </c>
      <c r="AJ628" s="61">
        <f ca="1"/>
        <v>3.8379343997820524E-3</v>
      </c>
      <c r="AK628" s="61">
        <f ca="1"/>
        <v>6.0715510297008002E-2</v>
      </c>
      <c r="AL628" s="19"/>
      <c r="AM628" s="61">
        <f t="shared" ca="1" si="131"/>
        <v>1.5591971694791621E-2</v>
      </c>
      <c r="AN628" s="61">
        <f t="shared" ca="1" si="132"/>
        <v>4.086986996698583E-3</v>
      </c>
      <c r="AO628" s="61">
        <f t="shared" ca="1" si="133"/>
        <v>6.1147178900262819E-2</v>
      </c>
      <c r="AP628" s="19"/>
      <c r="AQ628" s="62">
        <f t="shared" ca="1" si="128"/>
        <v>1.0488531647380335</v>
      </c>
      <c r="AR628" s="62">
        <f t="shared" ca="1" si="129"/>
        <v>1.8475759336377677</v>
      </c>
      <c r="AS628" s="62">
        <f t="shared" ca="1" si="130"/>
        <v>0.64800728846456113</v>
      </c>
      <c r="AT628" s="49"/>
    </row>
    <row r="629" spans="1:46" x14ac:dyDescent="0.3">
      <c r="A629" s="5">
        <v>44375</v>
      </c>
      <c r="B629" s="6">
        <v>88.940002000000007</v>
      </c>
      <c r="C629" s="6">
        <v>117.199997</v>
      </c>
      <c r="D629" s="6">
        <v>77.720000999999996</v>
      </c>
      <c r="F629" s="13">
        <v>626</v>
      </c>
      <c r="G629" s="5">
        <v>44375</v>
      </c>
      <c r="H629" s="15">
        <f t="shared" si="126"/>
        <v>-8.3972948593214296E-3</v>
      </c>
      <c r="I629" s="15">
        <f t="shared" si="126"/>
        <v>-3.339519197120077E-2</v>
      </c>
      <c r="J629" s="15">
        <f t="shared" si="126"/>
        <v>-5.4703520257226461E-2</v>
      </c>
      <c r="K629" s="22"/>
      <c r="L629" s="13">
        <v>626</v>
      </c>
      <c r="M629" s="5">
        <v>44375</v>
      </c>
      <c r="N629" s="26">
        <f t="shared" si="123"/>
        <v>1.5730456389627587</v>
      </c>
      <c r="O629" s="26">
        <f t="shared" si="124"/>
        <v>1.1115325756537826</v>
      </c>
      <c r="P629" s="26">
        <f t="shared" si="125"/>
        <v>1.0285865941923398</v>
      </c>
      <c r="Q629" s="22"/>
      <c r="AD629" s="59">
        <v>625</v>
      </c>
      <c r="AE629" s="61">
        <f t="shared" ca="1" si="127"/>
        <v>-0.25405514369159932</v>
      </c>
      <c r="AF629" s="61">
        <f t="shared" ca="1" si="127"/>
        <v>-1.6775268849967153</v>
      </c>
      <c r="AG629" s="61">
        <f t="shared" ca="1" si="127"/>
        <v>0.94110332227237115</v>
      </c>
      <c r="AH629" s="19"/>
      <c r="AI629" s="61">
        <f ca="1"/>
        <v>-5.5090040959854258E-3</v>
      </c>
      <c r="AJ629" s="61">
        <f ca="1"/>
        <v>-4.043931087613846E-2</v>
      </c>
      <c r="AK629" s="61">
        <f ca="1"/>
        <v>8.5433042671410695E-3</v>
      </c>
      <c r="AL629" s="19"/>
      <c r="AM629" s="61">
        <f t="shared" ca="1" si="131"/>
        <v>-5.157787773475182E-3</v>
      </c>
      <c r="AN629" s="61">
        <f t="shared" ca="1" si="132"/>
        <v>-4.019025827922193E-2</v>
      </c>
      <c r="AO629" s="61">
        <f t="shared" ca="1" si="133"/>
        <v>8.9749728703958885E-3</v>
      </c>
      <c r="AP629" s="19"/>
      <c r="AQ629" s="62">
        <f t="shared" ca="1" si="128"/>
        <v>1.0434573299561192</v>
      </c>
      <c r="AR629" s="62">
        <f t="shared" ca="1" si="129"/>
        <v>1.7747937437432844</v>
      </c>
      <c r="AS629" s="62">
        <f t="shared" ca="1" si="130"/>
        <v>0.65384931309000527</v>
      </c>
      <c r="AT629" s="49"/>
    </row>
    <row r="630" spans="1:46" x14ac:dyDescent="0.3">
      <c r="A630" s="5">
        <v>44376</v>
      </c>
      <c r="B630" s="6">
        <v>88.419998000000007</v>
      </c>
      <c r="C630" s="6">
        <v>116.910004</v>
      </c>
      <c r="D630" s="6">
        <v>76.919998000000007</v>
      </c>
      <c r="F630" s="13">
        <v>627</v>
      </c>
      <c r="G630" s="5">
        <v>44376</v>
      </c>
      <c r="H630" s="15">
        <f t="shared" si="126"/>
        <v>-5.8638417908401267E-3</v>
      </c>
      <c r="I630" s="15">
        <f t="shared" si="126"/>
        <v>-2.4774093125623222E-3</v>
      </c>
      <c r="J630" s="15">
        <f t="shared" si="126"/>
        <v>-1.0346742656401458E-2</v>
      </c>
      <c r="K630" s="22"/>
      <c r="L630" s="13">
        <v>627</v>
      </c>
      <c r="M630" s="5">
        <v>44376</v>
      </c>
      <c r="N630" s="26">
        <f t="shared" si="123"/>
        <v>1.5638485397267681</v>
      </c>
      <c r="O630" s="26">
        <f t="shared" si="124"/>
        <v>1.1087822627317476</v>
      </c>
      <c r="P630" s="26">
        <f t="shared" si="125"/>
        <v>1.0179989417151654</v>
      </c>
      <c r="Q630" s="22"/>
      <c r="AD630" s="59">
        <v>626</v>
      </c>
      <c r="AE630" s="61">
        <f t="shared" ca="1" si="127"/>
        <v>1.0808380082598219E-2</v>
      </c>
      <c r="AF630" s="61">
        <f t="shared" ca="1" si="127"/>
        <v>-0.40542246875590415</v>
      </c>
      <c r="AG630" s="61">
        <f t="shared" ca="1" si="127"/>
        <v>0.78547164953434989</v>
      </c>
      <c r="AH630" s="19"/>
      <c r="AI630" s="61">
        <f ca="1"/>
        <v>2.3437199216199051E-4</v>
      </c>
      <c r="AJ630" s="61">
        <f ca="1"/>
        <v>-8.6430935038767278E-3</v>
      </c>
      <c r="AK630" s="61">
        <f ca="1"/>
        <v>1.7428276325258781E-2</v>
      </c>
      <c r="AL630" s="19"/>
      <c r="AM630" s="61">
        <f t="shared" ca="1" si="131"/>
        <v>5.8558831467223473E-4</v>
      </c>
      <c r="AN630" s="61">
        <f t="shared" ca="1" si="132"/>
        <v>-8.3940409069601964E-3</v>
      </c>
      <c r="AO630" s="61">
        <f t="shared" ca="1" si="133"/>
        <v>1.7859944928513598E-2</v>
      </c>
      <c r="AP630" s="19"/>
      <c r="AQ630" s="62">
        <f t="shared" ca="1" si="128"/>
        <v>1.0440685453182212</v>
      </c>
      <c r="AR630" s="62">
        <f t="shared" ca="1" si="129"/>
        <v>1.7599584037900773</v>
      </c>
      <c r="AS630" s="62">
        <f t="shared" ca="1" si="130"/>
        <v>0.66563193106982155</v>
      </c>
      <c r="AT630" s="49"/>
    </row>
    <row r="631" spans="1:46" x14ac:dyDescent="0.3">
      <c r="A631" s="5">
        <v>44377</v>
      </c>
      <c r="B631" s="6">
        <v>88.970000999999996</v>
      </c>
      <c r="C631" s="6">
        <v>117.80999799999999</v>
      </c>
      <c r="D631" s="6">
        <v>78.080001999999993</v>
      </c>
      <c r="F631" s="13">
        <v>628</v>
      </c>
      <c r="G631" s="5">
        <v>44377</v>
      </c>
      <c r="H631" s="15">
        <f t="shared" si="126"/>
        <v>6.2010797176396144E-3</v>
      </c>
      <c r="I631" s="15">
        <f t="shared" si="126"/>
        <v>7.6686980484601966E-3</v>
      </c>
      <c r="J631" s="15">
        <f t="shared" si="126"/>
        <v>1.4968073000052052E-2</v>
      </c>
      <c r="K631" s="22"/>
      <c r="L631" s="13">
        <v>628</v>
      </c>
      <c r="M631" s="5">
        <v>44377</v>
      </c>
      <c r="N631" s="26">
        <f t="shared" si="123"/>
        <v>1.5735762190736431</v>
      </c>
      <c r="O631" s="26">
        <f t="shared" si="124"/>
        <v>1.1173178657564895</v>
      </c>
      <c r="P631" s="26">
        <f t="shared" si="125"/>
        <v>1.0333510331749876</v>
      </c>
      <c r="Q631" s="22"/>
      <c r="AD631" s="59">
        <v>627</v>
      </c>
      <c r="AE631" s="61">
        <f t="shared" ca="1" si="127"/>
        <v>-1.435306537618716</v>
      </c>
      <c r="AF631" s="61">
        <f t="shared" ca="1" si="127"/>
        <v>-1.1371588164310016</v>
      </c>
      <c r="AG631" s="61">
        <f t="shared" ca="1" si="127"/>
        <v>-1.2779361436020238</v>
      </c>
      <c r="AH631" s="19"/>
      <c r="AI631" s="61">
        <f ca="1"/>
        <v>-3.1123595766809998E-2</v>
      </c>
      <c r="AJ631" s="61">
        <f ca="1"/>
        <v>-4.7183207004474446E-2</v>
      </c>
      <c r="AK631" s="61">
        <f ca="1"/>
        <v>-6.1956500739153181E-2</v>
      </c>
      <c r="AL631" s="19"/>
      <c r="AM631" s="61">
        <f t="shared" ca="1" si="131"/>
        <v>-3.0772379444299752E-2</v>
      </c>
      <c r="AN631" s="61">
        <f t="shared" ca="1" si="132"/>
        <v>-4.6934154407557917E-2</v>
      </c>
      <c r="AO631" s="61">
        <f t="shared" ca="1" si="133"/>
        <v>-6.1524832135898364E-2</v>
      </c>
      <c r="AP631" s="19"/>
      <c r="AQ631" s="62">
        <f t="shared" ca="1" si="128"/>
        <v>1.0124293748143791</v>
      </c>
      <c r="AR631" s="62">
        <f t="shared" ca="1" si="129"/>
        <v>1.6792647018782751</v>
      </c>
      <c r="AS631" s="62">
        <f t="shared" ca="1" si="130"/>
        <v>0.62591340420003572</v>
      </c>
      <c r="AT631" s="49"/>
    </row>
    <row r="632" spans="1:46" x14ac:dyDescent="0.3">
      <c r="A632" s="5">
        <v>44378</v>
      </c>
      <c r="B632" s="6">
        <v>89.360000999999997</v>
      </c>
      <c r="C632" s="6">
        <v>118.029999</v>
      </c>
      <c r="D632" s="6">
        <v>77.809997999999993</v>
      </c>
      <c r="F632" s="13">
        <v>629</v>
      </c>
      <c r="G632" s="5">
        <v>44378</v>
      </c>
      <c r="H632" s="15">
        <f t="shared" si="126"/>
        <v>4.3739204552148128E-3</v>
      </c>
      <c r="I632" s="15">
        <f t="shared" si="126"/>
        <v>1.8656806870151349E-3</v>
      </c>
      <c r="J632" s="15">
        <f t="shared" si="126"/>
        <v>-3.4640357943894091E-3</v>
      </c>
      <c r="K632" s="22"/>
      <c r="L632" s="13">
        <v>629</v>
      </c>
      <c r="M632" s="5">
        <v>44378</v>
      </c>
      <c r="N632" s="26">
        <f t="shared" si="123"/>
        <v>1.5804739904408562</v>
      </c>
      <c r="O632" s="26">
        <f t="shared" si="124"/>
        <v>1.1194043698899019</v>
      </c>
      <c r="P632" s="26">
        <f t="shared" si="125"/>
        <v>1.0297776609258249</v>
      </c>
      <c r="Q632" s="22"/>
      <c r="AD632" s="59">
        <v>628</v>
      </c>
      <c r="AE632" s="61">
        <f t="shared" ca="1" si="127"/>
        <v>-1.3028274201656336</v>
      </c>
      <c r="AF632" s="61">
        <f t="shared" ca="1" si="127"/>
        <v>-0.28081848031403844</v>
      </c>
      <c r="AG632" s="61">
        <f t="shared" ca="1" si="127"/>
        <v>-1.9403171800061894</v>
      </c>
      <c r="AH632" s="19"/>
      <c r="AI632" s="61">
        <f ca="1"/>
        <v>-2.8250880851155652E-2</v>
      </c>
      <c r="AJ632" s="61">
        <f ca="1"/>
        <v>-2.6496170463122602E-2</v>
      </c>
      <c r="AK632" s="61">
        <f ca="1"/>
        <v>-7.0938478710900893E-2</v>
      </c>
      <c r="AL632" s="19"/>
      <c r="AM632" s="61">
        <f t="shared" ca="1" si="131"/>
        <v>-2.7899664528645406E-2</v>
      </c>
      <c r="AN632" s="61">
        <f t="shared" ca="1" si="132"/>
        <v>-2.6247117866206073E-2</v>
      </c>
      <c r="AO632" s="61">
        <f t="shared" ca="1" si="133"/>
        <v>-7.0506810107646076E-2</v>
      </c>
      <c r="AP632" s="19"/>
      <c r="AQ632" s="62">
        <f t="shared" ca="1" si="128"/>
        <v>0.984573328950619</v>
      </c>
      <c r="AR632" s="62">
        <f t="shared" ca="1" si="129"/>
        <v>1.635762247755236</v>
      </c>
      <c r="AS632" s="62">
        <f t="shared" ca="1" si="130"/>
        <v>0.58330209155147805</v>
      </c>
      <c r="AT632" s="49"/>
    </row>
    <row r="633" spans="1:46" x14ac:dyDescent="0.3">
      <c r="A633" s="5">
        <v>44379</v>
      </c>
      <c r="B633" s="6">
        <v>88.669998000000007</v>
      </c>
      <c r="C633" s="6">
        <v>117.790001</v>
      </c>
      <c r="D633" s="6">
        <v>78.069999999999993</v>
      </c>
      <c r="F633" s="13">
        <v>630</v>
      </c>
      <c r="G633" s="5">
        <v>44379</v>
      </c>
      <c r="H633" s="15">
        <f t="shared" si="126"/>
        <v>-7.7515751152620466E-3</v>
      </c>
      <c r="I633" s="15">
        <f t="shared" si="126"/>
        <v>-2.0354345081771913E-3</v>
      </c>
      <c r="J633" s="15">
        <f t="shared" si="126"/>
        <v>3.3359282069980942E-3</v>
      </c>
      <c r="K633" s="22"/>
      <c r="L633" s="13">
        <v>630</v>
      </c>
      <c r="M633" s="5">
        <v>44379</v>
      </c>
      <c r="N633" s="26">
        <f t="shared" si="123"/>
        <v>1.5682701880390844</v>
      </c>
      <c r="O633" s="26">
        <f t="shared" si="124"/>
        <v>1.1171282128769306</v>
      </c>
      <c r="P633" s="26">
        <f t="shared" si="125"/>
        <v>1.0332186615462853</v>
      </c>
      <c r="Q633" s="22"/>
      <c r="AD633" s="59">
        <v>629</v>
      </c>
      <c r="AE633" s="61">
        <f t="shared" ca="1" si="127"/>
        <v>-0.13283169952085708</v>
      </c>
      <c r="AF633" s="61">
        <f t="shared" ca="1" si="127"/>
        <v>0.36836436252880739</v>
      </c>
      <c r="AG633" s="61">
        <f t="shared" ca="1" si="127"/>
        <v>0.63235096694076864</v>
      </c>
      <c r="AH633" s="19"/>
      <c r="AI633" s="61">
        <f ca="1"/>
        <v>-2.8803604056346606E-3</v>
      </c>
      <c r="AJ633" s="61">
        <f ca="1"/>
        <v>5.927647624533486E-3</v>
      </c>
      <c r="AK633" s="61">
        <f ca="1"/>
        <v>1.6832334033715035E-2</v>
      </c>
      <c r="AL633" s="19"/>
      <c r="AM633" s="61">
        <f t="shared" ca="1" si="131"/>
        <v>-2.5291440831244163E-3</v>
      </c>
      <c r="AN633" s="61">
        <f t="shared" ca="1" si="132"/>
        <v>6.1767002214500166E-3</v>
      </c>
      <c r="AO633" s="61">
        <f t="shared" ca="1" si="133"/>
        <v>1.7264002636969852E-2</v>
      </c>
      <c r="AP633" s="19"/>
      <c r="AQ633" s="62">
        <f t="shared" ca="1" si="128"/>
        <v>0.98208634743427403</v>
      </c>
      <c r="AR633" s="62">
        <f t="shared" ca="1" si="129"/>
        <v>1.6458971286318349</v>
      </c>
      <c r="AS633" s="62">
        <f t="shared" ca="1" si="130"/>
        <v>0.59345964815668861</v>
      </c>
      <c r="AT633" s="49"/>
    </row>
    <row r="634" spans="1:46" x14ac:dyDescent="0.3">
      <c r="A634" s="5">
        <v>44383</v>
      </c>
      <c r="B634" s="6">
        <v>86.199996999999996</v>
      </c>
      <c r="C634" s="6">
        <v>115.18</v>
      </c>
      <c r="D634" s="6">
        <v>74.699996999999996</v>
      </c>
      <c r="F634" s="13">
        <v>631</v>
      </c>
      <c r="G634" s="5">
        <v>44383</v>
      </c>
      <c r="H634" s="15">
        <f t="shared" si="126"/>
        <v>-2.8251447969509961E-2</v>
      </c>
      <c r="I634" s="15">
        <f t="shared" si="126"/>
        <v>-2.2407264381851772E-2</v>
      </c>
      <c r="J634" s="15">
        <f t="shared" si="126"/>
        <v>-4.4125808154071335E-2</v>
      </c>
      <c r="K634" s="22"/>
      <c r="L634" s="13">
        <v>631</v>
      </c>
      <c r="M634" s="5">
        <v>44383</v>
      </c>
      <c r="N634" s="26">
        <f t="shared" si="123"/>
        <v>1.5245842850268079</v>
      </c>
      <c r="O634" s="26">
        <f t="shared" si="124"/>
        <v>1.0923747895983538</v>
      </c>
      <c r="P634" s="26">
        <f t="shared" si="125"/>
        <v>0.98861830303383547</v>
      </c>
      <c r="Q634" s="22"/>
      <c r="AD634" s="59">
        <v>630</v>
      </c>
      <c r="AE634" s="61">
        <f t="shared" ca="1" si="127"/>
        <v>-2.8584569293421822E-2</v>
      </c>
      <c r="AF634" s="61">
        <f t="shared" ca="1" si="127"/>
        <v>-1.2741846946219135</v>
      </c>
      <c r="AG634" s="61">
        <f t="shared" ca="1" si="127"/>
        <v>-0.79520320513072462</v>
      </c>
      <c r="AH634" s="19"/>
      <c r="AI634" s="61">
        <f ca="1"/>
        <v>-6.1983594203704798E-4</v>
      </c>
      <c r="AJ634" s="61">
        <f ca="1"/>
        <v>-2.8143116301363874E-2</v>
      </c>
      <c r="AK634" s="61">
        <f ca="1"/>
        <v>-2.9768818653038844E-2</v>
      </c>
      <c r="AL634" s="19"/>
      <c r="AM634" s="61">
        <f t="shared" ca="1" si="131"/>
        <v>-2.6861961952680377E-4</v>
      </c>
      <c r="AN634" s="61">
        <f t="shared" ca="1" si="132"/>
        <v>-2.7894063704447344E-2</v>
      </c>
      <c r="AO634" s="61">
        <f t="shared" ca="1" si="133"/>
        <v>-2.9337150049784027E-2</v>
      </c>
      <c r="AP634" s="19"/>
      <c r="AQ634" s="62">
        <f t="shared" ca="1" si="128"/>
        <v>0.98182257520206817</v>
      </c>
      <c r="AR634" s="62">
        <f t="shared" ca="1" si="129"/>
        <v>1.6006207756875677</v>
      </c>
      <c r="AS634" s="62">
        <f t="shared" ca="1" si="130"/>
        <v>0.57630214016286074</v>
      </c>
      <c r="AT634" s="49"/>
    </row>
    <row r="635" spans="1:46" x14ac:dyDescent="0.3">
      <c r="A635" s="5">
        <v>44384</v>
      </c>
      <c r="B635" s="6">
        <v>87.480002999999996</v>
      </c>
      <c r="C635" s="6">
        <v>113.470001</v>
      </c>
      <c r="D635" s="6">
        <v>72.309997999999993</v>
      </c>
      <c r="F635" s="13">
        <v>632</v>
      </c>
      <c r="G635" s="5">
        <v>44384</v>
      </c>
      <c r="H635" s="15">
        <f t="shared" si="126"/>
        <v>1.4740087235256633E-2</v>
      </c>
      <c r="I635" s="15">
        <f t="shared" si="126"/>
        <v>-1.4957628462726335E-2</v>
      </c>
      <c r="J635" s="15">
        <f t="shared" si="126"/>
        <v>-3.2517647449959927E-2</v>
      </c>
      <c r="K635" s="22"/>
      <c r="L635" s="13">
        <v>632</v>
      </c>
      <c r="M635" s="5">
        <v>44384</v>
      </c>
      <c r="N635" s="26">
        <f t="shared" si="123"/>
        <v>1.5472232305054257</v>
      </c>
      <c r="O635" s="26">
        <f t="shared" si="124"/>
        <v>1.0761570452170515</v>
      </c>
      <c r="P635" s="26">
        <f t="shared" si="125"/>
        <v>0.95698782310714192</v>
      </c>
      <c r="Q635" s="22"/>
      <c r="AD635" s="59">
        <v>631</v>
      </c>
      <c r="AE635" s="61">
        <f t="shared" ca="1" si="127"/>
        <v>-1.4996807915007144</v>
      </c>
      <c r="AF635" s="61">
        <f t="shared" ca="1" si="127"/>
        <v>-0.26287423019014006</v>
      </c>
      <c r="AG635" s="61">
        <f t="shared" ca="1" si="127"/>
        <v>-0.58161029344973358</v>
      </c>
      <c r="AH635" s="19"/>
      <c r="AI635" s="61">
        <f ca="1"/>
        <v>-3.2519505423110578E-2</v>
      </c>
      <c r="AJ635" s="61">
        <f ca="1"/>
        <v>-2.9187349414811228E-2</v>
      </c>
      <c r="AK635" s="61">
        <f ca="1"/>
        <v>-3.8910713645060969E-2</v>
      </c>
      <c r="AL635" s="19"/>
      <c r="AM635" s="61">
        <f t="shared" ca="1" si="131"/>
        <v>-3.2168289100600336E-2</v>
      </c>
      <c r="AN635" s="61">
        <f t="shared" ca="1" si="132"/>
        <v>-2.8938296817894699E-2</v>
      </c>
      <c r="AO635" s="61">
        <f t="shared" ca="1" si="133"/>
        <v>-3.8479045041806152E-2</v>
      </c>
      <c r="AP635" s="19"/>
      <c r="AQ635" s="62">
        <f t="shared" ca="1" si="128"/>
        <v>0.95074161360225751</v>
      </c>
      <c r="AR635" s="62">
        <f t="shared" ca="1" si="129"/>
        <v>1.5549653182183736</v>
      </c>
      <c r="AS635" s="62">
        <f t="shared" ca="1" si="130"/>
        <v>0.55454781117856156</v>
      </c>
      <c r="AT635" s="49"/>
    </row>
    <row r="636" spans="1:46" x14ac:dyDescent="0.3">
      <c r="A636" s="5">
        <v>44385</v>
      </c>
      <c r="B636" s="6">
        <v>86.519997000000004</v>
      </c>
      <c r="C636" s="6">
        <v>113.57</v>
      </c>
      <c r="D636" s="6">
        <v>70.260002</v>
      </c>
      <c r="F636" s="13">
        <v>633</v>
      </c>
      <c r="G636" s="5">
        <v>44385</v>
      </c>
      <c r="H636" s="15">
        <f t="shared" si="126"/>
        <v>-1.1034663691325606E-2</v>
      </c>
      <c r="I636" s="15">
        <f t="shared" si="126"/>
        <v>8.8089328775489901E-4</v>
      </c>
      <c r="J636" s="15">
        <f t="shared" si="126"/>
        <v>-2.8759729224788817E-2</v>
      </c>
      <c r="K636" s="22"/>
      <c r="L636" s="13">
        <v>633</v>
      </c>
      <c r="M636" s="5">
        <v>44385</v>
      </c>
      <c r="N636" s="26">
        <f t="shared" si="123"/>
        <v>1.5302439948665725</v>
      </c>
      <c r="O636" s="26">
        <f t="shared" si="124"/>
        <v>1.0771054423917783</v>
      </c>
      <c r="P636" s="26">
        <f t="shared" si="125"/>
        <v>0.92985711831278772</v>
      </c>
      <c r="Q636" s="22"/>
      <c r="AD636" s="59">
        <v>632</v>
      </c>
      <c r="AE636" s="61">
        <f t="shared" ca="1" si="127"/>
        <v>-0.4024902502275487</v>
      </c>
      <c r="AF636" s="61">
        <f t="shared" ca="1" si="127"/>
        <v>-0.60711626704839439</v>
      </c>
      <c r="AG636" s="61">
        <f t="shared" ca="1" si="127"/>
        <v>-0.87681588597405269</v>
      </c>
      <c r="AH636" s="19"/>
      <c r="AI636" s="61">
        <f ca="1"/>
        <v>-8.7277132235094503E-3</v>
      </c>
      <c r="AJ636" s="61">
        <f ca="1"/>
        <v>-1.9496203278472551E-2</v>
      </c>
      <c r="AK636" s="61">
        <f ca="1"/>
        <v>-3.2686589309196698E-2</v>
      </c>
      <c r="AL636" s="19"/>
      <c r="AM636" s="61">
        <f t="shared" ca="1" si="131"/>
        <v>-8.3764969009992064E-3</v>
      </c>
      <c r="AN636" s="61">
        <f t="shared" ca="1" si="132"/>
        <v>-1.9247150681556021E-2</v>
      </c>
      <c r="AO636" s="61">
        <f t="shared" ca="1" si="133"/>
        <v>-3.2254920705941881E-2</v>
      </c>
      <c r="AP636" s="19"/>
      <c r="AQ636" s="62">
        <f t="shared" ca="1" si="128"/>
        <v>0.94281099121062906</v>
      </c>
      <c r="AR636" s="62">
        <f t="shared" ca="1" si="129"/>
        <v>1.5253228480678565</v>
      </c>
      <c r="AS636" s="62">
        <f t="shared" ca="1" si="130"/>
        <v>0.53694630902380547</v>
      </c>
      <c r="AT636" s="49"/>
    </row>
    <row r="637" spans="1:46" x14ac:dyDescent="0.3">
      <c r="A637" s="5">
        <v>44386</v>
      </c>
      <c r="B637" s="6">
        <v>88.449996999999996</v>
      </c>
      <c r="C637" s="6">
        <v>116.400002</v>
      </c>
      <c r="D637" s="6">
        <v>72.300003000000004</v>
      </c>
      <c r="F637" s="13">
        <v>634</v>
      </c>
      <c r="G637" s="5">
        <v>44386</v>
      </c>
      <c r="H637" s="15">
        <f t="shared" si="126"/>
        <v>2.2061820277532566E-2</v>
      </c>
      <c r="I637" s="15">
        <f t="shared" si="126"/>
        <v>2.4613165575913105E-2</v>
      </c>
      <c r="J637" s="15">
        <f t="shared" si="126"/>
        <v>2.8621495355114681E-2</v>
      </c>
      <c r="K637" s="22"/>
      <c r="L637" s="13">
        <v>634</v>
      </c>
      <c r="M637" s="5">
        <v>44386</v>
      </c>
      <c r="N637" s="26">
        <f t="shared" si="123"/>
        <v>1.5643791198376527</v>
      </c>
      <c r="O637" s="26">
        <f t="shared" si="124"/>
        <v>1.1039453698037676</v>
      </c>
      <c r="P637" s="26">
        <f t="shared" si="125"/>
        <v>0.95685554412005158</v>
      </c>
      <c r="Q637" s="22"/>
      <c r="AD637" s="59">
        <v>633</v>
      </c>
      <c r="AE637" s="61">
        <f t="shared" ca="1" si="127"/>
        <v>1.0429238016158853</v>
      </c>
      <c r="AF637" s="61">
        <f t="shared" ca="1" si="127"/>
        <v>8.4916752156984937E-2</v>
      </c>
      <c r="AG637" s="61">
        <f t="shared" ca="1" si="127"/>
        <v>0.93271226014130793</v>
      </c>
      <c r="AH637" s="19"/>
      <c r="AI637" s="61">
        <f ca="1"/>
        <v>2.2615056760579122E-2</v>
      </c>
      <c r="AJ637" s="61">
        <f ca="1"/>
        <v>1.816994778600026E-2</v>
      </c>
      <c r="AK637" s="61">
        <f ca="1"/>
        <v>3.9903837789200043E-2</v>
      </c>
      <c r="AL637" s="19"/>
      <c r="AM637" s="61">
        <f t="shared" ca="1" si="131"/>
        <v>2.2966273083089368E-2</v>
      </c>
      <c r="AN637" s="61">
        <f t="shared" ca="1" si="132"/>
        <v>1.841900038291679E-2</v>
      </c>
      <c r="AO637" s="61">
        <f t="shared" ca="1" si="133"/>
        <v>4.033550639245486E-2</v>
      </c>
      <c r="AP637" s="19"/>
      <c r="AQ637" s="62">
        <f t="shared" ca="1" si="128"/>
        <v>0.96471440303197908</v>
      </c>
      <c r="AR637" s="62">
        <f t="shared" ca="1" si="129"/>
        <v>1.5536781063017515</v>
      </c>
      <c r="AS637" s="62">
        <f t="shared" ca="1" si="130"/>
        <v>0.55904703598815175</v>
      </c>
      <c r="AT637" s="49"/>
    </row>
    <row r="638" spans="1:46" x14ac:dyDescent="0.3">
      <c r="A638" s="5">
        <v>44389</v>
      </c>
      <c r="B638" s="6">
        <v>88.029999000000004</v>
      </c>
      <c r="C638" s="6">
        <v>115.699997</v>
      </c>
      <c r="D638" s="6">
        <v>71.680000000000007</v>
      </c>
      <c r="F638" s="13">
        <v>635</v>
      </c>
      <c r="G638" s="5">
        <v>44389</v>
      </c>
      <c r="H638" s="15">
        <f t="shared" si="126"/>
        <v>-4.75973257527514E-3</v>
      </c>
      <c r="I638" s="15">
        <f t="shared" si="126"/>
        <v>-6.0319442089644421E-3</v>
      </c>
      <c r="J638" s="15">
        <f t="shared" si="126"/>
        <v>-8.6124019918189677E-3</v>
      </c>
      <c r="K638" s="22"/>
      <c r="L638" s="13">
        <v>635</v>
      </c>
      <c r="M638" s="5">
        <v>44389</v>
      </c>
      <c r="N638" s="26">
        <f t="shared" si="123"/>
        <v>1.5569507860461482</v>
      </c>
      <c r="O638" s="26">
        <f t="shared" si="124"/>
        <v>1.09730647577188</v>
      </c>
      <c r="P638" s="26">
        <f t="shared" si="125"/>
        <v>0.94865010451694309</v>
      </c>
      <c r="Q638" s="22"/>
      <c r="AD638" s="59">
        <v>634</v>
      </c>
      <c r="AE638" s="61">
        <f t="shared" ca="1" si="127"/>
        <v>-1.2706218123238116</v>
      </c>
      <c r="AF638" s="61">
        <f t="shared" ca="1" si="127"/>
        <v>-2.1573718443815351E-2</v>
      </c>
      <c r="AG638" s="61">
        <f t="shared" ca="1" si="127"/>
        <v>0.26759859208221892</v>
      </c>
      <c r="AH638" s="19"/>
      <c r="AI638" s="61">
        <f ca="1"/>
        <v>-2.7552525277888176E-2</v>
      </c>
      <c r="AJ638" s="61">
        <f ca="1"/>
        <v>-2.0357128696438756E-2</v>
      </c>
      <c r="AK638" s="61">
        <f ca="1"/>
        <v>-1.2070199254159562E-2</v>
      </c>
      <c r="AL638" s="19"/>
      <c r="AM638" s="61">
        <f t="shared" ca="1" si="131"/>
        <v>-2.720130895537793E-2</v>
      </c>
      <c r="AN638" s="61">
        <f t="shared" ca="1" si="132"/>
        <v>-2.0108076099522226E-2</v>
      </c>
      <c r="AO638" s="61">
        <f t="shared" ca="1" si="133"/>
        <v>-1.1638530650904743E-2</v>
      </c>
      <c r="AP638" s="19"/>
      <c r="AQ638" s="62">
        <f t="shared" ca="1" si="128"/>
        <v>0.93882659582594064</v>
      </c>
      <c r="AR638" s="62">
        <f t="shared" ca="1" si="129"/>
        <v>1.5227486369159882</v>
      </c>
      <c r="AS638" s="62">
        <f t="shared" ca="1" si="130"/>
        <v>0.55257826642987518</v>
      </c>
      <c r="AT638" s="49"/>
    </row>
    <row r="639" spans="1:46" x14ac:dyDescent="0.3">
      <c r="A639" s="5">
        <v>44390</v>
      </c>
      <c r="B639" s="6">
        <v>86.910004000000001</v>
      </c>
      <c r="C639" s="6">
        <v>114.66999800000001</v>
      </c>
      <c r="D639" s="6">
        <v>70.470000999999996</v>
      </c>
      <c r="F639" s="13">
        <v>636</v>
      </c>
      <c r="G639" s="5">
        <v>44390</v>
      </c>
      <c r="H639" s="15">
        <f t="shared" si="126"/>
        <v>-1.2804507639060232E-2</v>
      </c>
      <c r="I639" s="15">
        <f t="shared" si="126"/>
        <v>-8.9421876616440181E-3</v>
      </c>
      <c r="J639" s="15">
        <f t="shared" si="126"/>
        <v>-1.7024667137308502E-2</v>
      </c>
      <c r="K639" s="22"/>
      <c r="L639" s="13">
        <v>636</v>
      </c>
      <c r="M639" s="5">
        <v>44390</v>
      </c>
      <c r="N639" s="26">
        <f t="shared" si="123"/>
        <v>1.5371418900399383</v>
      </c>
      <c r="O639" s="26">
        <f t="shared" si="124"/>
        <v>1.0875378966703737</v>
      </c>
      <c r="P639" s="26">
        <f t="shared" si="125"/>
        <v>0.93263635343134876</v>
      </c>
      <c r="Q639" s="22"/>
      <c r="AD639" s="59">
        <v>635</v>
      </c>
      <c r="AE639" s="61">
        <f t="shared" ca="1" si="127"/>
        <v>-1.5364020774411675</v>
      </c>
      <c r="AF639" s="61">
        <f t="shared" ca="1" si="127"/>
        <v>-8.5300319447331241E-2</v>
      </c>
      <c r="AG639" s="61">
        <f t="shared" ca="1" si="127"/>
        <v>0.4097806804617114</v>
      </c>
      <c r="AH639" s="19"/>
      <c r="AI639" s="61">
        <f ca="1"/>
        <v>-3.3315780246427597E-2</v>
      </c>
      <c r="AJ639" s="61">
        <f ca="1"/>
        <v>-2.5902373739752564E-2</v>
      </c>
      <c r="AK639" s="61">
        <f ca="1"/>
        <v>-1.2803341161989701E-2</v>
      </c>
      <c r="AL639" s="19"/>
      <c r="AM639" s="61">
        <f t="shared" ca="1" si="131"/>
        <v>-3.2964563923917355E-2</v>
      </c>
      <c r="AN639" s="61">
        <f t="shared" ca="1" si="132"/>
        <v>-2.5653321142836034E-2</v>
      </c>
      <c r="AO639" s="61">
        <f t="shared" ca="1" si="133"/>
        <v>-1.2371672558734882E-2</v>
      </c>
      <c r="AP639" s="19"/>
      <c r="AQ639" s="62">
        <f t="shared" ca="1" si="128"/>
        <v>0.90838312119237108</v>
      </c>
      <c r="AR639" s="62">
        <f t="shared" ca="1" si="129"/>
        <v>1.4841818748985471</v>
      </c>
      <c r="AS639" s="62">
        <f t="shared" ca="1" si="130"/>
        <v>0.54578406354012021</v>
      </c>
      <c r="AT639" s="49"/>
    </row>
    <row r="640" spans="1:46" x14ac:dyDescent="0.3">
      <c r="A640" s="5">
        <v>44391</v>
      </c>
      <c r="B640" s="6">
        <v>87.410004000000001</v>
      </c>
      <c r="C640" s="6">
        <v>113.69000200000001</v>
      </c>
      <c r="D640" s="6">
        <v>67.669998000000007</v>
      </c>
      <c r="F640" s="13">
        <v>637</v>
      </c>
      <c r="G640" s="5">
        <v>44391</v>
      </c>
      <c r="H640" s="15">
        <f t="shared" si="126"/>
        <v>5.7365918797592074E-3</v>
      </c>
      <c r="I640" s="15">
        <f t="shared" si="126"/>
        <v>-8.5829568761476328E-3</v>
      </c>
      <c r="J640" s="15">
        <f t="shared" si="126"/>
        <v>-4.0544180840427088E-2</v>
      </c>
      <c r="K640" s="22"/>
      <c r="L640" s="13">
        <v>637</v>
      </c>
      <c r="M640" s="5">
        <v>44391</v>
      </c>
      <c r="N640" s="26">
        <f t="shared" si="123"/>
        <v>1.5459851866645706</v>
      </c>
      <c r="O640" s="26">
        <f t="shared" si="124"/>
        <v>1.0782435493504638</v>
      </c>
      <c r="P640" s="26">
        <f t="shared" si="125"/>
        <v>0.89557966902010788</v>
      </c>
      <c r="Q640" s="22"/>
      <c r="AD640" s="59">
        <v>636</v>
      </c>
      <c r="AE640" s="61">
        <f t="shared" ca="1" si="127"/>
        <v>-0.6517801663102526</v>
      </c>
      <c r="AF640" s="61">
        <f t="shared" ca="1" si="127"/>
        <v>-0.87867449821289212</v>
      </c>
      <c r="AG640" s="61">
        <f t="shared" ca="1" si="127"/>
        <v>-0.81714766888175727</v>
      </c>
      <c r="AH640" s="19"/>
      <c r="AI640" s="61">
        <f ca="1"/>
        <v>-1.4133386766787883E-2</v>
      </c>
      <c r="AJ640" s="61">
        <f ca="1"/>
        <v>-2.9300767779870437E-2</v>
      </c>
      <c r="AK640" s="61">
        <f ca="1"/>
        <v>-3.6753725067611195E-2</v>
      </c>
      <c r="AL640" s="19"/>
      <c r="AM640" s="61">
        <f t="shared" ca="1" si="131"/>
        <v>-1.3782170444277639E-2</v>
      </c>
      <c r="AN640" s="61">
        <f t="shared" ca="1" si="132"/>
        <v>-2.9051715182953908E-2</v>
      </c>
      <c r="AO640" s="61">
        <f t="shared" ca="1" si="133"/>
        <v>-3.6322056464356378E-2</v>
      </c>
      <c r="AP640" s="19"/>
      <c r="AQ640" s="62">
        <f t="shared" ca="1" si="128"/>
        <v>0.89594950808619567</v>
      </c>
      <c r="AR640" s="62">
        <f t="shared" ca="1" si="129"/>
        <v>1.4416841506518541</v>
      </c>
      <c r="AS640" s="62">
        <f t="shared" ca="1" si="130"/>
        <v>0.52631576853843998</v>
      </c>
      <c r="AT640" s="49"/>
    </row>
    <row r="641" spans="1:46" x14ac:dyDescent="0.3">
      <c r="A641" s="5">
        <v>44392</v>
      </c>
      <c r="B641" s="6">
        <v>86.480002999999996</v>
      </c>
      <c r="C641" s="6">
        <v>111.57</v>
      </c>
      <c r="D641" s="6">
        <v>66.800003000000004</v>
      </c>
      <c r="F641" s="13">
        <v>638</v>
      </c>
      <c r="G641" s="5">
        <v>44392</v>
      </c>
      <c r="H641" s="15">
        <f t="shared" si="126"/>
        <v>-1.069653033269609E-2</v>
      </c>
      <c r="I641" s="15">
        <f t="shared" si="126"/>
        <v>-1.8823267127623562E-2</v>
      </c>
      <c r="J641" s="15">
        <f t="shared" si="126"/>
        <v>-1.2939795236160694E-2</v>
      </c>
      <c r="K641" s="22"/>
      <c r="L641" s="13">
        <v>638</v>
      </c>
      <c r="M641" s="5">
        <v>44392</v>
      </c>
      <c r="N641" s="26">
        <f t="shared" si="123"/>
        <v>1.5295366372561614</v>
      </c>
      <c r="O641" s="26">
        <f t="shared" si="124"/>
        <v>1.0581373092159083</v>
      </c>
      <c r="P641" s="26">
        <f t="shared" si="125"/>
        <v>0.88406570630136871</v>
      </c>
      <c r="Q641" s="22"/>
      <c r="AD641" s="59">
        <v>637</v>
      </c>
      <c r="AE641" s="61">
        <f t="shared" ca="1" si="127"/>
        <v>1.730210555705137</v>
      </c>
      <c r="AF641" s="61">
        <f t="shared" ca="1" si="127"/>
        <v>0.96198203415130834</v>
      </c>
      <c r="AG641" s="61">
        <f t="shared" ca="1" si="127"/>
        <v>0.95790422760990102</v>
      </c>
      <c r="AH641" s="19"/>
      <c r="AI641" s="61">
        <f ca="1"/>
        <v>3.7518378489779819E-2</v>
      </c>
      <c r="AJ641" s="61">
        <f ca="1"/>
        <v>4.7991498724031467E-2</v>
      </c>
      <c r="AK641" s="61">
        <f ca="1"/>
        <v>5.6880989716774355E-2</v>
      </c>
      <c r="AL641" s="19"/>
      <c r="AM641" s="61">
        <f t="shared" ca="1" si="131"/>
        <v>3.7869594812290061E-2</v>
      </c>
      <c r="AN641" s="61">
        <f t="shared" ca="1" si="132"/>
        <v>4.8240551320947997E-2</v>
      </c>
      <c r="AO641" s="61">
        <f t="shared" ca="1" si="133"/>
        <v>5.7312658320029172E-2</v>
      </c>
      <c r="AP641" s="19"/>
      <c r="AQ641" s="62">
        <f t="shared" ca="1" si="128"/>
        <v>0.93052938335994229</v>
      </c>
      <c r="AR641" s="62">
        <f t="shared" ca="1" si="129"/>
        <v>1.5129366002385249</v>
      </c>
      <c r="AS641" s="62">
        <f t="shared" ca="1" si="130"/>
        <v>0.55736148293123533</v>
      </c>
      <c r="AT641" s="49"/>
    </row>
    <row r="642" spans="1:46" x14ac:dyDescent="0.3">
      <c r="A642" s="5">
        <v>44393</v>
      </c>
      <c r="B642" s="6">
        <v>85.980002999999996</v>
      </c>
      <c r="C642" s="6">
        <v>108.68</v>
      </c>
      <c r="D642" s="6">
        <v>64.879997000000003</v>
      </c>
      <c r="F642" s="13">
        <v>639</v>
      </c>
      <c r="G642" s="5">
        <v>44393</v>
      </c>
      <c r="H642" s="15">
        <f t="shared" si="126"/>
        <v>-5.798462061083756E-3</v>
      </c>
      <c r="I642" s="15">
        <f t="shared" si="126"/>
        <v>-2.624441204694121E-2</v>
      </c>
      <c r="J642" s="15">
        <f t="shared" si="126"/>
        <v>-2.9163761884833123E-2</v>
      </c>
      <c r="K642" s="22"/>
      <c r="L642" s="13">
        <v>639</v>
      </c>
      <c r="M642" s="5">
        <v>44393</v>
      </c>
      <c r="N642" s="26">
        <f t="shared" si="123"/>
        <v>1.5206933406315293</v>
      </c>
      <c r="O642" s="26">
        <f t="shared" si="124"/>
        <v>1.0307283567767762</v>
      </c>
      <c r="P642" s="26">
        <f t="shared" si="125"/>
        <v>0.85865535623756906</v>
      </c>
      <c r="Q642" s="22"/>
      <c r="AD642" s="59">
        <v>638</v>
      </c>
      <c r="AE642" s="61">
        <f t="shared" ca="1" si="127"/>
        <v>-1.5381966144683694</v>
      </c>
      <c r="AF642" s="61">
        <f t="shared" ca="1" si="127"/>
        <v>-0.83457916915702168</v>
      </c>
      <c r="AG642" s="61">
        <f t="shared" ca="1" si="127"/>
        <v>0.67824773389419424</v>
      </c>
      <c r="AH642" s="19"/>
      <c r="AI642" s="61">
        <f ca="1"/>
        <v>-3.335469349844683E-2</v>
      </c>
      <c r="AJ642" s="61">
        <f ca="1"/>
        <v>-4.2216800713475111E-2</v>
      </c>
      <c r="AK642" s="61">
        <f ca="1"/>
        <v>-1.1228509406712221E-2</v>
      </c>
      <c r="AL642" s="19"/>
      <c r="AM642" s="61">
        <f t="shared" ca="1" si="131"/>
        <v>-3.3003477175936588E-2</v>
      </c>
      <c r="AN642" s="61">
        <f t="shared" ca="1" si="132"/>
        <v>-4.1967748116558581E-2</v>
      </c>
      <c r="AO642" s="61">
        <f t="shared" ca="1" si="133"/>
        <v>-1.0796840803457402E-2</v>
      </c>
      <c r="AP642" s="19"/>
      <c r="AQ642" s="62">
        <f t="shared" ca="1" si="128"/>
        <v>0.90031992865511479</v>
      </c>
      <c r="AR642" s="62">
        <f t="shared" ca="1" si="129"/>
        <v>1.4507559747488763</v>
      </c>
      <c r="AS642" s="62">
        <f t="shared" ca="1" si="130"/>
        <v>0.55137610943612203</v>
      </c>
      <c r="AT642" s="49"/>
    </row>
    <row r="643" spans="1:46" x14ac:dyDescent="0.3">
      <c r="A643" s="5">
        <v>44396</v>
      </c>
      <c r="B643" s="6">
        <v>84.370002999999997</v>
      </c>
      <c r="C643" s="6">
        <v>103.790001</v>
      </c>
      <c r="D643" s="6">
        <v>61.919998</v>
      </c>
      <c r="F643" s="13">
        <v>640</v>
      </c>
      <c r="G643" s="5">
        <v>44396</v>
      </c>
      <c r="H643" s="15">
        <f t="shared" si="126"/>
        <v>-1.8902822224772728E-2</v>
      </c>
      <c r="I643" s="15">
        <f t="shared" si="126"/>
        <v>-4.603814794610981E-2</v>
      </c>
      <c r="J643" s="15">
        <f t="shared" si="126"/>
        <v>-4.6696166586216087E-2</v>
      </c>
      <c r="K643" s="22"/>
      <c r="L643" s="13">
        <v>640</v>
      </c>
      <c r="M643" s="5">
        <v>44396</v>
      </c>
      <c r="N643" s="26">
        <f t="shared" si="123"/>
        <v>1.4922179255002135</v>
      </c>
      <c r="O643" s="26">
        <f t="shared" si="124"/>
        <v>0.98435128064584065</v>
      </c>
      <c r="P643" s="26">
        <f t="shared" si="125"/>
        <v>0.81948120220966658</v>
      </c>
      <c r="Q643" s="22"/>
      <c r="AD643" s="59">
        <v>639</v>
      </c>
      <c r="AE643" s="61">
        <f t="shared" ca="1" si="127"/>
        <v>1.4709078951709953</v>
      </c>
      <c r="AF643" s="61">
        <f t="shared" ca="1" si="127"/>
        <v>-0.28195226310161958</v>
      </c>
      <c r="AG643" s="61">
        <f t="shared" ca="1" si="127"/>
        <v>-0.50228410148868829</v>
      </c>
      <c r="AH643" s="19"/>
      <c r="AI643" s="61">
        <f ca="1"/>
        <v>3.1895585743979014E-2</v>
      </c>
      <c r="AJ643" s="61">
        <f ca="1"/>
        <v>1.6894628064777914E-2</v>
      </c>
      <c r="AK643" s="61">
        <f ca="1"/>
        <v>6.8793334883790764E-3</v>
      </c>
      <c r="AL643" s="19"/>
      <c r="AM643" s="61">
        <f t="shared" ca="1" si="131"/>
        <v>3.2246802066489257E-2</v>
      </c>
      <c r="AN643" s="61">
        <f t="shared" ca="1" si="132"/>
        <v>1.7143680661694444E-2</v>
      </c>
      <c r="AO643" s="61">
        <f t="shared" ca="1" si="133"/>
        <v>7.3110020916338945E-3</v>
      </c>
      <c r="AP643" s="19"/>
      <c r="AQ643" s="62">
        <f t="shared" ca="1" si="128"/>
        <v>0.92982554126042571</v>
      </c>
      <c r="AR643" s="62">
        <f t="shared" ca="1" si="129"/>
        <v>1.4758416882285295</v>
      </c>
      <c r="AS643" s="62">
        <f t="shared" ca="1" si="130"/>
        <v>0.55542199303593964</v>
      </c>
      <c r="AT643" s="49"/>
    </row>
    <row r="644" spans="1:46" x14ac:dyDescent="0.3">
      <c r="A644" s="5">
        <v>44397</v>
      </c>
      <c r="B644" s="6">
        <v>86.470000999999996</v>
      </c>
      <c r="C644" s="6">
        <v>109.040001</v>
      </c>
      <c r="D644" s="6">
        <v>62.57</v>
      </c>
      <c r="F644" s="13">
        <v>641</v>
      </c>
      <c r="G644" s="5">
        <v>44397</v>
      </c>
      <c r="H644" s="15">
        <f t="shared" si="126"/>
        <v>2.4585620801845929E-2</v>
      </c>
      <c r="I644" s="15">
        <f t="shared" si="126"/>
        <v>4.9345159947186419E-2</v>
      </c>
      <c r="J644" s="15">
        <f t="shared" si="126"/>
        <v>1.0442733028542686E-2</v>
      </c>
      <c r="K644" s="22"/>
      <c r="L644" s="13">
        <v>641</v>
      </c>
      <c r="M644" s="5">
        <v>44397</v>
      </c>
      <c r="N644" s="26">
        <f t="shared" ref="N644:N707" si="134">B644/B$3</f>
        <v>1.5293597359504822</v>
      </c>
      <c r="O644" s="26">
        <f t="shared" ref="O644:O707" si="135">C644/C$3</f>
        <v>1.0341426302324994</v>
      </c>
      <c r="P644" s="26">
        <f t="shared" ref="P644:P707" si="136">D644/D$3</f>
        <v>0.82808366405727019</v>
      </c>
      <c r="Q644" s="22"/>
      <c r="AD644" s="59">
        <v>640</v>
      </c>
      <c r="AE644" s="61">
        <f t="shared" ca="1" si="127"/>
        <v>0.16030846041690178</v>
      </c>
      <c r="AF644" s="61">
        <f t="shared" ca="1" si="127"/>
        <v>-0.40097157093706498</v>
      </c>
      <c r="AG644" s="61">
        <f t="shared" ca="1" si="127"/>
        <v>0.6129314655796031</v>
      </c>
      <c r="AH644" s="19"/>
      <c r="AI644" s="61">
        <f ca="1"/>
        <v>3.4761743148561636E-3</v>
      </c>
      <c r="AJ644" s="61">
        <f ca="1"/>
        <v>-6.2063229343462525E-3</v>
      </c>
      <c r="AK644" s="61">
        <f ca="1"/>
        <v>1.524809515249069E-2</v>
      </c>
      <c r="AL644" s="19"/>
      <c r="AM644" s="61">
        <f t="shared" ca="1" si="131"/>
        <v>3.8273906373664079E-3</v>
      </c>
      <c r="AN644" s="61">
        <f t="shared" ca="1" si="132"/>
        <v>-5.9572703374297219E-3</v>
      </c>
      <c r="AO644" s="61">
        <f t="shared" ca="1" si="133"/>
        <v>1.5679763755745507E-2</v>
      </c>
      <c r="AP644" s="19"/>
      <c r="AQ644" s="62">
        <f t="shared" ca="1" si="128"/>
        <v>0.93339116599808736</v>
      </c>
      <c r="AR644" s="62">
        <f t="shared" ca="1" si="129"/>
        <v>1.4670758365150127</v>
      </c>
      <c r="AS644" s="62">
        <f t="shared" ca="1" si="130"/>
        <v>0.56419951356323716</v>
      </c>
      <c r="AT644" s="49"/>
    </row>
    <row r="645" spans="1:46" x14ac:dyDescent="0.3">
      <c r="A645" s="5">
        <v>44398</v>
      </c>
      <c r="B645" s="6">
        <v>87.5</v>
      </c>
      <c r="C645" s="6">
        <v>110.639999</v>
      </c>
      <c r="D645" s="6">
        <v>64.910004000000001</v>
      </c>
      <c r="F645" s="13">
        <v>642</v>
      </c>
      <c r="G645" s="5">
        <v>44398</v>
      </c>
      <c r="H645" s="15">
        <f t="shared" ref="H645:J708" si="137">LN(B645/B644)</f>
        <v>1.1841248826525532E-2</v>
      </c>
      <c r="I645" s="15">
        <f t="shared" si="137"/>
        <v>1.4566881758956658E-2</v>
      </c>
      <c r="J645" s="15">
        <f t="shared" si="137"/>
        <v>3.671582665888997E-2</v>
      </c>
      <c r="K645" s="22"/>
      <c r="L645" s="13">
        <v>642</v>
      </c>
      <c r="M645" s="5">
        <v>44398</v>
      </c>
      <c r="N645" s="26">
        <f t="shared" si="134"/>
        <v>1.5475769093106313</v>
      </c>
      <c r="O645" s="26">
        <f t="shared" si="135"/>
        <v>1.0493171178050622</v>
      </c>
      <c r="P645" s="26">
        <f t="shared" si="136"/>
        <v>0.85905248435819181</v>
      </c>
      <c r="Q645" s="22"/>
      <c r="AD645" s="59">
        <v>641</v>
      </c>
      <c r="AE645" s="61">
        <f t="shared" ref="AE645:AG708" ca="1" si="138">_xlfn.NORM.S.INV(RAND())</f>
        <v>2.0352419154079087</v>
      </c>
      <c r="AF645" s="61">
        <f t="shared" ca="1" si="138"/>
        <v>-1.2186450664225399</v>
      </c>
      <c r="AG645" s="61">
        <f t="shared" ca="1" si="138"/>
        <v>-0.94779194302867531</v>
      </c>
      <c r="AH645" s="19"/>
      <c r="AI645" s="61">
        <f ca="1"/>
        <v>4.4132765372835621E-2</v>
      </c>
      <c r="AJ645" s="61">
        <f ca="1"/>
        <v>5.367803577869746E-3</v>
      </c>
      <c r="AK645" s="61">
        <f ca="1"/>
        <v>-2.7928363448502247E-3</v>
      </c>
      <c r="AL645" s="19"/>
      <c r="AM645" s="61">
        <f t="shared" ca="1" si="131"/>
        <v>4.4483981695345863E-2</v>
      </c>
      <c r="AN645" s="61">
        <f t="shared" ca="1" si="132"/>
        <v>5.6168561747862765E-3</v>
      </c>
      <c r="AO645" s="61">
        <f t="shared" ca="1" si="133"/>
        <v>-2.3611677415954066E-3</v>
      </c>
      <c r="AP645" s="19"/>
      <c r="AQ645" s="62">
        <f t="shared" ca="1" si="128"/>
        <v>0.97584947768914976</v>
      </c>
      <c r="AR645" s="62">
        <f t="shared" ca="1" si="129"/>
        <v>1.4753393763179317</v>
      </c>
      <c r="AS645" s="62">
        <f t="shared" ca="1" si="130"/>
        <v>0.56286891537293604</v>
      </c>
      <c r="AT645" s="49"/>
    </row>
    <row r="646" spans="1:46" x14ac:dyDescent="0.3">
      <c r="A646" s="5">
        <v>44399</v>
      </c>
      <c r="B646" s="6">
        <v>86.5</v>
      </c>
      <c r="C646" s="6">
        <v>109.900002</v>
      </c>
      <c r="D646" s="6">
        <v>63.48</v>
      </c>
      <c r="F646" s="13">
        <v>643</v>
      </c>
      <c r="G646" s="5">
        <v>44399</v>
      </c>
      <c r="H646" s="15">
        <f t="shared" si="137"/>
        <v>-1.1494379425735134E-2</v>
      </c>
      <c r="I646" s="15">
        <f t="shared" si="137"/>
        <v>-6.7107987102425918E-3</v>
      </c>
      <c r="J646" s="15">
        <f t="shared" si="137"/>
        <v>-2.2276861010953795E-2</v>
      </c>
      <c r="K646" s="22"/>
      <c r="L646" s="13">
        <v>643</v>
      </c>
      <c r="M646" s="5">
        <v>44399</v>
      </c>
      <c r="N646" s="26">
        <f t="shared" si="134"/>
        <v>1.5298903160613671</v>
      </c>
      <c r="O646" s="26">
        <f t="shared" si="135"/>
        <v>1.04229893698219</v>
      </c>
      <c r="P646" s="26">
        <f t="shared" si="136"/>
        <v>0.84012707358727035</v>
      </c>
      <c r="Q646" s="22"/>
      <c r="AD646" s="59">
        <v>642</v>
      </c>
      <c r="AE646" s="61">
        <f t="shared" ca="1" si="138"/>
        <v>-1.3569746356534214</v>
      </c>
      <c r="AF646" s="61">
        <f t="shared" ca="1" si="138"/>
        <v>-1.9696742074585396</v>
      </c>
      <c r="AG646" s="61">
        <f t="shared" ca="1" si="138"/>
        <v>0.65243788134671921</v>
      </c>
      <c r="AH646" s="19"/>
      <c r="AI646" s="61">
        <f ca="1"/>
        <v>-2.9425024494043415E-2</v>
      </c>
      <c r="AJ646" s="61">
        <f ca="1"/>
        <v>-6.4052698806992631E-2</v>
      </c>
      <c r="AK646" s="61">
        <f ca="1"/>
        <v>-1.7205965152718869E-2</v>
      </c>
      <c r="AL646" s="19"/>
      <c r="AM646" s="61">
        <f t="shared" ca="1" si="131"/>
        <v>-2.9073808171533169E-2</v>
      </c>
      <c r="AN646" s="61">
        <f t="shared" ca="1" si="132"/>
        <v>-6.3803646210076101E-2</v>
      </c>
      <c r="AO646" s="61">
        <f t="shared" ca="1" si="133"/>
        <v>-1.6774296549464052E-2</v>
      </c>
      <c r="AP646" s="19"/>
      <c r="AQ646" s="62">
        <f t="shared" ref="AQ646:AQ709" ca="1" si="139">AQ645*EXP(AM646)</f>
        <v>0.94788628513291173</v>
      </c>
      <c r="AR646" s="62">
        <f t="shared" ref="AR646:AR709" ca="1" si="140">AR645*EXP(AN646)</f>
        <v>1.3841474669106841</v>
      </c>
      <c r="AS646" s="62">
        <f t="shared" ref="AS646:AS709" ca="1" si="141">AS645*EXP(AO646)</f>
        <v>0.55350593352799071</v>
      </c>
      <c r="AT646" s="49"/>
    </row>
    <row r="647" spans="1:46" x14ac:dyDescent="0.3">
      <c r="A647" s="5">
        <v>44400</v>
      </c>
      <c r="B647" s="6">
        <v>92.870002999999997</v>
      </c>
      <c r="C647" s="6">
        <v>109.989998</v>
      </c>
      <c r="D647" s="6">
        <v>63.709999000000003</v>
      </c>
      <c r="F647" s="13">
        <v>644</v>
      </c>
      <c r="G647" s="5">
        <v>44400</v>
      </c>
      <c r="H647" s="15">
        <f t="shared" si="137"/>
        <v>7.105628415330241E-2</v>
      </c>
      <c r="I647" s="15">
        <f t="shared" si="137"/>
        <v>8.185547776162304E-4</v>
      </c>
      <c r="J647" s="15">
        <f t="shared" si="137"/>
        <v>3.616624774065492E-3</v>
      </c>
      <c r="K647" s="22"/>
      <c r="L647" s="13">
        <v>644</v>
      </c>
      <c r="M647" s="5">
        <v>44400</v>
      </c>
      <c r="N647" s="26">
        <f t="shared" si="134"/>
        <v>1.6425539681189607</v>
      </c>
      <c r="O647" s="26">
        <f t="shared" si="135"/>
        <v>1.0431524650388377</v>
      </c>
      <c r="P647" s="26">
        <f t="shared" si="136"/>
        <v>0.84317099902517212</v>
      </c>
      <c r="Q647" s="22"/>
      <c r="AD647" s="59">
        <v>643</v>
      </c>
      <c r="AE647" s="61">
        <f t="shared" ca="1" si="138"/>
        <v>2.5988069707562129</v>
      </c>
      <c r="AF647" s="61">
        <f t="shared" ca="1" si="138"/>
        <v>0.88482951053764325</v>
      </c>
      <c r="AG647" s="61">
        <f t="shared" ca="1" si="138"/>
        <v>0.5166022687935381</v>
      </c>
      <c r="AH647" s="19"/>
      <c r="AI647" s="61">
        <f ca="1"/>
        <v>5.6353270548030472E-2</v>
      </c>
      <c r="AJ647" s="61">
        <f ca="1"/>
        <v>5.9910074714616693E-2</v>
      </c>
      <c r="AK647" s="61">
        <f ca="1"/>
        <v>5.7865496061456523E-2</v>
      </c>
      <c r="AL647" s="19"/>
      <c r="AM647" s="61">
        <f t="shared" ref="AM647:AM710" ca="1" si="142">AI647+T$3</f>
        <v>5.6704486870540714E-2</v>
      </c>
      <c r="AN647" s="61">
        <f t="shared" ref="AN647:AN710" ca="1" si="143">AJ647+U$3</f>
        <v>6.0159127311533223E-2</v>
      </c>
      <c r="AO647" s="61">
        <f t="shared" ref="AO647:AO710" ca="1" si="144">AK647+V$3</f>
        <v>5.829716466471134E-2</v>
      </c>
      <c r="AP647" s="19"/>
      <c r="AQ647" s="62">
        <f t="shared" ca="1" si="139"/>
        <v>1.0031888240737652</v>
      </c>
      <c r="AR647" s="62">
        <f t="shared" ca="1" si="140"/>
        <v>1.4699722602977929</v>
      </c>
      <c r="AS647" s="62">
        <f t="shared" ca="1" si="141"/>
        <v>0.58673286834663452</v>
      </c>
      <c r="AT647" s="49"/>
    </row>
    <row r="648" spans="1:46" x14ac:dyDescent="0.3">
      <c r="A648" s="5">
        <v>44403</v>
      </c>
      <c r="B648" s="6">
        <v>93.589995999999999</v>
      </c>
      <c r="C648" s="6">
        <v>111.449997</v>
      </c>
      <c r="D648" s="6">
        <v>65.540001000000004</v>
      </c>
      <c r="F648" s="13">
        <v>645</v>
      </c>
      <c r="G648" s="5">
        <v>44403</v>
      </c>
      <c r="H648" s="15">
        <f t="shared" si="137"/>
        <v>7.7227993384192265E-3</v>
      </c>
      <c r="I648" s="15">
        <f t="shared" si="137"/>
        <v>1.3186598528423127E-2</v>
      </c>
      <c r="J648" s="15">
        <f t="shared" si="137"/>
        <v>2.8319138096252555E-2</v>
      </c>
      <c r="K648" s="22"/>
      <c r="L648" s="13">
        <v>645</v>
      </c>
      <c r="M648" s="5">
        <v>44403</v>
      </c>
      <c r="N648" s="26">
        <f t="shared" si="134"/>
        <v>1.6552881914522783</v>
      </c>
      <c r="O648" s="26">
        <f t="shared" si="135"/>
        <v>1.0569991927731563</v>
      </c>
      <c r="P648" s="26">
        <f t="shared" si="136"/>
        <v>0.86739018971387494</v>
      </c>
      <c r="Q648" s="22"/>
      <c r="AD648" s="59">
        <v>644</v>
      </c>
      <c r="AE648" s="61">
        <f t="shared" ca="1" si="138"/>
        <v>0.64429085019247501</v>
      </c>
      <c r="AF648" s="61">
        <f t="shared" ca="1" si="138"/>
        <v>1.1236812890081045</v>
      </c>
      <c r="AG648" s="61">
        <f t="shared" ca="1" si="138"/>
        <v>-1.3933205914995317</v>
      </c>
      <c r="AH648" s="19"/>
      <c r="AI648" s="61">
        <f ca="1"/>
        <v>1.3970986302977353E-2</v>
      </c>
      <c r="AJ648" s="61">
        <f ca="1"/>
        <v>3.4509014393063212E-2</v>
      </c>
      <c r="AK648" s="61">
        <f ca="1"/>
        <v>-1.8263580584871146E-2</v>
      </c>
      <c r="AL648" s="19"/>
      <c r="AM648" s="61">
        <f t="shared" ca="1" si="142"/>
        <v>1.4322202625487597E-2</v>
      </c>
      <c r="AN648" s="61">
        <f t="shared" ca="1" si="143"/>
        <v>3.4758066989979741E-2</v>
      </c>
      <c r="AO648" s="61">
        <f t="shared" ca="1" si="144"/>
        <v>-1.7831911981616329E-2</v>
      </c>
      <c r="AP648" s="19"/>
      <c r="AQ648" s="62">
        <f t="shared" ca="1" si="139"/>
        <v>1.0176600804490186</v>
      </c>
      <c r="AR648" s="62">
        <f t="shared" ca="1" si="140"/>
        <v>1.5219639862797096</v>
      </c>
      <c r="AS648" s="62">
        <f t="shared" ca="1" si="141"/>
        <v>0.57636303127196975</v>
      </c>
      <c r="AT648" s="49"/>
    </row>
    <row r="649" spans="1:46" x14ac:dyDescent="0.3">
      <c r="A649" s="5">
        <v>44404</v>
      </c>
      <c r="B649" s="6">
        <v>95.010002</v>
      </c>
      <c r="C649" s="6">
        <v>110.139999</v>
      </c>
      <c r="D649" s="6">
        <v>65.580001999999993</v>
      </c>
      <c r="F649" s="13">
        <v>646</v>
      </c>
      <c r="G649" s="5">
        <v>44404</v>
      </c>
      <c r="H649" s="15">
        <f t="shared" si="137"/>
        <v>1.5058672839518446E-2</v>
      </c>
      <c r="I649" s="15">
        <f t="shared" si="137"/>
        <v>-1.1823758158995196E-2</v>
      </c>
      <c r="J649" s="15">
        <f t="shared" si="137"/>
        <v>6.1014338507804319E-4</v>
      </c>
      <c r="K649" s="22"/>
      <c r="L649" s="13">
        <v>646</v>
      </c>
      <c r="M649" s="5">
        <v>44404</v>
      </c>
      <c r="N649" s="26">
        <f t="shared" si="134"/>
        <v>1.6804032599857932</v>
      </c>
      <c r="O649" s="26">
        <f t="shared" si="135"/>
        <v>1.0445750845110948</v>
      </c>
      <c r="P649" s="26">
        <f t="shared" si="136"/>
        <v>0.86791958358707211</v>
      </c>
      <c r="Q649" s="22"/>
      <c r="AD649" s="59">
        <v>645</v>
      </c>
      <c r="AE649" s="61">
        <f t="shared" ca="1" si="138"/>
        <v>-2.1147834940300161</v>
      </c>
      <c r="AF649" s="61">
        <f t="shared" ca="1" si="138"/>
        <v>-1.8765406530008708</v>
      </c>
      <c r="AG649" s="61">
        <f t="shared" ca="1" si="138"/>
        <v>-0.37188870389556156</v>
      </c>
      <c r="AH649" s="19"/>
      <c r="AI649" s="61">
        <f ca="1"/>
        <v>-4.5857567618769544E-2</v>
      </c>
      <c r="AJ649" s="61">
        <f ca="1"/>
        <v>-7.3889826555520288E-2</v>
      </c>
      <c r="AK649" s="61">
        <f ca="1"/>
        <v>-5.3990316580012049E-2</v>
      </c>
      <c r="AL649" s="19"/>
      <c r="AM649" s="61">
        <f t="shared" ca="1" si="142"/>
        <v>-4.5506351296259302E-2</v>
      </c>
      <c r="AN649" s="61">
        <f t="shared" ca="1" si="143"/>
        <v>-7.3640773958603759E-2</v>
      </c>
      <c r="AO649" s="61">
        <f t="shared" ca="1" si="144"/>
        <v>-5.3558647976757232E-2</v>
      </c>
      <c r="AP649" s="19"/>
      <c r="AQ649" s="62">
        <f t="shared" ca="1" si="139"/>
        <v>0.97238797968023893</v>
      </c>
      <c r="AR649" s="62">
        <f t="shared" ca="1" si="140"/>
        <v>1.4139126961474406</v>
      </c>
      <c r="AS649" s="62">
        <f t="shared" ca="1" si="141"/>
        <v>0.54630590084233477</v>
      </c>
      <c r="AT649" s="49"/>
    </row>
    <row r="650" spans="1:46" x14ac:dyDescent="0.3">
      <c r="A650" s="5">
        <v>44405</v>
      </c>
      <c r="B650" s="6">
        <v>95.669998000000007</v>
      </c>
      <c r="C650" s="6">
        <v>110.41999800000001</v>
      </c>
      <c r="D650" s="6">
        <v>67.300003000000004</v>
      </c>
      <c r="F650" s="13">
        <v>647</v>
      </c>
      <c r="G650" s="5">
        <v>44405</v>
      </c>
      <c r="H650" s="15">
        <f t="shared" si="137"/>
        <v>6.9225785158071084E-3</v>
      </c>
      <c r="I650" s="15">
        <f t="shared" si="137"/>
        <v>2.5389839882557774E-3</v>
      </c>
      <c r="J650" s="15">
        <f t="shared" si="137"/>
        <v>2.5889479313599882E-2</v>
      </c>
      <c r="K650" s="22"/>
      <c r="L650" s="13">
        <v>647</v>
      </c>
      <c r="M650" s="5">
        <v>44405</v>
      </c>
      <c r="N650" s="26">
        <f t="shared" si="134"/>
        <v>1.6920763407839348</v>
      </c>
      <c r="O650" s="26">
        <f t="shared" si="135"/>
        <v>1.04723061367165</v>
      </c>
      <c r="P650" s="26">
        <f t="shared" si="136"/>
        <v>0.89068296428488536</v>
      </c>
      <c r="Q650" s="22"/>
      <c r="AD650" s="59">
        <v>646</v>
      </c>
      <c r="AE650" s="61">
        <f t="shared" ca="1" si="138"/>
        <v>0.65925275136358574</v>
      </c>
      <c r="AF650" s="61">
        <f t="shared" ca="1" si="138"/>
        <v>1.1580906213434963</v>
      </c>
      <c r="AG650" s="61">
        <f t="shared" ca="1" si="138"/>
        <v>0.41629826031907924</v>
      </c>
      <c r="AH650" s="19"/>
      <c r="AI650" s="61">
        <f ca="1"/>
        <v>1.4295424429431644E-2</v>
      </c>
      <c r="AJ650" s="61">
        <f ca="1"/>
        <v>3.5491124979755484E-2</v>
      </c>
      <c r="AK650" s="61">
        <f ca="1"/>
        <v>2.8562169798894321E-2</v>
      </c>
      <c r="AL650" s="19"/>
      <c r="AM650" s="61">
        <f t="shared" ca="1" si="142"/>
        <v>1.4646640751941888E-2</v>
      </c>
      <c r="AN650" s="61">
        <f t="shared" ca="1" si="143"/>
        <v>3.5740177576672014E-2</v>
      </c>
      <c r="AO650" s="61">
        <f t="shared" ca="1" si="144"/>
        <v>2.8993838402149138E-2</v>
      </c>
      <c r="AP650" s="19"/>
      <c r="AQ650" s="62">
        <f t="shared" ca="1" si="139"/>
        <v>0.98673500849757545</v>
      </c>
      <c r="AR650" s="62">
        <f t="shared" ca="1" si="140"/>
        <v>1.4653600800161293</v>
      </c>
      <c r="AS650" s="62">
        <f t="shared" ca="1" si="141"/>
        <v>0.56237726528076704</v>
      </c>
      <c r="AT650" s="49"/>
    </row>
    <row r="651" spans="1:46" x14ac:dyDescent="0.3">
      <c r="A651" s="5">
        <v>44406</v>
      </c>
      <c r="B651" s="6">
        <v>97.349997999999999</v>
      </c>
      <c r="C651" s="6">
        <v>110.160004</v>
      </c>
      <c r="D651" s="6">
        <v>67.639999000000003</v>
      </c>
      <c r="F651" s="13">
        <v>648</v>
      </c>
      <c r="G651" s="5">
        <v>44406</v>
      </c>
      <c r="H651" s="15">
        <f t="shared" si="137"/>
        <v>1.740796248890019E-2</v>
      </c>
      <c r="I651" s="15">
        <f t="shared" si="137"/>
        <v>-2.3573680120182699E-3</v>
      </c>
      <c r="J651" s="15">
        <f t="shared" si="137"/>
        <v>5.0392280190238474E-3</v>
      </c>
      <c r="K651" s="22"/>
      <c r="L651" s="13">
        <v>648</v>
      </c>
      <c r="M651" s="5">
        <v>44406</v>
      </c>
      <c r="N651" s="26">
        <f t="shared" si="134"/>
        <v>1.7217898174426987</v>
      </c>
      <c r="O651" s="26">
        <f t="shared" si="135"/>
        <v>1.0447648132631864</v>
      </c>
      <c r="P651" s="26">
        <f t="shared" si="136"/>
        <v>0.89518264677561277</v>
      </c>
      <c r="Q651" s="22"/>
      <c r="AD651" s="59">
        <v>647</v>
      </c>
      <c r="AE651" s="61">
        <f t="shared" ca="1" si="138"/>
        <v>-0.39187548528814953</v>
      </c>
      <c r="AF651" s="61">
        <f t="shared" ca="1" si="138"/>
        <v>0.17437409435213599</v>
      </c>
      <c r="AG651" s="61">
        <f t="shared" ca="1" si="138"/>
        <v>-0.47132826261257577</v>
      </c>
      <c r="AH651" s="19"/>
      <c r="AI651" s="61">
        <f ca="1"/>
        <v>-8.4975396372581977E-3</v>
      </c>
      <c r="AJ651" s="61">
        <f ca="1"/>
        <v>-2.3435691315262732E-3</v>
      </c>
      <c r="AK651" s="61">
        <f ca="1"/>
        <v>-1.663756050901273E-2</v>
      </c>
      <c r="AL651" s="19"/>
      <c r="AM651" s="61">
        <f t="shared" ca="1" si="142"/>
        <v>-8.1463233147479538E-3</v>
      </c>
      <c r="AN651" s="61">
        <f t="shared" ca="1" si="143"/>
        <v>-2.0945165346097426E-3</v>
      </c>
      <c r="AO651" s="61">
        <f t="shared" ca="1" si="144"/>
        <v>-1.6205891905757913E-2</v>
      </c>
      <c r="AP651" s="19"/>
      <c r="AQ651" s="62">
        <f t="shared" ca="1" si="139"/>
        <v>0.97872939850872198</v>
      </c>
      <c r="AR651" s="62">
        <f t="shared" ca="1" si="140"/>
        <v>1.4622940711234205</v>
      </c>
      <c r="AS651" s="62">
        <f t="shared" ca="1" si="141"/>
        <v>0.55333689162444966</v>
      </c>
      <c r="AT651" s="49"/>
    </row>
    <row r="652" spans="1:46" x14ac:dyDescent="0.3">
      <c r="A652" s="5">
        <v>44407</v>
      </c>
      <c r="B652" s="6">
        <v>98.209998999999996</v>
      </c>
      <c r="C652" s="6">
        <v>113.519997</v>
      </c>
      <c r="D652" s="6">
        <v>66.970000999999996</v>
      </c>
      <c r="F652" s="13">
        <v>649</v>
      </c>
      <c r="G652" s="5">
        <v>44407</v>
      </c>
      <c r="H652" s="15">
        <f t="shared" si="137"/>
        <v>8.7953217136391617E-3</v>
      </c>
      <c r="I652" s="15">
        <f t="shared" si="137"/>
        <v>3.004511569350618E-2</v>
      </c>
      <c r="J652" s="15">
        <f t="shared" si="137"/>
        <v>-9.95473639221027E-3</v>
      </c>
      <c r="K652" s="22"/>
      <c r="L652" s="13">
        <v>649</v>
      </c>
      <c r="M652" s="5">
        <v>44407</v>
      </c>
      <c r="N652" s="26">
        <f t="shared" si="134"/>
        <v>1.7370003053236593</v>
      </c>
      <c r="O652" s="26">
        <f t="shared" si="135"/>
        <v>1.0766312106101819</v>
      </c>
      <c r="P652" s="26">
        <f t="shared" si="136"/>
        <v>0.88631554754673236</v>
      </c>
      <c r="Q652" s="22"/>
      <c r="AD652" s="59">
        <v>648</v>
      </c>
      <c r="AE652" s="61">
        <f t="shared" ca="1" si="138"/>
        <v>-0.89701825468008556</v>
      </c>
      <c r="AF652" s="61">
        <f t="shared" ca="1" si="138"/>
        <v>-0.73234805798536751</v>
      </c>
      <c r="AG652" s="61">
        <f t="shared" ca="1" si="138"/>
        <v>0.25820452791388987</v>
      </c>
      <c r="AH652" s="19"/>
      <c r="AI652" s="61">
        <f ca="1"/>
        <v>-1.9451199323895808E-2</v>
      </c>
      <c r="AJ652" s="61">
        <f ca="1"/>
        <v>-2.9958763127460358E-2</v>
      </c>
      <c r="AK652" s="61">
        <f ca="1"/>
        <v>-1.1796278523273321E-2</v>
      </c>
      <c r="AL652" s="19"/>
      <c r="AM652" s="61">
        <f t="shared" ca="1" si="142"/>
        <v>-1.9099983001385563E-2</v>
      </c>
      <c r="AN652" s="61">
        <f t="shared" ca="1" si="143"/>
        <v>-2.9709710530543828E-2</v>
      </c>
      <c r="AO652" s="61">
        <f t="shared" ca="1" si="144"/>
        <v>-1.1364609920018502E-2</v>
      </c>
      <c r="AP652" s="19"/>
      <c r="AQ652" s="62">
        <f t="shared" ca="1" si="139"/>
        <v>0.96021307725204641</v>
      </c>
      <c r="AR652" s="62">
        <f t="shared" ca="1" si="140"/>
        <v>1.419488752890228</v>
      </c>
      <c r="AS652" s="62">
        <f t="shared" ca="1" si="141"/>
        <v>0.5470840316525466</v>
      </c>
      <c r="AT652" s="49"/>
    </row>
    <row r="653" spans="1:46" x14ac:dyDescent="0.3">
      <c r="A653" s="5">
        <v>44410</v>
      </c>
      <c r="B653" s="6">
        <v>97.68</v>
      </c>
      <c r="C653" s="6">
        <v>117.989998</v>
      </c>
      <c r="D653" s="6">
        <v>66.400002000000001</v>
      </c>
      <c r="F653" s="13">
        <v>650</v>
      </c>
      <c r="G653" s="5">
        <v>44410</v>
      </c>
      <c r="H653" s="15">
        <f t="shared" si="137"/>
        <v>-5.4112031849710149E-3</v>
      </c>
      <c r="I653" s="15">
        <f t="shared" si="137"/>
        <v>3.8620851736513112E-2</v>
      </c>
      <c r="J653" s="15">
        <f t="shared" si="137"/>
        <v>-8.5476862511481462E-3</v>
      </c>
      <c r="K653" s="22"/>
      <c r="L653" s="13">
        <v>650</v>
      </c>
      <c r="M653" s="5">
        <v>44410</v>
      </c>
      <c r="N653" s="26">
        <f t="shared" si="134"/>
        <v>1.7276264285881426</v>
      </c>
      <c r="O653" s="26">
        <f t="shared" si="135"/>
        <v>1.1190249977423179</v>
      </c>
      <c r="P653" s="26">
        <f t="shared" si="136"/>
        <v>0.87877188668003947</v>
      </c>
      <c r="Q653" s="22"/>
      <c r="AD653" s="59">
        <v>649</v>
      </c>
      <c r="AE653" s="61">
        <f t="shared" ca="1" si="138"/>
        <v>1.0546446307523731</v>
      </c>
      <c r="AF653" s="61">
        <f t="shared" ca="1" si="138"/>
        <v>0.65826335409613423</v>
      </c>
      <c r="AG653" s="61">
        <f t="shared" ca="1" si="138"/>
        <v>1.2027203015965466</v>
      </c>
      <c r="AH653" s="19"/>
      <c r="AI653" s="61">
        <f ca="1"/>
        <v>2.2869214557910082E-2</v>
      </c>
      <c r="AJ653" s="61">
        <f ca="1"/>
        <v>3.0815678001988485E-2</v>
      </c>
      <c r="AK653" s="61">
        <f ca="1"/>
        <v>5.1032384242772039E-2</v>
      </c>
      <c r="AL653" s="19"/>
      <c r="AM653" s="61">
        <f t="shared" ca="1" si="142"/>
        <v>2.3220430880420327E-2</v>
      </c>
      <c r="AN653" s="61">
        <f t="shared" ca="1" si="143"/>
        <v>3.1064730598905015E-2</v>
      </c>
      <c r="AO653" s="61">
        <f t="shared" ca="1" si="144"/>
        <v>5.1464052846026856E-2</v>
      </c>
      <c r="AP653" s="19"/>
      <c r="AQ653" s="62">
        <f t="shared" ca="1" si="139"/>
        <v>0.98277052188453273</v>
      </c>
      <c r="AR653" s="62">
        <f t="shared" ca="1" si="140"/>
        <v>1.4642768519861895</v>
      </c>
      <c r="AS653" s="62">
        <f t="shared" ca="1" si="141"/>
        <v>0.57597627247890959</v>
      </c>
      <c r="AT653" s="49"/>
    </row>
    <row r="654" spans="1:46" x14ac:dyDescent="0.3">
      <c r="A654" s="5">
        <v>44411</v>
      </c>
      <c r="B654" s="6">
        <v>98.980002999999996</v>
      </c>
      <c r="C654" s="6">
        <v>125.220001</v>
      </c>
      <c r="D654" s="6">
        <v>69.010002</v>
      </c>
      <c r="F654" s="13">
        <v>651</v>
      </c>
      <c r="G654" s="5">
        <v>44411</v>
      </c>
      <c r="H654" s="15">
        <f t="shared" si="137"/>
        <v>1.3221010030443571E-2</v>
      </c>
      <c r="I654" s="15">
        <f t="shared" si="137"/>
        <v>5.9472340141870299E-2</v>
      </c>
      <c r="J654" s="15">
        <f t="shared" si="137"/>
        <v>3.8554364010947369E-2</v>
      </c>
      <c r="K654" s="22"/>
      <c r="L654" s="13">
        <v>651</v>
      </c>
      <c r="M654" s="5">
        <v>44411</v>
      </c>
      <c r="N654" s="26">
        <f t="shared" si="134"/>
        <v>1.7506190528719658</v>
      </c>
      <c r="O654" s="26">
        <f t="shared" si="135"/>
        <v>1.1875948276252877</v>
      </c>
      <c r="P654" s="26">
        <f t="shared" si="136"/>
        <v>0.91331397335399622</v>
      </c>
      <c r="Q654" s="22"/>
      <c r="AD654" s="59">
        <v>650</v>
      </c>
      <c r="AE654" s="61">
        <f t="shared" ca="1" si="138"/>
        <v>-0.48902312046676394</v>
      </c>
      <c r="AF654" s="61">
        <f t="shared" ca="1" si="138"/>
        <v>0.71959058022144873</v>
      </c>
      <c r="AG654" s="61">
        <f t="shared" ca="1" si="138"/>
        <v>0.42624491450794794</v>
      </c>
      <c r="AH654" s="19"/>
      <c r="AI654" s="61">
        <f ca="1"/>
        <v>-1.0604116628133669E-2</v>
      </c>
      <c r="AJ654" s="61">
        <f ca="1"/>
        <v>7.9866783940678292E-3</v>
      </c>
      <c r="AK654" s="61">
        <f ca="1"/>
        <v>8.7624803054312146E-3</v>
      </c>
      <c r="AL654" s="19"/>
      <c r="AM654" s="61">
        <f t="shared" ca="1" si="142"/>
        <v>-1.0252900305623425E-2</v>
      </c>
      <c r="AN654" s="61">
        <f t="shared" ca="1" si="143"/>
        <v>8.2357309909843607E-3</v>
      </c>
      <c r="AO654" s="61">
        <f t="shared" ca="1" si="144"/>
        <v>9.1941489086860336E-3</v>
      </c>
      <c r="AP654" s="19"/>
      <c r="AQ654" s="62">
        <f t="shared" ca="1" si="139"/>
        <v>0.97274575299680444</v>
      </c>
      <c r="AR654" s="62">
        <f t="shared" ca="1" si="140"/>
        <v>1.4763860377895359</v>
      </c>
      <c r="AS654" s="62">
        <f t="shared" ca="1" si="141"/>
        <v>0.5812963031970787</v>
      </c>
      <c r="AT654" s="49"/>
    </row>
    <row r="655" spans="1:46" x14ac:dyDescent="0.3">
      <c r="A655" s="5">
        <v>44412</v>
      </c>
      <c r="B655" s="6">
        <v>97.550003000000004</v>
      </c>
      <c r="C655" s="6">
        <v>123.18</v>
      </c>
      <c r="D655" s="6">
        <v>64.180000000000007</v>
      </c>
      <c r="F655" s="13">
        <v>652</v>
      </c>
      <c r="G655" s="5">
        <v>44412</v>
      </c>
      <c r="H655" s="15">
        <f t="shared" si="137"/>
        <v>-1.455274201031327E-2</v>
      </c>
      <c r="I655" s="15">
        <f t="shared" si="137"/>
        <v>-1.6425498044211766E-2</v>
      </c>
      <c r="J655" s="15">
        <f t="shared" si="137"/>
        <v>-7.255981493210624E-2</v>
      </c>
      <c r="K655" s="22"/>
      <c r="L655" s="13">
        <v>652</v>
      </c>
      <c r="M655" s="5">
        <v>44412</v>
      </c>
      <c r="N655" s="26">
        <f t="shared" si="134"/>
        <v>1.725327224525518</v>
      </c>
      <c r="O655" s="26">
        <f t="shared" si="135"/>
        <v>1.1682473223018337</v>
      </c>
      <c r="P655" s="26">
        <f t="shared" si="136"/>
        <v>0.84939123476419376</v>
      </c>
      <c r="Q655" s="22"/>
      <c r="AD655" s="59">
        <v>651</v>
      </c>
      <c r="AE655" s="61">
        <f t="shared" ca="1" si="138"/>
        <v>-0.31041436444254017</v>
      </c>
      <c r="AF655" s="61">
        <f t="shared" ca="1" si="138"/>
        <v>0.60659963878200196</v>
      </c>
      <c r="AG655" s="61">
        <f t="shared" ca="1" si="138"/>
        <v>-0.51909012214848749</v>
      </c>
      <c r="AH655" s="19"/>
      <c r="AI655" s="61">
        <f ca="1"/>
        <v>-6.7311134910243995E-3</v>
      </c>
      <c r="AJ655" s="61">
        <f ca="1"/>
        <v>8.326349905308698E-3</v>
      </c>
      <c r="AK655" s="61">
        <f ca="1"/>
        <v>-1.3613653261556589E-2</v>
      </c>
      <c r="AL655" s="19"/>
      <c r="AM655" s="61">
        <f t="shared" ca="1" si="142"/>
        <v>-6.3798971685141556E-3</v>
      </c>
      <c r="AN655" s="61">
        <f t="shared" ca="1" si="143"/>
        <v>8.5754025022252295E-3</v>
      </c>
      <c r="AO655" s="61">
        <f t="shared" ca="1" si="144"/>
        <v>-1.318198465830177E-2</v>
      </c>
      <c r="AP655" s="19"/>
      <c r="AQ655" s="62">
        <f t="shared" ca="1" si="139"/>
        <v>0.96655948996589303</v>
      </c>
      <c r="AR655" s="62">
        <f t="shared" ca="1" si="140"/>
        <v>1.489101082706928</v>
      </c>
      <c r="AS655" s="62">
        <f t="shared" ca="1" si="141"/>
        <v>0.57368394745430051</v>
      </c>
      <c r="AT655" s="49"/>
    </row>
    <row r="656" spans="1:46" x14ac:dyDescent="0.3">
      <c r="A656" s="5">
        <v>44413</v>
      </c>
      <c r="B656" s="6">
        <v>99.029999000000004</v>
      </c>
      <c r="C656" s="6">
        <v>124.529999</v>
      </c>
      <c r="D656" s="6">
        <v>65.709998999999996</v>
      </c>
      <c r="F656" s="13">
        <v>653</v>
      </c>
      <c r="G656" s="5">
        <v>44413</v>
      </c>
      <c r="H656" s="15">
        <f t="shared" si="137"/>
        <v>1.505772661268167E-2</v>
      </c>
      <c r="I656" s="15">
        <f t="shared" si="137"/>
        <v>1.0899942443966207E-2</v>
      </c>
      <c r="J656" s="15">
        <f t="shared" si="137"/>
        <v>2.3559470009681692E-2</v>
      </c>
      <c r="K656" s="22"/>
      <c r="L656" s="13">
        <v>653</v>
      </c>
      <c r="M656" s="5">
        <v>44413</v>
      </c>
      <c r="N656" s="26">
        <f t="shared" si="134"/>
        <v>1.7515033117880563</v>
      </c>
      <c r="O656" s="26">
        <f t="shared" si="135"/>
        <v>1.1810508027114794</v>
      </c>
      <c r="P656" s="26">
        <f t="shared" si="136"/>
        <v>0.86964003095923859</v>
      </c>
      <c r="Q656" s="22"/>
      <c r="AD656" s="59">
        <v>652</v>
      </c>
      <c r="AE656" s="61">
        <f t="shared" ca="1" si="138"/>
        <v>1.8054162210700375</v>
      </c>
      <c r="AF656" s="61">
        <f t="shared" ca="1" si="138"/>
        <v>0.30053253075374359</v>
      </c>
      <c r="AG656" s="61">
        <f t="shared" ca="1" si="138"/>
        <v>1.0610775899221774</v>
      </c>
      <c r="AH656" s="19"/>
      <c r="AI656" s="61">
        <f ca="1"/>
        <v>3.9149159557686393E-2</v>
      </c>
      <c r="AJ656" s="61">
        <f ca="1"/>
        <v>3.4791365156210591E-2</v>
      </c>
      <c r="AK656" s="61">
        <f ca="1"/>
        <v>5.597725928001776E-2</v>
      </c>
      <c r="AL656" s="19"/>
      <c r="AM656" s="61">
        <f t="shared" ca="1" si="142"/>
        <v>3.9500375880196635E-2</v>
      </c>
      <c r="AN656" s="61">
        <f t="shared" ca="1" si="143"/>
        <v>3.504041775312712E-2</v>
      </c>
      <c r="AO656" s="61">
        <f t="shared" ca="1" si="144"/>
        <v>5.6408927883272578E-2</v>
      </c>
      <c r="AP656" s="19"/>
      <c r="AQ656" s="62">
        <f t="shared" ca="1" si="139"/>
        <v>1.0055030319672158</v>
      </c>
      <c r="AR656" s="62">
        <f t="shared" ca="1" si="140"/>
        <v>1.5422047608377956</v>
      </c>
      <c r="AS656" s="62">
        <f t="shared" ca="1" si="141"/>
        <v>0.60697497227228325</v>
      </c>
      <c r="AT656" s="49"/>
    </row>
    <row r="657" spans="1:46" x14ac:dyDescent="0.3">
      <c r="A657" s="5">
        <v>44414</v>
      </c>
      <c r="B657" s="6">
        <v>99.790001000000004</v>
      </c>
      <c r="C657" s="6">
        <v>123.139999</v>
      </c>
      <c r="D657" s="6">
        <v>66.5</v>
      </c>
      <c r="F657" s="13">
        <v>654</v>
      </c>
      <c r="G657" s="5">
        <v>44414</v>
      </c>
      <c r="H657" s="15">
        <f t="shared" si="137"/>
        <v>7.6451634820041796E-3</v>
      </c>
      <c r="I657" s="15">
        <f t="shared" si="137"/>
        <v>-1.1224731340637553E-2</v>
      </c>
      <c r="J657" s="15">
        <f t="shared" si="137"/>
        <v>1.1950841970416006E-2</v>
      </c>
      <c r="K657" s="22"/>
      <c r="L657" s="13">
        <v>654</v>
      </c>
      <c r="M657" s="5">
        <v>44414</v>
      </c>
      <c r="N657" s="26">
        <f t="shared" si="134"/>
        <v>1.7649451580306836</v>
      </c>
      <c r="O657" s="26">
        <f t="shared" si="135"/>
        <v>1.1678679501542497</v>
      </c>
      <c r="P657" s="26">
        <f t="shared" si="136"/>
        <v>0.88009531180771083</v>
      </c>
      <c r="Q657" s="22"/>
      <c r="AD657" s="59">
        <v>653</v>
      </c>
      <c r="AE657" s="61">
        <f t="shared" ca="1" si="138"/>
        <v>-0.12275823350780532</v>
      </c>
      <c r="AF657" s="61">
        <f t="shared" ca="1" si="138"/>
        <v>-0.88668173111716031</v>
      </c>
      <c r="AG657" s="61">
        <f t="shared" ca="1" si="138"/>
        <v>-0.21343281090588359</v>
      </c>
      <c r="AH657" s="19"/>
      <c r="AI657" s="61">
        <f ca="1"/>
        <v>-2.6619244994754926E-3</v>
      </c>
      <c r="AJ657" s="61">
        <f ca="1"/>
        <v>-2.1194383077083531E-2</v>
      </c>
      <c r="AK657" s="61">
        <f ca="1"/>
        <v>-1.352638019589477E-2</v>
      </c>
      <c r="AL657" s="19"/>
      <c r="AM657" s="61">
        <f t="shared" ca="1" si="142"/>
        <v>-2.3107081769652483E-3</v>
      </c>
      <c r="AN657" s="61">
        <f t="shared" ca="1" si="143"/>
        <v>-2.0945330480167001E-2</v>
      </c>
      <c r="AO657" s="61">
        <f t="shared" ca="1" si="144"/>
        <v>-1.3094711592639951E-2</v>
      </c>
      <c r="AP657" s="19"/>
      <c r="AQ657" s="62">
        <f t="shared" ca="1" si="139"/>
        <v>1.0031822902003831</v>
      </c>
      <c r="AR657" s="62">
        <f t="shared" ca="1" si="140"/>
        <v>1.5102387108300048</v>
      </c>
      <c r="AS657" s="62">
        <f t="shared" ca="1" si="141"/>
        <v>0.59907862310680071</v>
      </c>
      <c r="AT657" s="49"/>
    </row>
    <row r="658" spans="1:46" x14ac:dyDescent="0.3">
      <c r="A658" s="5">
        <v>44417</v>
      </c>
      <c r="B658" s="6">
        <v>99.510002</v>
      </c>
      <c r="C658" s="6">
        <v>120.730003</v>
      </c>
      <c r="D658" s="6">
        <v>66</v>
      </c>
      <c r="F658" s="13">
        <v>655</v>
      </c>
      <c r="G658" s="5">
        <v>44417</v>
      </c>
      <c r="H658" s="15">
        <f t="shared" si="137"/>
        <v>-2.8098261917122646E-3</v>
      </c>
      <c r="I658" s="15">
        <f t="shared" si="137"/>
        <v>-1.9765239169094034E-2</v>
      </c>
      <c r="J658" s="15">
        <f t="shared" si="137"/>
        <v>-7.5472056353829663E-3</v>
      </c>
      <c r="K658" s="22"/>
      <c r="L658" s="13">
        <v>655</v>
      </c>
      <c r="M658" s="5">
        <v>44417</v>
      </c>
      <c r="N658" s="26">
        <f t="shared" si="134"/>
        <v>1.7599929296074828</v>
      </c>
      <c r="O658" s="26">
        <f t="shared" si="135"/>
        <v>1.1450113876135928</v>
      </c>
      <c r="P658" s="26">
        <f t="shared" si="136"/>
        <v>0.87347805382419419</v>
      </c>
      <c r="Q658" s="22"/>
      <c r="AD658" s="59">
        <v>654</v>
      </c>
      <c r="AE658" s="61">
        <f t="shared" ca="1" si="138"/>
        <v>-0.18347083204670214</v>
      </c>
      <c r="AF658" s="61">
        <f t="shared" ca="1" si="138"/>
        <v>1.080453823427751</v>
      </c>
      <c r="AG658" s="61">
        <f t="shared" ca="1" si="138"/>
        <v>-1.3011120294210712</v>
      </c>
      <c r="AH658" s="19"/>
      <c r="AI658" s="61">
        <f ca="1"/>
        <v>-3.9784337784008342E-3</v>
      </c>
      <c r="AJ658" s="61">
        <f ca="1"/>
        <v>2.0613015873956038E-2</v>
      </c>
      <c r="AK658" s="61">
        <f ca="1"/>
        <v>-2.843625994932017E-2</v>
      </c>
      <c r="AL658" s="19"/>
      <c r="AM658" s="61">
        <f t="shared" ca="1" si="142"/>
        <v>-3.6272174558905899E-3</v>
      </c>
      <c r="AN658" s="61">
        <f t="shared" ca="1" si="143"/>
        <v>2.0862068470872568E-2</v>
      </c>
      <c r="AO658" s="61">
        <f t="shared" ca="1" si="144"/>
        <v>-2.8004591346065352E-2</v>
      </c>
      <c r="AP658" s="19"/>
      <c r="AQ658" s="62">
        <f t="shared" ca="1" si="139"/>
        <v>0.99955012120160636</v>
      </c>
      <c r="AR658" s="62">
        <f t="shared" ca="1" si="140"/>
        <v>1.5420763591162316</v>
      </c>
      <c r="AS658" s="62">
        <f t="shared" ca="1" si="141"/>
        <v>0.58253440928515365</v>
      </c>
      <c r="AT658" s="49"/>
    </row>
    <row r="659" spans="1:46" x14ac:dyDescent="0.3">
      <c r="A659" s="5">
        <v>44418</v>
      </c>
      <c r="B659" s="6">
        <v>100.389999</v>
      </c>
      <c r="C659" s="6">
        <v>120.989998</v>
      </c>
      <c r="D659" s="6">
        <v>66.900002000000001</v>
      </c>
      <c r="F659" s="13">
        <v>656</v>
      </c>
      <c r="G659" s="5">
        <v>44418</v>
      </c>
      <c r="H659" s="15">
        <f t="shared" si="137"/>
        <v>8.804429016730498E-3</v>
      </c>
      <c r="I659" s="15">
        <f t="shared" si="137"/>
        <v>2.1512088299626129E-3</v>
      </c>
      <c r="J659" s="15">
        <f t="shared" si="137"/>
        <v>1.3544255003123028E-2</v>
      </c>
      <c r="K659" s="22"/>
      <c r="L659" s="13">
        <v>656</v>
      </c>
      <c r="M659" s="5">
        <v>44418</v>
      </c>
      <c r="N659" s="26">
        <f t="shared" si="134"/>
        <v>1.7755570786070558</v>
      </c>
      <c r="O659" s="26">
        <f t="shared" si="135"/>
        <v>1.1474771975061229</v>
      </c>
      <c r="P659" s="26">
        <f t="shared" si="136"/>
        <v>0.88538914466355612</v>
      </c>
      <c r="Q659" s="22"/>
      <c r="AD659" s="59">
        <v>655</v>
      </c>
      <c r="AE659" s="61">
        <f t="shared" ca="1" si="138"/>
        <v>-0.2370927088847973</v>
      </c>
      <c r="AF659" s="61">
        <f t="shared" ca="1" si="138"/>
        <v>1.2429927431940211</v>
      </c>
      <c r="AG659" s="61">
        <f t="shared" ca="1" si="138"/>
        <v>0.25541586215091761</v>
      </c>
      <c r="AH659" s="19"/>
      <c r="AI659" s="61">
        <f ca="1"/>
        <v>-5.1411858283813127E-3</v>
      </c>
      <c r="AJ659" s="61">
        <f ca="1"/>
        <v>2.3306656960606284E-2</v>
      </c>
      <c r="AK659" s="61">
        <f ca="1"/>
        <v>1.1794296204523096E-2</v>
      </c>
      <c r="AL659" s="19"/>
      <c r="AM659" s="61">
        <f t="shared" ca="1" si="142"/>
        <v>-4.7899695058710688E-3</v>
      </c>
      <c r="AN659" s="61">
        <f t="shared" ca="1" si="143"/>
        <v>2.3555709557522814E-2</v>
      </c>
      <c r="AO659" s="61">
        <f t="shared" ca="1" si="144"/>
        <v>1.2225964807777915E-2</v>
      </c>
      <c r="AP659" s="19"/>
      <c r="AQ659" s="62">
        <f t="shared" ca="1" si="139"/>
        <v>0.99477375505788168</v>
      </c>
      <c r="AR659" s="62">
        <f t="shared" ca="1" si="140"/>
        <v>1.5788322681546751</v>
      </c>
      <c r="AS659" s="62">
        <f t="shared" ca="1" si="141"/>
        <v>0.58970016937995529</v>
      </c>
      <c r="AT659" s="49"/>
    </row>
    <row r="660" spans="1:46" x14ac:dyDescent="0.3">
      <c r="A660" s="5">
        <v>44419</v>
      </c>
      <c r="B660" s="6">
        <v>101.5</v>
      </c>
      <c r="C660" s="6">
        <v>122.769997</v>
      </c>
      <c r="D660" s="6">
        <v>66.839995999999999</v>
      </c>
      <c r="F660" s="13">
        <v>657</v>
      </c>
      <c r="G660" s="5">
        <v>44419</v>
      </c>
      <c r="H660" s="15">
        <f t="shared" si="137"/>
        <v>1.0996207739558419E-2</v>
      </c>
      <c r="I660" s="15">
        <f t="shared" si="137"/>
        <v>1.4604780733716669E-2</v>
      </c>
      <c r="J660" s="15">
        <f t="shared" si="137"/>
        <v>-8.9735314676190302E-4</v>
      </c>
      <c r="K660" s="22"/>
      <c r="L660" s="13">
        <v>657</v>
      </c>
      <c r="M660" s="5">
        <v>44419</v>
      </c>
      <c r="N660" s="26">
        <f t="shared" si="134"/>
        <v>1.7951892148003323</v>
      </c>
      <c r="O660" s="26">
        <f t="shared" si="135"/>
        <v>1.1643588265485807</v>
      </c>
      <c r="P660" s="26">
        <f t="shared" si="136"/>
        <v>0.88459499429843824</v>
      </c>
      <c r="Q660" s="22"/>
      <c r="AD660" s="59">
        <v>656</v>
      </c>
      <c r="AE660" s="61">
        <f t="shared" ca="1" si="138"/>
        <v>-1.0256417199856531</v>
      </c>
      <c r="AF660" s="61">
        <f t="shared" ca="1" si="138"/>
        <v>-0.6595298838141993</v>
      </c>
      <c r="AG660" s="61">
        <f t="shared" ca="1" si="138"/>
        <v>0.54403632215461184</v>
      </c>
      <c r="AH660" s="19"/>
      <c r="AI660" s="61">
        <f ca="1"/>
        <v>-2.2240307180213702E-2</v>
      </c>
      <c r="AJ660" s="61">
        <f ca="1"/>
        <v>-3.0389243954322548E-2</v>
      </c>
      <c r="AK660" s="61">
        <f ca="1"/>
        <v>-5.8609435921783953E-3</v>
      </c>
      <c r="AL660" s="19"/>
      <c r="AM660" s="61">
        <f t="shared" ca="1" si="142"/>
        <v>-2.1889090857703457E-2</v>
      </c>
      <c r="AN660" s="61">
        <f t="shared" ca="1" si="143"/>
        <v>-3.0140191357406018E-2</v>
      </c>
      <c r="AO660" s="61">
        <f t="shared" ca="1" si="144"/>
        <v>-5.4292749889235771E-3</v>
      </c>
      <c r="AP660" s="19"/>
      <c r="AQ660" s="62">
        <f t="shared" ca="1" si="139"/>
        <v>0.97323564671584106</v>
      </c>
      <c r="AR660" s="62">
        <f t="shared" ca="1" si="140"/>
        <v>1.531955940815195</v>
      </c>
      <c r="AS660" s="62">
        <f t="shared" ca="1" si="141"/>
        <v>0.58650720059542283</v>
      </c>
      <c r="AT660" s="49"/>
    </row>
    <row r="661" spans="1:46" x14ac:dyDescent="0.3">
      <c r="A661" s="5">
        <v>44420</v>
      </c>
      <c r="B661" s="6">
        <v>102.57</v>
      </c>
      <c r="C661" s="6">
        <v>124.209999</v>
      </c>
      <c r="D661" s="6">
        <v>67.25</v>
      </c>
      <c r="F661" s="13">
        <v>658</v>
      </c>
      <c r="G661" s="5">
        <v>44420</v>
      </c>
      <c r="H661" s="15">
        <f t="shared" si="137"/>
        <v>1.0486693837477599E-2</v>
      </c>
      <c r="I661" s="15">
        <f t="shared" si="137"/>
        <v>1.1661011748409562E-2</v>
      </c>
      <c r="J661" s="15">
        <f t="shared" si="137"/>
        <v>6.1153745991618805E-3</v>
      </c>
      <c r="K661" s="22"/>
      <c r="L661" s="13">
        <v>658</v>
      </c>
      <c r="M661" s="5">
        <v>44420</v>
      </c>
      <c r="N661" s="26">
        <f t="shared" si="134"/>
        <v>1.8141138695770451</v>
      </c>
      <c r="O661" s="26">
        <f t="shared" si="135"/>
        <v>1.1780159014033402</v>
      </c>
      <c r="P661" s="26">
        <f t="shared" si="136"/>
        <v>0.8900211987829858</v>
      </c>
      <c r="Q661" s="22"/>
      <c r="AD661" s="59">
        <v>657</v>
      </c>
      <c r="AE661" s="61">
        <f t="shared" ca="1" si="138"/>
        <v>1.3975803682423493</v>
      </c>
      <c r="AF661" s="61">
        <f t="shared" ca="1" si="138"/>
        <v>-0.62585558468506164</v>
      </c>
      <c r="AG661" s="61">
        <f t="shared" ca="1" si="138"/>
        <v>0.60386577175928713</v>
      </c>
      <c r="AH661" s="19"/>
      <c r="AI661" s="61">
        <f ca="1"/>
        <v>3.0305530764856974E-2</v>
      </c>
      <c r="AJ661" s="61">
        <f ca="1"/>
        <v>8.2717921797602519E-3</v>
      </c>
      <c r="AK661" s="61">
        <f ca="1"/>
        <v>3.1713463716766484E-2</v>
      </c>
      <c r="AL661" s="19"/>
      <c r="AM661" s="61">
        <f t="shared" ca="1" si="142"/>
        <v>3.0656747087367219E-2</v>
      </c>
      <c r="AN661" s="61">
        <f t="shared" ca="1" si="143"/>
        <v>8.5208447766767833E-3</v>
      </c>
      <c r="AO661" s="61">
        <f t="shared" ca="1" si="144"/>
        <v>3.2145132320021301E-2</v>
      </c>
      <c r="AP661" s="19"/>
      <c r="AQ661" s="62">
        <f t="shared" ca="1" si="139"/>
        <v>1.0035339363801921</v>
      </c>
      <c r="AR661" s="62">
        <f t="shared" ca="1" si="140"/>
        <v>1.5450652715612014</v>
      </c>
      <c r="AS661" s="62">
        <f t="shared" ca="1" si="141"/>
        <v>0.60566684705855822</v>
      </c>
      <c r="AT661" s="49"/>
    </row>
    <row r="662" spans="1:46" x14ac:dyDescent="0.3">
      <c r="A662" s="5">
        <v>44421</v>
      </c>
      <c r="B662" s="6">
        <v>103.58000199999999</v>
      </c>
      <c r="C662" s="6">
        <v>124.449997</v>
      </c>
      <c r="D662" s="6">
        <v>66.25</v>
      </c>
      <c r="F662" s="13">
        <v>659</v>
      </c>
      <c r="G662" s="5">
        <v>44421</v>
      </c>
      <c r="H662" s="15">
        <f t="shared" si="137"/>
        <v>9.7987879851724868E-3</v>
      </c>
      <c r="I662" s="15">
        <f t="shared" si="137"/>
        <v>1.9303312023131807E-3</v>
      </c>
      <c r="J662" s="15">
        <f t="shared" si="137"/>
        <v>-1.4981553615616946E-2</v>
      </c>
      <c r="K662" s="22"/>
      <c r="L662" s="13">
        <v>659</v>
      </c>
      <c r="M662" s="5">
        <v>44421</v>
      </c>
      <c r="N662" s="26">
        <f t="shared" si="134"/>
        <v>1.8319773641319885</v>
      </c>
      <c r="O662" s="26">
        <f t="shared" si="135"/>
        <v>1.1802920584163115</v>
      </c>
      <c r="P662" s="26">
        <f t="shared" si="136"/>
        <v>0.87678668281595251</v>
      </c>
      <c r="Q662" s="22"/>
      <c r="AD662" s="59">
        <v>658</v>
      </c>
      <c r="AE662" s="61">
        <f t="shared" ca="1" si="138"/>
        <v>0.72695838615533492</v>
      </c>
      <c r="AF662" s="61">
        <f t="shared" ca="1" si="138"/>
        <v>4.1948795439012004E-2</v>
      </c>
      <c r="AG662" s="61">
        <f t="shared" ca="1" si="138"/>
        <v>-2.4508570521866675E-2</v>
      </c>
      <c r="AH662" s="19"/>
      <c r="AI662" s="61">
        <f ca="1"/>
        <v>1.5763572698225672E-2</v>
      </c>
      <c r="AJ662" s="61">
        <f ca="1"/>
        <v>1.2290398068849476E-2</v>
      </c>
      <c r="AK662" s="61">
        <f ca="1"/>
        <v>1.040872138116926E-2</v>
      </c>
      <c r="AL662" s="19"/>
      <c r="AM662" s="61">
        <f t="shared" ca="1" si="142"/>
        <v>1.6114789020735917E-2</v>
      </c>
      <c r="AN662" s="61">
        <f t="shared" ca="1" si="143"/>
        <v>1.2539450665766007E-2</v>
      </c>
      <c r="AO662" s="61">
        <f t="shared" ca="1" si="144"/>
        <v>1.0840389984424079E-2</v>
      </c>
      <c r="AP662" s="19"/>
      <c r="AQ662" s="62">
        <f t="shared" ca="1" si="139"/>
        <v>1.0198366788693942</v>
      </c>
      <c r="AR662" s="62">
        <f t="shared" ca="1" si="140"/>
        <v>1.5645615219828346</v>
      </c>
      <c r="AS662" s="62">
        <f t="shared" ca="1" si="141"/>
        <v>0.61226822800714165</v>
      </c>
      <c r="AT662" s="49"/>
    </row>
    <row r="663" spans="1:46" x14ac:dyDescent="0.3">
      <c r="A663" s="5">
        <v>44424</v>
      </c>
      <c r="B663" s="6">
        <v>103.790001</v>
      </c>
      <c r="C663" s="6">
        <v>122.5</v>
      </c>
      <c r="D663" s="6">
        <v>64.540001000000004</v>
      </c>
      <c r="F663" s="13">
        <v>660</v>
      </c>
      <c r="G663" s="5">
        <v>44424</v>
      </c>
      <c r="H663" s="15">
        <f t="shared" si="137"/>
        <v>2.0253563075451771E-3</v>
      </c>
      <c r="I663" s="15">
        <f t="shared" si="137"/>
        <v>-1.5792974722752338E-2</v>
      </c>
      <c r="J663" s="15">
        <f t="shared" si="137"/>
        <v>-2.6150262748248724E-2</v>
      </c>
      <c r="K663" s="22"/>
      <c r="L663" s="13">
        <v>660</v>
      </c>
      <c r="M663" s="5">
        <v>44424</v>
      </c>
      <c r="N663" s="26">
        <f t="shared" si="134"/>
        <v>1.8356915310277411</v>
      </c>
      <c r="O663" s="26">
        <f t="shared" si="135"/>
        <v>1.1617981570220379</v>
      </c>
      <c r="P663" s="26">
        <f t="shared" si="136"/>
        <v>0.85415567374684165</v>
      </c>
      <c r="Q663" s="22"/>
      <c r="AD663" s="59">
        <v>659</v>
      </c>
      <c r="AE663" s="61">
        <f t="shared" ca="1" si="138"/>
        <v>1.4473976108455477</v>
      </c>
      <c r="AF663" s="61">
        <f t="shared" ca="1" si="138"/>
        <v>0.79134825922915331</v>
      </c>
      <c r="AG663" s="61">
        <f t="shared" ca="1" si="138"/>
        <v>-1.7850806320976818</v>
      </c>
      <c r="AH663" s="19"/>
      <c r="AI663" s="61">
        <f ca="1"/>
        <v>3.138578204244917E-2</v>
      </c>
      <c r="AJ663" s="61">
        <f ca="1"/>
        <v>3.9855916206574346E-2</v>
      </c>
      <c r="AK663" s="61">
        <f ca="1"/>
        <v>-1.8774556605262772E-2</v>
      </c>
      <c r="AL663" s="19"/>
      <c r="AM663" s="61">
        <f t="shared" ca="1" si="142"/>
        <v>3.1736998364959412E-2</v>
      </c>
      <c r="AN663" s="61">
        <f t="shared" ca="1" si="143"/>
        <v>4.0104968803490876E-2</v>
      </c>
      <c r="AO663" s="61">
        <f t="shared" ca="1" si="144"/>
        <v>-1.8342888002007954E-2</v>
      </c>
      <c r="AP663" s="19"/>
      <c r="AQ663" s="62">
        <f t="shared" ca="1" si="139"/>
        <v>1.0527223193821231</v>
      </c>
      <c r="AR663" s="62">
        <f t="shared" ca="1" si="140"/>
        <v>1.6285834304487361</v>
      </c>
      <c r="AS663" s="62">
        <f t="shared" ca="1" si="141"/>
        <v>0.60113983591971532</v>
      </c>
      <c r="AT663" s="49"/>
    </row>
    <row r="664" spans="1:46" x14ac:dyDescent="0.3">
      <c r="A664" s="5">
        <v>44425</v>
      </c>
      <c r="B664" s="6">
        <v>103.239998</v>
      </c>
      <c r="C664" s="6">
        <v>119.209999</v>
      </c>
      <c r="D664" s="6">
        <v>63.509998000000003</v>
      </c>
      <c r="F664" s="13">
        <v>661</v>
      </c>
      <c r="G664" s="5">
        <v>44425</v>
      </c>
      <c r="H664" s="15">
        <f t="shared" si="137"/>
        <v>-5.3132811339605601E-3</v>
      </c>
      <c r="I664" s="15">
        <f t="shared" si="137"/>
        <v>-2.7224394643429538E-2</v>
      </c>
      <c r="J664" s="15">
        <f t="shared" si="137"/>
        <v>-1.6087859794303536E-2</v>
      </c>
      <c r="K664" s="22"/>
      <c r="L664" s="13">
        <v>661</v>
      </c>
      <c r="M664" s="5">
        <v>44425</v>
      </c>
      <c r="N664" s="26">
        <f t="shared" si="134"/>
        <v>1.8259638516808658</v>
      </c>
      <c r="O664" s="26">
        <f t="shared" si="135"/>
        <v>1.130595568463665</v>
      </c>
      <c r="P664" s="26">
        <f t="shared" si="136"/>
        <v>0.84052408259724953</v>
      </c>
      <c r="Q664" s="22"/>
      <c r="AD664" s="59">
        <v>660</v>
      </c>
      <c r="AE664" s="61">
        <f t="shared" ca="1" si="138"/>
        <v>0.31011303658093903</v>
      </c>
      <c r="AF664" s="61">
        <f t="shared" ca="1" si="138"/>
        <v>4.5951920602899231E-2</v>
      </c>
      <c r="AG664" s="61">
        <f t="shared" ca="1" si="138"/>
        <v>-1.3488002390738358</v>
      </c>
      <c r="AH664" s="19"/>
      <c r="AI664" s="61">
        <f ca="1"/>
        <v>6.7245794118490129E-3</v>
      </c>
      <c r="AJ664" s="61">
        <f ca="1"/>
        <v>5.8528057968603988E-3</v>
      </c>
      <c r="AK664" s="61">
        <f ca="1"/>
        <v>-2.9650497531896174E-2</v>
      </c>
      <c r="AL664" s="19"/>
      <c r="AM664" s="61">
        <f t="shared" ca="1" si="142"/>
        <v>7.0757957343592567E-3</v>
      </c>
      <c r="AN664" s="61">
        <f t="shared" ca="1" si="143"/>
        <v>6.1018583937769294E-3</v>
      </c>
      <c r="AO664" s="61">
        <f t="shared" ca="1" si="144"/>
        <v>-2.9218828928641357E-2</v>
      </c>
      <c r="AP664" s="19"/>
      <c r="AQ664" s="62">
        <f t="shared" ca="1" si="139"/>
        <v>1.0601975830097456</v>
      </c>
      <c r="AR664" s="62">
        <f t="shared" ca="1" si="140"/>
        <v>1.638551195943365</v>
      </c>
      <c r="AS664" s="62">
        <f t="shared" ca="1" si="141"/>
        <v>0.58382936132584118</v>
      </c>
      <c r="AT664" s="49"/>
    </row>
    <row r="665" spans="1:46" x14ac:dyDescent="0.3">
      <c r="A665" s="5">
        <v>44426</v>
      </c>
      <c r="B665" s="6">
        <v>101.80999799999999</v>
      </c>
      <c r="C665" s="6">
        <v>116.290001</v>
      </c>
      <c r="D665" s="6">
        <v>62.240001999999997</v>
      </c>
      <c r="F665" s="13">
        <v>662</v>
      </c>
      <c r="G665" s="5">
        <v>44426</v>
      </c>
      <c r="H665" s="15">
        <f t="shared" si="137"/>
        <v>-1.3948044003408225E-2</v>
      </c>
      <c r="I665" s="15">
        <f t="shared" si="137"/>
        <v>-2.4799555437208576E-2</v>
      </c>
      <c r="J665" s="15">
        <f t="shared" si="137"/>
        <v>-2.0199430319967539E-2</v>
      </c>
      <c r="K665" s="22"/>
      <c r="L665" s="13">
        <v>662</v>
      </c>
      <c r="M665" s="5">
        <v>44426</v>
      </c>
      <c r="N665" s="26">
        <f t="shared" si="134"/>
        <v>1.8006720233344178</v>
      </c>
      <c r="O665" s="26">
        <f t="shared" si="135"/>
        <v>1.1029021129950283</v>
      </c>
      <c r="P665" s="26">
        <f t="shared" si="136"/>
        <v>0.82371630025718112</v>
      </c>
      <c r="Q665" s="22"/>
      <c r="AD665" s="59">
        <v>661</v>
      </c>
      <c r="AE665" s="61">
        <f t="shared" ca="1" si="138"/>
        <v>1.3842276032161973</v>
      </c>
      <c r="AF665" s="61">
        <f t="shared" ca="1" si="138"/>
        <v>0.62790175468584219</v>
      </c>
      <c r="AG665" s="61">
        <f t="shared" ca="1" si="138"/>
        <v>-0.31475473334562748</v>
      </c>
      <c r="AH665" s="19"/>
      <c r="AI665" s="61">
        <f ca="1"/>
        <v>3.0015985604885335E-2</v>
      </c>
      <c r="AJ665" s="61">
        <f ca="1"/>
        <v>3.5314481799469666E-2</v>
      </c>
      <c r="AK665" s="61">
        <f ca="1"/>
        <v>1.681068998236868E-2</v>
      </c>
      <c r="AL665" s="19"/>
      <c r="AM665" s="61">
        <f t="shared" ca="1" si="142"/>
        <v>3.036720192739558E-2</v>
      </c>
      <c r="AN665" s="61">
        <f t="shared" ca="1" si="143"/>
        <v>3.5563534396386196E-2</v>
      </c>
      <c r="AO665" s="61">
        <f t="shared" ca="1" si="144"/>
        <v>1.7242358585623497E-2</v>
      </c>
      <c r="AP665" s="19"/>
      <c r="AQ665" s="62">
        <f t="shared" ca="1" si="139"/>
        <v>1.0928866427086799</v>
      </c>
      <c r="AR665" s="62">
        <f t="shared" ca="1" si="140"/>
        <v>1.6978724523768287</v>
      </c>
      <c r="AS665" s="62">
        <f t="shared" ca="1" si="141"/>
        <v>0.59398324340427688</v>
      </c>
      <c r="AT665" s="49"/>
    </row>
    <row r="666" spans="1:46" x14ac:dyDescent="0.3">
      <c r="A666" s="5">
        <v>44427</v>
      </c>
      <c r="B666" s="6">
        <v>101.629997</v>
      </c>
      <c r="C666" s="6">
        <v>114.860001</v>
      </c>
      <c r="D666" s="6">
        <v>60.240001999999997</v>
      </c>
      <c r="F666" s="13">
        <v>663</v>
      </c>
      <c r="G666" s="5">
        <v>44427</v>
      </c>
      <c r="H666" s="15">
        <f t="shared" si="137"/>
        <v>-1.7695738438366262E-3</v>
      </c>
      <c r="I666" s="15">
        <f t="shared" si="137"/>
        <v>-1.2373075761741998E-2</v>
      </c>
      <c r="J666" s="15">
        <f t="shared" si="137"/>
        <v>-3.2661295311642954E-2</v>
      </c>
      <c r="K666" s="22"/>
      <c r="L666" s="13">
        <v>663</v>
      </c>
      <c r="M666" s="5">
        <v>44427</v>
      </c>
      <c r="N666" s="26">
        <f t="shared" si="134"/>
        <v>1.797488418862957</v>
      </c>
      <c r="O666" s="26">
        <f t="shared" si="135"/>
        <v>1.089339897774281</v>
      </c>
      <c r="P666" s="26">
        <f t="shared" si="136"/>
        <v>0.79724726832311454</v>
      </c>
      <c r="Q666" s="22"/>
      <c r="AD666" s="59">
        <v>662</v>
      </c>
      <c r="AE666" s="61">
        <f t="shared" ca="1" si="138"/>
        <v>0.73816339569528167</v>
      </c>
      <c r="AF666" s="61">
        <f t="shared" ca="1" si="138"/>
        <v>-2.3510618930048506</v>
      </c>
      <c r="AG666" s="61">
        <f t="shared" ca="1" si="138"/>
        <v>-1.34314003053229</v>
      </c>
      <c r="AH666" s="19"/>
      <c r="AI666" s="61">
        <f ca="1"/>
        <v>1.6006545316509108E-2</v>
      </c>
      <c r="AJ666" s="61">
        <f ca="1"/>
        <v>-3.9548739805744984E-2</v>
      </c>
      <c r="AK666" s="61">
        <f ca="1"/>
        <v>-4.0061680982308813E-2</v>
      </c>
      <c r="AL666" s="19"/>
      <c r="AM666" s="61">
        <f t="shared" ca="1" si="142"/>
        <v>1.6357761639019353E-2</v>
      </c>
      <c r="AN666" s="61">
        <f t="shared" ca="1" si="143"/>
        <v>-3.9299687208828454E-2</v>
      </c>
      <c r="AO666" s="61">
        <f t="shared" ca="1" si="144"/>
        <v>-3.9630012379053996E-2</v>
      </c>
      <c r="AP666" s="19"/>
      <c r="AQ666" s="62">
        <f t="shared" ca="1" si="139"/>
        <v>1.1109108377494243</v>
      </c>
      <c r="AR666" s="62">
        <f t="shared" ca="1" si="140"/>
        <v>1.6324407401904373</v>
      </c>
      <c r="AS666" s="62">
        <f t="shared" ca="1" si="141"/>
        <v>0.57090401564386339</v>
      </c>
      <c r="AT666" s="49"/>
    </row>
    <row r="667" spans="1:46" x14ac:dyDescent="0.3">
      <c r="A667" s="5">
        <v>44428</v>
      </c>
      <c r="B667" s="6">
        <v>102.07</v>
      </c>
      <c r="C667" s="6">
        <v>116.269997</v>
      </c>
      <c r="D667" s="6">
        <v>60.200001</v>
      </c>
      <c r="F667" s="13">
        <v>664</v>
      </c>
      <c r="G667" s="5">
        <v>44428</v>
      </c>
      <c r="H667" s="15">
        <f t="shared" si="137"/>
        <v>4.3201147845751443E-3</v>
      </c>
      <c r="I667" s="15">
        <f t="shared" si="137"/>
        <v>1.2201042736102495E-2</v>
      </c>
      <c r="J667" s="15">
        <f t="shared" si="137"/>
        <v>-6.6424776609781298E-4</v>
      </c>
      <c r="K667" s="22"/>
      <c r="L667" s="13">
        <v>664</v>
      </c>
      <c r="M667" s="5">
        <v>44428</v>
      </c>
      <c r="N667" s="26">
        <f t="shared" si="134"/>
        <v>1.805270572952413</v>
      </c>
      <c r="O667" s="26">
        <f t="shared" si="135"/>
        <v>1.1027123937270031</v>
      </c>
      <c r="P667" s="26">
        <f t="shared" si="136"/>
        <v>0.79671787444991737</v>
      </c>
      <c r="Q667" s="22"/>
      <c r="AD667" s="59">
        <v>663</v>
      </c>
      <c r="AE667" s="61">
        <f t="shared" ca="1" si="138"/>
        <v>-1.956254316311955</v>
      </c>
      <c r="AF667" s="61">
        <f t="shared" ca="1" si="138"/>
        <v>-0.20550438675419319</v>
      </c>
      <c r="AG667" s="61">
        <f t="shared" ca="1" si="138"/>
        <v>-1.9285800366844357</v>
      </c>
      <c r="AH667" s="19"/>
      <c r="AI667" s="61">
        <f ca="1"/>
        <v>-4.2419975776731678E-2</v>
      </c>
      <c r="AJ667" s="61">
        <f ca="1"/>
        <v>-3.5086800582201282E-2</v>
      </c>
      <c r="AK667" s="61">
        <f ca="1"/>
        <v>-7.9762116281343928E-2</v>
      </c>
      <c r="AL667" s="19"/>
      <c r="AM667" s="61">
        <f t="shared" ca="1" si="142"/>
        <v>-4.2068759454221435E-2</v>
      </c>
      <c r="AN667" s="61">
        <f t="shared" ca="1" si="143"/>
        <v>-3.4837747985284752E-2</v>
      </c>
      <c r="AO667" s="61">
        <f t="shared" ca="1" si="144"/>
        <v>-7.9330447678089111E-2</v>
      </c>
      <c r="AP667" s="19"/>
      <c r="AQ667" s="62">
        <f t="shared" ca="1" si="139"/>
        <v>1.0651455898809703</v>
      </c>
      <c r="AR667" s="62">
        <f t="shared" ca="1" si="140"/>
        <v>1.576549398012749</v>
      </c>
      <c r="AS667" s="62">
        <f t="shared" ca="1" si="141"/>
        <v>0.52736380853881892</v>
      </c>
      <c r="AT667" s="49"/>
    </row>
    <row r="668" spans="1:46" x14ac:dyDescent="0.3">
      <c r="A668" s="5">
        <v>44431</v>
      </c>
      <c r="B668" s="6">
        <v>102.199997</v>
      </c>
      <c r="C668" s="6">
        <v>118.260002</v>
      </c>
      <c r="D668" s="6">
        <v>63.110000999999997</v>
      </c>
      <c r="F668" s="13">
        <v>665</v>
      </c>
      <c r="G668" s="5">
        <v>44431</v>
      </c>
      <c r="H668" s="15">
        <f t="shared" si="137"/>
        <v>1.2727959999891687E-3</v>
      </c>
      <c r="I668" s="15">
        <f t="shared" si="137"/>
        <v>1.6970560426068784E-2</v>
      </c>
      <c r="J668" s="15">
        <f t="shared" si="137"/>
        <v>4.720688251542652E-2</v>
      </c>
      <c r="K668" s="22"/>
      <c r="L668" s="13">
        <v>665</v>
      </c>
      <c r="M668" s="5">
        <v>44431</v>
      </c>
      <c r="N668" s="26">
        <f t="shared" si="134"/>
        <v>1.8075697770150376</v>
      </c>
      <c r="O668" s="26">
        <f t="shared" si="135"/>
        <v>1.1215857336573267</v>
      </c>
      <c r="P668" s="26">
        <f t="shared" si="136"/>
        <v>0.835230315913984</v>
      </c>
      <c r="Q668" s="22"/>
      <c r="AD668" s="59">
        <v>664</v>
      </c>
      <c r="AE668" s="61">
        <f t="shared" ca="1" si="138"/>
        <v>0.66017210862531428</v>
      </c>
      <c r="AF668" s="61">
        <f t="shared" ca="1" si="138"/>
        <v>-0.10045188692958891</v>
      </c>
      <c r="AG668" s="61">
        <f t="shared" ca="1" si="138"/>
        <v>1.7315723425727507</v>
      </c>
      <c r="AH668" s="19"/>
      <c r="AI668" s="61">
        <f ca="1"/>
        <v>1.4315360034146992E-2</v>
      </c>
      <c r="AJ668" s="61">
        <f ca="1"/>
        <v>8.1498129447105799E-3</v>
      </c>
      <c r="AK668" s="61">
        <f ca="1"/>
        <v>5.3409780622060463E-2</v>
      </c>
      <c r="AL668" s="19"/>
      <c r="AM668" s="61">
        <f t="shared" ca="1" si="142"/>
        <v>1.4666576356657236E-2</v>
      </c>
      <c r="AN668" s="61">
        <f t="shared" ca="1" si="143"/>
        <v>8.3988655416271114E-3</v>
      </c>
      <c r="AO668" s="61">
        <f t="shared" ca="1" si="144"/>
        <v>5.384144922531528E-2</v>
      </c>
      <c r="AP668" s="19"/>
      <c r="AQ668" s="62">
        <f t="shared" ca="1" si="139"/>
        <v>1.0808827520525115</v>
      </c>
      <c r="AR668" s="62">
        <f t="shared" ca="1" si="140"/>
        <v>1.589846386068706</v>
      </c>
      <c r="AS668" s="62">
        <f t="shared" ca="1" si="141"/>
        <v>0.55653613341592079</v>
      </c>
      <c r="AT668" s="49"/>
    </row>
    <row r="669" spans="1:46" x14ac:dyDescent="0.3">
      <c r="A669" s="5">
        <v>44432</v>
      </c>
      <c r="B669" s="6">
        <v>102.779999</v>
      </c>
      <c r="C669" s="6">
        <v>120.5</v>
      </c>
      <c r="D669" s="6">
        <v>65.230002999999996</v>
      </c>
      <c r="F669" s="13">
        <v>666</v>
      </c>
      <c r="G669" s="5">
        <v>44432</v>
      </c>
      <c r="H669" s="15">
        <f t="shared" si="137"/>
        <v>5.6591234191679905E-3</v>
      </c>
      <c r="I669" s="15">
        <f t="shared" si="137"/>
        <v>1.8764145626137034E-2</v>
      </c>
      <c r="J669" s="15">
        <f t="shared" si="137"/>
        <v>3.3040280357614624E-2</v>
      </c>
      <c r="K669" s="22"/>
      <c r="L669" s="13">
        <v>666</v>
      </c>
      <c r="M669" s="5">
        <v>44432</v>
      </c>
      <c r="N669" s="26">
        <f t="shared" si="134"/>
        <v>1.8178280364727974</v>
      </c>
      <c r="O669" s="26">
        <f t="shared" si="135"/>
        <v>1.1428300238461679</v>
      </c>
      <c r="P669" s="26">
        <f t="shared" si="136"/>
        <v>0.8632875162331265</v>
      </c>
      <c r="Q669" s="22"/>
      <c r="AD669" s="59">
        <v>665</v>
      </c>
      <c r="AE669" s="61">
        <f t="shared" ca="1" si="138"/>
        <v>0.32041629972798236</v>
      </c>
      <c r="AF669" s="61">
        <f t="shared" ca="1" si="138"/>
        <v>0.77089086323822087</v>
      </c>
      <c r="AG669" s="61">
        <f t="shared" ca="1" si="138"/>
        <v>-0.62315608210205919</v>
      </c>
      <c r="AH669" s="19"/>
      <c r="AI669" s="61">
        <f ca="1"/>
        <v>6.9479983045126464E-3</v>
      </c>
      <c r="AJ669" s="61">
        <f ca="1"/>
        <v>2.1771361578213112E-2</v>
      </c>
      <c r="AK669" s="61">
        <f ca="1"/>
        <v>-5.8019364639154865E-3</v>
      </c>
      <c r="AL669" s="19"/>
      <c r="AM669" s="61">
        <f t="shared" ca="1" si="142"/>
        <v>7.2992146270228903E-3</v>
      </c>
      <c r="AN669" s="61">
        <f t="shared" ca="1" si="143"/>
        <v>2.2020414175129642E-2</v>
      </c>
      <c r="AO669" s="61">
        <f t="shared" ca="1" si="144"/>
        <v>-5.3702678606606684E-3</v>
      </c>
      <c r="AP669" s="19"/>
      <c r="AQ669" s="62">
        <f t="shared" ca="1" si="139"/>
        <v>1.0888012113564165</v>
      </c>
      <c r="AR669" s="62">
        <f t="shared" ca="1" si="140"/>
        <v>1.6252437640937036</v>
      </c>
      <c r="AS669" s="62">
        <f t="shared" ca="1" si="141"/>
        <v>0.55355539614776339</v>
      </c>
      <c r="AT669" s="49"/>
    </row>
    <row r="670" spans="1:46" x14ac:dyDescent="0.3">
      <c r="A670" s="5">
        <v>44433</v>
      </c>
      <c r="B670" s="6">
        <v>103.389999</v>
      </c>
      <c r="C670" s="6">
        <v>120.019997</v>
      </c>
      <c r="D670" s="6">
        <v>66.339995999999999</v>
      </c>
      <c r="F670" s="13">
        <v>667</v>
      </c>
      <c r="G670" s="5">
        <v>44433</v>
      </c>
      <c r="H670" s="15">
        <f t="shared" si="137"/>
        <v>5.9174640919222605E-3</v>
      </c>
      <c r="I670" s="15">
        <f t="shared" si="137"/>
        <v>-3.9913823651772009E-3</v>
      </c>
      <c r="J670" s="15">
        <f t="shared" si="137"/>
        <v>1.6873441424344906E-2</v>
      </c>
      <c r="K670" s="22"/>
      <c r="L670" s="13">
        <v>667</v>
      </c>
      <c r="M670" s="5">
        <v>44433</v>
      </c>
      <c r="N670" s="26">
        <f t="shared" si="134"/>
        <v>1.8286168583548488</v>
      </c>
      <c r="O670" s="26">
        <f t="shared" si="135"/>
        <v>1.1382776434317594</v>
      </c>
      <c r="P670" s="26">
        <f t="shared" si="136"/>
        <v>0.8779777363149216</v>
      </c>
      <c r="Q670" s="22"/>
      <c r="AD670" s="59">
        <v>666</v>
      </c>
      <c r="AE670" s="61">
        <f t="shared" ca="1" si="138"/>
        <v>-1.0708296254338889</v>
      </c>
      <c r="AF670" s="61">
        <f t="shared" ca="1" si="138"/>
        <v>1.5165546725146997</v>
      </c>
      <c r="AG670" s="61">
        <f t="shared" ca="1" si="138"/>
        <v>0.75307503397562059</v>
      </c>
      <c r="AH670" s="19"/>
      <c r="AI670" s="61">
        <f ca="1"/>
        <v>-2.3220174592406408E-2</v>
      </c>
      <c r="AJ670" s="61">
        <f ca="1"/>
        <v>1.6202871921880281E-2</v>
      </c>
      <c r="AK670" s="61">
        <f ca="1"/>
        <v>1.4151932770063085E-2</v>
      </c>
      <c r="AL670" s="19"/>
      <c r="AM670" s="61">
        <f t="shared" ca="1" si="142"/>
        <v>-2.2868958269896163E-2</v>
      </c>
      <c r="AN670" s="61">
        <f t="shared" ca="1" si="143"/>
        <v>1.6451924518796811E-2</v>
      </c>
      <c r="AO670" s="61">
        <f t="shared" ca="1" si="144"/>
        <v>1.4583601373317904E-2</v>
      </c>
      <c r="AP670" s="19"/>
      <c r="AQ670" s="62">
        <f t="shared" ca="1" si="139"/>
        <v>1.0641840195239414</v>
      </c>
      <c r="AR670" s="62">
        <f t="shared" ca="1" si="140"/>
        <v>1.6522033119656079</v>
      </c>
      <c r="AS670" s="62">
        <f t="shared" ca="1" si="141"/>
        <v>0.56168738006280794</v>
      </c>
      <c r="AT670" s="49"/>
    </row>
    <row r="671" spans="1:46" x14ac:dyDescent="0.3">
      <c r="A671" s="5">
        <v>44434</v>
      </c>
      <c r="B671" s="6">
        <v>102.779999</v>
      </c>
      <c r="C671" s="6">
        <v>116.300003</v>
      </c>
      <c r="D671" s="6">
        <v>65.459998999999996</v>
      </c>
      <c r="F671" s="13">
        <v>668</v>
      </c>
      <c r="G671" s="5">
        <v>44434</v>
      </c>
      <c r="H671" s="15">
        <f t="shared" si="137"/>
        <v>-5.9174640919222093E-3</v>
      </c>
      <c r="I671" s="15">
        <f t="shared" si="137"/>
        <v>-3.1485285245557208E-2</v>
      </c>
      <c r="J671" s="15">
        <f t="shared" si="137"/>
        <v>-1.3353719426927251E-2</v>
      </c>
      <c r="K671" s="22"/>
      <c r="L671" s="13">
        <v>668</v>
      </c>
      <c r="M671" s="5">
        <v>44434</v>
      </c>
      <c r="N671" s="26">
        <f t="shared" si="134"/>
        <v>1.8178280364727974</v>
      </c>
      <c r="O671" s="26">
        <f t="shared" si="135"/>
        <v>1.1029969726290407</v>
      </c>
      <c r="P671" s="26">
        <f t="shared" si="136"/>
        <v>0.86633140196748026</v>
      </c>
      <c r="Q671" s="22"/>
      <c r="AD671" s="59">
        <v>667</v>
      </c>
      <c r="AE671" s="61">
        <f t="shared" ca="1" si="138"/>
        <v>-1.610656344027505</v>
      </c>
      <c r="AF671" s="61">
        <f t="shared" ca="1" si="138"/>
        <v>-0.32225069378378829</v>
      </c>
      <c r="AG671" s="61">
        <f t="shared" ca="1" si="138"/>
        <v>-0.30885782408825263</v>
      </c>
      <c r="AH671" s="19"/>
      <c r="AI671" s="61">
        <f ca="1"/>
        <v>-3.4925930912241707E-2</v>
      </c>
      <c r="AJ671" s="61">
        <f ca="1"/>
        <v>-3.2214984122013228E-2</v>
      </c>
      <c r="AK671" s="61">
        <f ca="1"/>
        <v>-3.3980688420934976E-2</v>
      </c>
      <c r="AL671" s="19"/>
      <c r="AM671" s="61">
        <f t="shared" ca="1" si="142"/>
        <v>-3.4574714589731464E-2</v>
      </c>
      <c r="AN671" s="61">
        <f t="shared" ca="1" si="143"/>
        <v>-3.1965931525096698E-2</v>
      </c>
      <c r="AO671" s="61">
        <f t="shared" ca="1" si="144"/>
        <v>-3.3549019817680159E-2</v>
      </c>
      <c r="AP671" s="19"/>
      <c r="AQ671" s="62">
        <f t="shared" ca="1" si="139"/>
        <v>1.0280189616584139</v>
      </c>
      <c r="AR671" s="62">
        <f t="shared" ca="1" si="140"/>
        <v>1.6002242988444577</v>
      </c>
      <c r="AS671" s="62">
        <f t="shared" ca="1" si="141"/>
        <v>0.54315591340999392</v>
      </c>
      <c r="AT671" s="49"/>
    </row>
    <row r="672" spans="1:46" x14ac:dyDescent="0.3">
      <c r="A672" s="5">
        <v>44435</v>
      </c>
      <c r="B672" s="6">
        <v>104.089996</v>
      </c>
      <c r="C672" s="6">
        <v>118.30999799999999</v>
      </c>
      <c r="D672" s="6">
        <v>67.110000999999997</v>
      </c>
      <c r="F672" s="13">
        <v>669</v>
      </c>
      <c r="G672" s="5">
        <v>44435</v>
      </c>
      <c r="H672" s="15">
        <f t="shared" si="137"/>
        <v>1.2665099264528776E-2</v>
      </c>
      <c r="I672" s="15">
        <f t="shared" si="137"/>
        <v>1.7135196040854193E-2</v>
      </c>
      <c r="J672" s="15">
        <f t="shared" si="137"/>
        <v>2.4893825274527114E-2</v>
      </c>
      <c r="K672" s="22"/>
      <c r="L672" s="13">
        <v>669</v>
      </c>
      <c r="M672" s="5">
        <v>44435</v>
      </c>
      <c r="N672" s="26">
        <f t="shared" si="134"/>
        <v>1.8409974205695541</v>
      </c>
      <c r="O672" s="26">
        <f t="shared" si="135"/>
        <v>1.1220598990504571</v>
      </c>
      <c r="P672" s="26">
        <f t="shared" si="136"/>
        <v>0.88816837978211705</v>
      </c>
      <c r="Q672" s="22"/>
      <c r="AD672" s="59">
        <v>668</v>
      </c>
      <c r="AE672" s="61">
        <f t="shared" ca="1" si="138"/>
        <v>5.3727852156073279E-2</v>
      </c>
      <c r="AF672" s="61">
        <f t="shared" ca="1" si="138"/>
        <v>-0.17921485097879861</v>
      </c>
      <c r="AG672" s="61">
        <f t="shared" ca="1" si="138"/>
        <v>-0.82738259736358288</v>
      </c>
      <c r="AH672" s="19"/>
      <c r="AI672" s="61">
        <f ca="1"/>
        <v>1.1650500489594861E-3</v>
      </c>
      <c r="AJ672" s="61">
        <f ca="1"/>
        <v>-3.0544506596982633E-3</v>
      </c>
      <c r="AK672" s="61">
        <f ca="1"/>
        <v>-2.1665760192602117E-2</v>
      </c>
      <c r="AL672" s="19"/>
      <c r="AM672" s="61">
        <f t="shared" ca="1" si="142"/>
        <v>1.5162663714697305E-3</v>
      </c>
      <c r="AN672" s="61">
        <f t="shared" ca="1" si="143"/>
        <v>-2.8053980627817327E-3</v>
      </c>
      <c r="AO672" s="61">
        <f t="shared" ca="1" si="144"/>
        <v>-2.12340915893473E-2</v>
      </c>
      <c r="AP672" s="19"/>
      <c r="AQ672" s="62">
        <f t="shared" ca="1" si="139"/>
        <v>1.0295788945772577</v>
      </c>
      <c r="AR672" s="62">
        <f t="shared" ca="1" si="140"/>
        <v>1.5957413239012543</v>
      </c>
      <c r="AS672" s="62">
        <f t="shared" ca="1" si="141"/>
        <v>0.53174407974173565</v>
      </c>
      <c r="AT672" s="49"/>
    </row>
    <row r="673" spans="1:46" x14ac:dyDescent="0.3">
      <c r="A673" s="5">
        <v>44438</v>
      </c>
      <c r="B673" s="6">
        <v>103.93</v>
      </c>
      <c r="C673" s="6">
        <v>117.029999</v>
      </c>
      <c r="D673" s="6">
        <v>66.019997000000004</v>
      </c>
      <c r="F673" s="13">
        <v>670</v>
      </c>
      <c r="G673" s="5">
        <v>44438</v>
      </c>
      <c r="H673" s="15">
        <f t="shared" si="137"/>
        <v>-1.5382754987627262E-3</v>
      </c>
      <c r="I673" s="15">
        <f t="shared" si="137"/>
        <v>-1.0877977718972132E-2</v>
      </c>
      <c r="J673" s="15">
        <f t="shared" si="137"/>
        <v>-1.6375398086786327E-2</v>
      </c>
      <c r="K673" s="22"/>
      <c r="L673" s="13">
        <v>670</v>
      </c>
      <c r="M673" s="5">
        <v>44438</v>
      </c>
      <c r="N673" s="26">
        <f t="shared" si="134"/>
        <v>1.8381676363960449</v>
      </c>
      <c r="O673" s="26">
        <f t="shared" si="135"/>
        <v>1.1099203033019669</v>
      </c>
      <c r="P673" s="26">
        <f t="shared" si="136"/>
        <v>0.87374270443998703</v>
      </c>
      <c r="Q673" s="22"/>
      <c r="AD673" s="59">
        <v>669</v>
      </c>
      <c r="AE673" s="61">
        <f t="shared" ca="1" si="138"/>
        <v>-0.87210371271846832</v>
      </c>
      <c r="AF673" s="61">
        <f t="shared" ca="1" si="138"/>
        <v>-0.15075478973838768</v>
      </c>
      <c r="AG673" s="61">
        <f t="shared" ca="1" si="138"/>
        <v>-3.9870875055743542E-2</v>
      </c>
      <c r="AH673" s="19"/>
      <c r="AI673" s="61">
        <f ca="1"/>
        <v>-1.8910945299821551E-2</v>
      </c>
      <c r="AJ673" s="61">
        <f ca="1"/>
        <v>-1.6927270775831862E-2</v>
      </c>
      <c r="AK673" s="61">
        <f ca="1"/>
        <v>-1.4968983281166399E-2</v>
      </c>
      <c r="AL673" s="19"/>
      <c r="AM673" s="61">
        <f t="shared" ca="1" si="142"/>
        <v>-1.8559728977311306E-2</v>
      </c>
      <c r="AN673" s="61">
        <f t="shared" ca="1" si="143"/>
        <v>-1.6678218178915332E-2</v>
      </c>
      <c r="AO673" s="61">
        <f t="shared" ca="1" si="144"/>
        <v>-1.453731467791158E-2</v>
      </c>
      <c r="AP673" s="19"/>
      <c r="AQ673" s="62">
        <f t="shared" ca="1" si="139"/>
        <v>1.0106464235576862</v>
      </c>
      <c r="AR673" s="62">
        <f t="shared" ca="1" si="140"/>
        <v>1.5693479112940742</v>
      </c>
      <c r="AS673" s="62">
        <f t="shared" ca="1" si="141"/>
        <v>0.52406986511397691</v>
      </c>
      <c r="AT673" s="49"/>
    </row>
    <row r="674" spans="1:46" x14ac:dyDescent="0.3">
      <c r="A674" s="5">
        <v>44439</v>
      </c>
      <c r="B674" s="6">
        <v>103.400002</v>
      </c>
      <c r="C674" s="6">
        <v>116.129997</v>
      </c>
      <c r="D674" s="6">
        <v>66.309997999999993</v>
      </c>
      <c r="F674" s="13">
        <v>671</v>
      </c>
      <c r="G674" s="5">
        <v>44439</v>
      </c>
      <c r="H674" s="15">
        <f t="shared" si="137"/>
        <v>-5.1126141836420353E-3</v>
      </c>
      <c r="I674" s="15">
        <f t="shared" si="137"/>
        <v>-7.7200762173091578E-3</v>
      </c>
      <c r="J674" s="15">
        <f t="shared" si="137"/>
        <v>4.383004235141894E-3</v>
      </c>
      <c r="K674" s="22"/>
      <c r="L674" s="13">
        <v>671</v>
      </c>
      <c r="M674" s="5">
        <v>44439</v>
      </c>
      <c r="N674" s="26">
        <f t="shared" si="134"/>
        <v>1.8287937773471212</v>
      </c>
      <c r="O674" s="26">
        <f t="shared" si="135"/>
        <v>1.1013846244046923</v>
      </c>
      <c r="P674" s="26">
        <f t="shared" si="136"/>
        <v>0.87758072730494252</v>
      </c>
      <c r="Q674" s="22"/>
      <c r="AD674" s="59">
        <v>670</v>
      </c>
      <c r="AE674" s="61">
        <f t="shared" ca="1" si="138"/>
        <v>-0.40496253570410379</v>
      </c>
      <c r="AF674" s="61">
        <f t="shared" ca="1" si="138"/>
        <v>1.2163724702825904</v>
      </c>
      <c r="AG674" s="61">
        <f t="shared" ca="1" si="138"/>
        <v>0.9386143983398012</v>
      </c>
      <c r="AH674" s="19"/>
      <c r="AI674" s="61">
        <f ca="1"/>
        <v>-8.781322965941276E-3</v>
      </c>
      <c r="AJ674" s="61">
        <f ca="1"/>
        <v>2.0100482984161012E-2</v>
      </c>
      <c r="AK674" s="61">
        <f ca="1"/>
        <v>2.6629971451592641E-2</v>
      </c>
      <c r="AL674" s="19"/>
      <c r="AM674" s="61">
        <f t="shared" ca="1" si="142"/>
        <v>-8.4301066434310321E-3</v>
      </c>
      <c r="AN674" s="61">
        <f t="shared" ca="1" si="143"/>
        <v>2.0349535581077542E-2</v>
      </c>
      <c r="AO674" s="61">
        <f t="shared" ca="1" si="144"/>
        <v>2.7061640054847458E-2</v>
      </c>
      <c r="AP674" s="19"/>
      <c r="AQ674" s="62">
        <f t="shared" ca="1" si="139"/>
        <v>1.0021623773796864</v>
      </c>
      <c r="AR674" s="62">
        <f t="shared" ca="1" si="140"/>
        <v>1.6016105641225102</v>
      </c>
      <c r="AS674" s="62">
        <f t="shared" ca="1" si="141"/>
        <v>0.53844569461596303</v>
      </c>
      <c r="AT674" s="49"/>
    </row>
    <row r="675" spans="1:46" x14ac:dyDescent="0.3">
      <c r="A675" s="5">
        <v>44440</v>
      </c>
      <c r="B675" s="6">
        <v>103.050003</v>
      </c>
      <c r="C675" s="6">
        <v>118.94000200000001</v>
      </c>
      <c r="D675" s="6">
        <v>63.950001</v>
      </c>
      <c r="F675" s="13">
        <v>672</v>
      </c>
      <c r="G675" s="5">
        <v>44440</v>
      </c>
      <c r="H675" s="15">
        <f t="shared" si="137"/>
        <v>-3.3906449681391721E-3</v>
      </c>
      <c r="I675" s="15">
        <f t="shared" si="137"/>
        <v>2.3908953669100317E-2</v>
      </c>
      <c r="J675" s="15">
        <f t="shared" si="137"/>
        <v>-3.6239141557344194E-2</v>
      </c>
      <c r="K675" s="22"/>
      <c r="L675" s="13">
        <v>672</v>
      </c>
      <c r="M675" s="5">
        <v>44440</v>
      </c>
      <c r="N675" s="26">
        <f t="shared" si="134"/>
        <v>1.8226034873964718</v>
      </c>
      <c r="O675" s="26">
        <f t="shared" si="135"/>
        <v>1.1280348989371225</v>
      </c>
      <c r="P675" s="26">
        <f t="shared" si="136"/>
        <v>0.84634730932629199</v>
      </c>
      <c r="Q675" s="22"/>
      <c r="AD675" s="59">
        <v>671</v>
      </c>
      <c r="AE675" s="61">
        <f t="shared" ca="1" si="138"/>
        <v>-1.3144553148931497</v>
      </c>
      <c r="AF675" s="61">
        <f t="shared" ca="1" si="138"/>
        <v>0.27768338784933838</v>
      </c>
      <c r="AG675" s="61">
        <f t="shared" ca="1" si="138"/>
        <v>0.9541513903892852</v>
      </c>
      <c r="AH675" s="19"/>
      <c r="AI675" s="61">
        <f ca="1"/>
        <v>-2.8503023432292818E-2</v>
      </c>
      <c r="AJ675" s="61">
        <f ca="1"/>
        <v>-1.4538567757805324E-2</v>
      </c>
      <c r="AK675" s="61">
        <f ca="1"/>
        <v>6.9790950892837135E-3</v>
      </c>
      <c r="AL675" s="19"/>
      <c r="AM675" s="61">
        <f t="shared" ca="1" si="142"/>
        <v>-2.8151807109782573E-2</v>
      </c>
      <c r="AN675" s="61">
        <f t="shared" ca="1" si="143"/>
        <v>-1.4289515160888793E-2</v>
      </c>
      <c r="AO675" s="61">
        <f t="shared" ca="1" si="144"/>
        <v>7.4107636925385316E-3</v>
      </c>
      <c r="AP675" s="19"/>
      <c r="AQ675" s="62">
        <f t="shared" ca="1" si="139"/>
        <v>0.9743431139701888</v>
      </c>
      <c r="AR675" s="62">
        <f t="shared" ca="1" si="140"/>
        <v>1.5788870662268841</v>
      </c>
      <c r="AS675" s="62">
        <f t="shared" ca="1" si="141"/>
        <v>0.54245081057412037</v>
      </c>
      <c r="AT675" s="49"/>
    </row>
    <row r="676" spans="1:46" x14ac:dyDescent="0.3">
      <c r="A676" s="5">
        <v>44441</v>
      </c>
      <c r="B676" s="6">
        <v>104.260002</v>
      </c>
      <c r="C676" s="6">
        <v>117.489998</v>
      </c>
      <c r="D676" s="6">
        <v>65.199996999999996</v>
      </c>
      <c r="F676" s="13">
        <v>673</v>
      </c>
      <c r="G676" s="5">
        <v>44441</v>
      </c>
      <c r="H676" s="15">
        <f t="shared" si="137"/>
        <v>1.1673462074222719E-2</v>
      </c>
      <c r="I676" s="15">
        <f t="shared" si="137"/>
        <v>-1.226597453689272E-2</v>
      </c>
      <c r="J676" s="15">
        <f t="shared" si="137"/>
        <v>1.9357879258268131E-2</v>
      </c>
      <c r="K676" s="22"/>
      <c r="L676" s="13">
        <v>673</v>
      </c>
      <c r="M676" s="5">
        <v>44441</v>
      </c>
      <c r="N676" s="26">
        <f t="shared" si="134"/>
        <v>1.8440042475414884</v>
      </c>
      <c r="O676" s="26">
        <f t="shared" si="135"/>
        <v>1.1142829644483503</v>
      </c>
      <c r="P676" s="26">
        <f t="shared" si="136"/>
        <v>0.86289040134701966</v>
      </c>
      <c r="Q676" s="22"/>
      <c r="AD676" s="59">
        <v>672</v>
      </c>
      <c r="AE676" s="61">
        <f t="shared" ca="1" si="138"/>
        <v>-0.2449610705117139</v>
      </c>
      <c r="AF676" s="61">
        <f t="shared" ca="1" si="138"/>
        <v>0.42432942066243146</v>
      </c>
      <c r="AG676" s="61">
        <f t="shared" ca="1" si="138"/>
        <v>-6.4497912383888731E-2</v>
      </c>
      <c r="AH676" s="19"/>
      <c r="AI676" s="61">
        <f ca="1"/>
        <v>-5.3118056229720387E-3</v>
      </c>
      <c r="AJ676" s="61">
        <f ca="1"/>
        <v>5.3890183085221928E-3</v>
      </c>
      <c r="AK676" s="61">
        <f ca="1"/>
        <v>-2.2835439384737448E-3</v>
      </c>
      <c r="AL676" s="19"/>
      <c r="AM676" s="61">
        <f t="shared" ca="1" si="142"/>
        <v>-4.9605893004617948E-3</v>
      </c>
      <c r="AN676" s="61">
        <f t="shared" ca="1" si="143"/>
        <v>5.6380709054387234E-3</v>
      </c>
      <c r="AO676" s="61">
        <f t="shared" ca="1" si="144"/>
        <v>-1.8518753352189266E-3</v>
      </c>
      <c r="AP676" s="19"/>
      <c r="AQ676" s="62">
        <f t="shared" ca="1" si="139"/>
        <v>0.96952176619389674</v>
      </c>
      <c r="AR676" s="62">
        <f t="shared" ca="1" si="140"/>
        <v>1.5878140853939255</v>
      </c>
      <c r="AS676" s="62">
        <f t="shared" ca="1" si="141"/>
        <v>0.54144718887540533</v>
      </c>
      <c r="AT676" s="49"/>
    </row>
    <row r="677" spans="1:46" x14ac:dyDescent="0.3">
      <c r="A677" s="5">
        <v>44442</v>
      </c>
      <c r="B677" s="6">
        <v>103.650002</v>
      </c>
      <c r="C677" s="6">
        <v>114.83000199999999</v>
      </c>
      <c r="D677" s="6">
        <v>64.699996999999996</v>
      </c>
      <c r="F677" s="13">
        <v>674</v>
      </c>
      <c r="G677" s="5">
        <v>44442</v>
      </c>
      <c r="H677" s="15">
        <f t="shared" si="137"/>
        <v>-5.8679403452767407E-3</v>
      </c>
      <c r="I677" s="15">
        <f t="shared" si="137"/>
        <v>-2.2900415351606775E-2</v>
      </c>
      <c r="J677" s="15">
        <f t="shared" si="137"/>
        <v>-7.6982677813340538E-3</v>
      </c>
      <c r="K677" s="22"/>
      <c r="L677" s="13">
        <v>674</v>
      </c>
      <c r="M677" s="5">
        <v>44442</v>
      </c>
      <c r="N677" s="26">
        <f t="shared" si="134"/>
        <v>1.8332154256594373</v>
      </c>
      <c r="O677" s="26">
        <f t="shared" si="135"/>
        <v>1.0890553852607097</v>
      </c>
      <c r="P677" s="26">
        <f t="shared" si="136"/>
        <v>0.85627314336350302</v>
      </c>
      <c r="Q677" s="22"/>
      <c r="AD677" s="59">
        <v>673</v>
      </c>
      <c r="AE677" s="61">
        <f t="shared" ca="1" si="138"/>
        <v>1.8646266536616092</v>
      </c>
      <c r="AF677" s="61">
        <f t="shared" ca="1" si="138"/>
        <v>-0.61131774956047713</v>
      </c>
      <c r="AG677" s="61">
        <f t="shared" ca="1" si="138"/>
        <v>0.51446278853554817</v>
      </c>
      <c r="AH677" s="19"/>
      <c r="AI677" s="61">
        <f ca="1"/>
        <v>4.0433095442361906E-2</v>
      </c>
      <c r="AJ677" s="61">
        <f ca="1"/>
        <v>1.5898153102767383E-2</v>
      </c>
      <c r="AK677" s="61">
        <f ca="1"/>
        <v>3.6426209332339143E-2</v>
      </c>
      <c r="AL677" s="19"/>
      <c r="AM677" s="61">
        <f t="shared" ca="1" si="142"/>
        <v>4.0784311764872148E-2</v>
      </c>
      <c r="AN677" s="61">
        <f t="shared" ca="1" si="143"/>
        <v>1.6147205699683913E-2</v>
      </c>
      <c r="AO677" s="61">
        <f t="shared" ca="1" si="144"/>
        <v>3.6857877935593961E-2</v>
      </c>
      <c r="AP677" s="19"/>
      <c r="AQ677" s="62">
        <f t="shared" ca="1" si="139"/>
        <v>1.0098804506569685</v>
      </c>
      <c r="AR677" s="62">
        <f t="shared" ca="1" si="140"/>
        <v>1.6136609618687852</v>
      </c>
      <c r="AS677" s="62">
        <f t="shared" ca="1" si="141"/>
        <v>0.56177612259233345</v>
      </c>
      <c r="AT677" s="49"/>
    </row>
    <row r="678" spans="1:46" x14ac:dyDescent="0.3">
      <c r="A678" s="5">
        <v>44446</v>
      </c>
      <c r="B678" s="6">
        <v>102.019997</v>
      </c>
      <c r="C678" s="6">
        <v>112.900002</v>
      </c>
      <c r="D678" s="6">
        <v>65.519997000000004</v>
      </c>
      <c r="F678" s="13">
        <v>675</v>
      </c>
      <c r="G678" s="5">
        <v>44446</v>
      </c>
      <c r="H678" s="15">
        <f t="shared" si="137"/>
        <v>-1.5851015088713807E-2</v>
      </c>
      <c r="I678" s="15">
        <f t="shared" si="137"/>
        <v>-1.6950302334740968E-2</v>
      </c>
      <c r="J678" s="15">
        <f t="shared" si="137"/>
        <v>1.2594238618265072E-2</v>
      </c>
      <c r="K678" s="22"/>
      <c r="L678" s="13">
        <v>675</v>
      </c>
      <c r="M678" s="5">
        <v>44446</v>
      </c>
      <c r="N678" s="26">
        <f t="shared" si="134"/>
        <v>1.8043861902301701</v>
      </c>
      <c r="O678" s="26">
        <f t="shared" si="135"/>
        <v>1.070751136745995</v>
      </c>
      <c r="P678" s="26">
        <f t="shared" si="136"/>
        <v>0.86712544645647038</v>
      </c>
      <c r="Q678" s="22"/>
      <c r="AD678" s="59">
        <v>674</v>
      </c>
      <c r="AE678" s="61">
        <f t="shared" ca="1" si="138"/>
        <v>0.17577420099636698</v>
      </c>
      <c r="AF678" s="61">
        <f t="shared" ca="1" si="138"/>
        <v>-0.25626301200188428</v>
      </c>
      <c r="AG678" s="61">
        <f t="shared" ca="1" si="138"/>
        <v>0.36345251009384905</v>
      </c>
      <c r="AH678" s="19"/>
      <c r="AI678" s="61">
        <f ca="1"/>
        <v>3.8115378385451316E-3</v>
      </c>
      <c r="AJ678" s="61">
        <f ca="1"/>
        <v>-2.8188601509889183E-3</v>
      </c>
      <c r="AK678" s="61">
        <f ca="1"/>
        <v>1.0104074610236614E-2</v>
      </c>
      <c r="AL678" s="19"/>
      <c r="AM678" s="61">
        <f t="shared" ca="1" si="142"/>
        <v>4.1627541610553759E-3</v>
      </c>
      <c r="AN678" s="61">
        <f t="shared" ca="1" si="143"/>
        <v>-2.5698075540723877E-3</v>
      </c>
      <c r="AO678" s="61">
        <f t="shared" ca="1" si="144"/>
        <v>1.0535743213491433E-2</v>
      </c>
      <c r="AP678" s="19"/>
      <c r="AQ678" s="62">
        <f t="shared" ca="1" si="139"/>
        <v>1.0140930967268449</v>
      </c>
      <c r="AR678" s="62">
        <f t="shared" ca="1" si="140"/>
        <v>1.6095194874145922</v>
      </c>
      <c r="AS678" s="62">
        <f t="shared" ca="1" si="141"/>
        <v>0.56772614045509795</v>
      </c>
      <c r="AT678" s="49"/>
    </row>
    <row r="679" spans="1:46" x14ac:dyDescent="0.3">
      <c r="A679" s="5">
        <v>44447</v>
      </c>
      <c r="B679" s="6">
        <v>102.449997</v>
      </c>
      <c r="C679" s="6">
        <v>110.709999</v>
      </c>
      <c r="D679" s="6">
        <v>63.700001</v>
      </c>
      <c r="F679" s="13">
        <v>676</v>
      </c>
      <c r="G679" s="5">
        <v>44447</v>
      </c>
      <c r="H679" s="15">
        <f t="shared" si="137"/>
        <v>4.2060023135502139E-3</v>
      </c>
      <c r="I679" s="15">
        <f t="shared" si="137"/>
        <v>-1.9588328031640363E-2</v>
      </c>
      <c r="J679" s="15">
        <f t="shared" si="137"/>
        <v>-2.8170815480562498E-2</v>
      </c>
      <c r="K679" s="22"/>
      <c r="L679" s="13">
        <v>676</v>
      </c>
      <c r="M679" s="5">
        <v>44447</v>
      </c>
      <c r="N679" s="26">
        <f t="shared" si="134"/>
        <v>1.8119914253273537</v>
      </c>
      <c r="O679" s="26">
        <f t="shared" si="135"/>
        <v>1.0499810024662175</v>
      </c>
      <c r="P679" s="26">
        <f t="shared" si="136"/>
        <v>0.84303868033453366</v>
      </c>
      <c r="Q679" s="22"/>
      <c r="AD679" s="59">
        <v>675</v>
      </c>
      <c r="AE679" s="61">
        <f t="shared" ca="1" si="138"/>
        <v>-9.0244066934283163E-2</v>
      </c>
      <c r="AF679" s="61">
        <f t="shared" ca="1" si="138"/>
        <v>-0.6772496292353124</v>
      </c>
      <c r="AG679" s="61">
        <f t="shared" ca="1" si="138"/>
        <v>-0.22972196783204346</v>
      </c>
      <c r="AH679" s="19"/>
      <c r="AI679" s="61">
        <f ca="1"/>
        <v>-1.9568780507859011E-3</v>
      </c>
      <c r="AJ679" s="61">
        <f ca="1"/>
        <v>-1.6133240499683288E-2</v>
      </c>
      <c r="AK679" s="61">
        <f ca="1"/>
        <v>-1.1988375756614662E-2</v>
      </c>
      <c r="AL679" s="19"/>
      <c r="AM679" s="61">
        <f t="shared" ca="1" si="142"/>
        <v>-1.6056617282756568E-3</v>
      </c>
      <c r="AN679" s="61">
        <f t="shared" ca="1" si="143"/>
        <v>-1.5884187902766758E-2</v>
      </c>
      <c r="AO679" s="61">
        <f t="shared" ca="1" si="144"/>
        <v>-1.1556707153359843E-2</v>
      </c>
      <c r="AP679" s="19"/>
      <c r="AQ679" s="62">
        <f t="shared" ca="1" si="139"/>
        <v>1.0124661127949885</v>
      </c>
      <c r="AR679" s="62">
        <f t="shared" ca="1" si="140"/>
        <v>1.584155553479784</v>
      </c>
      <c r="AS679" s="62">
        <f t="shared" ca="1" si="141"/>
        <v>0.56120286211781956</v>
      </c>
      <c r="AT679" s="49"/>
    </row>
    <row r="680" spans="1:46" x14ac:dyDescent="0.3">
      <c r="A680" s="5">
        <v>44448</v>
      </c>
      <c r="B680" s="6">
        <v>103.33000199999999</v>
      </c>
      <c r="C680" s="6">
        <v>113.760002</v>
      </c>
      <c r="D680" s="6">
        <v>63.540000999999997</v>
      </c>
      <c r="F680" s="13">
        <v>677</v>
      </c>
      <c r="G680" s="5">
        <v>44448</v>
      </c>
      <c r="H680" s="15">
        <f t="shared" si="137"/>
        <v>8.5529241793949121E-3</v>
      </c>
      <c r="I680" s="15">
        <f t="shared" si="137"/>
        <v>2.7176822797034893E-2</v>
      </c>
      <c r="J680" s="15">
        <f t="shared" si="137"/>
        <v>-2.5149336972170818E-3</v>
      </c>
      <c r="K680" s="22"/>
      <c r="L680" s="13">
        <v>677</v>
      </c>
      <c r="M680" s="5">
        <v>44448</v>
      </c>
      <c r="N680" s="26">
        <f t="shared" si="134"/>
        <v>1.8275557158196725</v>
      </c>
      <c r="O680" s="26">
        <f t="shared" si="135"/>
        <v>1.0789074340116191</v>
      </c>
      <c r="P680" s="26">
        <f t="shared" si="136"/>
        <v>0.84092115777980836</v>
      </c>
      <c r="Q680" s="22"/>
      <c r="AD680" s="59">
        <v>676</v>
      </c>
      <c r="AE680" s="61">
        <f t="shared" ca="1" si="138"/>
        <v>-0.97628257704333932</v>
      </c>
      <c r="AF680" s="61">
        <f t="shared" ca="1" si="138"/>
        <v>0.59252591637231722</v>
      </c>
      <c r="AG680" s="61">
        <f t="shared" ca="1" si="138"/>
        <v>0.16015203248524718</v>
      </c>
      <c r="AH680" s="19"/>
      <c r="AI680" s="61">
        <f ca="1"/>
        <v>-2.1169989466144415E-2</v>
      </c>
      <c r="AJ680" s="61">
        <f ca="1"/>
        <v>-2.4019510452924567E-3</v>
      </c>
      <c r="AK680" s="61">
        <f ca="1"/>
        <v>-6.1491798285843377E-3</v>
      </c>
      <c r="AL680" s="19"/>
      <c r="AM680" s="61">
        <f t="shared" ca="1" si="142"/>
        <v>-2.0818773143634169E-2</v>
      </c>
      <c r="AN680" s="61">
        <f t="shared" ca="1" si="143"/>
        <v>-2.1528984483759261E-3</v>
      </c>
      <c r="AO680" s="61">
        <f t="shared" ca="1" si="144"/>
        <v>-5.7175112253295196E-3</v>
      </c>
      <c r="AP680" s="19"/>
      <c r="AQ680" s="62">
        <f t="shared" ca="1" si="139"/>
        <v>0.9916057079352224</v>
      </c>
      <c r="AR680" s="62">
        <f t="shared" ca="1" si="140"/>
        <v>1.5807486960716157</v>
      </c>
      <c r="AS680" s="62">
        <f t="shared" ca="1" si="141"/>
        <v>0.55800333383942369</v>
      </c>
      <c r="AT680" s="49"/>
    </row>
    <row r="681" spans="1:46" x14ac:dyDescent="0.3">
      <c r="A681" s="5">
        <v>44449</v>
      </c>
      <c r="B681" s="6">
        <v>102.650002</v>
      </c>
      <c r="C681" s="6">
        <v>112.629997</v>
      </c>
      <c r="D681" s="6">
        <v>63.41</v>
      </c>
      <c r="F681" s="13">
        <v>678</v>
      </c>
      <c r="G681" s="5">
        <v>44449</v>
      </c>
      <c r="H681" s="15">
        <f t="shared" si="137"/>
        <v>-6.6026066331015204E-3</v>
      </c>
      <c r="I681" s="15">
        <f t="shared" si="137"/>
        <v>-9.9829002120852359E-3</v>
      </c>
      <c r="J681" s="15">
        <f t="shared" si="137"/>
        <v>-2.0480668675474131E-3</v>
      </c>
      <c r="K681" s="22"/>
      <c r="L681" s="13">
        <v>678</v>
      </c>
      <c r="M681" s="5">
        <v>44449</v>
      </c>
      <c r="N681" s="26">
        <f t="shared" si="134"/>
        <v>1.8155288324101728</v>
      </c>
      <c r="O681" s="26">
        <f t="shared" si="135"/>
        <v>1.0681903913469197</v>
      </c>
      <c r="P681" s="26">
        <f t="shared" si="136"/>
        <v>0.83920065746957806</v>
      </c>
      <c r="Q681" s="22"/>
      <c r="AD681" s="59">
        <v>677</v>
      </c>
      <c r="AE681" s="61">
        <f t="shared" ca="1" si="138"/>
        <v>0.14419840259590391</v>
      </c>
      <c r="AF681" s="61">
        <f t="shared" ca="1" si="138"/>
        <v>-1.0088096357758267</v>
      </c>
      <c r="AG681" s="61">
        <f t="shared" ca="1" si="138"/>
        <v>1.4386703592264889</v>
      </c>
      <c r="AH681" s="19"/>
      <c r="AI681" s="61">
        <f ca="1"/>
        <v>3.1268392325868809E-3</v>
      </c>
      <c r="AJ681" s="61">
        <f ca="1"/>
        <v>-1.9670461885961284E-2</v>
      </c>
      <c r="AK681" s="61">
        <f ca="1"/>
        <v>3.1884777968748931E-2</v>
      </c>
      <c r="AL681" s="19"/>
      <c r="AM681" s="61">
        <f t="shared" ca="1" si="142"/>
        <v>3.4780555550971252E-3</v>
      </c>
      <c r="AN681" s="61">
        <f t="shared" ca="1" si="143"/>
        <v>-1.9421409289044754E-2</v>
      </c>
      <c r="AO681" s="61">
        <f t="shared" ca="1" si="144"/>
        <v>3.2316446572003749E-2</v>
      </c>
      <c r="AP681" s="19"/>
      <c r="AQ681" s="62">
        <f t="shared" ca="1" si="139"/>
        <v>0.99506057229851474</v>
      </c>
      <c r="AR681" s="62">
        <f t="shared" ca="1" si="140"/>
        <v>1.5503445302125265</v>
      </c>
      <c r="AS681" s="62">
        <f t="shared" ca="1" si="141"/>
        <v>0.57633055918423992</v>
      </c>
      <c r="AT681" s="49"/>
    </row>
    <row r="682" spans="1:46" x14ac:dyDescent="0.3">
      <c r="A682" s="5">
        <v>44452</v>
      </c>
      <c r="B682" s="6">
        <v>102.75</v>
      </c>
      <c r="C682" s="6">
        <v>113.699997</v>
      </c>
      <c r="D682" s="6">
        <v>66.180000000000007</v>
      </c>
      <c r="F682" s="13">
        <v>679</v>
      </c>
      <c r="G682" s="5">
        <v>44452</v>
      </c>
      <c r="H682" s="15">
        <f t="shared" si="137"/>
        <v>9.736904277191248E-4</v>
      </c>
      <c r="I682" s="15">
        <f t="shared" si="137"/>
        <v>9.4552909475483522E-3</v>
      </c>
      <c r="J682" s="15">
        <f t="shared" si="137"/>
        <v>4.2756724781526E-2</v>
      </c>
      <c r="K682" s="22"/>
      <c r="L682" s="13">
        <v>679</v>
      </c>
      <c r="M682" s="5">
        <v>44452</v>
      </c>
      <c r="N682" s="26">
        <f t="shared" si="134"/>
        <v>1.8172974563619129</v>
      </c>
      <c r="O682" s="26">
        <f t="shared" si="135"/>
        <v>1.07833834259601</v>
      </c>
      <c r="P682" s="26">
        <f t="shared" si="136"/>
        <v>0.87586026669826023</v>
      </c>
      <c r="Q682" s="22"/>
      <c r="AD682" s="59">
        <v>678</v>
      </c>
      <c r="AE682" s="61">
        <f t="shared" ca="1" si="138"/>
        <v>-1.5023721021982568</v>
      </c>
      <c r="AF682" s="61">
        <f t="shared" ca="1" si="138"/>
        <v>1.241224831629014</v>
      </c>
      <c r="AG682" s="61">
        <f t="shared" ca="1" si="138"/>
        <v>0.40689704996750675</v>
      </c>
      <c r="AH682" s="19"/>
      <c r="AI682" s="61">
        <f ca="1"/>
        <v>-3.2577864570817218E-2</v>
      </c>
      <c r="AJ682" s="61">
        <f ca="1"/>
        <v>3.4636489789590594E-3</v>
      </c>
      <c r="AK682" s="61">
        <f ca="1"/>
        <v>-3.0324069603348928E-3</v>
      </c>
      <c r="AL682" s="19"/>
      <c r="AM682" s="61">
        <f t="shared" ca="1" si="142"/>
        <v>-3.2226648248306976E-2</v>
      </c>
      <c r="AN682" s="61">
        <f t="shared" ca="1" si="143"/>
        <v>3.7127015758755899E-3</v>
      </c>
      <c r="AO682" s="61">
        <f t="shared" ca="1" si="144"/>
        <v>-2.6007383570800747E-3</v>
      </c>
      <c r="AP682" s="19"/>
      <c r="AQ682" s="62">
        <f t="shared" ca="1" si="139"/>
        <v>0.96350431252473212</v>
      </c>
      <c r="AR682" s="62">
        <f t="shared" ca="1" si="140"/>
        <v>1.5561111951218971</v>
      </c>
      <c r="AS682" s="62">
        <f t="shared" ca="1" si="141"/>
        <v>0.57483362160785234</v>
      </c>
      <c r="AT682" s="49"/>
    </row>
    <row r="683" spans="1:46" x14ac:dyDescent="0.3">
      <c r="A683" s="5">
        <v>44453</v>
      </c>
      <c r="B683" s="6">
        <v>101.790001</v>
      </c>
      <c r="C683" s="6">
        <v>111.720001</v>
      </c>
      <c r="D683" s="6">
        <v>64.699996999999996</v>
      </c>
      <c r="F683" s="13">
        <v>680</v>
      </c>
      <c r="G683" s="5">
        <v>44453</v>
      </c>
      <c r="H683" s="15">
        <f t="shared" si="137"/>
        <v>-9.3869760879477966E-3</v>
      </c>
      <c r="I683" s="15">
        <f t="shared" si="137"/>
        <v>-1.7567624343340919E-2</v>
      </c>
      <c r="J683" s="15">
        <f t="shared" si="137"/>
        <v>-2.2617147354464101E-2</v>
      </c>
      <c r="K683" s="22"/>
      <c r="L683" s="13">
        <v>680</v>
      </c>
      <c r="M683" s="5">
        <v>44453</v>
      </c>
      <c r="N683" s="26">
        <f t="shared" si="134"/>
        <v>1.8003183445292124</v>
      </c>
      <c r="O683" s="26">
        <f t="shared" si="135"/>
        <v>1.0595599286881652</v>
      </c>
      <c r="P683" s="26">
        <f t="shared" si="136"/>
        <v>0.85627314336350302</v>
      </c>
      <c r="Q683" s="22"/>
      <c r="AD683" s="59">
        <v>679</v>
      </c>
      <c r="AE683" s="61">
        <f t="shared" ca="1" si="138"/>
        <v>-1.4419914679591361</v>
      </c>
      <c r="AF683" s="61">
        <f t="shared" ca="1" si="138"/>
        <v>1.1048669648944607</v>
      </c>
      <c r="AG683" s="61">
        <f t="shared" ca="1" si="138"/>
        <v>-0.42771289755670483</v>
      </c>
      <c r="AH683" s="19"/>
      <c r="AI683" s="61">
        <f ca="1"/>
        <v>-3.1268553700318551E-2</v>
      </c>
      <c r="AJ683" s="61">
        <f ca="1"/>
        <v>1.4448700768592768E-3</v>
      </c>
      <c r="AK683" s="61">
        <f ca="1"/>
        <v>-2.4483214425113219E-2</v>
      </c>
      <c r="AL683" s="19"/>
      <c r="AM683" s="61">
        <f t="shared" ca="1" si="142"/>
        <v>-3.0917337377808305E-2</v>
      </c>
      <c r="AN683" s="61">
        <f t="shared" ca="1" si="143"/>
        <v>1.6939226737758073E-3</v>
      </c>
      <c r="AO683" s="61">
        <f t="shared" ca="1" si="144"/>
        <v>-2.4051545821858401E-2</v>
      </c>
      <c r="AP683" s="19"/>
      <c r="AQ683" s="62">
        <f t="shared" ca="1" si="139"/>
        <v>0.93417111338838688</v>
      </c>
      <c r="AR683" s="62">
        <f t="shared" ca="1" si="140"/>
        <v>1.558749360951865</v>
      </c>
      <c r="AS683" s="62">
        <f t="shared" ca="1" si="141"/>
        <v>0.56117292339906721</v>
      </c>
      <c r="AT683" s="49"/>
    </row>
    <row r="684" spans="1:46" x14ac:dyDescent="0.3">
      <c r="A684" s="5">
        <v>44454</v>
      </c>
      <c r="B684" s="6">
        <v>103.790001</v>
      </c>
      <c r="C684" s="6">
        <v>112.129997</v>
      </c>
      <c r="D684" s="6">
        <v>66.510002</v>
      </c>
      <c r="F684" s="13">
        <v>681</v>
      </c>
      <c r="G684" s="5">
        <v>44454</v>
      </c>
      <c r="H684" s="15">
        <f t="shared" si="137"/>
        <v>1.9457759323640959E-2</v>
      </c>
      <c r="I684" s="15">
        <f t="shared" si="137"/>
        <v>3.663135690204516E-3</v>
      </c>
      <c r="J684" s="15">
        <f t="shared" si="137"/>
        <v>2.759118722799336E-2</v>
      </c>
      <c r="K684" s="22"/>
      <c r="L684" s="13">
        <v>681</v>
      </c>
      <c r="M684" s="5">
        <v>44454</v>
      </c>
      <c r="N684" s="26">
        <f t="shared" si="134"/>
        <v>1.8356915310277411</v>
      </c>
      <c r="O684" s="26">
        <f t="shared" si="135"/>
        <v>1.0634483580529521</v>
      </c>
      <c r="P684" s="26">
        <f t="shared" si="136"/>
        <v>0.88022768343641311</v>
      </c>
      <c r="Q684" s="22"/>
      <c r="AD684" s="59">
        <v>680</v>
      </c>
      <c r="AE684" s="61">
        <f t="shared" ca="1" si="138"/>
        <v>-2.7711023688296375</v>
      </c>
      <c r="AF684" s="61">
        <f t="shared" ca="1" si="138"/>
        <v>0.88153723649529991</v>
      </c>
      <c r="AG684" s="61">
        <f t="shared" ca="1" si="138"/>
        <v>0.46178027963384077</v>
      </c>
      <c r="AH684" s="19"/>
      <c r="AI684" s="61">
        <f ca="1"/>
        <v>-6.0089373033159262E-2</v>
      </c>
      <c r="AJ684" s="61">
        <f ca="1"/>
        <v>-2.4213121783787952E-2</v>
      </c>
      <c r="AK684" s="61">
        <f ca="1"/>
        <v>-2.2905569313118351E-2</v>
      </c>
      <c r="AL684" s="19"/>
      <c r="AM684" s="61">
        <f t="shared" ca="1" si="142"/>
        <v>-5.9738156710649019E-2</v>
      </c>
      <c r="AN684" s="61">
        <f t="shared" ca="1" si="143"/>
        <v>-2.3964069186871422E-2</v>
      </c>
      <c r="AO684" s="61">
        <f t="shared" ca="1" si="144"/>
        <v>-2.2473900709863534E-2</v>
      </c>
      <c r="AP684" s="19"/>
      <c r="AQ684" s="62">
        <f t="shared" ca="1" si="139"/>
        <v>0.87999961471724408</v>
      </c>
      <c r="AR684" s="62">
        <f t="shared" ca="1" si="140"/>
        <v>1.5218394061365395</v>
      </c>
      <c r="AS684" s="62">
        <f t="shared" ca="1" si="141"/>
        <v>0.54870184067449879</v>
      </c>
      <c r="AT684" s="49"/>
    </row>
    <row r="685" spans="1:46" x14ac:dyDescent="0.3">
      <c r="A685" s="5">
        <v>44455</v>
      </c>
      <c r="B685" s="6">
        <v>102.949997</v>
      </c>
      <c r="C685" s="6">
        <v>112.629997</v>
      </c>
      <c r="D685" s="6">
        <v>65.459998999999996</v>
      </c>
      <c r="F685" s="13">
        <v>682</v>
      </c>
      <c r="G685" s="5">
        <v>44455</v>
      </c>
      <c r="H685" s="15">
        <f t="shared" si="137"/>
        <v>-8.1262322785986118E-3</v>
      </c>
      <c r="I685" s="15">
        <f t="shared" si="137"/>
        <v>4.4491977055882053E-3</v>
      </c>
      <c r="J685" s="15">
        <f t="shared" si="137"/>
        <v>-1.5913088570465837E-2</v>
      </c>
      <c r="K685" s="22"/>
      <c r="L685" s="13">
        <v>682</v>
      </c>
      <c r="M685" s="5">
        <v>44455</v>
      </c>
      <c r="N685" s="26">
        <f t="shared" si="134"/>
        <v>1.8208347219519858</v>
      </c>
      <c r="O685" s="26">
        <f t="shared" si="135"/>
        <v>1.0681903913469197</v>
      </c>
      <c r="P685" s="26">
        <f t="shared" si="136"/>
        <v>0.86633140196748026</v>
      </c>
      <c r="Q685" s="22"/>
      <c r="AD685" s="59">
        <v>681</v>
      </c>
      <c r="AE685" s="61">
        <f t="shared" ca="1" si="138"/>
        <v>1.5001567306789716</v>
      </c>
      <c r="AF685" s="61">
        <f t="shared" ca="1" si="138"/>
        <v>-1.0922395800414488</v>
      </c>
      <c r="AG685" s="61">
        <f t="shared" ca="1" si="138"/>
        <v>-0.75356396177728746</v>
      </c>
      <c r="AH685" s="19"/>
      <c r="AI685" s="61">
        <f ca="1"/>
        <v>3.2529825823809262E-2</v>
      </c>
      <c r="AJ685" s="61">
        <f ca="1"/>
        <v>-2.5997867012178197E-4</v>
      </c>
      <c r="AK685" s="61">
        <f ca="1"/>
        <v>-4.8326943066765785E-3</v>
      </c>
      <c r="AL685" s="19"/>
      <c r="AM685" s="61">
        <f t="shared" ca="1" si="142"/>
        <v>3.2881042146319504E-2</v>
      </c>
      <c r="AN685" s="61">
        <f t="shared" ca="1" si="143"/>
        <v>-1.0926073205251292E-5</v>
      </c>
      <c r="AO685" s="61">
        <f t="shared" ca="1" si="144"/>
        <v>-4.4010257034217603E-3</v>
      </c>
      <c r="AP685" s="19"/>
      <c r="AQ685" s="62">
        <f t="shared" ca="1" si="139"/>
        <v>0.90941588772622772</v>
      </c>
      <c r="AR685" s="62">
        <f t="shared" ca="1" si="140"/>
        <v>1.5218227784986189</v>
      </c>
      <c r="AS685" s="62">
        <f t="shared" ca="1" si="141"/>
        <v>0.54629229589364281</v>
      </c>
      <c r="AT685" s="49"/>
    </row>
    <row r="686" spans="1:46" x14ac:dyDescent="0.3">
      <c r="A686" s="5">
        <v>44456</v>
      </c>
      <c r="B686" s="6">
        <v>101.05999799999999</v>
      </c>
      <c r="C686" s="6">
        <v>113.040001</v>
      </c>
      <c r="D686" s="6">
        <v>65.599997999999999</v>
      </c>
      <c r="F686" s="13">
        <v>683</v>
      </c>
      <c r="G686" s="5">
        <v>44456</v>
      </c>
      <c r="H686" s="15">
        <f t="shared" si="137"/>
        <v>-1.8529024259899964E-2</v>
      </c>
      <c r="I686" s="15">
        <f t="shared" si="137"/>
        <v>3.6336637989807402E-3</v>
      </c>
      <c r="J686" s="15">
        <f t="shared" si="137"/>
        <v>2.1364116657083911E-3</v>
      </c>
      <c r="K686" s="22"/>
      <c r="L686" s="13">
        <v>683</v>
      </c>
      <c r="M686" s="5">
        <v>44456</v>
      </c>
      <c r="N686" s="26">
        <f t="shared" si="134"/>
        <v>1.7874070783974694</v>
      </c>
      <c r="O686" s="26">
        <f t="shared" si="135"/>
        <v>1.0720788965842394</v>
      </c>
      <c r="P686" s="26">
        <f t="shared" si="136"/>
        <v>0.86818422096834891</v>
      </c>
      <c r="Q686" s="22"/>
      <c r="AD686" s="59">
        <v>682</v>
      </c>
      <c r="AE686" s="61">
        <f t="shared" ca="1" si="138"/>
        <v>0.49692707199990072</v>
      </c>
      <c r="AF686" s="61">
        <f t="shared" ca="1" si="138"/>
        <v>-2.0904104628048046</v>
      </c>
      <c r="AG686" s="61">
        <f t="shared" ca="1" si="138"/>
        <v>-0.14518290662011643</v>
      </c>
      <c r="AH686" s="19"/>
      <c r="AI686" s="61">
        <f ca="1"/>
        <v>1.0775508164387618E-2</v>
      </c>
      <c r="AJ686" s="61">
        <f ca="1"/>
        <v>-3.7659128184820798E-2</v>
      </c>
      <c r="AK686" s="61">
        <f ca="1"/>
        <v>-1.1098844203698617E-2</v>
      </c>
      <c r="AL686" s="19"/>
      <c r="AM686" s="61">
        <f t="shared" ca="1" si="142"/>
        <v>1.1126724486897862E-2</v>
      </c>
      <c r="AN686" s="61">
        <f t="shared" ca="1" si="143"/>
        <v>-3.7410075587904268E-2</v>
      </c>
      <c r="AO686" s="61">
        <f t="shared" ca="1" si="144"/>
        <v>-1.0667175600443798E-2</v>
      </c>
      <c r="AP686" s="19"/>
      <c r="AQ686" s="62">
        <f t="shared" ca="1" si="139"/>
        <v>0.9195912117880658</v>
      </c>
      <c r="AR686" s="62">
        <f t="shared" ca="1" si="140"/>
        <v>1.4659430231478596</v>
      </c>
      <c r="AS686" s="62">
        <f t="shared" ca="1" si="141"/>
        <v>0.54049587075044236</v>
      </c>
      <c r="AT686" s="49"/>
    </row>
    <row r="687" spans="1:46" x14ac:dyDescent="0.3">
      <c r="A687" s="5">
        <v>44459</v>
      </c>
      <c r="B687" s="6">
        <v>100.69000200000001</v>
      </c>
      <c r="C687" s="6">
        <v>111.050003</v>
      </c>
      <c r="D687" s="6">
        <v>62.970001000000003</v>
      </c>
      <c r="F687" s="13">
        <v>684</v>
      </c>
      <c r="G687" s="5">
        <v>44459</v>
      </c>
      <c r="H687" s="15">
        <f t="shared" si="137"/>
        <v>-3.6678702830695983E-3</v>
      </c>
      <c r="I687" s="15">
        <f t="shared" si="137"/>
        <v>-1.7761169867403771E-2</v>
      </c>
      <c r="J687" s="15">
        <f t="shared" si="137"/>
        <v>-4.0917227081008749E-2</v>
      </c>
      <c r="K687" s="22"/>
      <c r="L687" s="13">
        <v>684</v>
      </c>
      <c r="M687" s="5">
        <v>44459</v>
      </c>
      <c r="N687" s="26">
        <f t="shared" si="134"/>
        <v>1.7808631096416148</v>
      </c>
      <c r="O687" s="26">
        <f t="shared" si="135"/>
        <v>1.0532056230423819</v>
      </c>
      <c r="P687" s="26">
        <f t="shared" si="136"/>
        <v>0.83337748367859943</v>
      </c>
      <c r="Q687" s="22"/>
      <c r="AD687" s="59">
        <v>683</v>
      </c>
      <c r="AE687" s="61">
        <f t="shared" ca="1" si="138"/>
        <v>-0.38632910765562972</v>
      </c>
      <c r="AF687" s="61">
        <f t="shared" ca="1" si="138"/>
        <v>-1.0301326940127435</v>
      </c>
      <c r="AG687" s="61">
        <f t="shared" ca="1" si="138"/>
        <v>-1.1146687298992357</v>
      </c>
      <c r="AH687" s="19"/>
      <c r="AI687" s="61">
        <f ca="1"/>
        <v>-8.3772704049511967E-3</v>
      </c>
      <c r="AJ687" s="61">
        <f ca="1"/>
        <v>-2.8437936120559747E-2</v>
      </c>
      <c r="AK687" s="61">
        <f ca="1"/>
        <v>-4.1520655341869377E-2</v>
      </c>
      <c r="AL687" s="19"/>
      <c r="AM687" s="61">
        <f t="shared" ca="1" si="142"/>
        <v>-8.0260540824409528E-3</v>
      </c>
      <c r="AN687" s="61">
        <f t="shared" ca="1" si="143"/>
        <v>-2.8188883523643217E-2</v>
      </c>
      <c r="AO687" s="61">
        <f t="shared" ca="1" si="144"/>
        <v>-4.1088986738614559E-2</v>
      </c>
      <c r="AP687" s="19"/>
      <c r="AQ687" s="62">
        <f t="shared" ca="1" si="139"/>
        <v>0.91224006281002157</v>
      </c>
      <c r="AR687" s="62">
        <f t="shared" ca="1" si="140"/>
        <v>1.425196720499015</v>
      </c>
      <c r="AS687" s="62">
        <f t="shared" ca="1" si="141"/>
        <v>0.51873751854889372</v>
      </c>
      <c r="AT687" s="49"/>
    </row>
    <row r="688" spans="1:46" x14ac:dyDescent="0.3">
      <c r="A688" s="5">
        <v>44460</v>
      </c>
      <c r="B688" s="6">
        <v>100.300003</v>
      </c>
      <c r="C688" s="6">
        <v>110.19000200000001</v>
      </c>
      <c r="D688" s="6">
        <v>63.32</v>
      </c>
      <c r="F688" s="13">
        <v>685</v>
      </c>
      <c r="G688" s="5">
        <v>44460</v>
      </c>
      <c r="H688" s="15">
        <f t="shared" si="137"/>
        <v>-3.880784912310439E-3</v>
      </c>
      <c r="I688" s="15">
        <f t="shared" si="137"/>
        <v>-7.7744107051413479E-3</v>
      </c>
      <c r="J688" s="15">
        <f t="shared" si="137"/>
        <v>5.5427966315821928E-3</v>
      </c>
      <c r="K688" s="22"/>
      <c r="L688" s="13">
        <v>685</v>
      </c>
      <c r="M688" s="5">
        <v>44460</v>
      </c>
      <c r="N688" s="26">
        <f t="shared" si="134"/>
        <v>1.7739653559609949</v>
      </c>
      <c r="O688" s="26">
        <f t="shared" si="135"/>
        <v>1.0450493162926913</v>
      </c>
      <c r="P688" s="26">
        <f t="shared" si="136"/>
        <v>0.83800955103254515</v>
      </c>
      <c r="Q688" s="22"/>
      <c r="AD688" s="59">
        <v>684</v>
      </c>
      <c r="AE688" s="61">
        <f t="shared" ca="1" si="138"/>
        <v>0.36754328955414123</v>
      </c>
      <c r="AF688" s="61">
        <f t="shared" ca="1" si="138"/>
        <v>-1.8719091239583747</v>
      </c>
      <c r="AG688" s="61">
        <f t="shared" ca="1" si="138"/>
        <v>-0.47832980660457564</v>
      </c>
      <c r="AH688" s="19"/>
      <c r="AI688" s="61">
        <f ca="1"/>
        <v>7.9699133746477038E-3</v>
      </c>
      <c r="AJ688" s="61">
        <f ca="1"/>
        <v>-3.4934937919298144E-2</v>
      </c>
      <c r="AK688" s="61">
        <f ca="1"/>
        <v>-2.0006981775890897E-2</v>
      </c>
      <c r="AL688" s="19"/>
      <c r="AM688" s="61">
        <f t="shared" ca="1" si="142"/>
        <v>8.3211296971579477E-3</v>
      </c>
      <c r="AN688" s="61">
        <f t="shared" ca="1" si="143"/>
        <v>-3.4685885322381614E-2</v>
      </c>
      <c r="AO688" s="61">
        <f t="shared" ca="1" si="144"/>
        <v>-1.9575313172636079E-2</v>
      </c>
      <c r="AP688" s="19"/>
      <c r="AQ688" s="62">
        <f t="shared" ca="1" si="139"/>
        <v>0.91986260076833837</v>
      </c>
      <c r="AR688" s="62">
        <f t="shared" ca="1" si="140"/>
        <v>1.3766100180518073</v>
      </c>
      <c r="AS688" s="62">
        <f t="shared" ca="1" si="141"/>
        <v>0.50868181207481855</v>
      </c>
      <c r="AT688" s="49"/>
    </row>
    <row r="689" spans="1:46" x14ac:dyDescent="0.3">
      <c r="A689" s="5">
        <v>44461</v>
      </c>
      <c r="B689" s="6">
        <v>100.949997</v>
      </c>
      <c r="C689" s="6">
        <v>113.25</v>
      </c>
      <c r="D689" s="6">
        <v>65.319999999999993</v>
      </c>
      <c r="F689" s="13">
        <v>686</v>
      </c>
      <c r="G689" s="5">
        <v>44461</v>
      </c>
      <c r="H689" s="15">
        <f t="shared" si="137"/>
        <v>6.4595901630053621E-3</v>
      </c>
      <c r="I689" s="15">
        <f t="shared" si="137"/>
        <v>2.7391597712990441E-2</v>
      </c>
      <c r="J689" s="15">
        <f t="shared" si="137"/>
        <v>3.1097033089452792E-2</v>
      </c>
      <c r="K689" s="22"/>
      <c r="L689" s="13">
        <v>686</v>
      </c>
      <c r="M689" s="5">
        <v>44461</v>
      </c>
      <c r="N689" s="26">
        <f t="shared" si="134"/>
        <v>1.7854615354534571</v>
      </c>
      <c r="O689" s="26">
        <f t="shared" si="135"/>
        <v>1.0740705410836391</v>
      </c>
      <c r="P689" s="26">
        <f t="shared" si="136"/>
        <v>0.86447858296661151</v>
      </c>
      <c r="Q689" s="22"/>
      <c r="AD689" s="59">
        <v>685</v>
      </c>
      <c r="AE689" s="61">
        <f t="shared" ca="1" si="138"/>
        <v>2.482361652436705E-2</v>
      </c>
      <c r="AF689" s="61">
        <f t="shared" ca="1" si="138"/>
        <v>0.87449235374853096</v>
      </c>
      <c r="AG689" s="61">
        <f t="shared" ca="1" si="138"/>
        <v>0.93935633032429533</v>
      </c>
      <c r="AH689" s="19"/>
      <c r="AI689" s="61">
        <f ca="1"/>
        <v>5.3828237099547269E-4</v>
      </c>
      <c r="AJ689" s="61">
        <f ca="1"/>
        <v>1.9396528837029161E-2</v>
      </c>
      <c r="AK689" s="61">
        <f ca="1"/>
        <v>3.05916275237842E-2</v>
      </c>
      <c r="AL689" s="19"/>
      <c r="AM689" s="61">
        <f t="shared" ca="1" si="142"/>
        <v>8.894986935057169E-4</v>
      </c>
      <c r="AN689" s="61">
        <f t="shared" ca="1" si="143"/>
        <v>1.9645581433945691E-2</v>
      </c>
      <c r="AO689" s="61">
        <f t="shared" ca="1" si="144"/>
        <v>3.1023296127039017E-2</v>
      </c>
      <c r="AP689" s="19"/>
      <c r="AQ689" s="62">
        <f t="shared" ca="1" si="139"/>
        <v>0.92068118135913724</v>
      </c>
      <c r="AR689" s="62">
        <f t="shared" ca="1" si="140"/>
        <v>1.4039217210020096</v>
      </c>
      <c r="AS689" s="62">
        <f t="shared" ca="1" si="141"/>
        <v>0.52471013881757467</v>
      </c>
      <c r="AT689" s="49"/>
    </row>
    <row r="690" spans="1:46" x14ac:dyDescent="0.3">
      <c r="A690" s="5">
        <v>44462</v>
      </c>
      <c r="B690" s="6">
        <v>102.599998</v>
      </c>
      <c r="C690" s="6">
        <v>115.660004</v>
      </c>
      <c r="D690" s="6">
        <v>67.169998000000007</v>
      </c>
      <c r="F690" s="13">
        <v>687</v>
      </c>
      <c r="G690" s="5">
        <v>44462</v>
      </c>
      <c r="H690" s="15">
        <f t="shared" si="137"/>
        <v>1.6212598202327608E-2</v>
      </c>
      <c r="I690" s="15">
        <f t="shared" si="137"/>
        <v>2.1057122951054143E-2</v>
      </c>
      <c r="J690" s="15">
        <f t="shared" si="137"/>
        <v>2.7928421401311288E-2</v>
      </c>
      <c r="K690" s="22"/>
      <c r="L690" s="13">
        <v>687</v>
      </c>
      <c r="M690" s="5">
        <v>44462</v>
      </c>
      <c r="N690" s="26">
        <f t="shared" si="134"/>
        <v>1.8146444320013366</v>
      </c>
      <c r="O690" s="26">
        <f t="shared" si="135"/>
        <v>1.0969271794968289</v>
      </c>
      <c r="P690" s="26">
        <f t="shared" si="136"/>
        <v>0.88896241103659124</v>
      </c>
      <c r="Q690" s="22"/>
      <c r="AD690" s="59">
        <v>686</v>
      </c>
      <c r="AE690" s="61">
        <f t="shared" ca="1" si="138"/>
        <v>1.9093541825201492</v>
      </c>
      <c r="AF690" s="61">
        <f t="shared" ca="1" si="138"/>
        <v>1.1566520773580127</v>
      </c>
      <c r="AG690" s="61">
        <f t="shared" ca="1" si="138"/>
        <v>0.21255207815788774</v>
      </c>
      <c r="AH690" s="19"/>
      <c r="AI690" s="61">
        <f ca="1"/>
        <v>4.1402979917458838E-2</v>
      </c>
      <c r="AJ690" s="61">
        <f ca="1"/>
        <v>5.502686679449912E-2</v>
      </c>
      <c r="AK690" s="61">
        <f ca="1"/>
        <v>4.1803002138678158E-2</v>
      </c>
      <c r="AL690" s="19"/>
      <c r="AM690" s="61">
        <f t="shared" ca="1" si="142"/>
        <v>4.175419623996908E-2</v>
      </c>
      <c r="AN690" s="61">
        <f t="shared" ca="1" si="143"/>
        <v>5.527591939141565E-2</v>
      </c>
      <c r="AO690" s="61">
        <f t="shared" ca="1" si="144"/>
        <v>4.2234670741932975E-2</v>
      </c>
      <c r="AP690" s="19"/>
      <c r="AQ690" s="62">
        <f t="shared" ca="1" si="139"/>
        <v>0.95993733552087179</v>
      </c>
      <c r="AR690" s="62">
        <f t="shared" ca="1" si="140"/>
        <v>1.483709645852928</v>
      </c>
      <c r="AS690" s="62">
        <f t="shared" ca="1" si="141"/>
        <v>0.54734573767766603</v>
      </c>
      <c r="AT690" s="49"/>
    </row>
    <row r="691" spans="1:46" x14ac:dyDescent="0.3">
      <c r="A691" s="5">
        <v>44463</v>
      </c>
      <c r="B691" s="6">
        <v>103.160004</v>
      </c>
      <c r="C691" s="6">
        <v>116.470001</v>
      </c>
      <c r="D691" s="6">
        <v>67.629997000000003</v>
      </c>
      <c r="F691" s="13">
        <v>688</v>
      </c>
      <c r="G691" s="5">
        <v>44463</v>
      </c>
      <c r="H691" s="15">
        <f t="shared" si="137"/>
        <v>5.4433065443706035E-3</v>
      </c>
      <c r="I691" s="15">
        <f t="shared" si="137"/>
        <v>6.9788503862648656E-3</v>
      </c>
      <c r="J691" s="15">
        <f t="shared" si="137"/>
        <v>6.8249377242598584E-3</v>
      </c>
      <c r="K691" s="22"/>
      <c r="L691" s="13">
        <v>688</v>
      </c>
      <c r="M691" s="5">
        <v>44463</v>
      </c>
      <c r="N691" s="26">
        <f t="shared" si="134"/>
        <v>1.8245490303404841</v>
      </c>
      <c r="O691" s="26">
        <f t="shared" si="135"/>
        <v>1.1046092449808564</v>
      </c>
      <c r="P691" s="26">
        <f t="shared" si="136"/>
        <v>0.89505027514691049</v>
      </c>
      <c r="Q691" s="22"/>
      <c r="AD691" s="59">
        <v>687</v>
      </c>
      <c r="AE691" s="61">
        <f t="shared" ca="1" si="138"/>
        <v>-0.26083216556077998</v>
      </c>
      <c r="AF691" s="61">
        <f t="shared" ca="1" si="138"/>
        <v>-1.3726447121506848</v>
      </c>
      <c r="AG691" s="61">
        <f t="shared" ca="1" si="138"/>
        <v>-0.19668226479595907</v>
      </c>
      <c r="AH691" s="19"/>
      <c r="AI691" s="61">
        <f ca="1"/>
        <v>-5.6559589684331973E-3</v>
      </c>
      <c r="AJ691" s="61">
        <f ca="1"/>
        <v>-3.3918462833873647E-2</v>
      </c>
      <c r="AK691" s="61">
        <f ca="1"/>
        <v>-1.8559724885027412E-2</v>
      </c>
      <c r="AL691" s="19"/>
      <c r="AM691" s="61">
        <f t="shared" ca="1" si="142"/>
        <v>-5.3047426459229535E-3</v>
      </c>
      <c r="AN691" s="61">
        <f t="shared" ca="1" si="143"/>
        <v>-3.3669410236957117E-2</v>
      </c>
      <c r="AO691" s="61">
        <f t="shared" ca="1" si="144"/>
        <v>-1.8128056281772595E-2</v>
      </c>
      <c r="AP691" s="19"/>
      <c r="AQ691" s="62">
        <f t="shared" ca="1" si="139"/>
        <v>0.95485859760827629</v>
      </c>
      <c r="AR691" s="62">
        <f t="shared" ca="1" si="140"/>
        <v>1.4345856457819488</v>
      </c>
      <c r="AS691" s="62">
        <f t="shared" ca="1" si="141"/>
        <v>0.53751281847410692</v>
      </c>
      <c r="AT691" s="49"/>
    </row>
    <row r="692" spans="1:46" x14ac:dyDescent="0.3">
      <c r="A692" s="5">
        <v>44466</v>
      </c>
      <c r="B692" s="6">
        <v>103.269997</v>
      </c>
      <c r="C692" s="6">
        <v>117.970001</v>
      </c>
      <c r="D692" s="6">
        <v>70.779999000000004</v>
      </c>
      <c r="F692" s="13">
        <v>689</v>
      </c>
      <c r="G692" s="5">
        <v>44466</v>
      </c>
      <c r="H692" s="15">
        <f t="shared" si="137"/>
        <v>1.0656688453871803E-3</v>
      </c>
      <c r="I692" s="15">
        <f t="shared" si="137"/>
        <v>1.2796625630020105E-2</v>
      </c>
      <c r="J692" s="15">
        <f t="shared" si="137"/>
        <v>4.5524833561197041E-2</v>
      </c>
      <c r="K692" s="22"/>
      <c r="L692" s="13">
        <v>689</v>
      </c>
      <c r="M692" s="5">
        <v>44466</v>
      </c>
      <c r="N692" s="26">
        <f t="shared" si="134"/>
        <v>1.8264944317917506</v>
      </c>
      <c r="O692" s="26">
        <f t="shared" si="135"/>
        <v>1.1188353448627588</v>
      </c>
      <c r="P692" s="26">
        <f t="shared" si="136"/>
        <v>0.93673902691209721</v>
      </c>
      <c r="Q692" s="22"/>
      <c r="AD692" s="59">
        <v>688</v>
      </c>
      <c r="AE692" s="61">
        <f t="shared" ca="1" si="138"/>
        <v>0.87787354846889243</v>
      </c>
      <c r="AF692" s="61">
        <f t="shared" ca="1" si="138"/>
        <v>1.8034412170913858</v>
      </c>
      <c r="AG692" s="61">
        <f t="shared" ca="1" si="138"/>
        <v>0.38285595538903866</v>
      </c>
      <c r="AH692" s="19"/>
      <c r="AI692" s="61">
        <f ca="1"/>
        <v>1.9036060061602699E-2</v>
      </c>
      <c r="AJ692" s="61">
        <f ca="1"/>
        <v>5.2940403487178343E-2</v>
      </c>
      <c r="AK692" s="61">
        <f ca="1"/>
        <v>3.548047730023017E-2</v>
      </c>
      <c r="AL692" s="19"/>
      <c r="AM692" s="61">
        <f t="shared" ca="1" si="142"/>
        <v>1.9387276384112945E-2</v>
      </c>
      <c r="AN692" s="61">
        <f t="shared" ca="1" si="143"/>
        <v>5.3189456084094873E-2</v>
      </c>
      <c r="AO692" s="61">
        <f t="shared" ca="1" si="144"/>
        <v>3.5912145903484988E-2</v>
      </c>
      <c r="AP692" s="19"/>
      <c r="AQ692" s="62">
        <f t="shared" ca="1" si="139"/>
        <v>0.97355132014327372</v>
      </c>
      <c r="AR692" s="62">
        <f t="shared" ca="1" si="140"/>
        <v>1.5129562449897507</v>
      </c>
      <c r="AS692" s="62">
        <f t="shared" ca="1" si="141"/>
        <v>0.55716685429414026</v>
      </c>
      <c r="AT692" s="49"/>
    </row>
    <row r="693" spans="1:46" x14ac:dyDescent="0.3">
      <c r="A693" s="5">
        <v>44467</v>
      </c>
      <c r="B693" s="6">
        <v>102.33000199999999</v>
      </c>
      <c r="C693" s="6">
        <v>119.010002</v>
      </c>
      <c r="D693" s="6">
        <v>71.169998000000007</v>
      </c>
      <c r="F693" s="13">
        <v>690</v>
      </c>
      <c r="G693" s="5">
        <v>44467</v>
      </c>
      <c r="H693" s="15">
        <f t="shared" si="137"/>
        <v>-9.1439839899748951E-3</v>
      </c>
      <c r="I693" s="15">
        <f t="shared" si="137"/>
        <v>8.7771766691763613E-3</v>
      </c>
      <c r="J693" s="15">
        <f t="shared" si="137"/>
        <v>5.494892420418806E-3</v>
      </c>
      <c r="K693" s="22"/>
      <c r="L693" s="13">
        <v>690</v>
      </c>
      <c r="M693" s="5">
        <v>44467</v>
      </c>
      <c r="N693" s="26">
        <f t="shared" si="134"/>
        <v>1.8098691225704082</v>
      </c>
      <c r="O693" s="26">
        <f t="shared" si="135"/>
        <v>1.128698783598278</v>
      </c>
      <c r="P693" s="26">
        <f t="shared" si="136"/>
        <v>0.94190047490472428</v>
      </c>
      <c r="Q693" s="22"/>
      <c r="AD693" s="59">
        <v>689</v>
      </c>
      <c r="AE693" s="61">
        <f t="shared" ca="1" si="138"/>
        <v>-0.8908501387861737</v>
      </c>
      <c r="AF693" s="61">
        <f t="shared" ca="1" si="138"/>
        <v>-0.18580281227649761</v>
      </c>
      <c r="AG693" s="61">
        <f t="shared" ca="1" si="138"/>
        <v>-1.1183193617865252</v>
      </c>
      <c r="AH693" s="19"/>
      <c r="AI693" s="61">
        <f ca="1"/>
        <v>-1.9317448142044825E-2</v>
      </c>
      <c r="AJ693" s="61">
        <f ca="1"/>
        <v>-1.7982500606559482E-2</v>
      </c>
      <c r="AK693" s="61">
        <f ca="1"/>
        <v>-4.3122598104515818E-2</v>
      </c>
      <c r="AL693" s="19"/>
      <c r="AM693" s="61">
        <f t="shared" ca="1" si="142"/>
        <v>-1.8966231819534579E-2</v>
      </c>
      <c r="AN693" s="61">
        <f t="shared" ca="1" si="143"/>
        <v>-1.7733448009642952E-2</v>
      </c>
      <c r="AO693" s="61">
        <f t="shared" ca="1" si="144"/>
        <v>-4.2690929501261E-2</v>
      </c>
      <c r="AP693" s="19"/>
      <c r="AQ693" s="62">
        <f t="shared" ca="1" si="139"/>
        <v>0.95526072028058218</v>
      </c>
      <c r="AR693" s="62">
        <f t="shared" ca="1" si="140"/>
        <v>1.4863628076585254</v>
      </c>
      <c r="AS693" s="62">
        <f t="shared" ca="1" si="141"/>
        <v>0.53388145740771076</v>
      </c>
      <c r="AT693" s="49"/>
    </row>
    <row r="694" spans="1:46" x14ac:dyDescent="0.3">
      <c r="A694" s="5">
        <v>44468</v>
      </c>
      <c r="B694" s="6">
        <v>102.540001</v>
      </c>
      <c r="C694" s="6">
        <v>116.889999</v>
      </c>
      <c r="D694" s="6">
        <v>70.309997999999993</v>
      </c>
      <c r="F694" s="13">
        <v>691</v>
      </c>
      <c r="G694" s="5">
        <v>44468</v>
      </c>
      <c r="H694" s="15">
        <f t="shared" si="137"/>
        <v>2.0500714645719123E-3</v>
      </c>
      <c r="I694" s="15">
        <f t="shared" si="137"/>
        <v>-1.7974226935031659E-2</v>
      </c>
      <c r="J694" s="15">
        <f t="shared" si="137"/>
        <v>-1.2157345443837588E-2</v>
      </c>
      <c r="K694" s="22"/>
      <c r="L694" s="13">
        <v>691</v>
      </c>
      <c r="M694" s="5">
        <v>44468</v>
      </c>
      <c r="N694" s="26">
        <f t="shared" si="134"/>
        <v>1.8135832894661605</v>
      </c>
      <c r="O694" s="26">
        <f t="shared" si="135"/>
        <v>1.1085925339796561</v>
      </c>
      <c r="P694" s="26">
        <f t="shared" si="136"/>
        <v>0.93051879117307545</v>
      </c>
      <c r="Q694" s="22"/>
      <c r="AD694" s="59">
        <v>690</v>
      </c>
      <c r="AE694" s="61">
        <f t="shared" ca="1" si="138"/>
        <v>-0.70761343921941899</v>
      </c>
      <c r="AF694" s="61">
        <f t="shared" ca="1" si="138"/>
        <v>-0.5658307094117776</v>
      </c>
      <c r="AG694" s="61">
        <f t="shared" ca="1" si="138"/>
        <v>0.26891904362258628</v>
      </c>
      <c r="AH694" s="19"/>
      <c r="AI694" s="61">
        <f ca="1"/>
        <v>-1.534409135902496E-2</v>
      </c>
      <c r="AJ694" s="61">
        <f ca="1"/>
        <v>-2.337471093124862E-2</v>
      </c>
      <c r="AK694" s="61">
        <f ca="1"/>
        <v>-7.5505216576762591E-3</v>
      </c>
      <c r="AL694" s="19"/>
      <c r="AM694" s="61">
        <f t="shared" ca="1" si="142"/>
        <v>-1.4992875036514716E-2</v>
      </c>
      <c r="AN694" s="61">
        <f t="shared" ca="1" si="143"/>
        <v>-2.312565833433209E-2</v>
      </c>
      <c r="AO694" s="61">
        <f t="shared" ca="1" si="144"/>
        <v>-7.118853054421441E-3</v>
      </c>
      <c r="AP694" s="19"/>
      <c r="AQ694" s="62">
        <f t="shared" ca="1" si="139"/>
        <v>0.94104544587277672</v>
      </c>
      <c r="AR694" s="62">
        <f t="shared" ca="1" si="140"/>
        <v>1.452384093567519</v>
      </c>
      <c r="AS694" s="62">
        <f t="shared" ca="1" si="141"/>
        <v>0.53009432976023474</v>
      </c>
      <c r="AT694" s="49"/>
    </row>
    <row r="695" spans="1:46" x14ac:dyDescent="0.3">
      <c r="A695" s="5">
        <v>44469</v>
      </c>
      <c r="B695" s="6">
        <v>100.33000199999999</v>
      </c>
      <c r="C695" s="6">
        <v>111.040001</v>
      </c>
      <c r="D695" s="6">
        <v>70.569999999999993</v>
      </c>
      <c r="F695" s="13">
        <v>692</v>
      </c>
      <c r="G695" s="5">
        <v>44469</v>
      </c>
      <c r="H695" s="15">
        <f t="shared" si="137"/>
        <v>-2.1788203236108045E-2</v>
      </c>
      <c r="I695" s="15">
        <f t="shared" si="137"/>
        <v>-5.134280730036906E-2</v>
      </c>
      <c r="J695" s="15">
        <f t="shared" si="137"/>
        <v>3.6911172471252511E-3</v>
      </c>
      <c r="K695" s="22"/>
      <c r="L695" s="13">
        <v>692</v>
      </c>
      <c r="M695" s="5">
        <v>44469</v>
      </c>
      <c r="N695" s="26">
        <f t="shared" si="134"/>
        <v>1.7744959360718795</v>
      </c>
      <c r="O695" s="26">
        <f t="shared" si="135"/>
        <v>1.0531107634083694</v>
      </c>
      <c r="P695" s="26">
        <f t="shared" si="136"/>
        <v>0.93395979179353605</v>
      </c>
      <c r="Q695" s="22"/>
      <c r="AD695" s="59">
        <v>691</v>
      </c>
      <c r="AE695" s="61">
        <f t="shared" ca="1" si="138"/>
        <v>-1.3031664811069239</v>
      </c>
      <c r="AF695" s="61">
        <f t="shared" ca="1" si="138"/>
        <v>0.12684112752636117</v>
      </c>
      <c r="AG695" s="61">
        <f t="shared" ca="1" si="138"/>
        <v>-0.45522221865523865</v>
      </c>
      <c r="AH695" s="19"/>
      <c r="AI695" s="61">
        <f ca="1"/>
        <v>-2.8258233145178183E-2</v>
      </c>
      <c r="AJ695" s="61">
        <f ca="1"/>
        <v>-1.7640581143733874E-2</v>
      </c>
      <c r="AK695" s="61">
        <f ca="1"/>
        <v>-3.0024495514694993E-2</v>
      </c>
      <c r="AL695" s="19"/>
      <c r="AM695" s="61">
        <f t="shared" ca="1" si="142"/>
        <v>-2.7907016822667937E-2</v>
      </c>
      <c r="AN695" s="61">
        <f t="shared" ca="1" si="143"/>
        <v>-1.7391528546817345E-2</v>
      </c>
      <c r="AO695" s="61">
        <f t="shared" ca="1" si="144"/>
        <v>-2.9592826911440176E-2</v>
      </c>
      <c r="AP695" s="19"/>
      <c r="AQ695" s="62">
        <f t="shared" ca="1" si="139"/>
        <v>0.91514673349298792</v>
      </c>
      <c r="AR695" s="62">
        <f t="shared" ca="1" si="140"/>
        <v>1.4273432941930277</v>
      </c>
      <c r="AS695" s="62">
        <f t="shared" ca="1" si="141"/>
        <v>0.51463717842959888</v>
      </c>
      <c r="AT695" s="49"/>
    </row>
    <row r="696" spans="1:46" x14ac:dyDescent="0.3">
      <c r="A696" s="5">
        <v>44470</v>
      </c>
      <c r="B696" s="6">
        <v>103.389999</v>
      </c>
      <c r="C696" s="6">
        <v>114.790001</v>
      </c>
      <c r="D696" s="6">
        <v>73.620002999999997</v>
      </c>
      <c r="F696" s="13">
        <v>693</v>
      </c>
      <c r="G696" s="5">
        <v>44470</v>
      </c>
      <c r="H696" s="15">
        <f t="shared" si="137"/>
        <v>3.0043463054748164E-2</v>
      </c>
      <c r="I696" s="15">
        <f t="shared" si="137"/>
        <v>3.3213875024707538E-2</v>
      </c>
      <c r="J696" s="15">
        <f t="shared" si="137"/>
        <v>4.2311643687931708E-2</v>
      </c>
      <c r="K696" s="22"/>
      <c r="L696" s="13">
        <v>693</v>
      </c>
      <c r="M696" s="5">
        <v>44470</v>
      </c>
      <c r="N696" s="26">
        <f t="shared" si="134"/>
        <v>1.8286168583548488</v>
      </c>
      <c r="O696" s="26">
        <f t="shared" si="135"/>
        <v>1.0886760131131257</v>
      </c>
      <c r="P696" s="26">
        <f t="shared" si="136"/>
        <v>0.97432510519653537</v>
      </c>
      <c r="Q696" s="22"/>
      <c r="AD696" s="59">
        <v>692</v>
      </c>
      <c r="AE696" s="61">
        <f t="shared" ca="1" si="138"/>
        <v>7.8893885003581576E-2</v>
      </c>
      <c r="AF696" s="61">
        <f t="shared" ca="1" si="138"/>
        <v>-1.0677206382513559E-2</v>
      </c>
      <c r="AG696" s="61">
        <f t="shared" ca="1" si="138"/>
        <v>0.85690526238341846</v>
      </c>
      <c r="AH696" s="19"/>
      <c r="AI696" s="61">
        <f ca="1"/>
        <v>1.7107574730332281E-3</v>
      </c>
      <c r="AJ696" s="61">
        <f ca="1"/>
        <v>1.0027938017544162E-3</v>
      </c>
      <c r="AK696" s="61">
        <f ca="1"/>
        <v>2.3044380782982765E-2</v>
      </c>
      <c r="AL696" s="19"/>
      <c r="AM696" s="61">
        <f t="shared" ca="1" si="142"/>
        <v>2.0619737955434722E-3</v>
      </c>
      <c r="AN696" s="61">
        <f t="shared" ca="1" si="143"/>
        <v>1.251846398670947E-3</v>
      </c>
      <c r="AO696" s="61">
        <f t="shared" ca="1" si="144"/>
        <v>2.3476049386237582E-2</v>
      </c>
      <c r="AP696" s="19"/>
      <c r="AQ696" s="62">
        <f t="shared" ca="1" si="139"/>
        <v>0.91703568889552001</v>
      </c>
      <c r="AR696" s="62">
        <f t="shared" ca="1" si="140"/>
        <v>1.4291312276310559</v>
      </c>
      <c r="AS696" s="62">
        <f t="shared" ca="1" si="141"/>
        <v>0.52686175722012762</v>
      </c>
      <c r="AT696" s="49"/>
    </row>
    <row r="697" spans="1:46" x14ac:dyDescent="0.3">
      <c r="A697" s="5">
        <v>44473</v>
      </c>
      <c r="B697" s="6">
        <v>102.589996</v>
      </c>
      <c r="C697" s="6">
        <v>117.360001</v>
      </c>
      <c r="D697" s="6">
        <v>75.019997000000004</v>
      </c>
      <c r="F697" s="13">
        <v>694</v>
      </c>
      <c r="G697" s="5">
        <v>44473</v>
      </c>
      <c r="H697" s="15">
        <f t="shared" si="137"/>
        <v>-7.7678128170208145E-3</v>
      </c>
      <c r="I697" s="15">
        <f t="shared" si="137"/>
        <v>2.2141761566551229E-2</v>
      </c>
      <c r="J697" s="15">
        <f t="shared" si="137"/>
        <v>1.8837935963733957E-2</v>
      </c>
      <c r="K697" s="22"/>
      <c r="L697" s="13">
        <v>694</v>
      </c>
      <c r="M697" s="5">
        <v>44473</v>
      </c>
      <c r="N697" s="26">
        <f t="shared" si="134"/>
        <v>1.8144675306956575</v>
      </c>
      <c r="O697" s="26">
        <f t="shared" si="135"/>
        <v>1.1130500642441186</v>
      </c>
      <c r="P697" s="26">
        <f t="shared" si="136"/>
        <v>0.99285334814328619</v>
      </c>
      <c r="Q697" s="22"/>
      <c r="AD697" s="59">
        <v>693</v>
      </c>
      <c r="AE697" s="61">
        <f t="shared" ca="1" si="138"/>
        <v>0.28749056007103801</v>
      </c>
      <c r="AF697" s="61">
        <f t="shared" ca="1" si="138"/>
        <v>-0.59627289358605373</v>
      </c>
      <c r="AG697" s="61">
        <f t="shared" ca="1" si="138"/>
        <v>-0.40739939945095499</v>
      </c>
      <c r="AH697" s="19"/>
      <c r="AI697" s="61">
        <f ca="1"/>
        <v>6.2340271878575729E-3</v>
      </c>
      <c r="AJ697" s="61">
        <f ca="1"/>
        <v>-8.4606987222397134E-3</v>
      </c>
      <c r="AK697" s="61">
        <f ca="1"/>
        <v>-1.038895272405984E-2</v>
      </c>
      <c r="AL697" s="19"/>
      <c r="AM697" s="61">
        <f t="shared" ca="1" si="142"/>
        <v>6.5852435103678168E-3</v>
      </c>
      <c r="AN697" s="61">
        <f t="shared" ca="1" si="143"/>
        <v>-8.2116461253231819E-3</v>
      </c>
      <c r="AO697" s="61">
        <f t="shared" ca="1" si="144"/>
        <v>-9.9572841208050208E-3</v>
      </c>
      <c r="AP697" s="19"/>
      <c r="AQ697" s="62">
        <f t="shared" ca="1" si="139"/>
        <v>0.92309451975760004</v>
      </c>
      <c r="AR697" s="62">
        <f t="shared" ca="1" si="140"/>
        <v>1.4174437600718068</v>
      </c>
      <c r="AS697" s="62">
        <f t="shared" ca="1" si="141"/>
        <v>0.52164167705154285</v>
      </c>
      <c r="AT697" s="49"/>
    </row>
    <row r="698" spans="1:46" x14ac:dyDescent="0.3">
      <c r="A698" s="5">
        <v>44474</v>
      </c>
      <c r="B698" s="6">
        <v>104.029999</v>
      </c>
      <c r="C698" s="6">
        <v>119.449997</v>
      </c>
      <c r="D698" s="6">
        <v>74.300003000000004</v>
      </c>
      <c r="F698" s="13">
        <v>695</v>
      </c>
      <c r="G698" s="5">
        <v>44474</v>
      </c>
      <c r="H698" s="15">
        <f t="shared" si="137"/>
        <v>1.3938886360726398E-2</v>
      </c>
      <c r="I698" s="15">
        <f t="shared" si="137"/>
        <v>1.7651706301190378E-2</v>
      </c>
      <c r="J698" s="15">
        <f t="shared" si="137"/>
        <v>-9.6437125638410628E-3</v>
      </c>
      <c r="K698" s="22"/>
      <c r="L698" s="13">
        <v>695</v>
      </c>
      <c r="M698" s="5">
        <v>44474</v>
      </c>
      <c r="N698" s="26">
        <f t="shared" si="134"/>
        <v>1.839936278034378</v>
      </c>
      <c r="O698" s="26">
        <f t="shared" si="135"/>
        <v>1.1328717254766363</v>
      </c>
      <c r="P698" s="26">
        <f t="shared" si="136"/>
        <v>0.98332457605411805</v>
      </c>
      <c r="Q698" s="22"/>
      <c r="AD698" s="59">
        <v>694</v>
      </c>
      <c r="AE698" s="61">
        <f t="shared" ca="1" si="138"/>
        <v>0.22382328831745277</v>
      </c>
      <c r="AF698" s="61">
        <f t="shared" ca="1" si="138"/>
        <v>-0.67789082488273322</v>
      </c>
      <c r="AG698" s="61">
        <f t="shared" ca="1" si="138"/>
        <v>1.2982515234670293</v>
      </c>
      <c r="AH698" s="19"/>
      <c r="AI698" s="61">
        <f ca="1"/>
        <v>4.8534479333926846E-3</v>
      </c>
      <c r="AJ698" s="61">
        <f ca="1"/>
        <v>-1.1231289166178368E-2</v>
      </c>
      <c r="AK698" s="61">
        <f ca="1"/>
        <v>3.1794237580207836E-2</v>
      </c>
      <c r="AL698" s="19"/>
      <c r="AM698" s="61">
        <f t="shared" ca="1" si="142"/>
        <v>5.2046642559029285E-3</v>
      </c>
      <c r="AN698" s="61">
        <f t="shared" ca="1" si="143"/>
        <v>-1.0982236569261837E-2</v>
      </c>
      <c r="AO698" s="61">
        <f t="shared" ca="1" si="144"/>
        <v>3.2225906183462653E-2</v>
      </c>
      <c r="AP698" s="19"/>
      <c r="AQ698" s="62">
        <f t="shared" ca="1" si="139"/>
        <v>0.92791144116513391</v>
      </c>
      <c r="AR698" s="62">
        <f t="shared" ca="1" si="140"/>
        <v>1.4019622239227043</v>
      </c>
      <c r="AS698" s="62">
        <f t="shared" ca="1" si="141"/>
        <v>0.53872585080780022</v>
      </c>
      <c r="AT698" s="49"/>
    </row>
    <row r="699" spans="1:46" x14ac:dyDescent="0.3">
      <c r="A699" s="5">
        <v>44475</v>
      </c>
      <c r="B699" s="6">
        <v>103.720001</v>
      </c>
      <c r="C699" s="6">
        <v>115.269997</v>
      </c>
      <c r="D699" s="6">
        <v>75.370002999999997</v>
      </c>
      <c r="F699" s="13">
        <v>696</v>
      </c>
      <c r="G699" s="5">
        <v>44475</v>
      </c>
      <c r="H699" s="15">
        <f t="shared" si="137"/>
        <v>-2.9843391583864592E-3</v>
      </c>
      <c r="I699" s="15">
        <f t="shared" si="137"/>
        <v>-3.5620672069638773E-2</v>
      </c>
      <c r="J699" s="15">
        <f t="shared" si="137"/>
        <v>1.4298365558449697E-2</v>
      </c>
      <c r="K699" s="22"/>
      <c r="L699" s="13">
        <v>696</v>
      </c>
      <c r="M699" s="5">
        <v>44475</v>
      </c>
      <c r="N699" s="26">
        <f t="shared" si="134"/>
        <v>1.8344534695002923</v>
      </c>
      <c r="O699" s="26">
        <f t="shared" si="135"/>
        <v>1.0932283271390681</v>
      </c>
      <c r="P699" s="26">
        <f t="shared" si="136"/>
        <v>0.99748550813884362</v>
      </c>
      <c r="Q699" s="22"/>
      <c r="AD699" s="59">
        <v>695</v>
      </c>
      <c r="AE699" s="61">
        <f t="shared" ca="1" si="138"/>
        <v>-0.38724297889974213</v>
      </c>
      <c r="AF699" s="61">
        <f t="shared" ca="1" si="138"/>
        <v>-3.1132230928187121E-2</v>
      </c>
      <c r="AG699" s="61">
        <f t="shared" ca="1" si="138"/>
        <v>7.3547614405864548E-2</v>
      </c>
      <c r="AH699" s="19"/>
      <c r="AI699" s="61">
        <f ca="1"/>
        <v>-8.397087049298025E-3</v>
      </c>
      <c r="AJ699" s="61">
        <f ca="1"/>
        <v>-6.7379486818471791E-3</v>
      </c>
      <c r="AK699" s="61">
        <f ca="1"/>
        <v>-4.0566874020629713E-3</v>
      </c>
      <c r="AL699" s="19"/>
      <c r="AM699" s="61">
        <f t="shared" ca="1" si="142"/>
        <v>-8.0458707267877811E-3</v>
      </c>
      <c r="AN699" s="61">
        <f t="shared" ca="1" si="143"/>
        <v>-6.4888960849306485E-3</v>
      </c>
      <c r="AO699" s="61">
        <f t="shared" ca="1" si="144"/>
        <v>-3.6250187988081531E-3</v>
      </c>
      <c r="AP699" s="19"/>
      <c r="AQ699" s="62">
        <f t="shared" ca="1" si="139"/>
        <v>0.92047553992784548</v>
      </c>
      <c r="AR699" s="62">
        <f t="shared" ca="1" si="140"/>
        <v>1.3928944883505767</v>
      </c>
      <c r="AS699" s="62">
        <f t="shared" ca="1" si="141"/>
        <v>0.53677649483191514</v>
      </c>
      <c r="AT699" s="49"/>
    </row>
    <row r="700" spans="1:46" x14ac:dyDescent="0.3">
      <c r="A700" s="5">
        <v>44476</v>
      </c>
      <c r="B700" s="6">
        <v>107.139999</v>
      </c>
      <c r="C700" s="6">
        <v>117.209999</v>
      </c>
      <c r="D700" s="6">
        <v>75.900002000000001</v>
      </c>
      <c r="F700" s="13">
        <v>697</v>
      </c>
      <c r="G700" s="5">
        <v>44476</v>
      </c>
      <c r="H700" s="15">
        <f t="shared" si="137"/>
        <v>3.2441410807426435E-2</v>
      </c>
      <c r="I700" s="15">
        <f t="shared" si="137"/>
        <v>1.6690012616325106E-2</v>
      </c>
      <c r="J700" s="15">
        <f t="shared" si="137"/>
        <v>7.0073530930319407E-3</v>
      </c>
      <c r="K700" s="22"/>
      <c r="L700" s="13">
        <v>697</v>
      </c>
      <c r="M700" s="5">
        <v>44476</v>
      </c>
      <c r="N700" s="26">
        <f t="shared" si="134"/>
        <v>1.8949415830395901</v>
      </c>
      <c r="O700" s="26">
        <f t="shared" si="135"/>
        <v>1.1116274352877951</v>
      </c>
      <c r="P700" s="26">
        <f t="shared" si="136"/>
        <v>1.0044997883668552</v>
      </c>
      <c r="Q700" s="22"/>
      <c r="AD700" s="59">
        <v>696</v>
      </c>
      <c r="AE700" s="61">
        <f t="shared" ca="1" si="138"/>
        <v>-1.7380546909762502</v>
      </c>
      <c r="AF700" s="61">
        <f t="shared" ca="1" si="138"/>
        <v>-1.220071105772554</v>
      </c>
      <c r="AG700" s="61">
        <f t="shared" ca="1" si="138"/>
        <v>0.13059779932616122</v>
      </c>
      <c r="AH700" s="19"/>
      <c r="AI700" s="61">
        <f ca="1"/>
        <v>-3.7688472953171133E-2</v>
      </c>
      <c r="AJ700" s="61">
        <f ca="1"/>
        <v>-5.3724106386254175E-2</v>
      </c>
      <c r="AK700" s="61">
        <f ca="1"/>
        <v>-3.0927100168158708E-2</v>
      </c>
      <c r="AL700" s="19"/>
      <c r="AM700" s="61">
        <f t="shared" ca="1" si="142"/>
        <v>-3.7337256630660891E-2</v>
      </c>
      <c r="AN700" s="61">
        <f t="shared" ca="1" si="143"/>
        <v>-5.3475053789337645E-2</v>
      </c>
      <c r="AO700" s="61">
        <f t="shared" ca="1" si="144"/>
        <v>-3.0495431564903891E-2</v>
      </c>
      <c r="AP700" s="19"/>
      <c r="AQ700" s="62">
        <f t="shared" ca="1" si="139"/>
        <v>0.88674120121566524</v>
      </c>
      <c r="AR700" s="62">
        <f t="shared" ca="1" si="140"/>
        <v>1.3203658984139801</v>
      </c>
      <c r="AS700" s="62">
        <f t="shared" ca="1" si="141"/>
        <v>0.52065433942081119</v>
      </c>
      <c r="AT700" s="49"/>
    </row>
    <row r="701" spans="1:46" x14ac:dyDescent="0.3">
      <c r="A701" s="5">
        <v>44477</v>
      </c>
      <c r="B701" s="6">
        <v>109.099998</v>
      </c>
      <c r="C701" s="6">
        <v>113.25</v>
      </c>
      <c r="D701" s="6">
        <v>78.599997999999999</v>
      </c>
      <c r="F701" s="13">
        <v>698</v>
      </c>
      <c r="G701" s="5">
        <v>44477</v>
      </c>
      <c r="H701" s="15">
        <f t="shared" si="137"/>
        <v>1.8128493387987211E-2</v>
      </c>
      <c r="I701" s="15">
        <f t="shared" si="137"/>
        <v>-3.4369424840250136E-2</v>
      </c>
      <c r="J701" s="15">
        <f t="shared" si="137"/>
        <v>3.4954963237822802E-2</v>
      </c>
      <c r="K701" s="22"/>
      <c r="L701" s="13">
        <v>698</v>
      </c>
      <c r="M701" s="5">
        <v>44477</v>
      </c>
      <c r="N701" s="26">
        <f t="shared" si="134"/>
        <v>1.9296072881215549</v>
      </c>
      <c r="O701" s="26">
        <f t="shared" si="135"/>
        <v>1.0740705410836391</v>
      </c>
      <c r="P701" s="26">
        <f t="shared" si="136"/>
        <v>1.0402329285397811</v>
      </c>
      <c r="Q701" s="22"/>
      <c r="AD701" s="59">
        <v>697</v>
      </c>
      <c r="AE701" s="61">
        <f t="shared" ca="1" si="138"/>
        <v>0.89505283189292728</v>
      </c>
      <c r="AF701" s="61">
        <f t="shared" ca="1" si="138"/>
        <v>-1.2298595200137641</v>
      </c>
      <c r="AG701" s="61">
        <f t="shared" ca="1" si="138"/>
        <v>-0.54961755780043631</v>
      </c>
      <c r="AH701" s="19"/>
      <c r="AI701" s="61">
        <f ca="1"/>
        <v>1.9408580536385875E-2</v>
      </c>
      <c r="AJ701" s="61">
        <f ca="1"/>
        <v>-1.2722578808409974E-2</v>
      </c>
      <c r="AK701" s="61">
        <f ca="1"/>
        <v>-9.5175201327495768E-3</v>
      </c>
      <c r="AL701" s="19"/>
      <c r="AM701" s="61">
        <f t="shared" ca="1" si="142"/>
        <v>1.9759796858896121E-2</v>
      </c>
      <c r="AN701" s="61">
        <f t="shared" ca="1" si="143"/>
        <v>-1.2473526211493443E-2</v>
      </c>
      <c r="AO701" s="61">
        <f t="shared" ca="1" si="144"/>
        <v>-9.0858515294947578E-3</v>
      </c>
      <c r="AP701" s="19"/>
      <c r="AQ701" s="62">
        <f t="shared" ca="1" si="139"/>
        <v>0.90443728696589964</v>
      </c>
      <c r="AR701" s="62">
        <f t="shared" ca="1" si="140"/>
        <v>1.3039985711282338</v>
      </c>
      <c r="AS701" s="62">
        <f t="shared" ca="1" si="141"/>
        <v>0.51594517716531363</v>
      </c>
      <c r="AT701" s="49"/>
    </row>
    <row r="702" spans="1:46" x14ac:dyDescent="0.3">
      <c r="A702" s="5">
        <v>44480</v>
      </c>
      <c r="B702" s="6">
        <v>108.029999</v>
      </c>
      <c r="C702" s="6">
        <v>111.459999</v>
      </c>
      <c r="D702" s="6">
        <v>77.800003000000004</v>
      </c>
      <c r="F702" s="13">
        <v>699</v>
      </c>
      <c r="G702" s="5">
        <v>44480</v>
      </c>
      <c r="H702" s="15">
        <f t="shared" si="137"/>
        <v>-9.8559174350136818E-3</v>
      </c>
      <c r="I702" s="15">
        <f t="shared" si="137"/>
        <v>-1.5931991193581616E-2</v>
      </c>
      <c r="J702" s="15">
        <f t="shared" si="137"/>
        <v>-1.0230204245111337E-2</v>
      </c>
      <c r="K702" s="22"/>
      <c r="L702" s="13">
        <v>699</v>
      </c>
      <c r="M702" s="5">
        <v>44480</v>
      </c>
      <c r="N702" s="26">
        <f t="shared" si="134"/>
        <v>1.9106826510314354</v>
      </c>
      <c r="O702" s="26">
        <f t="shared" si="135"/>
        <v>1.0570940524071688</v>
      </c>
      <c r="P702" s="26">
        <f t="shared" si="136"/>
        <v>1.0296453819387343</v>
      </c>
      <c r="Q702" s="22"/>
      <c r="AD702" s="59">
        <v>698</v>
      </c>
      <c r="AE702" s="61">
        <f t="shared" ca="1" si="138"/>
        <v>1.2557435686110461</v>
      </c>
      <c r="AF702" s="61">
        <f t="shared" ca="1" si="138"/>
        <v>0.33131838940790087</v>
      </c>
      <c r="AG702" s="61">
        <f t="shared" ca="1" si="138"/>
        <v>-1.1990230355659317</v>
      </c>
      <c r="AH702" s="19"/>
      <c r="AI702" s="61">
        <f ca="1"/>
        <v>2.7229901203588026E-2</v>
      </c>
      <c r="AJ702" s="61">
        <f ca="1"/>
        <v>2.6856865021593197E-2</v>
      </c>
      <c r="AK702" s="61">
        <f ca="1"/>
        <v>-9.8313226871061324E-3</v>
      </c>
      <c r="AL702" s="19"/>
      <c r="AM702" s="61">
        <f t="shared" ca="1" si="142"/>
        <v>2.7581117526098271E-2</v>
      </c>
      <c r="AN702" s="61">
        <f t="shared" ca="1" si="143"/>
        <v>2.7105917618509726E-2</v>
      </c>
      <c r="AO702" s="61">
        <f t="shared" ca="1" si="144"/>
        <v>-9.3996540838513134E-3</v>
      </c>
      <c r="AP702" s="19"/>
      <c r="AQ702" s="62">
        <f t="shared" ca="1" si="139"/>
        <v>0.92972987361826509</v>
      </c>
      <c r="AR702" s="62">
        <f t="shared" ca="1" si="140"/>
        <v>1.3398280507078937</v>
      </c>
      <c r="AS702" s="62">
        <f t="shared" ca="1" si="141"/>
        <v>0.51111819250678625</v>
      </c>
      <c r="AT702" s="49"/>
    </row>
    <row r="703" spans="1:46" x14ac:dyDescent="0.3">
      <c r="A703" s="5">
        <v>44481</v>
      </c>
      <c r="B703" s="6">
        <v>105.980003</v>
      </c>
      <c r="C703" s="6">
        <v>115.05999799999999</v>
      </c>
      <c r="D703" s="6">
        <v>78.919998000000007</v>
      </c>
      <c r="F703" s="13">
        <v>700</v>
      </c>
      <c r="G703" s="5">
        <v>44481</v>
      </c>
      <c r="H703" s="15">
        <f t="shared" si="137"/>
        <v>-1.9158531700362205E-2</v>
      </c>
      <c r="I703" s="15">
        <f t="shared" si="137"/>
        <v>3.1787940883349956E-2</v>
      </c>
      <c r="J703" s="15">
        <f t="shared" si="137"/>
        <v>1.4293186067539116E-2</v>
      </c>
      <c r="K703" s="22"/>
      <c r="L703" s="13">
        <v>700</v>
      </c>
      <c r="M703" s="5">
        <v>44481</v>
      </c>
      <c r="N703" s="26">
        <f t="shared" si="134"/>
        <v>1.8744252056168165</v>
      </c>
      <c r="O703" s="26">
        <f t="shared" si="135"/>
        <v>1.0912366826396682</v>
      </c>
      <c r="P703" s="26">
        <f t="shared" si="136"/>
        <v>1.0444679736492319</v>
      </c>
      <c r="Q703" s="22"/>
      <c r="AD703" s="59">
        <v>699</v>
      </c>
      <c r="AE703" s="61">
        <f t="shared" ca="1" si="138"/>
        <v>0.44182136489226276</v>
      </c>
      <c r="AF703" s="61">
        <f t="shared" ca="1" si="138"/>
        <v>-0.79019234237695168</v>
      </c>
      <c r="AG703" s="61">
        <f t="shared" ca="1" si="138"/>
        <v>1.6257831009097083</v>
      </c>
      <c r="AH703" s="19"/>
      <c r="AI703" s="61">
        <f ca="1"/>
        <v>9.5805803162167212E-3</v>
      </c>
      <c r="AJ703" s="61">
        <f ca="1"/>
        <v>-1.0260097368306352E-2</v>
      </c>
      <c r="AK703" s="61">
        <f ca="1"/>
        <v>4.2615743491263743E-2</v>
      </c>
      <c r="AL703" s="19"/>
      <c r="AM703" s="61">
        <f t="shared" ca="1" si="142"/>
        <v>9.9317966387269651E-3</v>
      </c>
      <c r="AN703" s="61">
        <f t="shared" ca="1" si="143"/>
        <v>-1.001104477138982E-2</v>
      </c>
      <c r="AO703" s="61">
        <f t="shared" ca="1" si="144"/>
        <v>4.304741209451856E-2</v>
      </c>
      <c r="AP703" s="19"/>
      <c r="AQ703" s="62">
        <f t="shared" ca="1" si="139"/>
        <v>0.93900976838475425</v>
      </c>
      <c r="AR703" s="62">
        <f t="shared" ca="1" si="140"/>
        <v>1.3264818880857083</v>
      </c>
      <c r="AS703" s="62">
        <f t="shared" ca="1" si="141"/>
        <v>0.53360094844425432</v>
      </c>
      <c r="AT703" s="49"/>
    </row>
    <row r="704" spans="1:46" x14ac:dyDescent="0.3">
      <c r="A704" s="5">
        <v>44482</v>
      </c>
      <c r="B704" s="6">
        <v>105.82</v>
      </c>
      <c r="C704" s="6">
        <v>116.230003</v>
      </c>
      <c r="D704" s="6">
        <v>78.139999000000003</v>
      </c>
      <c r="F704" s="13">
        <v>701</v>
      </c>
      <c r="G704" s="5">
        <v>44482</v>
      </c>
      <c r="H704" s="15">
        <f t="shared" si="137"/>
        <v>-1.510887895857781E-3</v>
      </c>
      <c r="I704" s="15">
        <f t="shared" si="137"/>
        <v>1.011729841359659E-2</v>
      </c>
      <c r="J704" s="15">
        <f t="shared" si="137"/>
        <v>-9.9325789829141677E-3</v>
      </c>
      <c r="K704" s="22"/>
      <c r="L704" s="13">
        <v>701</v>
      </c>
      <c r="M704" s="5">
        <v>44482</v>
      </c>
      <c r="N704" s="26">
        <f t="shared" si="134"/>
        <v>1.8715952976371542</v>
      </c>
      <c r="O704" s="26">
        <f t="shared" si="135"/>
        <v>1.1023330879678852</v>
      </c>
      <c r="P704" s="26">
        <f t="shared" si="136"/>
        <v>1.0341450644294619</v>
      </c>
      <c r="Q704" s="22"/>
      <c r="AD704" s="59">
        <v>700</v>
      </c>
      <c r="AE704" s="61">
        <f t="shared" ca="1" si="138"/>
        <v>-1.5246219238551926</v>
      </c>
      <c r="AF704" s="61">
        <f t="shared" ca="1" si="138"/>
        <v>-5.5062567516865828E-2</v>
      </c>
      <c r="AG704" s="61">
        <f t="shared" ca="1" si="138"/>
        <v>-1.2536151601697518</v>
      </c>
      <c r="AH704" s="19"/>
      <c r="AI704" s="61">
        <f ca="1"/>
        <v>-3.3060336040837128E-2</v>
      </c>
      <c r="AJ704" s="61">
        <f ca="1"/>
        <v>-2.5060738486584737E-2</v>
      </c>
      <c r="AK704" s="61">
        <f ca="1"/>
        <v>-5.5032461551977697E-2</v>
      </c>
      <c r="AL704" s="19"/>
      <c r="AM704" s="61">
        <f t="shared" ca="1" si="142"/>
        <v>-3.2709119718326886E-2</v>
      </c>
      <c r="AN704" s="61">
        <f t="shared" ca="1" si="143"/>
        <v>-2.4811685889668207E-2</v>
      </c>
      <c r="AO704" s="61">
        <f t="shared" ca="1" si="144"/>
        <v>-5.460079294872288E-2</v>
      </c>
      <c r="AP704" s="19"/>
      <c r="AQ704" s="62">
        <f t="shared" ca="1" si="139"/>
        <v>0.90879247010935749</v>
      </c>
      <c r="AR704" s="62">
        <f t="shared" ca="1" si="140"/>
        <v>1.2939745843065291</v>
      </c>
      <c r="AS704" s="62">
        <f t="shared" ca="1" si="141"/>
        <v>0.50524703055930498</v>
      </c>
      <c r="AT704" s="49"/>
    </row>
    <row r="705" spans="1:46" x14ac:dyDescent="0.3">
      <c r="A705" s="5">
        <v>44483</v>
      </c>
      <c r="B705" s="6">
        <v>108.410004</v>
      </c>
      <c r="C705" s="6">
        <v>117.91999800000001</v>
      </c>
      <c r="D705" s="6">
        <v>79.169998000000007</v>
      </c>
      <c r="F705" s="13">
        <v>702</v>
      </c>
      <c r="G705" s="5">
        <v>44483</v>
      </c>
      <c r="H705" s="15">
        <f t="shared" si="137"/>
        <v>2.4180835094179339E-2</v>
      </c>
      <c r="I705" s="15">
        <f t="shared" si="137"/>
        <v>1.4435399013866633E-2</v>
      </c>
      <c r="J705" s="15">
        <f t="shared" si="137"/>
        <v>1.3095337091866312E-2</v>
      </c>
      <c r="K705" s="22"/>
      <c r="L705" s="13">
        <v>702</v>
      </c>
      <c r="M705" s="5">
        <v>44483</v>
      </c>
      <c r="N705" s="26">
        <f t="shared" si="134"/>
        <v>1.9174036448991221</v>
      </c>
      <c r="O705" s="26">
        <f t="shared" si="135"/>
        <v>1.1183611130811626</v>
      </c>
      <c r="P705" s="26">
        <f t="shared" si="136"/>
        <v>1.0477766026409903</v>
      </c>
      <c r="Q705" s="22"/>
      <c r="AD705" s="59">
        <v>701</v>
      </c>
      <c r="AE705" s="61">
        <f t="shared" ca="1" si="138"/>
        <v>0.55730802250352374</v>
      </c>
      <c r="AF705" s="61">
        <f t="shared" ca="1" si="138"/>
        <v>5.7205431333865832E-2</v>
      </c>
      <c r="AG705" s="61">
        <f t="shared" ca="1" si="138"/>
        <v>-0.3320242868502033</v>
      </c>
      <c r="AH705" s="19"/>
      <c r="AI705" s="61">
        <f ca="1"/>
        <v>1.2084825892855838E-2</v>
      </c>
      <c r="AJ705" s="61">
        <f ca="1"/>
        <v>9.9665917555859674E-3</v>
      </c>
      <c r="AK705" s="61">
        <f ca="1"/>
        <v>1.3095002941423614E-4</v>
      </c>
      <c r="AL705" s="19"/>
      <c r="AM705" s="61">
        <f t="shared" ca="1" si="142"/>
        <v>1.2436042215366082E-2</v>
      </c>
      <c r="AN705" s="61">
        <f t="shared" ca="1" si="143"/>
        <v>1.0215644352502499E-2</v>
      </c>
      <c r="AO705" s="61">
        <f t="shared" ca="1" si="144"/>
        <v>5.6261863266905438E-4</v>
      </c>
      <c r="AP705" s="19"/>
      <c r="AQ705" s="62">
        <f t="shared" ca="1" si="139"/>
        <v>0.92016481856977517</v>
      </c>
      <c r="AR705" s="62">
        <f t="shared" ca="1" si="140"/>
        <v>1.3072611181655935</v>
      </c>
      <c r="AS705" s="62">
        <f t="shared" ca="1" si="141"/>
        <v>0.50553137193317543</v>
      </c>
      <c r="AT705" s="49"/>
    </row>
    <row r="706" spans="1:46" x14ac:dyDescent="0.3">
      <c r="A706" s="5">
        <v>44484</v>
      </c>
      <c r="B706" s="6">
        <v>108.949997</v>
      </c>
      <c r="C706" s="6">
        <v>118.790001</v>
      </c>
      <c r="D706" s="6">
        <v>78.660004000000001</v>
      </c>
      <c r="F706" s="13">
        <v>703</v>
      </c>
      <c r="G706" s="5">
        <v>44484</v>
      </c>
      <c r="H706" s="15">
        <f t="shared" si="137"/>
        <v>4.9686612848968241E-3</v>
      </c>
      <c r="I706" s="15">
        <f t="shared" si="137"/>
        <v>7.3508252392902014E-3</v>
      </c>
      <c r="J706" s="15">
        <f t="shared" si="137"/>
        <v>-6.4625960658185868E-3</v>
      </c>
      <c r="K706" s="22"/>
      <c r="L706" s="13">
        <v>703</v>
      </c>
      <c r="M706" s="5">
        <v>44484</v>
      </c>
      <c r="N706" s="26">
        <f t="shared" si="134"/>
        <v>1.926954281447572</v>
      </c>
      <c r="O706" s="26">
        <f t="shared" si="135"/>
        <v>1.1266122794648656</v>
      </c>
      <c r="P706" s="26">
        <f t="shared" si="136"/>
        <v>1.041027078904899</v>
      </c>
      <c r="Q706" s="22"/>
      <c r="AD706" s="59">
        <v>702</v>
      </c>
      <c r="AE706" s="61">
        <f t="shared" ca="1" si="138"/>
        <v>0.13040538071660199</v>
      </c>
      <c r="AF706" s="61">
        <f t="shared" ca="1" si="138"/>
        <v>0.32962958296506129</v>
      </c>
      <c r="AG706" s="61">
        <f t="shared" ca="1" si="138"/>
        <v>0.26923161941153734</v>
      </c>
      <c r="AH706" s="19"/>
      <c r="AI706" s="61">
        <f ca="1"/>
        <v>2.8277474176172496E-3</v>
      </c>
      <c r="AJ706" s="61">
        <f ca="1"/>
        <v>9.2059835061352492E-3</v>
      </c>
      <c r="AK706" s="61">
        <f ca="1"/>
        <v>1.1145916090201536E-2</v>
      </c>
      <c r="AL706" s="19"/>
      <c r="AM706" s="61">
        <f t="shared" ca="1" si="142"/>
        <v>3.1789637401274939E-3</v>
      </c>
      <c r="AN706" s="61">
        <f t="shared" ca="1" si="143"/>
        <v>9.4550361030517806E-3</v>
      </c>
      <c r="AO706" s="61">
        <f t="shared" ca="1" si="144"/>
        <v>1.1577584693456355E-2</v>
      </c>
      <c r="AP706" s="19"/>
      <c r="AQ706" s="62">
        <f t="shared" ca="1" si="139"/>
        <v>0.92309464359936222</v>
      </c>
      <c r="AR706" s="62">
        <f t="shared" ca="1" si="140"/>
        <v>1.3196799369060499</v>
      </c>
      <c r="AS706" s="62">
        <f t="shared" ca="1" si="141"/>
        <v>0.5114182161696611</v>
      </c>
      <c r="AT706" s="49"/>
    </row>
    <row r="707" spans="1:46" x14ac:dyDescent="0.3">
      <c r="A707" s="5">
        <v>44487</v>
      </c>
      <c r="B707" s="6">
        <v>110.370003</v>
      </c>
      <c r="C707" s="6">
        <v>119.32</v>
      </c>
      <c r="D707" s="6">
        <v>78.129997000000003</v>
      </c>
      <c r="F707" s="13">
        <v>704</v>
      </c>
      <c r="G707" s="5">
        <v>44487</v>
      </c>
      <c r="H707" s="15">
        <f t="shared" si="137"/>
        <v>1.294935111102994E-2</v>
      </c>
      <c r="I707" s="15">
        <f t="shared" si="137"/>
        <v>4.4517229268823547E-3</v>
      </c>
      <c r="J707" s="15">
        <f t="shared" si="137"/>
        <v>-6.7607502443195813E-3</v>
      </c>
      <c r="K707" s="22"/>
      <c r="L707" s="13">
        <v>704</v>
      </c>
      <c r="M707" s="5">
        <v>44487</v>
      </c>
      <c r="N707" s="26">
        <f t="shared" si="134"/>
        <v>1.9520693499810868</v>
      </c>
      <c r="O707" s="26">
        <f t="shared" si="135"/>
        <v>1.1316388252724046</v>
      </c>
      <c r="P707" s="26">
        <f t="shared" si="136"/>
        <v>1.0340126928007596</v>
      </c>
      <c r="Q707" s="22"/>
      <c r="AD707" s="59">
        <v>703</v>
      </c>
      <c r="AE707" s="61">
        <f t="shared" ca="1" si="138"/>
        <v>0.94026940710990792</v>
      </c>
      <c r="AF707" s="61">
        <f t="shared" ca="1" si="138"/>
        <v>-0.37699358067431266</v>
      </c>
      <c r="AG707" s="61">
        <f t="shared" ca="1" si="138"/>
        <v>0.56706389857501238</v>
      </c>
      <c r="AH707" s="19"/>
      <c r="AI707" s="61">
        <f ca="1"/>
        <v>2.0389069632009788E-2</v>
      </c>
      <c r="AJ707" s="61">
        <f ca="1"/>
        <v>6.5230753847370353E-3</v>
      </c>
      <c r="AK707" s="61">
        <f ca="1"/>
        <v>2.5766183087968325E-2</v>
      </c>
      <c r="AL707" s="19"/>
      <c r="AM707" s="61">
        <f t="shared" ca="1" si="142"/>
        <v>2.0740285954520033E-2</v>
      </c>
      <c r="AN707" s="61">
        <f t="shared" ca="1" si="143"/>
        <v>6.7721279816535659E-3</v>
      </c>
      <c r="AO707" s="61">
        <f t="shared" ca="1" si="144"/>
        <v>2.6197851691223142E-2</v>
      </c>
      <c r="AP707" s="19"/>
      <c r="AQ707" s="62">
        <f t="shared" ca="1" si="139"/>
        <v>0.94243980914951109</v>
      </c>
      <c r="AR707" s="62">
        <f t="shared" ca="1" si="140"/>
        <v>1.3286473081549155</v>
      </c>
      <c r="AS707" s="62">
        <f t="shared" ca="1" si="141"/>
        <v>0.52499331759110146</v>
      </c>
      <c r="AT707" s="49"/>
    </row>
    <row r="708" spans="1:46" x14ac:dyDescent="0.3">
      <c r="A708" s="5">
        <v>44488</v>
      </c>
      <c r="B708" s="6">
        <v>109.220001</v>
      </c>
      <c r="C708" s="6">
        <v>118.599998</v>
      </c>
      <c r="D708" s="6">
        <v>80.150002000000001</v>
      </c>
      <c r="F708" s="13">
        <v>705</v>
      </c>
      <c r="G708" s="5">
        <v>44488</v>
      </c>
      <c r="H708" s="15">
        <f t="shared" si="137"/>
        <v>-1.0474179086251697E-2</v>
      </c>
      <c r="I708" s="15">
        <f t="shared" si="137"/>
        <v>-6.0524899463291482E-3</v>
      </c>
      <c r="J708" s="15">
        <f t="shared" si="137"/>
        <v>2.5525836397664602E-2</v>
      </c>
      <c r="K708" s="22"/>
      <c r="L708" s="13">
        <v>705</v>
      </c>
      <c r="M708" s="5">
        <v>44488</v>
      </c>
      <c r="N708" s="26">
        <f t="shared" ref="N708:N771" si="145">B708/B$3</f>
        <v>1.9317297323712463</v>
      </c>
      <c r="O708" s="26">
        <f t="shared" ref="O708:O771" si="146">C708/C$3</f>
        <v>1.1248102783609581</v>
      </c>
      <c r="P708" s="26">
        <f t="shared" ref="P708:P771" si="147">D708/D$3</f>
        <v>1.0607464812267466</v>
      </c>
      <c r="Q708" s="22"/>
      <c r="AD708" s="59">
        <v>704</v>
      </c>
      <c r="AE708" s="61">
        <f t="shared" ca="1" si="138"/>
        <v>0.33475361422765859</v>
      </c>
      <c r="AF708" s="61">
        <f t="shared" ca="1" si="138"/>
        <v>-1.3367153709749928</v>
      </c>
      <c r="AG708" s="61">
        <f t="shared" ca="1" si="138"/>
        <v>2.5355067651756586</v>
      </c>
      <c r="AH708" s="19"/>
      <c r="AI708" s="61">
        <f ca="1"/>
        <v>7.2588927156883067E-3</v>
      </c>
      <c r="AJ708" s="61">
        <f ca="1"/>
        <v>-2.3815192156921367E-2</v>
      </c>
      <c r="AK708" s="61">
        <f ca="1"/>
        <v>6.049197151304167E-2</v>
      </c>
      <c r="AL708" s="19"/>
      <c r="AM708" s="61">
        <f t="shared" ca="1" si="142"/>
        <v>7.6101090381985505E-3</v>
      </c>
      <c r="AN708" s="61">
        <f t="shared" ca="1" si="143"/>
        <v>-2.3566139560004837E-2</v>
      </c>
      <c r="AO708" s="61">
        <f t="shared" ca="1" si="144"/>
        <v>6.0923640116296487E-2</v>
      </c>
      <c r="AP708" s="19"/>
      <c r="AQ708" s="62">
        <f t="shared" ca="1" si="139"/>
        <v>0.94963923833416453</v>
      </c>
      <c r="AR708" s="62">
        <f t="shared" ca="1" si="140"/>
        <v>1.2977022798233082</v>
      </c>
      <c r="AS708" s="62">
        <f t="shared" ca="1" si="141"/>
        <v>0.5579722189026074</v>
      </c>
      <c r="AT708" s="49"/>
    </row>
    <row r="709" spans="1:46" x14ac:dyDescent="0.3">
      <c r="A709" s="5">
        <v>44489</v>
      </c>
      <c r="B709" s="6">
        <v>109.25</v>
      </c>
      <c r="C709" s="6">
        <v>118.68</v>
      </c>
      <c r="D709" s="6">
        <v>81.040001000000004</v>
      </c>
      <c r="F709" s="13">
        <v>706</v>
      </c>
      <c r="G709" s="5">
        <v>44489</v>
      </c>
      <c r="H709" s="15">
        <f t="shared" ref="H709:J772" si="148">LN(B709/B708)</f>
        <v>2.7462809585969791E-4</v>
      </c>
      <c r="I709" s="15">
        <f t="shared" si="148"/>
        <v>6.7432572240250623E-4</v>
      </c>
      <c r="J709" s="15">
        <f t="shared" si="148"/>
        <v>1.1042968271238969E-2</v>
      </c>
      <c r="K709" s="22"/>
      <c r="L709" s="13">
        <v>706</v>
      </c>
      <c r="M709" s="5">
        <v>44489</v>
      </c>
      <c r="N709" s="26">
        <f t="shared" si="145"/>
        <v>1.9322603124821311</v>
      </c>
      <c r="O709" s="26">
        <f t="shared" si="146"/>
        <v>1.1255690226561264</v>
      </c>
      <c r="P709" s="26">
        <f t="shared" si="147"/>
        <v>1.0725251872028903</v>
      </c>
      <c r="Q709" s="22"/>
      <c r="AD709" s="59">
        <v>705</v>
      </c>
      <c r="AE709" s="61">
        <f t="shared" ref="AE709:AG772" ca="1" si="149">_xlfn.NORM.S.INV(RAND())</f>
        <v>-0.14281200883269188</v>
      </c>
      <c r="AF709" s="61">
        <f t="shared" ca="1" si="149"/>
        <v>-1.0432140399680265</v>
      </c>
      <c r="AG709" s="61">
        <f t="shared" ca="1" si="149"/>
        <v>1.6100017882312934</v>
      </c>
      <c r="AH709" s="19"/>
      <c r="AI709" s="61">
        <f ca="1"/>
        <v>-3.0967762753516784E-3</v>
      </c>
      <c r="AJ709" s="61">
        <f ca="1"/>
        <v>-2.4910660567065424E-2</v>
      </c>
      <c r="AK709" s="61">
        <f ca="1"/>
        <v>3.1791254272825989E-2</v>
      </c>
      <c r="AL709" s="19"/>
      <c r="AM709" s="61">
        <f t="shared" ca="1" si="142"/>
        <v>-2.7455599528414341E-3</v>
      </c>
      <c r="AN709" s="61">
        <f t="shared" ca="1" si="143"/>
        <v>-2.4661607970148894E-2</v>
      </c>
      <c r="AO709" s="61">
        <f t="shared" ca="1" si="144"/>
        <v>3.2222922876080806E-2</v>
      </c>
      <c r="AP709" s="19"/>
      <c r="AQ709" s="62">
        <f t="shared" ca="1" si="139"/>
        <v>0.94703552283583647</v>
      </c>
      <c r="AR709" s="62">
        <f t="shared" ca="1" si="140"/>
        <v>1.2660902587447751</v>
      </c>
      <c r="AS709" s="62">
        <f t="shared" ca="1" si="141"/>
        <v>0.57624452726116526</v>
      </c>
      <c r="AT709" s="49"/>
    </row>
    <row r="710" spans="1:46" x14ac:dyDescent="0.3">
      <c r="A710" s="5">
        <v>44490</v>
      </c>
      <c r="B710" s="6">
        <v>110.660004</v>
      </c>
      <c r="C710" s="6">
        <v>121.489998</v>
      </c>
      <c r="D710" s="6">
        <v>82</v>
      </c>
      <c r="F710" s="13">
        <v>707</v>
      </c>
      <c r="G710" s="5">
        <v>44490</v>
      </c>
      <c r="H710" s="15">
        <f t="shared" si="148"/>
        <v>1.2823639641019357E-2</v>
      </c>
      <c r="I710" s="15">
        <f t="shared" si="148"/>
        <v>2.340114298176918E-2</v>
      </c>
      <c r="J710" s="15">
        <f t="shared" si="148"/>
        <v>1.1776374984239812E-2</v>
      </c>
      <c r="K710" s="22"/>
      <c r="L710" s="13">
        <v>707</v>
      </c>
      <c r="M710" s="5">
        <v>44490</v>
      </c>
      <c r="N710" s="26">
        <f t="shared" si="145"/>
        <v>1.9571984797099669</v>
      </c>
      <c r="O710" s="26">
        <f t="shared" si="146"/>
        <v>1.1522192308000905</v>
      </c>
      <c r="P710" s="26">
        <f t="shared" si="147"/>
        <v>1.0852303092967261</v>
      </c>
      <c r="Q710" s="22"/>
      <c r="AD710" s="59">
        <v>706</v>
      </c>
      <c r="AE710" s="61">
        <f t="shared" ca="1" si="149"/>
        <v>0.96410821130410629</v>
      </c>
      <c r="AF710" s="61">
        <f t="shared" ca="1" si="149"/>
        <v>-0.32080927364445044</v>
      </c>
      <c r="AG710" s="61">
        <f t="shared" ca="1" si="149"/>
        <v>-0.63492164581065391</v>
      </c>
      <c r="AH710" s="19"/>
      <c r="AI710" s="61">
        <f ca="1"/>
        <v>2.0905997051942897E-2</v>
      </c>
      <c r="AJ710" s="61">
        <f ca="1"/>
        <v>8.1174314906763689E-3</v>
      </c>
      <c r="AK710" s="61">
        <f ca="1"/>
        <v>-4.2807254823362551E-3</v>
      </c>
      <c r="AL710" s="19"/>
      <c r="AM710" s="61">
        <f t="shared" ca="1" si="142"/>
        <v>2.1257213374453143E-2</v>
      </c>
      <c r="AN710" s="61">
        <f t="shared" ca="1" si="143"/>
        <v>8.3664840875929004E-3</v>
      </c>
      <c r="AO710" s="61">
        <f t="shared" ca="1" si="144"/>
        <v>-3.849056879081437E-3</v>
      </c>
      <c r="AP710" s="19"/>
      <c r="AQ710" s="62">
        <f t="shared" ref="AQ710:AQ773" ca="1" si="150">AQ709*EXP(AM710)</f>
        <v>0.96738235128534744</v>
      </c>
      <c r="AR710" s="62">
        <f t="shared" ref="AR710:AR773" ca="1" si="151">AR709*EXP(AN710)</f>
        <v>1.2767274185136883</v>
      </c>
      <c r="AS710" s="62">
        <f t="shared" ref="AS710:AS773" ca="1" si="152">AS709*EXP(AO710)</f>
        <v>0.57403079242820476</v>
      </c>
      <c r="AT710" s="49"/>
    </row>
    <row r="711" spans="1:46" x14ac:dyDescent="0.3">
      <c r="A711" s="5">
        <v>44491</v>
      </c>
      <c r="B711" s="6">
        <v>112.629997</v>
      </c>
      <c r="C711" s="6">
        <v>123.129997</v>
      </c>
      <c r="D711" s="6">
        <v>80.989998</v>
      </c>
      <c r="F711" s="13">
        <v>708</v>
      </c>
      <c r="G711" s="5">
        <v>44491</v>
      </c>
      <c r="H711" s="15">
        <f t="shared" si="148"/>
        <v>1.7645609806998447E-2</v>
      </c>
      <c r="I711" s="15">
        <f t="shared" si="148"/>
        <v>1.3408745035896636E-2</v>
      </c>
      <c r="J711" s="15">
        <f t="shared" si="148"/>
        <v>-1.2393581697761669E-2</v>
      </c>
      <c r="K711" s="22"/>
      <c r="L711" s="13">
        <v>708</v>
      </c>
      <c r="M711" s="5">
        <v>44491</v>
      </c>
      <c r="N711" s="26">
        <f t="shared" si="145"/>
        <v>1.992040944604865</v>
      </c>
      <c r="O711" s="26">
        <f t="shared" si="146"/>
        <v>1.1677730905202373</v>
      </c>
      <c r="P711" s="26">
        <f t="shared" si="147"/>
        <v>1.0718634217009906</v>
      </c>
      <c r="Q711" s="22"/>
      <c r="AD711" s="59">
        <v>707</v>
      </c>
      <c r="AE711" s="61">
        <f t="shared" ca="1" si="149"/>
        <v>0.75735458923240262</v>
      </c>
      <c r="AF711" s="61">
        <f t="shared" ca="1" si="149"/>
        <v>0.5809752464579202</v>
      </c>
      <c r="AG711" s="61">
        <f t="shared" ca="1" si="149"/>
        <v>-0.65809223542005324</v>
      </c>
      <c r="AH711" s="19"/>
      <c r="AI711" s="61">
        <f ca="1"/>
        <v>1.6422692623218191E-2</v>
      </c>
      <c r="AJ711" s="61">
        <f ca="1"/>
        <v>2.4482458143642326E-2</v>
      </c>
      <c r="AK711" s="61">
        <f ca="1"/>
        <v>-1.5784705875019726E-3</v>
      </c>
      <c r="AL711" s="19"/>
      <c r="AM711" s="61">
        <f t="shared" ref="AM711:AM774" ca="1" si="153">AI711+T$3</f>
        <v>1.6773908945728437E-2</v>
      </c>
      <c r="AN711" s="61">
        <f t="shared" ref="AN711:AN774" ca="1" si="154">AJ711+U$3</f>
        <v>2.4731510740558856E-2</v>
      </c>
      <c r="AO711" s="61">
        <f t="shared" ref="AO711:AO774" ca="1" si="155">AK711+V$3</f>
        <v>-1.1468019842471545E-3</v>
      </c>
      <c r="AP711" s="19"/>
      <c r="AQ711" s="62">
        <f t="shared" ca="1" si="150"/>
        <v>0.98374599219632497</v>
      </c>
      <c r="AR711" s="62">
        <f t="shared" ca="1" si="151"/>
        <v>1.3086965088598226</v>
      </c>
      <c r="AS711" s="62">
        <f t="shared" ca="1" si="152"/>
        <v>0.57337287010184967</v>
      </c>
      <c r="AT711" s="49"/>
    </row>
    <row r="712" spans="1:46" x14ac:dyDescent="0.3">
      <c r="A712" s="5">
        <v>44494</v>
      </c>
      <c r="B712" s="6">
        <v>112.529999</v>
      </c>
      <c r="C712" s="6">
        <v>124.07</v>
      </c>
      <c r="D712" s="6">
        <v>82.690002000000007</v>
      </c>
      <c r="F712" s="13">
        <v>709</v>
      </c>
      <c r="G712" s="5">
        <v>44494</v>
      </c>
      <c r="H712" s="15">
        <f t="shared" si="148"/>
        <v>-8.8823954833089586E-4</v>
      </c>
      <c r="I712" s="15">
        <f t="shared" si="148"/>
        <v>7.6052390144929734E-3</v>
      </c>
      <c r="J712" s="15">
        <f t="shared" si="148"/>
        <v>2.0773034354305213E-2</v>
      </c>
      <c r="K712" s="22"/>
      <c r="L712" s="13">
        <v>709</v>
      </c>
      <c r="M712" s="5">
        <v>44494</v>
      </c>
      <c r="N712" s="26">
        <f t="shared" si="145"/>
        <v>1.990272320653125</v>
      </c>
      <c r="O712" s="26">
        <f t="shared" si="146"/>
        <v>1.1766881415650958</v>
      </c>
      <c r="P712" s="26">
        <f t="shared" si="147"/>
        <v>1.0943621517830111</v>
      </c>
      <c r="Q712" s="22"/>
      <c r="AD712" s="59">
        <v>708</v>
      </c>
      <c r="AE712" s="61">
        <f t="shared" ca="1" si="149"/>
        <v>0.194148048209901</v>
      </c>
      <c r="AF712" s="61">
        <f t="shared" ca="1" si="149"/>
        <v>-0.30890536596328105</v>
      </c>
      <c r="AG712" s="61">
        <f t="shared" ca="1" si="149"/>
        <v>1.2593083637827709</v>
      </c>
      <c r="AH712" s="19"/>
      <c r="AI712" s="61">
        <f ca="1"/>
        <v>4.2099615747763627E-3</v>
      </c>
      <c r="AJ712" s="61">
        <f ca="1"/>
        <v>-3.6755016184048393E-3</v>
      </c>
      <c r="AK712" s="61">
        <f ca="1"/>
        <v>3.2956613286592926E-2</v>
      </c>
      <c r="AL712" s="19"/>
      <c r="AM712" s="61">
        <f t="shared" ca="1" si="153"/>
        <v>4.5611778972866066E-3</v>
      </c>
      <c r="AN712" s="61">
        <f t="shared" ca="1" si="154"/>
        <v>-3.4264490214883088E-3</v>
      </c>
      <c r="AO712" s="61">
        <f t="shared" ca="1" si="155"/>
        <v>3.3388281889847743E-2</v>
      </c>
      <c r="AP712" s="19"/>
      <c r="AQ712" s="62">
        <f t="shared" ca="1" si="150"/>
        <v>0.98824328134347661</v>
      </c>
      <c r="AR712" s="62">
        <f t="shared" ca="1" si="151"/>
        <v>1.3042200006309574</v>
      </c>
      <c r="AS712" s="62">
        <f t="shared" ca="1" si="152"/>
        <v>0.59283998342591138</v>
      </c>
      <c r="AT712" s="49"/>
    </row>
    <row r="713" spans="1:46" x14ac:dyDescent="0.3">
      <c r="A713" s="5">
        <v>44495</v>
      </c>
      <c r="B713" s="6">
        <v>111.800003</v>
      </c>
      <c r="C713" s="6">
        <v>124.389999</v>
      </c>
      <c r="D713" s="6">
        <v>81.879997000000003</v>
      </c>
      <c r="F713" s="13">
        <v>710</v>
      </c>
      <c r="G713" s="5">
        <v>44495</v>
      </c>
      <c r="H713" s="15">
        <f t="shared" si="148"/>
        <v>-6.5082563207565156E-3</v>
      </c>
      <c r="I713" s="15">
        <f t="shared" si="148"/>
        <v>2.575860727861663E-3</v>
      </c>
      <c r="J713" s="15">
        <f t="shared" si="148"/>
        <v>-9.8439757666923429E-3</v>
      </c>
      <c r="K713" s="22"/>
      <c r="L713" s="13">
        <v>710</v>
      </c>
      <c r="M713" s="5">
        <v>44495</v>
      </c>
      <c r="N713" s="26">
        <f t="shared" si="145"/>
        <v>1.9773611783275351</v>
      </c>
      <c r="O713" s="26">
        <f t="shared" si="146"/>
        <v>1.1797230333891686</v>
      </c>
      <c r="P713" s="26">
        <f t="shared" si="147"/>
        <v>1.0836421276771342</v>
      </c>
      <c r="Q713" s="22"/>
      <c r="AD713" s="59">
        <v>709</v>
      </c>
      <c r="AE713" s="61">
        <f t="shared" ca="1" si="149"/>
        <v>-0.21148632908824722</v>
      </c>
      <c r="AF713" s="61">
        <f t="shared" ca="1" si="149"/>
        <v>-0.5957666588291668</v>
      </c>
      <c r="AG713" s="61">
        <f t="shared" ca="1" si="149"/>
        <v>1.2265403530765226</v>
      </c>
      <c r="AH713" s="19"/>
      <c r="AI713" s="61">
        <f ca="1"/>
        <v>-4.5859297956446004E-3</v>
      </c>
      <c r="AJ713" s="61">
        <f ca="1"/>
        <v>-1.625985007700579E-2</v>
      </c>
      <c r="AK713" s="61">
        <f ca="1"/>
        <v>2.4103419523638404E-2</v>
      </c>
      <c r="AL713" s="19"/>
      <c r="AM713" s="61">
        <f t="shared" ca="1" si="153"/>
        <v>-4.2347134731343565E-3</v>
      </c>
      <c r="AN713" s="61">
        <f t="shared" ca="1" si="154"/>
        <v>-1.601079748008926E-2</v>
      </c>
      <c r="AO713" s="61">
        <f t="shared" ca="1" si="155"/>
        <v>2.4535088126893222E-2</v>
      </c>
      <c r="AP713" s="19"/>
      <c r="AQ713" s="62">
        <f t="shared" ca="1" si="150"/>
        <v>0.98406720269422665</v>
      </c>
      <c r="AR713" s="62">
        <f t="shared" ca="1" si="151"/>
        <v>1.283504675292451</v>
      </c>
      <c r="AS713" s="62">
        <f t="shared" ca="1" si="152"/>
        <v>0.60756526908007447</v>
      </c>
      <c r="AT713" s="49"/>
    </row>
    <row r="714" spans="1:46" x14ac:dyDescent="0.3">
      <c r="A714" s="5">
        <v>44496</v>
      </c>
      <c r="B714" s="6">
        <v>109.93</v>
      </c>
      <c r="C714" s="6">
        <v>121.82</v>
      </c>
      <c r="D714" s="6">
        <v>78.669998000000007</v>
      </c>
      <c r="F714" s="13">
        <v>711</v>
      </c>
      <c r="G714" s="5">
        <v>44496</v>
      </c>
      <c r="H714" s="15">
        <f t="shared" si="148"/>
        <v>-1.6867787963857451E-2</v>
      </c>
      <c r="I714" s="15">
        <f t="shared" si="148"/>
        <v>-2.0877237774303253E-2</v>
      </c>
      <c r="J714" s="15">
        <f t="shared" si="148"/>
        <v>-3.9992861235604991E-2</v>
      </c>
      <c r="K714" s="22"/>
      <c r="L714" s="13">
        <v>711</v>
      </c>
      <c r="M714" s="5">
        <v>44496</v>
      </c>
      <c r="N714" s="26">
        <f t="shared" si="145"/>
        <v>1.944287195891631</v>
      </c>
      <c r="O714" s="26">
        <f t="shared" si="146"/>
        <v>1.1553489917422421</v>
      </c>
      <c r="P714" s="26">
        <f t="shared" si="147"/>
        <v>1.0411593446574736</v>
      </c>
      <c r="Q714" s="22"/>
      <c r="AD714" s="59">
        <v>710</v>
      </c>
      <c r="AE714" s="61">
        <f t="shared" ca="1" si="149"/>
        <v>0.18352994270710049</v>
      </c>
      <c r="AF714" s="61">
        <f t="shared" ca="1" si="149"/>
        <v>-1.4479248017798443</v>
      </c>
      <c r="AG714" s="61">
        <f t="shared" ca="1" si="149"/>
        <v>1.5019499217755685</v>
      </c>
      <c r="AH714" s="19"/>
      <c r="AI714" s="61">
        <f ca="1"/>
        <v>3.9797155507968543E-3</v>
      </c>
      <c r="AJ714" s="61">
        <f ca="1"/>
        <v>-2.8599446311372016E-2</v>
      </c>
      <c r="AK714" s="61">
        <f ca="1"/>
        <v>3.0994691212064326E-2</v>
      </c>
      <c r="AL714" s="19"/>
      <c r="AM714" s="61">
        <f t="shared" ca="1" si="153"/>
        <v>4.3309318733070982E-3</v>
      </c>
      <c r="AN714" s="61">
        <f t="shared" ca="1" si="154"/>
        <v>-2.8350393714455486E-2</v>
      </c>
      <c r="AO714" s="61">
        <f t="shared" ca="1" si="155"/>
        <v>3.1426359815319146E-2</v>
      </c>
      <c r="AP714" s="19"/>
      <c r="AQ714" s="62">
        <f t="shared" ca="1" si="150"/>
        <v>0.98833837310570405</v>
      </c>
      <c r="AR714" s="62">
        <f t="shared" ca="1" si="151"/>
        <v>1.2476277774600217</v>
      </c>
      <c r="AS714" s="62">
        <f t="shared" ca="1" si="152"/>
        <v>0.62696202215566554</v>
      </c>
      <c r="AT714" s="49"/>
    </row>
    <row r="715" spans="1:46" x14ac:dyDescent="0.3">
      <c r="A715" s="5">
        <v>44497</v>
      </c>
      <c r="B715" s="6">
        <v>112.379997</v>
      </c>
      <c r="C715" s="6">
        <v>124.75</v>
      </c>
      <c r="D715" s="6">
        <v>78.459998999999996</v>
      </c>
      <c r="F715" s="13">
        <v>712</v>
      </c>
      <c r="G715" s="5">
        <v>44497</v>
      </c>
      <c r="H715" s="15">
        <f t="shared" si="148"/>
        <v>2.2042159398137803E-2</v>
      </c>
      <c r="I715" s="15">
        <f t="shared" si="148"/>
        <v>2.3767189223289461E-2</v>
      </c>
      <c r="J715" s="15">
        <f t="shared" si="148"/>
        <v>-2.6729348824408696E-3</v>
      </c>
      <c r="K715" s="22"/>
      <c r="L715" s="13">
        <v>712</v>
      </c>
      <c r="M715" s="5">
        <v>44497</v>
      </c>
      <c r="N715" s="26">
        <f t="shared" si="145"/>
        <v>1.987619296292549</v>
      </c>
      <c r="O715" s="26">
        <f t="shared" si="146"/>
        <v>1.1831373068448916</v>
      </c>
      <c r="P715" s="26">
        <f t="shared" si="147"/>
        <v>1.0383801095389125</v>
      </c>
      <c r="Q715" s="22"/>
      <c r="AD715" s="59">
        <v>711</v>
      </c>
      <c r="AE715" s="61">
        <f t="shared" ca="1" si="149"/>
        <v>-0.96975360690739698</v>
      </c>
      <c r="AF715" s="61">
        <f t="shared" ca="1" si="149"/>
        <v>8.8241889619448288E-2</v>
      </c>
      <c r="AG715" s="61">
        <f t="shared" ca="1" si="149"/>
        <v>2.1575154760748134E-2</v>
      </c>
      <c r="AH715" s="19"/>
      <c r="AI715" s="61">
        <f ca="1"/>
        <v>-2.1028413418130467E-2</v>
      </c>
      <c r="AJ715" s="61">
        <f ca="1"/>
        <v>-1.3260883885538807E-2</v>
      </c>
      <c r="AK715" s="61">
        <f ca="1"/>
        <v>-1.3154444547075778E-2</v>
      </c>
      <c r="AL715" s="19"/>
      <c r="AM715" s="61">
        <f t="shared" ca="1" si="153"/>
        <v>-2.0677197095620221E-2</v>
      </c>
      <c r="AN715" s="61">
        <f t="shared" ca="1" si="154"/>
        <v>-1.3011831288622275E-2</v>
      </c>
      <c r="AO715" s="61">
        <f t="shared" ca="1" si="155"/>
        <v>-1.2722775943820959E-2</v>
      </c>
      <c r="AP715" s="19"/>
      <c r="AQ715" s="62">
        <f t="shared" ca="1" si="150"/>
        <v>0.96811213733248236</v>
      </c>
      <c r="AR715" s="62">
        <f t="shared" ca="1" si="151"/>
        <v>1.2314990152349294</v>
      </c>
      <c r="AS715" s="62">
        <f t="shared" ca="1" si="152"/>
        <v>0.61903585317499488</v>
      </c>
      <c r="AT715" s="49"/>
    </row>
    <row r="716" spans="1:46" x14ac:dyDescent="0.3">
      <c r="A716" s="5">
        <v>44498</v>
      </c>
      <c r="B716" s="6">
        <v>113.07</v>
      </c>
      <c r="C716" s="6">
        <v>127.16999800000001</v>
      </c>
      <c r="D716" s="6">
        <v>77.330001999999993</v>
      </c>
      <c r="F716" s="13">
        <v>713</v>
      </c>
      <c r="G716" s="5">
        <v>44498</v>
      </c>
      <c r="H716" s="15">
        <f t="shared" si="148"/>
        <v>6.1211369582433815E-3</v>
      </c>
      <c r="I716" s="15">
        <f t="shared" si="148"/>
        <v>1.9213023674047643E-2</v>
      </c>
      <c r="J716" s="15">
        <f t="shared" si="148"/>
        <v>-1.4506923551930971E-2</v>
      </c>
      <c r="K716" s="22"/>
      <c r="L716" s="13">
        <v>713</v>
      </c>
      <c r="M716" s="5">
        <v>44498</v>
      </c>
      <c r="N716" s="26">
        <f t="shared" si="145"/>
        <v>1.9998230986943208</v>
      </c>
      <c r="O716" s="26">
        <f t="shared" si="146"/>
        <v>1.2060887290195612</v>
      </c>
      <c r="P716" s="26">
        <f t="shared" si="147"/>
        <v>1.0234251461997128</v>
      </c>
      <c r="Q716" s="22"/>
      <c r="AD716" s="59">
        <v>712</v>
      </c>
      <c r="AE716" s="61">
        <f t="shared" ca="1" si="149"/>
        <v>-0.4113437994554861</v>
      </c>
      <c r="AF716" s="61">
        <f t="shared" ca="1" si="149"/>
        <v>1.333927796352921</v>
      </c>
      <c r="AG716" s="61">
        <f t="shared" ca="1" si="149"/>
        <v>0.63319147067994641</v>
      </c>
      <c r="AH716" s="19"/>
      <c r="AI716" s="61">
        <f ca="1"/>
        <v>-8.9196961066425832E-3</v>
      </c>
      <c r="AJ716" s="61">
        <f ca="1"/>
        <v>2.2555785925457927E-2</v>
      </c>
      <c r="AK716" s="61">
        <f ca="1"/>
        <v>1.9538641859947858E-2</v>
      </c>
      <c r="AL716" s="19"/>
      <c r="AM716" s="61">
        <f t="shared" ca="1" si="153"/>
        <v>-8.5684797841323393E-3</v>
      </c>
      <c r="AN716" s="61">
        <f t="shared" ca="1" si="154"/>
        <v>2.2804838522374457E-2</v>
      </c>
      <c r="AO716" s="61">
        <f t="shared" ca="1" si="155"/>
        <v>1.9970310463202676E-2</v>
      </c>
      <c r="AP716" s="19"/>
      <c r="AQ716" s="62">
        <f t="shared" ca="1" si="150"/>
        <v>0.95985232560530354</v>
      </c>
      <c r="AR716" s="62">
        <f t="shared" ca="1" si="151"/>
        <v>1.2599058266972361</v>
      </c>
      <c r="AS716" s="62">
        <f t="shared" ca="1" si="152"/>
        <v>0.63152245704617271</v>
      </c>
      <c r="AT716" s="49"/>
    </row>
    <row r="717" spans="1:46" x14ac:dyDescent="0.3">
      <c r="A717" s="5">
        <v>44501</v>
      </c>
      <c r="B717" s="6">
        <v>114.230003</v>
      </c>
      <c r="C717" s="6">
        <v>129.75</v>
      </c>
      <c r="D717" s="6">
        <v>78.019997000000004</v>
      </c>
      <c r="F717" s="13">
        <v>714</v>
      </c>
      <c r="G717" s="5">
        <v>44501</v>
      </c>
      <c r="H717" s="15">
        <f t="shared" si="148"/>
        <v>1.0206890061504702E-2</v>
      </c>
      <c r="I717" s="15">
        <f t="shared" si="148"/>
        <v>2.0084763740322212E-2</v>
      </c>
      <c r="J717" s="15">
        <f t="shared" si="148"/>
        <v>8.8831611427033132E-3</v>
      </c>
      <c r="K717" s="22"/>
      <c r="L717" s="13">
        <v>714</v>
      </c>
      <c r="M717" s="5">
        <v>44501</v>
      </c>
      <c r="N717" s="26">
        <f t="shared" si="145"/>
        <v>2.0203395999232474</v>
      </c>
      <c r="O717" s="26">
        <f t="shared" si="146"/>
        <v>1.2305576397845668</v>
      </c>
      <c r="P717" s="26">
        <f t="shared" si="147"/>
        <v>1.0325568960443861</v>
      </c>
      <c r="Q717" s="22"/>
      <c r="AD717" s="59">
        <v>713</v>
      </c>
      <c r="AE717" s="61">
        <f t="shared" ca="1" si="149"/>
        <v>0.80469102882182098</v>
      </c>
      <c r="AF717" s="61">
        <f t="shared" ca="1" si="149"/>
        <v>-0.21740435162613231</v>
      </c>
      <c r="AG717" s="61">
        <f t="shared" ca="1" si="149"/>
        <v>-1.3519918567539981</v>
      </c>
      <c r="AH717" s="19"/>
      <c r="AI717" s="61">
        <f ca="1"/>
        <v>1.7449149461675407E-2</v>
      </c>
      <c r="AJ717" s="61">
        <f ca="1"/>
        <v>7.8697910867217905E-3</v>
      </c>
      <c r="AK717" s="61">
        <f ca="1"/>
        <v>-2.4279282923350069E-2</v>
      </c>
      <c r="AL717" s="19"/>
      <c r="AM717" s="61">
        <f t="shared" ca="1" si="153"/>
        <v>1.7800365784185652E-2</v>
      </c>
      <c r="AN717" s="61">
        <f t="shared" ca="1" si="154"/>
        <v>8.1188436836383219E-3</v>
      </c>
      <c r="AO717" s="61">
        <f t="shared" ca="1" si="155"/>
        <v>-2.3847614320095252E-2</v>
      </c>
      <c r="AP717" s="19"/>
      <c r="AQ717" s="62">
        <f t="shared" ca="1" si="150"/>
        <v>0.97709102046161145</v>
      </c>
      <c r="AR717" s="62">
        <f t="shared" ca="1" si="151"/>
        <v>1.2701764415022623</v>
      </c>
      <c r="AS717" s="62">
        <f t="shared" ca="1" si="152"/>
        <v>0.6166403101990473</v>
      </c>
      <c r="AT717" s="49"/>
    </row>
    <row r="718" spans="1:46" x14ac:dyDescent="0.3">
      <c r="A718" s="5">
        <v>44502</v>
      </c>
      <c r="B718" s="6">
        <v>114.739998</v>
      </c>
      <c r="C718" s="6">
        <v>117.129997</v>
      </c>
      <c r="D718" s="6">
        <v>75.860000999999997</v>
      </c>
      <c r="F718" s="13">
        <v>715</v>
      </c>
      <c r="G718" s="5">
        <v>44502</v>
      </c>
      <c r="H718" s="15">
        <f t="shared" si="148"/>
        <v>4.4546957343535561E-3</v>
      </c>
      <c r="I718" s="15">
        <f t="shared" si="148"/>
        <v>-0.10232511857678225</v>
      </c>
      <c r="J718" s="15">
        <f t="shared" si="148"/>
        <v>-2.8075616183900275E-2</v>
      </c>
      <c r="K718" s="22"/>
      <c r="L718" s="13">
        <v>715</v>
      </c>
      <c r="M718" s="5">
        <v>44502</v>
      </c>
      <c r="N718" s="26">
        <f t="shared" si="145"/>
        <v>2.0293596740474058</v>
      </c>
      <c r="O718" s="26">
        <f t="shared" si="146"/>
        <v>1.1108686909926273</v>
      </c>
      <c r="P718" s="26">
        <f t="shared" si="147"/>
        <v>1.003970394493658</v>
      </c>
      <c r="Q718" s="22"/>
      <c r="AD718" s="59">
        <v>714</v>
      </c>
      <c r="AE718" s="61">
        <f t="shared" ca="1" si="149"/>
        <v>-0.24239890730817346</v>
      </c>
      <c r="AF718" s="61">
        <f t="shared" ca="1" si="149"/>
        <v>0.15640357957004258</v>
      </c>
      <c r="AG718" s="61">
        <f t="shared" ca="1" si="149"/>
        <v>-1.4896607590819095</v>
      </c>
      <c r="AH718" s="19"/>
      <c r="AI718" s="61">
        <f ca="1"/>
        <v>-5.2562469463092211E-3</v>
      </c>
      <c r="AJ718" s="61">
        <f ca="1"/>
        <v>-3.9451864797270279E-4</v>
      </c>
      <c r="AK718" s="61">
        <f ca="1"/>
        <v>-4.0645151939475814E-2</v>
      </c>
      <c r="AL718" s="19"/>
      <c r="AM718" s="61">
        <f t="shared" ca="1" si="153"/>
        <v>-4.9050306237989772E-3</v>
      </c>
      <c r="AN718" s="61">
        <f t="shared" ca="1" si="154"/>
        <v>-1.4546605105617211E-4</v>
      </c>
      <c r="AO718" s="61">
        <f t="shared" ca="1" si="155"/>
        <v>-4.0213483336220997E-2</v>
      </c>
      <c r="AP718" s="19"/>
      <c r="AQ718" s="62">
        <f t="shared" ca="1" si="150"/>
        <v>0.97231009396493151</v>
      </c>
      <c r="AR718" s="62">
        <f t="shared" ca="1" si="151"/>
        <v>1.2699916873892239</v>
      </c>
      <c r="AS718" s="62">
        <f t="shared" ca="1" si="152"/>
        <v>0.59233503063752113</v>
      </c>
      <c r="AT718" s="49"/>
    </row>
    <row r="719" spans="1:46" x14ac:dyDescent="0.3">
      <c r="A719" s="5">
        <v>44503</v>
      </c>
      <c r="B719" s="6">
        <v>116.540001</v>
      </c>
      <c r="C719" s="6">
        <v>122.94000200000001</v>
      </c>
      <c r="D719" s="6">
        <v>75.879997000000003</v>
      </c>
      <c r="F719" s="13">
        <v>716</v>
      </c>
      <c r="G719" s="5">
        <v>44503</v>
      </c>
      <c r="H719" s="15">
        <f t="shared" si="148"/>
        <v>1.5565888552661103E-2</v>
      </c>
      <c r="I719" s="15">
        <f t="shared" si="148"/>
        <v>4.8412044277745883E-2</v>
      </c>
      <c r="J719" s="15">
        <f t="shared" si="148"/>
        <v>2.6355608777258192E-4</v>
      </c>
      <c r="K719" s="22"/>
      <c r="L719" s="13">
        <v>716</v>
      </c>
      <c r="M719" s="5">
        <v>44503</v>
      </c>
      <c r="N719" s="26">
        <f t="shared" si="145"/>
        <v>2.0611955949558616</v>
      </c>
      <c r="O719" s="26">
        <f t="shared" si="146"/>
        <v>1.1659711652888625</v>
      </c>
      <c r="P719" s="26">
        <f t="shared" si="147"/>
        <v>1.0042350318749349</v>
      </c>
      <c r="Q719" s="22"/>
      <c r="AD719" s="59">
        <v>715</v>
      </c>
      <c r="AE719" s="61">
        <f t="shared" ca="1" si="149"/>
        <v>9.969232902277575E-2</v>
      </c>
      <c r="AF719" s="61">
        <f t="shared" ca="1" si="149"/>
        <v>-6.0093020163272393E-2</v>
      </c>
      <c r="AG719" s="61">
        <f t="shared" ca="1" si="149"/>
        <v>1.4511649835648004</v>
      </c>
      <c r="AH719" s="19"/>
      <c r="AI719" s="61">
        <f ca="1"/>
        <v>2.1617568569738768E-3</v>
      </c>
      <c r="AJ719" s="61">
        <f ca="1"/>
        <v>2.5423507704835403E-4</v>
      </c>
      <c r="AK719" s="61">
        <f ca="1"/>
        <v>3.8228587606591681E-2</v>
      </c>
      <c r="AL719" s="19"/>
      <c r="AM719" s="61">
        <f t="shared" ca="1" si="153"/>
        <v>2.5129731794841211E-3</v>
      </c>
      <c r="AN719" s="61">
        <f t="shared" ca="1" si="154"/>
        <v>5.0328767396488471E-4</v>
      </c>
      <c r="AO719" s="61">
        <f t="shared" ca="1" si="155"/>
        <v>3.8660256209846498E-2</v>
      </c>
      <c r="AP719" s="19"/>
      <c r="AQ719" s="62">
        <f t="shared" ca="1" si="150"/>
        <v>0.97475655581225318</v>
      </c>
      <c r="AR719" s="62">
        <f t="shared" ca="1" si="151"/>
        <v>1.2706310194219954</v>
      </c>
      <c r="AS719" s="62">
        <f t="shared" ca="1" si="152"/>
        <v>0.61568327118391564</v>
      </c>
      <c r="AT719" s="49"/>
    </row>
    <row r="720" spans="1:46" x14ac:dyDescent="0.3">
      <c r="A720" s="5">
        <v>44504</v>
      </c>
      <c r="B720" s="6">
        <v>119.57</v>
      </c>
      <c r="C720" s="6">
        <v>124.360001</v>
      </c>
      <c r="D720" s="6">
        <v>76.349997999999999</v>
      </c>
      <c r="F720" s="13">
        <v>717</v>
      </c>
      <c r="G720" s="5">
        <v>44504</v>
      </c>
      <c r="H720" s="15">
        <f t="shared" si="148"/>
        <v>2.5667403635815659E-2</v>
      </c>
      <c r="I720" s="15">
        <f t="shared" si="148"/>
        <v>1.1484145484762336E-2</v>
      </c>
      <c r="J720" s="15">
        <f t="shared" si="148"/>
        <v>6.1748999387842068E-3</v>
      </c>
      <c r="K720" s="22"/>
      <c r="L720" s="13">
        <v>717</v>
      </c>
      <c r="M720" s="5">
        <v>44504</v>
      </c>
      <c r="N720" s="26">
        <f t="shared" si="145"/>
        <v>2.1147859548145393</v>
      </c>
      <c r="O720" s="26">
        <f t="shared" si="146"/>
        <v>1.1794385303596635</v>
      </c>
      <c r="P720" s="26">
        <f t="shared" si="147"/>
        <v>1.0104552676139564</v>
      </c>
      <c r="Q720" s="22"/>
      <c r="AD720" s="59">
        <v>716</v>
      </c>
      <c r="AE720" s="61">
        <f t="shared" ca="1" si="149"/>
        <v>0.77994047213632667</v>
      </c>
      <c r="AF720" s="61">
        <f t="shared" ca="1" si="149"/>
        <v>0.31606141863174408</v>
      </c>
      <c r="AG720" s="61">
        <f t="shared" ca="1" si="149"/>
        <v>0.30425214095291381</v>
      </c>
      <c r="AH720" s="19"/>
      <c r="AI720" s="61">
        <f ca="1"/>
        <v>1.6912451341035008E-2</v>
      </c>
      <c r="AJ720" s="61">
        <f ca="1"/>
        <v>1.9077808387674405E-2</v>
      </c>
      <c r="AK720" s="61">
        <f ca="1"/>
        <v>2.1544822674412163E-2</v>
      </c>
      <c r="AL720" s="19"/>
      <c r="AM720" s="61">
        <f t="shared" ca="1" si="153"/>
        <v>1.7263667663545253E-2</v>
      </c>
      <c r="AN720" s="61">
        <f t="shared" ca="1" si="154"/>
        <v>1.9326860984590934E-2</v>
      </c>
      <c r="AO720" s="61">
        <f t="shared" ca="1" si="155"/>
        <v>2.197649127766698E-2</v>
      </c>
      <c r="AP720" s="19"/>
      <c r="AQ720" s="62">
        <f t="shared" ca="1" si="150"/>
        <v>0.99173052395057315</v>
      </c>
      <c r="AR720" s="62">
        <f t="shared" ca="1" si="151"/>
        <v>1.2954271725670661</v>
      </c>
      <c r="AS720" s="62">
        <f t="shared" ca="1" si="152"/>
        <v>0.62936360146211834</v>
      </c>
      <c r="AT720" s="49"/>
    </row>
    <row r="721" spans="1:46" x14ac:dyDescent="0.3">
      <c r="A721" s="5">
        <v>44505</v>
      </c>
      <c r="B721" s="6">
        <v>118.760002</v>
      </c>
      <c r="C721" s="6">
        <v>127.540001</v>
      </c>
      <c r="D721" s="6">
        <v>77.919998000000007</v>
      </c>
      <c r="F721" s="13">
        <v>718</v>
      </c>
      <c r="G721" s="5">
        <v>44505</v>
      </c>
      <c r="H721" s="15">
        <f t="shared" si="148"/>
        <v>-6.7973071952425459E-3</v>
      </c>
      <c r="I721" s="15">
        <f t="shared" si="148"/>
        <v>2.5249455496079098E-2</v>
      </c>
      <c r="J721" s="15">
        <f t="shared" si="148"/>
        <v>2.0354628197441063E-2</v>
      </c>
      <c r="K721" s="22"/>
      <c r="L721" s="13">
        <v>718</v>
      </c>
      <c r="M721" s="5">
        <v>44505</v>
      </c>
      <c r="N721" s="26">
        <f t="shared" si="145"/>
        <v>2.1004598496558216</v>
      </c>
      <c r="O721" s="26">
        <f t="shared" si="146"/>
        <v>1.2095978621092969</v>
      </c>
      <c r="P721" s="26">
        <f t="shared" si="147"/>
        <v>1.0312334576821987</v>
      </c>
      <c r="Q721" s="22"/>
      <c r="AD721" s="59">
        <v>717</v>
      </c>
      <c r="AE721" s="61">
        <f t="shared" ca="1" si="149"/>
        <v>-3.2210499714189496E-2</v>
      </c>
      <c r="AF721" s="61">
        <f t="shared" ca="1" si="149"/>
        <v>0.16372700061375092</v>
      </c>
      <c r="AG721" s="61">
        <f t="shared" ca="1" si="149"/>
        <v>1.7678905752152978</v>
      </c>
      <c r="AH721" s="19"/>
      <c r="AI721" s="61">
        <f ca="1"/>
        <v>-6.9846165002119924E-4</v>
      </c>
      <c r="AJ721" s="61">
        <f ca="1"/>
        <v>3.0546033429074159E-3</v>
      </c>
      <c r="AK721" s="61">
        <f ca="1"/>
        <v>4.597039042265897E-2</v>
      </c>
      <c r="AL721" s="19"/>
      <c r="AM721" s="61">
        <f t="shared" ca="1" si="153"/>
        <v>-3.4724532751095503E-4</v>
      </c>
      <c r="AN721" s="61">
        <f t="shared" ca="1" si="154"/>
        <v>3.3036559398239465E-3</v>
      </c>
      <c r="AO721" s="61">
        <f t="shared" ca="1" si="155"/>
        <v>4.6402059025913787E-2</v>
      </c>
      <c r="AP721" s="19"/>
      <c r="AQ721" s="62">
        <f t="shared" ca="1" si="150"/>
        <v>0.99138620994415605</v>
      </c>
      <c r="AR721" s="62">
        <f t="shared" ca="1" si="151"/>
        <v>1.2997138952699618</v>
      </c>
      <c r="AS721" s="62">
        <f t="shared" ca="1" si="152"/>
        <v>0.65925552863668713</v>
      </c>
      <c r="AT721" s="49"/>
    </row>
    <row r="722" spans="1:46" x14ac:dyDescent="0.3">
      <c r="A722" s="5">
        <v>44508</v>
      </c>
      <c r="B722" s="6">
        <v>118.32</v>
      </c>
      <c r="C722" s="6">
        <v>128.96000699999999</v>
      </c>
      <c r="D722" s="6">
        <v>77.779999000000004</v>
      </c>
      <c r="F722" s="13">
        <v>719</v>
      </c>
      <c r="G722" s="5">
        <v>44508</v>
      </c>
      <c r="H722" s="15">
        <f t="shared" si="148"/>
        <v>-3.7118483337017453E-3</v>
      </c>
      <c r="I722" s="15">
        <f t="shared" si="148"/>
        <v>1.1072284310910542E-2</v>
      </c>
      <c r="J722" s="15">
        <f t="shared" si="148"/>
        <v>-1.7983177961026155E-3</v>
      </c>
      <c r="K722" s="22"/>
      <c r="L722" s="13">
        <v>719</v>
      </c>
      <c r="M722" s="5">
        <v>44508</v>
      </c>
      <c r="N722" s="26">
        <f t="shared" si="145"/>
        <v>2.0926777132529586</v>
      </c>
      <c r="O722" s="26">
        <f t="shared" si="146"/>
        <v>1.223065293568564</v>
      </c>
      <c r="P722" s="26">
        <f t="shared" si="147"/>
        <v>1.02938063868133</v>
      </c>
      <c r="Q722" s="22"/>
      <c r="AD722" s="59">
        <v>718</v>
      </c>
      <c r="AE722" s="61">
        <f t="shared" ca="1" si="149"/>
        <v>0.32115037553347819</v>
      </c>
      <c r="AF722" s="61">
        <f t="shared" ca="1" si="149"/>
        <v>-1.0396976087493683</v>
      </c>
      <c r="AG722" s="61">
        <f t="shared" ca="1" si="149"/>
        <v>0.31423499749230177</v>
      </c>
      <c r="AH722" s="19"/>
      <c r="AI722" s="61">
        <f ca="1"/>
        <v>6.9639162133590402E-3</v>
      </c>
      <c r="AJ722" s="61">
        <f ca="1"/>
        <v>-1.7572131334857504E-2</v>
      </c>
      <c r="AK722" s="61">
        <f ca="1"/>
        <v>5.4738291651025015E-3</v>
      </c>
      <c r="AL722" s="19"/>
      <c r="AM722" s="61">
        <f t="shared" ca="1" si="153"/>
        <v>7.3151325358692841E-3</v>
      </c>
      <c r="AN722" s="61">
        <f t="shared" ca="1" si="154"/>
        <v>-1.7323078737940974E-2</v>
      </c>
      <c r="AO722" s="61">
        <f t="shared" ca="1" si="155"/>
        <v>5.9054977683573196E-3</v>
      </c>
      <c r="AP722" s="19"/>
      <c r="AQ722" s="62">
        <f t="shared" ca="1" si="150"/>
        <v>0.99866492137587293</v>
      </c>
      <c r="AR722" s="62">
        <f t="shared" ca="1" si="151"/>
        <v>1.277392742857459</v>
      </c>
      <c r="AS722" s="62">
        <f t="shared" ca="1" si="152"/>
        <v>0.66316027908922681</v>
      </c>
      <c r="AT722" s="49"/>
    </row>
    <row r="723" spans="1:46" x14ac:dyDescent="0.3">
      <c r="A723" s="5">
        <v>44509</v>
      </c>
      <c r="B723" s="6">
        <v>117.44000200000001</v>
      </c>
      <c r="C723" s="6">
        <v>129.11999499999999</v>
      </c>
      <c r="D723" s="6">
        <v>78.25</v>
      </c>
      <c r="F723" s="13">
        <v>720</v>
      </c>
      <c r="G723" s="5">
        <v>44509</v>
      </c>
      <c r="H723" s="15">
        <f t="shared" si="148"/>
        <v>-7.465236506366226E-3</v>
      </c>
      <c r="I723" s="15">
        <f t="shared" si="148"/>
        <v>1.2398327592561945E-3</v>
      </c>
      <c r="J723" s="15">
        <f t="shared" si="148"/>
        <v>6.024513549436959E-3</v>
      </c>
      <c r="K723" s="22"/>
      <c r="L723" s="13">
        <v>720</v>
      </c>
      <c r="M723" s="5">
        <v>44509</v>
      </c>
      <c r="N723" s="26">
        <f t="shared" si="145"/>
        <v>2.0771135465667929</v>
      </c>
      <c r="O723" s="26">
        <f t="shared" si="146"/>
        <v>1.2245826304138345</v>
      </c>
      <c r="P723" s="26">
        <f t="shared" si="147"/>
        <v>1.0356008744203515</v>
      </c>
      <c r="Q723" s="22"/>
      <c r="AD723" s="59">
        <v>719</v>
      </c>
      <c r="AE723" s="61">
        <f t="shared" ca="1" si="149"/>
        <v>0.69791202210099856</v>
      </c>
      <c r="AF723" s="61">
        <f t="shared" ca="1" si="149"/>
        <v>0.93804531154258497</v>
      </c>
      <c r="AG723" s="61">
        <f t="shared" ca="1" si="149"/>
        <v>1.2280573632510572</v>
      </c>
      <c r="AH723" s="19"/>
      <c r="AI723" s="61">
        <f ca="1"/>
        <v>1.5133723067064222E-2</v>
      </c>
      <c r="AJ723" s="61">
        <f ca="1"/>
        <v>3.1313324219675365E-2</v>
      </c>
      <c r="AK723" s="61">
        <f ca="1"/>
        <v>4.8380952970903571E-2</v>
      </c>
      <c r="AL723" s="19"/>
      <c r="AM723" s="61">
        <f t="shared" ca="1" si="153"/>
        <v>1.5484939389574466E-2</v>
      </c>
      <c r="AN723" s="61">
        <f t="shared" ca="1" si="154"/>
        <v>3.1562376816591894E-2</v>
      </c>
      <c r="AO723" s="61">
        <f t="shared" ca="1" si="155"/>
        <v>4.8812621574158388E-2</v>
      </c>
      <c r="AP723" s="19"/>
      <c r="AQ723" s="62">
        <f t="shared" ca="1" si="150"/>
        <v>1.0142495391751467</v>
      </c>
      <c r="AR723" s="62">
        <f t="shared" ca="1" si="151"/>
        <v>1.31835329992207</v>
      </c>
      <c r="AS723" s="62">
        <f t="shared" ca="1" si="152"/>
        <v>0.69633393072100369</v>
      </c>
      <c r="AT723" s="49"/>
    </row>
    <row r="724" spans="1:46" x14ac:dyDescent="0.3">
      <c r="A724" s="5">
        <v>44510</v>
      </c>
      <c r="B724" s="6">
        <v>116.220001</v>
      </c>
      <c r="C724" s="6">
        <v>126.269997</v>
      </c>
      <c r="D724" s="6">
        <v>76.860000999999997</v>
      </c>
      <c r="F724" s="13">
        <v>721</v>
      </c>
      <c r="G724" s="5">
        <v>44510</v>
      </c>
      <c r="H724" s="15">
        <f t="shared" si="148"/>
        <v>-1.0442626644847684E-2</v>
      </c>
      <c r="I724" s="15">
        <f t="shared" si="148"/>
        <v>-2.2319718105993754E-2</v>
      </c>
      <c r="J724" s="15">
        <f t="shared" si="148"/>
        <v>-1.7923231272896134E-2</v>
      </c>
      <c r="K724" s="22"/>
      <c r="L724" s="13">
        <v>721</v>
      </c>
      <c r="M724" s="5">
        <v>44510</v>
      </c>
      <c r="N724" s="26">
        <f t="shared" si="145"/>
        <v>2.0555358851160968</v>
      </c>
      <c r="O724" s="26">
        <f t="shared" si="146"/>
        <v>1.1975530596063531</v>
      </c>
      <c r="P724" s="26">
        <f t="shared" si="147"/>
        <v>1.0172049104606913</v>
      </c>
      <c r="Q724" s="22"/>
      <c r="AD724" s="59">
        <v>720</v>
      </c>
      <c r="AE724" s="61">
        <f t="shared" ca="1" si="149"/>
        <v>0.49352549344312646</v>
      </c>
      <c r="AF724" s="61">
        <f t="shared" ca="1" si="149"/>
        <v>0.8909763921358117</v>
      </c>
      <c r="AG724" s="61">
        <f t="shared" ca="1" si="149"/>
        <v>0.21727625528201405</v>
      </c>
      <c r="AH724" s="19"/>
      <c r="AI724" s="61">
        <f ca="1"/>
        <v>1.0701747366122366E-2</v>
      </c>
      <c r="AJ724" s="61">
        <f ca="1"/>
        <v>2.7091106346035464E-2</v>
      </c>
      <c r="AK724" s="61">
        <f ca="1"/>
        <v>1.9133382774815945E-2</v>
      </c>
      <c r="AL724" s="19"/>
      <c r="AM724" s="61">
        <f t="shared" ca="1" si="153"/>
        <v>1.105296368863261E-2</v>
      </c>
      <c r="AN724" s="61">
        <f t="shared" ca="1" si="154"/>
        <v>2.7340158942951994E-2</v>
      </c>
      <c r="AO724" s="61">
        <f t="shared" ca="1" si="155"/>
        <v>1.9565051378070762E-2</v>
      </c>
      <c r="AP724" s="19"/>
      <c r="AQ724" s="62">
        <f t="shared" ca="1" si="150"/>
        <v>1.0255221858170356</v>
      </c>
      <c r="AR724" s="62">
        <f t="shared" ca="1" si="151"/>
        <v>1.3548945341222178</v>
      </c>
      <c r="AS724" s="62">
        <f t="shared" ca="1" si="152"/>
        <v>0.71009188856185423</v>
      </c>
      <c r="AT724" s="49"/>
    </row>
    <row r="725" spans="1:46" x14ac:dyDescent="0.3">
      <c r="A725" s="5">
        <v>44511</v>
      </c>
      <c r="B725" s="6">
        <v>117.589996</v>
      </c>
      <c r="C725" s="6">
        <v>125.160004</v>
      </c>
      <c r="D725" s="6">
        <v>77.220000999999996</v>
      </c>
      <c r="F725" s="13">
        <v>722</v>
      </c>
      <c r="G725" s="5">
        <v>44511</v>
      </c>
      <c r="H725" s="15">
        <f t="shared" si="148"/>
        <v>1.1719008567495312E-2</v>
      </c>
      <c r="I725" s="15">
        <f t="shared" si="148"/>
        <v>-8.8294969322029581E-3</v>
      </c>
      <c r="J725" s="15">
        <f t="shared" si="148"/>
        <v>4.672905638736605E-3</v>
      </c>
      <c r="K725" s="22"/>
      <c r="L725" s="13">
        <v>722</v>
      </c>
      <c r="M725" s="5">
        <v>44511</v>
      </c>
      <c r="N725" s="26">
        <f t="shared" si="145"/>
        <v>2.0797664294346228</v>
      </c>
      <c r="O725" s="26">
        <f t="shared" si="146"/>
        <v>1.1870258120822115</v>
      </c>
      <c r="P725" s="26">
        <f t="shared" si="147"/>
        <v>1.0219693362088231</v>
      </c>
      <c r="Q725" s="22"/>
      <c r="AD725" s="59">
        <v>721</v>
      </c>
      <c r="AE725" s="61">
        <f t="shared" ca="1" si="149"/>
        <v>0.44405998647080308</v>
      </c>
      <c r="AF725" s="61">
        <f t="shared" ca="1" si="149"/>
        <v>0.49795636586489089</v>
      </c>
      <c r="AG725" s="61">
        <f t="shared" ca="1" si="149"/>
        <v>-0.73642752374373188</v>
      </c>
      <c r="AH725" s="19"/>
      <c r="AI725" s="61">
        <f ca="1"/>
        <v>9.6291232241316679E-3</v>
      </c>
      <c r="AJ725" s="61">
        <f ca="1"/>
        <v>1.7774165302636424E-2</v>
      </c>
      <c r="AK725" s="61">
        <f ca="1"/>
        <v>-8.7991731925738618E-3</v>
      </c>
      <c r="AL725" s="19"/>
      <c r="AM725" s="61">
        <f t="shared" ca="1" si="153"/>
        <v>9.9803395466419118E-3</v>
      </c>
      <c r="AN725" s="61">
        <f t="shared" ca="1" si="154"/>
        <v>1.8023217899552954E-2</v>
      </c>
      <c r="AO725" s="61">
        <f t="shared" ca="1" si="155"/>
        <v>-8.3675045893190428E-3</v>
      </c>
      <c r="AP725" s="19"/>
      <c r="AQ725" s="62">
        <f t="shared" ca="1" si="150"/>
        <v>1.0358084904683147</v>
      </c>
      <c r="AR725" s="62">
        <f t="shared" ca="1" si="151"/>
        <v>1.3795354811005396</v>
      </c>
      <c r="AS725" s="62">
        <f t="shared" ca="1" si="152"/>
        <v>0.70417498082451468</v>
      </c>
      <c r="AT725" s="49"/>
    </row>
    <row r="726" spans="1:46" x14ac:dyDescent="0.3">
      <c r="A726" s="5">
        <v>44512</v>
      </c>
      <c r="B726" s="6">
        <v>116.870003</v>
      </c>
      <c r="C726" s="6">
        <v>124.910004</v>
      </c>
      <c r="D726" s="6">
        <v>76.580001999999993</v>
      </c>
      <c r="F726" s="13">
        <v>723</v>
      </c>
      <c r="G726" s="5">
        <v>44512</v>
      </c>
      <c r="H726" s="15">
        <f t="shared" si="148"/>
        <v>-6.1417322042131902E-3</v>
      </c>
      <c r="I726" s="15">
        <f t="shared" si="148"/>
        <v>-1.9994407588992615E-3</v>
      </c>
      <c r="J726" s="15">
        <f t="shared" si="148"/>
        <v>-8.3225316204755609E-3</v>
      </c>
      <c r="K726" s="22"/>
      <c r="L726" s="13">
        <v>723</v>
      </c>
      <c r="M726" s="5">
        <v>44512</v>
      </c>
      <c r="N726" s="26">
        <f t="shared" si="145"/>
        <v>2.0670322061013051</v>
      </c>
      <c r="O726" s="26">
        <f t="shared" si="146"/>
        <v>1.1846547954352276</v>
      </c>
      <c r="P726" s="26">
        <f t="shared" si="147"/>
        <v>1.0134992592244378</v>
      </c>
      <c r="Q726" s="22"/>
      <c r="AD726" s="59">
        <v>722</v>
      </c>
      <c r="AE726" s="61">
        <f t="shared" ca="1" si="149"/>
        <v>0.59963366501459037</v>
      </c>
      <c r="AF726" s="61">
        <f t="shared" ca="1" si="149"/>
        <v>-0.3981190564054029</v>
      </c>
      <c r="AG726" s="61">
        <f t="shared" ca="1" si="149"/>
        <v>0.82882317403716443</v>
      </c>
      <c r="AH726" s="19"/>
      <c r="AI726" s="61">
        <f ca="1"/>
        <v>1.3002627180287088E-2</v>
      </c>
      <c r="AJ726" s="61">
        <f ca="1"/>
        <v>7.3214592997904865E-4</v>
      </c>
      <c r="AK726" s="61">
        <f ca="1"/>
        <v>2.7290589547731139E-2</v>
      </c>
      <c r="AL726" s="19"/>
      <c r="AM726" s="61">
        <f t="shared" ca="1" si="153"/>
        <v>1.3353843502797332E-2</v>
      </c>
      <c r="AN726" s="61">
        <f t="shared" ca="1" si="154"/>
        <v>9.8119852689557922E-4</v>
      </c>
      <c r="AO726" s="61">
        <f t="shared" ca="1" si="155"/>
        <v>2.7722258150985956E-2</v>
      </c>
      <c r="AP726" s="19"/>
      <c r="AQ726" s="62">
        <f t="shared" ca="1" si="150"/>
        <v>1.0497332827697397</v>
      </c>
      <c r="AR726" s="62">
        <f t="shared" ca="1" si="151"/>
        <v>1.380889743573916</v>
      </c>
      <c r="AS726" s="62">
        <f t="shared" ca="1" si="152"/>
        <v>0.72396940682950928</v>
      </c>
      <c r="AT726" s="49"/>
    </row>
    <row r="727" spans="1:46" x14ac:dyDescent="0.3">
      <c r="A727" s="5">
        <v>44515</v>
      </c>
      <c r="B727" s="6">
        <v>116.540001</v>
      </c>
      <c r="C727" s="6">
        <v>125.029999</v>
      </c>
      <c r="D727" s="6">
        <v>77.349997999999999</v>
      </c>
      <c r="F727" s="13">
        <v>724</v>
      </c>
      <c r="G727" s="5">
        <v>44515</v>
      </c>
      <c r="H727" s="15">
        <f t="shared" si="148"/>
        <v>-2.8276613189397188E-3</v>
      </c>
      <c r="I727" s="15">
        <f t="shared" si="148"/>
        <v>9.6019050795382622E-4</v>
      </c>
      <c r="J727" s="15">
        <f t="shared" si="148"/>
        <v>1.0004578996950788E-2</v>
      </c>
      <c r="K727" s="22"/>
      <c r="L727" s="13">
        <v>724</v>
      </c>
      <c r="M727" s="5">
        <v>44515</v>
      </c>
      <c r="N727" s="26">
        <f t="shared" si="145"/>
        <v>2.0611955949558616</v>
      </c>
      <c r="O727" s="26">
        <f t="shared" si="146"/>
        <v>1.1857928360054468</v>
      </c>
      <c r="P727" s="26">
        <f t="shared" si="147"/>
        <v>1.0236897835809895</v>
      </c>
      <c r="Q727" s="22"/>
      <c r="AD727" s="59">
        <v>723</v>
      </c>
      <c r="AE727" s="61">
        <f t="shared" ca="1" si="149"/>
        <v>-1.73417697582837</v>
      </c>
      <c r="AF727" s="61">
        <f t="shared" ca="1" si="149"/>
        <v>0.97279012330726433</v>
      </c>
      <c r="AG727" s="61">
        <f t="shared" ca="1" si="149"/>
        <v>-1.0170051457138718</v>
      </c>
      <c r="AH727" s="19"/>
      <c r="AI727" s="61">
        <f ca="1"/>
        <v>-3.7604387473450761E-2</v>
      </c>
      <c r="AJ727" s="61">
        <f ca="1"/>
        <v>-5.9993407819393628E-3</v>
      </c>
      <c r="AK727" s="61">
        <f ca="1"/>
        <v>-4.4828201763035425E-2</v>
      </c>
      <c r="AL727" s="19"/>
      <c r="AM727" s="61">
        <f t="shared" ca="1" si="153"/>
        <v>-3.7253171150940519E-2</v>
      </c>
      <c r="AN727" s="61">
        <f t="shared" ca="1" si="154"/>
        <v>-5.7502881850228322E-3</v>
      </c>
      <c r="AO727" s="61">
        <f t="shared" ca="1" si="155"/>
        <v>-4.4396533159780607E-2</v>
      </c>
      <c r="AP727" s="19"/>
      <c r="AQ727" s="62">
        <f t="shared" ca="1" si="150"/>
        <v>1.011346836829945</v>
      </c>
      <c r="AR727" s="62">
        <f t="shared" ca="1" si="151"/>
        <v>1.3729720160213861</v>
      </c>
      <c r="AS727" s="62">
        <f t="shared" ca="1" si="152"/>
        <v>0.69253072310557529</v>
      </c>
      <c r="AT727" s="49"/>
    </row>
    <row r="728" spans="1:46" x14ac:dyDescent="0.3">
      <c r="A728" s="5">
        <v>44516</v>
      </c>
      <c r="B728" s="6">
        <v>117.730003</v>
      </c>
      <c r="C728" s="6">
        <v>127.610001</v>
      </c>
      <c r="D728" s="6">
        <v>77.940002000000007</v>
      </c>
      <c r="F728" s="13">
        <v>725</v>
      </c>
      <c r="G728" s="5">
        <v>44516</v>
      </c>
      <c r="H728" s="15">
        <f t="shared" si="148"/>
        <v>1.0159322276467228E-2</v>
      </c>
      <c r="I728" s="15">
        <f t="shared" si="148"/>
        <v>2.0425045073433564E-2</v>
      </c>
      <c r="J728" s="15">
        <f t="shared" si="148"/>
        <v>7.5987744087492063E-3</v>
      </c>
      <c r="K728" s="22"/>
      <c r="L728" s="13">
        <v>725</v>
      </c>
      <c r="M728" s="5">
        <v>44516</v>
      </c>
      <c r="N728" s="26">
        <f t="shared" si="145"/>
        <v>2.0822426762956727</v>
      </c>
      <c r="O728" s="26">
        <f t="shared" si="146"/>
        <v>1.2102617467704524</v>
      </c>
      <c r="P728" s="26">
        <f t="shared" si="147"/>
        <v>1.0314982009396032</v>
      </c>
      <c r="Q728" s="22"/>
      <c r="AD728" s="59">
        <v>724</v>
      </c>
      <c r="AE728" s="61">
        <f t="shared" ca="1" si="149"/>
        <v>-0.7953747655567408</v>
      </c>
      <c r="AF728" s="61">
        <f t="shared" ca="1" si="149"/>
        <v>-3.9465005714070189E-2</v>
      </c>
      <c r="AG728" s="61">
        <f t="shared" ca="1" si="149"/>
        <v>0.36870472811571786</v>
      </c>
      <c r="AH728" s="19"/>
      <c r="AI728" s="61">
        <f ca="1"/>
        <v>-1.7247132955570309E-2</v>
      </c>
      <c r="AJ728" s="61">
        <f ca="1"/>
        <v>-1.330728666115503E-2</v>
      </c>
      <c r="AK728" s="61">
        <f ca="1"/>
        <v>-2.5838286471423257E-3</v>
      </c>
      <c r="AL728" s="19"/>
      <c r="AM728" s="61">
        <f t="shared" ca="1" si="153"/>
        <v>-1.6895916633060063E-2</v>
      </c>
      <c r="AN728" s="61">
        <f t="shared" ca="1" si="154"/>
        <v>-1.3058234064238498E-2</v>
      </c>
      <c r="AO728" s="61">
        <f t="shared" ca="1" si="155"/>
        <v>-2.1521600438875075E-3</v>
      </c>
      <c r="AP728" s="19"/>
      <c r="AQ728" s="62">
        <f t="shared" ca="1" si="150"/>
        <v>0.99440275100510356</v>
      </c>
      <c r="AR728" s="62">
        <f t="shared" ca="1" si="151"/>
        <v>1.3551599760705721</v>
      </c>
      <c r="AS728" s="62">
        <f t="shared" ca="1" si="152"/>
        <v>0.69104188883362327</v>
      </c>
      <c r="AT728" s="49"/>
    </row>
    <row r="729" spans="1:46" x14ac:dyDescent="0.3">
      <c r="A729" s="5">
        <v>44517</v>
      </c>
      <c r="B729" s="6">
        <v>116.389999</v>
      </c>
      <c r="C729" s="6">
        <v>125.699997</v>
      </c>
      <c r="D729" s="6">
        <v>73.449996999999996</v>
      </c>
      <c r="F729" s="13">
        <v>726</v>
      </c>
      <c r="G729" s="5">
        <v>44517</v>
      </c>
      <c r="H729" s="15">
        <f t="shared" si="148"/>
        <v>-1.1447280210058652E-2</v>
      </c>
      <c r="I729" s="15">
        <f t="shared" si="148"/>
        <v>-1.5080653852408449E-2</v>
      </c>
      <c r="J729" s="15">
        <f t="shared" si="148"/>
        <v>-5.9334463795553828E-2</v>
      </c>
      <c r="K729" s="22"/>
      <c r="L729" s="13">
        <v>726</v>
      </c>
      <c r="M729" s="5">
        <v>44517</v>
      </c>
      <c r="N729" s="26">
        <f t="shared" si="145"/>
        <v>2.0585425705952853</v>
      </c>
      <c r="O729" s="26">
        <f t="shared" si="146"/>
        <v>1.1921471416512301</v>
      </c>
      <c r="P729" s="26">
        <f t="shared" si="147"/>
        <v>0.97207515807504397</v>
      </c>
      <c r="Q729" s="22"/>
      <c r="AD729" s="59">
        <v>725</v>
      </c>
      <c r="AE729" s="61">
        <f t="shared" ca="1" si="149"/>
        <v>8.6874490542276986E-2</v>
      </c>
      <c r="AF729" s="61">
        <f t="shared" ca="1" si="149"/>
        <v>-0.93508416287094209</v>
      </c>
      <c r="AG729" s="61">
        <f t="shared" ca="1" si="149"/>
        <v>-1.0750372524774725</v>
      </c>
      <c r="AH729" s="19"/>
      <c r="AI729" s="61">
        <f ca="1"/>
        <v>1.8838111965763611E-3</v>
      </c>
      <c r="AJ729" s="61">
        <f ca="1"/>
        <v>-1.8965216950671167E-2</v>
      </c>
      <c r="AK729" s="61">
        <f ca="1"/>
        <v>-3.2844081566970884E-2</v>
      </c>
      <c r="AL729" s="19"/>
      <c r="AM729" s="61">
        <f t="shared" ca="1" si="153"/>
        <v>2.2350275190866054E-3</v>
      </c>
      <c r="AN729" s="61">
        <f t="shared" ca="1" si="154"/>
        <v>-1.8716164353754637E-2</v>
      </c>
      <c r="AO729" s="61">
        <f t="shared" ca="1" si="155"/>
        <v>-3.2412412963716067E-2</v>
      </c>
      <c r="AP729" s="19"/>
      <c r="AQ729" s="62">
        <f t="shared" ca="1" si="150"/>
        <v>0.99662775406396675</v>
      </c>
      <c r="AR729" s="62">
        <f t="shared" ca="1" si="151"/>
        <v>1.3300324581097578</v>
      </c>
      <c r="AS729" s="62">
        <f t="shared" ca="1" si="152"/>
        <v>0.66900265555859517</v>
      </c>
      <c r="AT729" s="49"/>
    </row>
    <row r="730" spans="1:46" x14ac:dyDescent="0.3">
      <c r="A730" s="5">
        <v>44518</v>
      </c>
      <c r="B730" s="6">
        <v>117.08000199999999</v>
      </c>
      <c r="C730" s="6">
        <v>125.860001</v>
      </c>
      <c r="D730" s="6">
        <v>72.959998999999996</v>
      </c>
      <c r="F730" s="13">
        <v>727</v>
      </c>
      <c r="G730" s="5">
        <v>44518</v>
      </c>
      <c r="H730" s="15">
        <f t="shared" si="148"/>
        <v>5.9108665439401914E-3</v>
      </c>
      <c r="I730" s="15">
        <f t="shared" si="148"/>
        <v>1.2720943142705298E-3</v>
      </c>
      <c r="J730" s="15">
        <f t="shared" si="148"/>
        <v>-6.6935297158383627E-3</v>
      </c>
      <c r="K730" s="22"/>
      <c r="L730" s="13">
        <v>727</v>
      </c>
      <c r="M730" s="5">
        <v>44518</v>
      </c>
      <c r="N730" s="26">
        <f t="shared" si="145"/>
        <v>2.0707463729970574</v>
      </c>
      <c r="O730" s="26">
        <f t="shared" si="146"/>
        <v>1.1936646302415661</v>
      </c>
      <c r="P730" s="26">
        <f t="shared" si="147"/>
        <v>0.9655902717202296</v>
      </c>
      <c r="Q730" s="22"/>
      <c r="AD730" s="59">
        <v>726</v>
      </c>
      <c r="AE730" s="61">
        <f t="shared" ca="1" si="149"/>
        <v>0.859193086953421</v>
      </c>
      <c r="AF730" s="61">
        <f t="shared" ca="1" si="149"/>
        <v>-1.3315663291243978</v>
      </c>
      <c r="AG730" s="61">
        <f t="shared" ca="1" si="149"/>
        <v>1.1306524397351003</v>
      </c>
      <c r="AH730" s="19"/>
      <c r="AI730" s="61">
        <f ca="1"/>
        <v>1.8630987613518141E-2</v>
      </c>
      <c r="AJ730" s="61">
        <f ca="1"/>
        <v>-1.5494568647967005E-2</v>
      </c>
      <c r="AK730" s="61">
        <f ca="1"/>
        <v>3.2284808263519149E-2</v>
      </c>
      <c r="AL730" s="19"/>
      <c r="AM730" s="61">
        <f t="shared" ca="1" si="153"/>
        <v>1.8982203936028386E-2</v>
      </c>
      <c r="AN730" s="61">
        <f t="shared" ca="1" si="154"/>
        <v>-1.5245516051050473E-2</v>
      </c>
      <c r="AO730" s="61">
        <f t="shared" ca="1" si="155"/>
        <v>3.2716476866773966E-2</v>
      </c>
      <c r="AP730" s="19"/>
      <c r="AQ730" s="62">
        <f t="shared" ca="1" si="150"/>
        <v>1.01572664134765</v>
      </c>
      <c r="AR730" s="62">
        <f t="shared" ca="1" si="151"/>
        <v>1.3099092113240629</v>
      </c>
      <c r="AS730" s="62">
        <f t="shared" ca="1" si="152"/>
        <v>0.69125204167584609</v>
      </c>
      <c r="AT730" s="49"/>
    </row>
    <row r="731" spans="1:46" x14ac:dyDescent="0.3">
      <c r="A731" s="5">
        <v>44519</v>
      </c>
      <c r="B731" s="6">
        <v>117.739998</v>
      </c>
      <c r="C731" s="6">
        <v>121.80999799999999</v>
      </c>
      <c r="D731" s="6">
        <v>69.069999999999993</v>
      </c>
      <c r="F731" s="13">
        <v>728</v>
      </c>
      <c r="G731" s="5">
        <v>44519</v>
      </c>
      <c r="H731" s="15">
        <f t="shared" si="148"/>
        <v>5.6213077075127757E-3</v>
      </c>
      <c r="I731" s="15">
        <f t="shared" si="148"/>
        <v>-3.2707748751269437E-2</v>
      </c>
      <c r="J731" s="15">
        <f t="shared" si="148"/>
        <v>-5.4790848959053957E-2</v>
      </c>
      <c r="K731" s="22"/>
      <c r="L731" s="13">
        <v>728</v>
      </c>
      <c r="M731" s="5">
        <v>44519</v>
      </c>
      <c r="N731" s="26">
        <f t="shared" si="145"/>
        <v>2.082419453795199</v>
      </c>
      <c r="O731" s="26">
        <f t="shared" si="146"/>
        <v>1.1552541321082295</v>
      </c>
      <c r="P731" s="26">
        <f t="shared" si="147"/>
        <v>0.91410801784298612</v>
      </c>
      <c r="Q731" s="22"/>
      <c r="AD731" s="59">
        <v>727</v>
      </c>
      <c r="AE731" s="61">
        <f t="shared" ca="1" si="149"/>
        <v>-1.6069036316744874</v>
      </c>
      <c r="AF731" s="61">
        <f t="shared" ca="1" si="149"/>
        <v>1.5656579016742349</v>
      </c>
      <c r="AG731" s="61">
        <f t="shared" ca="1" si="149"/>
        <v>-0.3283619144731531</v>
      </c>
      <c r="AH731" s="19"/>
      <c r="AI731" s="61">
        <f ca="1"/>
        <v>-3.4844556028728518E-2</v>
      </c>
      <c r="AJ731" s="61">
        <f ca="1"/>
        <v>8.879369081014294E-3</v>
      </c>
      <c r="AK731" s="61">
        <f ca="1"/>
        <v>-2.1129411913798697E-2</v>
      </c>
      <c r="AL731" s="19"/>
      <c r="AM731" s="61">
        <f t="shared" ca="1" si="153"/>
        <v>-3.4493339706218276E-2</v>
      </c>
      <c r="AN731" s="61">
        <f t="shared" ca="1" si="154"/>
        <v>9.1284216779308255E-3</v>
      </c>
      <c r="AO731" s="61">
        <f t="shared" ca="1" si="155"/>
        <v>-2.069774331054388E-2</v>
      </c>
      <c r="AP731" s="19"/>
      <c r="AQ731" s="62">
        <f t="shared" ca="1" si="150"/>
        <v>0.98128820016082063</v>
      </c>
      <c r="AR731" s="62">
        <f t="shared" ca="1" si="151"/>
        <v>1.3219213575203936</v>
      </c>
      <c r="AS731" s="62">
        <f t="shared" ca="1" si="152"/>
        <v>0.67709173308591575</v>
      </c>
      <c r="AT731" s="49"/>
    </row>
    <row r="732" spans="1:46" x14ac:dyDescent="0.3">
      <c r="A732" s="5">
        <v>44522</v>
      </c>
      <c r="B732" s="6">
        <v>117.989998</v>
      </c>
      <c r="C732" s="6">
        <v>124.69000200000001</v>
      </c>
      <c r="D732" s="6">
        <v>70.650002000000001</v>
      </c>
      <c r="F732" s="13">
        <v>729</v>
      </c>
      <c r="G732" s="5">
        <v>44522</v>
      </c>
      <c r="H732" s="15">
        <f t="shared" si="148"/>
        <v>2.1210715477041177E-3</v>
      </c>
      <c r="I732" s="15">
        <f t="shared" si="148"/>
        <v>2.3368235755419294E-2</v>
      </c>
      <c r="J732" s="15">
        <f t="shared" si="148"/>
        <v>2.2617654338217982E-2</v>
      </c>
      <c r="K732" s="22"/>
      <c r="L732" s="13">
        <v>729</v>
      </c>
      <c r="M732" s="5">
        <v>44522</v>
      </c>
      <c r="N732" s="26">
        <f t="shared" si="145"/>
        <v>2.0868411021075151</v>
      </c>
      <c r="O732" s="26">
        <f t="shared" si="146"/>
        <v>1.1825682818177488</v>
      </c>
      <c r="P732" s="26">
        <f t="shared" si="147"/>
        <v>0.93501857953993073</v>
      </c>
      <c r="Q732" s="22"/>
      <c r="AD732" s="59">
        <v>728</v>
      </c>
      <c r="AE732" s="61">
        <f t="shared" ca="1" si="149"/>
        <v>-0.10197823715803463</v>
      </c>
      <c r="AF732" s="61">
        <f t="shared" ca="1" si="149"/>
        <v>-0.91367439846158138</v>
      </c>
      <c r="AG732" s="61">
        <f t="shared" ca="1" si="149"/>
        <v>0.53888442108932866</v>
      </c>
      <c r="AH732" s="19"/>
      <c r="AI732" s="61">
        <f ca="1"/>
        <v>-2.2113251400529017E-3</v>
      </c>
      <c r="AJ732" s="61">
        <f ca="1"/>
        <v>-2.1455840645083199E-2</v>
      </c>
      <c r="AK732" s="61">
        <f ca="1"/>
        <v>5.8648945126562064E-3</v>
      </c>
      <c r="AL732" s="19"/>
      <c r="AM732" s="61">
        <f t="shared" ca="1" si="153"/>
        <v>-1.8601088175426573E-3</v>
      </c>
      <c r="AN732" s="61">
        <f t="shared" ca="1" si="154"/>
        <v>-2.1206788048166669E-2</v>
      </c>
      <c r="AO732" s="61">
        <f t="shared" ca="1" si="155"/>
        <v>6.2965631159110245E-3</v>
      </c>
      <c r="AP732" s="19"/>
      <c r="AQ732" s="62">
        <f t="shared" ca="1" si="150"/>
        <v>0.97946459390599527</v>
      </c>
      <c r="AR732" s="62">
        <f t="shared" ca="1" si="151"/>
        <v>1.2941828137429743</v>
      </c>
      <c r="AS732" s="62">
        <f t="shared" ca="1" si="152"/>
        <v>0.68136853436305933</v>
      </c>
      <c r="AT732" s="49"/>
    </row>
    <row r="733" spans="1:46" x14ac:dyDescent="0.3">
      <c r="A733" s="5">
        <v>44523</v>
      </c>
      <c r="B733" s="6">
        <v>117.550003</v>
      </c>
      <c r="C733" s="6">
        <v>124.349998</v>
      </c>
      <c r="D733" s="6">
        <v>72.550003000000004</v>
      </c>
      <c r="F733" s="13">
        <v>730</v>
      </c>
      <c r="G733" s="5">
        <v>44523</v>
      </c>
      <c r="H733" s="15">
        <f t="shared" si="148"/>
        <v>-3.7360576541056122E-3</v>
      </c>
      <c r="I733" s="15">
        <f t="shared" si="148"/>
        <v>-2.7305188824947512E-3</v>
      </c>
      <c r="J733" s="15">
        <f t="shared" si="148"/>
        <v>2.6537883241889212E-2</v>
      </c>
      <c r="K733" s="22"/>
      <c r="L733" s="13">
        <v>730</v>
      </c>
      <c r="M733" s="5">
        <v>44523</v>
      </c>
      <c r="N733" s="26">
        <f t="shared" si="145"/>
        <v>2.079059089510805</v>
      </c>
      <c r="O733" s="26">
        <f t="shared" si="146"/>
        <v>1.1793436612415844</v>
      </c>
      <c r="P733" s="26">
        <f t="shared" si="147"/>
        <v>0.9601641731118099</v>
      </c>
      <c r="Q733" s="22"/>
      <c r="AD733" s="59">
        <v>729</v>
      </c>
      <c r="AE733" s="61">
        <f t="shared" ca="1" si="149"/>
        <v>1.7602157377707404</v>
      </c>
      <c r="AF733" s="61">
        <f t="shared" ca="1" si="149"/>
        <v>4.7166532207706072E-2</v>
      </c>
      <c r="AG733" s="61">
        <f t="shared" ca="1" si="149"/>
        <v>2.2596628195468309</v>
      </c>
      <c r="AH733" s="19"/>
      <c r="AI733" s="61">
        <f ca="1"/>
        <v>3.8169019403788841E-2</v>
      </c>
      <c r="AJ733" s="61">
        <f ca="1"/>
        <v>2.8576704110817627E-2</v>
      </c>
      <c r="AK733" s="61">
        <f ca="1"/>
        <v>8.4232777155787489E-2</v>
      </c>
      <c r="AL733" s="19"/>
      <c r="AM733" s="61">
        <f t="shared" ca="1" si="153"/>
        <v>3.8520235726299083E-2</v>
      </c>
      <c r="AN733" s="61">
        <f t="shared" ca="1" si="154"/>
        <v>2.8825756707734157E-2</v>
      </c>
      <c r="AO733" s="61">
        <f t="shared" ca="1" si="155"/>
        <v>8.4664445759042306E-2</v>
      </c>
      <c r="AP733" s="19"/>
      <c r="AQ733" s="62">
        <f t="shared" ca="1" si="150"/>
        <v>1.0179298909599157</v>
      </c>
      <c r="AR733" s="62">
        <f t="shared" ca="1" si="151"/>
        <v>1.3320315004381116</v>
      </c>
      <c r="AS733" s="62">
        <f t="shared" ca="1" si="152"/>
        <v>0.74156867380513658</v>
      </c>
      <c r="AT733" s="49"/>
    </row>
    <row r="734" spans="1:46" x14ac:dyDescent="0.3">
      <c r="A734" s="5">
        <v>44524</v>
      </c>
      <c r="B734" s="6">
        <v>117.910004</v>
      </c>
      <c r="C734" s="6">
        <v>121.550003</v>
      </c>
      <c r="D734" s="6">
        <v>72.949996999999996</v>
      </c>
      <c r="F734" s="13">
        <v>731</v>
      </c>
      <c r="G734" s="5">
        <v>44524</v>
      </c>
      <c r="H734" s="15">
        <f t="shared" si="148"/>
        <v>3.0578550056278154E-3</v>
      </c>
      <c r="I734" s="15">
        <f t="shared" si="148"/>
        <v>-2.2774428722445356E-2</v>
      </c>
      <c r="J734" s="15">
        <f t="shared" si="148"/>
        <v>5.4982131637475225E-3</v>
      </c>
      <c r="K734" s="22"/>
      <c r="L734" s="13">
        <v>731</v>
      </c>
      <c r="M734" s="5">
        <v>44524</v>
      </c>
      <c r="N734" s="26">
        <f t="shared" si="145"/>
        <v>2.0854262807671335</v>
      </c>
      <c r="O734" s="26">
        <f t="shared" si="146"/>
        <v>1.1527883222156994</v>
      </c>
      <c r="P734" s="26">
        <f t="shared" si="147"/>
        <v>0.96545790009152732</v>
      </c>
      <c r="Q734" s="22"/>
      <c r="AD734" s="59">
        <v>730</v>
      </c>
      <c r="AE734" s="61">
        <f t="shared" ca="1" si="149"/>
        <v>-0.39050582797162181</v>
      </c>
      <c r="AF734" s="61">
        <f t="shared" ca="1" si="149"/>
        <v>-0.68778082293595866</v>
      </c>
      <c r="AG734" s="61">
        <f t="shared" ca="1" si="149"/>
        <v>-0.22789838801506493</v>
      </c>
      <c r="AH734" s="19"/>
      <c r="AI734" s="61">
        <f ca="1"/>
        <v>-8.4678395978997865E-3</v>
      </c>
      <c r="AJ734" s="61">
        <f ca="1"/>
        <v>-2.1061945259027021E-2</v>
      </c>
      <c r="AK734" s="61">
        <f ca="1"/>
        <v>-1.6452352720131971E-2</v>
      </c>
      <c r="AL734" s="19"/>
      <c r="AM734" s="61">
        <f t="shared" ca="1" si="153"/>
        <v>-8.1166232753895427E-3</v>
      </c>
      <c r="AN734" s="61">
        <f t="shared" ca="1" si="154"/>
        <v>-2.0812892662110491E-2</v>
      </c>
      <c r="AO734" s="61">
        <f t="shared" ca="1" si="155"/>
        <v>-1.6020684116877154E-2</v>
      </c>
      <c r="AP734" s="19"/>
      <c r="AQ734" s="62">
        <f t="shared" ca="1" si="150"/>
        <v>1.0097011773736415</v>
      </c>
      <c r="AR734" s="62">
        <f t="shared" ca="1" si="151"/>
        <v>1.3045945830174115</v>
      </c>
      <c r="AS734" s="62">
        <f t="shared" ca="1" si="152"/>
        <v>0.72978289651796091</v>
      </c>
      <c r="AT734" s="49"/>
    </row>
    <row r="735" spans="1:46" x14ac:dyDescent="0.3">
      <c r="A735" s="5">
        <v>44526</v>
      </c>
      <c r="B735" s="6">
        <v>114.57</v>
      </c>
      <c r="C735" s="6">
        <v>116.43</v>
      </c>
      <c r="D735" s="6">
        <v>68.010002</v>
      </c>
      <c r="F735" s="13">
        <v>732</v>
      </c>
      <c r="G735" s="5">
        <v>44526</v>
      </c>
      <c r="H735" s="15">
        <f t="shared" si="148"/>
        <v>-2.8735665607226419E-2</v>
      </c>
      <c r="I735" s="15">
        <f t="shared" si="148"/>
        <v>-4.3035491394408501E-2</v>
      </c>
      <c r="J735" s="15">
        <f t="shared" si="148"/>
        <v>-7.0119451249749207E-2</v>
      </c>
      <c r="K735" s="22"/>
      <c r="L735" s="13">
        <v>732</v>
      </c>
      <c r="M735" s="5">
        <v>44526</v>
      </c>
      <c r="N735" s="26">
        <f t="shared" si="145"/>
        <v>2.0263529885682172</v>
      </c>
      <c r="O735" s="26">
        <f t="shared" si="146"/>
        <v>1.1042298728332725</v>
      </c>
      <c r="P735" s="26">
        <f t="shared" si="147"/>
        <v>0.90007945738696293</v>
      </c>
      <c r="Q735" s="22"/>
      <c r="AD735" s="59">
        <v>731</v>
      </c>
      <c r="AE735" s="61">
        <f t="shared" ca="1" si="149"/>
        <v>0.96701945619913332</v>
      </c>
      <c r="AF735" s="61">
        <f t="shared" ca="1" si="149"/>
        <v>0.61513705974353139</v>
      </c>
      <c r="AG735" s="61">
        <f t="shared" ca="1" si="149"/>
        <v>-0.41717033236227863</v>
      </c>
      <c r="AH735" s="19"/>
      <c r="AI735" s="61">
        <f ca="1"/>
        <v>2.0969125315429618E-2</v>
      </c>
      <c r="AJ735" s="61">
        <f ca="1"/>
        <v>2.8506745266165041E-2</v>
      </c>
      <c r="AK735" s="61">
        <f ca="1"/>
        <v>7.9324338794137476E-3</v>
      </c>
      <c r="AL735" s="19"/>
      <c r="AM735" s="61">
        <f t="shared" ca="1" si="153"/>
        <v>2.1320341637939864E-2</v>
      </c>
      <c r="AN735" s="61">
        <f t="shared" ca="1" si="154"/>
        <v>2.8755797863081571E-2</v>
      </c>
      <c r="AO735" s="61">
        <f t="shared" ca="1" si="155"/>
        <v>8.3641024826685666E-3</v>
      </c>
      <c r="AP735" s="19"/>
      <c r="AQ735" s="62">
        <f t="shared" ca="1" si="150"/>
        <v>1.0314594743979377</v>
      </c>
      <c r="AR735" s="62">
        <f t="shared" ca="1" si="151"/>
        <v>1.3426538306049487</v>
      </c>
      <c r="AS735" s="62">
        <f t="shared" ca="1" si="152"/>
        <v>0.73591247392686709</v>
      </c>
      <c r="AT735" s="49"/>
    </row>
    <row r="736" spans="1:46" x14ac:dyDescent="0.3">
      <c r="A736" s="5">
        <v>44529</v>
      </c>
      <c r="B736" s="6">
        <v>114.760002</v>
      </c>
      <c r="C736" s="6">
        <v>119.120003</v>
      </c>
      <c r="D736" s="6">
        <v>68.169998000000007</v>
      </c>
      <c r="F736" s="13">
        <v>733</v>
      </c>
      <c r="G736" s="5">
        <v>44529</v>
      </c>
      <c r="H736" s="15">
        <f t="shared" si="148"/>
        <v>1.6570186353044684E-3</v>
      </c>
      <c r="I736" s="15">
        <f t="shared" si="148"/>
        <v>2.2841179511516214E-2</v>
      </c>
      <c r="J736" s="15">
        <f t="shared" si="148"/>
        <v>2.3497734412879991E-3</v>
      </c>
      <c r="K736" s="22"/>
      <c r="L736" s="13">
        <v>733</v>
      </c>
      <c r="M736" s="5">
        <v>44529</v>
      </c>
      <c r="N736" s="26">
        <f t="shared" si="145"/>
        <v>2.0297134766587641</v>
      </c>
      <c r="O736" s="26">
        <f t="shared" si="146"/>
        <v>1.1297420404070173</v>
      </c>
      <c r="P736" s="26">
        <f t="shared" si="147"/>
        <v>0.90219692700362453</v>
      </c>
      <c r="Q736" s="22"/>
      <c r="AD736" s="59">
        <v>732</v>
      </c>
      <c r="AE736" s="61">
        <f t="shared" ca="1" si="149"/>
        <v>-1.4331586086404864</v>
      </c>
      <c r="AF736" s="61">
        <f t="shared" ca="1" si="149"/>
        <v>0.90856106781743251</v>
      </c>
      <c r="AG736" s="61">
        <f t="shared" ca="1" si="149"/>
        <v>0.95450081664737974</v>
      </c>
      <c r="AH736" s="19"/>
      <c r="AI736" s="61">
        <f ca="1"/>
        <v>-3.1077019463071322E-2</v>
      </c>
      <c r="AJ736" s="61">
        <f ca="1"/>
        <v>-2.6837834605559774E-3</v>
      </c>
      <c r="AK736" s="61">
        <f ca="1"/>
        <v>9.6770726463727193E-3</v>
      </c>
      <c r="AL736" s="19"/>
      <c r="AM736" s="61">
        <f t="shared" ca="1" si="153"/>
        <v>-3.0725803140561076E-2</v>
      </c>
      <c r="AN736" s="61">
        <f t="shared" ca="1" si="154"/>
        <v>-2.4347308636394468E-3</v>
      </c>
      <c r="AO736" s="61">
        <f t="shared" ca="1" si="155"/>
        <v>1.0108741249627538E-2</v>
      </c>
      <c r="AP736" s="19"/>
      <c r="AQ736" s="62">
        <f t="shared" ca="1" si="150"/>
        <v>1.0002489925811773</v>
      </c>
      <c r="AR736" s="62">
        <f t="shared" ca="1" si="151"/>
        <v>1.3393888062251038</v>
      </c>
      <c r="AS736" s="62">
        <f t="shared" ca="1" si="152"/>
        <v>0.74338934994102435</v>
      </c>
      <c r="AT736" s="49"/>
    </row>
    <row r="737" spans="1:46" x14ac:dyDescent="0.3">
      <c r="A737" s="5">
        <v>44530</v>
      </c>
      <c r="B737" s="6">
        <v>111.16999800000001</v>
      </c>
      <c r="C737" s="6">
        <v>116.040001</v>
      </c>
      <c r="D737" s="6">
        <v>66.940002000000007</v>
      </c>
      <c r="F737" s="13">
        <v>734</v>
      </c>
      <c r="G737" s="5">
        <v>44530</v>
      </c>
      <c r="H737" s="15">
        <f t="shared" si="148"/>
        <v>-3.1782465285780583E-2</v>
      </c>
      <c r="I737" s="15">
        <f t="shared" si="148"/>
        <v>-2.6196445689519579E-2</v>
      </c>
      <c r="J737" s="15">
        <f t="shared" si="148"/>
        <v>-1.8207830375592444E-2</v>
      </c>
      <c r="K737" s="22"/>
      <c r="L737" s="13">
        <v>734</v>
      </c>
      <c r="M737" s="5">
        <v>44530</v>
      </c>
      <c r="N737" s="26">
        <f t="shared" si="145"/>
        <v>1.9662185361475324</v>
      </c>
      <c r="O737" s="26">
        <f t="shared" si="146"/>
        <v>1.1005310963480444</v>
      </c>
      <c r="P737" s="26">
        <f t="shared" si="147"/>
        <v>0.88591852530223747</v>
      </c>
      <c r="Q737" s="22"/>
      <c r="AD737" s="59">
        <v>733</v>
      </c>
      <c r="AE737" s="61">
        <f t="shared" ca="1" si="149"/>
        <v>1.3192578543158908</v>
      </c>
      <c r="AF737" s="61">
        <f t="shared" ca="1" si="149"/>
        <v>-0.94272721785267988</v>
      </c>
      <c r="AG737" s="61">
        <f t="shared" ca="1" si="149"/>
        <v>1.5668084869876413</v>
      </c>
      <c r="AH737" s="19"/>
      <c r="AI737" s="61">
        <f ca="1"/>
        <v>2.8607163064998421E-2</v>
      </c>
      <c r="AJ737" s="61">
        <f ca="1"/>
        <v>1.5833432585202548E-4</v>
      </c>
      <c r="AK737" s="61">
        <f ca="1"/>
        <v>5.2995198927315641E-2</v>
      </c>
      <c r="AL737" s="19"/>
      <c r="AM737" s="61">
        <f t="shared" ca="1" si="153"/>
        <v>2.8958379387508667E-2</v>
      </c>
      <c r="AN737" s="61">
        <f t="shared" ca="1" si="154"/>
        <v>4.0738692276855615E-4</v>
      </c>
      <c r="AO737" s="61">
        <f t="shared" ca="1" si="155"/>
        <v>5.3426867530570459E-2</v>
      </c>
      <c r="AP737" s="19"/>
      <c r="AQ737" s="62">
        <f t="shared" ca="1" si="150"/>
        <v>1.0296380585035767</v>
      </c>
      <c r="AR737" s="62">
        <f t="shared" ca="1" si="151"/>
        <v>1.3399345668695892</v>
      </c>
      <c r="AS737" s="62">
        <f t="shared" ca="1" si="152"/>
        <v>0.78418644073783794</v>
      </c>
      <c r="AT737" s="49"/>
    </row>
    <row r="738" spans="1:46" x14ac:dyDescent="0.3">
      <c r="A738" s="5">
        <v>44531</v>
      </c>
      <c r="B738" s="6">
        <v>108.019997</v>
      </c>
      <c r="C738" s="6">
        <v>116.449997</v>
      </c>
      <c r="D738" s="6">
        <v>67.309997999999993</v>
      </c>
      <c r="F738" s="13">
        <v>735</v>
      </c>
      <c r="G738" s="5">
        <v>44531</v>
      </c>
      <c r="H738" s="15">
        <f t="shared" si="148"/>
        <v>-2.8744175862948432E-2</v>
      </c>
      <c r="I738" s="15">
        <f t="shared" si="148"/>
        <v>3.5270026972987344E-3</v>
      </c>
      <c r="J738" s="15">
        <f t="shared" si="148"/>
        <v>5.5120586486718231E-3</v>
      </c>
      <c r="K738" s="22"/>
      <c r="L738" s="13">
        <v>735</v>
      </c>
      <c r="M738" s="5">
        <v>44531</v>
      </c>
      <c r="N738" s="26">
        <f t="shared" si="145"/>
        <v>1.9105057497257563</v>
      </c>
      <c r="O738" s="26">
        <f t="shared" si="146"/>
        <v>1.1044195257128313</v>
      </c>
      <c r="P738" s="26">
        <f t="shared" si="147"/>
        <v>0.8908152432719757</v>
      </c>
      <c r="Q738" s="22"/>
      <c r="AD738" s="59">
        <v>734</v>
      </c>
      <c r="AE738" s="61">
        <f t="shared" ca="1" si="149"/>
        <v>0.17278792772786186</v>
      </c>
      <c r="AF738" s="61">
        <f t="shared" ca="1" si="149"/>
        <v>-0.6803504750308077</v>
      </c>
      <c r="AG738" s="61">
        <f t="shared" ca="1" si="149"/>
        <v>0.35893400893143068</v>
      </c>
      <c r="AH738" s="19"/>
      <c r="AI738" s="61">
        <f ca="1"/>
        <v>3.746782638438272E-3</v>
      </c>
      <c r="AJ738" s="61">
        <f ca="1"/>
        <v>-1.2083574874828446E-2</v>
      </c>
      <c r="AK738" s="61">
        <f ca="1"/>
        <v>6.9575677113216999E-3</v>
      </c>
      <c r="AL738" s="19"/>
      <c r="AM738" s="61">
        <f t="shared" ca="1" si="153"/>
        <v>4.0979989609485163E-3</v>
      </c>
      <c r="AN738" s="61">
        <f t="shared" ca="1" si="154"/>
        <v>-1.1834522277911914E-2</v>
      </c>
      <c r="AO738" s="61">
        <f t="shared" ca="1" si="155"/>
        <v>7.389236314576518E-3</v>
      </c>
      <c r="AP738" s="19"/>
      <c r="AQ738" s="62">
        <f t="shared" ca="1" si="150"/>
        <v>1.0338661716820834</v>
      </c>
      <c r="AR738" s="62">
        <f t="shared" ca="1" si="151"/>
        <v>1.3241705452064216</v>
      </c>
      <c r="AS738" s="62">
        <f t="shared" ca="1" si="152"/>
        <v>0.79000244110050744</v>
      </c>
      <c r="AT738" s="49"/>
    </row>
    <row r="739" spans="1:46" x14ac:dyDescent="0.3">
      <c r="A739" s="5">
        <v>44532</v>
      </c>
      <c r="B739" s="6">
        <v>111.370003</v>
      </c>
      <c r="C739" s="6">
        <v>119.139999</v>
      </c>
      <c r="D739" s="6">
        <v>71.169998000000007</v>
      </c>
      <c r="F739" s="13">
        <v>736</v>
      </c>
      <c r="G739" s="5">
        <v>44532</v>
      </c>
      <c r="H739" s="15">
        <f t="shared" si="148"/>
        <v>3.05416509501346E-2</v>
      </c>
      <c r="I739" s="15">
        <f t="shared" si="148"/>
        <v>2.2837293238834679E-2</v>
      </c>
      <c r="J739" s="15">
        <f t="shared" si="148"/>
        <v>5.5762568900097044E-2</v>
      </c>
      <c r="K739" s="22"/>
      <c r="L739" s="13">
        <v>736</v>
      </c>
      <c r="M739" s="5">
        <v>44532</v>
      </c>
      <c r="N739" s="26">
        <f t="shared" si="145"/>
        <v>1.9697559432303513</v>
      </c>
      <c r="O739" s="26">
        <f t="shared" si="146"/>
        <v>1.1299316838025097</v>
      </c>
      <c r="P739" s="26">
        <f t="shared" si="147"/>
        <v>0.94190047490472428</v>
      </c>
      <c r="Q739" s="22"/>
      <c r="AD739" s="59">
        <v>735</v>
      </c>
      <c r="AE739" s="61">
        <f t="shared" ca="1" si="149"/>
        <v>-1.3011647266082111</v>
      </c>
      <c r="AF739" s="61">
        <f t="shared" ca="1" si="149"/>
        <v>9.4727418717486609E-3</v>
      </c>
      <c r="AG739" s="61">
        <f t="shared" ca="1" si="149"/>
        <v>1.853159507574573</v>
      </c>
      <c r="AH739" s="19"/>
      <c r="AI739" s="61">
        <f ca="1"/>
        <v>-2.8214826530486879E-2</v>
      </c>
      <c r="AJ739" s="61">
        <f ca="1"/>
        <v>-2.0160370303599774E-2</v>
      </c>
      <c r="AK739" s="61">
        <f ca="1"/>
        <v>2.8319155467881576E-2</v>
      </c>
      <c r="AL739" s="19"/>
      <c r="AM739" s="61">
        <f t="shared" ca="1" si="153"/>
        <v>-2.7863610207976633E-2</v>
      </c>
      <c r="AN739" s="61">
        <f t="shared" ca="1" si="154"/>
        <v>-1.9911317706683244E-2</v>
      </c>
      <c r="AO739" s="61">
        <f t="shared" ca="1" si="155"/>
        <v>2.8750824071136393E-2</v>
      </c>
      <c r="AP739" s="19"/>
      <c r="AQ739" s="62">
        <f t="shared" ca="1" si="150"/>
        <v>1.0054565628330774</v>
      </c>
      <c r="AR739" s="62">
        <f t="shared" ca="1" si="151"/>
        <v>1.2980653219486444</v>
      </c>
      <c r="AS739" s="62">
        <f t="shared" ca="1" si="152"/>
        <v>0.81304532599740231</v>
      </c>
      <c r="AT739" s="49"/>
    </row>
    <row r="740" spans="1:46" x14ac:dyDescent="0.3">
      <c r="A740" s="5">
        <v>44533</v>
      </c>
      <c r="B740" s="6">
        <v>107.650002</v>
      </c>
      <c r="C740" s="6">
        <v>116.16999800000001</v>
      </c>
      <c r="D740" s="6">
        <v>69.709998999999996</v>
      </c>
      <c r="F740" s="13">
        <v>737</v>
      </c>
      <c r="G740" s="5">
        <v>44533</v>
      </c>
      <c r="H740" s="15">
        <f t="shared" si="148"/>
        <v>-3.3972775953145427E-2</v>
      </c>
      <c r="I740" s="15">
        <f t="shared" si="148"/>
        <v>-2.5244645497820118E-2</v>
      </c>
      <c r="J740" s="15">
        <f t="shared" si="148"/>
        <v>-2.0727588056288101E-2</v>
      </c>
      <c r="K740" s="22"/>
      <c r="L740" s="13">
        <v>737</v>
      </c>
      <c r="M740" s="5">
        <v>44533</v>
      </c>
      <c r="N740" s="26">
        <f t="shared" si="145"/>
        <v>1.9039617986564947</v>
      </c>
      <c r="O740" s="26">
        <f t="shared" si="146"/>
        <v>1.1017639965522763</v>
      </c>
      <c r="P740" s="26">
        <f t="shared" si="147"/>
        <v>0.92257809482737152</v>
      </c>
      <c r="Q740" s="22"/>
      <c r="AD740" s="59">
        <v>736</v>
      </c>
      <c r="AE740" s="61">
        <f t="shared" ca="1" si="149"/>
        <v>-1.0842603511339799</v>
      </c>
      <c r="AF740" s="61">
        <f t="shared" ca="1" si="149"/>
        <v>0.3871803352303736</v>
      </c>
      <c r="AG740" s="61">
        <f t="shared" ca="1" si="149"/>
        <v>-0.85314468778262009</v>
      </c>
      <c r="AH740" s="19"/>
      <c r="AI740" s="61">
        <f ca="1"/>
        <v>-2.3511410273836558E-2</v>
      </c>
      <c r="AJ740" s="61">
        <f ca="1"/>
        <v>-8.5554508212812054E-3</v>
      </c>
      <c r="AK740" s="61">
        <f ca="1"/>
        <v>-3.5151365072566845E-2</v>
      </c>
      <c r="AL740" s="19"/>
      <c r="AM740" s="61">
        <f t="shared" ca="1" si="153"/>
        <v>-2.3160193951326312E-2</v>
      </c>
      <c r="AN740" s="61">
        <f t="shared" ca="1" si="154"/>
        <v>-8.306398224364674E-3</v>
      </c>
      <c r="AO740" s="61">
        <f t="shared" ca="1" si="155"/>
        <v>-3.4719696469312028E-2</v>
      </c>
      <c r="AP740" s="19"/>
      <c r="AQ740" s="62">
        <f t="shared" ca="1" si="150"/>
        <v>0.9824375847553819</v>
      </c>
      <c r="AR740" s="62">
        <f t="shared" ca="1" si="151"/>
        <v>1.2873277315519231</v>
      </c>
      <c r="AS740" s="62">
        <f t="shared" ca="1" si="152"/>
        <v>0.78530106225869745</v>
      </c>
      <c r="AT740" s="49"/>
    </row>
    <row r="741" spans="1:46" x14ac:dyDescent="0.3">
      <c r="A741" s="5">
        <v>44536</v>
      </c>
      <c r="B741" s="6">
        <v>107.57</v>
      </c>
      <c r="C741" s="6">
        <v>122.55999799999999</v>
      </c>
      <c r="D741" s="6">
        <v>70.410004000000001</v>
      </c>
      <c r="F741" s="13">
        <v>738</v>
      </c>
      <c r="G741" s="5">
        <v>44536</v>
      </c>
      <c r="H741" s="15">
        <f t="shared" si="148"/>
        <v>-7.4344394518520657E-4</v>
      </c>
      <c r="I741" s="15">
        <f t="shared" si="148"/>
        <v>5.3546071364508473E-2</v>
      </c>
      <c r="J741" s="15">
        <f t="shared" si="148"/>
        <v>9.9915901879894173E-3</v>
      </c>
      <c r="K741" s="22"/>
      <c r="L741" s="13">
        <v>738</v>
      </c>
      <c r="M741" s="5">
        <v>44536</v>
      </c>
      <c r="N741" s="26">
        <f t="shared" si="145"/>
        <v>1.9025468358233668</v>
      </c>
      <c r="O741" s="26">
        <f t="shared" si="146"/>
        <v>1.1623671820491808</v>
      </c>
      <c r="P741" s="26">
        <f t="shared" si="147"/>
        <v>0.93184232217687468</v>
      </c>
      <c r="Q741" s="22"/>
      <c r="AD741" s="59">
        <v>737</v>
      </c>
      <c r="AE741" s="61">
        <f t="shared" ca="1" si="149"/>
        <v>1.0088376196103226</v>
      </c>
      <c r="AF741" s="61">
        <f t="shared" ca="1" si="149"/>
        <v>0.64030276778391026</v>
      </c>
      <c r="AG741" s="61">
        <f t="shared" ca="1" si="149"/>
        <v>0.8356147195798852</v>
      </c>
      <c r="AH741" s="19"/>
      <c r="AI741" s="61">
        <f ca="1"/>
        <v>2.1875922281518551E-2</v>
      </c>
      <c r="AJ741" s="61">
        <f ca="1"/>
        <v>2.9708299564174204E-2</v>
      </c>
      <c r="AK741" s="61">
        <f ca="1"/>
        <v>4.0823845384321988E-2</v>
      </c>
      <c r="AL741" s="19"/>
      <c r="AM741" s="61">
        <f t="shared" ca="1" si="153"/>
        <v>2.2227138604028796E-2</v>
      </c>
      <c r="AN741" s="61">
        <f t="shared" ca="1" si="154"/>
        <v>2.9957352161090734E-2</v>
      </c>
      <c r="AO741" s="61">
        <f t="shared" ca="1" si="155"/>
        <v>4.1255513987576806E-2</v>
      </c>
      <c r="AP741" s="19"/>
      <c r="AQ741" s="62">
        <f t="shared" ca="1" si="150"/>
        <v>1.0045188537459198</v>
      </c>
      <c r="AR741" s="62">
        <f t="shared" ca="1" si="151"/>
        <v>1.3264761251153343</v>
      </c>
      <c r="AS741" s="62">
        <f t="shared" ca="1" si="152"/>
        <v>0.8183766451687069</v>
      </c>
      <c r="AT741" s="49"/>
    </row>
    <row r="742" spans="1:46" x14ac:dyDescent="0.3">
      <c r="A742" s="5">
        <v>44537</v>
      </c>
      <c r="B742" s="6">
        <v>109.260002</v>
      </c>
      <c r="C742" s="6">
        <v>124.519997</v>
      </c>
      <c r="D742" s="6">
        <v>71.629997000000003</v>
      </c>
      <c r="F742" s="13">
        <v>739</v>
      </c>
      <c r="G742" s="5">
        <v>44537</v>
      </c>
      <c r="H742" s="15">
        <f t="shared" si="148"/>
        <v>1.5588582828618141E-2</v>
      </c>
      <c r="I742" s="15">
        <f t="shared" si="148"/>
        <v>1.586563180714877E-2</v>
      </c>
      <c r="J742" s="15">
        <f t="shared" si="148"/>
        <v>1.717858340331355E-2</v>
      </c>
      <c r="K742" s="22"/>
      <c r="L742" s="13">
        <v>739</v>
      </c>
      <c r="M742" s="5">
        <v>44537</v>
      </c>
      <c r="N742" s="26">
        <f t="shared" si="145"/>
        <v>1.9324372137878103</v>
      </c>
      <c r="O742" s="26">
        <f t="shared" si="146"/>
        <v>1.180955943077467</v>
      </c>
      <c r="P742" s="26">
        <f t="shared" si="147"/>
        <v>0.94798833901504354</v>
      </c>
      <c r="Q742" s="22"/>
      <c r="AD742" s="59">
        <v>738</v>
      </c>
      <c r="AE742" s="61">
        <f t="shared" ca="1" si="149"/>
        <v>1.5656997327893434</v>
      </c>
      <c r="AF742" s="61">
        <f t="shared" ca="1" si="149"/>
        <v>1.0083247072720165</v>
      </c>
      <c r="AG742" s="61">
        <f t="shared" ca="1" si="149"/>
        <v>1.1070215238311329</v>
      </c>
      <c r="AH742" s="19"/>
      <c r="AI742" s="61">
        <f ca="1"/>
        <v>3.3951078949577641E-2</v>
      </c>
      <c r="AJ742" s="61">
        <f ca="1"/>
        <v>4.6423824891746887E-2</v>
      </c>
      <c r="AK742" s="61">
        <f ca="1"/>
        <v>5.8596997365061756E-2</v>
      </c>
      <c r="AL742" s="19"/>
      <c r="AM742" s="61">
        <f t="shared" ca="1" si="153"/>
        <v>3.4302295272087883E-2</v>
      </c>
      <c r="AN742" s="61">
        <f t="shared" ca="1" si="154"/>
        <v>4.6672877488663417E-2</v>
      </c>
      <c r="AO742" s="61">
        <f t="shared" ca="1" si="155"/>
        <v>5.9028665968316574E-2</v>
      </c>
      <c r="AP742" s="19"/>
      <c r="AQ742" s="62">
        <f t="shared" ca="1" si="150"/>
        <v>1.0395739540503854</v>
      </c>
      <c r="AR742" s="62">
        <f t="shared" ca="1" si="151"/>
        <v>1.3898540943187028</v>
      </c>
      <c r="AS742" s="62">
        <f t="shared" ca="1" si="152"/>
        <v>0.86813856847096926</v>
      </c>
      <c r="AT742" s="49"/>
    </row>
    <row r="743" spans="1:46" x14ac:dyDescent="0.3">
      <c r="A743" s="5">
        <v>44538</v>
      </c>
      <c r="B743" s="6">
        <v>109.900002</v>
      </c>
      <c r="C743" s="6">
        <v>124.16999800000001</v>
      </c>
      <c r="D743" s="6">
        <v>70.720000999999996</v>
      </c>
      <c r="F743" s="13">
        <v>740</v>
      </c>
      <c r="G743" s="5">
        <v>44538</v>
      </c>
      <c r="H743" s="15">
        <f t="shared" si="148"/>
        <v>5.8404983354055544E-3</v>
      </c>
      <c r="I743" s="15">
        <f t="shared" si="148"/>
        <v>-2.8147431590913709E-3</v>
      </c>
      <c r="J743" s="15">
        <f t="shared" si="148"/>
        <v>-1.2785506274806575E-2</v>
      </c>
      <c r="K743" s="22"/>
      <c r="L743" s="13">
        <v>740</v>
      </c>
      <c r="M743" s="5">
        <v>44538</v>
      </c>
      <c r="N743" s="26">
        <f t="shared" si="145"/>
        <v>1.9437566334673395</v>
      </c>
      <c r="O743" s="26">
        <f t="shared" si="146"/>
        <v>1.1776365292557562</v>
      </c>
      <c r="P743" s="26">
        <f t="shared" si="147"/>
        <v>0.93594498242310709</v>
      </c>
      <c r="Q743" s="22"/>
      <c r="AD743" s="59">
        <v>739</v>
      </c>
      <c r="AE743" s="61">
        <f t="shared" ca="1" si="149"/>
        <v>-0.68583556510498467</v>
      </c>
      <c r="AF743" s="61">
        <f t="shared" ca="1" si="149"/>
        <v>-1.3886300941360996</v>
      </c>
      <c r="AG743" s="61">
        <f t="shared" ca="1" si="149"/>
        <v>0.26624131858347033</v>
      </c>
      <c r="AH743" s="19"/>
      <c r="AI743" s="61">
        <f ca="1"/>
        <v>-1.4871853733937108E-2</v>
      </c>
      <c r="AJ743" s="61">
        <f ca="1"/>
        <v>-4.0918218204181067E-2</v>
      </c>
      <c r="AK743" s="61">
        <f ca="1"/>
        <v>-1.3091877186391678E-2</v>
      </c>
      <c r="AL743" s="19"/>
      <c r="AM743" s="61">
        <f t="shared" ca="1" si="153"/>
        <v>-1.4520637411426864E-2</v>
      </c>
      <c r="AN743" s="61">
        <f t="shared" ca="1" si="154"/>
        <v>-4.0669165607264537E-2</v>
      </c>
      <c r="AO743" s="61">
        <f t="shared" ca="1" si="155"/>
        <v>-1.2660208583136859E-2</v>
      </c>
      <c r="AP743" s="19"/>
      <c r="AQ743" s="62">
        <f t="shared" ca="1" si="150"/>
        <v>1.0245877455689083</v>
      </c>
      <c r="AR743" s="62">
        <f t="shared" ca="1" si="151"/>
        <v>1.3344638596235197</v>
      </c>
      <c r="AS743" s="62">
        <f t="shared" ca="1" si="152"/>
        <v>0.85721703344650513</v>
      </c>
      <c r="AT743" s="49"/>
    </row>
    <row r="744" spans="1:46" x14ac:dyDescent="0.3">
      <c r="A744" s="5">
        <v>44539</v>
      </c>
      <c r="B744" s="6">
        <v>108.029999</v>
      </c>
      <c r="C744" s="6">
        <v>122.660004</v>
      </c>
      <c r="D744" s="6">
        <v>70.309997999999993</v>
      </c>
      <c r="F744" s="13">
        <v>741</v>
      </c>
      <c r="G744" s="5">
        <v>44539</v>
      </c>
      <c r="H744" s="15">
        <f t="shared" si="148"/>
        <v>-1.7161922535732094E-2</v>
      </c>
      <c r="I744" s="15">
        <f t="shared" si="148"/>
        <v>-1.2235245513495398E-2</v>
      </c>
      <c r="J744" s="15">
        <f t="shared" si="148"/>
        <v>-5.8144247040456979E-3</v>
      </c>
      <c r="K744" s="22"/>
      <c r="L744" s="13">
        <v>741</v>
      </c>
      <c r="M744" s="5">
        <v>44539</v>
      </c>
      <c r="N744" s="26">
        <f t="shared" si="145"/>
        <v>1.9106826510314354</v>
      </c>
      <c r="O744" s="26">
        <f t="shared" si="146"/>
        <v>1.1633156456123739</v>
      </c>
      <c r="P744" s="26">
        <f t="shared" si="147"/>
        <v>0.93051879117307545</v>
      </c>
      <c r="Q744" s="22"/>
      <c r="AD744" s="59">
        <v>740</v>
      </c>
      <c r="AE744" s="61">
        <f t="shared" ca="1" si="149"/>
        <v>-0.22490601223538537</v>
      </c>
      <c r="AF744" s="61">
        <f t="shared" ca="1" si="149"/>
        <v>-1.1811862936367112</v>
      </c>
      <c r="AG744" s="61">
        <f t="shared" ca="1" si="149"/>
        <v>0.9318873592093504</v>
      </c>
      <c r="AH744" s="19"/>
      <c r="AI744" s="61">
        <f ca="1"/>
        <v>-4.876926027211374E-3</v>
      </c>
      <c r="AJ744" s="61">
        <f ca="1"/>
        <v>-2.9194590985102489E-2</v>
      </c>
      <c r="AK744" s="61">
        <f ca="1"/>
        <v>1.2233345140574638E-2</v>
      </c>
      <c r="AL744" s="19"/>
      <c r="AM744" s="61">
        <f t="shared" ca="1" si="153"/>
        <v>-4.5257097047011301E-3</v>
      </c>
      <c r="AN744" s="61">
        <f t="shared" ca="1" si="154"/>
        <v>-2.8945538388185959E-2</v>
      </c>
      <c r="AO744" s="61">
        <f t="shared" ca="1" si="155"/>
        <v>1.2665013743829457E-2</v>
      </c>
      <c r="AP744" s="19"/>
      <c r="AQ744" s="62">
        <f t="shared" ca="1" si="150"/>
        <v>1.0199612358820604</v>
      </c>
      <c r="AR744" s="62">
        <f t="shared" ca="1" si="151"/>
        <v>1.2963907660820446</v>
      </c>
      <c r="AS744" s="62">
        <f t="shared" ca="1" si="152"/>
        <v>0.86814274002631675</v>
      </c>
      <c r="AT744" s="49"/>
    </row>
    <row r="745" spans="1:46" x14ac:dyDescent="0.3">
      <c r="A745" s="5">
        <v>44540</v>
      </c>
      <c r="B745" s="6">
        <v>109.550003</v>
      </c>
      <c r="C745" s="6">
        <v>122.900002</v>
      </c>
      <c r="D745" s="6">
        <v>70.849997999999999</v>
      </c>
      <c r="F745" s="13">
        <v>742</v>
      </c>
      <c r="G745" s="5">
        <v>44540</v>
      </c>
      <c r="H745" s="15">
        <f t="shared" si="148"/>
        <v>1.3972136354025355E-2</v>
      </c>
      <c r="I745" s="15">
        <f t="shared" si="148"/>
        <v>1.9547000370769741E-3</v>
      </c>
      <c r="J745" s="15">
        <f t="shared" si="148"/>
        <v>7.650930142423424E-3</v>
      </c>
      <c r="K745" s="22"/>
      <c r="L745" s="13">
        <v>742</v>
      </c>
      <c r="M745" s="5">
        <v>44540</v>
      </c>
      <c r="N745" s="26">
        <f t="shared" si="145"/>
        <v>1.9375663435166903</v>
      </c>
      <c r="O745" s="26">
        <f t="shared" si="146"/>
        <v>1.1655918026253451</v>
      </c>
      <c r="P745" s="26">
        <f t="shared" si="147"/>
        <v>0.93766542979527345</v>
      </c>
      <c r="Q745" s="22"/>
      <c r="AD745" s="59">
        <v>741</v>
      </c>
      <c r="AE745" s="61">
        <f t="shared" ca="1" si="149"/>
        <v>0.90061051160083505</v>
      </c>
      <c r="AF745" s="61">
        <f t="shared" ca="1" si="149"/>
        <v>0.17281807344303593</v>
      </c>
      <c r="AG745" s="61">
        <f t="shared" ca="1" si="149"/>
        <v>0.60206943121073153</v>
      </c>
      <c r="AH745" s="19"/>
      <c r="AI745" s="61">
        <f ca="1"/>
        <v>1.9529094846114654E-2</v>
      </c>
      <c r="AJ745" s="61">
        <f ca="1"/>
        <v>1.78530367480851E-2</v>
      </c>
      <c r="AK745" s="61">
        <f ca="1"/>
        <v>2.9949068381812015E-2</v>
      </c>
      <c r="AL745" s="19"/>
      <c r="AM745" s="61">
        <f t="shared" ca="1" si="153"/>
        <v>1.98803111686249E-2</v>
      </c>
      <c r="AN745" s="61">
        <f t="shared" ca="1" si="154"/>
        <v>1.810208934500163E-2</v>
      </c>
      <c r="AO745" s="61">
        <f t="shared" ca="1" si="155"/>
        <v>3.0380736985066832E-2</v>
      </c>
      <c r="AP745" s="19"/>
      <c r="AQ745" s="62">
        <f t="shared" ca="1" si="150"/>
        <v>1.0404412829682765</v>
      </c>
      <c r="AR745" s="62">
        <f t="shared" ca="1" si="151"/>
        <v>1.3200718393489588</v>
      </c>
      <c r="AS745" s="62">
        <f t="shared" ca="1" si="152"/>
        <v>0.89492228773662152</v>
      </c>
      <c r="AT745" s="49"/>
    </row>
    <row r="746" spans="1:46" x14ac:dyDescent="0.3">
      <c r="A746" s="5">
        <v>44543</v>
      </c>
      <c r="B746" s="6">
        <v>107.550003</v>
      </c>
      <c r="C746" s="6">
        <v>120.08000199999999</v>
      </c>
      <c r="D746" s="6">
        <v>68.220000999999996</v>
      </c>
      <c r="F746" s="13">
        <v>743</v>
      </c>
      <c r="G746" s="5">
        <v>44543</v>
      </c>
      <c r="H746" s="15">
        <f t="shared" si="148"/>
        <v>-1.8425209818489528E-2</v>
      </c>
      <c r="I746" s="15">
        <f t="shared" si="148"/>
        <v>-2.3212828864612747E-2</v>
      </c>
      <c r="J746" s="15">
        <f t="shared" si="148"/>
        <v>-3.7827146259079458E-2</v>
      </c>
      <c r="K746" s="22"/>
      <c r="L746" s="13">
        <v>743</v>
      </c>
      <c r="M746" s="5">
        <v>44543</v>
      </c>
      <c r="N746" s="26">
        <f t="shared" si="145"/>
        <v>1.9021931570181616</v>
      </c>
      <c r="O746" s="26">
        <f t="shared" si="146"/>
        <v>1.1388467348473683</v>
      </c>
      <c r="P746" s="26">
        <f t="shared" si="147"/>
        <v>0.90285869250552397</v>
      </c>
      <c r="Q746" s="22"/>
      <c r="AD746" s="59">
        <v>742</v>
      </c>
      <c r="AE746" s="61">
        <f t="shared" ca="1" si="149"/>
        <v>1.3479477254347414</v>
      </c>
      <c r="AF746" s="61">
        <f t="shared" ca="1" si="149"/>
        <v>9.715650600354675E-2</v>
      </c>
      <c r="AG746" s="61">
        <f t="shared" ca="1" si="149"/>
        <v>5.7022784721048915E-2</v>
      </c>
      <c r="AH746" s="19"/>
      <c r="AI746" s="61">
        <f ca="1"/>
        <v>2.9229282401810212E-2</v>
      </c>
      <c r="AJ746" s="61">
        <f ca="1"/>
        <v>2.3210328819843674E-2</v>
      </c>
      <c r="AK746" s="61">
        <f ca="1"/>
        <v>2.2061805756378776E-2</v>
      </c>
      <c r="AL746" s="19"/>
      <c r="AM746" s="61">
        <f t="shared" ca="1" si="153"/>
        <v>2.9580498724320458E-2</v>
      </c>
      <c r="AN746" s="61">
        <f t="shared" ca="1" si="154"/>
        <v>2.3459381416760204E-2</v>
      </c>
      <c r="AO746" s="61">
        <f t="shared" ca="1" si="155"/>
        <v>2.2493474359633593E-2</v>
      </c>
      <c r="AP746" s="19"/>
      <c r="AQ746" s="62">
        <f t="shared" ca="1" si="150"/>
        <v>1.0716777728434272</v>
      </c>
      <c r="AR746" s="62">
        <f t="shared" ca="1" si="151"/>
        <v>1.3514060112397592</v>
      </c>
      <c r="AS746" s="62">
        <f t="shared" ca="1" si="152"/>
        <v>0.9152803021590179</v>
      </c>
      <c r="AT746" s="49"/>
    </row>
    <row r="747" spans="1:46" x14ac:dyDescent="0.3">
      <c r="A747" s="5">
        <v>44544</v>
      </c>
      <c r="B747" s="6">
        <v>106.489998</v>
      </c>
      <c r="C747" s="6">
        <v>116.860001</v>
      </c>
      <c r="D747" s="6">
        <v>68.190002000000007</v>
      </c>
      <c r="F747" s="13">
        <v>744</v>
      </c>
      <c r="G747" s="5">
        <v>44544</v>
      </c>
      <c r="H747" s="15">
        <f t="shared" si="148"/>
        <v>-9.9048183615554793E-3</v>
      </c>
      <c r="I747" s="15">
        <f t="shared" si="148"/>
        <v>-2.7181558297230367E-2</v>
      </c>
      <c r="J747" s="15">
        <f t="shared" si="148"/>
        <v>-4.3983578658246021E-4</v>
      </c>
      <c r="K747" s="22"/>
      <c r="L747" s="13">
        <v>744</v>
      </c>
      <c r="M747" s="5">
        <v>44544</v>
      </c>
      <c r="N747" s="26">
        <f t="shared" si="145"/>
        <v>1.8834452797409751</v>
      </c>
      <c r="O747" s="26">
        <f t="shared" si="146"/>
        <v>1.108308030950151</v>
      </c>
      <c r="P747" s="26">
        <f t="shared" si="147"/>
        <v>0.90246167026102908</v>
      </c>
      <c r="Q747" s="22"/>
      <c r="AD747" s="59">
        <v>743</v>
      </c>
      <c r="AE747" s="61">
        <f t="shared" ca="1" si="149"/>
        <v>0.34249775851757647</v>
      </c>
      <c r="AF747" s="61">
        <f t="shared" ca="1" si="149"/>
        <v>-1.0434488255284913E-2</v>
      </c>
      <c r="AG747" s="61">
        <f t="shared" ca="1" si="149"/>
        <v>-3.8767156095182026E-2</v>
      </c>
      <c r="AH747" s="19"/>
      <c r="AI747" s="61">
        <f ca="1"/>
        <v>7.4268189461638772E-3</v>
      </c>
      <c r="AJ747" s="61">
        <f ca="1"/>
        <v>5.134086431958498E-3</v>
      </c>
      <c r="AK747" s="61">
        <f ca="1"/>
        <v>3.9938941327383373E-3</v>
      </c>
      <c r="AL747" s="19"/>
      <c r="AM747" s="61">
        <f t="shared" ca="1" si="153"/>
        <v>7.7780352686741211E-3</v>
      </c>
      <c r="AN747" s="61">
        <f t="shared" ca="1" si="154"/>
        <v>5.3831390288750286E-3</v>
      </c>
      <c r="AO747" s="61">
        <f t="shared" ca="1" si="155"/>
        <v>4.4255627359931554E-3</v>
      </c>
      <c r="AP747" s="19"/>
      <c r="AQ747" s="62">
        <f t="shared" ca="1" si="150"/>
        <v>1.0800458216593087</v>
      </c>
      <c r="AR747" s="62">
        <f t="shared" ca="1" si="151"/>
        <v>1.3587004335124164</v>
      </c>
      <c r="AS747" s="62">
        <f t="shared" ca="1" si="152"/>
        <v>0.91933990895369866</v>
      </c>
      <c r="AT747" s="49"/>
    </row>
    <row r="748" spans="1:46" x14ac:dyDescent="0.3">
      <c r="A748" s="5">
        <v>44545</v>
      </c>
      <c r="B748" s="6">
        <v>108.550003</v>
      </c>
      <c r="C748" s="6">
        <v>115.849998</v>
      </c>
      <c r="D748" s="6">
        <v>68.239998</v>
      </c>
      <c r="F748" s="13">
        <v>745</v>
      </c>
      <c r="G748" s="5">
        <v>44545</v>
      </c>
      <c r="H748" s="15">
        <f t="shared" si="148"/>
        <v>1.9159858715148161E-2</v>
      </c>
      <c r="I748" s="15">
        <f t="shared" si="148"/>
        <v>-8.68041206885691E-3</v>
      </c>
      <c r="J748" s="15">
        <f t="shared" si="148"/>
        <v>7.3291801272473624E-4</v>
      </c>
      <c r="K748" s="22"/>
      <c r="L748" s="13">
        <v>745</v>
      </c>
      <c r="M748" s="5">
        <v>44545</v>
      </c>
      <c r="N748" s="26">
        <f t="shared" si="145"/>
        <v>1.9198797502674259</v>
      </c>
      <c r="O748" s="26">
        <f t="shared" si="146"/>
        <v>1.0987290952441369</v>
      </c>
      <c r="P748" s="26">
        <f t="shared" si="147"/>
        <v>0.9031233431213167</v>
      </c>
      <c r="Q748" s="22"/>
      <c r="AD748" s="59">
        <v>744</v>
      </c>
      <c r="AE748" s="61">
        <f t="shared" ca="1" si="149"/>
        <v>1.5072902799349754</v>
      </c>
      <c r="AF748" s="61">
        <f t="shared" ca="1" si="149"/>
        <v>-1.2912498445317351</v>
      </c>
      <c r="AG748" s="61">
        <f t="shared" ca="1" si="149"/>
        <v>1.4297280022119994</v>
      </c>
      <c r="AH748" s="19"/>
      <c r="AI748" s="61">
        <f ca="1"/>
        <v>3.2684511737659301E-2</v>
      </c>
      <c r="AJ748" s="61">
        <f ca="1"/>
        <v>-4.4740125605894424E-3</v>
      </c>
      <c r="AK748" s="61">
        <f ca="1"/>
        <v>4.9807027930445308E-2</v>
      </c>
      <c r="AL748" s="19"/>
      <c r="AM748" s="61">
        <f t="shared" ca="1" si="153"/>
        <v>3.3035728060169543E-2</v>
      </c>
      <c r="AN748" s="61">
        <f t="shared" ca="1" si="154"/>
        <v>-4.2249599636729118E-3</v>
      </c>
      <c r="AO748" s="61">
        <f t="shared" ca="1" si="155"/>
        <v>5.0238696533700125E-2</v>
      </c>
      <c r="AP748" s="19"/>
      <c r="AQ748" s="62">
        <f t="shared" ca="1" si="150"/>
        <v>1.1163218246821376</v>
      </c>
      <c r="AR748" s="62">
        <f t="shared" ca="1" si="151"/>
        <v>1.3529720881142322</v>
      </c>
      <c r="AS748" s="62">
        <f t="shared" ca="1" si="152"/>
        <v>0.96670619590870666</v>
      </c>
      <c r="AT748" s="49"/>
    </row>
    <row r="749" spans="1:46" x14ac:dyDescent="0.3">
      <c r="A749" s="5">
        <v>44546</v>
      </c>
      <c r="B749" s="6">
        <v>107.639999</v>
      </c>
      <c r="C749" s="6">
        <v>114.41999800000001</v>
      </c>
      <c r="D749" s="6">
        <v>68.75</v>
      </c>
      <c r="F749" s="13">
        <v>746</v>
      </c>
      <c r="G749" s="5">
        <v>44546</v>
      </c>
      <c r="H749" s="15">
        <f t="shared" si="148"/>
        <v>-8.4186073928557443E-3</v>
      </c>
      <c r="I749" s="15">
        <f t="shared" si="148"/>
        <v>-1.2420362253761015E-2</v>
      </c>
      <c r="J749" s="15">
        <f t="shared" si="148"/>
        <v>7.4458626715809585E-3</v>
      </c>
      <c r="K749" s="22"/>
      <c r="L749" s="13">
        <v>746</v>
      </c>
      <c r="M749" s="5">
        <v>44546</v>
      </c>
      <c r="N749" s="26">
        <f t="shared" si="145"/>
        <v>1.9037848796642223</v>
      </c>
      <c r="O749" s="26">
        <f t="shared" si="146"/>
        <v>1.08516688002339</v>
      </c>
      <c r="P749" s="26">
        <f t="shared" si="147"/>
        <v>0.90987297273353562</v>
      </c>
      <c r="Q749" s="22"/>
      <c r="AD749" s="59">
        <v>745</v>
      </c>
      <c r="AE749" s="61">
        <f t="shared" ca="1" si="149"/>
        <v>0.39519947922712034</v>
      </c>
      <c r="AF749" s="61">
        <f t="shared" ca="1" si="149"/>
        <v>0.21092867748231728</v>
      </c>
      <c r="AG749" s="61">
        <f t="shared" ca="1" si="149"/>
        <v>0.77243039931493029</v>
      </c>
      <c r="AH749" s="19"/>
      <c r="AI749" s="61">
        <f ca="1"/>
        <v>8.5696180685732905E-3</v>
      </c>
      <c r="AJ749" s="61">
        <f ca="1"/>
        <v>1.0770545242533621E-2</v>
      </c>
      <c r="AK749" s="61">
        <f ca="1"/>
        <v>2.7114377182045093E-2</v>
      </c>
      <c r="AL749" s="19"/>
      <c r="AM749" s="61">
        <f t="shared" ca="1" si="153"/>
        <v>8.9208343910835344E-3</v>
      </c>
      <c r="AN749" s="61">
        <f t="shared" ca="1" si="154"/>
        <v>1.1019597839450153E-2</v>
      </c>
      <c r="AO749" s="61">
        <f t="shared" ca="1" si="155"/>
        <v>2.754604578529991E-2</v>
      </c>
      <c r="AP749" s="19"/>
      <c r="AQ749" s="62">
        <f t="shared" ca="1" si="150"/>
        <v>1.1263248983510457</v>
      </c>
      <c r="AR749" s="62">
        <f t="shared" ca="1" si="151"/>
        <v>1.36796374572748</v>
      </c>
      <c r="AS749" s="62">
        <f t="shared" ca="1" si="152"/>
        <v>0.99370528087142596</v>
      </c>
      <c r="AT749" s="49"/>
    </row>
    <row r="750" spans="1:46" x14ac:dyDescent="0.3">
      <c r="A750" s="5">
        <v>44547</v>
      </c>
      <c r="B750" s="6">
        <v>106.510002</v>
      </c>
      <c r="C750" s="6">
        <v>115.050003</v>
      </c>
      <c r="D750" s="6">
        <v>68.690002000000007</v>
      </c>
      <c r="F750" s="13">
        <v>747</v>
      </c>
      <c r="G750" s="5">
        <v>44547</v>
      </c>
      <c r="H750" s="15">
        <f t="shared" si="148"/>
        <v>-1.0553420335824607E-2</v>
      </c>
      <c r="I750" s="15">
        <f t="shared" si="148"/>
        <v>5.4909711960729971E-3</v>
      </c>
      <c r="J750" s="15">
        <f t="shared" si="148"/>
        <v>-8.7307920457110042E-4</v>
      </c>
      <c r="K750" s="22"/>
      <c r="L750" s="13">
        <v>747</v>
      </c>
      <c r="M750" s="5">
        <v>44547</v>
      </c>
      <c r="N750" s="26">
        <f t="shared" si="145"/>
        <v>1.8837990823523334</v>
      </c>
      <c r="O750" s="26">
        <f t="shared" si="146"/>
        <v>1.091141889394122</v>
      </c>
      <c r="P750" s="26">
        <f t="shared" si="147"/>
        <v>0.90907892824454561</v>
      </c>
      <c r="Q750" s="22"/>
      <c r="AD750" s="59">
        <v>746</v>
      </c>
      <c r="AE750" s="61">
        <f t="shared" ca="1" si="149"/>
        <v>0.77867721194030948</v>
      </c>
      <c r="AF750" s="61">
        <f t="shared" ca="1" si="149"/>
        <v>0.95639742138927464</v>
      </c>
      <c r="AG750" s="61">
        <f t="shared" ca="1" si="149"/>
        <v>0.79197675883884722</v>
      </c>
      <c r="AH750" s="19"/>
      <c r="AI750" s="61">
        <f ca="1"/>
        <v>1.6885058447141853E-2</v>
      </c>
      <c r="AJ750" s="61">
        <f ca="1"/>
        <v>3.2976390045895233E-2</v>
      </c>
      <c r="AK750" s="61">
        <f ca="1"/>
        <v>3.8531181254724683E-2</v>
      </c>
      <c r="AL750" s="19"/>
      <c r="AM750" s="61">
        <f t="shared" ca="1" si="153"/>
        <v>1.7236274769652098E-2</v>
      </c>
      <c r="AN750" s="61">
        <f t="shared" ca="1" si="154"/>
        <v>3.3225442642811763E-2</v>
      </c>
      <c r="AO750" s="61">
        <f t="shared" ca="1" si="155"/>
        <v>3.8962849857979501E-2</v>
      </c>
      <c r="AP750" s="19"/>
      <c r="AQ750" s="62">
        <f t="shared" ca="1" si="150"/>
        <v>1.1459068186627963</v>
      </c>
      <c r="AR750" s="62">
        <f t="shared" ca="1" si="151"/>
        <v>1.4141784472510741</v>
      </c>
      <c r="AS750" s="62">
        <f t="shared" ca="1" si="152"/>
        <v>1.0331870367392733</v>
      </c>
      <c r="AT750" s="49"/>
    </row>
    <row r="751" spans="1:46" x14ac:dyDescent="0.3">
      <c r="A751" s="5">
        <v>44550</v>
      </c>
      <c r="B751" s="6">
        <v>106.029999</v>
      </c>
      <c r="C751" s="6">
        <v>108.900002</v>
      </c>
      <c r="D751" s="6">
        <v>68.690002000000007</v>
      </c>
      <c r="F751" s="13">
        <v>748</v>
      </c>
      <c r="G751" s="5">
        <v>44550</v>
      </c>
      <c r="H751" s="15">
        <f t="shared" si="148"/>
        <v>-4.5168327262398843E-3</v>
      </c>
      <c r="I751" s="15">
        <f t="shared" si="148"/>
        <v>-5.4936794252606377E-2</v>
      </c>
      <c r="J751" s="15">
        <f t="shared" si="148"/>
        <v>0</v>
      </c>
      <c r="K751" s="22"/>
      <c r="L751" s="13">
        <v>748</v>
      </c>
      <c r="M751" s="5">
        <v>44550</v>
      </c>
      <c r="N751" s="26">
        <f t="shared" si="145"/>
        <v>1.8753094645329067</v>
      </c>
      <c r="O751" s="26">
        <f t="shared" si="146"/>
        <v>1.032814870394255</v>
      </c>
      <c r="P751" s="26">
        <f t="shared" si="147"/>
        <v>0.90907892824454561</v>
      </c>
      <c r="Q751" s="22"/>
      <c r="AD751" s="59">
        <v>747</v>
      </c>
      <c r="AE751" s="61">
        <f t="shared" ca="1" si="149"/>
        <v>0.53590842160006891</v>
      </c>
      <c r="AF751" s="61">
        <f t="shared" ca="1" si="149"/>
        <v>0.24717566239083036</v>
      </c>
      <c r="AG751" s="61">
        <f t="shared" ca="1" si="149"/>
        <v>-0.41690275981372532</v>
      </c>
      <c r="AH751" s="19"/>
      <c r="AI751" s="61">
        <f ca="1"/>
        <v>1.1620790851814927E-2</v>
      </c>
      <c r="AJ751" s="61">
        <f ca="1"/>
        <v>1.3760834258991217E-2</v>
      </c>
      <c r="AK751" s="61">
        <f ca="1"/>
        <v>-1.0219655438281437E-3</v>
      </c>
      <c r="AL751" s="19"/>
      <c r="AM751" s="61">
        <f t="shared" ca="1" si="153"/>
        <v>1.197200717432517E-2</v>
      </c>
      <c r="AN751" s="61">
        <f t="shared" ca="1" si="154"/>
        <v>1.4009886855907748E-2</v>
      </c>
      <c r="AO751" s="61">
        <f t="shared" ca="1" si="155"/>
        <v>-5.9029694057332542E-4</v>
      </c>
      <c r="AP751" s="19"/>
      <c r="AQ751" s="62">
        <f t="shared" ca="1" si="150"/>
        <v>1.1597080728310083</v>
      </c>
      <c r="AR751" s="62">
        <f t="shared" ca="1" si="151"/>
        <v>1.4341303629915032</v>
      </c>
      <c r="AS751" s="62">
        <f t="shared" ca="1" si="152"/>
        <v>1.0325773295642904</v>
      </c>
      <c r="AT751" s="49"/>
    </row>
    <row r="752" spans="1:46" x14ac:dyDescent="0.3">
      <c r="A752" s="5">
        <v>44551</v>
      </c>
      <c r="B752" s="6">
        <v>107.720001</v>
      </c>
      <c r="C752" s="6">
        <v>111.970001</v>
      </c>
      <c r="D752" s="6">
        <v>71.319999999999993</v>
      </c>
      <c r="F752" s="13">
        <v>749</v>
      </c>
      <c r="G752" s="5">
        <v>44551</v>
      </c>
      <c r="H752" s="15">
        <f t="shared" si="148"/>
        <v>1.5813213720311428E-2</v>
      </c>
      <c r="I752" s="15">
        <f t="shared" si="148"/>
        <v>2.7800938898681606E-2</v>
      </c>
      <c r="J752" s="15">
        <f t="shared" si="148"/>
        <v>3.757313565283002E-2</v>
      </c>
      <c r="K752" s="22"/>
      <c r="L752" s="13">
        <v>749</v>
      </c>
      <c r="M752" s="5">
        <v>44551</v>
      </c>
      <c r="N752" s="26">
        <f t="shared" si="145"/>
        <v>1.9051998424973497</v>
      </c>
      <c r="O752" s="26">
        <f t="shared" si="146"/>
        <v>1.0619309453351489</v>
      </c>
      <c r="P752" s="26">
        <f t="shared" si="147"/>
        <v>0.94388567876881102</v>
      </c>
      <c r="Q752" s="22"/>
      <c r="AD752" s="59">
        <v>748</v>
      </c>
      <c r="AE752" s="61">
        <f t="shared" ca="1" si="149"/>
        <v>-0.1111992944974626</v>
      </c>
      <c r="AF752" s="61">
        <f t="shared" ca="1" si="149"/>
        <v>0.86194578397538646</v>
      </c>
      <c r="AG752" s="61">
        <f t="shared" ca="1" si="149"/>
        <v>3.5396357568540371E-2</v>
      </c>
      <c r="AH752" s="19"/>
      <c r="AI752" s="61">
        <f ca="1"/>
        <v>-2.4112771737495333E-3</v>
      </c>
      <c r="AJ752" s="61">
        <f ca="1"/>
        <v>1.6994739807572982E-2</v>
      </c>
      <c r="AK752" s="61">
        <f ca="1"/>
        <v>5.3340420877410564E-3</v>
      </c>
      <c r="AL752" s="19"/>
      <c r="AM752" s="61">
        <f t="shared" ca="1" si="153"/>
        <v>-2.060060851239289E-3</v>
      </c>
      <c r="AN752" s="61">
        <f t="shared" ca="1" si="154"/>
        <v>1.7243792404489512E-2</v>
      </c>
      <c r="AO752" s="61">
        <f t="shared" ca="1" si="155"/>
        <v>5.7657106909958745E-3</v>
      </c>
      <c r="AP752" s="19"/>
      <c r="AQ752" s="62">
        <f t="shared" ca="1" si="150"/>
        <v>1.1573214627563286</v>
      </c>
      <c r="AR752" s="62">
        <f t="shared" ca="1" si="151"/>
        <v>1.4590746582843446</v>
      </c>
      <c r="AS752" s="62">
        <f t="shared" ca="1" si="152"/>
        <v>1.0385480679470647</v>
      </c>
      <c r="AT752" s="49"/>
    </row>
    <row r="753" spans="1:46" x14ac:dyDescent="0.3">
      <c r="A753" s="5">
        <v>44552</v>
      </c>
      <c r="B753" s="6">
        <v>108.19000200000001</v>
      </c>
      <c r="C753" s="6">
        <v>111.599998</v>
      </c>
      <c r="D753" s="6">
        <v>71.300003000000004</v>
      </c>
      <c r="F753" s="13">
        <v>750</v>
      </c>
      <c r="G753" s="5">
        <v>44552</v>
      </c>
      <c r="H753" s="15">
        <f t="shared" si="148"/>
        <v>4.3536819587534619E-3</v>
      </c>
      <c r="I753" s="15">
        <f t="shared" si="148"/>
        <v>-3.309955177005683E-3</v>
      </c>
      <c r="J753" s="15">
        <f t="shared" si="148"/>
        <v>-2.8042349895382863E-4</v>
      </c>
      <c r="K753" s="22"/>
      <c r="L753" s="13">
        <v>750</v>
      </c>
      <c r="M753" s="5">
        <v>44552</v>
      </c>
      <c r="N753" s="26">
        <f t="shared" si="145"/>
        <v>1.9135125590110975</v>
      </c>
      <c r="O753" s="26">
        <f t="shared" si="146"/>
        <v>1.0584218122454132</v>
      </c>
      <c r="P753" s="26">
        <f t="shared" si="147"/>
        <v>0.9436210281530184</v>
      </c>
      <c r="Q753" s="22"/>
      <c r="AD753" s="59">
        <v>749</v>
      </c>
      <c r="AE753" s="61">
        <f t="shared" ca="1" si="149"/>
        <v>0.65851871765189685</v>
      </c>
      <c r="AF753" s="61">
        <f t="shared" ca="1" si="149"/>
        <v>3.890548434274594E-2</v>
      </c>
      <c r="AG753" s="61">
        <f t="shared" ca="1" si="149"/>
        <v>-1.5548806011929199</v>
      </c>
      <c r="AH753" s="19"/>
      <c r="AI753" s="61">
        <f ca="1"/>
        <v>1.4279507433359349E-2</v>
      </c>
      <c r="AJ753" s="61">
        <f ca="1"/>
        <v>1.1153007786854727E-2</v>
      </c>
      <c r="AK753" s="61">
        <f ca="1"/>
        <v>-2.983200722243548E-2</v>
      </c>
      <c r="AL753" s="19"/>
      <c r="AM753" s="61">
        <f t="shared" ca="1" si="153"/>
        <v>1.4630723755869593E-2</v>
      </c>
      <c r="AN753" s="61">
        <f t="shared" ca="1" si="154"/>
        <v>1.1402060383771258E-2</v>
      </c>
      <c r="AO753" s="61">
        <f t="shared" ca="1" si="155"/>
        <v>-2.9400338619180663E-2</v>
      </c>
      <c r="AP753" s="19"/>
      <c r="AQ753" s="62">
        <f t="shared" ca="1" si="150"/>
        <v>1.1743783866824224</v>
      </c>
      <c r="AR753" s="62">
        <f t="shared" ca="1" si="151"/>
        <v>1.4758063220940405</v>
      </c>
      <c r="AS753" s="62">
        <f t="shared" ca="1" si="152"/>
        <v>1.008458886481499</v>
      </c>
      <c r="AT753" s="49"/>
    </row>
    <row r="754" spans="1:46" x14ac:dyDescent="0.3">
      <c r="A754" s="5">
        <v>44553</v>
      </c>
      <c r="B754" s="6">
        <v>109.209999</v>
      </c>
      <c r="C754" s="6">
        <v>112.139999</v>
      </c>
      <c r="D754" s="6">
        <v>71.730002999999996</v>
      </c>
      <c r="F754" s="13">
        <v>751</v>
      </c>
      <c r="G754" s="5">
        <v>44553</v>
      </c>
      <c r="H754" s="15">
        <f t="shared" si="148"/>
        <v>9.3836658674875586E-3</v>
      </c>
      <c r="I754" s="15">
        <f t="shared" si="148"/>
        <v>4.8270497520384219E-3</v>
      </c>
      <c r="J754" s="15">
        <f t="shared" si="148"/>
        <v>6.0127424658611853E-3</v>
      </c>
      <c r="K754" s="22"/>
      <c r="L754" s="13">
        <v>751</v>
      </c>
      <c r="M754" s="5">
        <v>44553</v>
      </c>
      <c r="N754" s="26">
        <f t="shared" si="145"/>
        <v>1.9315528310655672</v>
      </c>
      <c r="O754" s="26">
        <f t="shared" si="146"/>
        <v>1.0635432176869648</v>
      </c>
      <c r="P754" s="26">
        <f t="shared" si="147"/>
        <v>0.94931187001884254</v>
      </c>
      <c r="Q754" s="22"/>
      <c r="AD754" s="59">
        <v>750</v>
      </c>
      <c r="AE754" s="61">
        <f t="shared" ca="1" si="149"/>
        <v>-0.28686541382139696</v>
      </c>
      <c r="AF754" s="61">
        <f t="shared" ca="1" si="149"/>
        <v>-6.3568291904991567E-2</v>
      </c>
      <c r="AG754" s="61">
        <f t="shared" ca="1" si="149"/>
        <v>0.73445523882542174</v>
      </c>
      <c r="AH754" s="19"/>
      <c r="AI754" s="61">
        <f ca="1"/>
        <v>-6.2204713385257326E-3</v>
      </c>
      <c r="AJ754" s="61">
        <f ca="1"/>
        <v>-5.8718359065255167E-3</v>
      </c>
      <c r="AK754" s="61">
        <f ca="1"/>
        <v>1.4130439920622951E-2</v>
      </c>
      <c r="AL754" s="19"/>
      <c r="AM754" s="61">
        <f t="shared" ca="1" si="153"/>
        <v>-5.8692550160154887E-3</v>
      </c>
      <c r="AN754" s="61">
        <f t="shared" ca="1" si="154"/>
        <v>-5.6227833096089861E-3</v>
      </c>
      <c r="AO754" s="61">
        <f t="shared" ca="1" si="155"/>
        <v>1.456210852387777E-2</v>
      </c>
      <c r="AP754" s="19"/>
      <c r="AQ754" s="62">
        <f t="shared" ca="1" si="150"/>
        <v>1.1675058485140886</v>
      </c>
      <c r="AR754" s="62">
        <f t="shared" ca="1" si="151"/>
        <v>1.4675314685932883</v>
      </c>
      <c r="AS754" s="62">
        <f t="shared" ca="1" si="152"/>
        <v>1.0232516195150456</v>
      </c>
      <c r="AT754" s="49"/>
    </row>
    <row r="755" spans="1:46" x14ac:dyDescent="0.3">
      <c r="A755" s="5">
        <v>44557</v>
      </c>
      <c r="B755" s="6">
        <v>111.480003</v>
      </c>
      <c r="C755" s="6">
        <v>116.93</v>
      </c>
      <c r="D755" s="6">
        <v>73.129997000000003</v>
      </c>
      <c r="F755" s="13">
        <v>752</v>
      </c>
      <c r="G755" s="5">
        <v>44557</v>
      </c>
      <c r="H755" s="15">
        <f t="shared" si="148"/>
        <v>2.0572604471437415E-2</v>
      </c>
      <c r="I755" s="15">
        <f t="shared" si="148"/>
        <v>4.1827383374125358E-2</v>
      </c>
      <c r="J755" s="15">
        <f t="shared" si="148"/>
        <v>1.9329526298176084E-2</v>
      </c>
      <c r="K755" s="22"/>
      <c r="L755" s="13">
        <v>752</v>
      </c>
      <c r="M755" s="5">
        <v>44557</v>
      </c>
      <c r="N755" s="26">
        <f t="shared" si="145"/>
        <v>1.9717014684877703</v>
      </c>
      <c r="O755" s="26">
        <f t="shared" si="146"/>
        <v>1.1089719061272401</v>
      </c>
      <c r="P755" s="26">
        <f t="shared" si="147"/>
        <v>0.96784011296559336</v>
      </c>
      <c r="Q755" s="22"/>
      <c r="AD755" s="59">
        <v>751</v>
      </c>
      <c r="AE755" s="61">
        <f t="shared" ca="1" si="149"/>
        <v>0.93431259360271701</v>
      </c>
      <c r="AF755" s="61">
        <f t="shared" ca="1" si="149"/>
        <v>1.6946327069629534</v>
      </c>
      <c r="AG755" s="61">
        <f t="shared" ca="1" si="149"/>
        <v>-0.58062435965610482</v>
      </c>
      <c r="AH755" s="19"/>
      <c r="AI755" s="61">
        <f ca="1"/>
        <v>2.0259900391295764E-2</v>
      </c>
      <c r="AJ755" s="61">
        <f ca="1"/>
        <v>5.1458742800865279E-2</v>
      </c>
      <c r="AK755" s="61">
        <f ca="1"/>
        <v>1.0863792933595925E-2</v>
      </c>
      <c r="AL755" s="19"/>
      <c r="AM755" s="61">
        <f t="shared" ca="1" si="153"/>
        <v>2.061111671380601E-2</v>
      </c>
      <c r="AN755" s="61">
        <f t="shared" ca="1" si="154"/>
        <v>5.1707795397781808E-2</v>
      </c>
      <c r="AO755" s="61">
        <f t="shared" ca="1" si="155"/>
        <v>1.1295461536850744E-2</v>
      </c>
      <c r="AP755" s="19"/>
      <c r="AQ755" s="62">
        <f t="shared" ca="1" si="150"/>
        <v>1.1918191492398524</v>
      </c>
      <c r="AR755" s="62">
        <f t="shared" ca="1" si="151"/>
        <v>1.5454104083748164</v>
      </c>
      <c r="AS755" s="62">
        <f t="shared" ca="1" si="152"/>
        <v>1.0348752423325871</v>
      </c>
      <c r="AT755" s="49"/>
    </row>
    <row r="756" spans="1:46" x14ac:dyDescent="0.3">
      <c r="A756" s="5">
        <v>44558</v>
      </c>
      <c r="B756" s="6">
        <v>111.57</v>
      </c>
      <c r="C756" s="6">
        <v>116.75</v>
      </c>
      <c r="D756" s="6">
        <v>74.5</v>
      </c>
      <c r="F756" s="13">
        <v>753</v>
      </c>
      <c r="G756" s="5">
        <v>44558</v>
      </c>
      <c r="H756" s="15">
        <f t="shared" si="148"/>
        <v>8.0696708068467185E-4</v>
      </c>
      <c r="I756" s="15">
        <f t="shared" si="148"/>
        <v>-1.5405686032204618E-3</v>
      </c>
      <c r="J756" s="15">
        <f t="shared" si="148"/>
        <v>1.8560487125490941E-2</v>
      </c>
      <c r="K756" s="22"/>
      <c r="L756" s="13">
        <v>753</v>
      </c>
      <c r="M756" s="5">
        <v>44558</v>
      </c>
      <c r="N756" s="26">
        <f t="shared" si="145"/>
        <v>1.9732932088204242</v>
      </c>
      <c r="O756" s="26">
        <f t="shared" si="146"/>
        <v>1.1072647741414117</v>
      </c>
      <c r="P756" s="26">
        <f t="shared" si="147"/>
        <v>0.98597143954397681</v>
      </c>
      <c r="Q756" s="22"/>
      <c r="AD756" s="59">
        <v>752</v>
      </c>
      <c r="AE756" s="61">
        <f t="shared" ca="1" si="149"/>
        <v>7.7240463854722621E-2</v>
      </c>
      <c r="AF756" s="61">
        <f t="shared" ca="1" si="149"/>
        <v>1.01163163975508</v>
      </c>
      <c r="AG756" s="61">
        <f t="shared" ca="1" si="149"/>
        <v>-0.57638543254872032</v>
      </c>
      <c r="AH756" s="19"/>
      <c r="AI756" s="61">
        <f ca="1"/>
        <v>1.6749042179127172E-3</v>
      </c>
      <c r="AJ756" s="61">
        <f ca="1"/>
        <v>2.3197836980004299E-2</v>
      </c>
      <c r="AK756" s="61">
        <f ca="1"/>
        <v>-6.5013228314295055E-3</v>
      </c>
      <c r="AL756" s="19"/>
      <c r="AM756" s="61">
        <f t="shared" ca="1" si="153"/>
        <v>2.0261205404229613E-3</v>
      </c>
      <c r="AN756" s="61">
        <f t="shared" ca="1" si="154"/>
        <v>2.3446889576920829E-2</v>
      </c>
      <c r="AO756" s="61">
        <f t="shared" ca="1" si="155"/>
        <v>-6.0696542281746873E-3</v>
      </c>
      <c r="AP756" s="19"/>
      <c r="AQ756" s="62">
        <f t="shared" ca="1" si="150"/>
        <v>1.1942363664584026</v>
      </c>
      <c r="AR756" s="62">
        <f t="shared" ca="1" si="151"/>
        <v>1.5820736150117578</v>
      </c>
      <c r="AS756" s="62">
        <f t="shared" ca="1" si="152"/>
        <v>1.0286129316980885</v>
      </c>
      <c r="AT756" s="49"/>
    </row>
    <row r="757" spans="1:46" x14ac:dyDescent="0.3">
      <c r="A757" s="5">
        <v>44559</v>
      </c>
      <c r="B757" s="6">
        <v>112.209999</v>
      </c>
      <c r="C757" s="6">
        <v>117.459999</v>
      </c>
      <c r="D757" s="6">
        <v>74.650002000000001</v>
      </c>
      <c r="F757" s="13">
        <v>754</v>
      </c>
      <c r="G757" s="5">
        <v>44559</v>
      </c>
      <c r="H757" s="15">
        <f t="shared" si="148"/>
        <v>5.7199101598248946E-3</v>
      </c>
      <c r="I757" s="15">
        <f t="shared" si="148"/>
        <v>6.0629450318301159E-3</v>
      </c>
      <c r="J757" s="15">
        <f t="shared" si="148"/>
        <v>2.0114253913797579E-3</v>
      </c>
      <c r="K757" s="22"/>
      <c r="L757" s="13">
        <v>754</v>
      </c>
      <c r="M757" s="5">
        <v>44559</v>
      </c>
      <c r="N757" s="26">
        <f t="shared" si="145"/>
        <v>1.9846126108133604</v>
      </c>
      <c r="O757" s="26">
        <f t="shared" si="146"/>
        <v>1.113998451934779</v>
      </c>
      <c r="P757" s="26">
        <f t="shared" si="147"/>
        <v>0.98795664340806366</v>
      </c>
      <c r="Q757" s="22"/>
      <c r="AD757" s="59">
        <v>753</v>
      </c>
      <c r="AE757" s="61">
        <f t="shared" ca="1" si="149"/>
        <v>0.48951684891476582</v>
      </c>
      <c r="AF757" s="61">
        <f t="shared" ca="1" si="149"/>
        <v>0.43959853789707948</v>
      </c>
      <c r="AG757" s="61">
        <f t="shared" ca="1" si="149"/>
        <v>0.3991202761542616</v>
      </c>
      <c r="AH757" s="19"/>
      <c r="AI757" s="61">
        <f ca="1"/>
        <v>1.0614822776424249E-2</v>
      </c>
      <c r="AJ757" s="61">
        <f ca="1"/>
        <v>1.7217204697777856E-2</v>
      </c>
      <c r="AK757" s="61">
        <f ca="1"/>
        <v>2.0554177724332677E-2</v>
      </c>
      <c r="AL757" s="19"/>
      <c r="AM757" s="61">
        <f t="shared" ca="1" si="153"/>
        <v>1.0966039098934493E-2</v>
      </c>
      <c r="AN757" s="61">
        <f t="shared" ca="1" si="154"/>
        <v>1.7466257294694386E-2</v>
      </c>
      <c r="AO757" s="61">
        <f t="shared" ca="1" si="155"/>
        <v>2.0985846327587494E-2</v>
      </c>
      <c r="AP757" s="19"/>
      <c r="AQ757" s="62">
        <f t="shared" ca="1" si="150"/>
        <v>1.2074044782008755</v>
      </c>
      <c r="AR757" s="62">
        <f t="shared" ca="1" si="151"/>
        <v>1.6099492526955901</v>
      </c>
      <c r="AS757" s="62">
        <f t="shared" ca="1" si="152"/>
        <v>1.0504273409399236</v>
      </c>
      <c r="AT757" s="49"/>
    </row>
    <row r="758" spans="1:46" x14ac:dyDescent="0.3">
      <c r="A758" s="5">
        <v>44560</v>
      </c>
      <c r="B758" s="6">
        <v>111.370003</v>
      </c>
      <c r="C758" s="6">
        <v>117.93</v>
      </c>
      <c r="D758" s="6">
        <v>74.279999000000004</v>
      </c>
      <c r="F758" s="13">
        <v>755</v>
      </c>
      <c r="G758" s="5">
        <v>44560</v>
      </c>
      <c r="H758" s="15">
        <f t="shared" si="148"/>
        <v>-7.5140884226684926E-3</v>
      </c>
      <c r="I758" s="15">
        <f t="shared" si="148"/>
        <v>3.9933865210418354E-3</v>
      </c>
      <c r="J758" s="15">
        <f t="shared" si="148"/>
        <v>-4.9688277549626292E-3</v>
      </c>
      <c r="K758" s="22"/>
      <c r="L758" s="13">
        <v>755</v>
      </c>
      <c r="M758" s="5">
        <v>44560</v>
      </c>
      <c r="N758" s="26">
        <f t="shared" si="145"/>
        <v>1.9697559432303513</v>
      </c>
      <c r="O758" s="26">
        <f t="shared" si="146"/>
        <v>1.1184559727151751</v>
      </c>
      <c r="P758" s="26">
        <f t="shared" si="147"/>
        <v>0.98305983279671361</v>
      </c>
      <c r="Q758" s="22"/>
      <c r="AD758" s="59">
        <v>754</v>
      </c>
      <c r="AE758" s="61">
        <f t="shared" ca="1" si="149"/>
        <v>1.0043196585574763</v>
      </c>
      <c r="AF758" s="61">
        <f t="shared" ca="1" si="149"/>
        <v>-0.45575110408542052</v>
      </c>
      <c r="AG758" s="61">
        <f t="shared" ca="1" si="149"/>
        <v>0.48612723637237321</v>
      </c>
      <c r="AH758" s="19"/>
      <c r="AI758" s="61">
        <f ca="1"/>
        <v>2.1777953527239571E-2</v>
      </c>
      <c r="AJ758" s="61">
        <f ca="1"/>
        <v>5.8137366481626259E-3</v>
      </c>
      <c r="AK758" s="61">
        <f ca="1"/>
        <v>2.4084320113584537E-2</v>
      </c>
      <c r="AL758" s="19"/>
      <c r="AM758" s="61">
        <f t="shared" ca="1" si="153"/>
        <v>2.2129169849749816E-2</v>
      </c>
      <c r="AN758" s="61">
        <f t="shared" ca="1" si="154"/>
        <v>6.0627892450791565E-3</v>
      </c>
      <c r="AO758" s="61">
        <f t="shared" ca="1" si="155"/>
        <v>2.4515988716839354E-2</v>
      </c>
      <c r="AP758" s="19"/>
      <c r="AQ758" s="62">
        <f t="shared" ca="1" si="150"/>
        <v>1.2344211628811326</v>
      </c>
      <c r="AR758" s="62">
        <f t="shared" ca="1" si="151"/>
        <v>1.6197396843826977</v>
      </c>
      <c r="AS758" s="62">
        <f t="shared" ca="1" si="152"/>
        <v>1.0764978724471426</v>
      </c>
      <c r="AT758" s="49"/>
    </row>
    <row r="759" spans="1:46" x14ac:dyDescent="0.3">
      <c r="A759" s="5">
        <v>44561</v>
      </c>
      <c r="B759" s="6">
        <v>111.519997</v>
      </c>
      <c r="C759" s="6">
        <v>118.860001</v>
      </c>
      <c r="D759" s="6">
        <v>75.110000999999997</v>
      </c>
      <c r="F759" s="13">
        <v>756</v>
      </c>
      <c r="G759" s="5">
        <v>44561</v>
      </c>
      <c r="H759" s="15">
        <f t="shared" si="148"/>
        <v>1.3459017689645089E-3</v>
      </c>
      <c r="I759" s="15">
        <f t="shared" si="148"/>
        <v>7.8551102498951343E-3</v>
      </c>
      <c r="J759" s="15">
        <f t="shared" si="148"/>
        <v>1.1111995989795688E-2</v>
      </c>
      <c r="K759" s="22"/>
      <c r="L759" s="13">
        <v>756</v>
      </c>
      <c r="M759" s="5">
        <v>44561</v>
      </c>
      <c r="N759" s="26">
        <f t="shared" si="145"/>
        <v>1.9724088260981816</v>
      </c>
      <c r="O759" s="26">
        <f t="shared" si="146"/>
        <v>1.1272761641260212</v>
      </c>
      <c r="P759" s="26">
        <f t="shared" si="147"/>
        <v>0.99404450751838302</v>
      </c>
      <c r="Q759" s="22"/>
      <c r="AD759" s="59">
        <v>755</v>
      </c>
      <c r="AE759" s="61">
        <f t="shared" ca="1" si="149"/>
        <v>0.35556078992626966</v>
      </c>
      <c r="AF759" s="61">
        <f t="shared" ca="1" si="149"/>
        <v>-1.0563511539094301</v>
      </c>
      <c r="AG759" s="61">
        <f t="shared" ca="1" si="149"/>
        <v>1.7082578253549585</v>
      </c>
      <c r="AH759" s="19"/>
      <c r="AI759" s="61">
        <f ca="1"/>
        <v>7.7100814398523947E-3</v>
      </c>
      <c r="AJ759" s="61">
        <f ca="1"/>
        <v>-1.7395509651790882E-2</v>
      </c>
      <c r="AK759" s="61">
        <f ca="1"/>
        <v>4.1579782166079257E-2</v>
      </c>
      <c r="AL759" s="19"/>
      <c r="AM759" s="61">
        <f t="shared" ca="1" si="153"/>
        <v>8.0612977623626385E-3</v>
      </c>
      <c r="AN759" s="61">
        <f t="shared" ca="1" si="154"/>
        <v>-1.7146457054874352E-2</v>
      </c>
      <c r="AO759" s="61">
        <f t="shared" ca="1" si="155"/>
        <v>4.2011450769334074E-2</v>
      </c>
      <c r="AP759" s="19"/>
      <c r="AQ759" s="62">
        <f t="shared" ca="1" si="150"/>
        <v>1.2444124165684309</v>
      </c>
      <c r="AR759" s="62">
        <f t="shared" ca="1" si="151"/>
        <v>1.5922036349213062</v>
      </c>
      <c r="AS759" s="62">
        <f t="shared" ca="1" si="152"/>
        <v>1.122686543113105</v>
      </c>
      <c r="AT759" s="49"/>
    </row>
    <row r="760" spans="1:46" x14ac:dyDescent="0.3">
      <c r="A760" s="5">
        <v>44564</v>
      </c>
      <c r="B760" s="6">
        <v>109.449997</v>
      </c>
      <c r="C760" s="6">
        <v>120.91999800000001</v>
      </c>
      <c r="D760" s="6">
        <v>77.139999000000003</v>
      </c>
      <c r="F760" s="13">
        <v>757</v>
      </c>
      <c r="G760" s="5">
        <v>44564</v>
      </c>
      <c r="H760" s="15">
        <f t="shared" si="148"/>
        <v>-1.8736123552113716E-2</v>
      </c>
      <c r="I760" s="15">
        <f t="shared" si="148"/>
        <v>1.7182815019622363E-2</v>
      </c>
      <c r="J760" s="15">
        <f t="shared" si="148"/>
        <v>2.66682208049119E-2</v>
      </c>
      <c r="K760" s="22"/>
      <c r="L760" s="13">
        <v>757</v>
      </c>
      <c r="M760" s="5">
        <v>44564</v>
      </c>
      <c r="N760" s="26">
        <f t="shared" si="145"/>
        <v>1.9357975780722041</v>
      </c>
      <c r="O760" s="26">
        <f t="shared" si="146"/>
        <v>1.1468133128449676</v>
      </c>
      <c r="P760" s="26">
        <f t="shared" si="147"/>
        <v>1.0209105484624286</v>
      </c>
      <c r="Q760" s="22"/>
      <c r="AD760" s="59">
        <v>756</v>
      </c>
      <c r="AE760" s="61">
        <f t="shared" ca="1" si="149"/>
        <v>-1.0281339174266209</v>
      </c>
      <c r="AF760" s="61">
        <f t="shared" ca="1" si="149"/>
        <v>-0.89052445181010242</v>
      </c>
      <c r="AG760" s="61">
        <f t="shared" ca="1" si="149"/>
        <v>0.65202931867355574</v>
      </c>
      <c r="AH760" s="19"/>
      <c r="AI760" s="61">
        <f ca="1"/>
        <v>-2.2294348699353195E-2</v>
      </c>
      <c r="AJ760" s="61">
        <f ca="1"/>
        <v>-3.5449154669116814E-2</v>
      </c>
      <c r="AK760" s="61">
        <f ca="1"/>
        <v>-4.7577616096615254E-3</v>
      </c>
      <c r="AL760" s="19"/>
      <c r="AM760" s="61">
        <f t="shared" ca="1" si="153"/>
        <v>-2.194313237684295E-2</v>
      </c>
      <c r="AN760" s="61">
        <f t="shared" ca="1" si="154"/>
        <v>-3.5200102072200284E-2</v>
      </c>
      <c r="AO760" s="61">
        <f t="shared" ca="1" si="155"/>
        <v>-4.3260930064067072E-3</v>
      </c>
      <c r="AP760" s="19"/>
      <c r="AQ760" s="62">
        <f t="shared" ca="1" si="150"/>
        <v>1.217403523760906</v>
      </c>
      <c r="AR760" s="62">
        <f t="shared" ca="1" si="151"/>
        <v>1.5371328394224855</v>
      </c>
      <c r="AS760" s="62">
        <f t="shared" ca="1" si="152"/>
        <v>1.1178401871621757</v>
      </c>
      <c r="AT760" s="49"/>
    </row>
    <row r="761" spans="1:46" x14ac:dyDescent="0.3">
      <c r="A761" s="5">
        <v>44565</v>
      </c>
      <c r="B761" s="6">
        <v>112.150002</v>
      </c>
      <c r="C761" s="6">
        <v>124.16999800000001</v>
      </c>
      <c r="D761" s="6">
        <v>78.510002</v>
      </c>
      <c r="F761" s="13">
        <v>758</v>
      </c>
      <c r="G761" s="5">
        <v>44565</v>
      </c>
      <c r="H761" s="15">
        <f t="shared" si="148"/>
        <v>2.4369482240380897E-2</v>
      </c>
      <c r="I761" s="15">
        <f t="shared" si="148"/>
        <v>2.6522424950404373E-2</v>
      </c>
      <c r="J761" s="15">
        <f t="shared" si="148"/>
        <v>1.7604090867987112E-2</v>
      </c>
      <c r="K761" s="22"/>
      <c r="L761" s="13">
        <v>758</v>
      </c>
      <c r="M761" s="5">
        <v>44565</v>
      </c>
      <c r="N761" s="26">
        <f t="shared" si="145"/>
        <v>1.9835514682781843</v>
      </c>
      <c r="O761" s="26">
        <f t="shared" si="146"/>
        <v>1.1776365292557562</v>
      </c>
      <c r="P761" s="26">
        <f t="shared" si="147"/>
        <v>1.0390418750408121</v>
      </c>
      <c r="Q761" s="22"/>
      <c r="AD761" s="59">
        <v>757</v>
      </c>
      <c r="AE761" s="61">
        <f t="shared" ca="1" si="149"/>
        <v>0.52213935919365584</v>
      </c>
      <c r="AF761" s="61">
        <f t="shared" ca="1" si="149"/>
        <v>-1.2708671617289886</v>
      </c>
      <c r="AG761" s="61">
        <f t="shared" ca="1" si="149"/>
        <v>1.1310967619348489</v>
      </c>
      <c r="AH761" s="19"/>
      <c r="AI761" s="61">
        <f ca="1"/>
        <v>1.1322218580879572E-2</v>
      </c>
      <c r="AJ761" s="61">
        <f ca="1"/>
        <v>-1.9450889319805459E-2</v>
      </c>
      <c r="AK761" s="61">
        <f ca="1"/>
        <v>2.7743510400290924E-2</v>
      </c>
      <c r="AL761" s="19"/>
      <c r="AM761" s="61">
        <f t="shared" ca="1" si="153"/>
        <v>1.1673434903389816E-2</v>
      </c>
      <c r="AN761" s="61">
        <f t="shared" ca="1" si="154"/>
        <v>-1.9201836722888929E-2</v>
      </c>
      <c r="AO761" s="61">
        <f t="shared" ca="1" si="155"/>
        <v>2.8175179003545742E-2</v>
      </c>
      <c r="AP761" s="19"/>
      <c r="AQ761" s="62">
        <f t="shared" ca="1" si="150"/>
        <v>1.2316980754810902</v>
      </c>
      <c r="AR761" s="62">
        <f t="shared" ca="1" si="151"/>
        <v>1.507898639030776</v>
      </c>
      <c r="AS761" s="62">
        <f t="shared" ca="1" si="152"/>
        <v>1.1497834246239738</v>
      </c>
      <c r="AT761" s="49"/>
    </row>
    <row r="762" spans="1:46" x14ac:dyDescent="0.3">
      <c r="A762" s="5">
        <v>44566</v>
      </c>
      <c r="B762" s="6">
        <v>112</v>
      </c>
      <c r="C762" s="6">
        <v>122.129997</v>
      </c>
      <c r="D762" s="6">
        <v>78.199996999999996</v>
      </c>
      <c r="F762" s="13">
        <v>759</v>
      </c>
      <c r="G762" s="5">
        <v>44566</v>
      </c>
      <c r="H762" s="15">
        <f t="shared" si="148"/>
        <v>-1.3384075043816205E-3</v>
      </c>
      <c r="I762" s="15">
        <f t="shared" si="148"/>
        <v>-1.6565551702792804E-2</v>
      </c>
      <c r="J762" s="15">
        <f t="shared" si="148"/>
        <v>-3.9564214965324669E-3</v>
      </c>
      <c r="K762" s="22"/>
      <c r="L762" s="13">
        <v>759</v>
      </c>
      <c r="M762" s="5">
        <v>44566</v>
      </c>
      <c r="N762" s="26">
        <f t="shared" si="145"/>
        <v>1.9808984439176081</v>
      </c>
      <c r="O762" s="26">
        <f t="shared" si="146"/>
        <v>1.1582890239323023</v>
      </c>
      <c r="P762" s="26">
        <f t="shared" si="147"/>
        <v>1.0349391089184519</v>
      </c>
      <c r="Q762" s="22"/>
      <c r="AD762" s="59">
        <v>758</v>
      </c>
      <c r="AE762" s="61">
        <f t="shared" ca="1" si="149"/>
        <v>1.6168874790962657</v>
      </c>
      <c r="AF762" s="61">
        <f t="shared" ca="1" si="149"/>
        <v>0.47832583500361547</v>
      </c>
      <c r="AG762" s="61">
        <f t="shared" ca="1" si="149"/>
        <v>0.88379495421058085</v>
      </c>
      <c r="AH762" s="19"/>
      <c r="AI762" s="61">
        <f ca="1"/>
        <v>3.5061048619829283E-2</v>
      </c>
      <c r="AJ762" s="61">
        <f ca="1"/>
        <v>3.5704967972108273E-2</v>
      </c>
      <c r="AK762" s="61">
        <f ca="1"/>
        <v>4.9901773355573081E-2</v>
      </c>
      <c r="AL762" s="19"/>
      <c r="AM762" s="61">
        <f t="shared" ca="1" si="153"/>
        <v>3.5412264942339525E-2</v>
      </c>
      <c r="AN762" s="61">
        <f t="shared" ca="1" si="154"/>
        <v>3.5954020569024803E-2</v>
      </c>
      <c r="AO762" s="61">
        <f t="shared" ca="1" si="155"/>
        <v>5.0333441958827899E-2</v>
      </c>
      <c r="AP762" s="19"/>
      <c r="AQ762" s="62">
        <f t="shared" ca="1" si="150"/>
        <v>1.2760967837964508</v>
      </c>
      <c r="AR762" s="62">
        <f t="shared" ca="1" si="151"/>
        <v>1.5631000679629721</v>
      </c>
      <c r="AS762" s="62">
        <f t="shared" ca="1" si="152"/>
        <v>1.2091371912623647</v>
      </c>
      <c r="AT762" s="49"/>
    </row>
    <row r="763" spans="1:46" x14ac:dyDescent="0.3">
      <c r="A763" s="5">
        <v>44567</v>
      </c>
      <c r="B763" s="6">
        <v>113.040001</v>
      </c>
      <c r="C763" s="6">
        <v>120.050003</v>
      </c>
      <c r="D763" s="6">
        <v>80.160004000000001</v>
      </c>
      <c r="F763" s="13">
        <v>760</v>
      </c>
      <c r="G763" s="5">
        <v>44567</v>
      </c>
      <c r="H763" s="15">
        <f t="shared" si="148"/>
        <v>9.2428759276035263E-3</v>
      </c>
      <c r="I763" s="15">
        <f t="shared" si="148"/>
        <v>-1.7177678962158053E-2</v>
      </c>
      <c r="J763" s="15">
        <f t="shared" si="148"/>
        <v>2.475507804865984E-2</v>
      </c>
      <c r="K763" s="22"/>
      <c r="L763" s="13">
        <v>760</v>
      </c>
      <c r="M763" s="5">
        <v>44567</v>
      </c>
      <c r="N763" s="26">
        <f t="shared" si="145"/>
        <v>1.9992925185834363</v>
      </c>
      <c r="O763" s="26">
        <f t="shared" si="146"/>
        <v>1.138562222333797</v>
      </c>
      <c r="P763" s="26">
        <f t="shared" si="147"/>
        <v>1.0608788528554489</v>
      </c>
      <c r="Q763" s="22"/>
      <c r="AD763" s="59">
        <v>759</v>
      </c>
      <c r="AE763" s="61">
        <f t="shared" ca="1" si="149"/>
        <v>-0.50486261676053446</v>
      </c>
      <c r="AF763" s="61">
        <f t="shared" ca="1" si="149"/>
        <v>-0.50695096188070943</v>
      </c>
      <c r="AG763" s="61">
        <f t="shared" ca="1" si="149"/>
        <v>0.22977441025155138</v>
      </c>
      <c r="AH763" s="19"/>
      <c r="AI763" s="61">
        <f ca="1"/>
        <v>-1.0947584777185016E-2</v>
      </c>
      <c r="AJ763" s="61">
        <f ca="1"/>
        <v>-1.8921375315644941E-2</v>
      </c>
      <c r="AK763" s="61">
        <f ca="1"/>
        <v>-5.142992985527943E-3</v>
      </c>
      <c r="AL763" s="19"/>
      <c r="AM763" s="61">
        <f t="shared" ca="1" si="153"/>
        <v>-1.0596368454674772E-2</v>
      </c>
      <c r="AN763" s="61">
        <f t="shared" ca="1" si="154"/>
        <v>-1.8672322718728412E-2</v>
      </c>
      <c r="AO763" s="61">
        <f t="shared" ca="1" si="155"/>
        <v>-4.7113243822731249E-3</v>
      </c>
      <c r="AP763" s="19"/>
      <c r="AQ763" s="62">
        <f t="shared" ca="1" si="150"/>
        <v>1.2626461817152674</v>
      </c>
      <c r="AR763" s="62">
        <f t="shared" ca="1" si="151"/>
        <v>1.5341841627454913</v>
      </c>
      <c r="AS763" s="62">
        <f t="shared" ca="1" si="152"/>
        <v>1.2034539520357941</v>
      </c>
      <c r="AT763" s="49"/>
    </row>
    <row r="764" spans="1:46" x14ac:dyDescent="0.3">
      <c r="A764" s="5">
        <v>44568</v>
      </c>
      <c r="B764" s="6">
        <v>110</v>
      </c>
      <c r="C764" s="6">
        <v>118.05999799999999</v>
      </c>
      <c r="D764" s="6">
        <v>81</v>
      </c>
      <c r="F764" s="13">
        <v>761</v>
      </c>
      <c r="G764" s="5">
        <v>44568</v>
      </c>
      <c r="H764" s="15">
        <f t="shared" si="148"/>
        <v>-2.7261381430281759E-2</v>
      </c>
      <c r="I764" s="15">
        <f t="shared" si="148"/>
        <v>-1.6715394784845267E-2</v>
      </c>
      <c r="J764" s="15">
        <f t="shared" si="148"/>
        <v>1.0424467435685749E-2</v>
      </c>
      <c r="K764" s="22"/>
      <c r="L764" s="13">
        <v>761</v>
      </c>
      <c r="M764" s="5">
        <v>44568</v>
      </c>
      <c r="N764" s="26">
        <f t="shared" si="145"/>
        <v>1.9455252574190793</v>
      </c>
      <c r="O764" s="26">
        <f t="shared" si="146"/>
        <v>1.1196888824034732</v>
      </c>
      <c r="P764" s="26">
        <f t="shared" si="147"/>
        <v>1.0719957933296929</v>
      </c>
      <c r="Q764" s="22"/>
      <c r="AD764" s="59">
        <v>760</v>
      </c>
      <c r="AE764" s="61">
        <f t="shared" ca="1" si="149"/>
        <v>-0.54273056273155529</v>
      </c>
      <c r="AF764" s="61">
        <f t="shared" ca="1" si="149"/>
        <v>-0.60492110866320548</v>
      </c>
      <c r="AG764" s="61">
        <f t="shared" ca="1" si="149"/>
        <v>2.0994080085711282</v>
      </c>
      <c r="AH764" s="19"/>
      <c r="AI764" s="61">
        <f ca="1"/>
        <v>-1.1768724103197438E-2</v>
      </c>
      <c r="AJ764" s="61">
        <f ca="1"/>
        <v>-2.1643578038178988E-2</v>
      </c>
      <c r="AK764" s="61">
        <f ca="1"/>
        <v>4.1507465393417972E-2</v>
      </c>
      <c r="AL764" s="19"/>
      <c r="AM764" s="61">
        <f t="shared" ca="1" si="153"/>
        <v>-1.1417507780687194E-2</v>
      </c>
      <c r="AN764" s="61">
        <f t="shared" ca="1" si="154"/>
        <v>-2.1394525441262458E-2</v>
      </c>
      <c r="AO764" s="61">
        <f t="shared" ca="1" si="155"/>
        <v>4.1939133996672789E-2</v>
      </c>
      <c r="AP764" s="19"/>
      <c r="AQ764" s="62">
        <f t="shared" ca="1" si="150"/>
        <v>1.2483118957392809</v>
      </c>
      <c r="AR764" s="62">
        <f t="shared" ca="1" si="151"/>
        <v>1.5017096477549072</v>
      </c>
      <c r="AS764" s="62">
        <f t="shared" ca="1" si="152"/>
        <v>1.2549990929052248</v>
      </c>
      <c r="AT764" s="49"/>
    </row>
    <row r="765" spans="1:46" x14ac:dyDescent="0.3">
      <c r="A765" s="5">
        <v>44571</v>
      </c>
      <c r="B765" s="6">
        <v>110.349998</v>
      </c>
      <c r="C765" s="6">
        <v>115.529999</v>
      </c>
      <c r="D765" s="6">
        <v>81.029999000000004</v>
      </c>
      <c r="F765" s="13">
        <v>762</v>
      </c>
      <c r="G765" s="5">
        <v>44571</v>
      </c>
      <c r="H765" s="15">
        <f t="shared" si="148"/>
        <v>3.1767487861784852E-3</v>
      </c>
      <c r="I765" s="15">
        <f t="shared" si="148"/>
        <v>-2.1662725032837591E-2</v>
      </c>
      <c r="J765" s="15">
        <f t="shared" si="148"/>
        <v>3.7028945908689615E-4</v>
      </c>
      <c r="K765" s="22"/>
      <c r="L765" s="13">
        <v>762</v>
      </c>
      <c r="M765" s="5">
        <v>44571</v>
      </c>
      <c r="N765" s="26">
        <f t="shared" si="145"/>
        <v>1.9517155296831354</v>
      </c>
      <c r="O765" s="26">
        <f t="shared" si="146"/>
        <v>1.0956942034200643</v>
      </c>
      <c r="P765" s="26">
        <f t="shared" si="147"/>
        <v>1.072392815574188</v>
      </c>
      <c r="Q765" s="22"/>
      <c r="AD765" s="59">
        <v>761</v>
      </c>
      <c r="AE765" s="61">
        <f t="shared" ca="1" si="149"/>
        <v>1.9441126138160243</v>
      </c>
      <c r="AF765" s="61">
        <f t="shared" ca="1" si="149"/>
        <v>1.0459574970289334</v>
      </c>
      <c r="AG765" s="61">
        <f t="shared" ca="1" si="149"/>
        <v>1.414483231823648</v>
      </c>
      <c r="AH765" s="19"/>
      <c r="AI765" s="61">
        <f ca="1"/>
        <v>4.2156691641601095E-2</v>
      </c>
      <c r="AJ765" s="61">
        <f ca="1"/>
        <v>5.316485815902719E-2</v>
      </c>
      <c r="AK765" s="61">
        <f ca="1"/>
        <v>7.2330436916479834E-2</v>
      </c>
      <c r="AL765" s="19"/>
      <c r="AM765" s="61">
        <f t="shared" ca="1" si="153"/>
        <v>4.2507907964111337E-2</v>
      </c>
      <c r="AN765" s="61">
        <f t="shared" ca="1" si="154"/>
        <v>5.3413910755943719E-2</v>
      </c>
      <c r="AO765" s="61">
        <f t="shared" ca="1" si="155"/>
        <v>7.2762105519734652E-2</v>
      </c>
      <c r="AP765" s="19"/>
      <c r="AQ765" s="62">
        <f t="shared" ca="1" si="150"/>
        <v>1.302518975609217</v>
      </c>
      <c r="AR765" s="62">
        <f t="shared" ca="1" si="151"/>
        <v>1.5841027124285207</v>
      </c>
      <c r="AS765" s="62">
        <f t="shared" ca="1" si="152"/>
        <v>1.3497197189714532</v>
      </c>
      <c r="AT765" s="49"/>
    </row>
    <row r="766" spans="1:46" x14ac:dyDescent="0.3">
      <c r="A766" s="5">
        <v>44572</v>
      </c>
      <c r="B766" s="6">
        <v>110.150002</v>
      </c>
      <c r="C766" s="6">
        <v>117.279999</v>
      </c>
      <c r="D766" s="6">
        <v>83.849997999999999</v>
      </c>
      <c r="F766" s="13">
        <v>763</v>
      </c>
      <c r="G766" s="5">
        <v>44572</v>
      </c>
      <c r="H766" s="15">
        <f t="shared" si="148"/>
        <v>-1.8140231731842433E-3</v>
      </c>
      <c r="I766" s="15">
        <f t="shared" si="148"/>
        <v>1.5034001772571614E-2</v>
      </c>
      <c r="J766" s="15">
        <f t="shared" si="148"/>
        <v>3.4210020285575071E-2</v>
      </c>
      <c r="K766" s="22"/>
      <c r="L766" s="13">
        <v>763</v>
      </c>
      <c r="M766" s="5">
        <v>44572</v>
      </c>
      <c r="N766" s="26">
        <f t="shared" si="145"/>
        <v>1.9481782817796556</v>
      </c>
      <c r="O766" s="26">
        <f t="shared" si="146"/>
        <v>1.1122913199489506</v>
      </c>
      <c r="P766" s="26">
        <f t="shared" si="147"/>
        <v>1.1097141373667057</v>
      </c>
      <c r="Q766" s="22"/>
      <c r="AD766" s="59">
        <v>762</v>
      </c>
      <c r="AE766" s="61">
        <f t="shared" ca="1" si="149"/>
        <v>-1.275380797719835</v>
      </c>
      <c r="AF766" s="61">
        <f t="shared" ca="1" si="149"/>
        <v>0.81852387519961545</v>
      </c>
      <c r="AG766" s="61">
        <f t="shared" ca="1" si="149"/>
        <v>-1.3512492763064745</v>
      </c>
      <c r="AH766" s="19"/>
      <c r="AI766" s="61">
        <f ca="1"/>
        <v>-2.7655720472673343E-2</v>
      </c>
      <c r="AJ766" s="61">
        <f ca="1"/>
        <v>-2.1712418525722255E-3</v>
      </c>
      <c r="AK766" s="61">
        <f ca="1"/>
        <v>-4.7698971312201105E-2</v>
      </c>
      <c r="AL766" s="19"/>
      <c r="AM766" s="61">
        <f t="shared" ca="1" si="153"/>
        <v>-2.7304504150163098E-2</v>
      </c>
      <c r="AN766" s="61">
        <f t="shared" ca="1" si="154"/>
        <v>-1.9221892556556949E-3</v>
      </c>
      <c r="AO766" s="61">
        <f t="shared" ca="1" si="155"/>
        <v>-4.7267302708946288E-2</v>
      </c>
      <c r="AP766" s="19"/>
      <c r="AQ766" s="62">
        <f t="shared" ca="1" si="150"/>
        <v>1.2674354890754733</v>
      </c>
      <c r="AR766" s="62">
        <f t="shared" ca="1" si="151"/>
        <v>1.5810606918211401</v>
      </c>
      <c r="AS766" s="62">
        <f t="shared" ca="1" si="152"/>
        <v>1.2874064009342292</v>
      </c>
      <c r="AT766" s="49"/>
    </row>
    <row r="767" spans="1:46" x14ac:dyDescent="0.3">
      <c r="A767" s="5">
        <v>44573</v>
      </c>
      <c r="B767" s="6">
        <v>111.07</v>
      </c>
      <c r="C767" s="6">
        <v>115.050003</v>
      </c>
      <c r="D767" s="6">
        <v>84.370002999999997</v>
      </c>
      <c r="F767" s="13">
        <v>764</v>
      </c>
      <c r="G767" s="5">
        <v>44573</v>
      </c>
      <c r="H767" s="15">
        <f t="shared" si="148"/>
        <v>8.3175417736181274E-3</v>
      </c>
      <c r="I767" s="15">
        <f t="shared" si="148"/>
        <v>-1.919738705474449E-2</v>
      </c>
      <c r="J767" s="15">
        <f t="shared" si="148"/>
        <v>6.1824593180967577E-3</v>
      </c>
      <c r="K767" s="22"/>
      <c r="L767" s="13">
        <v>764</v>
      </c>
      <c r="M767" s="5">
        <v>44573</v>
      </c>
      <c r="N767" s="26">
        <f t="shared" si="145"/>
        <v>1.9644499121957921</v>
      </c>
      <c r="O767" s="26">
        <f t="shared" si="146"/>
        <v>1.091141889394122</v>
      </c>
      <c r="P767" s="26">
        <f t="shared" si="147"/>
        <v>1.1165961518421428</v>
      </c>
      <c r="Q767" s="22"/>
      <c r="AD767" s="59">
        <v>763</v>
      </c>
      <c r="AE767" s="61">
        <f t="shared" ca="1" si="149"/>
        <v>0.16866604290565773</v>
      </c>
      <c r="AF767" s="61">
        <f t="shared" ca="1" si="149"/>
        <v>-2.0147020909305446</v>
      </c>
      <c r="AG767" s="61">
        <f t="shared" ca="1" si="149"/>
        <v>0.90540296121815433</v>
      </c>
      <c r="AH767" s="19"/>
      <c r="AI767" s="61">
        <f ca="1"/>
        <v>3.6574025139552674E-3</v>
      </c>
      <c r="AJ767" s="61">
        <f ca="1"/>
        <v>-4.1151582233038018E-2</v>
      </c>
      <c r="AK767" s="61">
        <f ca="1"/>
        <v>1.150005585033661E-2</v>
      </c>
      <c r="AL767" s="19"/>
      <c r="AM767" s="61">
        <f t="shared" ca="1" si="153"/>
        <v>4.0086188364655117E-3</v>
      </c>
      <c r="AN767" s="61">
        <f t="shared" ca="1" si="154"/>
        <v>-4.0902529636121489E-2</v>
      </c>
      <c r="AO767" s="61">
        <f t="shared" ca="1" si="155"/>
        <v>1.1931724453591429E-2</v>
      </c>
      <c r="AP767" s="19"/>
      <c r="AQ767" s="62">
        <f t="shared" ca="1" si="150"/>
        <v>1.2725263516977889</v>
      </c>
      <c r="AR767" s="62">
        <f t="shared" ca="1" si="151"/>
        <v>1.5176960314006074</v>
      </c>
      <c r="AS767" s="62">
        <f t="shared" ca="1" si="152"/>
        <v>1.3028593864211018</v>
      </c>
      <c r="AT767" s="49"/>
    </row>
    <row r="768" spans="1:46" x14ac:dyDescent="0.3">
      <c r="A768" s="5">
        <v>44574</v>
      </c>
      <c r="B768" s="6">
        <v>112.349998</v>
      </c>
      <c r="C768" s="6">
        <v>117.370003</v>
      </c>
      <c r="D768" s="6">
        <v>83.360000999999997</v>
      </c>
      <c r="F768" s="13">
        <v>765</v>
      </c>
      <c r="G768" s="5">
        <v>44574</v>
      </c>
      <c r="H768" s="15">
        <f t="shared" si="148"/>
        <v>1.1458347650796393E-2</v>
      </c>
      <c r="I768" s="15">
        <f t="shared" si="148"/>
        <v>1.9964521115232652E-2</v>
      </c>
      <c r="J768" s="15">
        <f t="shared" si="148"/>
        <v>-1.2043333733979408E-2</v>
      </c>
      <c r="K768" s="22"/>
      <c r="L768" s="13">
        <v>765</v>
      </c>
      <c r="M768" s="5">
        <v>44574</v>
      </c>
      <c r="N768" s="26">
        <f t="shared" si="145"/>
        <v>1.9870887161816642</v>
      </c>
      <c r="O768" s="26">
        <f t="shared" si="146"/>
        <v>1.113144923878131</v>
      </c>
      <c r="P768" s="26">
        <f t="shared" si="147"/>
        <v>1.1032292642464072</v>
      </c>
      <c r="Q768" s="22"/>
      <c r="AD768" s="59">
        <v>764</v>
      </c>
      <c r="AE768" s="61">
        <f t="shared" ca="1" si="149"/>
        <v>1.0465912165838576</v>
      </c>
      <c r="AF768" s="61">
        <f t="shared" ca="1" si="149"/>
        <v>-0.54429871570455957</v>
      </c>
      <c r="AG768" s="61">
        <f t="shared" ca="1" si="149"/>
        <v>2.4322890536537516E-2</v>
      </c>
      <c r="AH768" s="19"/>
      <c r="AI768" s="61">
        <f ca="1"/>
        <v>2.2694582031300519E-2</v>
      </c>
      <c r="AJ768" s="61">
        <f ca="1"/>
        <v>4.55071291303372E-3</v>
      </c>
      <c r="AK768" s="61">
        <f ca="1"/>
        <v>1.2253905781857369E-2</v>
      </c>
      <c r="AL768" s="19"/>
      <c r="AM768" s="61">
        <f t="shared" ca="1" si="153"/>
        <v>2.3045798353810765E-2</v>
      </c>
      <c r="AN768" s="61">
        <f t="shared" ca="1" si="154"/>
        <v>4.7997655099502505E-3</v>
      </c>
      <c r="AO768" s="61">
        <f t="shared" ca="1" si="155"/>
        <v>1.2685574385112188E-2</v>
      </c>
      <c r="AP768" s="19"/>
      <c r="AQ768" s="62">
        <f t="shared" ca="1" si="150"/>
        <v>1.3021932733270565</v>
      </c>
      <c r="AR768" s="62">
        <f t="shared" ca="1" si="151"/>
        <v>1.524998126620458</v>
      </c>
      <c r="AS768" s="62">
        <f t="shared" ca="1" si="152"/>
        <v>1.3194921813088338</v>
      </c>
      <c r="AT768" s="49"/>
    </row>
    <row r="769" spans="1:46" x14ac:dyDescent="0.3">
      <c r="A769" s="5">
        <v>44575</v>
      </c>
      <c r="B769" s="6">
        <v>114.379997</v>
      </c>
      <c r="C769" s="6">
        <v>114.839996</v>
      </c>
      <c r="D769" s="6">
        <v>85.199996999999996</v>
      </c>
      <c r="F769" s="13">
        <v>766</v>
      </c>
      <c r="G769" s="5">
        <v>44575</v>
      </c>
      <c r="H769" s="15">
        <f t="shared" si="148"/>
        <v>1.7907231428983379E-2</v>
      </c>
      <c r="I769" s="15">
        <f t="shared" si="148"/>
        <v>-2.1791543250433164E-2</v>
      </c>
      <c r="J769" s="15">
        <f t="shared" si="148"/>
        <v>2.1832808622783886E-2</v>
      </c>
      <c r="K769" s="22"/>
      <c r="L769" s="13">
        <v>766</v>
      </c>
      <c r="M769" s="5">
        <v>44575</v>
      </c>
      <c r="N769" s="26">
        <f t="shared" si="145"/>
        <v>2.0229924827910777</v>
      </c>
      <c r="O769" s="26">
        <f t="shared" si="146"/>
        <v>1.0891501690221894</v>
      </c>
      <c r="P769" s="26">
        <f t="shared" si="147"/>
        <v>1.1275807206876847</v>
      </c>
      <c r="Q769" s="22"/>
      <c r="AD769" s="59">
        <v>765</v>
      </c>
      <c r="AE769" s="61">
        <f t="shared" ca="1" si="149"/>
        <v>1.0143317798114446</v>
      </c>
      <c r="AF769" s="61">
        <f t="shared" ca="1" si="149"/>
        <v>-0.3808715704792266</v>
      </c>
      <c r="AG769" s="61">
        <f t="shared" ca="1" si="149"/>
        <v>-0.2636409233681381</v>
      </c>
      <c r="AH769" s="19"/>
      <c r="AI769" s="61">
        <f ca="1"/>
        <v>2.1995059216170513E-2</v>
      </c>
      <c r="AJ769" s="61">
        <f ca="1"/>
        <v>7.5980326145653372E-3</v>
      </c>
      <c r="AK769" s="61">
        <f ca="1"/>
        <v>5.5505642463787403E-3</v>
      </c>
      <c r="AL769" s="19"/>
      <c r="AM769" s="61">
        <f t="shared" ca="1" si="153"/>
        <v>2.2346275538680758E-2</v>
      </c>
      <c r="AN769" s="61">
        <f t="shared" ca="1" si="154"/>
        <v>7.8470852114818686E-3</v>
      </c>
      <c r="AO769" s="61">
        <f t="shared" ca="1" si="155"/>
        <v>5.9822328496335585E-3</v>
      </c>
      <c r="AP769" s="19"/>
      <c r="AQ769" s="62">
        <f t="shared" ca="1" si="150"/>
        <v>1.3316200074472964</v>
      </c>
      <c r="AR769" s="62">
        <f t="shared" ca="1" si="151"/>
        <v>1.5370119921327638</v>
      </c>
      <c r="AS769" s="62">
        <f t="shared" ca="1" si="152"/>
        <v>1.3274093483380034</v>
      </c>
      <c r="AT769" s="49"/>
    </row>
    <row r="770" spans="1:46" x14ac:dyDescent="0.3">
      <c r="A770" s="5">
        <v>44579</v>
      </c>
      <c r="B770" s="6">
        <v>112.05999799999999</v>
      </c>
      <c r="C770" s="6">
        <v>112.30999799999999</v>
      </c>
      <c r="D770" s="6">
        <v>85.639999000000003</v>
      </c>
      <c r="F770" s="13">
        <v>767</v>
      </c>
      <c r="G770" s="5">
        <v>44579</v>
      </c>
      <c r="H770" s="15">
        <f t="shared" si="148"/>
        <v>-2.0491787969251569E-2</v>
      </c>
      <c r="I770" s="15">
        <f t="shared" si="148"/>
        <v>-2.2276933254701977E-2</v>
      </c>
      <c r="J770" s="15">
        <f t="shared" si="148"/>
        <v>5.1510534206936501E-3</v>
      </c>
      <c r="K770" s="22"/>
      <c r="L770" s="13">
        <v>767</v>
      </c>
      <c r="M770" s="5">
        <v>44579</v>
      </c>
      <c r="N770" s="26">
        <f t="shared" si="145"/>
        <v>1.9819596041393774</v>
      </c>
      <c r="O770" s="26">
        <f t="shared" si="146"/>
        <v>1.0651554995228469</v>
      </c>
      <c r="P770" s="26">
        <f t="shared" si="147"/>
        <v>1.1334039341822113</v>
      </c>
      <c r="Q770" s="22"/>
      <c r="AD770" s="59">
        <v>766</v>
      </c>
      <c r="AE770" s="61">
        <f t="shared" ca="1" si="149"/>
        <v>-0.72363831115438582</v>
      </c>
      <c r="AF770" s="61">
        <f t="shared" ca="1" si="149"/>
        <v>-1.1727502510626915</v>
      </c>
      <c r="AG770" s="61">
        <f t="shared" ca="1" si="149"/>
        <v>1.044622154667485</v>
      </c>
      <c r="AH770" s="19"/>
      <c r="AI770" s="61">
        <f ca="1"/>
        <v>-1.5691579246278838E-2</v>
      </c>
      <c r="AJ770" s="61">
        <f ca="1"/>
        <v>-3.6817551488401351E-2</v>
      </c>
      <c r="AK770" s="61">
        <f ca="1"/>
        <v>7.8119739857297477E-3</v>
      </c>
      <c r="AL770" s="19"/>
      <c r="AM770" s="61">
        <f t="shared" ca="1" si="153"/>
        <v>-1.5340362923768594E-2</v>
      </c>
      <c r="AN770" s="61">
        <f t="shared" ca="1" si="154"/>
        <v>-3.6568498891484821E-2</v>
      </c>
      <c r="AO770" s="61">
        <f t="shared" ca="1" si="155"/>
        <v>8.2436425889845667E-3</v>
      </c>
      <c r="AP770" s="19"/>
      <c r="AQ770" s="62">
        <f t="shared" ca="1" si="150"/>
        <v>1.3113483580229823</v>
      </c>
      <c r="AR770" s="62">
        <f t="shared" ca="1" si="151"/>
        <v>1.4818210460549794</v>
      </c>
      <c r="AS770" s="62">
        <f t="shared" ca="1" si="152"/>
        <v>1.3383972645761073</v>
      </c>
      <c r="AT770" s="49"/>
    </row>
    <row r="771" spans="1:46" x14ac:dyDescent="0.3">
      <c r="A771" s="5">
        <v>44580</v>
      </c>
      <c r="B771" s="6">
        <v>110.739998</v>
      </c>
      <c r="C771" s="6">
        <v>113.089996</v>
      </c>
      <c r="D771" s="6">
        <v>84.209998999999996</v>
      </c>
      <c r="F771" s="13">
        <v>768</v>
      </c>
      <c r="G771" s="5">
        <v>44580</v>
      </c>
      <c r="H771" s="15">
        <f t="shared" si="148"/>
        <v>-1.1849330955057134E-2</v>
      </c>
      <c r="I771" s="15">
        <f t="shared" si="148"/>
        <v>6.9210393460843898E-3</v>
      </c>
      <c r="J771" s="15">
        <f t="shared" si="148"/>
        <v>-1.6838784877868957E-2</v>
      </c>
      <c r="K771" s="22"/>
      <c r="L771" s="13">
        <v>768</v>
      </c>
      <c r="M771" s="5">
        <v>44580</v>
      </c>
      <c r="N771" s="26">
        <f t="shared" si="145"/>
        <v>1.9586133010503486</v>
      </c>
      <c r="O771" s="26">
        <f t="shared" si="146"/>
        <v>1.0725530524933031</v>
      </c>
      <c r="P771" s="26">
        <f t="shared" si="147"/>
        <v>1.1144785763493537</v>
      </c>
      <c r="Q771" s="22"/>
      <c r="AD771" s="59">
        <v>767</v>
      </c>
      <c r="AE771" s="61">
        <f t="shared" ca="1" si="149"/>
        <v>0.56825766519794607</v>
      </c>
      <c r="AF771" s="61">
        <f t="shared" ca="1" si="149"/>
        <v>0.25861151666799448</v>
      </c>
      <c r="AG771" s="61">
        <f t="shared" ca="1" si="149"/>
        <v>0.16307025354339491</v>
      </c>
      <c r="AH771" s="19"/>
      <c r="AI771" s="61">
        <f ca="1"/>
        <v>1.2322261063727146E-2</v>
      </c>
      <c r="AJ771" s="61">
        <f ca="1"/>
        <v>1.4515745481153978E-2</v>
      </c>
      <c r="AK771" s="61">
        <f ca="1"/>
        <v>1.4395431317457238E-2</v>
      </c>
      <c r="AL771" s="19"/>
      <c r="AM771" s="61">
        <f t="shared" ca="1" si="153"/>
        <v>1.267347738623739E-2</v>
      </c>
      <c r="AN771" s="61">
        <f t="shared" ca="1" si="154"/>
        <v>1.4764798078070509E-2</v>
      </c>
      <c r="AO771" s="61">
        <f t="shared" ca="1" si="155"/>
        <v>1.4827099920712057E-2</v>
      </c>
      <c r="AP771" s="19"/>
      <c r="AQ771" s="62">
        <f t="shared" ca="1" si="150"/>
        <v>1.3280734605272946</v>
      </c>
      <c r="AR771" s="62">
        <f t="shared" ca="1" si="151"/>
        <v>1.503862150404802</v>
      </c>
      <c r="AS771" s="62">
        <f t="shared" ca="1" si="152"/>
        <v>1.3583896629314054</v>
      </c>
      <c r="AT771" s="49"/>
    </row>
    <row r="772" spans="1:46" x14ac:dyDescent="0.3">
      <c r="A772" s="5">
        <v>44581</v>
      </c>
      <c r="B772" s="6">
        <v>108.879997</v>
      </c>
      <c r="C772" s="6">
        <v>109.94000200000001</v>
      </c>
      <c r="D772" s="6">
        <v>81.410004000000001</v>
      </c>
      <c r="F772" s="13">
        <v>769</v>
      </c>
      <c r="G772" s="5">
        <v>44581</v>
      </c>
      <c r="H772" s="15">
        <f t="shared" si="148"/>
        <v>-1.6938762544558884E-2</v>
      </c>
      <c r="I772" s="15">
        <f t="shared" si="148"/>
        <v>-2.8249145888920638E-2</v>
      </c>
      <c r="J772" s="15">
        <f t="shared" si="148"/>
        <v>-3.3815502446928332E-2</v>
      </c>
      <c r="K772" s="22"/>
      <c r="L772" s="13">
        <v>769</v>
      </c>
      <c r="M772" s="5">
        <v>44581</v>
      </c>
      <c r="N772" s="26">
        <f t="shared" ref="N772:N835" si="156">B772/B$3</f>
        <v>1.9257162199201237</v>
      </c>
      <c r="O772" s="26">
        <f t="shared" ref="O772:O835" si="157">C772/C$3</f>
        <v>1.0426782996457076</v>
      </c>
      <c r="P772" s="26">
        <f t="shared" ref="P772:P835" si="158">D772/D$3</f>
        <v>1.0774219978142403</v>
      </c>
      <c r="Q772" s="22"/>
      <c r="AD772" s="59">
        <v>768</v>
      </c>
      <c r="AE772" s="61">
        <f t="shared" ca="1" si="149"/>
        <v>1.3478362692298393</v>
      </c>
      <c r="AF772" s="61">
        <f t="shared" ca="1" si="149"/>
        <v>-1.7325080825819528</v>
      </c>
      <c r="AG772" s="61">
        <f t="shared" ca="1" si="149"/>
        <v>-1.156648318982483</v>
      </c>
      <c r="AH772" s="19"/>
      <c r="AI772" s="61">
        <f ca="1"/>
        <v>2.9226865553718076E-2</v>
      </c>
      <c r="AJ772" s="61">
        <f ca="1"/>
        <v>-1.6561037452319381E-2</v>
      </c>
      <c r="AK772" s="61">
        <f ca="1"/>
        <v>-2.1919381192626774E-2</v>
      </c>
      <c r="AL772" s="19"/>
      <c r="AM772" s="61">
        <f t="shared" ca="1" si="153"/>
        <v>2.9578081876228322E-2</v>
      </c>
      <c r="AN772" s="61">
        <f t="shared" ca="1" si="154"/>
        <v>-1.6311984855402851E-2</v>
      </c>
      <c r="AO772" s="61">
        <f t="shared" ca="1" si="155"/>
        <v>-2.1487712589371957E-2</v>
      </c>
      <c r="AP772" s="19"/>
      <c r="AQ772" s="62">
        <f t="shared" ca="1" si="150"/>
        <v>1.367942037511632</v>
      </c>
      <c r="AR772" s="62">
        <f t="shared" ca="1" si="151"/>
        <v>1.4795301647937384</v>
      </c>
      <c r="AS772" s="62">
        <f t="shared" ca="1" si="152"/>
        <v>1.3295123411640519</v>
      </c>
      <c r="AT772" s="49"/>
    </row>
    <row r="773" spans="1:46" x14ac:dyDescent="0.3">
      <c r="A773" s="5">
        <v>44582</v>
      </c>
      <c r="B773" s="6">
        <v>109</v>
      </c>
      <c r="C773" s="6">
        <v>108.5</v>
      </c>
      <c r="D773" s="6">
        <v>79.290001000000004</v>
      </c>
      <c r="F773" s="13">
        <v>770</v>
      </c>
      <c r="G773" s="5">
        <v>44582</v>
      </c>
      <c r="H773" s="15">
        <f t="shared" ref="H773:J836" si="159">LN(B773/B772)</f>
        <v>1.1015514392030557E-3</v>
      </c>
      <c r="I773" s="15">
        <f t="shared" si="159"/>
        <v>-1.3184607643740891E-2</v>
      </c>
      <c r="J773" s="15">
        <f t="shared" si="159"/>
        <v>-2.6386134823659837E-2</v>
      </c>
      <c r="K773" s="22"/>
      <c r="L773" s="13">
        <v>770</v>
      </c>
      <c r="M773" s="5">
        <v>44582</v>
      </c>
      <c r="N773" s="26">
        <f t="shared" si="156"/>
        <v>1.9278386641698151</v>
      </c>
      <c r="O773" s="26">
        <f t="shared" si="157"/>
        <v>1.0290212247909478</v>
      </c>
      <c r="P773" s="26">
        <f t="shared" si="158"/>
        <v>1.049364784260582</v>
      </c>
      <c r="Q773" s="22"/>
      <c r="AD773" s="59">
        <v>769</v>
      </c>
      <c r="AE773" s="61">
        <f t="shared" ref="AE773:AG836" ca="1" si="160">_xlfn.NORM.S.INV(RAND())</f>
        <v>-1.6166328362374343</v>
      </c>
      <c r="AF773" s="61">
        <f t="shared" ca="1" si="160"/>
        <v>0.204262888397479</v>
      </c>
      <c r="AG773" s="61">
        <f t="shared" ca="1" si="160"/>
        <v>-0.21311956470983776</v>
      </c>
      <c r="AH773" s="19"/>
      <c r="AI773" s="61">
        <f ca="1"/>
        <v>-3.5055526871550807E-2</v>
      </c>
      <c r="AJ773" s="61">
        <f ca="1"/>
        <v>-2.086422170227286E-2</v>
      </c>
      <c r="AK773" s="61">
        <f ca="1"/>
        <v>-2.7908233248437147E-2</v>
      </c>
      <c r="AL773" s="19"/>
      <c r="AM773" s="61">
        <f t="shared" ca="1" si="153"/>
        <v>-3.4704310549040565E-2</v>
      </c>
      <c r="AN773" s="61">
        <f t="shared" ca="1" si="154"/>
        <v>-2.061516910535633E-2</v>
      </c>
      <c r="AO773" s="61">
        <f t="shared" ca="1" si="155"/>
        <v>-2.747656464518233E-2</v>
      </c>
      <c r="AP773" s="19"/>
      <c r="AQ773" s="62">
        <f t="shared" ca="1" si="150"/>
        <v>1.3212828721990104</v>
      </c>
      <c r="AR773" s="62">
        <f t="shared" ca="1" si="151"/>
        <v>1.4493416401524033</v>
      </c>
      <c r="AS773" s="62">
        <f t="shared" ca="1" si="152"/>
        <v>1.293479209649907</v>
      </c>
      <c r="AT773" s="49"/>
    </row>
    <row r="774" spans="1:46" x14ac:dyDescent="0.3">
      <c r="A774" s="5">
        <v>44585</v>
      </c>
      <c r="B774" s="6">
        <v>109.879997</v>
      </c>
      <c r="C774" s="6">
        <v>110.33000199999999</v>
      </c>
      <c r="D774" s="6">
        <v>78.589995999999999</v>
      </c>
      <c r="F774" s="13">
        <v>771</v>
      </c>
      <c r="G774" s="5">
        <v>44585</v>
      </c>
      <c r="H774" s="15">
        <f t="shared" si="159"/>
        <v>8.0409516954172162E-3</v>
      </c>
      <c r="I774" s="15">
        <f t="shared" si="159"/>
        <v>1.6725719919136146E-2</v>
      </c>
      <c r="J774" s="15">
        <f t="shared" si="159"/>
        <v>-8.8676159152167953E-3</v>
      </c>
      <c r="K774" s="22"/>
      <c r="L774" s="13">
        <v>771</v>
      </c>
      <c r="M774" s="5">
        <v>44585</v>
      </c>
      <c r="N774" s="26">
        <f t="shared" si="156"/>
        <v>1.9434028131693879</v>
      </c>
      <c r="O774" s="26">
        <f t="shared" si="157"/>
        <v>1.0463770856150021</v>
      </c>
      <c r="P774" s="26">
        <f t="shared" si="158"/>
        <v>1.0401005569110788</v>
      </c>
      <c r="Q774" s="22"/>
      <c r="AD774" s="59">
        <v>770</v>
      </c>
      <c r="AE774" s="61">
        <f t="shared" ca="1" si="160"/>
        <v>-6.595808958887886E-2</v>
      </c>
      <c r="AF774" s="61">
        <f t="shared" ca="1" si="160"/>
        <v>-0.43043968973171842</v>
      </c>
      <c r="AG774" s="61">
        <f t="shared" ca="1" si="160"/>
        <v>3.0567677860131048E-2</v>
      </c>
      <c r="AH774" s="19"/>
      <c r="AI774" s="61">
        <f ca="1"/>
        <v>-1.4302540008778513E-3</v>
      </c>
      <c r="AJ774" s="61">
        <f ca="1"/>
        <v>-1.0388442983680593E-2</v>
      </c>
      <c r="AK774" s="61">
        <f ca="1"/>
        <v>-3.222778846349081E-3</v>
      </c>
      <c r="AL774" s="19"/>
      <c r="AM774" s="61">
        <f t="shared" ca="1" si="153"/>
        <v>-1.079037678367607E-3</v>
      </c>
      <c r="AN774" s="61">
        <f t="shared" ca="1" si="154"/>
        <v>-1.0139390386764062E-2</v>
      </c>
      <c r="AO774" s="61">
        <f t="shared" ca="1" si="155"/>
        <v>-2.7911102430942629E-3</v>
      </c>
      <c r="AP774" s="19"/>
      <c r="AQ774" s="62">
        <f t="shared" ref="AQ774:AQ837" ca="1" si="161">AQ773*EXP(AM774)</f>
        <v>1.3198579271190993</v>
      </c>
      <c r="AR774" s="62">
        <f t="shared" ref="AR774:AR837" ca="1" si="162">AR773*EXP(AN774)</f>
        <v>1.434720449701524</v>
      </c>
      <c r="AS774" s="62">
        <f t="shared" ref="AS774:AS837" ca="1" si="163">AS773*EXP(AO774)</f>
        <v>1.2898740001876237</v>
      </c>
      <c r="AT774" s="49"/>
    </row>
    <row r="775" spans="1:46" x14ac:dyDescent="0.3">
      <c r="A775" s="5">
        <v>44586</v>
      </c>
      <c r="B775" s="6">
        <v>110</v>
      </c>
      <c r="C775" s="6">
        <v>108.139999</v>
      </c>
      <c r="D775" s="6">
        <v>81.160004000000001</v>
      </c>
      <c r="F775" s="13">
        <v>772</v>
      </c>
      <c r="G775" s="5">
        <v>44586</v>
      </c>
      <c r="H775" s="15">
        <f t="shared" si="159"/>
        <v>1.0915318678552223E-3</v>
      </c>
      <c r="I775" s="15">
        <f t="shared" si="159"/>
        <v>-2.0049218193063684E-2</v>
      </c>
      <c r="J775" s="15">
        <f t="shared" si="159"/>
        <v>3.2178150261953378E-2</v>
      </c>
      <c r="K775" s="22"/>
      <c r="L775" s="13">
        <v>772</v>
      </c>
      <c r="M775" s="5">
        <v>44586</v>
      </c>
      <c r="N775" s="26">
        <f t="shared" si="156"/>
        <v>1.9455252574190793</v>
      </c>
      <c r="O775" s="26">
        <f t="shared" si="157"/>
        <v>1.0256069513352246</v>
      </c>
      <c r="P775" s="26">
        <f t="shared" si="158"/>
        <v>1.074113368822482</v>
      </c>
      <c r="Q775" s="22"/>
      <c r="AD775" s="59">
        <v>771</v>
      </c>
      <c r="AE775" s="61">
        <f t="shared" ca="1" si="160"/>
        <v>0.81710030969771574</v>
      </c>
      <c r="AF775" s="61">
        <f t="shared" ca="1" si="160"/>
        <v>8.9322428476463003E-2</v>
      </c>
      <c r="AG775" s="61">
        <f t="shared" ca="1" si="160"/>
        <v>0.39178343368755475</v>
      </c>
      <c r="AH775" s="19"/>
      <c r="AI775" s="61">
        <f ca="1"/>
        <v>1.7718235842609006E-2</v>
      </c>
      <c r="AJ775" s="61">
        <f ca="1"/>
        <v>1.4731044038764553E-2</v>
      </c>
      <c r="AK775" s="61">
        <f ca="1"/>
        <v>2.2739626933457352E-2</v>
      </c>
      <c r="AL775" s="19"/>
      <c r="AM775" s="61">
        <f t="shared" ref="AM775:AM838" ca="1" si="164">AI775+T$3</f>
        <v>1.8069452165119251E-2</v>
      </c>
      <c r="AN775" s="61">
        <f t="shared" ref="AN775:AN838" ca="1" si="165">AJ775+U$3</f>
        <v>1.4980096635681084E-2</v>
      </c>
      <c r="AO775" s="61">
        <f t="shared" ref="AO775:AO838" ca="1" si="166">AK775+V$3</f>
        <v>2.3171295536712169E-2</v>
      </c>
      <c r="AP775" s="19"/>
      <c r="AQ775" s="62">
        <f t="shared" ca="1" si="161"/>
        <v>1.3439238106644489</v>
      </c>
      <c r="AR775" s="62">
        <f t="shared" ca="1" si="162"/>
        <v>1.4563744855229177</v>
      </c>
      <c r="AS775" s="62">
        <f t="shared" ca="1" si="163"/>
        <v>1.3201110143822958</v>
      </c>
      <c r="AT775" s="49"/>
    </row>
    <row r="776" spans="1:46" x14ac:dyDescent="0.3">
      <c r="A776" s="5">
        <v>44587</v>
      </c>
      <c r="B776" s="6">
        <v>111.120003</v>
      </c>
      <c r="C776" s="6">
        <v>105.800003</v>
      </c>
      <c r="D776" s="6">
        <v>81.300003000000004</v>
      </c>
      <c r="F776" s="13">
        <v>773</v>
      </c>
      <c r="G776" s="5">
        <v>44587</v>
      </c>
      <c r="H776" s="15">
        <f t="shared" si="159"/>
        <v>1.0130359651511931E-2</v>
      </c>
      <c r="I776" s="15">
        <f t="shared" si="159"/>
        <v>-2.1876126927000555E-2</v>
      </c>
      <c r="J776" s="15">
        <f t="shared" si="159"/>
        <v>1.7234892111583338E-3</v>
      </c>
      <c r="K776" s="22"/>
      <c r="L776" s="13">
        <v>773</v>
      </c>
      <c r="M776" s="5">
        <v>44587</v>
      </c>
      <c r="N776" s="26">
        <f t="shared" si="156"/>
        <v>1.9653342949180352</v>
      </c>
      <c r="O776" s="26">
        <f t="shared" si="157"/>
        <v>1.0034142734557232</v>
      </c>
      <c r="P776" s="26">
        <f t="shared" si="158"/>
        <v>1.0759661878233509</v>
      </c>
      <c r="Q776" s="22"/>
      <c r="AD776" s="59">
        <v>772</v>
      </c>
      <c r="AE776" s="61">
        <f t="shared" ca="1" si="160"/>
        <v>-0.13685623910378614</v>
      </c>
      <c r="AF776" s="61">
        <f t="shared" ca="1" si="160"/>
        <v>-1.4885186122270342</v>
      </c>
      <c r="AG776" s="61">
        <f t="shared" ca="1" si="160"/>
        <v>0.22258889514057109</v>
      </c>
      <c r="AH776" s="19"/>
      <c r="AI776" s="61">
        <f ca="1"/>
        <v>-2.9676296682232804E-3</v>
      </c>
      <c r="AJ776" s="61">
        <f ca="1"/>
        <v>-3.4496586872138704E-2</v>
      </c>
      <c r="AK776" s="61">
        <f ca="1"/>
        <v>-6.8022419616674571E-3</v>
      </c>
      <c r="AL776" s="19"/>
      <c r="AM776" s="61">
        <f t="shared" ca="1" si="164"/>
        <v>-2.616413345713036E-3</v>
      </c>
      <c r="AN776" s="61">
        <f t="shared" ca="1" si="165"/>
        <v>-3.4247534275222175E-2</v>
      </c>
      <c r="AO776" s="61">
        <f t="shared" ca="1" si="166"/>
        <v>-6.370573358412639E-3</v>
      </c>
      <c r="AP776" s="19"/>
      <c r="AQ776" s="62">
        <f t="shared" ca="1" si="161"/>
        <v>1.3404121464564474</v>
      </c>
      <c r="AR776" s="62">
        <f t="shared" ca="1" si="162"/>
        <v>1.4073416693677105</v>
      </c>
      <c r="AS776" s="62">
        <f t="shared" ca="1" si="163"/>
        <v>1.3117278813577578</v>
      </c>
      <c r="AT776" s="49"/>
    </row>
    <row r="777" spans="1:46" x14ac:dyDescent="0.3">
      <c r="A777" s="5">
        <v>44588</v>
      </c>
      <c r="B777" s="6">
        <v>111</v>
      </c>
      <c r="C777" s="6">
        <v>107.19000200000001</v>
      </c>
      <c r="D777" s="6">
        <v>81.980002999999996</v>
      </c>
      <c r="F777" s="13">
        <v>774</v>
      </c>
      <c r="G777" s="5">
        <v>44588</v>
      </c>
      <c r="H777" s="15">
        <f t="shared" si="159"/>
        <v>-1.0805241315940141E-3</v>
      </c>
      <c r="I777" s="15">
        <f t="shared" si="159"/>
        <v>1.3052431582298862E-2</v>
      </c>
      <c r="J777" s="15">
        <f t="shared" si="159"/>
        <v>8.329298216348759E-3</v>
      </c>
      <c r="K777" s="22"/>
      <c r="L777" s="13">
        <v>774</v>
      </c>
      <c r="M777" s="5">
        <v>44588</v>
      </c>
      <c r="N777" s="26">
        <f t="shared" si="156"/>
        <v>1.9632118506683438</v>
      </c>
      <c r="O777" s="26">
        <f t="shared" si="157"/>
        <v>1.0165971165288863</v>
      </c>
      <c r="P777" s="26">
        <f t="shared" si="158"/>
        <v>1.0849656586809333</v>
      </c>
      <c r="Q777" s="22"/>
      <c r="AD777" s="59">
        <v>773</v>
      </c>
      <c r="AE777" s="61">
        <f t="shared" ca="1" si="160"/>
        <v>-0.97973932374396921</v>
      </c>
      <c r="AF777" s="61">
        <f t="shared" ca="1" si="160"/>
        <v>1.9169881642147617</v>
      </c>
      <c r="AG777" s="61">
        <f t="shared" ca="1" si="160"/>
        <v>5.2399180587512535E-2</v>
      </c>
      <c r="AH777" s="19"/>
      <c r="AI777" s="61">
        <f ca="1"/>
        <v>-2.1244946546154067E-2</v>
      </c>
      <c r="AJ777" s="61">
        <f ca="1"/>
        <v>2.6332477533099048E-2</v>
      </c>
      <c r="AK777" s="61">
        <f ca="1"/>
        <v>3.6659492658199563E-4</v>
      </c>
      <c r="AL777" s="19"/>
      <c r="AM777" s="61">
        <f t="shared" ca="1" si="164"/>
        <v>-2.0893730223643821E-2</v>
      </c>
      <c r="AN777" s="61">
        <f t="shared" ca="1" si="165"/>
        <v>2.6581530130015577E-2</v>
      </c>
      <c r="AO777" s="61">
        <f t="shared" ca="1" si="166"/>
        <v>7.9826352983681387E-4</v>
      </c>
      <c r="AP777" s="19"/>
      <c r="AQ777" s="62">
        <f t="shared" ca="1" si="161"/>
        <v>1.312696486699422</v>
      </c>
      <c r="AR777" s="62">
        <f t="shared" ca="1" si="162"/>
        <v>1.4452525973674648</v>
      </c>
      <c r="AS777" s="62">
        <f t="shared" ca="1" si="163"/>
        <v>1.3127754039304234</v>
      </c>
      <c r="AT777" s="49"/>
    </row>
    <row r="778" spans="1:46" x14ac:dyDescent="0.3">
      <c r="A778" s="5">
        <v>44589</v>
      </c>
      <c r="B778" s="6">
        <v>110.290001</v>
      </c>
      <c r="C778" s="6">
        <v>109.290001</v>
      </c>
      <c r="D778" s="6">
        <v>81.410004000000001</v>
      </c>
      <c r="F778" s="13">
        <v>775</v>
      </c>
      <c r="G778" s="5">
        <v>44589</v>
      </c>
      <c r="H778" s="15">
        <f t="shared" si="159"/>
        <v>-6.4169319272734272E-3</v>
      </c>
      <c r="I778" s="15">
        <f t="shared" si="159"/>
        <v>1.9401929476665088E-2</v>
      </c>
      <c r="J778" s="15">
        <f t="shared" si="159"/>
        <v>-6.9771869505839247E-3</v>
      </c>
      <c r="K778" s="22"/>
      <c r="L778" s="13">
        <v>775</v>
      </c>
      <c r="M778" s="5">
        <v>44589</v>
      </c>
      <c r="N778" s="26">
        <f t="shared" si="156"/>
        <v>1.9506543871479594</v>
      </c>
      <c r="O778" s="26">
        <f t="shared" si="157"/>
        <v>1.0365136468794831</v>
      </c>
      <c r="P778" s="26">
        <f t="shared" si="158"/>
        <v>1.0774219978142403</v>
      </c>
      <c r="Q778" s="22"/>
      <c r="AD778" s="59">
        <v>774</v>
      </c>
      <c r="AE778" s="61">
        <f t="shared" ca="1" si="160"/>
        <v>-0.73944314185498139</v>
      </c>
      <c r="AF778" s="61">
        <f t="shared" ca="1" si="160"/>
        <v>0.62782932533404046</v>
      </c>
      <c r="AG778" s="61">
        <f t="shared" ca="1" si="160"/>
        <v>-0.93380374671026112</v>
      </c>
      <c r="AH778" s="19"/>
      <c r="AI778" s="61">
        <f ca="1"/>
        <v>-1.6034295696734299E-2</v>
      </c>
      <c r="AJ778" s="61">
        <f ca="1"/>
        <v>2.0724953455309812E-3</v>
      </c>
      <c r="AK778" s="61">
        <f ca="1"/>
        <v>-3.0428222934387253E-2</v>
      </c>
      <c r="AL778" s="19"/>
      <c r="AM778" s="61">
        <f t="shared" ca="1" si="164"/>
        <v>-1.5683079374224054E-2</v>
      </c>
      <c r="AN778" s="61">
        <f t="shared" ca="1" si="165"/>
        <v>2.3215479424475117E-3</v>
      </c>
      <c r="AO778" s="61">
        <f t="shared" ca="1" si="166"/>
        <v>-2.9996554331132436E-2</v>
      </c>
      <c r="AP778" s="19"/>
      <c r="AQ778" s="62">
        <f t="shared" ca="1" si="161"/>
        <v>1.292269957615038</v>
      </c>
      <c r="AR778" s="62">
        <f t="shared" ca="1" si="162"/>
        <v>1.4486117182325777</v>
      </c>
      <c r="AS778" s="62">
        <f t="shared" ca="1" si="163"/>
        <v>1.2739814170071617</v>
      </c>
      <c r="AT778" s="49"/>
    </row>
    <row r="779" spans="1:46" x14ac:dyDescent="0.3">
      <c r="A779" s="5">
        <v>44592</v>
      </c>
      <c r="B779" s="6">
        <v>113.260002</v>
      </c>
      <c r="C779" s="6">
        <v>110.839996</v>
      </c>
      <c r="D779" s="6">
        <v>82.970000999999996</v>
      </c>
      <c r="F779" s="13">
        <v>776</v>
      </c>
      <c r="G779" s="5">
        <v>44592</v>
      </c>
      <c r="H779" s="15">
        <f t="shared" si="159"/>
        <v>2.65728089590829E-2</v>
      </c>
      <c r="I779" s="15">
        <f t="shared" si="159"/>
        <v>1.4082775068172087E-2</v>
      </c>
      <c r="J779" s="15">
        <f t="shared" si="159"/>
        <v>1.8980944008844716E-2</v>
      </c>
      <c r="K779" s="22"/>
      <c r="L779" s="13">
        <v>776</v>
      </c>
      <c r="M779" s="5">
        <v>44592</v>
      </c>
      <c r="N779" s="26">
        <f t="shared" si="156"/>
        <v>2.0031835867848677</v>
      </c>
      <c r="O779" s="26">
        <f t="shared" si="157"/>
        <v>1.0512139026704495</v>
      </c>
      <c r="P779" s="26">
        <f t="shared" si="158"/>
        <v>1.0980678030192643</v>
      </c>
      <c r="Q779" s="22"/>
      <c r="AD779" s="59">
        <v>775</v>
      </c>
      <c r="AE779" s="61">
        <f t="shared" ca="1" si="160"/>
        <v>-0.67832415406550683</v>
      </c>
      <c r="AF779" s="61">
        <f t="shared" ca="1" si="160"/>
        <v>-0.72064095245369775</v>
      </c>
      <c r="AG779" s="61">
        <f t="shared" ca="1" si="160"/>
        <v>-0.86347366721838914</v>
      </c>
      <c r="AH779" s="19"/>
      <c r="AI779" s="61">
        <f ca="1"/>
        <v>-1.4708974157551338E-2</v>
      </c>
      <c r="AJ779" s="61">
        <f ca="1"/>
        <v>-2.6281223311958906E-2</v>
      </c>
      <c r="AK779" s="61">
        <f ca="1"/>
        <v>-3.7219851946799262E-2</v>
      </c>
      <c r="AL779" s="19"/>
      <c r="AM779" s="61">
        <f t="shared" ca="1" si="164"/>
        <v>-1.4357757835041094E-2</v>
      </c>
      <c r="AN779" s="61">
        <f t="shared" ca="1" si="165"/>
        <v>-2.6032170715042376E-2</v>
      </c>
      <c r="AO779" s="61">
        <f t="shared" ca="1" si="166"/>
        <v>-3.6788183343544445E-2</v>
      </c>
      <c r="AP779" s="19"/>
      <c r="AQ779" s="62">
        <f t="shared" ca="1" si="161"/>
        <v>1.2738484209455356</v>
      </c>
      <c r="AR779" s="62">
        <f t="shared" ca="1" si="162"/>
        <v>1.4113878222066114</v>
      </c>
      <c r="AS779" s="62">
        <f t="shared" ca="1" si="163"/>
        <v>1.2279655644628913</v>
      </c>
      <c r="AT779" s="49"/>
    </row>
    <row r="780" spans="1:46" x14ac:dyDescent="0.3">
      <c r="A780" s="5">
        <v>44593</v>
      </c>
      <c r="B780" s="6">
        <v>114.589996</v>
      </c>
      <c r="C780" s="6">
        <v>113.510002</v>
      </c>
      <c r="D780" s="6">
        <v>86.550003000000004</v>
      </c>
      <c r="F780" s="13">
        <v>777</v>
      </c>
      <c r="G780" s="5">
        <v>44593</v>
      </c>
      <c r="H780" s="15">
        <f t="shared" si="159"/>
        <v>1.167442718715269E-2</v>
      </c>
      <c r="I780" s="15">
        <f t="shared" si="159"/>
        <v>2.3803272480118778E-2</v>
      </c>
      <c r="J780" s="15">
        <f t="shared" si="159"/>
        <v>4.2243207555519809E-2</v>
      </c>
      <c r="K780" s="22"/>
      <c r="L780" s="13">
        <v>777</v>
      </c>
      <c r="M780" s="5">
        <v>44593</v>
      </c>
      <c r="N780" s="26">
        <f t="shared" si="156"/>
        <v>2.02670664968683</v>
      </c>
      <c r="O780" s="26">
        <f t="shared" si="157"/>
        <v>1.0765364173646355</v>
      </c>
      <c r="P780" s="26">
        <f t="shared" si="158"/>
        <v>1.1454473966502754</v>
      </c>
      <c r="Q780" s="22"/>
      <c r="AD780" s="59">
        <v>776</v>
      </c>
      <c r="AE780" s="61">
        <f t="shared" ca="1" si="160"/>
        <v>-1.0249910788347159</v>
      </c>
      <c r="AF780" s="61">
        <f t="shared" ca="1" si="160"/>
        <v>-1.5261796093204845</v>
      </c>
      <c r="AG780" s="61">
        <f t="shared" ca="1" si="160"/>
        <v>-1.7284804651644421</v>
      </c>
      <c r="AH780" s="19"/>
      <c r="AI780" s="61">
        <f ca="1"/>
        <v>-2.2226198492180677E-2</v>
      </c>
      <c r="AJ780" s="61">
        <f ca="1"/>
        <v>-4.9216573596409796E-2</v>
      </c>
      <c r="AK780" s="61">
        <f ca="1"/>
        <v>-7.0176454713056571E-2</v>
      </c>
      <c r="AL780" s="19"/>
      <c r="AM780" s="61">
        <f t="shared" ca="1" si="164"/>
        <v>-2.1874982169670432E-2</v>
      </c>
      <c r="AN780" s="61">
        <f t="shared" ca="1" si="165"/>
        <v>-4.8967520999493266E-2</v>
      </c>
      <c r="AO780" s="61">
        <f t="shared" ca="1" si="166"/>
        <v>-6.9744786109801754E-2</v>
      </c>
      <c r="AP780" s="19"/>
      <c r="AQ780" s="62">
        <f t="shared" ca="1" si="161"/>
        <v>1.246285576905191</v>
      </c>
      <c r="AR780" s="62">
        <f t="shared" ca="1" si="162"/>
        <v>1.3439405001267444</v>
      </c>
      <c r="AS780" s="62">
        <f t="shared" ca="1" si="163"/>
        <v>1.1452397471596769</v>
      </c>
      <c r="AT780" s="49"/>
    </row>
    <row r="781" spans="1:46" x14ac:dyDescent="0.3">
      <c r="A781" s="5">
        <v>44594</v>
      </c>
      <c r="B781" s="6">
        <v>117</v>
      </c>
      <c r="C781" s="6">
        <v>113.66999800000001</v>
      </c>
      <c r="D781" s="6">
        <v>86.610000999999997</v>
      </c>
      <c r="F781" s="13">
        <v>778</v>
      </c>
      <c r="G781" s="5">
        <v>44594</v>
      </c>
      <c r="H781" s="15">
        <f t="shared" si="159"/>
        <v>2.0813429266459859E-2</v>
      </c>
      <c r="I781" s="15">
        <f t="shared" si="159"/>
        <v>1.4085397169861249E-3</v>
      </c>
      <c r="J781" s="15">
        <f t="shared" si="159"/>
        <v>6.9297760470146263E-4</v>
      </c>
      <c r="K781" s="22"/>
      <c r="L781" s="13">
        <v>778</v>
      </c>
      <c r="M781" s="5">
        <v>44594</v>
      </c>
      <c r="N781" s="26">
        <f t="shared" si="156"/>
        <v>2.06933141016393</v>
      </c>
      <c r="O781" s="26">
        <f t="shared" si="157"/>
        <v>1.0780538300824387</v>
      </c>
      <c r="P781" s="26">
        <f t="shared" si="158"/>
        <v>1.1462414411392654</v>
      </c>
      <c r="Q781" s="22"/>
      <c r="AD781" s="59">
        <v>777</v>
      </c>
      <c r="AE781" s="61">
        <f t="shared" ca="1" si="160"/>
        <v>8.8695686598700418E-2</v>
      </c>
      <c r="AF781" s="61">
        <f t="shared" ca="1" si="160"/>
        <v>-1.4343280727138645</v>
      </c>
      <c r="AG781" s="61">
        <f t="shared" ca="1" si="160"/>
        <v>-0.63793924781083078</v>
      </c>
      <c r="AH781" s="19"/>
      <c r="AI781" s="61">
        <f ca="1"/>
        <v>1.9233025305782751E-3</v>
      </c>
      <c r="AJ781" s="61">
        <f ca="1"/>
        <v>-2.9788285391729081E-2</v>
      </c>
      <c r="AK781" s="61">
        <f ca="1"/>
        <v>-2.5134646746911279E-2</v>
      </c>
      <c r="AL781" s="19"/>
      <c r="AM781" s="61">
        <f t="shared" ca="1" si="164"/>
        <v>2.2745188530885192E-3</v>
      </c>
      <c r="AN781" s="61">
        <f t="shared" ca="1" si="165"/>
        <v>-2.9539232794812551E-2</v>
      </c>
      <c r="AO781" s="61">
        <f t="shared" ca="1" si="166"/>
        <v>-2.4702978143656462E-2</v>
      </c>
      <c r="AP781" s="19"/>
      <c r="AQ781" s="62">
        <f t="shared" ca="1" si="161"/>
        <v>1.2491235031811174</v>
      </c>
      <c r="AR781" s="62">
        <f t="shared" ca="1" si="162"/>
        <v>1.3048221364622465</v>
      </c>
      <c r="AS781" s="62">
        <f t="shared" ca="1" si="163"/>
        <v>1.117295488953735</v>
      </c>
      <c r="AT781" s="49"/>
    </row>
    <row r="782" spans="1:46" x14ac:dyDescent="0.3">
      <c r="A782" s="5">
        <v>44595</v>
      </c>
      <c r="B782" s="6">
        <v>116.05999799999999</v>
      </c>
      <c r="C782" s="6">
        <v>117.68</v>
      </c>
      <c r="D782" s="6">
        <v>85.089995999999999</v>
      </c>
      <c r="F782" s="13">
        <v>779</v>
      </c>
      <c r="G782" s="5">
        <v>44595</v>
      </c>
      <c r="H782" s="15">
        <f t="shared" si="159"/>
        <v>-8.0666532677600693E-3</v>
      </c>
      <c r="I782" s="15">
        <f t="shared" si="159"/>
        <v>3.4669580189355106E-2</v>
      </c>
      <c r="J782" s="15">
        <f t="shared" si="159"/>
        <v>-1.7705821036548514E-2</v>
      </c>
      <c r="K782" s="22"/>
      <c r="L782" s="13">
        <v>779</v>
      </c>
      <c r="M782" s="5">
        <v>44595</v>
      </c>
      <c r="N782" s="26">
        <f t="shared" si="156"/>
        <v>2.0527059771364349</v>
      </c>
      <c r="O782" s="26">
        <f t="shared" si="157"/>
        <v>1.1160849560681914</v>
      </c>
      <c r="P782" s="26">
        <f t="shared" si="158"/>
        <v>1.126124910696795</v>
      </c>
      <c r="Q782" s="22"/>
      <c r="AD782" s="59">
        <v>778</v>
      </c>
      <c r="AE782" s="61">
        <f t="shared" ca="1" si="160"/>
        <v>-1.2251520689132602</v>
      </c>
      <c r="AF782" s="61">
        <f t="shared" ca="1" si="160"/>
        <v>-1.4657414164737748</v>
      </c>
      <c r="AG782" s="61">
        <f t="shared" ca="1" si="160"/>
        <v>0.9040099325212293</v>
      </c>
      <c r="AH782" s="19"/>
      <c r="AI782" s="61">
        <f ca="1"/>
        <v>-2.6566546411047321E-2</v>
      </c>
      <c r="AJ782" s="61">
        <f ca="1"/>
        <v>-5.1035875426938361E-2</v>
      </c>
      <c r="AK782" s="61">
        <f ca="1"/>
        <v>-5.2640232216160272E-3</v>
      </c>
      <c r="AL782" s="19"/>
      <c r="AM782" s="61">
        <f t="shared" ca="1" si="164"/>
        <v>-2.6215330088537075E-2</v>
      </c>
      <c r="AN782" s="61">
        <f t="shared" ca="1" si="165"/>
        <v>-5.0786822830021831E-2</v>
      </c>
      <c r="AO782" s="61">
        <f t="shared" ca="1" si="166"/>
        <v>-4.8323546183612091E-3</v>
      </c>
      <c r="AP782" s="19"/>
      <c r="AQ782" s="62">
        <f t="shared" ca="1" si="161"/>
        <v>1.2168028179340493</v>
      </c>
      <c r="AR782" s="62">
        <f t="shared" ca="1" si="162"/>
        <v>1.2402090011853384</v>
      </c>
      <c r="AS782" s="62">
        <f t="shared" ca="1" si="163"/>
        <v>1.1119093452969777</v>
      </c>
      <c r="AT782" s="49"/>
    </row>
    <row r="783" spans="1:46" x14ac:dyDescent="0.3">
      <c r="A783" s="5">
        <v>44596</v>
      </c>
      <c r="B783" s="6">
        <v>118.360001</v>
      </c>
      <c r="C783" s="6">
        <v>118.629997</v>
      </c>
      <c r="D783" s="6">
        <v>86.699996999999996</v>
      </c>
      <c r="F783" s="13">
        <v>780</v>
      </c>
      <c r="G783" s="5">
        <v>44596</v>
      </c>
      <c r="H783" s="15">
        <f t="shared" si="159"/>
        <v>1.9623554450813124E-2</v>
      </c>
      <c r="I783" s="15">
        <f t="shared" si="159"/>
        <v>8.0403040911166661E-3</v>
      </c>
      <c r="J783" s="15">
        <f t="shared" si="159"/>
        <v>1.8744376332003817E-2</v>
      </c>
      <c r="K783" s="22"/>
      <c r="L783" s="13">
        <v>780</v>
      </c>
      <c r="M783" s="5">
        <v>44596</v>
      </c>
      <c r="N783" s="26">
        <f t="shared" si="156"/>
        <v>2.0933851946695228</v>
      </c>
      <c r="O783" s="26">
        <f t="shared" si="157"/>
        <v>1.1250947908745297</v>
      </c>
      <c r="P783" s="26">
        <f t="shared" si="158"/>
        <v>1.1474324946382344</v>
      </c>
      <c r="Q783" s="22"/>
      <c r="AD783" s="59">
        <v>779</v>
      </c>
      <c r="AE783" s="61">
        <f t="shared" ca="1" si="160"/>
        <v>0.20933278156947008</v>
      </c>
      <c r="AF783" s="61">
        <f t="shared" ca="1" si="160"/>
        <v>1.1572762752785279</v>
      </c>
      <c r="AG783" s="61">
        <f t="shared" ca="1" si="160"/>
        <v>-0.42719477408034523</v>
      </c>
      <c r="AH783" s="19"/>
      <c r="AI783" s="61">
        <f ca="1"/>
        <v>4.5392316578724157E-3</v>
      </c>
      <c r="AJ783" s="61">
        <f ca="1"/>
        <v>2.843112493610336E-2</v>
      </c>
      <c r="AK783" s="61">
        <f ca="1"/>
        <v>2.9836788480609028E-4</v>
      </c>
      <c r="AL783" s="19"/>
      <c r="AM783" s="61">
        <f t="shared" ca="1" si="164"/>
        <v>4.8904479803826596E-3</v>
      </c>
      <c r="AN783" s="61">
        <f t="shared" ca="1" si="165"/>
        <v>2.868017753301989E-2</v>
      </c>
      <c r="AO783" s="61">
        <f t="shared" ca="1" si="166"/>
        <v>7.3003648806090852E-4</v>
      </c>
      <c r="AP783" s="19"/>
      <c r="AQ783" s="62">
        <f t="shared" ca="1" si="161"/>
        <v>1.2227681033875897</v>
      </c>
      <c r="AR783" s="62">
        <f t="shared" ca="1" si="162"/>
        <v>1.2762933955265821</v>
      </c>
      <c r="AS783" s="62">
        <f t="shared" ca="1" si="163"/>
        <v>1.1127213760604393</v>
      </c>
      <c r="AT783" s="49"/>
    </row>
    <row r="784" spans="1:46" x14ac:dyDescent="0.3">
      <c r="A784" s="5">
        <v>44599</v>
      </c>
      <c r="B784" s="6">
        <v>119.260002</v>
      </c>
      <c r="C784" s="6">
        <v>119.339996</v>
      </c>
      <c r="D784" s="6">
        <v>89.629997000000003</v>
      </c>
      <c r="F784" s="13">
        <v>781</v>
      </c>
      <c r="G784" s="5">
        <v>44599</v>
      </c>
      <c r="H784" s="15">
        <f t="shared" si="159"/>
        <v>7.5751644842328202E-3</v>
      </c>
      <c r="I784" s="15">
        <f t="shared" si="159"/>
        <v>5.9671481919557632E-3</v>
      </c>
      <c r="J784" s="15">
        <f t="shared" si="159"/>
        <v>3.323620271391426E-2</v>
      </c>
      <c r="K784" s="22"/>
      <c r="L784" s="13">
        <v>781</v>
      </c>
      <c r="M784" s="5">
        <v>44599</v>
      </c>
      <c r="N784" s="26">
        <f t="shared" si="156"/>
        <v>2.1093031462804537</v>
      </c>
      <c r="O784" s="26">
        <f t="shared" si="157"/>
        <v>1.131828468667897</v>
      </c>
      <c r="P784" s="26">
        <f t="shared" si="158"/>
        <v>1.186209626421642</v>
      </c>
      <c r="Q784" s="22"/>
      <c r="AD784" s="59">
        <v>780</v>
      </c>
      <c r="AE784" s="61">
        <f t="shared" ca="1" si="160"/>
        <v>-1.0157585766416448</v>
      </c>
      <c r="AF784" s="61">
        <f t="shared" ca="1" si="160"/>
        <v>-1.3781322912269194</v>
      </c>
      <c r="AG784" s="61">
        <f t="shared" ca="1" si="160"/>
        <v>-0.16279429504870022</v>
      </c>
      <c r="AH784" s="19"/>
      <c r="AI784" s="61">
        <f ca="1"/>
        <v>-2.202599828501792E-2</v>
      </c>
      <c r="AJ784" s="61">
        <f ca="1"/>
        <v>-4.585410423872964E-2</v>
      </c>
      <c r="AK784" s="61">
        <f ca="1"/>
        <v>-2.888461263681838E-2</v>
      </c>
      <c r="AL784" s="19"/>
      <c r="AM784" s="61">
        <f t="shared" ca="1" si="164"/>
        <v>-2.1674781962507675E-2</v>
      </c>
      <c r="AN784" s="61">
        <f t="shared" ca="1" si="165"/>
        <v>-4.560505164181311E-2</v>
      </c>
      <c r="AO784" s="61">
        <f t="shared" ca="1" si="166"/>
        <v>-2.8452944033563562E-2</v>
      </c>
      <c r="AP784" s="19"/>
      <c r="AQ784" s="62">
        <f t="shared" ca="1" si="161"/>
        <v>1.1965500332538161</v>
      </c>
      <c r="AR784" s="62">
        <f t="shared" ca="1" si="162"/>
        <v>1.2193952518567777</v>
      </c>
      <c r="AS784" s="62">
        <f t="shared" ca="1" si="163"/>
        <v>1.0815073483147175</v>
      </c>
      <c r="AT784" s="49"/>
    </row>
    <row r="785" spans="1:46" x14ac:dyDescent="0.3">
      <c r="A785" s="5">
        <v>44600</v>
      </c>
      <c r="B785" s="6">
        <v>122.650002</v>
      </c>
      <c r="C785" s="6">
        <v>124.66999800000001</v>
      </c>
      <c r="D785" s="6">
        <v>88.489998</v>
      </c>
      <c r="F785" s="13">
        <v>782</v>
      </c>
      <c r="G785" s="5">
        <v>44600</v>
      </c>
      <c r="H785" s="15">
        <f t="shared" si="159"/>
        <v>2.8028786546019802E-2</v>
      </c>
      <c r="I785" s="15">
        <f t="shared" si="159"/>
        <v>4.3693701738276997E-2</v>
      </c>
      <c r="J785" s="15">
        <f t="shared" si="159"/>
        <v>-1.2800523220499061E-2</v>
      </c>
      <c r="K785" s="22"/>
      <c r="L785" s="13">
        <v>782</v>
      </c>
      <c r="M785" s="5">
        <v>44600</v>
      </c>
      <c r="N785" s="26">
        <f t="shared" si="156"/>
        <v>2.16926069739546</v>
      </c>
      <c r="O785" s="26">
        <f t="shared" si="157"/>
        <v>1.1823785625497238</v>
      </c>
      <c r="P785" s="26">
        <f t="shared" si="158"/>
        <v>1.17112229145374</v>
      </c>
      <c r="Q785" s="22"/>
      <c r="AD785" s="59">
        <v>781</v>
      </c>
      <c r="AE785" s="61">
        <f t="shared" ca="1" si="160"/>
        <v>-0.75273711574567126</v>
      </c>
      <c r="AF785" s="61">
        <f t="shared" ca="1" si="160"/>
        <v>0.56268271228383282</v>
      </c>
      <c r="AG785" s="61">
        <f t="shared" ca="1" si="160"/>
        <v>-0.88181087575361006</v>
      </c>
      <c r="AH785" s="19"/>
      <c r="AI785" s="61">
        <f ca="1"/>
        <v>-1.6322566012979642E-2</v>
      </c>
      <c r="AJ785" s="61">
        <f ca="1"/>
        <v>4.4838564528488535E-4</v>
      </c>
      <c r="AK785" s="61">
        <f ca="1"/>
        <v>-2.9751386098722542E-2</v>
      </c>
      <c r="AL785" s="19"/>
      <c r="AM785" s="61">
        <f t="shared" ca="1" si="164"/>
        <v>-1.5971349690469396E-2</v>
      </c>
      <c r="AN785" s="61">
        <f t="shared" ca="1" si="165"/>
        <v>6.9743824220141603E-4</v>
      </c>
      <c r="AO785" s="61">
        <f t="shared" ca="1" si="166"/>
        <v>-2.9319717495467724E-2</v>
      </c>
      <c r="AP785" s="19"/>
      <c r="AQ785" s="62">
        <f t="shared" ca="1" si="161"/>
        <v>1.1775913154105249</v>
      </c>
      <c r="AR785" s="62">
        <f t="shared" ca="1" si="162"/>
        <v>1.2202460013759207</v>
      </c>
      <c r="AS785" s="62">
        <f t="shared" ca="1" si="163"/>
        <v>1.0502582049876046</v>
      </c>
      <c r="AT785" s="49"/>
    </row>
    <row r="786" spans="1:46" x14ac:dyDescent="0.3">
      <c r="A786" s="5">
        <v>44601</v>
      </c>
      <c r="B786" s="6">
        <v>124.529999</v>
      </c>
      <c r="C786" s="6">
        <v>127.150002</v>
      </c>
      <c r="D786" s="6">
        <v>88.839995999999999</v>
      </c>
      <c r="F786" s="13">
        <v>783</v>
      </c>
      <c r="G786" s="5">
        <v>44601</v>
      </c>
      <c r="H786" s="15">
        <f t="shared" si="159"/>
        <v>1.5211855691801921E-2</v>
      </c>
      <c r="I786" s="15">
        <f t="shared" si="159"/>
        <v>1.9697277283050266E-2</v>
      </c>
      <c r="J786" s="15">
        <f t="shared" si="159"/>
        <v>3.9474253236273524E-3</v>
      </c>
      <c r="K786" s="22"/>
      <c r="L786" s="13">
        <v>783</v>
      </c>
      <c r="M786" s="5">
        <v>44601</v>
      </c>
      <c r="N786" s="26">
        <f t="shared" si="156"/>
        <v>2.2025114396442973</v>
      </c>
      <c r="O786" s="26">
        <f t="shared" si="157"/>
        <v>1.2058990856240688</v>
      </c>
      <c r="P786" s="26">
        <f t="shared" si="158"/>
        <v>1.1757543455731696</v>
      </c>
      <c r="Q786" s="22"/>
      <c r="AD786" s="59">
        <v>782</v>
      </c>
      <c r="AE786" s="61">
        <f t="shared" ca="1" si="160"/>
        <v>0.13147813764386962</v>
      </c>
      <c r="AF786" s="61">
        <f t="shared" ca="1" si="160"/>
        <v>0.32281332500514648</v>
      </c>
      <c r="AG786" s="61">
        <f t="shared" ca="1" si="160"/>
        <v>1.3315483695858774</v>
      </c>
      <c r="AH786" s="19"/>
      <c r="AI786" s="61">
        <f ca="1"/>
        <v>2.8510093843715544E-3</v>
      </c>
      <c r="AJ786" s="61">
        <f ca="1"/>
        <v>9.0746163569983794E-3</v>
      </c>
      <c r="AK786" s="61">
        <f ca="1"/>
        <v>3.8330270885380713E-2</v>
      </c>
      <c r="AL786" s="19"/>
      <c r="AM786" s="61">
        <f t="shared" ca="1" si="164"/>
        <v>3.2022257068817987E-3</v>
      </c>
      <c r="AN786" s="61">
        <f t="shared" ca="1" si="165"/>
        <v>9.3236689539149108E-3</v>
      </c>
      <c r="AO786" s="61">
        <f t="shared" ca="1" si="166"/>
        <v>3.876193948863553E-2</v>
      </c>
      <c r="AP786" s="19"/>
      <c r="AQ786" s="62">
        <f t="shared" ca="1" si="161"/>
        <v>1.1813682727003088</v>
      </c>
      <c r="AR786" s="62">
        <f t="shared" ca="1" si="162"/>
        <v>1.2316763748400124</v>
      </c>
      <c r="AS786" s="62">
        <f t="shared" ca="1" si="163"/>
        <v>1.0917675440784529</v>
      </c>
      <c r="AT786" s="49"/>
    </row>
    <row r="787" spans="1:46" x14ac:dyDescent="0.3">
      <c r="A787" s="5">
        <v>44602</v>
      </c>
      <c r="B787" s="6">
        <v>122.620003</v>
      </c>
      <c r="C787" s="6">
        <v>125.589996</v>
      </c>
      <c r="D787" s="6">
        <v>89.889999000000003</v>
      </c>
      <c r="F787" s="13">
        <v>784</v>
      </c>
      <c r="G787" s="5">
        <v>44602</v>
      </c>
      <c r="H787" s="15">
        <f t="shared" si="159"/>
        <v>-1.5456475902492639E-2</v>
      </c>
      <c r="I787" s="15">
        <f t="shared" si="159"/>
        <v>-1.2344906417216582E-2</v>
      </c>
      <c r="J787" s="15">
        <f t="shared" si="159"/>
        <v>1.1749735459137906E-2</v>
      </c>
      <c r="K787" s="22"/>
      <c r="L787" s="13">
        <v>784</v>
      </c>
      <c r="M787" s="5">
        <v>44602</v>
      </c>
      <c r="N787" s="26">
        <f t="shared" si="156"/>
        <v>2.1687301172845754</v>
      </c>
      <c r="O787" s="26">
        <f t="shared" si="157"/>
        <v>1.1911038848424906</v>
      </c>
      <c r="P787" s="26">
        <f t="shared" si="158"/>
        <v>1.1896506270421026</v>
      </c>
      <c r="Q787" s="22"/>
      <c r="AD787" s="59">
        <v>783</v>
      </c>
      <c r="AE787" s="61">
        <f t="shared" ca="1" si="160"/>
        <v>-0.49175954052913345</v>
      </c>
      <c r="AF787" s="61">
        <f t="shared" ca="1" si="160"/>
        <v>-1.6677429835524193</v>
      </c>
      <c r="AG787" s="61">
        <f t="shared" ca="1" si="160"/>
        <v>0.5223853750289289</v>
      </c>
      <c r="AH787" s="19"/>
      <c r="AI787" s="61">
        <f ca="1"/>
        <v>-1.0663453940155306E-2</v>
      </c>
      <c r="AJ787" s="61">
        <f ca="1"/>
        <v>-4.3947277365907228E-2</v>
      </c>
      <c r="AK787" s="61">
        <f ca="1"/>
        <v>-5.6275402678486724E-3</v>
      </c>
      <c r="AL787" s="19"/>
      <c r="AM787" s="61">
        <f t="shared" ca="1" si="164"/>
        <v>-1.0312237617645062E-2</v>
      </c>
      <c r="AN787" s="61">
        <f t="shared" ca="1" si="165"/>
        <v>-4.3698224768990698E-2</v>
      </c>
      <c r="AO787" s="61">
        <f t="shared" ca="1" si="166"/>
        <v>-5.1958716645938543E-3</v>
      </c>
      <c r="AP787" s="19"/>
      <c r="AQ787" s="62">
        <f t="shared" ca="1" si="161"/>
        <v>1.1692483216707843</v>
      </c>
      <c r="AR787" s="62">
        <f t="shared" ca="1" si="162"/>
        <v>1.1790133245676262</v>
      </c>
      <c r="AS787" s="62">
        <f t="shared" ca="1" si="163"/>
        <v>1.0861095718098035</v>
      </c>
      <c r="AT787" s="49"/>
    </row>
    <row r="788" spans="1:46" x14ac:dyDescent="0.3">
      <c r="A788" s="5">
        <v>44603</v>
      </c>
      <c r="B788" s="6">
        <v>120.91999800000001</v>
      </c>
      <c r="C788" s="6">
        <v>121.739998</v>
      </c>
      <c r="D788" s="6">
        <v>92</v>
      </c>
      <c r="F788" s="13">
        <v>785</v>
      </c>
      <c r="G788" s="5">
        <v>44603</v>
      </c>
      <c r="H788" s="15">
        <f t="shared" si="159"/>
        <v>-1.3961013428974789E-2</v>
      </c>
      <c r="I788" s="15">
        <f t="shared" si="159"/>
        <v>-3.1134994543041181E-2</v>
      </c>
      <c r="J788" s="15">
        <f t="shared" si="159"/>
        <v>2.3201887588440405E-2</v>
      </c>
      <c r="K788" s="22"/>
      <c r="L788" s="13">
        <v>785</v>
      </c>
      <c r="M788" s="5">
        <v>44603</v>
      </c>
      <c r="N788" s="26">
        <f t="shared" si="156"/>
        <v>2.1386628203278599</v>
      </c>
      <c r="O788" s="26">
        <f t="shared" si="157"/>
        <v>1.1545902474470742</v>
      </c>
      <c r="P788" s="26">
        <f t="shared" si="158"/>
        <v>1.2175754689670586</v>
      </c>
      <c r="Q788" s="22"/>
      <c r="AD788" s="59">
        <v>784</v>
      </c>
      <c r="AE788" s="61">
        <f t="shared" ca="1" si="160"/>
        <v>-0.85047791627991076</v>
      </c>
      <c r="AF788" s="61">
        <f t="shared" ca="1" si="160"/>
        <v>-0.82188507446039649</v>
      </c>
      <c r="AG788" s="61">
        <f t="shared" ca="1" si="160"/>
        <v>0.59364857687170236</v>
      </c>
      <c r="AH788" s="19"/>
      <c r="AI788" s="61">
        <f ca="1"/>
        <v>-1.8442005370372289E-2</v>
      </c>
      <c r="AJ788" s="61">
        <f ca="1"/>
        <v>-3.1176476191054486E-2</v>
      </c>
      <c r="AK788" s="61">
        <f ca="1"/>
        <v>-3.145119050845805E-3</v>
      </c>
      <c r="AL788" s="19"/>
      <c r="AM788" s="61">
        <f t="shared" ca="1" si="164"/>
        <v>-1.8090789047862044E-2</v>
      </c>
      <c r="AN788" s="61">
        <f t="shared" ca="1" si="165"/>
        <v>-3.0927423594137957E-2</v>
      </c>
      <c r="AO788" s="61">
        <f t="shared" ca="1" si="166"/>
        <v>-2.7134504475909869E-3</v>
      </c>
      <c r="AP788" s="19"/>
      <c r="AQ788" s="62">
        <f t="shared" ca="1" si="161"/>
        <v>1.1482858821808681</v>
      </c>
      <c r="AR788" s="62">
        <f t="shared" ca="1" si="162"/>
        <v>1.143107578128512</v>
      </c>
      <c r="AS788" s="62">
        <f t="shared" ca="1" si="163"/>
        <v>1.0831664621030159</v>
      </c>
      <c r="AT788" s="49"/>
    </row>
    <row r="789" spans="1:46" x14ac:dyDescent="0.3">
      <c r="A789" s="5">
        <v>44606</v>
      </c>
      <c r="B789" s="6">
        <v>119.58000199999999</v>
      </c>
      <c r="C789" s="6">
        <v>122.540001</v>
      </c>
      <c r="D789" s="6">
        <v>89.720000999999996</v>
      </c>
      <c r="F789" s="13">
        <v>786</v>
      </c>
      <c r="G789" s="5">
        <v>44606</v>
      </c>
      <c r="H789" s="15">
        <f t="shared" si="159"/>
        <v>-1.1143533193433123E-2</v>
      </c>
      <c r="I789" s="15">
        <f t="shared" si="159"/>
        <v>6.5499088207849488E-3</v>
      </c>
      <c r="J789" s="15">
        <f t="shared" si="159"/>
        <v>-2.5094856251246005E-2</v>
      </c>
      <c r="K789" s="22"/>
      <c r="L789" s="13">
        <v>786</v>
      </c>
      <c r="M789" s="5">
        <v>44606</v>
      </c>
      <c r="N789" s="26">
        <f t="shared" si="156"/>
        <v>2.1149628561202185</v>
      </c>
      <c r="O789" s="26">
        <f t="shared" si="157"/>
        <v>1.1621775291696219</v>
      </c>
      <c r="P789" s="26">
        <f t="shared" si="158"/>
        <v>1.1874007857967388</v>
      </c>
      <c r="Q789" s="22"/>
      <c r="AD789" s="59">
        <v>785</v>
      </c>
      <c r="AE789" s="61">
        <f t="shared" ca="1" si="160"/>
        <v>0.28958098424646284</v>
      </c>
      <c r="AF789" s="61">
        <f t="shared" ca="1" si="160"/>
        <v>1.1283875911322825</v>
      </c>
      <c r="AG789" s="61">
        <f t="shared" ca="1" si="160"/>
        <v>-0.45081272835889835</v>
      </c>
      <c r="AH789" s="19"/>
      <c r="AI789" s="61">
        <f ca="1"/>
        <v>6.2793565410736683E-3</v>
      </c>
      <c r="AJ789" s="61">
        <f ca="1"/>
        <v>2.9059271974312892E-2</v>
      </c>
      <c r="AK789" s="61">
        <f ca="1"/>
        <v>6.7554054866728747E-4</v>
      </c>
      <c r="AL789" s="19"/>
      <c r="AM789" s="61">
        <f t="shared" ca="1" si="164"/>
        <v>6.6305728635839122E-3</v>
      </c>
      <c r="AN789" s="61">
        <f t="shared" ca="1" si="165"/>
        <v>2.9308324571229422E-2</v>
      </c>
      <c r="AO789" s="61">
        <f t="shared" ca="1" si="166"/>
        <v>1.1072091519221056E-3</v>
      </c>
      <c r="AP789" s="19"/>
      <c r="AQ789" s="62">
        <f t="shared" ca="1" si="161"/>
        <v>1.1559249731782493</v>
      </c>
      <c r="AR789" s="62">
        <f t="shared" ca="1" si="162"/>
        <v>1.177105929793014</v>
      </c>
      <c r="AS789" s="62">
        <f t="shared" ca="1" si="163"/>
        <v>1.0843664181014565</v>
      </c>
      <c r="AT789" s="49"/>
    </row>
    <row r="790" spans="1:46" x14ac:dyDescent="0.3">
      <c r="A790" s="5">
        <v>44607</v>
      </c>
      <c r="B790" s="6">
        <v>123.08000199999999</v>
      </c>
      <c r="C790" s="6">
        <v>128.759995</v>
      </c>
      <c r="D790" s="6">
        <v>88.529999000000004</v>
      </c>
      <c r="F790" s="13">
        <v>787</v>
      </c>
      <c r="G790" s="5">
        <v>44607</v>
      </c>
      <c r="H790" s="15">
        <f t="shared" si="159"/>
        <v>2.8848946525471708E-2</v>
      </c>
      <c r="I790" s="15">
        <f t="shared" si="159"/>
        <v>4.9512652140562267E-2</v>
      </c>
      <c r="J790" s="15">
        <f t="shared" si="159"/>
        <v>-1.335225447044263E-2</v>
      </c>
      <c r="K790" s="22"/>
      <c r="L790" s="13">
        <v>787</v>
      </c>
      <c r="M790" s="5">
        <v>44607</v>
      </c>
      <c r="N790" s="26">
        <f t="shared" si="156"/>
        <v>2.1768659324926434</v>
      </c>
      <c r="O790" s="26">
        <f t="shared" si="157"/>
        <v>1.2211683664421782</v>
      </c>
      <c r="P790" s="26">
        <f t="shared" si="158"/>
        <v>1.1716516853269372</v>
      </c>
      <c r="Q790" s="22"/>
      <c r="AD790" s="59">
        <v>786</v>
      </c>
      <c r="AE790" s="61">
        <f t="shared" ca="1" si="160"/>
        <v>-0.96948175726352204</v>
      </c>
      <c r="AF790" s="61">
        <f t="shared" ca="1" si="160"/>
        <v>-0.96033938876422276</v>
      </c>
      <c r="AG790" s="61">
        <f t="shared" ca="1" si="160"/>
        <v>0.74430161533821282</v>
      </c>
      <c r="AH790" s="19"/>
      <c r="AI790" s="61">
        <f ca="1"/>
        <v>-2.1022518553024262E-2</v>
      </c>
      <c r="AJ790" s="61">
        <f ca="1"/>
        <v>-3.6048609937859522E-2</v>
      </c>
      <c r="AK790" s="61">
        <f ca="1"/>
        <v>-2.0188007657000427E-3</v>
      </c>
      <c r="AL790" s="19"/>
      <c r="AM790" s="61">
        <f t="shared" ca="1" si="164"/>
        <v>-2.0671302230514017E-2</v>
      </c>
      <c r="AN790" s="61">
        <f t="shared" ca="1" si="165"/>
        <v>-3.5799557340942992E-2</v>
      </c>
      <c r="AO790" s="61">
        <f t="shared" ca="1" si="166"/>
        <v>-1.5871321624452246E-3</v>
      </c>
      <c r="AP790" s="19"/>
      <c r="AQ790" s="62">
        <f t="shared" ca="1" si="161"/>
        <v>1.1322757707157682</v>
      </c>
      <c r="AR790" s="62">
        <f t="shared" ca="1" si="162"/>
        <v>1.135711431782203</v>
      </c>
      <c r="AS790" s="62">
        <f t="shared" ca="1" si="163"/>
        <v>1.0826467503144241</v>
      </c>
      <c r="AT790" s="49"/>
    </row>
    <row r="791" spans="1:46" x14ac:dyDescent="0.3">
      <c r="A791" s="5">
        <v>44608</v>
      </c>
      <c r="B791" s="6">
        <v>124.489998</v>
      </c>
      <c r="C791" s="6">
        <v>130.03999300000001</v>
      </c>
      <c r="D791" s="6">
        <v>88.040001000000004</v>
      </c>
      <c r="F791" s="13">
        <v>788</v>
      </c>
      <c r="G791" s="5">
        <v>44608</v>
      </c>
      <c r="H791" s="15">
        <f t="shared" si="159"/>
        <v>1.1390808624712256E-2</v>
      </c>
      <c r="I791" s="15">
        <f t="shared" si="159"/>
        <v>9.891874007441074E-3</v>
      </c>
      <c r="J791" s="15">
        <f t="shared" si="159"/>
        <v>-5.5501983106173748E-3</v>
      </c>
      <c r="K791" s="22"/>
      <c r="L791" s="13">
        <v>788</v>
      </c>
      <c r="M791" s="5">
        <v>44608</v>
      </c>
      <c r="N791" s="26">
        <f t="shared" si="156"/>
        <v>2.2018039582277336</v>
      </c>
      <c r="O791" s="26">
        <f t="shared" si="157"/>
        <v>1.2333079527066018</v>
      </c>
      <c r="P791" s="26">
        <f t="shared" si="158"/>
        <v>1.1651667989721231</v>
      </c>
      <c r="Q791" s="22"/>
      <c r="AD791" s="59">
        <v>787</v>
      </c>
      <c r="AE791" s="61">
        <f t="shared" ca="1" si="160"/>
        <v>-0.98557281801339203</v>
      </c>
      <c r="AF791" s="61">
        <f t="shared" ca="1" si="160"/>
        <v>1.5789709385506923</v>
      </c>
      <c r="AG791" s="61">
        <f t="shared" ca="1" si="160"/>
        <v>-0.57491663851546548</v>
      </c>
      <c r="AH791" s="19"/>
      <c r="AI791" s="61">
        <f ca="1"/>
        <v>-2.1371441697392447E-2</v>
      </c>
      <c r="AJ791" s="61">
        <f ca="1"/>
        <v>1.8894021339278026E-2</v>
      </c>
      <c r="AK791" s="61">
        <f ca="1"/>
        <v>-1.8171874284578081E-2</v>
      </c>
      <c r="AL791" s="19"/>
      <c r="AM791" s="61">
        <f t="shared" ca="1" si="164"/>
        <v>-2.1020225374882202E-2</v>
      </c>
      <c r="AN791" s="61">
        <f t="shared" ca="1" si="165"/>
        <v>1.9143073936194556E-2</v>
      </c>
      <c r="AO791" s="61">
        <f t="shared" ca="1" si="166"/>
        <v>-1.7740205681323264E-2</v>
      </c>
      <c r="AP791" s="19"/>
      <c r="AQ791" s="62">
        <f t="shared" ca="1" si="161"/>
        <v>1.1087234832325203</v>
      </c>
      <c r="AR791" s="62">
        <f t="shared" ca="1" si="162"/>
        <v>1.1576618687895808</v>
      </c>
      <c r="AS791" s="62">
        <f t="shared" ca="1" si="163"/>
        <v>1.0636097338442716</v>
      </c>
      <c r="AT791" s="49"/>
    </row>
    <row r="792" spans="1:46" x14ac:dyDescent="0.3">
      <c r="A792" s="5">
        <v>44609</v>
      </c>
      <c r="B792" s="6">
        <v>121.129997</v>
      </c>
      <c r="C792" s="6">
        <v>126.699997</v>
      </c>
      <c r="D792" s="6">
        <v>87.040001000000004</v>
      </c>
      <c r="F792" s="13">
        <v>789</v>
      </c>
      <c r="G792" s="5">
        <v>44609</v>
      </c>
      <c r="H792" s="15">
        <f t="shared" si="159"/>
        <v>-2.7361051066215954E-2</v>
      </c>
      <c r="I792" s="15">
        <f t="shared" si="159"/>
        <v>-2.6019977956998751E-2</v>
      </c>
      <c r="J792" s="15">
        <f t="shared" si="159"/>
        <v>-1.1423473420131201E-2</v>
      </c>
      <c r="K792" s="22"/>
      <c r="L792" s="13">
        <v>789</v>
      </c>
      <c r="M792" s="5">
        <v>44609</v>
      </c>
      <c r="N792" s="26">
        <f t="shared" si="156"/>
        <v>2.1423769872236118</v>
      </c>
      <c r="O792" s="26">
        <f t="shared" si="157"/>
        <v>1.2016312082391651</v>
      </c>
      <c r="P792" s="26">
        <f t="shared" si="158"/>
        <v>1.1519322830050898</v>
      </c>
      <c r="Q792" s="22"/>
      <c r="AD792" s="59">
        <v>788</v>
      </c>
      <c r="AE792" s="61">
        <f t="shared" ca="1" si="160"/>
        <v>0.46385559108611485</v>
      </c>
      <c r="AF792" s="61">
        <f t="shared" ca="1" si="160"/>
        <v>0.72786202175002457</v>
      </c>
      <c r="AG792" s="61">
        <f t="shared" ca="1" si="160"/>
        <v>1.7059945603566749E-2</v>
      </c>
      <c r="AH792" s="19"/>
      <c r="AI792" s="61">
        <f ca="1"/>
        <v>1.0058376752809059E-2</v>
      </c>
      <c r="AJ792" s="61">
        <f ca="1"/>
        <v>2.3081246180837161E-2</v>
      </c>
      <c r="AK792" s="61">
        <f ca="1"/>
        <v>1.2416734359393351E-2</v>
      </c>
      <c r="AL792" s="19"/>
      <c r="AM792" s="61">
        <f t="shared" ca="1" si="164"/>
        <v>1.0409593075319303E-2</v>
      </c>
      <c r="AN792" s="61">
        <f t="shared" ca="1" si="165"/>
        <v>2.3330298777753691E-2</v>
      </c>
      <c r="AO792" s="61">
        <f t="shared" ca="1" si="166"/>
        <v>1.284840296264817E-2</v>
      </c>
      <c r="AP792" s="19"/>
      <c r="AQ792" s="62">
        <f t="shared" ca="1" si="161"/>
        <v>1.1203251229379338</v>
      </c>
      <c r="AR792" s="62">
        <f t="shared" ca="1" si="162"/>
        <v>1.1849879898944256</v>
      </c>
      <c r="AS792" s="62">
        <f t="shared" ca="1" si="163"/>
        <v>1.077363588625611</v>
      </c>
      <c r="AT792" s="49"/>
    </row>
    <row r="793" spans="1:46" x14ac:dyDescent="0.3">
      <c r="A793" s="5">
        <v>44610</v>
      </c>
      <c r="B793" s="6">
        <v>120.379997</v>
      </c>
      <c r="C793" s="6">
        <v>126.58000199999999</v>
      </c>
      <c r="D793" s="6">
        <v>86.720000999999996</v>
      </c>
      <c r="F793" s="13">
        <v>790</v>
      </c>
      <c r="G793" s="5">
        <v>44610</v>
      </c>
      <c r="H793" s="15">
        <f t="shared" si="159"/>
        <v>-6.2109430633898056E-3</v>
      </c>
      <c r="I793" s="15">
        <f t="shared" si="159"/>
        <v>-9.475285016700744E-4</v>
      </c>
      <c r="J793" s="15">
        <f t="shared" si="159"/>
        <v>-3.683245373901774E-3</v>
      </c>
      <c r="K793" s="22"/>
      <c r="L793" s="13">
        <v>790</v>
      </c>
      <c r="M793" s="5">
        <v>44610</v>
      </c>
      <c r="N793" s="26">
        <f t="shared" si="156"/>
        <v>2.1291120422866636</v>
      </c>
      <c r="O793" s="26">
        <f t="shared" si="157"/>
        <v>1.2004931676689459</v>
      </c>
      <c r="P793" s="26">
        <f t="shared" si="158"/>
        <v>1.1476972378956389</v>
      </c>
      <c r="Q793" s="22"/>
      <c r="AD793" s="59">
        <v>789</v>
      </c>
      <c r="AE793" s="61">
        <f t="shared" ca="1" si="160"/>
        <v>-1.0438022305346033</v>
      </c>
      <c r="AF793" s="61">
        <f t="shared" ca="1" si="160"/>
        <v>1.0763488247965101</v>
      </c>
      <c r="AG793" s="61">
        <f t="shared" ca="1" si="160"/>
        <v>0.35575855462669193</v>
      </c>
      <c r="AH793" s="19"/>
      <c r="AI793" s="61">
        <f ca="1"/>
        <v>-2.2634104863447389E-2</v>
      </c>
      <c r="AJ793" s="61">
        <f ca="1"/>
        <v>7.0575917808728753E-3</v>
      </c>
      <c r="AK793" s="61">
        <f ca="1"/>
        <v>1.2719145477229302E-3</v>
      </c>
      <c r="AL793" s="19"/>
      <c r="AM793" s="61">
        <f t="shared" ca="1" si="164"/>
        <v>-2.2282888540937143E-2</v>
      </c>
      <c r="AN793" s="61">
        <f t="shared" ca="1" si="165"/>
        <v>7.3066443777894058E-3</v>
      </c>
      <c r="AO793" s="61">
        <f t="shared" ca="1" si="166"/>
        <v>1.7035831509777484E-3</v>
      </c>
      <c r="AP793" s="19"/>
      <c r="AQ793" s="62">
        <f t="shared" ca="1" si="161"/>
        <v>1.0956371245651932</v>
      </c>
      <c r="AR793" s="62">
        <f t="shared" ca="1" si="162"/>
        <v>1.1936779844172827</v>
      </c>
      <c r="AS793" s="62">
        <f t="shared" ca="1" si="163"/>
        <v>1.0792005313307276</v>
      </c>
      <c r="AT793" s="49"/>
    </row>
    <row r="794" spans="1:46" x14ac:dyDescent="0.3">
      <c r="A794" s="5">
        <v>44614</v>
      </c>
      <c r="B794" s="6">
        <v>118.489998</v>
      </c>
      <c r="C794" s="6">
        <v>129.63000500000001</v>
      </c>
      <c r="D794" s="6">
        <v>85.839995999999999</v>
      </c>
      <c r="F794" s="13">
        <v>791</v>
      </c>
      <c r="G794" s="5">
        <v>44614</v>
      </c>
      <c r="H794" s="15">
        <f t="shared" si="159"/>
        <v>-1.5824829248954283E-2</v>
      </c>
      <c r="I794" s="15">
        <f t="shared" si="159"/>
        <v>2.3809742035825775E-2</v>
      </c>
      <c r="J794" s="15">
        <f t="shared" si="159"/>
        <v>-1.0199497498581803E-2</v>
      </c>
      <c r="K794" s="22"/>
      <c r="L794" s="13">
        <v>791</v>
      </c>
      <c r="M794" s="5">
        <v>44614</v>
      </c>
      <c r="N794" s="26">
        <f t="shared" si="156"/>
        <v>2.0956843987321472</v>
      </c>
      <c r="O794" s="26">
        <f t="shared" si="157"/>
        <v>1.2294195992143475</v>
      </c>
      <c r="P794" s="26">
        <f t="shared" si="158"/>
        <v>1.13605079767207</v>
      </c>
      <c r="Q794" s="22"/>
      <c r="AD794" s="59">
        <v>790</v>
      </c>
      <c r="AE794" s="61">
        <f t="shared" ca="1" si="160"/>
        <v>-1.054642441225716</v>
      </c>
      <c r="AF794" s="61">
        <f t="shared" ca="1" si="160"/>
        <v>-0.96576754507014873</v>
      </c>
      <c r="AG794" s="61">
        <f t="shared" ca="1" si="160"/>
        <v>-1.2127465902382359</v>
      </c>
      <c r="AH794" s="19"/>
      <c r="AI794" s="61">
        <f ca="1"/>
        <v>-2.2869167079590427E-2</v>
      </c>
      <c r="AJ794" s="61">
        <f ca="1"/>
        <v>-3.7499560241625249E-2</v>
      </c>
      <c r="AK794" s="61">
        <f ca="1"/>
        <v>-5.3454811130482532E-2</v>
      </c>
      <c r="AL794" s="19"/>
      <c r="AM794" s="61">
        <f t="shared" ca="1" si="164"/>
        <v>-2.2517950757080182E-2</v>
      </c>
      <c r="AN794" s="61">
        <f t="shared" ca="1" si="165"/>
        <v>-3.7250507644708719E-2</v>
      </c>
      <c r="AO794" s="61">
        <f t="shared" ca="1" si="166"/>
        <v>-5.3023142527227715E-2</v>
      </c>
      <c r="AP794" s="19"/>
      <c r="AQ794" s="62">
        <f t="shared" ca="1" si="161"/>
        <v>1.0712413242931866</v>
      </c>
      <c r="AR794" s="62">
        <f t="shared" ca="1" si="162"/>
        <v>1.1500308592650201</v>
      </c>
      <c r="AS794" s="62">
        <f t="shared" ca="1" si="163"/>
        <v>1.0234685274519999</v>
      </c>
      <c r="AT794" s="49"/>
    </row>
    <row r="795" spans="1:46" x14ac:dyDescent="0.3">
      <c r="A795" s="5">
        <v>44615</v>
      </c>
      <c r="B795" s="6">
        <v>115.360001</v>
      </c>
      <c r="C795" s="6">
        <v>129.10000600000001</v>
      </c>
      <c r="D795" s="6">
        <v>86.349997999999999</v>
      </c>
      <c r="F795" s="13">
        <v>792</v>
      </c>
      <c r="G795" s="5">
        <v>44615</v>
      </c>
      <c r="H795" s="15">
        <f t="shared" si="159"/>
        <v>-2.6770869744432078E-2</v>
      </c>
      <c r="I795" s="15">
        <f t="shared" si="159"/>
        <v>-4.096932855073101E-3</v>
      </c>
      <c r="J795" s="15">
        <f t="shared" si="159"/>
        <v>5.9237297070161175E-3</v>
      </c>
      <c r="K795" s="22"/>
      <c r="L795" s="13">
        <v>792</v>
      </c>
      <c r="M795" s="5">
        <v>44615</v>
      </c>
      <c r="N795" s="26">
        <f t="shared" si="156"/>
        <v>2.0403254149217296</v>
      </c>
      <c r="O795" s="26">
        <f t="shared" si="157"/>
        <v>1.2243930534068086</v>
      </c>
      <c r="P795" s="26">
        <f t="shared" si="158"/>
        <v>1.1428004272842889</v>
      </c>
      <c r="Q795" s="22"/>
      <c r="AD795" s="59">
        <v>791</v>
      </c>
      <c r="AE795" s="61">
        <f t="shared" ca="1" si="160"/>
        <v>1.2704251237821382</v>
      </c>
      <c r="AF795" s="61">
        <f t="shared" ca="1" si="160"/>
        <v>-0.54140911399418379</v>
      </c>
      <c r="AG795" s="61">
        <f t="shared" ca="1" si="160"/>
        <v>-0.77310155891448462</v>
      </c>
      <c r="AH795" s="19"/>
      <c r="AI795" s="61">
        <f ca="1"/>
        <v>2.7548260227529556E-2</v>
      </c>
      <c r="AJ795" s="61">
        <f ca="1"/>
        <v>8.1170452996604543E-3</v>
      </c>
      <c r="AK795" s="61">
        <f ca="1"/>
        <v>-4.8484547074042535E-3</v>
      </c>
      <c r="AL795" s="19"/>
      <c r="AM795" s="61">
        <f t="shared" ca="1" si="164"/>
        <v>2.7899476550039801E-2</v>
      </c>
      <c r="AN795" s="61">
        <f t="shared" ca="1" si="165"/>
        <v>8.3660978965769857E-3</v>
      </c>
      <c r="AO795" s="61">
        <f t="shared" ca="1" si="166"/>
        <v>-4.4167861041494354E-3</v>
      </c>
      <c r="AP795" s="19"/>
      <c r="AQ795" s="62">
        <f t="shared" ca="1" si="161"/>
        <v>1.1015492177835888</v>
      </c>
      <c r="AR795" s="62">
        <f t="shared" ca="1" si="162"/>
        <v>1.1596924887340332</v>
      </c>
      <c r="AS795" s="62">
        <f t="shared" ca="1" si="163"/>
        <v>1.0189580541124239</v>
      </c>
      <c r="AT795" s="49"/>
    </row>
    <row r="796" spans="1:46" x14ac:dyDescent="0.3">
      <c r="A796" s="5">
        <v>44616</v>
      </c>
      <c r="B796" s="6">
        <v>116.879997</v>
      </c>
      <c r="C796" s="6">
        <v>128.929993</v>
      </c>
      <c r="D796" s="6">
        <v>83.839995999999999</v>
      </c>
      <c r="F796" s="13">
        <v>793</v>
      </c>
      <c r="G796" s="5">
        <v>44616</v>
      </c>
      <c r="H796" s="15">
        <f t="shared" si="159"/>
        <v>1.309005956993769E-2</v>
      </c>
      <c r="I796" s="15">
        <f t="shared" si="159"/>
        <v>-1.3177771984785674E-3</v>
      </c>
      <c r="J796" s="15">
        <f t="shared" si="159"/>
        <v>-2.9498608568328252E-2</v>
      </c>
      <c r="K796" s="22"/>
      <c r="L796" s="13">
        <v>793</v>
      </c>
      <c r="M796" s="5">
        <v>44616</v>
      </c>
      <c r="N796" s="26">
        <f t="shared" si="156"/>
        <v>2.0672089659142383</v>
      </c>
      <c r="O796" s="26">
        <f t="shared" si="157"/>
        <v>1.2227806387939939</v>
      </c>
      <c r="P796" s="26">
        <f t="shared" si="158"/>
        <v>1.1095817657380034</v>
      </c>
      <c r="Q796" s="22"/>
      <c r="AD796" s="59">
        <v>792</v>
      </c>
      <c r="AE796" s="61">
        <f t="shared" ca="1" si="160"/>
        <v>0.54649899767528243</v>
      </c>
      <c r="AF796" s="61">
        <f t="shared" ca="1" si="160"/>
        <v>-8.359949258391354E-2</v>
      </c>
      <c r="AG796" s="61">
        <f t="shared" ca="1" si="160"/>
        <v>-0.60049271618205868</v>
      </c>
      <c r="AH796" s="19"/>
      <c r="AI796" s="61">
        <f ca="1"/>
        <v>1.1850439919845687E-2</v>
      </c>
      <c r="AJ796" s="61">
        <f ca="1"/>
        <v>6.7368669402445101E-3</v>
      </c>
      <c r="AK796" s="61">
        <f ca="1"/>
        <v>-7.8985214636968001E-3</v>
      </c>
      <c r="AL796" s="19"/>
      <c r="AM796" s="61">
        <f t="shared" ca="1" si="164"/>
        <v>1.220165624235593E-2</v>
      </c>
      <c r="AN796" s="61">
        <f t="shared" ca="1" si="165"/>
        <v>6.9859195371610406E-3</v>
      </c>
      <c r="AO796" s="61">
        <f t="shared" ca="1" si="166"/>
        <v>-7.4668528604419819E-3</v>
      </c>
      <c r="AP796" s="19"/>
      <c r="AQ796" s="62">
        <f t="shared" ca="1" si="161"/>
        <v>1.1150722767553432</v>
      </c>
      <c r="AR796" s="62">
        <f t="shared" ca="1" si="162"/>
        <v>1.1678223714378095</v>
      </c>
      <c r="AS796" s="62">
        <f t="shared" ca="1" si="163"/>
        <v>1.0113779791219073</v>
      </c>
      <c r="AT796" s="49"/>
    </row>
    <row r="797" spans="1:46" x14ac:dyDescent="0.3">
      <c r="A797" s="5">
        <v>44617</v>
      </c>
      <c r="B797" s="6">
        <v>120.91999800000001</v>
      </c>
      <c r="C797" s="6">
        <v>134.11000100000001</v>
      </c>
      <c r="D797" s="6">
        <v>84.870002999999997</v>
      </c>
      <c r="F797" s="13">
        <v>794</v>
      </c>
      <c r="G797" s="5">
        <v>44617</v>
      </c>
      <c r="H797" s="15">
        <f t="shared" si="159"/>
        <v>3.3981411596303586E-2</v>
      </c>
      <c r="I797" s="15">
        <f t="shared" si="159"/>
        <v>3.939079904969682E-2</v>
      </c>
      <c r="J797" s="15">
        <f t="shared" si="159"/>
        <v>1.2210536466957108E-2</v>
      </c>
      <c r="K797" s="22"/>
      <c r="L797" s="13">
        <v>794</v>
      </c>
      <c r="M797" s="5">
        <v>44617</v>
      </c>
      <c r="N797" s="26">
        <f t="shared" si="156"/>
        <v>2.1386628203278599</v>
      </c>
      <c r="O797" s="26">
        <f t="shared" si="157"/>
        <v>1.27190817959203</v>
      </c>
      <c r="P797" s="26">
        <f t="shared" si="158"/>
        <v>1.1232134098256594</v>
      </c>
      <c r="Q797" s="22"/>
      <c r="AD797" s="59">
        <v>793</v>
      </c>
      <c r="AE797" s="61">
        <f t="shared" ca="1" si="160"/>
        <v>-2.5526574256330115</v>
      </c>
      <c r="AF797" s="61">
        <f t="shared" ca="1" si="160"/>
        <v>0.98312794777923318</v>
      </c>
      <c r="AG797" s="61">
        <f t="shared" ca="1" si="160"/>
        <v>0.43689516993242178</v>
      </c>
      <c r="AH797" s="19"/>
      <c r="AI797" s="61">
        <f ca="1"/>
        <v>-5.5352550667230882E-2</v>
      </c>
      <c r="AJ797" s="61">
        <f ca="1"/>
        <v>-1.858577022670449E-2</v>
      </c>
      <c r="AK797" s="61">
        <f ca="1"/>
        <v>-1.960003279798303E-2</v>
      </c>
      <c r="AL797" s="19"/>
      <c r="AM797" s="61">
        <f t="shared" ca="1" si="164"/>
        <v>-5.500133434472064E-2</v>
      </c>
      <c r="AN797" s="61">
        <f t="shared" ca="1" si="165"/>
        <v>-1.833671762978796E-2</v>
      </c>
      <c r="AO797" s="61">
        <f t="shared" ca="1" si="166"/>
        <v>-1.9168364194728213E-2</v>
      </c>
      <c r="AP797" s="19"/>
      <c r="AQ797" s="62">
        <f t="shared" ca="1" si="161"/>
        <v>1.0553979405779992</v>
      </c>
      <c r="AR797" s="62">
        <f t="shared" ca="1" si="162"/>
        <v>1.1466034793290738</v>
      </c>
      <c r="AS797" s="62">
        <f t="shared" ca="1" si="163"/>
        <v>0.99217613954133788</v>
      </c>
      <c r="AT797" s="49"/>
    </row>
    <row r="798" spans="1:46" x14ac:dyDescent="0.3">
      <c r="A798" s="5">
        <v>44620</v>
      </c>
      <c r="B798" s="6">
        <v>120.290001</v>
      </c>
      <c r="C798" s="6">
        <v>132.03999300000001</v>
      </c>
      <c r="D798" s="6">
        <v>83.510002</v>
      </c>
      <c r="F798" s="13">
        <v>795</v>
      </c>
      <c r="G798" s="5">
        <v>44620</v>
      </c>
      <c r="H798" s="15">
        <f t="shared" si="159"/>
        <v>-5.2236510521719362E-3</v>
      </c>
      <c r="I798" s="15">
        <f t="shared" si="159"/>
        <v>-1.5555512208661531E-2</v>
      </c>
      <c r="J798" s="15">
        <f t="shared" si="159"/>
        <v>-1.6154300215398962E-2</v>
      </c>
      <c r="K798" s="22"/>
      <c r="L798" s="13">
        <v>795</v>
      </c>
      <c r="M798" s="5">
        <v>44620</v>
      </c>
      <c r="N798" s="26">
        <f t="shared" si="156"/>
        <v>2.127520319640603</v>
      </c>
      <c r="O798" s="26">
        <f t="shared" si="157"/>
        <v>1.2522760858824717</v>
      </c>
      <c r="P798" s="26">
        <f t="shared" si="158"/>
        <v>1.1052144548759784</v>
      </c>
      <c r="Q798" s="22"/>
      <c r="AD798" s="59">
        <v>794</v>
      </c>
      <c r="AE798" s="61">
        <f t="shared" ca="1" si="160"/>
        <v>-0.91874291850763601</v>
      </c>
      <c r="AF798" s="61">
        <f t="shared" ca="1" si="160"/>
        <v>0.40225933353817422</v>
      </c>
      <c r="AG798" s="61">
        <f t="shared" ca="1" si="160"/>
        <v>-1.5906214749407055</v>
      </c>
      <c r="AH798" s="19"/>
      <c r="AI798" s="61">
        <f ca="1"/>
        <v>-1.9922283121967477E-2</v>
      </c>
      <c r="AJ798" s="61">
        <f ca="1"/>
        <v>-5.6369586617125225E-3</v>
      </c>
      <c r="AK798" s="61">
        <f ca="1"/>
        <v>-5.1493683554385196E-2</v>
      </c>
      <c r="AL798" s="19"/>
      <c r="AM798" s="61">
        <f t="shared" ca="1" si="164"/>
        <v>-1.9571066799457231E-2</v>
      </c>
      <c r="AN798" s="61">
        <f t="shared" ca="1" si="165"/>
        <v>-5.387906064795992E-3</v>
      </c>
      <c r="AO798" s="61">
        <f t="shared" ca="1" si="166"/>
        <v>-5.1062014951130379E-2</v>
      </c>
      <c r="AP798" s="19"/>
      <c r="AQ798" s="62">
        <f t="shared" ca="1" si="161"/>
        <v>1.0349434875950014</v>
      </c>
      <c r="AR798" s="62">
        <f t="shared" ca="1" si="162"/>
        <v>1.1404423003204254</v>
      </c>
      <c r="AS798" s="62">
        <f t="shared" ca="1" si="163"/>
        <v>0.94278535421672505</v>
      </c>
      <c r="AT798" s="49"/>
    </row>
    <row r="799" spans="1:46" x14ac:dyDescent="0.3">
      <c r="A799" s="5">
        <v>44621</v>
      </c>
      <c r="B799" s="6">
        <v>113.57</v>
      </c>
      <c r="C799" s="6">
        <v>124.699997</v>
      </c>
      <c r="D799" s="6">
        <v>80.629997000000003</v>
      </c>
      <c r="F799" s="13">
        <v>796</v>
      </c>
      <c r="G799" s="5">
        <v>44621</v>
      </c>
      <c r="H799" s="15">
        <f t="shared" si="159"/>
        <v>-5.7486115415669302E-2</v>
      </c>
      <c r="I799" s="15">
        <f t="shared" si="159"/>
        <v>-5.719402534250094E-2</v>
      </c>
      <c r="J799" s="15">
        <f t="shared" si="159"/>
        <v>-3.5095657624430329E-2</v>
      </c>
      <c r="K799" s="22"/>
      <c r="L799" s="13">
        <v>796</v>
      </c>
      <c r="M799" s="5">
        <v>44621</v>
      </c>
      <c r="N799" s="26">
        <f t="shared" si="156"/>
        <v>2.008666395318953</v>
      </c>
      <c r="O799" s="26">
        <f t="shared" si="157"/>
        <v>1.1826630750632952</v>
      </c>
      <c r="P799" s="26">
        <f t="shared" si="158"/>
        <v>1.0670989827183428</v>
      </c>
      <c r="Q799" s="22"/>
      <c r="AD799" s="59">
        <v>795</v>
      </c>
      <c r="AE799" s="61">
        <f t="shared" ca="1" si="160"/>
        <v>1.1067384781224896</v>
      </c>
      <c r="AF799" s="61">
        <f t="shared" ca="1" si="160"/>
        <v>0.7874521110952275</v>
      </c>
      <c r="AG799" s="61">
        <f t="shared" ca="1" si="160"/>
        <v>2.3260255287346103</v>
      </c>
      <c r="AH799" s="19"/>
      <c r="AI799" s="61">
        <f ca="1"/>
        <v>2.3998832381692412E-2</v>
      </c>
      <c r="AJ799" s="61">
        <f ca="1"/>
        <v>3.4439117601905822E-2</v>
      </c>
      <c r="AK799" s="61">
        <f ca="1"/>
        <v>8.1490935522070013E-2</v>
      </c>
      <c r="AL799" s="19"/>
      <c r="AM799" s="61">
        <f t="shared" ca="1" si="164"/>
        <v>2.4350048704202657E-2</v>
      </c>
      <c r="AN799" s="61">
        <f t="shared" ca="1" si="165"/>
        <v>3.4688170198822352E-2</v>
      </c>
      <c r="AO799" s="61">
        <f t="shared" ca="1" si="166"/>
        <v>8.192260412532483E-2</v>
      </c>
      <c r="AP799" s="19"/>
      <c r="AQ799" s="62">
        <f t="shared" ca="1" si="161"/>
        <v>1.0604537394015676</v>
      </c>
      <c r="AR799" s="62">
        <f t="shared" ca="1" si="162"/>
        <v>1.1806962892613431</v>
      </c>
      <c r="AS799" s="62">
        <f t="shared" ca="1" si="163"/>
        <v>1.0232726400109058</v>
      </c>
      <c r="AT799" s="49"/>
    </row>
    <row r="800" spans="1:46" x14ac:dyDescent="0.3">
      <c r="A800" s="5">
        <v>44622</v>
      </c>
      <c r="B800" s="6">
        <v>117.480003</v>
      </c>
      <c r="C800" s="6">
        <v>128.470001</v>
      </c>
      <c r="D800" s="6">
        <v>83.620002999999997</v>
      </c>
      <c r="F800" s="13">
        <v>797</v>
      </c>
      <c r="G800" s="5">
        <v>44622</v>
      </c>
      <c r="H800" s="15">
        <f t="shared" si="159"/>
        <v>3.3848744963125552E-2</v>
      </c>
      <c r="I800" s="15">
        <f t="shared" si="159"/>
        <v>2.9784593199184816E-2</v>
      </c>
      <c r="J800" s="15">
        <f t="shared" si="159"/>
        <v>3.6412010315067758E-2</v>
      </c>
      <c r="K800" s="22"/>
      <c r="L800" s="13">
        <v>797</v>
      </c>
      <c r="M800" s="5">
        <v>44622</v>
      </c>
      <c r="N800" s="26">
        <f t="shared" si="156"/>
        <v>2.0778210279833567</v>
      </c>
      <c r="O800" s="26">
        <f t="shared" si="157"/>
        <v>1.2184180440360763</v>
      </c>
      <c r="P800" s="26">
        <f t="shared" si="158"/>
        <v>1.1066702648668678</v>
      </c>
      <c r="Q800" s="22"/>
      <c r="AD800" s="59">
        <v>796</v>
      </c>
      <c r="AE800" s="61">
        <f t="shared" ca="1" si="160"/>
        <v>1.7675032691669448</v>
      </c>
      <c r="AF800" s="61">
        <f t="shared" ca="1" si="160"/>
        <v>-0.12692670044319962</v>
      </c>
      <c r="AG800" s="61">
        <f t="shared" ca="1" si="160"/>
        <v>1.369984706674598</v>
      </c>
      <c r="AH800" s="19"/>
      <c r="AI800" s="61">
        <f ca="1"/>
        <v>3.8327044310224302E-2</v>
      </c>
      <c r="AJ800" s="61">
        <f ca="1"/>
        <v>2.4906677443747163E-2</v>
      </c>
      <c r="AK800" s="61">
        <f ca="1"/>
        <v>6.0320896349621997E-2</v>
      </c>
      <c r="AL800" s="19"/>
      <c r="AM800" s="61">
        <f t="shared" ca="1" si="164"/>
        <v>3.8678260632734544E-2</v>
      </c>
      <c r="AN800" s="61">
        <f t="shared" ca="1" si="165"/>
        <v>2.5155730040663692E-2</v>
      </c>
      <c r="AO800" s="61">
        <f t="shared" ca="1" si="166"/>
        <v>6.0752564952876814E-2</v>
      </c>
      <c r="AP800" s="19"/>
      <c r="AQ800" s="62">
        <f t="shared" ca="1" si="161"/>
        <v>1.1022737955749171</v>
      </c>
      <c r="AR800" s="62">
        <f t="shared" ca="1" si="162"/>
        <v>1.2107742973763114</v>
      </c>
      <c r="AS800" s="62">
        <f t="shared" ca="1" si="163"/>
        <v>1.0873662921660561</v>
      </c>
      <c r="AT800" s="49"/>
    </row>
    <row r="801" spans="1:46" x14ac:dyDescent="0.3">
      <c r="A801" s="5">
        <v>44623</v>
      </c>
      <c r="B801" s="6">
        <v>118.089996</v>
      </c>
      <c r="C801" s="6">
        <v>124.57</v>
      </c>
      <c r="D801" s="6">
        <v>84.190002000000007</v>
      </c>
      <c r="F801" s="13">
        <v>798</v>
      </c>
      <c r="G801" s="5">
        <v>44623</v>
      </c>
      <c r="H801" s="15">
        <f t="shared" si="159"/>
        <v>5.1788798740389566E-3</v>
      </c>
      <c r="I801" s="15">
        <f t="shared" si="159"/>
        <v>-3.0827614929435421E-2</v>
      </c>
      <c r="J801" s="15">
        <f t="shared" si="159"/>
        <v>6.7934113003600746E-3</v>
      </c>
      <c r="K801" s="22"/>
      <c r="L801" s="13">
        <v>798</v>
      </c>
      <c r="M801" s="5">
        <v>44623</v>
      </c>
      <c r="N801" s="26">
        <f t="shared" si="156"/>
        <v>2.0886097260592549</v>
      </c>
      <c r="O801" s="26">
        <f t="shared" si="157"/>
        <v>1.1814301748590632</v>
      </c>
      <c r="P801" s="26">
        <f t="shared" si="158"/>
        <v>1.114213925733561</v>
      </c>
      <c r="Q801" s="22"/>
      <c r="AD801" s="59">
        <v>797</v>
      </c>
      <c r="AE801" s="61">
        <f t="shared" ca="1" si="160"/>
        <v>-6.3725534872240433E-2</v>
      </c>
      <c r="AF801" s="61">
        <f t="shared" ca="1" si="160"/>
        <v>-0.21103786787474804</v>
      </c>
      <c r="AG801" s="61">
        <f t="shared" ca="1" si="160"/>
        <v>-1.9789769824281691</v>
      </c>
      <c r="AH801" s="19"/>
      <c r="AI801" s="61">
        <f ca="1"/>
        <v>-1.3818426485243528E-3</v>
      </c>
      <c r="AJ801" s="61">
        <f ca="1"/>
        <v>-5.5845764187954991E-3</v>
      </c>
      <c r="AK801" s="61">
        <f ca="1"/>
        <v>-5.3129106920181968E-2</v>
      </c>
      <c r="AL801" s="19"/>
      <c r="AM801" s="61">
        <f t="shared" ca="1" si="164"/>
        <v>-1.0306263260141087E-3</v>
      </c>
      <c r="AN801" s="61">
        <f t="shared" ca="1" si="165"/>
        <v>-5.3355238218789685E-3</v>
      </c>
      <c r="AO801" s="61">
        <f t="shared" ca="1" si="166"/>
        <v>-5.269743831692715E-2</v>
      </c>
      <c r="AP801" s="19"/>
      <c r="AQ801" s="62">
        <f t="shared" ca="1" si="161"/>
        <v>1.1011383483941055</v>
      </c>
      <c r="AR801" s="62">
        <f t="shared" ca="1" si="162"/>
        <v>1.2043313857087108</v>
      </c>
      <c r="AS801" s="62">
        <f t="shared" ca="1" si="163"/>
        <v>1.0315485175818688</v>
      </c>
      <c r="AT801" s="49"/>
    </row>
    <row r="802" spans="1:46" x14ac:dyDescent="0.3">
      <c r="A802" s="5">
        <v>44624</v>
      </c>
      <c r="B802" s="6">
        <v>117.019997</v>
      </c>
      <c r="C802" s="6">
        <v>116.050003</v>
      </c>
      <c r="D802" s="6">
        <v>85.980002999999996</v>
      </c>
      <c r="F802" s="13">
        <v>799</v>
      </c>
      <c r="G802" s="5">
        <v>44624</v>
      </c>
      <c r="H802" s="15">
        <f t="shared" si="159"/>
        <v>-9.1021770172731008E-3</v>
      </c>
      <c r="I802" s="15">
        <f t="shared" si="159"/>
        <v>-7.0846648326629194E-2</v>
      </c>
      <c r="J802" s="15">
        <f t="shared" si="159"/>
        <v>2.1038572854607224E-2</v>
      </c>
      <c r="K802" s="22"/>
      <c r="L802" s="13">
        <v>799</v>
      </c>
      <c r="M802" s="5">
        <v>44624</v>
      </c>
      <c r="N802" s="26">
        <f t="shared" si="156"/>
        <v>2.0696850889691354</v>
      </c>
      <c r="O802" s="26">
        <f t="shared" si="157"/>
        <v>1.100625955982057</v>
      </c>
      <c r="P802" s="26">
        <f t="shared" si="158"/>
        <v>1.1379037225490662</v>
      </c>
      <c r="Q802" s="22"/>
      <c r="AD802" s="59">
        <v>798</v>
      </c>
      <c r="AE802" s="61">
        <f t="shared" ca="1" si="160"/>
        <v>-0.66898283126145908</v>
      </c>
      <c r="AF802" s="61">
        <f t="shared" ca="1" si="160"/>
        <v>1.8369970308836536</v>
      </c>
      <c r="AG802" s="61">
        <f t="shared" ca="1" si="160"/>
        <v>-3.5315314303947361E-2</v>
      </c>
      <c r="AH802" s="19"/>
      <c r="AI802" s="61">
        <f ca="1"/>
        <v>-1.4506414253265792E-2</v>
      </c>
      <c r="AJ802" s="61">
        <f ca="1"/>
        <v>2.9457854480717617E-2</v>
      </c>
      <c r="AK802" s="61">
        <f ca="1"/>
        <v>2.1476159602654555E-3</v>
      </c>
      <c r="AL802" s="19"/>
      <c r="AM802" s="61">
        <f t="shared" ca="1" si="164"/>
        <v>-1.4155197930755549E-2</v>
      </c>
      <c r="AN802" s="61">
        <f t="shared" ca="1" si="165"/>
        <v>2.9706907077634147E-2</v>
      </c>
      <c r="AO802" s="61">
        <f t="shared" ca="1" si="166"/>
        <v>2.5792845635202737E-3</v>
      </c>
      <c r="AP802" s="19"/>
      <c r="AQ802" s="62">
        <f t="shared" ca="1" si="161"/>
        <v>1.0856613157798691</v>
      </c>
      <c r="AR802" s="62">
        <f t="shared" ca="1" si="162"/>
        <v>1.2406450592069822</v>
      </c>
      <c r="AS802" s="62">
        <f t="shared" ca="1" si="163"/>
        <v>1.0342126089977706</v>
      </c>
      <c r="AT802" s="49"/>
    </row>
    <row r="803" spans="1:46" x14ac:dyDescent="0.3">
      <c r="A803" s="5">
        <v>44627</v>
      </c>
      <c r="B803" s="6">
        <v>110.550003</v>
      </c>
      <c r="C803" s="6">
        <v>101.860001</v>
      </c>
      <c r="D803" s="6">
        <v>84.010002</v>
      </c>
      <c r="F803" s="13">
        <v>800</v>
      </c>
      <c r="G803" s="5">
        <v>44627</v>
      </c>
      <c r="H803" s="15">
        <f t="shared" si="159"/>
        <v>-5.6876900282949387E-2</v>
      </c>
      <c r="I803" s="15">
        <f t="shared" si="159"/>
        <v>-0.13042182729751722</v>
      </c>
      <c r="J803" s="15">
        <f t="shared" si="159"/>
        <v>-2.3178882776524964E-2</v>
      </c>
      <c r="K803" s="22"/>
      <c r="L803" s="13">
        <v>800</v>
      </c>
      <c r="M803" s="5">
        <v>44627</v>
      </c>
      <c r="N803" s="26">
        <f t="shared" si="156"/>
        <v>1.9552529367659546</v>
      </c>
      <c r="O803" s="26">
        <f t="shared" si="157"/>
        <v>0.96604703213112597</v>
      </c>
      <c r="P803" s="26">
        <f t="shared" si="158"/>
        <v>1.1118317128594948</v>
      </c>
      <c r="Q803" s="22"/>
      <c r="AD803" s="59">
        <v>799</v>
      </c>
      <c r="AE803" s="61">
        <f t="shared" ca="1" si="160"/>
        <v>0.27754244234093978</v>
      </c>
      <c r="AF803" s="61">
        <f t="shared" ca="1" si="160"/>
        <v>-0.16160382643406621</v>
      </c>
      <c r="AG803" s="61">
        <f t="shared" ca="1" si="160"/>
        <v>2.9358068706181588</v>
      </c>
      <c r="AH803" s="19"/>
      <c r="AI803" s="61">
        <f ca="1"/>
        <v>6.0183093695677613E-3</v>
      </c>
      <c r="AJ803" s="61">
        <f ca="1"/>
        <v>8.3156447651170804E-4</v>
      </c>
      <c r="AK803" s="61">
        <f ca="1"/>
        <v>7.8177992789173242E-2</v>
      </c>
      <c r="AL803" s="19"/>
      <c r="AM803" s="61">
        <f t="shared" ca="1" si="164"/>
        <v>6.3695256920780052E-3</v>
      </c>
      <c r="AN803" s="61">
        <f t="shared" ca="1" si="165"/>
        <v>1.0806170734282386E-3</v>
      </c>
      <c r="AO803" s="61">
        <f t="shared" ca="1" si="166"/>
        <v>7.860966139242806E-2</v>
      </c>
      <c r="AP803" s="19"/>
      <c r="AQ803" s="62">
        <f t="shared" ca="1" si="161"/>
        <v>1.0925985333623796</v>
      </c>
      <c r="AR803" s="62">
        <f t="shared" ca="1" si="162"/>
        <v>1.2419864460722683</v>
      </c>
      <c r="AS803" s="62">
        <f t="shared" ca="1" si="163"/>
        <v>1.1187925622230301</v>
      </c>
      <c r="AT803" s="49"/>
    </row>
    <row r="804" spans="1:46" x14ac:dyDescent="0.3">
      <c r="A804" s="5">
        <v>44628</v>
      </c>
      <c r="B804" s="6">
        <v>107.349998</v>
      </c>
      <c r="C804" s="6">
        <v>101.010002</v>
      </c>
      <c r="D804" s="6">
        <v>90.540001000000004</v>
      </c>
      <c r="F804" s="13">
        <v>801</v>
      </c>
      <c r="G804" s="5">
        <v>44628</v>
      </c>
      <c r="H804" s="15">
        <f t="shared" si="159"/>
        <v>-2.9373428746354544E-2</v>
      </c>
      <c r="I804" s="15">
        <f t="shared" si="159"/>
        <v>-8.3797896327425462E-3</v>
      </c>
      <c r="J804" s="15">
        <f t="shared" si="159"/>
        <v>7.4855889869209422E-2</v>
      </c>
      <c r="K804" s="22"/>
      <c r="L804" s="13">
        <v>801</v>
      </c>
      <c r="M804" s="5">
        <v>44628</v>
      </c>
      <c r="N804" s="26">
        <f t="shared" si="156"/>
        <v>1.8986557499353423</v>
      </c>
      <c r="O804" s="26">
        <f t="shared" si="157"/>
        <v>0.95798558501544784</v>
      </c>
      <c r="P804" s="26">
        <f t="shared" si="158"/>
        <v>1.1982530888897061</v>
      </c>
      <c r="Q804" s="22"/>
      <c r="AD804" s="59">
        <v>800</v>
      </c>
      <c r="AE804" s="61">
        <f t="shared" ca="1" si="160"/>
        <v>-1.9720427563815781</v>
      </c>
      <c r="AF804" s="61">
        <f t="shared" ca="1" si="160"/>
        <v>-0.1609532624409459</v>
      </c>
      <c r="AG804" s="61">
        <f t="shared" ca="1" si="160"/>
        <v>-1.2765164849838133</v>
      </c>
      <c r="AH804" s="19"/>
      <c r="AI804" s="61">
        <f ca="1"/>
        <v>-4.2762336808076742E-2</v>
      </c>
      <c r="AJ804" s="61">
        <f ca="1"/>
        <v>-3.4365562558650274E-2</v>
      </c>
      <c r="AK804" s="61">
        <f ca="1"/>
        <v>-6.2975810638554716E-2</v>
      </c>
      <c r="AL804" s="19"/>
      <c r="AM804" s="61">
        <f t="shared" ca="1" si="164"/>
        <v>-4.24111204855665E-2</v>
      </c>
      <c r="AN804" s="61">
        <f t="shared" ca="1" si="165"/>
        <v>-3.4116509961733744E-2</v>
      </c>
      <c r="AO804" s="61">
        <f t="shared" ca="1" si="166"/>
        <v>-6.2544142035299899E-2</v>
      </c>
      <c r="AP804" s="19"/>
      <c r="AQ804" s="62">
        <f t="shared" ca="1" si="161"/>
        <v>1.0472290900934966</v>
      </c>
      <c r="AR804" s="62">
        <f t="shared" ca="1" si="162"/>
        <v>1.2003288495038471</v>
      </c>
      <c r="AS804" s="62">
        <f t="shared" ca="1" si="163"/>
        <v>1.0509619549072358</v>
      </c>
      <c r="AT804" s="49"/>
    </row>
    <row r="805" spans="1:46" x14ac:dyDescent="0.3">
      <c r="A805" s="5">
        <v>44629</v>
      </c>
      <c r="B805" s="6">
        <v>112.16999800000001</v>
      </c>
      <c r="C805" s="6">
        <v>108.639999</v>
      </c>
      <c r="D805" s="6">
        <v>87.139999000000003</v>
      </c>
      <c r="F805" s="13">
        <v>802</v>
      </c>
      <c r="G805" s="5">
        <v>44629</v>
      </c>
      <c r="H805" s="15">
        <f t="shared" si="159"/>
        <v>4.3921054132910219E-2</v>
      </c>
      <c r="I805" s="15">
        <f t="shared" si="159"/>
        <v>7.2820112964560813E-2</v>
      </c>
      <c r="J805" s="15">
        <f t="shared" si="159"/>
        <v>-3.827574383914463E-2</v>
      </c>
      <c r="K805" s="22"/>
      <c r="L805" s="13">
        <v>802</v>
      </c>
      <c r="M805" s="5">
        <v>44629</v>
      </c>
      <c r="N805" s="26">
        <f t="shared" si="156"/>
        <v>1.9839051293967966</v>
      </c>
      <c r="O805" s="26">
        <f t="shared" si="157"/>
        <v>1.0303489846291922</v>
      </c>
      <c r="P805" s="26">
        <f t="shared" si="158"/>
        <v>1.153255708132761</v>
      </c>
      <c r="Q805" s="22"/>
      <c r="AD805" s="59">
        <v>801</v>
      </c>
      <c r="AE805" s="61">
        <f t="shared" ca="1" si="160"/>
        <v>-0.54849030651275898</v>
      </c>
      <c r="AF805" s="61">
        <f t="shared" ca="1" si="160"/>
        <v>1.2413539354427259</v>
      </c>
      <c r="AG805" s="61">
        <f t="shared" ca="1" si="160"/>
        <v>-1.6650307971865383E-2</v>
      </c>
      <c r="AH805" s="19"/>
      <c r="AI805" s="61">
        <f ca="1"/>
        <v>-1.1893620027843606E-2</v>
      </c>
      <c r="AJ805" s="61">
        <f ca="1"/>
        <v>1.8396935381557192E-2</v>
      </c>
      <c r="AK805" s="61">
        <f ca="1"/>
        <v>2.1136235383584955E-4</v>
      </c>
      <c r="AL805" s="19"/>
      <c r="AM805" s="61">
        <f t="shared" ca="1" si="164"/>
        <v>-1.1542403705333363E-2</v>
      </c>
      <c r="AN805" s="61">
        <f t="shared" ca="1" si="165"/>
        <v>1.8645987978473721E-2</v>
      </c>
      <c r="AO805" s="61">
        <f t="shared" ca="1" si="166"/>
        <v>6.4303095709066773E-4</v>
      </c>
      <c r="AP805" s="19"/>
      <c r="AQ805" s="62">
        <f t="shared" ca="1" si="161"/>
        <v>1.0352110411770117</v>
      </c>
      <c r="AR805" s="62">
        <f t="shared" ca="1" si="162"/>
        <v>1.2229201306527726</v>
      </c>
      <c r="AS805" s="62">
        <f t="shared" ca="1" si="163"/>
        <v>1.0516379733060508</v>
      </c>
      <c r="AT805" s="49"/>
    </row>
    <row r="806" spans="1:46" x14ac:dyDescent="0.3">
      <c r="A806" s="5">
        <v>44630</v>
      </c>
      <c r="B806" s="6">
        <v>112.339996</v>
      </c>
      <c r="C806" s="6">
        <v>109.120003</v>
      </c>
      <c r="D806" s="6">
        <v>89.580001999999993</v>
      </c>
      <c r="F806" s="13">
        <v>803</v>
      </c>
      <c r="G806" s="5">
        <v>44630</v>
      </c>
      <c r="H806" s="15">
        <f t="shared" si="159"/>
        <v>1.5143916710379534E-3</v>
      </c>
      <c r="I806" s="15">
        <f t="shared" si="159"/>
        <v>4.4085669821469558E-3</v>
      </c>
      <c r="J806" s="15">
        <f t="shared" si="159"/>
        <v>2.7616093892055823E-2</v>
      </c>
      <c r="K806" s="22"/>
      <c r="L806" s="13">
        <v>803</v>
      </c>
      <c r="M806" s="5">
        <v>44630</v>
      </c>
      <c r="N806" s="26">
        <f t="shared" si="156"/>
        <v>1.986911814875985</v>
      </c>
      <c r="O806" s="26">
        <f t="shared" si="157"/>
        <v>1.0349013745276674</v>
      </c>
      <c r="P806" s="26">
        <f t="shared" si="158"/>
        <v>1.1855479667958699</v>
      </c>
      <c r="Q806" s="22"/>
      <c r="AD806" s="59">
        <v>802</v>
      </c>
      <c r="AE806" s="61">
        <f t="shared" ca="1" si="160"/>
        <v>0.87085286092984737</v>
      </c>
      <c r="AF806" s="61">
        <f t="shared" ca="1" si="160"/>
        <v>1.1857446052662954</v>
      </c>
      <c r="AG806" s="61">
        <f t="shared" ca="1" si="160"/>
        <v>0.30199458337037771</v>
      </c>
      <c r="AH806" s="19"/>
      <c r="AI806" s="61">
        <f ca="1"/>
        <v>1.8883821473368551E-2</v>
      </c>
      <c r="AJ806" s="61">
        <f ca="1"/>
        <v>3.9404248879751705E-2</v>
      </c>
      <c r="AK806" s="61">
        <f ca="1"/>
        <v>2.8954973985068889E-2</v>
      </c>
      <c r="AL806" s="19"/>
      <c r="AM806" s="61">
        <f t="shared" ca="1" si="164"/>
        <v>1.9235037795878797E-2</v>
      </c>
      <c r="AN806" s="61">
        <f t="shared" ca="1" si="165"/>
        <v>3.9653301476668235E-2</v>
      </c>
      <c r="AO806" s="61">
        <f t="shared" ca="1" si="166"/>
        <v>2.9386642588323707E-2</v>
      </c>
      <c r="AP806" s="19"/>
      <c r="AQ806" s="62">
        <f t="shared" ca="1" si="161"/>
        <v>1.0553161056381484</v>
      </c>
      <c r="AR806" s="62">
        <f t="shared" ca="1" si="162"/>
        <v>1.2723872367048712</v>
      </c>
      <c r="AS806" s="62">
        <f t="shared" ca="1" si="163"/>
        <v>1.0830006474389113</v>
      </c>
      <c r="AT806" s="49"/>
    </row>
    <row r="807" spans="1:46" x14ac:dyDescent="0.3">
      <c r="A807" s="5">
        <v>44631</v>
      </c>
      <c r="B807" s="6">
        <v>108.80999799999999</v>
      </c>
      <c r="C807" s="6">
        <v>107.540001</v>
      </c>
      <c r="D807" s="6">
        <v>91.669998000000007</v>
      </c>
      <c r="F807" s="13">
        <v>804</v>
      </c>
      <c r="G807" s="5">
        <v>44631</v>
      </c>
      <c r="H807" s="15">
        <f t="shared" si="159"/>
        <v>-3.192672791583364E-2</v>
      </c>
      <c r="I807" s="15">
        <f t="shared" si="159"/>
        <v>-1.4585340907422667E-2</v>
      </c>
      <c r="J807" s="15">
        <f t="shared" si="159"/>
        <v>2.3063047050729774E-2</v>
      </c>
      <c r="K807" s="22"/>
      <c r="L807" s="13">
        <v>804</v>
      </c>
      <c r="M807" s="5">
        <v>44631</v>
      </c>
      <c r="N807" s="26">
        <f t="shared" si="156"/>
        <v>1.9244781760792682</v>
      </c>
      <c r="O807" s="26">
        <f t="shared" si="157"/>
        <v>1.0199165303505968</v>
      </c>
      <c r="P807" s="26">
        <f t="shared" si="158"/>
        <v>1.2132080522289057</v>
      </c>
      <c r="Q807" s="22"/>
      <c r="AD807" s="59">
        <v>803</v>
      </c>
      <c r="AE807" s="61">
        <f t="shared" ca="1" si="160"/>
        <v>-0.8938956915297489</v>
      </c>
      <c r="AF807" s="61">
        <f t="shared" ca="1" si="160"/>
        <v>-1.3459950539754722E-2</v>
      </c>
      <c r="AG807" s="61">
        <f t="shared" ca="1" si="160"/>
        <v>0.10759843031255151</v>
      </c>
      <c r="AH807" s="19"/>
      <c r="AI807" s="61">
        <f ca="1"/>
        <v>-1.9383488775173128E-2</v>
      </c>
      <c r="AJ807" s="61">
        <f ca="1"/>
        <v>-1.4284123149195617E-2</v>
      </c>
      <c r="AK807" s="61">
        <f ca="1"/>
        <v>-1.0545921176988453E-2</v>
      </c>
      <c r="AL807" s="19"/>
      <c r="AM807" s="61">
        <f t="shared" ca="1" si="164"/>
        <v>-1.9032272452662882E-2</v>
      </c>
      <c r="AN807" s="61">
        <f t="shared" ca="1" si="165"/>
        <v>-1.4035070552279085E-2</v>
      </c>
      <c r="AO807" s="61">
        <f t="shared" ca="1" si="166"/>
        <v>-1.0114252573733634E-2</v>
      </c>
      <c r="AP807" s="19"/>
      <c r="AQ807" s="62">
        <f t="shared" ca="1" si="161"/>
        <v>1.0354209673812371</v>
      </c>
      <c r="AR807" s="62">
        <f t="shared" ca="1" si="162"/>
        <v>1.2546539272883475</v>
      </c>
      <c r="AS807" s="62">
        <f t="shared" ca="1" si="163"/>
        <v>1.0721021135236706</v>
      </c>
      <c r="AT807" s="49"/>
    </row>
    <row r="808" spans="1:46" x14ac:dyDescent="0.3">
      <c r="A808" s="5">
        <v>44634</v>
      </c>
      <c r="B808" s="6">
        <v>110.660004</v>
      </c>
      <c r="C808" s="6">
        <v>107.589996</v>
      </c>
      <c r="D808" s="6">
        <v>90.550003000000004</v>
      </c>
      <c r="F808" s="13">
        <v>805</v>
      </c>
      <c r="G808" s="5">
        <v>44634</v>
      </c>
      <c r="H808" s="15">
        <f t="shared" si="159"/>
        <v>1.6859250034461894E-2</v>
      </c>
      <c r="I808" s="15">
        <f t="shared" si="159"/>
        <v>4.6478874724310588E-4</v>
      </c>
      <c r="J808" s="15">
        <f t="shared" si="159"/>
        <v>-1.2292932696006832E-2</v>
      </c>
      <c r="K808" s="22"/>
      <c r="L808" s="13">
        <v>805</v>
      </c>
      <c r="M808" s="5">
        <v>44634</v>
      </c>
      <c r="N808" s="26">
        <f t="shared" si="156"/>
        <v>1.9571984797099669</v>
      </c>
      <c r="O808" s="26">
        <f t="shared" si="157"/>
        <v>1.0203906862596606</v>
      </c>
      <c r="P808" s="26">
        <f t="shared" si="158"/>
        <v>1.1983854605184083</v>
      </c>
      <c r="Q808" s="22"/>
      <c r="AD808" s="59">
        <v>804</v>
      </c>
      <c r="AE808" s="61">
        <f t="shared" ca="1" si="160"/>
        <v>-0.21526497773533607</v>
      </c>
      <c r="AF808" s="61">
        <f t="shared" ca="1" si="160"/>
        <v>-0.26707424523128637</v>
      </c>
      <c r="AG808" s="61">
        <f t="shared" ca="1" si="160"/>
        <v>0.67980479449597331</v>
      </c>
      <c r="AH808" s="19"/>
      <c r="AI808" s="61">
        <f ca="1"/>
        <v>-4.6678670891456197E-3</v>
      </c>
      <c r="AJ808" s="61">
        <f ca="1"/>
        <v>-9.1745306715309109E-3</v>
      </c>
      <c r="AK808" s="61">
        <f ca="1"/>
        <v>1.2355050856365948E-2</v>
      </c>
      <c r="AL808" s="19"/>
      <c r="AM808" s="61">
        <f t="shared" ca="1" si="164"/>
        <v>-4.3166507666353758E-3</v>
      </c>
      <c r="AN808" s="61">
        <f t="shared" ca="1" si="165"/>
        <v>-8.9254780746143795E-3</v>
      </c>
      <c r="AO808" s="61">
        <f t="shared" ca="1" si="166"/>
        <v>1.2786719459620767E-2</v>
      </c>
      <c r="AP808" s="19"/>
      <c r="AQ808" s="62">
        <f t="shared" ca="1" si="161"/>
        <v>1.0309610495477795</v>
      </c>
      <c r="AR808" s="62">
        <f t="shared" ca="1" si="162"/>
        <v>1.2435053682901738</v>
      </c>
      <c r="AS808" s="62">
        <f t="shared" ca="1" si="163"/>
        <v>1.0858988016923188</v>
      </c>
      <c r="AT808" s="49"/>
    </row>
    <row r="809" spans="1:46" x14ac:dyDescent="0.3">
      <c r="A809" s="5">
        <v>44635</v>
      </c>
      <c r="B809" s="6">
        <v>112.93</v>
      </c>
      <c r="C809" s="6">
        <v>108.019997</v>
      </c>
      <c r="D809" s="6">
        <v>84.410004000000001</v>
      </c>
      <c r="F809" s="13">
        <v>806</v>
      </c>
      <c r="G809" s="5">
        <v>44635</v>
      </c>
      <c r="H809" s="15">
        <f t="shared" si="159"/>
        <v>2.030568411886011E-2</v>
      </c>
      <c r="I809" s="15">
        <f t="shared" si="159"/>
        <v>3.9886979644693718E-3</v>
      </c>
      <c r="J809" s="15">
        <f t="shared" si="159"/>
        <v>-7.0216292076911047E-2</v>
      </c>
      <c r="K809" s="22"/>
      <c r="L809" s="13">
        <v>806</v>
      </c>
      <c r="M809" s="5">
        <v>44635</v>
      </c>
      <c r="N809" s="26">
        <f t="shared" si="156"/>
        <v>1.997346975639424</v>
      </c>
      <c r="O809" s="26">
        <f t="shared" si="157"/>
        <v>1.0244688443765393</v>
      </c>
      <c r="P809" s="26">
        <f t="shared" si="158"/>
        <v>1.1171255457153402</v>
      </c>
      <c r="Q809" s="22"/>
      <c r="AD809" s="59">
        <v>805</v>
      </c>
      <c r="AE809" s="61">
        <f t="shared" ca="1" si="160"/>
        <v>-1.3116037829267493</v>
      </c>
      <c r="AF809" s="61">
        <f t="shared" ca="1" si="160"/>
        <v>-0.4103394078228178</v>
      </c>
      <c r="AG809" s="61">
        <f t="shared" ca="1" si="160"/>
        <v>0.13130518462437954</v>
      </c>
      <c r="AH809" s="19"/>
      <c r="AI809" s="61">
        <f ca="1"/>
        <v>-2.8441190000957916E-2</v>
      </c>
      <c r="AJ809" s="61">
        <f ca="1"/>
        <v>-2.9448810220234014E-2</v>
      </c>
      <c r="AK809" s="61">
        <f ca="1"/>
        <v>-1.8905428311055843E-2</v>
      </c>
      <c r="AL809" s="19"/>
      <c r="AM809" s="61">
        <f t="shared" ca="1" si="164"/>
        <v>-2.808997367844767E-2</v>
      </c>
      <c r="AN809" s="61">
        <f t="shared" ca="1" si="165"/>
        <v>-2.9199757623317484E-2</v>
      </c>
      <c r="AO809" s="61">
        <f t="shared" ca="1" si="166"/>
        <v>-1.8473759707801025E-2</v>
      </c>
      <c r="AP809" s="19"/>
      <c r="AQ809" s="62">
        <f t="shared" ca="1" si="161"/>
        <v>1.0024043371424751</v>
      </c>
      <c r="AR809" s="62">
        <f t="shared" ca="1" si="162"/>
        <v>1.2077203129728307</v>
      </c>
      <c r="AS809" s="62">
        <f t="shared" ca="1" si="163"/>
        <v>1.0660223300268628</v>
      </c>
      <c r="AT809" s="49"/>
    </row>
    <row r="810" spans="1:46" x14ac:dyDescent="0.3">
      <c r="A810" s="5">
        <v>44636</v>
      </c>
      <c r="B810" s="6">
        <v>116.040001</v>
      </c>
      <c r="C810" s="6">
        <v>114</v>
      </c>
      <c r="D810" s="6">
        <v>84.940002000000007</v>
      </c>
      <c r="F810" s="13">
        <v>807</v>
      </c>
      <c r="G810" s="5">
        <v>44636</v>
      </c>
      <c r="H810" s="15">
        <f t="shared" si="159"/>
        <v>2.7166810135342303E-2</v>
      </c>
      <c r="I810" s="15">
        <f t="shared" si="159"/>
        <v>5.3882081002385424E-2</v>
      </c>
      <c r="J810" s="15">
        <f t="shared" si="159"/>
        <v>6.2592230477795897E-3</v>
      </c>
      <c r="K810" s="22"/>
      <c r="L810" s="13">
        <v>807</v>
      </c>
      <c r="M810" s="5">
        <v>44636</v>
      </c>
      <c r="N810" s="26">
        <f t="shared" si="156"/>
        <v>2.0523522983312295</v>
      </c>
      <c r="O810" s="26">
        <f t="shared" si="157"/>
        <v>1.0811835910245904</v>
      </c>
      <c r="P810" s="26">
        <f t="shared" si="158"/>
        <v>1.1241398127088358</v>
      </c>
      <c r="Q810" s="22"/>
      <c r="AD810" s="59">
        <v>806</v>
      </c>
      <c r="AE810" s="61">
        <f t="shared" ca="1" si="160"/>
        <v>-2.5227742316713457</v>
      </c>
      <c r="AF810" s="61">
        <f t="shared" ca="1" si="160"/>
        <v>2.3608584080840468E-2</v>
      </c>
      <c r="AG810" s="61">
        <f t="shared" ca="1" si="160"/>
        <v>-1.2166676966350449</v>
      </c>
      <c r="AH810" s="19"/>
      <c r="AI810" s="61">
        <f ca="1"/>
        <v>-5.4704554978012382E-2</v>
      </c>
      <c r="AJ810" s="61">
        <f ca="1"/>
        <v>-3.897415816538026E-2</v>
      </c>
      <c r="AK810" s="61">
        <f ca="1"/>
        <v>-6.8280076097703313E-2</v>
      </c>
      <c r="AL810" s="19"/>
      <c r="AM810" s="61">
        <f t="shared" ca="1" si="164"/>
        <v>-5.435333865550214E-2</v>
      </c>
      <c r="AN810" s="61">
        <f t="shared" ca="1" si="165"/>
        <v>-3.872510556846373E-2</v>
      </c>
      <c r="AO810" s="61">
        <f t="shared" ca="1" si="166"/>
        <v>-6.7848407494448496E-2</v>
      </c>
      <c r="AP810" s="19"/>
      <c r="AQ810" s="62">
        <f t="shared" ca="1" si="161"/>
        <v>0.94937454271011024</v>
      </c>
      <c r="AR810" s="62">
        <f t="shared" ca="1" si="162"/>
        <v>1.1618452083356441</v>
      </c>
      <c r="AS810" s="62">
        <f t="shared" ca="1" si="163"/>
        <v>0.99609351576191985</v>
      </c>
      <c r="AT810" s="49"/>
    </row>
    <row r="811" spans="1:46" x14ac:dyDescent="0.3">
      <c r="A811" s="5">
        <v>44637</v>
      </c>
      <c r="B811" s="6">
        <v>118.199997</v>
      </c>
      <c r="C811" s="6">
        <v>119.220001</v>
      </c>
      <c r="D811" s="6">
        <v>89.089995999999999</v>
      </c>
      <c r="F811" s="13">
        <v>808</v>
      </c>
      <c r="G811" s="5">
        <v>44637</v>
      </c>
      <c r="H811" s="15">
        <f t="shared" si="159"/>
        <v>1.8443111720365456E-2</v>
      </c>
      <c r="I811" s="15">
        <f t="shared" si="159"/>
        <v>4.4772085785139255E-2</v>
      </c>
      <c r="J811" s="15">
        <f t="shared" si="159"/>
        <v>4.7701901402976754E-2</v>
      </c>
      <c r="K811" s="22"/>
      <c r="L811" s="13">
        <v>808</v>
      </c>
      <c r="M811" s="5">
        <v>44637</v>
      </c>
      <c r="N811" s="26">
        <f t="shared" si="156"/>
        <v>2.0905552690032674</v>
      </c>
      <c r="O811" s="26">
        <f t="shared" si="157"/>
        <v>1.1306904280976777</v>
      </c>
      <c r="P811" s="26">
        <f t="shared" si="158"/>
        <v>1.1790629745649279</v>
      </c>
      <c r="Q811" s="22"/>
      <c r="AD811" s="59">
        <v>807</v>
      </c>
      <c r="AE811" s="61">
        <f t="shared" ca="1" si="160"/>
        <v>-1.8549763587866352</v>
      </c>
      <c r="AF811" s="61">
        <f t="shared" ca="1" si="160"/>
        <v>4.3230120316091539E-3</v>
      </c>
      <c r="AG811" s="61">
        <f t="shared" ca="1" si="160"/>
        <v>0.66585862184213118</v>
      </c>
      <c r="AH811" s="19"/>
      <c r="AI811" s="61">
        <f ca="1"/>
        <v>-4.0223835699688737E-2</v>
      </c>
      <c r="AJ811" s="61">
        <f ca="1"/>
        <v>-2.8940751731839319E-2</v>
      </c>
      <c r="AK811" s="61">
        <f ca="1"/>
        <v>-1.0318575976750857E-2</v>
      </c>
      <c r="AL811" s="19"/>
      <c r="AM811" s="61">
        <f t="shared" ca="1" si="164"/>
        <v>-3.9872619377178495E-2</v>
      </c>
      <c r="AN811" s="61">
        <f t="shared" ca="1" si="165"/>
        <v>-2.8691699134922789E-2</v>
      </c>
      <c r="AO811" s="61">
        <f t="shared" ca="1" si="166"/>
        <v>-9.8869073734960383E-3</v>
      </c>
      <c r="AP811" s="19"/>
      <c r="AQ811" s="62">
        <f t="shared" ca="1" si="161"/>
        <v>0.91226523194855125</v>
      </c>
      <c r="AR811" s="62">
        <f t="shared" ca="1" si="162"/>
        <v>1.1289835775033741</v>
      </c>
      <c r="AS811" s="62">
        <f t="shared" ca="1" si="163"/>
        <v>0.98629375592299251</v>
      </c>
      <c r="AT811" s="49"/>
    </row>
    <row r="812" spans="1:46" x14ac:dyDescent="0.3">
      <c r="A812" s="5">
        <v>44638</v>
      </c>
      <c r="B812" s="6">
        <v>120.349998</v>
      </c>
      <c r="C812" s="6">
        <v>121.400002</v>
      </c>
      <c r="D812" s="6">
        <v>90.43</v>
      </c>
      <c r="F812" s="13">
        <v>809</v>
      </c>
      <c r="G812" s="5">
        <v>44638</v>
      </c>
      <c r="H812" s="15">
        <f t="shared" si="159"/>
        <v>1.8026068019597084E-2</v>
      </c>
      <c r="I812" s="15">
        <f t="shared" si="159"/>
        <v>1.8120360920227441E-2</v>
      </c>
      <c r="J812" s="15">
        <f t="shared" si="159"/>
        <v>1.4929020918254734E-2</v>
      </c>
      <c r="K812" s="22"/>
      <c r="L812" s="13">
        <v>809</v>
      </c>
      <c r="M812" s="5">
        <v>44638</v>
      </c>
      <c r="N812" s="26">
        <f t="shared" si="156"/>
        <v>2.128581462175779</v>
      </c>
      <c r="O812" s="26">
        <f t="shared" si="157"/>
        <v>1.1513657027434425</v>
      </c>
      <c r="P812" s="26">
        <f t="shared" si="158"/>
        <v>1.1967972788988164</v>
      </c>
      <c r="Q812" s="22"/>
      <c r="AD812" s="59">
        <v>808</v>
      </c>
      <c r="AE812" s="61">
        <f t="shared" ca="1" si="160"/>
        <v>0.23918205647749996</v>
      </c>
      <c r="AF812" s="61">
        <f t="shared" ca="1" si="160"/>
        <v>-0.49773811926263484</v>
      </c>
      <c r="AG812" s="61">
        <f t="shared" ca="1" si="160"/>
        <v>-1.0182911878133238</v>
      </c>
      <c r="AH812" s="19"/>
      <c r="AI812" s="61">
        <f ca="1"/>
        <v>5.1864918366710273E-3</v>
      </c>
      <c r="AJ812" s="61">
        <f ca="1"/>
        <v>-7.0750861546835797E-3</v>
      </c>
      <c r="AK812" s="61">
        <f ca="1"/>
        <v>-2.6059830166188808E-2</v>
      </c>
      <c r="AL812" s="19"/>
      <c r="AM812" s="61">
        <f t="shared" ca="1" si="164"/>
        <v>5.5377081591812712E-3</v>
      </c>
      <c r="AN812" s="61">
        <f t="shared" ca="1" si="165"/>
        <v>-6.8260335577670491E-3</v>
      </c>
      <c r="AO812" s="61">
        <f t="shared" ca="1" si="166"/>
        <v>-2.5628161562933991E-2</v>
      </c>
      <c r="AP812" s="19"/>
      <c r="AQ812" s="62">
        <f t="shared" ca="1" si="161"/>
        <v>0.91733110428220843</v>
      </c>
      <c r="AR812" s="62">
        <f t="shared" ca="1" si="162"/>
        <v>1.1213033403170785</v>
      </c>
      <c r="AS812" s="62">
        <f t="shared" ca="1" si="163"/>
        <v>0.96133801103039473</v>
      </c>
      <c r="AT812" s="49"/>
    </row>
    <row r="813" spans="1:46" x14ac:dyDescent="0.3">
      <c r="A813" s="5">
        <v>44641</v>
      </c>
      <c r="B813" s="6">
        <v>118.16999800000001</v>
      </c>
      <c r="C813" s="6">
        <v>118.5</v>
      </c>
      <c r="D813" s="6">
        <v>94.260002</v>
      </c>
      <c r="F813" s="13">
        <v>810</v>
      </c>
      <c r="G813" s="5">
        <v>44641</v>
      </c>
      <c r="H813" s="15">
        <f t="shared" si="159"/>
        <v>-1.827989888472914E-2</v>
      </c>
      <c r="I813" s="15">
        <f t="shared" si="159"/>
        <v>-2.4177934524676457E-2</v>
      </c>
      <c r="J813" s="15">
        <f t="shared" si="159"/>
        <v>4.1480871961103692E-2</v>
      </c>
      <c r="K813" s="22"/>
      <c r="L813" s="13">
        <v>810</v>
      </c>
      <c r="M813" s="5">
        <v>44641</v>
      </c>
      <c r="N813" s="26">
        <f t="shared" si="156"/>
        <v>2.0900246888923828</v>
      </c>
      <c r="O813" s="26">
        <f t="shared" si="157"/>
        <v>1.123861890670298</v>
      </c>
      <c r="P813" s="26">
        <f t="shared" si="158"/>
        <v>1.2474855015215855</v>
      </c>
      <c r="Q813" s="22"/>
      <c r="AD813" s="59">
        <v>809</v>
      </c>
      <c r="AE813" s="61">
        <f t="shared" ca="1" si="160"/>
        <v>0.11844878482791318</v>
      </c>
      <c r="AF813" s="61">
        <f t="shared" ca="1" si="160"/>
        <v>-1.8726586798344698</v>
      </c>
      <c r="AG813" s="61">
        <f t="shared" ca="1" si="160"/>
        <v>0.62194248440116262</v>
      </c>
      <c r="AH813" s="19"/>
      <c r="AI813" s="61">
        <f ca="1"/>
        <v>2.5684771868803029E-3</v>
      </c>
      <c r="AJ813" s="61">
        <f ca="1"/>
        <v>-3.8850141640496175E-2</v>
      </c>
      <c r="AK813" s="61">
        <f ca="1"/>
        <v>4.4961588863194363E-3</v>
      </c>
      <c r="AL813" s="19"/>
      <c r="AM813" s="61">
        <f t="shared" ca="1" si="164"/>
        <v>2.9196935093905472E-3</v>
      </c>
      <c r="AN813" s="61">
        <f t="shared" ca="1" si="165"/>
        <v>-3.8601089043579645E-2</v>
      </c>
      <c r="AO813" s="61">
        <f t="shared" ca="1" si="166"/>
        <v>4.9278274895742545E-3</v>
      </c>
      <c r="AP813" s="19"/>
      <c r="AQ813" s="62">
        <f t="shared" ca="1" si="161"/>
        <v>0.92001334370644183</v>
      </c>
      <c r="AR813" s="62">
        <f t="shared" ca="1" si="162"/>
        <v>1.0788445598064931</v>
      </c>
      <c r="AS813" s="62">
        <f t="shared" ca="1" si="163"/>
        <v>0.9660870104226158</v>
      </c>
      <c r="AT813" s="49"/>
    </row>
    <row r="814" spans="1:46" x14ac:dyDescent="0.3">
      <c r="A814" s="5">
        <v>44642</v>
      </c>
      <c r="B814" s="6">
        <v>118.199997</v>
      </c>
      <c r="C814" s="6">
        <v>117.279999</v>
      </c>
      <c r="D814" s="6">
        <v>93.589995999999999</v>
      </c>
      <c r="F814" s="13">
        <v>811</v>
      </c>
      <c r="G814" s="5">
        <v>44642</v>
      </c>
      <c r="H814" s="15">
        <f t="shared" si="159"/>
        <v>2.5383086513214206E-4</v>
      </c>
      <c r="I814" s="15">
        <f t="shared" si="159"/>
        <v>-1.0348730963447522E-2</v>
      </c>
      <c r="J814" s="15">
        <f t="shared" si="159"/>
        <v>-7.1334452839371754E-3</v>
      </c>
      <c r="K814" s="22"/>
      <c r="L814" s="13">
        <v>811</v>
      </c>
      <c r="M814" s="5">
        <v>44642</v>
      </c>
      <c r="N814" s="26">
        <f t="shared" si="156"/>
        <v>2.0905552690032674</v>
      </c>
      <c r="O814" s="26">
        <f t="shared" si="157"/>
        <v>1.1122913199489506</v>
      </c>
      <c r="P814" s="26">
        <f t="shared" si="158"/>
        <v>1.2386182964165775</v>
      </c>
      <c r="Q814" s="22"/>
      <c r="AD814" s="59">
        <v>810</v>
      </c>
      <c r="AE814" s="61">
        <f t="shared" ca="1" si="160"/>
        <v>-0.74796032294630099</v>
      </c>
      <c r="AF814" s="61">
        <f t="shared" ca="1" si="160"/>
        <v>-0.22472195657175448</v>
      </c>
      <c r="AG814" s="61">
        <f t="shared" ca="1" si="160"/>
        <v>1.5482202684845736</v>
      </c>
      <c r="AH814" s="19"/>
      <c r="AI814" s="61">
        <f ca="1"/>
        <v>-1.6218984677388387E-2</v>
      </c>
      <c r="AJ814" s="61">
        <f ca="1"/>
        <v>-1.6591888129858175E-2</v>
      </c>
      <c r="AK814" s="61">
        <f ca="1"/>
        <v>2.7031216039500063E-2</v>
      </c>
      <c r="AL814" s="19"/>
      <c r="AM814" s="61">
        <f t="shared" ca="1" si="164"/>
        <v>-1.5867768354878142E-2</v>
      </c>
      <c r="AN814" s="61">
        <f t="shared" ca="1" si="165"/>
        <v>-1.6342835532941646E-2</v>
      </c>
      <c r="AO814" s="61">
        <f t="shared" ca="1" si="166"/>
        <v>2.746288464275488E-2</v>
      </c>
      <c r="AP814" s="19"/>
      <c r="AQ814" s="62">
        <f t="shared" ca="1" si="161"/>
        <v>0.90552999816194535</v>
      </c>
      <c r="AR814" s="62">
        <f t="shared" ca="1" si="162"/>
        <v>1.0613564723057305</v>
      </c>
      <c r="AS814" s="62">
        <f t="shared" ca="1" si="163"/>
        <v>0.99298622088505539</v>
      </c>
      <c r="AT814" s="49"/>
    </row>
    <row r="815" spans="1:46" x14ac:dyDescent="0.3">
      <c r="A815" s="5">
        <v>44643</v>
      </c>
      <c r="B815" s="6">
        <v>116.459999</v>
      </c>
      <c r="C815" s="6">
        <v>116.370003</v>
      </c>
      <c r="D815" s="6">
        <v>95.519997000000004</v>
      </c>
      <c r="F815" s="13">
        <v>812</v>
      </c>
      <c r="G815" s="5">
        <v>44643</v>
      </c>
      <c r="H815" s="15">
        <f t="shared" si="159"/>
        <v>-1.4830221768952151E-2</v>
      </c>
      <c r="I815" s="15">
        <f t="shared" si="159"/>
        <v>-7.7894337119130963E-3</v>
      </c>
      <c r="J815" s="15">
        <f t="shared" si="159"/>
        <v>2.0412120807701162E-2</v>
      </c>
      <c r="K815" s="22"/>
      <c r="L815" s="13">
        <v>812</v>
      </c>
      <c r="M815" s="5">
        <v>44643</v>
      </c>
      <c r="N815" s="26">
        <f t="shared" si="156"/>
        <v>2.0597806321227337</v>
      </c>
      <c r="O815" s="26">
        <f t="shared" si="157"/>
        <v>1.103660857290196</v>
      </c>
      <c r="P815" s="26">
        <f t="shared" si="158"/>
        <v>1.2641609254674677</v>
      </c>
      <c r="Q815" s="22"/>
      <c r="AD815" s="59">
        <v>811</v>
      </c>
      <c r="AE815" s="61">
        <f t="shared" ca="1" si="160"/>
        <v>0.2747048895661191</v>
      </c>
      <c r="AF815" s="61">
        <f t="shared" ca="1" si="160"/>
        <v>0.10302914798536204</v>
      </c>
      <c r="AG815" s="61">
        <f t="shared" ca="1" si="160"/>
        <v>-1.1179636824901689</v>
      </c>
      <c r="AH815" s="19"/>
      <c r="AI815" s="61">
        <f ca="1"/>
        <v>5.9567790670046385E-3</v>
      </c>
      <c r="AJ815" s="61">
        <f ca="1"/>
        <v>6.5392171343796306E-3</v>
      </c>
      <c r="AK815" s="61">
        <f ca="1"/>
        <v>-2.385768589129331E-2</v>
      </c>
      <c r="AL815" s="19"/>
      <c r="AM815" s="61">
        <f t="shared" ca="1" si="164"/>
        <v>6.3079953895148824E-3</v>
      </c>
      <c r="AN815" s="61">
        <f t="shared" ca="1" si="165"/>
        <v>6.7882697312961612E-3</v>
      </c>
      <c r="AO815" s="61">
        <f t="shared" ca="1" si="166"/>
        <v>-2.3426017288038493E-2</v>
      </c>
      <c r="AP815" s="19"/>
      <c r="AQ815" s="62">
        <f t="shared" ca="1" si="161"/>
        <v>0.91126013104077097</v>
      </c>
      <c r="AR815" s="62">
        <f t="shared" ca="1" si="162"/>
        <v>1.0685857557229066</v>
      </c>
      <c r="AS815" s="62">
        <f t="shared" ca="1" si="163"/>
        <v>0.96999485796093099</v>
      </c>
      <c r="AT815" s="49"/>
    </row>
    <row r="816" spans="1:46" x14ac:dyDescent="0.3">
      <c r="A816" s="5">
        <v>44644</v>
      </c>
      <c r="B816" s="6">
        <v>117.120003</v>
      </c>
      <c r="C816" s="6">
        <v>117.58000199999999</v>
      </c>
      <c r="D816" s="6">
        <v>96.440002000000007</v>
      </c>
      <c r="F816" s="13">
        <v>813</v>
      </c>
      <c r="G816" s="5">
        <v>44644</v>
      </c>
      <c r="H816" s="15">
        <f t="shared" si="159"/>
        <v>5.6512180054205455E-3</v>
      </c>
      <c r="I816" s="15">
        <f t="shared" si="159"/>
        <v>1.0344174083978834E-2</v>
      </c>
      <c r="J816" s="15">
        <f t="shared" si="159"/>
        <v>9.5854558139967742E-3</v>
      </c>
      <c r="K816" s="22"/>
      <c r="L816" s="13">
        <v>813</v>
      </c>
      <c r="M816" s="5">
        <v>44644</v>
      </c>
      <c r="N816" s="26">
        <f t="shared" si="156"/>
        <v>2.0714538544136212</v>
      </c>
      <c r="O816" s="26">
        <f t="shared" si="157"/>
        <v>1.1151365683775307</v>
      </c>
      <c r="P816" s="26">
        <f t="shared" si="158"/>
        <v>1.2763367463297182</v>
      </c>
      <c r="Q816" s="22"/>
      <c r="AD816" s="59">
        <v>812</v>
      </c>
      <c r="AE816" s="61">
        <f t="shared" ca="1" si="160"/>
        <v>-0.92562275517636405</v>
      </c>
      <c r="AF816" s="61">
        <f t="shared" ca="1" si="160"/>
        <v>-1.1455558478576484</v>
      </c>
      <c r="AG816" s="61">
        <f t="shared" ca="1" si="160"/>
        <v>-1.1986139996260865</v>
      </c>
      <c r="AH816" s="19"/>
      <c r="AI816" s="61">
        <f ca="1"/>
        <v>-2.0071467459812423E-2</v>
      </c>
      <c r="AJ816" s="61">
        <f ca="1"/>
        <v>-3.9387982233379096E-2</v>
      </c>
      <c r="AK816" s="61">
        <f ca="1"/>
        <v>-5.2452550533358913E-2</v>
      </c>
      <c r="AL816" s="19"/>
      <c r="AM816" s="61">
        <f t="shared" ca="1" si="164"/>
        <v>-1.9720251137302178E-2</v>
      </c>
      <c r="AN816" s="61">
        <f t="shared" ca="1" si="165"/>
        <v>-3.9138929636462566E-2</v>
      </c>
      <c r="AO816" s="61">
        <f t="shared" ca="1" si="166"/>
        <v>-5.2020881930104096E-2</v>
      </c>
      <c r="AP816" s="19"/>
      <c r="AQ816" s="62">
        <f t="shared" ca="1" si="161"/>
        <v>0.89346588259021387</v>
      </c>
      <c r="AR816" s="62">
        <f t="shared" ca="1" si="162"/>
        <v>1.0275703384593948</v>
      </c>
      <c r="AS816" s="62">
        <f t="shared" ca="1" si="163"/>
        <v>0.92082489054971117</v>
      </c>
      <c r="AT816" s="49"/>
    </row>
    <row r="817" spans="1:46" x14ac:dyDescent="0.3">
      <c r="A817" s="5">
        <v>44645</v>
      </c>
      <c r="B817" s="6">
        <v>117.019997</v>
      </c>
      <c r="C817" s="6">
        <v>117.44000200000001</v>
      </c>
      <c r="D817" s="6">
        <v>97.25</v>
      </c>
      <c r="F817" s="13">
        <v>814</v>
      </c>
      <c r="G817" s="5">
        <v>44645</v>
      </c>
      <c r="H817" s="15">
        <f t="shared" si="159"/>
        <v>-8.5424110430878963E-4</v>
      </c>
      <c r="I817" s="15">
        <f t="shared" si="159"/>
        <v>-1.1913880876260564E-3</v>
      </c>
      <c r="J817" s="15">
        <f t="shared" si="159"/>
        <v>8.3639084473025819E-3</v>
      </c>
      <c r="K817" s="22"/>
      <c r="L817" s="13">
        <v>814</v>
      </c>
      <c r="M817" s="5">
        <v>44645</v>
      </c>
      <c r="N817" s="26">
        <f t="shared" si="156"/>
        <v>2.0696850889691354</v>
      </c>
      <c r="O817" s="26">
        <f t="shared" si="157"/>
        <v>1.1138087990552201</v>
      </c>
      <c r="P817" s="26">
        <f t="shared" si="158"/>
        <v>1.2870566777939831</v>
      </c>
      <c r="Q817" s="22"/>
      <c r="AD817" s="59">
        <v>813</v>
      </c>
      <c r="AE817" s="61">
        <f t="shared" ca="1" si="160"/>
        <v>0.2703451588609273</v>
      </c>
      <c r="AF817" s="61">
        <f t="shared" ca="1" si="160"/>
        <v>-1.1895266112608434</v>
      </c>
      <c r="AG817" s="61">
        <f t="shared" ca="1" si="160"/>
        <v>-0.44497496928193769</v>
      </c>
      <c r="AH817" s="19"/>
      <c r="AI817" s="61">
        <f ca="1"/>
        <v>5.8622414246514865E-3</v>
      </c>
      <c r="AJ817" s="61">
        <f ca="1"/>
        <v>-2.1624037591623155E-2</v>
      </c>
      <c r="AK817" s="61">
        <f ca="1"/>
        <v>-1.5782935782336745E-2</v>
      </c>
      <c r="AL817" s="19"/>
      <c r="AM817" s="61">
        <f t="shared" ca="1" si="164"/>
        <v>6.2134577471617304E-3</v>
      </c>
      <c r="AN817" s="61">
        <f t="shared" ca="1" si="165"/>
        <v>-2.1374984994706626E-2</v>
      </c>
      <c r="AO817" s="61">
        <f t="shared" ca="1" si="166"/>
        <v>-1.5351267179081926E-2</v>
      </c>
      <c r="AP817" s="19"/>
      <c r="AQ817" s="62">
        <f t="shared" ca="1" si="161"/>
        <v>0.89903467792124281</v>
      </c>
      <c r="AR817" s="62">
        <f t="shared" ca="1" si="162"/>
        <v>1.0058391175460857</v>
      </c>
      <c r="AS817" s="62">
        <f t="shared" ca="1" si="163"/>
        <v>0.90679700998573431</v>
      </c>
      <c r="AT817" s="49"/>
    </row>
    <row r="818" spans="1:46" x14ac:dyDescent="0.3">
      <c r="A818" s="5">
        <v>44648</v>
      </c>
      <c r="B818" s="6">
        <v>117.139999</v>
      </c>
      <c r="C818" s="6">
        <v>119.110001</v>
      </c>
      <c r="D818" s="6">
        <v>96.370002999999997</v>
      </c>
      <c r="F818" s="13">
        <v>815</v>
      </c>
      <c r="G818" s="5">
        <v>44648</v>
      </c>
      <c r="H818" s="15">
        <f t="shared" si="159"/>
        <v>1.0249574013961858E-3</v>
      </c>
      <c r="I818" s="15">
        <f t="shared" si="159"/>
        <v>1.4119862392232122E-2</v>
      </c>
      <c r="J818" s="15">
        <f t="shared" si="159"/>
        <v>-9.0900015053404053E-3</v>
      </c>
      <c r="K818" s="22"/>
      <c r="L818" s="13">
        <v>815</v>
      </c>
      <c r="M818" s="5">
        <v>44648</v>
      </c>
      <c r="N818" s="26">
        <f t="shared" si="156"/>
        <v>2.0718075155322335</v>
      </c>
      <c r="O818" s="26">
        <f t="shared" si="157"/>
        <v>1.1296471807730049</v>
      </c>
      <c r="P818" s="26">
        <f t="shared" si="158"/>
        <v>1.2754103434465418</v>
      </c>
      <c r="Q818" s="22"/>
      <c r="AD818" s="59">
        <v>814</v>
      </c>
      <c r="AE818" s="61">
        <f t="shared" ca="1" si="160"/>
        <v>0.93211860153949888</v>
      </c>
      <c r="AF818" s="61">
        <f t="shared" ca="1" si="160"/>
        <v>-0.13088395855724605</v>
      </c>
      <c r="AG818" s="61">
        <f t="shared" ca="1" si="160"/>
        <v>0.88078438874665976</v>
      </c>
      <c r="AH818" s="19"/>
      <c r="AI818" s="61">
        <f ca="1"/>
        <v>2.0212325242502476E-2</v>
      </c>
      <c r="AJ818" s="61">
        <f ca="1"/>
        <v>1.1744939302523228E-2</v>
      </c>
      <c r="AK818" s="61">
        <f ca="1"/>
        <v>3.5416472697873902E-2</v>
      </c>
      <c r="AL818" s="19"/>
      <c r="AM818" s="61">
        <f t="shared" ca="1" si="164"/>
        <v>2.0563541565012722E-2</v>
      </c>
      <c r="AN818" s="61">
        <f t="shared" ca="1" si="165"/>
        <v>1.199399189943976E-2</v>
      </c>
      <c r="AO818" s="61">
        <f t="shared" ca="1" si="166"/>
        <v>3.5848141301128719E-2</v>
      </c>
      <c r="AP818" s="19"/>
      <c r="AQ818" s="62">
        <f t="shared" ca="1" si="161"/>
        <v>0.91771340709951776</v>
      </c>
      <c r="AR818" s="62">
        <f t="shared" ca="1" si="162"/>
        <v>1.0179757818066646</v>
      </c>
      <c r="AS818" s="62">
        <f t="shared" ca="1" si="163"/>
        <v>0.9398936801128378</v>
      </c>
      <c r="AT818" s="49"/>
    </row>
    <row r="819" spans="1:46" x14ac:dyDescent="0.3">
      <c r="A819" s="5">
        <v>44649</v>
      </c>
      <c r="B819" s="6">
        <v>121.790001</v>
      </c>
      <c r="C819" s="6">
        <v>122.629997</v>
      </c>
      <c r="D819" s="6">
        <v>96.68</v>
      </c>
      <c r="F819" s="13">
        <v>816</v>
      </c>
      <c r="G819" s="5">
        <v>44649</v>
      </c>
      <c r="H819" s="15">
        <f t="shared" si="159"/>
        <v>3.8928466185031346E-2</v>
      </c>
      <c r="I819" s="15">
        <f t="shared" si="159"/>
        <v>2.9124223021689918E-2</v>
      </c>
      <c r="J819" s="15">
        <f t="shared" si="159"/>
        <v>3.2115748420670858E-3</v>
      </c>
      <c r="K819" s="22"/>
      <c r="L819" s="13">
        <v>816</v>
      </c>
      <c r="M819" s="5">
        <v>44649</v>
      </c>
      <c r="N819" s="26">
        <f t="shared" si="156"/>
        <v>2.1540502095144993</v>
      </c>
      <c r="O819" s="26">
        <f t="shared" si="157"/>
        <v>1.1630310572262696</v>
      </c>
      <c r="P819" s="26">
        <f t="shared" si="158"/>
        <v>1.2795130036927742</v>
      </c>
      <c r="Q819" s="22"/>
      <c r="AD819" s="59">
        <v>815</v>
      </c>
      <c r="AE819" s="61">
        <f t="shared" ca="1" si="160"/>
        <v>-0.99418106698109632</v>
      </c>
      <c r="AF819" s="61">
        <f t="shared" ca="1" si="160"/>
        <v>2.531178466385676</v>
      </c>
      <c r="AG819" s="61">
        <f t="shared" ca="1" si="160"/>
        <v>0.2879054128618872</v>
      </c>
      <c r="AH819" s="19"/>
      <c r="AI819" s="61">
        <f ca="1"/>
        <v>-2.1558105419816082E-2</v>
      </c>
      <c r="AJ819" s="61">
        <f ca="1"/>
        <v>3.9456481713079777E-2</v>
      </c>
      <c r="AK819" s="61">
        <f ca="1"/>
        <v>1.0512280437557748E-2</v>
      </c>
      <c r="AL819" s="19"/>
      <c r="AM819" s="61">
        <f t="shared" ca="1" si="164"/>
        <v>-2.1206889097305837E-2</v>
      </c>
      <c r="AN819" s="61">
        <f t="shared" ca="1" si="165"/>
        <v>3.9705534309996307E-2</v>
      </c>
      <c r="AO819" s="61">
        <f t="shared" ca="1" si="166"/>
        <v>1.0943949040812567E-2</v>
      </c>
      <c r="AP819" s="19"/>
      <c r="AQ819" s="62">
        <f t="shared" ca="1" si="161"/>
        <v>0.89845647219331348</v>
      </c>
      <c r="AR819" s="62">
        <f t="shared" ca="1" si="162"/>
        <v>1.0592082151668569</v>
      </c>
      <c r="AS819" s="62">
        <f t="shared" ca="1" si="163"/>
        <v>0.95023632008620484</v>
      </c>
      <c r="AT819" s="49"/>
    </row>
    <row r="820" spans="1:46" x14ac:dyDescent="0.3">
      <c r="A820" s="5">
        <v>44650</v>
      </c>
      <c r="B820" s="6">
        <v>118.44000200000001</v>
      </c>
      <c r="C820" s="6">
        <v>119.720001</v>
      </c>
      <c r="D820" s="6">
        <v>100.5</v>
      </c>
      <c r="F820" s="13">
        <v>817</v>
      </c>
      <c r="G820" s="5">
        <v>44650</v>
      </c>
      <c r="H820" s="15">
        <f t="shared" si="159"/>
        <v>-2.7891738190296299E-2</v>
      </c>
      <c r="I820" s="15">
        <f t="shared" si="159"/>
        <v>-2.4015975972778776E-2</v>
      </c>
      <c r="J820" s="15">
        <f t="shared" si="159"/>
        <v>3.8751171663848075E-2</v>
      </c>
      <c r="K820" s="22"/>
      <c r="L820" s="13">
        <v>817</v>
      </c>
      <c r="M820" s="5">
        <v>44650</v>
      </c>
      <c r="N820" s="26">
        <f t="shared" si="156"/>
        <v>2.0948001398160572</v>
      </c>
      <c r="O820" s="26">
        <f t="shared" si="157"/>
        <v>1.1354324613916451</v>
      </c>
      <c r="P820" s="26">
        <f t="shared" si="158"/>
        <v>1.3300688546868411</v>
      </c>
      <c r="Q820" s="22"/>
      <c r="AD820" s="59">
        <v>816</v>
      </c>
      <c r="AE820" s="61">
        <f t="shared" ca="1" si="160"/>
        <v>-1.3535295601281445</v>
      </c>
      <c r="AF820" s="61">
        <f t="shared" ca="1" si="160"/>
        <v>-0.21832943108332262</v>
      </c>
      <c r="AG820" s="61">
        <f t="shared" ca="1" si="160"/>
        <v>0.76017478862021959</v>
      </c>
      <c r="AH820" s="19"/>
      <c r="AI820" s="61">
        <f ca="1"/>
        <v>-2.9350320495124316E-2</v>
      </c>
      <c r="AJ820" s="61">
        <f ca="1"/>
        <v>-2.5931514416327125E-2</v>
      </c>
      <c r="AK820" s="61">
        <f ca="1"/>
        <v>-2.0610708256086734E-3</v>
      </c>
      <c r="AL820" s="19"/>
      <c r="AM820" s="61">
        <f t="shared" ca="1" si="164"/>
        <v>-2.899910417261407E-2</v>
      </c>
      <c r="AN820" s="61">
        <f t="shared" ca="1" si="165"/>
        <v>-2.5682461819410595E-2</v>
      </c>
      <c r="AO820" s="61">
        <f t="shared" ca="1" si="166"/>
        <v>-1.6294022223538552E-3</v>
      </c>
      <c r="AP820" s="19"/>
      <c r="AQ820" s="62">
        <f t="shared" ca="1" si="161"/>
        <v>0.872776191551631</v>
      </c>
      <c r="AR820" s="62">
        <f t="shared" ca="1" si="162"/>
        <v>1.0323514902121056</v>
      </c>
      <c r="AS820" s="62">
        <f t="shared" ca="1" si="163"/>
        <v>0.94868926364537642</v>
      </c>
      <c r="AT820" s="49"/>
    </row>
    <row r="821" spans="1:46" x14ac:dyDescent="0.3">
      <c r="A821" s="5">
        <v>44651</v>
      </c>
      <c r="B821" s="6">
        <v>114.18</v>
      </c>
      <c r="C821" s="6">
        <v>113.44000200000001</v>
      </c>
      <c r="D821" s="6">
        <v>101.540001</v>
      </c>
      <c r="F821" s="13">
        <v>818</v>
      </c>
      <c r="G821" s="5">
        <v>44651</v>
      </c>
      <c r="H821" s="15">
        <f t="shared" si="159"/>
        <v>-3.6630369583464328E-2</v>
      </c>
      <c r="I821" s="15">
        <f t="shared" si="159"/>
        <v>-5.3881610923038628E-2</v>
      </c>
      <c r="J821" s="15">
        <f t="shared" si="159"/>
        <v>1.0295091868453447E-2</v>
      </c>
      <c r="K821" s="22"/>
      <c r="L821" s="13">
        <v>818</v>
      </c>
      <c r="M821" s="5">
        <v>44651</v>
      </c>
      <c r="N821" s="26">
        <f t="shared" si="156"/>
        <v>2.0194552172010045</v>
      </c>
      <c r="O821" s="26">
        <f t="shared" si="157"/>
        <v>1.0758725327034799</v>
      </c>
      <c r="P821" s="26">
        <f t="shared" si="158"/>
        <v>1.3438327645270718</v>
      </c>
      <c r="Q821" s="22"/>
      <c r="AD821" s="59">
        <v>817</v>
      </c>
      <c r="AE821" s="61">
        <f t="shared" ca="1" si="160"/>
        <v>0.38489784677439604</v>
      </c>
      <c r="AF821" s="61">
        <f t="shared" ca="1" si="160"/>
        <v>-0.26069569030100948</v>
      </c>
      <c r="AG821" s="61">
        <f t="shared" ca="1" si="160"/>
        <v>-1.0258225590250776</v>
      </c>
      <c r="AH821" s="19"/>
      <c r="AI821" s="61">
        <f ca="1"/>
        <v>8.346234536349726E-3</v>
      </c>
      <c r="AJ821" s="61">
        <f ca="1"/>
        <v>3.5806504577872832E-4</v>
      </c>
      <c r="AK821" s="61">
        <f ca="1"/>
        <v>-2.2430391202251477E-2</v>
      </c>
      <c r="AL821" s="19"/>
      <c r="AM821" s="61">
        <f t="shared" ca="1" si="164"/>
        <v>8.6974508588599699E-3</v>
      </c>
      <c r="AN821" s="61">
        <f t="shared" ca="1" si="165"/>
        <v>6.07117642695259E-4</v>
      </c>
      <c r="AO821" s="61">
        <f t="shared" ca="1" si="166"/>
        <v>-2.199872259899666E-2</v>
      </c>
      <c r="AP821" s="19"/>
      <c r="AQ821" s="62">
        <f t="shared" ca="1" si="161"/>
        <v>0.88040022636212678</v>
      </c>
      <c r="AR821" s="62">
        <f t="shared" ca="1" si="162"/>
        <v>1.0329784393119485</v>
      </c>
      <c r="AS821" s="62">
        <f t="shared" ca="1" si="163"/>
        <v>0.92804719374667166</v>
      </c>
      <c r="AT821" s="49"/>
    </row>
    <row r="822" spans="1:46" x14ac:dyDescent="0.3">
      <c r="A822" s="5">
        <v>44652</v>
      </c>
      <c r="B822" s="6">
        <v>113.629997</v>
      </c>
      <c r="C822" s="6">
        <v>112</v>
      </c>
      <c r="D822" s="6">
        <v>101.269997</v>
      </c>
      <c r="F822" s="13">
        <v>819</v>
      </c>
      <c r="G822" s="5">
        <v>44652</v>
      </c>
      <c r="H822" s="15">
        <f t="shared" si="159"/>
        <v>-4.8286210076742787E-3</v>
      </c>
      <c r="I822" s="15">
        <f t="shared" si="159"/>
        <v>-1.2775209119188164E-2</v>
      </c>
      <c r="J822" s="15">
        <f t="shared" si="159"/>
        <v>-2.6626316471686259E-3</v>
      </c>
      <c r="K822" s="22"/>
      <c r="L822" s="13">
        <v>819</v>
      </c>
      <c r="M822" s="5">
        <v>44652</v>
      </c>
      <c r="N822" s="26">
        <f t="shared" si="156"/>
        <v>2.0097275378541295</v>
      </c>
      <c r="O822" s="26">
        <f t="shared" si="157"/>
        <v>1.0622154578487204</v>
      </c>
      <c r="P822" s="26">
        <f t="shared" si="158"/>
        <v>1.3402593922779089</v>
      </c>
      <c r="Q822" s="22"/>
      <c r="AD822" s="59">
        <v>818</v>
      </c>
      <c r="AE822" s="61">
        <f t="shared" ca="1" si="160"/>
        <v>-1.6160833806173909</v>
      </c>
      <c r="AF822" s="61">
        <f t="shared" ca="1" si="160"/>
        <v>-0.58046976555175556</v>
      </c>
      <c r="AG822" s="61">
        <f t="shared" ca="1" si="160"/>
        <v>0.2717776038070569</v>
      </c>
      <c r="AH822" s="19"/>
      <c r="AI822" s="61">
        <f ca="1"/>
        <v>-3.5043612319389426E-2</v>
      </c>
      <c r="AJ822" s="61">
        <f ca="1"/>
        <v>-3.7912584224375129E-2</v>
      </c>
      <c r="AK822" s="61">
        <f ca="1"/>
        <v>-2.1003519910795597E-2</v>
      </c>
      <c r="AL822" s="19"/>
      <c r="AM822" s="61">
        <f t="shared" ca="1" si="164"/>
        <v>-3.4692395996879184E-2</v>
      </c>
      <c r="AN822" s="61">
        <f t="shared" ca="1" si="165"/>
        <v>-3.7663531627458599E-2</v>
      </c>
      <c r="AO822" s="61">
        <f t="shared" ca="1" si="166"/>
        <v>-2.057185130754078E-2</v>
      </c>
      <c r="AP822" s="19"/>
      <c r="AQ822" s="62">
        <f t="shared" ca="1" si="161"/>
        <v>0.85038076735038715</v>
      </c>
      <c r="AR822" s="62">
        <f t="shared" ca="1" si="162"/>
        <v>0.99479637239902474</v>
      </c>
      <c r="AS822" s="62">
        <f t="shared" ca="1" si="163"/>
        <v>0.90915058044757802</v>
      </c>
      <c r="AT822" s="49"/>
    </row>
    <row r="823" spans="1:46" x14ac:dyDescent="0.3">
      <c r="A823" s="5">
        <v>44655</v>
      </c>
      <c r="B823" s="6">
        <v>116.110001</v>
      </c>
      <c r="C823" s="6">
        <v>115.07</v>
      </c>
      <c r="D823" s="6">
        <v>100.739998</v>
      </c>
      <c r="F823" s="13">
        <v>820</v>
      </c>
      <c r="G823" s="5">
        <v>44655</v>
      </c>
      <c r="H823" s="15">
        <f t="shared" si="159"/>
        <v>2.1590496722998342E-2</v>
      </c>
      <c r="I823" s="15">
        <f t="shared" si="159"/>
        <v>2.7041767540272672E-2</v>
      </c>
      <c r="J823" s="15">
        <f t="shared" si="159"/>
        <v>-5.2472672559981445E-3</v>
      </c>
      <c r="K823" s="22"/>
      <c r="L823" s="13">
        <v>820</v>
      </c>
      <c r="M823" s="5">
        <v>44655</v>
      </c>
      <c r="N823" s="26">
        <f t="shared" si="156"/>
        <v>2.0535903598586778</v>
      </c>
      <c r="O823" s="26">
        <f t="shared" si="157"/>
        <v>1.0913315422736807</v>
      </c>
      <c r="P823" s="26">
        <f t="shared" si="158"/>
        <v>1.3332451120498972</v>
      </c>
      <c r="Q823" s="22"/>
      <c r="AD823" s="59">
        <v>819</v>
      </c>
      <c r="AE823" s="61">
        <f t="shared" ca="1" si="160"/>
        <v>1.7822611303223623</v>
      </c>
      <c r="AF823" s="61">
        <f t="shared" ca="1" si="160"/>
        <v>1.5649380099382841</v>
      </c>
      <c r="AG823" s="61">
        <f t="shared" ca="1" si="160"/>
        <v>-1.3498331791588696</v>
      </c>
      <c r="AH823" s="19"/>
      <c r="AI823" s="61">
        <f ca="1"/>
        <v>3.8647057974863473E-2</v>
      </c>
      <c r="AJ823" s="61">
        <f ca="1"/>
        <v>6.1912073615871893E-2</v>
      </c>
      <c r="AK823" s="61">
        <f ca="1"/>
        <v>2.7722303589006389E-3</v>
      </c>
      <c r="AL823" s="19"/>
      <c r="AM823" s="61">
        <f t="shared" ca="1" si="164"/>
        <v>3.8998274297373715E-2</v>
      </c>
      <c r="AN823" s="61">
        <f t="shared" ca="1" si="165"/>
        <v>6.2161126212788423E-2</v>
      </c>
      <c r="AO823" s="61">
        <f t="shared" ca="1" si="166"/>
        <v>3.203898962155457E-3</v>
      </c>
      <c r="AP823" s="19"/>
      <c r="AQ823" s="62">
        <f t="shared" ca="1" si="161"/>
        <v>0.88419929588834068</v>
      </c>
      <c r="AR823" s="62">
        <f t="shared" ca="1" si="162"/>
        <v>1.0585964347982986</v>
      </c>
      <c r="AS823" s="62">
        <f t="shared" ca="1" si="163"/>
        <v>0.91206807823711888</v>
      </c>
      <c r="AT823" s="49"/>
    </row>
    <row r="824" spans="1:46" x14ac:dyDescent="0.3">
      <c r="A824" s="5">
        <v>44656</v>
      </c>
      <c r="B824" s="6">
        <v>112.57</v>
      </c>
      <c r="C824" s="6">
        <v>110.629997</v>
      </c>
      <c r="D824" s="6">
        <v>101.459999</v>
      </c>
      <c r="F824" s="13">
        <v>821</v>
      </c>
      <c r="G824" s="5">
        <v>44656</v>
      </c>
      <c r="H824" s="15">
        <f t="shared" si="159"/>
        <v>-3.0962775884724701E-2</v>
      </c>
      <c r="I824" s="15">
        <f t="shared" si="159"/>
        <v>-3.9349365905966459E-2</v>
      </c>
      <c r="J824" s="15">
        <f t="shared" si="159"/>
        <v>7.1217018180258027E-3</v>
      </c>
      <c r="K824" s="22"/>
      <c r="L824" s="13">
        <v>821</v>
      </c>
      <c r="M824" s="5">
        <v>44656</v>
      </c>
      <c r="N824" s="26">
        <f t="shared" si="156"/>
        <v>1.9909798020696887</v>
      </c>
      <c r="O824" s="26">
        <f t="shared" si="157"/>
        <v>1.0492222581710497</v>
      </c>
      <c r="P824" s="26">
        <f t="shared" si="158"/>
        <v>1.342773976780677</v>
      </c>
      <c r="Q824" s="22"/>
      <c r="AD824" s="59">
        <v>820</v>
      </c>
      <c r="AE824" s="61">
        <f t="shared" ca="1" si="160"/>
        <v>1.6265751543459153</v>
      </c>
      <c r="AF824" s="61">
        <f t="shared" ca="1" si="160"/>
        <v>2.6892442268766805</v>
      </c>
      <c r="AG824" s="61">
        <f t="shared" ca="1" si="160"/>
        <v>1.0423633807260917</v>
      </c>
      <c r="AH824" s="19"/>
      <c r="AI824" s="61">
        <f ca="1"/>
        <v>3.5271118929193622E-2</v>
      </c>
      <c r="AJ824" s="61">
        <f ca="1"/>
        <v>8.3913163843726699E-2</v>
      </c>
      <c r="AK824" s="61">
        <f ca="1"/>
        <v>6.967773586091941E-2</v>
      </c>
      <c r="AL824" s="19"/>
      <c r="AM824" s="61">
        <f t="shared" ca="1" si="164"/>
        <v>3.5622335251703864E-2</v>
      </c>
      <c r="AN824" s="61">
        <f t="shared" ca="1" si="165"/>
        <v>8.4162216440643228E-2</v>
      </c>
      <c r="AO824" s="61">
        <f t="shared" ca="1" si="166"/>
        <v>7.0109404464174227E-2</v>
      </c>
      <c r="AP824" s="19"/>
      <c r="AQ824" s="62">
        <f t="shared" ca="1" si="161"/>
        <v>0.91626426348144996</v>
      </c>
      <c r="AR824" s="62">
        <f t="shared" ca="1" si="162"/>
        <v>1.151546854051356</v>
      </c>
      <c r="AS824" s="62">
        <f t="shared" ca="1" si="163"/>
        <v>0.97830750112344622</v>
      </c>
      <c r="AT824" s="49"/>
    </row>
    <row r="825" spans="1:46" x14ac:dyDescent="0.3">
      <c r="A825" s="5">
        <v>44657</v>
      </c>
      <c r="B825" s="6">
        <v>111.18</v>
      </c>
      <c r="C825" s="6">
        <v>105.910004</v>
      </c>
      <c r="D825" s="6">
        <v>103.300003</v>
      </c>
      <c r="F825" s="13">
        <v>822</v>
      </c>
      <c r="G825" s="5">
        <v>44657</v>
      </c>
      <c r="H825" s="15">
        <f t="shared" si="159"/>
        <v>-1.2424740841389136E-2</v>
      </c>
      <c r="I825" s="15">
        <f t="shared" si="159"/>
        <v>-4.3601558305907409E-2</v>
      </c>
      <c r="J825" s="15">
        <f t="shared" si="159"/>
        <v>1.7972782884775804E-2</v>
      </c>
      <c r="K825" s="22"/>
      <c r="L825" s="13">
        <v>822</v>
      </c>
      <c r="M825" s="5">
        <v>44657</v>
      </c>
      <c r="N825" s="26">
        <f t="shared" si="156"/>
        <v>1.9663954374532115</v>
      </c>
      <c r="O825" s="26">
        <f t="shared" si="157"/>
        <v>1.0044575302644625</v>
      </c>
      <c r="P825" s="26">
        <f t="shared" si="158"/>
        <v>1.3671255390980821</v>
      </c>
      <c r="Q825" s="22"/>
      <c r="AD825" s="59">
        <v>821</v>
      </c>
      <c r="AE825" s="61">
        <f t="shared" ca="1" si="160"/>
        <v>0.93936742432991238</v>
      </c>
      <c r="AF825" s="61">
        <f t="shared" ca="1" si="160"/>
        <v>-0.55667819626047932</v>
      </c>
      <c r="AG825" s="61">
        <f t="shared" ca="1" si="160"/>
        <v>-1.9248614378204909</v>
      </c>
      <c r="AH825" s="19"/>
      <c r="AI825" s="61">
        <f ca="1"/>
        <v>2.0369510780504953E-2</v>
      </c>
      <c r="AJ825" s="61">
        <f ca="1"/>
        <v>2.6033292764394301E-3</v>
      </c>
      <c r="AK825" s="61">
        <f ca="1"/>
        <v>-3.9355581301967049E-2</v>
      </c>
      <c r="AL825" s="19"/>
      <c r="AM825" s="61">
        <f t="shared" ca="1" si="164"/>
        <v>2.0720727103015198E-2</v>
      </c>
      <c r="AN825" s="61">
        <f t="shared" ca="1" si="165"/>
        <v>2.8523818733559607E-3</v>
      </c>
      <c r="AO825" s="61">
        <f t="shared" ca="1" si="166"/>
        <v>-3.8923912698712232E-2</v>
      </c>
      <c r="AP825" s="19"/>
      <c r="AQ825" s="62">
        <f t="shared" ca="1" si="161"/>
        <v>0.93544798924198336</v>
      </c>
      <c r="AR825" s="62">
        <f t="shared" ca="1" si="162"/>
        <v>1.1548361944214005</v>
      </c>
      <c r="AS825" s="62">
        <f t="shared" ca="1" si="163"/>
        <v>0.94095952531591798</v>
      </c>
      <c r="AT825" s="49"/>
    </row>
    <row r="826" spans="1:46" x14ac:dyDescent="0.3">
      <c r="A826" s="5">
        <v>44658</v>
      </c>
      <c r="B826" s="6">
        <v>110.800003</v>
      </c>
      <c r="C826" s="6">
        <v>104.80999799999999</v>
      </c>
      <c r="D826" s="6">
        <v>103.33000199999999</v>
      </c>
      <c r="F826" s="13">
        <v>823</v>
      </c>
      <c r="G826" s="5">
        <v>44658</v>
      </c>
      <c r="H826" s="15">
        <f t="shared" si="159"/>
        <v>-3.4237081363280618E-3</v>
      </c>
      <c r="I826" s="15">
        <f t="shared" si="159"/>
        <v>-1.0440546523556266E-2</v>
      </c>
      <c r="J826" s="15">
        <f t="shared" si="159"/>
        <v>2.9036441450746664E-4</v>
      </c>
      <c r="K826" s="22"/>
      <c r="L826" s="13">
        <v>823</v>
      </c>
      <c r="M826" s="5">
        <v>44658</v>
      </c>
      <c r="N826" s="26">
        <f t="shared" si="156"/>
        <v>1.9596745850782706</v>
      </c>
      <c r="O826" s="26">
        <f t="shared" si="157"/>
        <v>0.9940250001133345</v>
      </c>
      <c r="P826" s="26">
        <f t="shared" si="158"/>
        <v>1.367522561342577</v>
      </c>
      <c r="Q826" s="22"/>
      <c r="AD826" s="59">
        <v>822</v>
      </c>
      <c r="AE826" s="61">
        <f t="shared" ca="1" si="160"/>
        <v>-0.87295769642058063</v>
      </c>
      <c r="AF826" s="61">
        <f t="shared" ca="1" si="160"/>
        <v>-0.56494386523453344</v>
      </c>
      <c r="AG826" s="61">
        <f t="shared" ca="1" si="160"/>
        <v>0.8043766519132004</v>
      </c>
      <c r="AH826" s="19"/>
      <c r="AI826" s="61">
        <f ca="1"/>
        <v>-1.8929463325650434E-2</v>
      </c>
      <c r="AJ826" s="61">
        <f ca="1"/>
        <v>-2.5943458657094135E-2</v>
      </c>
      <c r="AK826" s="61">
        <f ca="1"/>
        <v>3.7310721091544895E-3</v>
      </c>
      <c r="AL826" s="19"/>
      <c r="AM826" s="61">
        <f t="shared" ca="1" si="164"/>
        <v>-1.8578247003140189E-2</v>
      </c>
      <c r="AN826" s="61">
        <f t="shared" ca="1" si="165"/>
        <v>-2.5694406060177605E-2</v>
      </c>
      <c r="AO826" s="61">
        <f t="shared" ca="1" si="166"/>
        <v>4.1627407124093076E-3</v>
      </c>
      <c r="AP826" s="19"/>
      <c r="AQ826" s="62">
        <f t="shared" ca="1" si="161"/>
        <v>0.91822944586253918</v>
      </c>
      <c r="AR826" s="62">
        <f t="shared" ca="1" si="162"/>
        <v>1.1255413330349171</v>
      </c>
      <c r="AS826" s="62">
        <f t="shared" ca="1" si="163"/>
        <v>0.94488465983127756</v>
      </c>
      <c r="AT826" s="49"/>
    </row>
    <row r="827" spans="1:46" x14ac:dyDescent="0.3">
      <c r="A827" s="5">
        <v>44659</v>
      </c>
      <c r="B827" s="6">
        <v>110.400002</v>
      </c>
      <c r="C827" s="6">
        <v>105.610001</v>
      </c>
      <c r="D827" s="6">
        <v>103.220001</v>
      </c>
      <c r="F827" s="13">
        <v>824</v>
      </c>
      <c r="G827" s="5">
        <v>44659</v>
      </c>
      <c r="H827" s="15">
        <f t="shared" si="159"/>
        <v>-3.6166494300585226E-3</v>
      </c>
      <c r="I827" s="15">
        <f t="shared" si="159"/>
        <v>7.6039051272462251E-3</v>
      </c>
      <c r="J827" s="15">
        <f t="shared" si="159"/>
        <v>-1.0651271731004601E-3</v>
      </c>
      <c r="K827" s="22"/>
      <c r="L827" s="13">
        <v>824</v>
      </c>
      <c r="M827" s="5">
        <v>44659</v>
      </c>
      <c r="N827" s="26">
        <f t="shared" si="156"/>
        <v>1.9525999300919716</v>
      </c>
      <c r="O827" s="26">
        <f t="shared" si="157"/>
        <v>1.0016122818358824</v>
      </c>
      <c r="P827" s="26">
        <f t="shared" si="158"/>
        <v>1.3660667513516875</v>
      </c>
      <c r="Q827" s="22"/>
      <c r="AD827" s="59">
        <v>823</v>
      </c>
      <c r="AE827" s="61">
        <f t="shared" ca="1" si="160"/>
        <v>1.4365822945392175</v>
      </c>
      <c r="AF827" s="61">
        <f t="shared" ca="1" si="160"/>
        <v>-0.72334920768341648</v>
      </c>
      <c r="AG827" s="61">
        <f t="shared" ca="1" si="160"/>
        <v>0.81009205445680865</v>
      </c>
      <c r="AH827" s="19"/>
      <c r="AI827" s="61">
        <f ca="1"/>
        <v>3.1151259643236198E-2</v>
      </c>
      <c r="AJ827" s="61">
        <f ca="1"/>
        <v>6.7631404030359214E-3</v>
      </c>
      <c r="AK827" s="61">
        <f ca="1"/>
        <v>3.6886651574082815E-2</v>
      </c>
      <c r="AL827" s="19"/>
      <c r="AM827" s="61">
        <f t="shared" ca="1" si="164"/>
        <v>3.1502475965746443E-2</v>
      </c>
      <c r="AN827" s="61">
        <f t="shared" ca="1" si="165"/>
        <v>7.012192999952452E-3</v>
      </c>
      <c r="AO827" s="61">
        <f t="shared" ca="1" si="166"/>
        <v>3.7318320177337633E-2</v>
      </c>
      <c r="AP827" s="19"/>
      <c r="AQ827" s="62">
        <f t="shared" ca="1" si="161"/>
        <v>0.9476163975054045</v>
      </c>
      <c r="AR827" s="62">
        <f t="shared" ca="1" si="162"/>
        <v>1.1334615827977959</v>
      </c>
      <c r="AS827" s="62">
        <f t="shared" ca="1" si="163"/>
        <v>0.98081237968811374</v>
      </c>
      <c r="AT827" s="49"/>
    </row>
    <row r="828" spans="1:46" x14ac:dyDescent="0.3">
      <c r="A828" s="5">
        <v>44662</v>
      </c>
      <c r="B828" s="6">
        <v>111.30999799999999</v>
      </c>
      <c r="C828" s="6">
        <v>105.040001</v>
      </c>
      <c r="D828" s="6">
        <v>100.900002</v>
      </c>
      <c r="F828" s="13">
        <v>825</v>
      </c>
      <c r="G828" s="5">
        <v>44662</v>
      </c>
      <c r="H828" s="15">
        <f t="shared" si="159"/>
        <v>8.2089315783598175E-3</v>
      </c>
      <c r="I828" s="15">
        <f t="shared" si="159"/>
        <v>-5.4118337124597991E-3</v>
      </c>
      <c r="J828" s="15">
        <f t="shared" si="159"/>
        <v>-2.2732695227457283E-2</v>
      </c>
      <c r="K828" s="22"/>
      <c r="L828" s="13">
        <v>825</v>
      </c>
      <c r="M828" s="5">
        <v>44662</v>
      </c>
      <c r="N828" s="26">
        <f t="shared" si="156"/>
        <v>1.968694659202429</v>
      </c>
      <c r="O828" s="26">
        <f t="shared" si="157"/>
        <v>0.99620636388075934</v>
      </c>
      <c r="P828" s="26">
        <f t="shared" si="158"/>
        <v>1.3353626875426865</v>
      </c>
      <c r="Q828" s="22"/>
      <c r="AD828" s="59">
        <v>824</v>
      </c>
      <c r="AE828" s="61">
        <f t="shared" ca="1" si="160"/>
        <v>0.67885472127510116</v>
      </c>
      <c r="AF828" s="61">
        <f t="shared" ca="1" si="160"/>
        <v>-2.1485280325967325E-2</v>
      </c>
      <c r="AG828" s="61">
        <f t="shared" ca="1" si="160"/>
        <v>-1.5992824649484227</v>
      </c>
      <c r="AH828" s="19"/>
      <c r="AI828" s="61">
        <f ca="1"/>
        <v>1.4720479128040732E-2</v>
      </c>
      <c r="AJ828" s="61">
        <f ca="1"/>
        <v>1.0158659063009716E-2</v>
      </c>
      <c r="AK828" s="61">
        <f ca="1"/>
        <v>-3.1094405006309427E-2</v>
      </c>
      <c r="AL828" s="19"/>
      <c r="AM828" s="61">
        <f t="shared" ca="1" si="164"/>
        <v>1.5071695450550976E-2</v>
      </c>
      <c r="AN828" s="61">
        <f t="shared" ca="1" si="165"/>
        <v>1.0407711659926247E-2</v>
      </c>
      <c r="AO828" s="61">
        <f t="shared" ca="1" si="166"/>
        <v>-3.066273640305461E-2</v>
      </c>
      <c r="AP828" s="19"/>
      <c r="AQ828" s="62">
        <f t="shared" ca="1" si="161"/>
        <v>0.96200675438709482</v>
      </c>
      <c r="AR828" s="62">
        <f t="shared" ca="1" si="162"/>
        <v>1.1453199261970144</v>
      </c>
      <c r="AS828" s="62">
        <f t="shared" ca="1" si="163"/>
        <v>0.95119439302903552</v>
      </c>
      <c r="AT828" s="49"/>
    </row>
    <row r="829" spans="1:46" x14ac:dyDescent="0.3">
      <c r="A829" s="5">
        <v>44663</v>
      </c>
      <c r="B829" s="6">
        <v>111.010002</v>
      </c>
      <c r="C829" s="6">
        <v>105.82</v>
      </c>
      <c r="D829" s="6">
        <v>100.790001</v>
      </c>
      <c r="F829" s="13">
        <v>826</v>
      </c>
      <c r="G829" s="5">
        <v>44663</v>
      </c>
      <c r="H829" s="15">
        <f t="shared" si="159"/>
        <v>-2.6987781763461176E-3</v>
      </c>
      <c r="I829" s="15">
        <f t="shared" si="159"/>
        <v>7.3982979612621028E-3</v>
      </c>
      <c r="J829" s="15">
        <f t="shared" si="159"/>
        <v>-1.0907928927628996E-3</v>
      </c>
      <c r="K829" s="22"/>
      <c r="L829" s="13">
        <v>826</v>
      </c>
      <c r="M829" s="5">
        <v>44663</v>
      </c>
      <c r="N829" s="26">
        <f t="shared" si="156"/>
        <v>1.963388751974023</v>
      </c>
      <c r="O829" s="26">
        <f t="shared" si="157"/>
        <v>1.0036039263352821</v>
      </c>
      <c r="P829" s="26">
        <f t="shared" si="158"/>
        <v>1.3339068775517968</v>
      </c>
      <c r="Q829" s="22"/>
      <c r="AD829" s="59">
        <v>825</v>
      </c>
      <c r="AE829" s="61">
        <f t="shared" ca="1" si="160"/>
        <v>0.30804095443337537</v>
      </c>
      <c r="AF829" s="61">
        <f t="shared" ca="1" si="160"/>
        <v>1.6476414474874479</v>
      </c>
      <c r="AG829" s="61">
        <f t="shared" ca="1" si="160"/>
        <v>0.89589531986186233</v>
      </c>
      <c r="AH829" s="19"/>
      <c r="AI829" s="61">
        <f ca="1"/>
        <v>6.6796477923892492E-3</v>
      </c>
      <c r="AJ829" s="61">
        <f ca="1"/>
        <v>4.0634724632591206E-2</v>
      </c>
      <c r="AK829" s="61">
        <f ca="1"/>
        <v>3.9107721299999502E-2</v>
      </c>
      <c r="AL829" s="19"/>
      <c r="AM829" s="61">
        <f t="shared" ca="1" si="164"/>
        <v>7.0308641148994931E-3</v>
      </c>
      <c r="AN829" s="61">
        <f t="shared" ca="1" si="165"/>
        <v>4.0883777229507735E-2</v>
      </c>
      <c r="AO829" s="61">
        <f t="shared" ca="1" si="166"/>
        <v>3.953938990325432E-2</v>
      </c>
      <c r="AP829" s="19"/>
      <c r="AQ829" s="62">
        <f t="shared" ca="1" si="161"/>
        <v>0.96879432644235852</v>
      </c>
      <c r="AR829" s="62">
        <f t="shared" ca="1" si="162"/>
        <v>1.1931153014072531</v>
      </c>
      <c r="AS829" s="62">
        <f t="shared" ca="1" si="163"/>
        <v>0.98955746746598727</v>
      </c>
      <c r="AT829" s="49"/>
    </row>
    <row r="830" spans="1:46" x14ac:dyDescent="0.3">
      <c r="A830" s="5">
        <v>44664</v>
      </c>
      <c r="B830" s="6">
        <v>111.290001</v>
      </c>
      <c r="C830" s="6">
        <v>107.660004</v>
      </c>
      <c r="D830" s="6">
        <v>103.94000200000001</v>
      </c>
      <c r="F830" s="13">
        <v>827</v>
      </c>
      <c r="G830" s="5">
        <v>44664</v>
      </c>
      <c r="H830" s="15">
        <f t="shared" si="159"/>
        <v>2.5191106099165974E-3</v>
      </c>
      <c r="I830" s="15">
        <f t="shared" si="159"/>
        <v>1.7238612810828217E-2</v>
      </c>
      <c r="J830" s="15">
        <f t="shared" si="159"/>
        <v>3.0774674533760277E-2</v>
      </c>
      <c r="K830" s="22"/>
      <c r="L830" s="13">
        <v>827</v>
      </c>
      <c r="M830" s="5">
        <v>44664</v>
      </c>
      <c r="N830" s="26">
        <f t="shared" si="156"/>
        <v>1.9683409803972238</v>
      </c>
      <c r="O830" s="26">
        <f t="shared" si="157"/>
        <v>1.0210546467933488</v>
      </c>
      <c r="P830" s="26">
        <f t="shared" si="158"/>
        <v>1.3755956160824676</v>
      </c>
      <c r="Q830" s="22"/>
      <c r="AD830" s="59">
        <v>826</v>
      </c>
      <c r="AE830" s="61">
        <f t="shared" ca="1" si="160"/>
        <v>1.5882125194980452E-2</v>
      </c>
      <c r="AF830" s="61">
        <f t="shared" ca="1" si="160"/>
        <v>-1.3348100094265984</v>
      </c>
      <c r="AG830" s="61">
        <f t="shared" ca="1" si="160"/>
        <v>1.6870335928228162</v>
      </c>
      <c r="AH830" s="19"/>
      <c r="AI830" s="61">
        <f ca="1"/>
        <v>3.4439252628677946E-4</v>
      </c>
      <c r="AJ830" s="61">
        <f ca="1"/>
        <v>-2.8764861483480175E-2</v>
      </c>
      <c r="AK830" s="61">
        <f ca="1"/>
        <v>3.4056044985101536E-2</v>
      </c>
      <c r="AL830" s="19"/>
      <c r="AM830" s="61">
        <f t="shared" ca="1" si="164"/>
        <v>6.9560884879702367E-4</v>
      </c>
      <c r="AN830" s="61">
        <f t="shared" ca="1" si="165"/>
        <v>-2.8515808886563646E-2</v>
      </c>
      <c r="AO830" s="61">
        <f t="shared" ca="1" si="166"/>
        <v>3.4487713588356353E-2</v>
      </c>
      <c r="AP830" s="19"/>
      <c r="AQ830" s="62">
        <f t="shared" ca="1" si="161"/>
        <v>0.96946846278891707</v>
      </c>
      <c r="AR830" s="62">
        <f t="shared" ca="1" si="162"/>
        <v>1.1595731669130089</v>
      </c>
      <c r="AS830" s="62">
        <f t="shared" ca="1" si="163"/>
        <v>1.024280356961359</v>
      </c>
      <c r="AT830" s="49"/>
    </row>
    <row r="831" spans="1:46" x14ac:dyDescent="0.3">
      <c r="A831" s="5">
        <v>44665</v>
      </c>
      <c r="B831" s="6">
        <v>108.55999799999999</v>
      </c>
      <c r="C831" s="6">
        <v>108.519997</v>
      </c>
      <c r="D831" s="6">
        <v>104.860001</v>
      </c>
      <c r="F831" s="13">
        <v>828</v>
      </c>
      <c r="G831" s="5">
        <v>44665</v>
      </c>
      <c r="H831" s="15">
        <f t="shared" si="159"/>
        <v>-2.4836418867245452E-2</v>
      </c>
      <c r="I831" s="15">
        <f t="shared" si="159"/>
        <v>7.956309859242899E-3</v>
      </c>
      <c r="J831" s="15">
        <f t="shared" si="159"/>
        <v>8.8123078587455887E-3</v>
      </c>
      <c r="K831" s="22"/>
      <c r="L831" s="13">
        <v>828</v>
      </c>
      <c r="M831" s="5">
        <v>44665</v>
      </c>
      <c r="N831" s="26">
        <f t="shared" si="156"/>
        <v>1.9200565277669521</v>
      </c>
      <c r="O831" s="26">
        <f t="shared" si="157"/>
        <v>1.0292108776705069</v>
      </c>
      <c r="P831" s="26">
        <f t="shared" si="158"/>
        <v>1.387771357537622</v>
      </c>
      <c r="Q831" s="22"/>
      <c r="AD831" s="59">
        <v>827</v>
      </c>
      <c r="AE831" s="61">
        <f t="shared" ca="1" si="160"/>
        <v>-0.34654884785896939</v>
      </c>
      <c r="AF831" s="61">
        <f t="shared" ca="1" si="160"/>
        <v>-1.4079615872605538</v>
      </c>
      <c r="AG831" s="61">
        <f t="shared" ca="1" si="160"/>
        <v>-1.1193214077855007</v>
      </c>
      <c r="AH831" s="19"/>
      <c r="AI831" s="61">
        <f ca="1"/>
        <v>-7.5146639212769492E-3</v>
      </c>
      <c r="AJ831" s="61">
        <f ca="1"/>
        <v>-3.6027777529805884E-2</v>
      </c>
      <c r="AK831" s="61">
        <f ca="1"/>
        <v>-4.3712926804624935E-2</v>
      </c>
      <c r="AL831" s="19"/>
      <c r="AM831" s="61">
        <f t="shared" ca="1" si="164"/>
        <v>-7.1634475987667054E-3</v>
      </c>
      <c r="AN831" s="61">
        <f t="shared" ca="1" si="165"/>
        <v>-3.5778724932889354E-2</v>
      </c>
      <c r="AO831" s="61">
        <f t="shared" ca="1" si="166"/>
        <v>-4.3281258201370118E-2</v>
      </c>
      <c r="AP831" s="19"/>
      <c r="AQ831" s="62">
        <f t="shared" ca="1" si="161"/>
        <v>0.96254854109656629</v>
      </c>
      <c r="AR831" s="62">
        <f t="shared" ca="1" si="162"/>
        <v>1.1188185393053458</v>
      </c>
      <c r="AS831" s="62">
        <f t="shared" ca="1" si="163"/>
        <v>0.98089389730089982</v>
      </c>
      <c r="AT831" s="49"/>
    </row>
    <row r="832" spans="1:46" x14ac:dyDescent="0.3">
      <c r="A832" s="5">
        <v>44669</v>
      </c>
      <c r="B832" s="6">
        <v>109.18</v>
      </c>
      <c r="C832" s="6">
        <v>108.699997</v>
      </c>
      <c r="D832" s="6">
        <v>110.349998</v>
      </c>
      <c r="F832" s="13">
        <v>829</v>
      </c>
      <c r="G832" s="5">
        <v>44669</v>
      </c>
      <c r="H832" s="15">
        <f t="shared" si="159"/>
        <v>5.6948992499900189E-3</v>
      </c>
      <c r="I832" s="15">
        <f t="shared" si="159"/>
        <v>1.657306382210535E-3</v>
      </c>
      <c r="J832" s="15">
        <f t="shared" si="159"/>
        <v>5.1030977897683343E-2</v>
      </c>
      <c r="K832" s="22"/>
      <c r="L832" s="13">
        <v>829</v>
      </c>
      <c r="M832" s="5">
        <v>44669</v>
      </c>
      <c r="N832" s="26">
        <f t="shared" si="156"/>
        <v>1.9310222509546828</v>
      </c>
      <c r="O832" s="26">
        <f t="shared" si="157"/>
        <v>1.0309180096563351</v>
      </c>
      <c r="P832" s="26">
        <f t="shared" si="158"/>
        <v>1.4604288104930867</v>
      </c>
      <c r="Q832" s="22"/>
      <c r="AD832" s="59">
        <v>828</v>
      </c>
      <c r="AE832" s="61">
        <f t="shared" ca="1" si="160"/>
        <v>-2.3602647733774162</v>
      </c>
      <c r="AF832" s="61">
        <f t="shared" ca="1" si="160"/>
        <v>7.2439161998300833E-2</v>
      </c>
      <c r="AG832" s="61">
        <f t="shared" ca="1" si="160"/>
        <v>-2.0259984505621236</v>
      </c>
      <c r="AH832" s="19"/>
      <c r="AI832" s="61">
        <f ca="1"/>
        <v>-5.1180653598300881E-2</v>
      </c>
      <c r="AJ832" s="61">
        <f ca="1"/>
        <v>-3.5369122907674598E-2</v>
      </c>
      <c r="AK832" s="61">
        <f ca="1"/>
        <v>-8.6270040273737081E-2</v>
      </c>
      <c r="AL832" s="19"/>
      <c r="AM832" s="61">
        <f t="shared" ca="1" si="164"/>
        <v>-5.0829437275790638E-2</v>
      </c>
      <c r="AN832" s="61">
        <f t="shared" ca="1" si="165"/>
        <v>-3.5120070310758068E-2</v>
      </c>
      <c r="AO832" s="61">
        <f t="shared" ca="1" si="166"/>
        <v>-8.5838371670482264E-2</v>
      </c>
      <c r="AP832" s="19"/>
      <c r="AQ832" s="62">
        <f t="shared" ca="1" si="161"/>
        <v>0.91484537316882919</v>
      </c>
      <c r="AR832" s="62">
        <f t="shared" ca="1" si="162"/>
        <v>1.0802075327215612</v>
      </c>
      <c r="AS832" s="62">
        <f t="shared" ca="1" si="163"/>
        <v>0.90020806897100614</v>
      </c>
      <c r="AT832" s="49"/>
    </row>
    <row r="833" spans="1:46" x14ac:dyDescent="0.3">
      <c r="A833" s="5">
        <v>44670</v>
      </c>
      <c r="B833" s="6">
        <v>113.099998</v>
      </c>
      <c r="C833" s="6">
        <v>112.80999799999999</v>
      </c>
      <c r="D833" s="6">
        <v>107.739998</v>
      </c>
      <c r="F833" s="13">
        <v>830</v>
      </c>
      <c r="G833" s="5">
        <v>44670</v>
      </c>
      <c r="H833" s="15">
        <f t="shared" si="159"/>
        <v>3.5274469084997033E-2</v>
      </c>
      <c r="I833" s="15">
        <f t="shared" si="159"/>
        <v>3.711320335963679E-2</v>
      </c>
      <c r="J833" s="15">
        <f t="shared" si="159"/>
        <v>-2.3936215889414979E-2</v>
      </c>
      <c r="K833" s="22"/>
      <c r="L833" s="13">
        <v>830</v>
      </c>
      <c r="M833" s="5">
        <v>44670</v>
      </c>
      <c r="N833" s="26">
        <f t="shared" si="156"/>
        <v>2.0003536611186123</v>
      </c>
      <c r="O833" s="26">
        <f t="shared" si="157"/>
        <v>1.0698975328168145</v>
      </c>
      <c r="P833" s="26">
        <f t="shared" si="158"/>
        <v>1.42588672381913</v>
      </c>
      <c r="Q833" s="22"/>
      <c r="AD833" s="59">
        <v>829</v>
      </c>
      <c r="AE833" s="61">
        <f t="shared" ca="1" si="160"/>
        <v>-0.17527464488243494</v>
      </c>
      <c r="AF833" s="61">
        <f t="shared" ca="1" si="160"/>
        <v>0.2607019585441156</v>
      </c>
      <c r="AG833" s="61">
        <f t="shared" ca="1" si="160"/>
        <v>-1.4319234250226118</v>
      </c>
      <c r="AH833" s="19"/>
      <c r="AI833" s="61">
        <f ca="1"/>
        <v>-3.8007053214866816E-3</v>
      </c>
      <c r="AJ833" s="61">
        <f ca="1"/>
        <v>2.9231643923148683E-3</v>
      </c>
      <c r="AK833" s="61">
        <f ca="1"/>
        <v>-3.7439609168608987E-2</v>
      </c>
      <c r="AL833" s="19"/>
      <c r="AM833" s="61">
        <f t="shared" ca="1" si="164"/>
        <v>-3.4494889989764373E-3</v>
      </c>
      <c r="AN833" s="61">
        <f t="shared" ca="1" si="165"/>
        <v>3.1722169892313989E-3</v>
      </c>
      <c r="AO833" s="61">
        <f t="shared" ca="1" si="166"/>
        <v>-3.7007940565354169E-2</v>
      </c>
      <c r="AP833" s="19"/>
      <c r="AQ833" s="62">
        <f t="shared" ca="1" si="161"/>
        <v>0.91169506072616602</v>
      </c>
      <c r="AR833" s="62">
        <f t="shared" ca="1" si="162"/>
        <v>1.0836396262032975</v>
      </c>
      <c r="AS833" s="62">
        <f t="shared" ca="1" si="163"/>
        <v>0.86750214443119145</v>
      </c>
      <c r="AT833" s="49"/>
    </row>
    <row r="834" spans="1:46" x14ac:dyDescent="0.3">
      <c r="A834" s="5">
        <v>44671</v>
      </c>
      <c r="B834" s="6">
        <v>115.040001</v>
      </c>
      <c r="C834" s="6">
        <v>115.379997</v>
      </c>
      <c r="D834" s="6">
        <v>108.07</v>
      </c>
      <c r="F834" s="13">
        <v>831</v>
      </c>
      <c r="G834" s="5">
        <v>44671</v>
      </c>
      <c r="H834" s="15">
        <f t="shared" si="159"/>
        <v>1.7007537226756662E-2</v>
      </c>
      <c r="I834" s="15">
        <f t="shared" si="159"/>
        <v>2.2526032939799108E-2</v>
      </c>
      <c r="J834" s="15">
        <f t="shared" si="159"/>
        <v>3.0582666258943446E-3</v>
      </c>
      <c r="K834" s="22"/>
      <c r="L834" s="13">
        <v>831</v>
      </c>
      <c r="M834" s="5">
        <v>44671</v>
      </c>
      <c r="N834" s="26">
        <f t="shared" si="156"/>
        <v>2.0346657050819652</v>
      </c>
      <c r="O834" s="26">
        <f t="shared" si="157"/>
        <v>1.094271574463741</v>
      </c>
      <c r="P834" s="26">
        <f t="shared" si="158"/>
        <v>1.4302541405572828</v>
      </c>
      <c r="Q834" s="22"/>
      <c r="AD834" s="59">
        <v>830</v>
      </c>
      <c r="AE834" s="61">
        <f t="shared" ca="1" si="160"/>
        <v>-5.4092100260649381E-2</v>
      </c>
      <c r="AF834" s="61">
        <f t="shared" ca="1" si="160"/>
        <v>-0.68516628693877635</v>
      </c>
      <c r="AG834" s="61">
        <f t="shared" ca="1" si="160"/>
        <v>2.0798236520441584</v>
      </c>
      <c r="AH834" s="19"/>
      <c r="AI834" s="61">
        <f ca="1"/>
        <v>-1.1729485086045331E-3</v>
      </c>
      <c r="AJ834" s="61">
        <f ca="1"/>
        <v>-1.573945431218244E-2</v>
      </c>
      <c r="AK834" s="61">
        <f ca="1"/>
        <v>4.7660491652323167E-2</v>
      </c>
      <c r="AL834" s="19"/>
      <c r="AM834" s="61">
        <f t="shared" ca="1" si="164"/>
        <v>-8.2173218609428889E-4</v>
      </c>
      <c r="AN834" s="61">
        <f t="shared" ca="1" si="165"/>
        <v>-1.5490401715265908E-2</v>
      </c>
      <c r="AO834" s="61">
        <f t="shared" ca="1" si="166"/>
        <v>4.8092160255577984E-2</v>
      </c>
      <c r="AP834" s="19"/>
      <c r="AQ834" s="62">
        <f t="shared" ca="1" si="161"/>
        <v>0.91094619927478149</v>
      </c>
      <c r="AR834" s="62">
        <f t="shared" ca="1" si="162"/>
        <v>1.0669829554059866</v>
      </c>
      <c r="AS834" s="62">
        <f t="shared" ca="1" si="163"/>
        <v>0.91024167760844688</v>
      </c>
      <c r="AT834" s="49"/>
    </row>
    <row r="835" spans="1:46" x14ac:dyDescent="0.3">
      <c r="A835" s="5">
        <v>44672</v>
      </c>
      <c r="B835" s="6">
        <v>115.16999800000001</v>
      </c>
      <c r="C835" s="6">
        <v>114.239998</v>
      </c>
      <c r="D835" s="6">
        <v>104.910004</v>
      </c>
      <c r="F835" s="13">
        <v>832</v>
      </c>
      <c r="G835" s="5">
        <v>44672</v>
      </c>
      <c r="H835" s="15">
        <f t="shared" si="159"/>
        <v>1.129377649817264E-3</v>
      </c>
      <c r="I835" s="15">
        <f t="shared" si="159"/>
        <v>-9.9295217434317608E-3</v>
      </c>
      <c r="J835" s="15">
        <f t="shared" si="159"/>
        <v>-2.9676287443761603E-2</v>
      </c>
      <c r="K835" s="22"/>
      <c r="L835" s="13">
        <v>832</v>
      </c>
      <c r="M835" s="5">
        <v>44672</v>
      </c>
      <c r="N835" s="26">
        <f t="shared" si="156"/>
        <v>2.0369649091445896</v>
      </c>
      <c r="O835" s="26">
        <f t="shared" si="157"/>
        <v>1.0834597480375616</v>
      </c>
      <c r="P835" s="26">
        <f t="shared" si="158"/>
        <v>1.3884331230395217</v>
      </c>
      <c r="Q835" s="22"/>
      <c r="AD835" s="59">
        <v>831</v>
      </c>
      <c r="AE835" s="61">
        <f t="shared" ca="1" si="160"/>
        <v>-0.42439975550190173</v>
      </c>
      <c r="AF835" s="61">
        <f t="shared" ca="1" si="160"/>
        <v>-9.3526463189818138E-2</v>
      </c>
      <c r="AG835" s="61">
        <f t="shared" ca="1" si="160"/>
        <v>-0.45162667175244059</v>
      </c>
      <c r="AH835" s="19"/>
      <c r="AI835" s="61">
        <f ca="1"/>
        <v>-9.2028051761602649E-3</v>
      </c>
      <c r="AJ835" s="61">
        <f ca="1"/>
        <v>-8.6757412365059683E-3</v>
      </c>
      <c r="AK835" s="61">
        <f ca="1"/>
        <v>-1.8500049630955584E-2</v>
      </c>
      <c r="AL835" s="19"/>
      <c r="AM835" s="61">
        <f t="shared" ca="1" si="164"/>
        <v>-8.851588853650021E-3</v>
      </c>
      <c r="AN835" s="61">
        <f t="shared" ca="1" si="165"/>
        <v>-8.4266886395894369E-3</v>
      </c>
      <c r="AO835" s="61">
        <f t="shared" ca="1" si="166"/>
        <v>-1.8068381027700767E-2</v>
      </c>
      <c r="AP835" s="19"/>
      <c r="AQ835" s="62">
        <f t="shared" ca="1" si="161"/>
        <v>0.90291845959135697</v>
      </c>
      <c r="AR835" s="62">
        <f t="shared" ca="1" si="162"/>
        <v>1.0580295988119197</v>
      </c>
      <c r="AS835" s="62">
        <f t="shared" ca="1" si="163"/>
        <v>0.89394277495973606</v>
      </c>
      <c r="AT835" s="49"/>
    </row>
    <row r="836" spans="1:46" x14ac:dyDescent="0.3">
      <c r="A836" s="5">
        <v>44673</v>
      </c>
      <c r="B836" s="6">
        <v>112.44000200000001</v>
      </c>
      <c r="C836" s="6">
        <v>109.25</v>
      </c>
      <c r="D836" s="6">
        <v>103.050003</v>
      </c>
      <c r="F836" s="13">
        <v>833</v>
      </c>
      <c r="G836" s="5">
        <v>44673</v>
      </c>
      <c r="H836" s="15">
        <f t="shared" si="159"/>
        <v>-2.3989516489587227E-2</v>
      </c>
      <c r="I836" s="15">
        <f t="shared" si="159"/>
        <v>-4.4662647108571769E-2</v>
      </c>
      <c r="J836" s="15">
        <f t="shared" si="159"/>
        <v>-1.7888541422763429E-2</v>
      </c>
      <c r="K836" s="22"/>
      <c r="L836" s="13">
        <v>833</v>
      </c>
      <c r="M836" s="5">
        <v>44673</v>
      </c>
      <c r="N836" s="26">
        <f t="shared" ref="N836:N899" si="167">B836/B$3</f>
        <v>1.988680580320471</v>
      </c>
      <c r="O836" s="26">
        <f t="shared" ref="O836:O899" si="168">C836/C$3</f>
        <v>1.0361342747318991</v>
      </c>
      <c r="P836" s="26">
        <f t="shared" ref="P836:P899" si="169">D836/D$3</f>
        <v>1.363816910106324</v>
      </c>
      <c r="Q836" s="22"/>
      <c r="AD836" s="59">
        <v>832</v>
      </c>
      <c r="AE836" s="61">
        <f t="shared" ca="1" si="160"/>
        <v>0.6746907999346855</v>
      </c>
      <c r="AF836" s="61">
        <f t="shared" ca="1" si="160"/>
        <v>-0.20830633278316138</v>
      </c>
      <c r="AG836" s="61">
        <f t="shared" ca="1" si="160"/>
        <v>-0.7030512559126888</v>
      </c>
      <c r="AH836" s="19"/>
      <c r="AI836" s="61">
        <f ca="1"/>
        <v>1.4630187471723958E-2</v>
      </c>
      <c r="AJ836" s="61">
        <f ca="1"/>
        <v>6.0327382725796266E-3</v>
      </c>
      <c r="AK836" s="61">
        <f ca="1"/>
        <v>-9.5102057884839959E-3</v>
      </c>
      <c r="AL836" s="19"/>
      <c r="AM836" s="61">
        <f t="shared" ca="1" si="164"/>
        <v>1.4981403794234202E-2</v>
      </c>
      <c r="AN836" s="61">
        <f t="shared" ca="1" si="165"/>
        <v>6.2817908694961571E-3</v>
      </c>
      <c r="AO836" s="61">
        <f t="shared" ca="1" si="166"/>
        <v>-9.0785371852291769E-3</v>
      </c>
      <c r="AP836" s="19"/>
      <c r="AQ836" s="62">
        <f t="shared" ca="1" si="161"/>
        <v>0.9165472801535901</v>
      </c>
      <c r="AR836" s="62">
        <f t="shared" ca="1" si="162"/>
        <v>1.0646968386640161</v>
      </c>
      <c r="AS836" s="62">
        <f t="shared" ca="1" si="163"/>
        <v>0.88586381031510586</v>
      </c>
      <c r="AT836" s="49"/>
    </row>
    <row r="837" spans="1:46" x14ac:dyDescent="0.3">
      <c r="A837" s="5">
        <v>44676</v>
      </c>
      <c r="B837" s="6">
        <v>112.18</v>
      </c>
      <c r="C837" s="6">
        <v>108.43</v>
      </c>
      <c r="D837" s="6">
        <v>100.879997</v>
      </c>
      <c r="F837" s="13">
        <v>834</v>
      </c>
      <c r="G837" s="5">
        <v>44676</v>
      </c>
      <c r="H837" s="15">
        <f t="shared" ref="H837:J900" si="170">LN(B837/B836)</f>
        <v>-2.3150397454044088E-3</v>
      </c>
      <c r="I837" s="15">
        <f t="shared" si="170"/>
        <v>-7.5340304916088592E-3</v>
      </c>
      <c r="J837" s="15">
        <f t="shared" si="170"/>
        <v>-2.1282674530188384E-2</v>
      </c>
      <c r="K837" s="22"/>
      <c r="L837" s="13">
        <v>834</v>
      </c>
      <c r="M837" s="5">
        <v>44676</v>
      </c>
      <c r="N837" s="26">
        <f t="shared" si="167"/>
        <v>1.9840820307024758</v>
      </c>
      <c r="O837" s="26">
        <f t="shared" si="168"/>
        <v>1.0283573401297925</v>
      </c>
      <c r="P837" s="26">
        <f t="shared" si="169"/>
        <v>1.335097931050766</v>
      </c>
      <c r="Q837" s="22"/>
      <c r="AD837" s="59">
        <v>833</v>
      </c>
      <c r="AE837" s="61">
        <f t="shared" ref="AE837:AG900" ca="1" si="171">_xlfn.NORM.S.INV(RAND())</f>
        <v>0.41145181656328333</v>
      </c>
      <c r="AF837" s="61">
        <f t="shared" ca="1" si="171"/>
        <v>-0.52277145392853686</v>
      </c>
      <c r="AG837" s="61">
        <f t="shared" ca="1" si="171"/>
        <v>-0.52868871564200592</v>
      </c>
      <c r="AH837" s="19"/>
      <c r="AI837" s="61">
        <f ca="1"/>
        <v>8.9220383803735731E-3</v>
      </c>
      <c r="AJ837" s="61">
        <f ca="1"/>
        <v>-4.922786659971562E-3</v>
      </c>
      <c r="AK837" s="61">
        <f ca="1"/>
        <v>-1.1147153307237333E-2</v>
      </c>
      <c r="AL837" s="19"/>
      <c r="AM837" s="61">
        <f t="shared" ca="1" si="164"/>
        <v>9.273254702883817E-3</v>
      </c>
      <c r="AN837" s="61">
        <f t="shared" ca="1" si="165"/>
        <v>-4.6737340630550314E-3</v>
      </c>
      <c r="AO837" s="61">
        <f t="shared" ca="1" si="166"/>
        <v>-1.0715484703982514E-2</v>
      </c>
      <c r="AP837" s="19"/>
      <c r="AQ837" s="62">
        <f t="shared" ca="1" si="161"/>
        <v>0.92508618706843193</v>
      </c>
      <c r="AR837" s="62">
        <f t="shared" ca="1" si="162"/>
        <v>1.0597323391944173</v>
      </c>
      <c r="AS837" s="62">
        <f t="shared" ca="1" si="163"/>
        <v>0.87642202719041218</v>
      </c>
      <c r="AT837" s="49"/>
    </row>
    <row r="838" spans="1:46" x14ac:dyDescent="0.3">
      <c r="A838" s="5">
        <v>44677</v>
      </c>
      <c r="B838" s="6">
        <v>109.360001</v>
      </c>
      <c r="C838" s="6">
        <v>104.32</v>
      </c>
      <c r="D838" s="6">
        <v>105.139999</v>
      </c>
      <c r="F838" s="13">
        <v>835</v>
      </c>
      <c r="G838" s="5">
        <v>44677</v>
      </c>
      <c r="H838" s="15">
        <f t="shared" si="170"/>
        <v>-2.5459522520385632E-2</v>
      </c>
      <c r="I838" s="15">
        <f t="shared" si="170"/>
        <v>-3.8641705305747918E-2</v>
      </c>
      <c r="J838" s="15">
        <f t="shared" si="170"/>
        <v>4.1361123961813136E-2</v>
      </c>
      <c r="K838" s="22"/>
      <c r="L838" s="13">
        <v>835</v>
      </c>
      <c r="M838" s="5">
        <v>44677</v>
      </c>
      <c r="N838" s="26">
        <f t="shared" si="167"/>
        <v>1.9342058554261434</v>
      </c>
      <c r="O838" s="26">
        <f t="shared" si="168"/>
        <v>0.98937782645337946</v>
      </c>
      <c r="P838" s="26">
        <f t="shared" si="169"/>
        <v>1.3914769955393596</v>
      </c>
      <c r="Q838" s="22"/>
      <c r="AD838" s="59">
        <v>834</v>
      </c>
      <c r="AE838" s="61">
        <f t="shared" ca="1" si="171"/>
        <v>-0.52418387087261953</v>
      </c>
      <c r="AF838" s="61">
        <f t="shared" ca="1" si="171"/>
        <v>1.4131939920236081</v>
      </c>
      <c r="AG838" s="61">
        <f t="shared" ca="1" si="171"/>
        <v>0.29518441855726346</v>
      </c>
      <c r="AH838" s="19"/>
      <c r="AI838" s="61">
        <f ca="1"/>
        <v>-1.1366552354445574E-2</v>
      </c>
      <c r="AJ838" s="61">
        <f ca="1"/>
        <v>2.2512506422106893E-2</v>
      </c>
      <c r="AK838" s="61">
        <f ca="1"/>
        <v>9.769871751125354E-3</v>
      </c>
      <c r="AL838" s="19"/>
      <c r="AM838" s="61">
        <f t="shared" ca="1" si="164"/>
        <v>-1.101533603193533E-2</v>
      </c>
      <c r="AN838" s="61">
        <f t="shared" ca="1" si="165"/>
        <v>2.2761559019023422E-2</v>
      </c>
      <c r="AO838" s="61">
        <f t="shared" ca="1" si="166"/>
        <v>1.0201540354380173E-2</v>
      </c>
      <c r="AP838" s="19"/>
      <c r="AQ838" s="62">
        <f t="shared" ref="AQ838:AQ901" ca="1" si="172">AQ837*EXP(AM838)</f>
        <v>0.9149519702329153</v>
      </c>
      <c r="AR838" s="62">
        <f t="shared" ref="AR838:AR901" ca="1" si="173">AR837*EXP(AN838)</f>
        <v>1.0841301117053368</v>
      </c>
      <c r="AS838" s="62">
        <f t="shared" ref="AS838:AS901" ca="1" si="174">AS837*EXP(AO838)</f>
        <v>0.88540864259073615</v>
      </c>
      <c r="AT838" s="49"/>
    </row>
    <row r="839" spans="1:46" x14ac:dyDescent="0.3">
      <c r="A839" s="5">
        <v>44678</v>
      </c>
      <c r="B839" s="6">
        <v>100</v>
      </c>
      <c r="C839" s="6">
        <v>103.389999</v>
      </c>
      <c r="D839" s="6">
        <v>109.510002</v>
      </c>
      <c r="F839" s="13">
        <v>836</v>
      </c>
      <c r="G839" s="5">
        <v>44678</v>
      </c>
      <c r="H839" s="15">
        <f t="shared" si="170"/>
        <v>-8.9475015571713903E-2</v>
      </c>
      <c r="I839" s="15">
        <f t="shared" si="170"/>
        <v>-8.9548622518563475E-3</v>
      </c>
      <c r="J839" s="15">
        <f t="shared" si="170"/>
        <v>4.0723101670666062E-2</v>
      </c>
      <c r="K839" s="22"/>
      <c r="L839" s="13">
        <v>836</v>
      </c>
      <c r="M839" s="5">
        <v>44678</v>
      </c>
      <c r="N839" s="26">
        <f t="shared" si="167"/>
        <v>1.7686593249264357</v>
      </c>
      <c r="O839" s="26">
        <f t="shared" si="168"/>
        <v>0.98055763504253346</v>
      </c>
      <c r="P839" s="26">
        <f t="shared" si="169"/>
        <v>1.4493118700188425</v>
      </c>
      <c r="Q839" s="22"/>
      <c r="AD839" s="59">
        <v>835</v>
      </c>
      <c r="AE839" s="61">
        <f t="shared" ca="1" si="171"/>
        <v>1.3302438512530659</v>
      </c>
      <c r="AF839" s="61">
        <f t="shared" ca="1" si="171"/>
        <v>0.41318832224253449</v>
      </c>
      <c r="AG839" s="61">
        <f t="shared" ca="1" si="171"/>
        <v>1.8319549074730395</v>
      </c>
      <c r="AH839" s="19"/>
      <c r="AI839" s="61">
        <f ca="1"/>
        <v>2.8845386551624021E-2</v>
      </c>
      <c r="AJ839" s="61">
        <f ca="1"/>
        <v>2.9802494922493511E-2</v>
      </c>
      <c r="AK839" s="61">
        <f ca="1"/>
        <v>6.9499544300107685E-2</v>
      </c>
      <c r="AL839" s="19"/>
      <c r="AM839" s="61">
        <f t="shared" ref="AM839:AM902" ca="1" si="175">AI839+T$3</f>
        <v>2.9196602874134267E-2</v>
      </c>
      <c r="AN839" s="61">
        <f t="shared" ref="AN839:AN902" ca="1" si="176">AJ839+U$3</f>
        <v>3.0051547519410041E-2</v>
      </c>
      <c r="AO839" s="61">
        <f t="shared" ref="AO839:AO902" ca="1" si="177">AK839+V$3</f>
        <v>6.9931212903362502E-2</v>
      </c>
      <c r="AP839" s="19"/>
      <c r="AQ839" s="62">
        <f t="shared" ca="1" si="172"/>
        <v>0.94205925427286652</v>
      </c>
      <c r="AR839" s="62">
        <f t="shared" ca="1" si="173"/>
        <v>1.1172043766323239</v>
      </c>
      <c r="AS839" s="62">
        <f t="shared" ca="1" si="174"/>
        <v>0.94954269440016348</v>
      </c>
      <c r="AT839" s="49"/>
    </row>
    <row r="840" spans="1:46" x14ac:dyDescent="0.3">
      <c r="A840" s="5">
        <v>44679</v>
      </c>
      <c r="B840" s="6">
        <v>101.80999799999999</v>
      </c>
      <c r="C840" s="6">
        <v>106.760002</v>
      </c>
      <c r="D840" s="6">
        <v>115.529999</v>
      </c>
      <c r="F840" s="13">
        <v>837</v>
      </c>
      <c r="G840" s="5">
        <v>44679</v>
      </c>
      <c r="H840" s="15">
        <f t="shared" si="170"/>
        <v>1.7938125486576993E-2</v>
      </c>
      <c r="I840" s="15">
        <f t="shared" si="170"/>
        <v>3.2075107343444785E-2</v>
      </c>
      <c r="J840" s="15">
        <f t="shared" si="170"/>
        <v>5.3514340288326939E-2</v>
      </c>
      <c r="K840" s="22"/>
      <c r="L840" s="13">
        <v>837</v>
      </c>
      <c r="M840" s="5">
        <v>44679</v>
      </c>
      <c r="N840" s="26">
        <f t="shared" si="167"/>
        <v>1.8006720233344178</v>
      </c>
      <c r="O840" s="26">
        <f t="shared" si="168"/>
        <v>1.0125189678960742</v>
      </c>
      <c r="P840" s="26">
        <f t="shared" si="169"/>
        <v>1.5289836164368349</v>
      </c>
      <c r="Q840" s="22"/>
      <c r="AD840" s="59">
        <v>836</v>
      </c>
      <c r="AE840" s="61">
        <f t="shared" ca="1" si="171"/>
        <v>-0.76791560422916716</v>
      </c>
      <c r="AF840" s="61">
        <f t="shared" ca="1" si="171"/>
        <v>-0.28216626032226139</v>
      </c>
      <c r="AG840" s="61">
        <f t="shared" ca="1" si="171"/>
        <v>-0.85531173329045573</v>
      </c>
      <c r="AH840" s="19"/>
      <c r="AI840" s="61">
        <f ca="1"/>
        <v>-1.6651700680404256E-2</v>
      </c>
      <c r="AJ840" s="61">
        <f ca="1"/>
        <v>-1.8152845333788616E-2</v>
      </c>
      <c r="AK840" s="61">
        <f ca="1"/>
        <v>-3.5246565385027524E-2</v>
      </c>
      <c r="AL840" s="19"/>
      <c r="AM840" s="61">
        <f t="shared" ca="1" si="175"/>
        <v>-1.630048435789401E-2</v>
      </c>
      <c r="AN840" s="61">
        <f t="shared" ca="1" si="176"/>
        <v>-1.7903792736872086E-2</v>
      </c>
      <c r="AO840" s="61">
        <f t="shared" ca="1" si="177"/>
        <v>-3.4814896781772707E-2</v>
      </c>
      <c r="AP840" s="19"/>
      <c r="AQ840" s="62">
        <f t="shared" ca="1" si="172"/>
        <v>0.92682771016524734</v>
      </c>
      <c r="AR840" s="62">
        <f t="shared" ca="1" si="173"/>
        <v>1.0973801747732173</v>
      </c>
      <c r="AS840" s="62">
        <f t="shared" ca="1" si="174"/>
        <v>0.91705330248855599</v>
      </c>
      <c r="AT840" s="49"/>
    </row>
    <row r="841" spans="1:46" x14ac:dyDescent="0.3">
      <c r="A841" s="5">
        <v>44680</v>
      </c>
      <c r="B841" s="6">
        <v>98.309997999999993</v>
      </c>
      <c r="C841" s="6">
        <v>104.339996</v>
      </c>
      <c r="D841" s="6">
        <v>111.480003</v>
      </c>
      <c r="F841" s="13">
        <v>838</v>
      </c>
      <c r="G841" s="5">
        <v>44680</v>
      </c>
      <c r="H841" s="15">
        <f t="shared" si="170"/>
        <v>-3.4982580439646173E-2</v>
      </c>
      <c r="I841" s="15">
        <f t="shared" si="170"/>
        <v>-2.2928584011893984E-2</v>
      </c>
      <c r="J841" s="15">
        <f t="shared" si="170"/>
        <v>-3.5684998314763079E-2</v>
      </c>
      <c r="K841" s="22"/>
      <c r="L841" s="13">
        <v>838</v>
      </c>
      <c r="M841" s="5">
        <v>44680</v>
      </c>
      <c r="N841" s="26">
        <f t="shared" si="167"/>
        <v>1.7387689469619925</v>
      </c>
      <c r="O841" s="26">
        <f t="shared" si="168"/>
        <v>0.98956746984887189</v>
      </c>
      <c r="P841" s="26">
        <f t="shared" si="169"/>
        <v>1.475383879708414</v>
      </c>
      <c r="Q841" s="22"/>
      <c r="AD841" s="59">
        <v>837</v>
      </c>
      <c r="AE841" s="61">
        <f t="shared" ca="1" si="171"/>
        <v>0.71717729020577137</v>
      </c>
      <c r="AF841" s="61">
        <f t="shared" ca="1" si="171"/>
        <v>0.86698876368884525</v>
      </c>
      <c r="AG841" s="61">
        <f t="shared" ca="1" si="171"/>
        <v>0.72877735955487377</v>
      </c>
      <c r="AH841" s="19"/>
      <c r="AI841" s="61">
        <f ca="1"/>
        <v>1.5551476627796244E-2</v>
      </c>
      <c r="AJ841" s="61">
        <f ca="1"/>
        <v>3.0070384330517105E-2</v>
      </c>
      <c r="AK841" s="61">
        <f ca="1"/>
        <v>3.5373663599520641E-2</v>
      </c>
      <c r="AL841" s="19"/>
      <c r="AM841" s="61">
        <f t="shared" ca="1" si="175"/>
        <v>1.5902692950306489E-2</v>
      </c>
      <c r="AN841" s="61">
        <f t="shared" ca="1" si="176"/>
        <v>3.0319436927433635E-2</v>
      </c>
      <c r="AO841" s="61">
        <f t="shared" ca="1" si="177"/>
        <v>3.5805332202775458E-2</v>
      </c>
      <c r="AP841" s="19"/>
      <c r="AQ841" s="62">
        <f t="shared" ca="1" si="172"/>
        <v>0.94168458572098435</v>
      </c>
      <c r="AR841" s="62">
        <f t="shared" ca="1" si="173"/>
        <v>1.1311616536631461</v>
      </c>
      <c r="AS841" s="62">
        <f t="shared" ca="1" si="174"/>
        <v>0.95048362100505301</v>
      </c>
      <c r="AT841" s="49"/>
    </row>
    <row r="842" spans="1:46" x14ac:dyDescent="0.3">
      <c r="A842" s="5">
        <v>44683</v>
      </c>
      <c r="B842" s="6">
        <v>97.959998999999996</v>
      </c>
      <c r="C842" s="6">
        <v>106.699997</v>
      </c>
      <c r="D842" s="6">
        <v>116.599998</v>
      </c>
      <c r="F842" s="13">
        <v>839</v>
      </c>
      <c r="G842" s="5">
        <v>44683</v>
      </c>
      <c r="H842" s="15">
        <f t="shared" si="170"/>
        <v>-3.5665091593036135E-3</v>
      </c>
      <c r="I842" s="15">
        <f t="shared" si="170"/>
        <v>2.2366370933456246E-2</v>
      </c>
      <c r="J842" s="15">
        <f t="shared" si="170"/>
        <v>4.4904027239329583E-2</v>
      </c>
      <c r="K842" s="22"/>
      <c r="L842" s="13">
        <v>839</v>
      </c>
      <c r="M842" s="5">
        <v>44683</v>
      </c>
      <c r="N842" s="26">
        <f t="shared" si="167"/>
        <v>1.7325786570113433</v>
      </c>
      <c r="O842" s="26">
        <f t="shared" si="168"/>
        <v>1.0119498764804651</v>
      </c>
      <c r="P842" s="26">
        <f t="shared" si="169"/>
        <v>1.5431445352870445</v>
      </c>
      <c r="Q842" s="22"/>
      <c r="AD842" s="59">
        <v>838</v>
      </c>
      <c r="AE842" s="61">
        <f t="shared" ca="1" si="171"/>
        <v>0.37262279407331972</v>
      </c>
      <c r="AF842" s="61">
        <f t="shared" ca="1" si="171"/>
        <v>-1.8510370977139525</v>
      </c>
      <c r="AG842" s="61">
        <f t="shared" ca="1" si="171"/>
        <v>0.41692903576948398</v>
      </c>
      <c r="AH842" s="19"/>
      <c r="AI842" s="61">
        <f ca="1"/>
        <v>8.0800587973898601E-3</v>
      </c>
      <c r="AJ842" s="61">
        <f ca="1"/>
        <v>-3.4401757068056489E-2</v>
      </c>
      <c r="AK842" s="61">
        <f ca="1"/>
        <v>3.1515524567125386E-3</v>
      </c>
      <c r="AL842" s="19"/>
      <c r="AM842" s="61">
        <f t="shared" ca="1" si="175"/>
        <v>8.431275119900104E-3</v>
      </c>
      <c r="AN842" s="61">
        <f t="shared" ca="1" si="176"/>
        <v>-3.4152704471139959E-2</v>
      </c>
      <c r="AO842" s="61">
        <f t="shared" ca="1" si="177"/>
        <v>3.5832210599673568E-3</v>
      </c>
      <c r="AP842" s="19"/>
      <c r="AQ842" s="62">
        <f t="shared" ca="1" si="172"/>
        <v>0.9496577522878985</v>
      </c>
      <c r="AR842" s="62">
        <f t="shared" ca="1" si="173"/>
        <v>1.09318167509347</v>
      </c>
      <c r="AS842" s="62">
        <f t="shared" ca="1" si="174"/>
        <v>0.95389552308209624</v>
      </c>
      <c r="AT842" s="49"/>
    </row>
    <row r="843" spans="1:46" x14ac:dyDescent="0.3">
      <c r="A843" s="5">
        <v>44684</v>
      </c>
      <c r="B843" s="6">
        <v>99.300003000000004</v>
      </c>
      <c r="C843" s="6">
        <v>105.80999799999999</v>
      </c>
      <c r="D843" s="6">
        <v>121.400002</v>
      </c>
      <c r="F843" s="13">
        <v>840</v>
      </c>
      <c r="G843" s="5">
        <v>44684</v>
      </c>
      <c r="H843" s="15">
        <f t="shared" si="170"/>
        <v>1.3586379386888225E-2</v>
      </c>
      <c r="I843" s="15">
        <f t="shared" si="170"/>
        <v>-8.3761161772286322E-3</v>
      </c>
      <c r="J843" s="15">
        <f t="shared" si="170"/>
        <v>4.0341638336129249E-2</v>
      </c>
      <c r="K843" s="22"/>
      <c r="L843" s="13">
        <v>840</v>
      </c>
      <c r="M843" s="5">
        <v>44684</v>
      </c>
      <c r="N843" s="26">
        <f t="shared" si="167"/>
        <v>1.7562787627117307</v>
      </c>
      <c r="O843" s="26">
        <f t="shared" si="168"/>
        <v>1.0035090667012694</v>
      </c>
      <c r="P843" s="26">
        <f t="shared" si="169"/>
        <v>1.606670264866868</v>
      </c>
      <c r="Q843" s="22"/>
      <c r="AD843" s="59">
        <v>839</v>
      </c>
      <c r="AE843" s="61">
        <f t="shared" ca="1" si="171"/>
        <v>-0.2686795396926942</v>
      </c>
      <c r="AF843" s="61">
        <f t="shared" ca="1" si="171"/>
        <v>1.3147570605642926</v>
      </c>
      <c r="AG843" s="61">
        <f t="shared" ca="1" si="171"/>
        <v>-1.5513427766321903</v>
      </c>
      <c r="AH843" s="19"/>
      <c r="AI843" s="61">
        <f ca="1"/>
        <v>-5.8261236642046174E-3</v>
      </c>
      <c r="AJ843" s="61">
        <f ca="1"/>
        <v>2.437211967733505E-2</v>
      </c>
      <c r="AK843" s="61">
        <f ca="1"/>
        <v>-3.4456094309759315E-2</v>
      </c>
      <c r="AL843" s="19"/>
      <c r="AM843" s="61">
        <f t="shared" ca="1" si="175"/>
        <v>-5.4749073416943735E-3</v>
      </c>
      <c r="AN843" s="61">
        <f t="shared" ca="1" si="176"/>
        <v>2.462117227425158E-2</v>
      </c>
      <c r="AO843" s="61">
        <f t="shared" ca="1" si="177"/>
        <v>-3.4024425706504498E-2</v>
      </c>
      <c r="AP843" s="19"/>
      <c r="AQ843" s="62">
        <f t="shared" ca="1" si="172"/>
        <v>0.94447267095944298</v>
      </c>
      <c r="AR843" s="62">
        <f t="shared" ca="1" si="173"/>
        <v>1.1204311701545693</v>
      </c>
      <c r="AS843" s="62">
        <f t="shared" ca="1" si="174"/>
        <v>0.92198571058503764</v>
      </c>
      <c r="AT843" s="49"/>
    </row>
    <row r="844" spans="1:46" x14ac:dyDescent="0.3">
      <c r="A844" s="5">
        <v>44685</v>
      </c>
      <c r="B844" s="6">
        <v>101.839996</v>
      </c>
      <c r="C844" s="6">
        <v>107.58000199999999</v>
      </c>
      <c r="D844" s="6">
        <v>128.229996</v>
      </c>
      <c r="F844" s="13">
        <v>841</v>
      </c>
      <c r="G844" s="5">
        <v>44685</v>
      </c>
      <c r="H844" s="15">
        <f t="shared" si="170"/>
        <v>2.5257313709245749E-2</v>
      </c>
      <c r="I844" s="15">
        <f t="shared" si="170"/>
        <v>1.6589761421647416E-2</v>
      </c>
      <c r="J844" s="15">
        <f t="shared" si="170"/>
        <v>5.4734600177213148E-2</v>
      </c>
      <c r="K844" s="22"/>
      <c r="L844" s="13">
        <v>841</v>
      </c>
      <c r="M844" s="5">
        <v>44685</v>
      </c>
      <c r="N844" s="26">
        <f t="shared" si="167"/>
        <v>1.8012025857587093</v>
      </c>
      <c r="O844" s="26">
        <f t="shared" si="168"/>
        <v>1.0202959024981808</v>
      </c>
      <c r="P844" s="26">
        <f t="shared" si="169"/>
        <v>1.6970619295146092</v>
      </c>
      <c r="Q844" s="22"/>
      <c r="AD844" s="59">
        <v>840</v>
      </c>
      <c r="AE844" s="61">
        <f t="shared" ca="1" si="171"/>
        <v>0.15241488282035531</v>
      </c>
      <c r="AF844" s="61">
        <f t="shared" ca="1" si="171"/>
        <v>0.12054708829252474</v>
      </c>
      <c r="AG844" s="61">
        <f t="shared" ca="1" si="171"/>
        <v>0.44567878474708128</v>
      </c>
      <c r="AH844" s="19"/>
      <c r="AI844" s="61">
        <f ca="1"/>
        <v>3.3050077299979518E-3</v>
      </c>
      <c r="AJ844" s="61">
        <f ca="1"/>
        <v>5.0058628838558321E-3</v>
      </c>
      <c r="AK844" s="61">
        <f ca="1"/>
        <v>1.4519231709937779E-2</v>
      </c>
      <c r="AL844" s="19"/>
      <c r="AM844" s="61">
        <f t="shared" ca="1" si="175"/>
        <v>3.6562240525081962E-3</v>
      </c>
      <c r="AN844" s="61">
        <f t="shared" ca="1" si="176"/>
        <v>5.2549154807723627E-3</v>
      </c>
      <c r="AO844" s="61">
        <f t="shared" ca="1" si="177"/>
        <v>1.4950900313192598E-2</v>
      </c>
      <c r="AP844" s="19"/>
      <c r="AQ844" s="62">
        <f t="shared" ca="1" si="172"/>
        <v>0.94793219519990901</v>
      </c>
      <c r="AR844" s="62">
        <f t="shared" ca="1" si="173"/>
        <v>1.1263344382587637</v>
      </c>
      <c r="AS844" s="62">
        <f t="shared" ca="1" si="174"/>
        <v>0.93587378796588738</v>
      </c>
      <c r="AT844" s="49"/>
    </row>
    <row r="845" spans="1:46" x14ac:dyDescent="0.3">
      <c r="A845" s="5">
        <v>44686</v>
      </c>
      <c r="B845" s="6">
        <v>98.739998</v>
      </c>
      <c r="C845" s="6">
        <v>100.209999</v>
      </c>
      <c r="D845" s="6">
        <v>125.83000199999999</v>
      </c>
      <c r="F845" s="13">
        <v>842</v>
      </c>
      <c r="G845" s="5">
        <v>44686</v>
      </c>
      <c r="H845" s="15">
        <f t="shared" si="170"/>
        <v>-3.0912802396351656E-2</v>
      </c>
      <c r="I845" s="15">
        <f t="shared" si="170"/>
        <v>-7.0966801344719041E-2</v>
      </c>
      <c r="J845" s="15">
        <f t="shared" si="170"/>
        <v>-1.8893689778738395E-2</v>
      </c>
      <c r="K845" s="22"/>
      <c r="L845" s="13">
        <v>842</v>
      </c>
      <c r="M845" s="5">
        <v>44686</v>
      </c>
      <c r="N845" s="26">
        <f t="shared" si="167"/>
        <v>1.7463741820591763</v>
      </c>
      <c r="O845" s="26">
        <f t="shared" si="168"/>
        <v>0.95039830329290009</v>
      </c>
      <c r="P845" s="26">
        <f t="shared" si="169"/>
        <v>1.6652991706008251</v>
      </c>
      <c r="Q845" s="22"/>
      <c r="AD845" s="59">
        <v>841</v>
      </c>
      <c r="AE845" s="61">
        <f t="shared" ca="1" si="171"/>
        <v>-1.6430287634360379</v>
      </c>
      <c r="AF845" s="61">
        <f t="shared" ca="1" si="171"/>
        <v>0.18628247058916755</v>
      </c>
      <c r="AG845" s="61">
        <f t="shared" ca="1" si="171"/>
        <v>0.21758390286594934</v>
      </c>
      <c r="AH845" s="19"/>
      <c r="AI845" s="61">
        <f ca="1"/>
        <v>-3.5627903675033136E-2</v>
      </c>
      <c r="AJ845" s="61">
        <f ca="1"/>
        <v>-2.1668202352599274E-2</v>
      </c>
      <c r="AK845" s="61">
        <f ca="1"/>
        <v>-1.7390270365905215E-2</v>
      </c>
      <c r="AL845" s="19"/>
      <c r="AM845" s="61">
        <f t="shared" ca="1" si="175"/>
        <v>-3.5276687352522894E-2</v>
      </c>
      <c r="AN845" s="61">
        <f t="shared" ca="1" si="176"/>
        <v>-2.1419149755682744E-2</v>
      </c>
      <c r="AO845" s="61">
        <f t="shared" ca="1" si="177"/>
        <v>-1.6958601762650398E-2</v>
      </c>
      <c r="AP845" s="19"/>
      <c r="AQ845" s="62">
        <f t="shared" ca="1" si="172"/>
        <v>0.91507523715479844</v>
      </c>
      <c r="AR845" s="62">
        <f t="shared" ca="1" si="173"/>
        <v>1.1024658472424254</v>
      </c>
      <c r="AS845" s="62">
        <f t="shared" ca="1" si="174"/>
        <v>0.92013649549458665</v>
      </c>
      <c r="AT845" s="49"/>
    </row>
    <row r="846" spans="1:46" x14ac:dyDescent="0.3">
      <c r="A846" s="5">
        <v>44687</v>
      </c>
      <c r="B846" s="6">
        <v>97.059997999999993</v>
      </c>
      <c r="C846" s="6">
        <v>98.540001000000004</v>
      </c>
      <c r="D846" s="6">
        <v>129.179993</v>
      </c>
      <c r="F846" s="13">
        <v>843</v>
      </c>
      <c r="G846" s="5">
        <v>44687</v>
      </c>
      <c r="H846" s="15">
        <f t="shared" si="170"/>
        <v>-1.7160789204241942E-2</v>
      </c>
      <c r="I846" s="15">
        <f t="shared" si="170"/>
        <v>-1.6805406827213164E-2</v>
      </c>
      <c r="J846" s="15">
        <f t="shared" si="170"/>
        <v>2.627492091803333E-2</v>
      </c>
      <c r="K846" s="22"/>
      <c r="L846" s="13">
        <v>843</v>
      </c>
      <c r="M846" s="5">
        <v>44687</v>
      </c>
      <c r="N846" s="26">
        <f t="shared" si="167"/>
        <v>1.7166607054004119</v>
      </c>
      <c r="O846" s="26">
        <f t="shared" si="168"/>
        <v>0.93455993105918189</v>
      </c>
      <c r="P846" s="26">
        <f t="shared" si="169"/>
        <v>1.7096346799797428</v>
      </c>
      <c r="Q846" s="22"/>
      <c r="AD846" s="59">
        <v>842</v>
      </c>
      <c r="AE846" s="61">
        <f t="shared" ca="1" si="171"/>
        <v>0.75340536774647693</v>
      </c>
      <c r="AF846" s="61">
        <f t="shared" ca="1" si="171"/>
        <v>-0.868420910909531</v>
      </c>
      <c r="AG846" s="61">
        <f t="shared" ca="1" si="171"/>
        <v>-0.70105697789939048</v>
      </c>
      <c r="AH846" s="19"/>
      <c r="AI846" s="61">
        <f ca="1"/>
        <v>1.633705657969715E-2</v>
      </c>
      <c r="AJ846" s="61">
        <f ca="1"/>
        <v>-7.0834568092157484E-3</v>
      </c>
      <c r="AK846" s="61">
        <f ca="1"/>
        <v>-1.2944892714835933E-2</v>
      </c>
      <c r="AL846" s="19"/>
      <c r="AM846" s="61">
        <f t="shared" ca="1" si="175"/>
        <v>1.6688272902207396E-2</v>
      </c>
      <c r="AN846" s="61">
        <f t="shared" ca="1" si="176"/>
        <v>-6.8344042122992178E-3</v>
      </c>
      <c r="AO846" s="61">
        <f t="shared" ca="1" si="177"/>
        <v>-1.2513224111581114E-2</v>
      </c>
      <c r="AP846" s="19"/>
      <c r="AQ846" s="62">
        <f t="shared" ca="1" si="172"/>
        <v>0.93047439775052576</v>
      </c>
      <c r="AR846" s="62">
        <f t="shared" ca="1" si="173"/>
        <v>1.0949568390389801</v>
      </c>
      <c r="AS846" s="62">
        <f t="shared" ca="1" si="174"/>
        <v>0.90869435961963219</v>
      </c>
      <c r="AT846" s="49"/>
    </row>
    <row r="847" spans="1:46" x14ac:dyDescent="0.3">
      <c r="A847" s="5">
        <v>44690</v>
      </c>
      <c r="B847" s="6">
        <v>95.18</v>
      </c>
      <c r="C847" s="6">
        <v>94.879997000000003</v>
      </c>
      <c r="D847" s="6">
        <v>118.449997</v>
      </c>
      <c r="F847" s="13">
        <v>844</v>
      </c>
      <c r="G847" s="5">
        <v>44690</v>
      </c>
      <c r="H847" s="15">
        <f t="shared" si="170"/>
        <v>-1.955948767829448E-2</v>
      </c>
      <c r="I847" s="15">
        <f t="shared" si="170"/>
        <v>-3.7849663633452345E-2</v>
      </c>
      <c r="J847" s="15">
        <f t="shared" si="170"/>
        <v>-8.6715821138718521E-2</v>
      </c>
      <c r="K847" s="22"/>
      <c r="L847" s="13">
        <v>844</v>
      </c>
      <c r="M847" s="5">
        <v>44690</v>
      </c>
      <c r="N847" s="26">
        <f t="shared" si="167"/>
        <v>1.6834099454649818</v>
      </c>
      <c r="O847" s="26">
        <f t="shared" si="168"/>
        <v>0.89984820941107335</v>
      </c>
      <c r="P847" s="26">
        <f t="shared" si="169"/>
        <v>1.56762837659154</v>
      </c>
      <c r="Q847" s="22"/>
      <c r="AD847" s="59">
        <v>843</v>
      </c>
      <c r="AE847" s="61">
        <f t="shared" ca="1" si="171"/>
        <v>-0.87945176822830651</v>
      </c>
      <c r="AF847" s="61">
        <f t="shared" ca="1" si="171"/>
        <v>6.3999877759384399E-2</v>
      </c>
      <c r="AG847" s="61">
        <f t="shared" ca="1" si="171"/>
        <v>-0.8399306709745008</v>
      </c>
      <c r="AH847" s="19"/>
      <c r="AI847" s="61">
        <f ca="1"/>
        <v>-1.9070282628375571E-2</v>
      </c>
      <c r="AJ847" s="61">
        <f ca="1"/>
        <v>-1.237437378866986E-2</v>
      </c>
      <c r="AK847" s="61">
        <f ca="1"/>
        <v>-3.4062649570391401E-2</v>
      </c>
      <c r="AL847" s="19"/>
      <c r="AM847" s="61">
        <f t="shared" ca="1" si="175"/>
        <v>-1.8719066305865326E-2</v>
      </c>
      <c r="AN847" s="61">
        <f t="shared" ca="1" si="176"/>
        <v>-1.2125321191753328E-2</v>
      </c>
      <c r="AO847" s="61">
        <f t="shared" ca="1" si="177"/>
        <v>-3.3630980967136584E-2</v>
      </c>
      <c r="AP847" s="19"/>
      <c r="AQ847" s="62">
        <f t="shared" ca="1" si="172"/>
        <v>0.91321879406354223</v>
      </c>
      <c r="AR847" s="62">
        <f t="shared" ca="1" si="173"/>
        <v>1.081760303473613</v>
      </c>
      <c r="AS847" s="62">
        <f t="shared" ca="1" si="174"/>
        <v>0.87864225032939636</v>
      </c>
      <c r="AT847" s="49"/>
    </row>
    <row r="848" spans="1:46" x14ac:dyDescent="0.3">
      <c r="A848" s="5">
        <v>44691</v>
      </c>
      <c r="B848" s="6">
        <v>96.370002999999997</v>
      </c>
      <c r="C848" s="6">
        <v>95.050003000000004</v>
      </c>
      <c r="D848" s="6">
        <v>120.970001</v>
      </c>
      <c r="F848" s="13">
        <v>845</v>
      </c>
      <c r="G848" s="5">
        <v>44691</v>
      </c>
      <c r="H848" s="15">
        <f t="shared" si="170"/>
        <v>1.2425145300250812E-2</v>
      </c>
      <c r="I848" s="15">
        <f t="shared" si="170"/>
        <v>1.7901968662454803E-3</v>
      </c>
      <c r="J848" s="15">
        <f t="shared" si="170"/>
        <v>2.1051683960617337E-2</v>
      </c>
      <c r="K848" s="22"/>
      <c r="L848" s="13">
        <v>845</v>
      </c>
      <c r="M848" s="5">
        <v>44691</v>
      </c>
      <c r="N848" s="26">
        <f t="shared" si="167"/>
        <v>1.7044570444913858</v>
      </c>
      <c r="O848" s="26">
        <f t="shared" si="168"/>
        <v>0.90146055763542188</v>
      </c>
      <c r="P848" s="26">
        <f t="shared" si="169"/>
        <v>1.6009794097665275</v>
      </c>
      <c r="Q848" s="22"/>
      <c r="AD848" s="59">
        <v>844</v>
      </c>
      <c r="AE848" s="61">
        <f t="shared" ca="1" si="171"/>
        <v>1.772839105458508</v>
      </c>
      <c r="AF848" s="61">
        <f t="shared" ca="1" si="171"/>
        <v>-0.60697634966876424</v>
      </c>
      <c r="AG848" s="61">
        <f t="shared" ca="1" si="171"/>
        <v>0.74703171303429916</v>
      </c>
      <c r="AH848" s="19"/>
      <c r="AI848" s="61">
        <f ca="1"/>
        <v>3.8442748104127462E-2</v>
      </c>
      <c r="AJ848" s="61">
        <f ca="1"/>
        <v>1.455582812614236E-2</v>
      </c>
      <c r="AK848" s="61">
        <f ca="1"/>
        <v>4.1058977730716303E-2</v>
      </c>
      <c r="AL848" s="19"/>
      <c r="AM848" s="61">
        <f t="shared" ca="1" si="175"/>
        <v>3.8793964426637705E-2</v>
      </c>
      <c r="AN848" s="61">
        <f t="shared" ca="1" si="176"/>
        <v>1.4804880723058892E-2</v>
      </c>
      <c r="AO848" s="61">
        <f t="shared" ca="1" si="177"/>
        <v>4.1490646333971121E-2</v>
      </c>
      <c r="AP848" s="19"/>
      <c r="AQ848" s="62">
        <f t="shared" ca="1" si="172"/>
        <v>0.94934232873935731</v>
      </c>
      <c r="AR848" s="62">
        <f t="shared" ca="1" si="173"/>
        <v>1.0978947755033484</v>
      </c>
      <c r="AS848" s="62">
        <f t="shared" ca="1" si="174"/>
        <v>0.91586453388110389</v>
      </c>
      <c r="AT848" s="49"/>
    </row>
    <row r="849" spans="1:46" x14ac:dyDescent="0.3">
      <c r="A849" s="5">
        <v>44692</v>
      </c>
      <c r="B849" s="6">
        <v>93.610000999999997</v>
      </c>
      <c r="C849" s="6">
        <v>92.370002999999997</v>
      </c>
      <c r="D849" s="6">
        <v>120.41999800000001</v>
      </c>
      <c r="F849" s="13">
        <v>846</v>
      </c>
      <c r="G849" s="5">
        <v>44692</v>
      </c>
      <c r="H849" s="15">
        <f t="shared" si="170"/>
        <v>-2.9057754926942698E-2</v>
      </c>
      <c r="I849" s="15">
        <f t="shared" si="170"/>
        <v>-2.8600817414177856E-2</v>
      </c>
      <c r="J849" s="15">
        <f t="shared" si="170"/>
        <v>-4.5569738105042841E-3</v>
      </c>
      <c r="K849" s="22"/>
      <c r="L849" s="13">
        <v>846</v>
      </c>
      <c r="M849" s="5">
        <v>44692</v>
      </c>
      <c r="N849" s="26">
        <f t="shared" si="167"/>
        <v>1.6556420117502297</v>
      </c>
      <c r="O849" s="26">
        <f t="shared" si="168"/>
        <v>0.87604325917975601</v>
      </c>
      <c r="P849" s="26">
        <f t="shared" si="169"/>
        <v>1.5937003862811117</v>
      </c>
      <c r="Q849" s="22"/>
      <c r="AD849" s="59">
        <v>845</v>
      </c>
      <c r="AE849" s="61">
        <f t="shared" ca="1" si="171"/>
        <v>2.5386779185641557</v>
      </c>
      <c r="AF849" s="61">
        <f t="shared" ca="1" si="171"/>
        <v>0.95493024848445585</v>
      </c>
      <c r="AG849" s="61">
        <f t="shared" ca="1" si="171"/>
        <v>-0.74300366111035965</v>
      </c>
      <c r="AH849" s="19"/>
      <c r="AI849" s="61">
        <f ca="1"/>
        <v>5.5049415054296114E-2</v>
      </c>
      <c r="AJ849" s="61">
        <f ca="1"/>
        <v>6.0492625345664616E-2</v>
      </c>
      <c r="AK849" s="61">
        <f ca="1"/>
        <v>2.5199690788934279E-2</v>
      </c>
      <c r="AL849" s="19"/>
      <c r="AM849" s="61">
        <f t="shared" ca="1" si="175"/>
        <v>5.5400631376806356E-2</v>
      </c>
      <c r="AN849" s="61">
        <f t="shared" ca="1" si="176"/>
        <v>6.0741677942581146E-2</v>
      </c>
      <c r="AO849" s="61">
        <f t="shared" ca="1" si="177"/>
        <v>2.5631359392189097E-2</v>
      </c>
      <c r="AP849" s="19"/>
      <c r="AQ849" s="62">
        <f t="shared" ca="1" si="172"/>
        <v>1.0034206488232862</v>
      </c>
      <c r="AR849" s="62">
        <f t="shared" ca="1" si="173"/>
        <v>1.1666497544806513</v>
      </c>
      <c r="AS849" s="62">
        <f t="shared" ca="1" si="174"/>
        <v>0.93964282002177268</v>
      </c>
      <c r="AT849" s="49"/>
    </row>
    <row r="850" spans="1:46" x14ac:dyDescent="0.3">
      <c r="A850" s="5">
        <v>44693</v>
      </c>
      <c r="B850" s="6">
        <v>92.93</v>
      </c>
      <c r="C850" s="6">
        <v>95.459998999999996</v>
      </c>
      <c r="D850" s="6">
        <v>120.410004</v>
      </c>
      <c r="F850" s="13">
        <v>847</v>
      </c>
      <c r="G850" s="5">
        <v>44693</v>
      </c>
      <c r="H850" s="15">
        <f t="shared" si="170"/>
        <v>-7.290704497024604E-3</v>
      </c>
      <c r="I850" s="15">
        <f t="shared" si="170"/>
        <v>3.2905018019563137E-2</v>
      </c>
      <c r="J850" s="15">
        <f t="shared" si="170"/>
        <v>-8.299630380552642E-5</v>
      </c>
      <c r="K850" s="22"/>
      <c r="L850" s="13">
        <v>847</v>
      </c>
      <c r="M850" s="5">
        <v>44693</v>
      </c>
      <c r="N850" s="26">
        <f t="shared" si="167"/>
        <v>1.643615110654137</v>
      </c>
      <c r="O850" s="26">
        <f t="shared" si="168"/>
        <v>0.90534898700020883</v>
      </c>
      <c r="P850" s="26">
        <f t="shared" si="169"/>
        <v>1.593568120528537</v>
      </c>
      <c r="Q850" s="22"/>
      <c r="AD850" s="59">
        <v>846</v>
      </c>
      <c r="AE850" s="61">
        <f t="shared" ca="1" si="171"/>
        <v>0.68182997447553984</v>
      </c>
      <c r="AF850" s="61">
        <f t="shared" ca="1" si="171"/>
        <v>-0.1120591379178565</v>
      </c>
      <c r="AG850" s="61">
        <f t="shared" ca="1" si="171"/>
        <v>2.7698236407561807</v>
      </c>
      <c r="AH850" s="19"/>
      <c r="AI850" s="61">
        <f ca="1"/>
        <v>1.4784995365852895E-2</v>
      </c>
      <c r="AJ850" s="61">
        <f ca="1"/>
        <v>8.2365137676688252E-3</v>
      </c>
      <c r="AK850" s="61">
        <f ca="1"/>
        <v>8.0247995462405783E-2</v>
      </c>
      <c r="AL850" s="19"/>
      <c r="AM850" s="61">
        <f t="shared" ca="1" si="175"/>
        <v>1.5136211688363139E-2</v>
      </c>
      <c r="AN850" s="61">
        <f t="shared" ca="1" si="176"/>
        <v>8.4855663645853566E-3</v>
      </c>
      <c r="AO850" s="61">
        <f t="shared" ca="1" si="177"/>
        <v>8.06796640656606E-2</v>
      </c>
      <c r="AP850" s="19"/>
      <c r="AQ850" s="62">
        <f t="shared" ca="1" si="172"/>
        <v>1.0187241626137815</v>
      </c>
      <c r="AR850" s="62">
        <f t="shared" ca="1" si="173"/>
        <v>1.176591559665598</v>
      </c>
      <c r="AS850" s="62">
        <f t="shared" ca="1" si="174"/>
        <v>1.0185949823569427</v>
      </c>
      <c r="AT850" s="49"/>
    </row>
    <row r="851" spans="1:46" x14ac:dyDescent="0.3">
      <c r="A851" s="5">
        <v>44694</v>
      </c>
      <c r="B851" s="6">
        <v>93.489998</v>
      </c>
      <c r="C851" s="6">
        <v>99.93</v>
      </c>
      <c r="D851" s="6">
        <v>124.699997</v>
      </c>
      <c r="F851" s="13">
        <v>848</v>
      </c>
      <c r="G851" s="5">
        <v>44694</v>
      </c>
      <c r="H851" s="15">
        <f t="shared" si="170"/>
        <v>6.0079357413137758E-3</v>
      </c>
      <c r="I851" s="15">
        <f t="shared" si="170"/>
        <v>4.5762639771539507E-2</v>
      </c>
      <c r="J851" s="15">
        <f t="shared" si="170"/>
        <v>3.5008209504292558E-2</v>
      </c>
      <c r="K851" s="22"/>
      <c r="L851" s="13">
        <v>848</v>
      </c>
      <c r="M851" s="5">
        <v>44694</v>
      </c>
      <c r="N851" s="26">
        <f t="shared" si="167"/>
        <v>1.6535195675005383</v>
      </c>
      <c r="O851" s="26">
        <f t="shared" si="168"/>
        <v>0.94774277413234498</v>
      </c>
      <c r="P851" s="26">
        <f t="shared" si="169"/>
        <v>1.6503441013854978</v>
      </c>
      <c r="Q851" s="22"/>
      <c r="AD851" s="59">
        <v>847</v>
      </c>
      <c r="AE851" s="61">
        <f t="shared" ca="1" si="171"/>
        <v>-0.71749878600189743</v>
      </c>
      <c r="AF851" s="61">
        <f t="shared" ca="1" si="171"/>
        <v>-2.1834916670240307</v>
      </c>
      <c r="AG851" s="61">
        <f t="shared" ca="1" si="171"/>
        <v>0.89295527321132828</v>
      </c>
      <c r="AH851" s="19"/>
      <c r="AI851" s="61">
        <f ca="1"/>
        <v>-1.5558448034208115E-2</v>
      </c>
      <c r="AJ851" s="61">
        <f ca="1"/>
        <v>-5.869094678481207E-2</v>
      </c>
      <c r="AK851" s="61">
        <f ca="1"/>
        <v>-3.1011165532480456E-3</v>
      </c>
      <c r="AL851" s="19"/>
      <c r="AM851" s="61">
        <f t="shared" ca="1" si="175"/>
        <v>-1.5207231711697871E-2</v>
      </c>
      <c r="AN851" s="61">
        <f t="shared" ca="1" si="176"/>
        <v>-5.8441894187895541E-2</v>
      </c>
      <c r="AO851" s="61">
        <f t="shared" ca="1" si="177"/>
        <v>-2.6694479499932275E-3</v>
      </c>
      <c r="AP851" s="19"/>
      <c r="AQ851" s="62">
        <f t="shared" ca="1" si="172"/>
        <v>1.0033493883958806</v>
      </c>
      <c r="AR851" s="62">
        <f t="shared" ca="1" si="173"/>
        <v>1.1098000408736821</v>
      </c>
      <c r="AS851" s="62">
        <f t="shared" ca="1" si="174"/>
        <v>1.0158795220718819</v>
      </c>
      <c r="AT851" s="49"/>
    </row>
    <row r="852" spans="1:46" x14ac:dyDescent="0.3">
      <c r="A852" s="5">
        <v>44697</v>
      </c>
      <c r="B852" s="6">
        <v>92.019997000000004</v>
      </c>
      <c r="C852" s="6">
        <v>98.300003000000004</v>
      </c>
      <c r="D852" s="6">
        <v>127.779999</v>
      </c>
      <c r="F852" s="13">
        <v>849</v>
      </c>
      <c r="G852" s="5">
        <v>44697</v>
      </c>
      <c r="H852" s="15">
        <f t="shared" si="170"/>
        <v>-1.5848545184848024E-2</v>
      </c>
      <c r="I852" s="15">
        <f t="shared" si="170"/>
        <v>-1.6445883201757688E-2</v>
      </c>
      <c r="J852" s="15">
        <f t="shared" si="170"/>
        <v>2.4399198719994495E-2</v>
      </c>
      <c r="K852" s="22"/>
      <c r="L852" s="13">
        <v>849</v>
      </c>
      <c r="M852" s="5">
        <v>44697</v>
      </c>
      <c r="N852" s="26">
        <f t="shared" si="167"/>
        <v>1.6275202577375265</v>
      </c>
      <c r="O852" s="26">
        <f t="shared" si="168"/>
        <v>0.93228377404621066</v>
      </c>
      <c r="P852" s="26">
        <f t="shared" si="169"/>
        <v>1.6911064370329922</v>
      </c>
      <c r="Q852" s="22"/>
      <c r="AD852" s="59">
        <v>848</v>
      </c>
      <c r="AE852" s="61">
        <f t="shared" ca="1" si="171"/>
        <v>1.0886498119064916</v>
      </c>
      <c r="AF852" s="61">
        <f t="shared" ca="1" si="171"/>
        <v>-5.3900986145580726E-2</v>
      </c>
      <c r="AG852" s="61">
        <f t="shared" ca="1" si="171"/>
        <v>-0.26615103272980623</v>
      </c>
      <c r="AH852" s="19"/>
      <c r="AI852" s="61">
        <f ca="1"/>
        <v>2.3606592591437214E-2</v>
      </c>
      <c r="AJ852" s="61">
        <f ca="1"/>
        <v>1.5868321946072007E-2</v>
      </c>
      <c r="AK852" s="61">
        <f ca="1"/>
        <v>8.8870223472630183E-3</v>
      </c>
      <c r="AL852" s="19"/>
      <c r="AM852" s="61">
        <f t="shared" ca="1" si="175"/>
        <v>2.395780891394746E-2</v>
      </c>
      <c r="AN852" s="61">
        <f t="shared" ca="1" si="176"/>
        <v>1.6117374542988536E-2</v>
      </c>
      <c r="AO852" s="61">
        <f t="shared" ca="1" si="177"/>
        <v>9.3186909505178373E-3</v>
      </c>
      <c r="AP852" s="19"/>
      <c r="AQ852" s="62">
        <f t="shared" ca="1" si="172"/>
        <v>1.0276777042422323</v>
      </c>
      <c r="AR852" s="62">
        <f t="shared" ca="1" si="173"/>
        <v>1.1278320275967673</v>
      </c>
      <c r="AS852" s="62">
        <f t="shared" ca="1" si="174"/>
        <v>1.0253904351853866</v>
      </c>
      <c r="AT852" s="49"/>
    </row>
    <row r="853" spans="1:46" x14ac:dyDescent="0.3">
      <c r="A853" s="5">
        <v>44698</v>
      </c>
      <c r="B853" s="6">
        <v>94.279999000000004</v>
      </c>
      <c r="C853" s="6">
        <v>102</v>
      </c>
      <c r="D853" s="6">
        <v>128.05999800000001</v>
      </c>
      <c r="F853" s="13">
        <v>850</v>
      </c>
      <c r="G853" s="5">
        <v>44698</v>
      </c>
      <c r="H853" s="15">
        <f t="shared" si="170"/>
        <v>2.4263155335513188E-2</v>
      </c>
      <c r="I853" s="15">
        <f t="shared" si="170"/>
        <v>3.6948755612330665E-2</v>
      </c>
      <c r="J853" s="15">
        <f t="shared" si="170"/>
        <v>2.1888611247304758E-3</v>
      </c>
      <c r="K853" s="22"/>
      <c r="L853" s="13">
        <v>850</v>
      </c>
      <c r="M853" s="5">
        <v>44698</v>
      </c>
      <c r="N853" s="26">
        <f t="shared" si="167"/>
        <v>1.6674919938540504</v>
      </c>
      <c r="O853" s="26">
        <f t="shared" si="168"/>
        <v>0.96737479196937037</v>
      </c>
      <c r="P853" s="26">
        <f t="shared" si="169"/>
        <v>1.6948120882692457</v>
      </c>
      <c r="Q853" s="22"/>
      <c r="AD853" s="59">
        <v>849</v>
      </c>
      <c r="AE853" s="61">
        <f t="shared" ca="1" si="171"/>
        <v>0.69535907812218012</v>
      </c>
      <c r="AF853" s="61">
        <f t="shared" ca="1" si="171"/>
        <v>0.87944506531065469</v>
      </c>
      <c r="AG853" s="61">
        <f t="shared" ca="1" si="171"/>
        <v>0.57433170936300715</v>
      </c>
      <c r="AH853" s="19"/>
      <c r="AI853" s="61">
        <f ca="1"/>
        <v>1.5078364302696103E-2</v>
      </c>
      <c r="AJ853" s="61">
        <f ca="1"/>
        <v>2.9999628693654697E-2</v>
      </c>
      <c r="AK853" s="61">
        <f ca="1"/>
        <v>3.1182119991228351E-2</v>
      </c>
      <c r="AL853" s="19"/>
      <c r="AM853" s="61">
        <f t="shared" ca="1" si="175"/>
        <v>1.5429580625206347E-2</v>
      </c>
      <c r="AN853" s="61">
        <f t="shared" ca="1" si="176"/>
        <v>3.0248681290571226E-2</v>
      </c>
      <c r="AO853" s="61">
        <f t="shared" ca="1" si="177"/>
        <v>3.1613788594483168E-2</v>
      </c>
      <c r="AP853" s="19"/>
      <c r="AQ853" s="62">
        <f t="shared" ca="1" si="172"/>
        <v>1.0436573024628544</v>
      </c>
      <c r="AR853" s="62">
        <f t="shared" ca="1" si="173"/>
        <v>1.1624686746433979</v>
      </c>
      <c r="AS853" s="62">
        <f t="shared" ca="1" si="174"/>
        <v>1.0583247580694124</v>
      </c>
      <c r="AT853" s="49"/>
    </row>
    <row r="854" spans="1:46" x14ac:dyDescent="0.3">
      <c r="A854" s="5">
        <v>44699</v>
      </c>
      <c r="B854" s="6">
        <v>89.599997999999999</v>
      </c>
      <c r="C854" s="6">
        <v>95.290001000000004</v>
      </c>
      <c r="D854" s="6">
        <v>124.68</v>
      </c>
      <c r="F854" s="13">
        <v>851</v>
      </c>
      <c r="G854" s="5">
        <v>44699</v>
      </c>
      <c r="H854" s="15">
        <f t="shared" si="170"/>
        <v>-5.0913769801770994E-2</v>
      </c>
      <c r="I854" s="15">
        <f t="shared" si="170"/>
        <v>-6.8047929429893669E-2</v>
      </c>
      <c r="J854" s="15">
        <f t="shared" si="170"/>
        <v>-2.6748433573840467E-2</v>
      </c>
      <c r="K854" s="22"/>
      <c r="L854" s="13">
        <v>851</v>
      </c>
      <c r="M854" s="5">
        <v>44699</v>
      </c>
      <c r="N854" s="26">
        <f t="shared" si="167"/>
        <v>1.5847187197609001</v>
      </c>
      <c r="O854" s="26">
        <f t="shared" si="168"/>
        <v>0.90373671464839311</v>
      </c>
      <c r="P854" s="26">
        <f t="shared" si="169"/>
        <v>1.6500794507697052</v>
      </c>
      <c r="Q854" s="22"/>
      <c r="AD854" s="59">
        <v>850</v>
      </c>
      <c r="AE854" s="61">
        <f t="shared" ca="1" si="171"/>
        <v>1.0281434178377578</v>
      </c>
      <c r="AF854" s="61">
        <f t="shared" ca="1" si="171"/>
        <v>-0.91331876916552879</v>
      </c>
      <c r="AG854" s="61">
        <f t="shared" ca="1" si="171"/>
        <v>-1.1747721979164731</v>
      </c>
      <c r="AH854" s="19"/>
      <c r="AI854" s="61">
        <f ca="1"/>
        <v>2.22945547089742E-2</v>
      </c>
      <c r="AJ854" s="61">
        <f ca="1"/>
        <v>-3.7590646480784515E-3</v>
      </c>
      <c r="AK854" s="61">
        <f ca="1"/>
        <v>-2.1338242076692618E-2</v>
      </c>
      <c r="AL854" s="19"/>
      <c r="AM854" s="61">
        <f t="shared" ca="1" si="175"/>
        <v>2.2645771031484446E-2</v>
      </c>
      <c r="AN854" s="61">
        <f t="shared" ca="1" si="176"/>
        <v>-3.5100120511619209E-3</v>
      </c>
      <c r="AO854" s="61">
        <f t="shared" ca="1" si="177"/>
        <v>-2.0906573473437801E-2</v>
      </c>
      <c r="AP854" s="19"/>
      <c r="AQ854" s="62">
        <f t="shared" ca="1" si="172"/>
        <v>1.0675613682163299</v>
      </c>
      <c r="AR854" s="62">
        <f t="shared" ca="1" si="173"/>
        <v>1.1583955481296808</v>
      </c>
      <c r="AS854" s="62">
        <f t="shared" ca="1" si="174"/>
        <v>1.0364284991665607</v>
      </c>
      <c r="AT854" s="49"/>
    </row>
    <row r="855" spans="1:46" x14ac:dyDescent="0.3">
      <c r="A855" s="5">
        <v>44700</v>
      </c>
      <c r="B855" s="6">
        <v>88.919998000000007</v>
      </c>
      <c r="C855" s="6">
        <v>92.089995999999999</v>
      </c>
      <c r="D855" s="6">
        <v>124.260002</v>
      </c>
      <c r="F855" s="13">
        <v>852</v>
      </c>
      <c r="G855" s="5">
        <v>44700</v>
      </c>
      <c r="H855" s="15">
        <f t="shared" si="170"/>
        <v>-7.6182310555880728E-3</v>
      </c>
      <c r="I855" s="15">
        <f t="shared" si="170"/>
        <v>-3.4158567556872112E-2</v>
      </c>
      <c r="J855" s="15">
        <f t="shared" si="170"/>
        <v>-3.3742941683046167E-3</v>
      </c>
      <c r="K855" s="22"/>
      <c r="L855" s="13">
        <v>852</v>
      </c>
      <c r="M855" s="5">
        <v>44700</v>
      </c>
      <c r="N855" s="26">
        <f t="shared" si="167"/>
        <v>1.5726918363514004</v>
      </c>
      <c r="O855" s="26">
        <f t="shared" si="168"/>
        <v>0.87338765414666808</v>
      </c>
      <c r="P855" s="26">
        <f t="shared" si="169"/>
        <v>1.6445209805325831</v>
      </c>
      <c r="Q855" s="22"/>
      <c r="AD855" s="59">
        <v>851</v>
      </c>
      <c r="AE855" s="61">
        <f t="shared" ca="1" si="171"/>
        <v>1.1130557671718619</v>
      </c>
      <c r="AF855" s="61">
        <f t="shared" ca="1" si="171"/>
        <v>-0.1241035617960352</v>
      </c>
      <c r="AG855" s="61">
        <f t="shared" ca="1" si="171"/>
        <v>-0.41616813852540374</v>
      </c>
      <c r="AH855" s="19"/>
      <c r="AI855" s="61">
        <f ca="1"/>
        <v>2.4135818276734011E-2</v>
      </c>
      <c r="AJ855" s="61">
        <f ca="1"/>
        <v>1.472440778433274E-2</v>
      </c>
      <c r="AK855" s="61">
        <f ca="1"/>
        <v>4.9098032680354627E-3</v>
      </c>
      <c r="AL855" s="19"/>
      <c r="AM855" s="61">
        <f t="shared" ca="1" si="175"/>
        <v>2.4487034599244256E-2</v>
      </c>
      <c r="AN855" s="61">
        <f t="shared" ca="1" si="176"/>
        <v>1.4973460381249271E-2</v>
      </c>
      <c r="AO855" s="61">
        <f t="shared" ca="1" si="177"/>
        <v>5.3414718712902808E-3</v>
      </c>
      <c r="AP855" s="19"/>
      <c r="AQ855" s="62">
        <f t="shared" ca="1" si="172"/>
        <v>1.0940254717434088</v>
      </c>
      <c r="AR855" s="62">
        <f t="shared" ca="1" si="173"/>
        <v>1.1758712473104054</v>
      </c>
      <c r="AS855" s="62">
        <f t="shared" ca="1" si="174"/>
        <v>1.0419793645392998</v>
      </c>
      <c r="AT855" s="49"/>
    </row>
    <row r="856" spans="1:46" x14ac:dyDescent="0.3">
      <c r="A856" s="5">
        <v>44701</v>
      </c>
      <c r="B856" s="6">
        <v>88.610000999999997</v>
      </c>
      <c r="C856" s="6">
        <v>93.239998</v>
      </c>
      <c r="D856" s="6">
        <v>122.980003</v>
      </c>
      <c r="F856" s="13">
        <v>853</v>
      </c>
      <c r="G856" s="5">
        <v>44701</v>
      </c>
      <c r="H856" s="15">
        <f t="shared" si="170"/>
        <v>-3.4923372592490149E-3</v>
      </c>
      <c r="I856" s="15">
        <f t="shared" si="170"/>
        <v>1.2410476420029343E-2</v>
      </c>
      <c r="J856" s="15">
        <f t="shared" si="170"/>
        <v>-1.0354395811298036E-2</v>
      </c>
      <c r="K856" s="22"/>
      <c r="L856" s="13">
        <v>853</v>
      </c>
      <c r="M856" s="5">
        <v>44701</v>
      </c>
      <c r="N856" s="26">
        <f t="shared" si="167"/>
        <v>1.567209045503908</v>
      </c>
      <c r="O856" s="26">
        <f t="shared" si="168"/>
        <v>0.88429434969092657</v>
      </c>
      <c r="P856" s="26">
        <f t="shared" si="169"/>
        <v>1.6275808133292964</v>
      </c>
      <c r="Q856" s="22"/>
      <c r="AD856" s="59">
        <v>852</v>
      </c>
      <c r="AE856" s="61">
        <f t="shared" ca="1" si="171"/>
        <v>-0.25465567017495599</v>
      </c>
      <c r="AF856" s="61">
        <f t="shared" ca="1" si="171"/>
        <v>1.5379932550484681</v>
      </c>
      <c r="AG856" s="61">
        <f t="shared" ca="1" si="171"/>
        <v>-0.37952062898743255</v>
      </c>
      <c r="AH856" s="19"/>
      <c r="AI856" s="61">
        <f ca="1"/>
        <v>-5.5220260832929361E-3</v>
      </c>
      <c r="AJ856" s="61">
        <f ca="1"/>
        <v>2.9443891876940433E-2</v>
      </c>
      <c r="AK856" s="61">
        <f ca="1"/>
        <v>-2.6547210353461744E-3</v>
      </c>
      <c r="AL856" s="19"/>
      <c r="AM856" s="61">
        <f t="shared" ca="1" si="175"/>
        <v>-5.1708097607826922E-3</v>
      </c>
      <c r="AN856" s="61">
        <f t="shared" ca="1" si="176"/>
        <v>2.9692944473856963E-2</v>
      </c>
      <c r="AO856" s="61">
        <f t="shared" ca="1" si="177"/>
        <v>-2.2230524320913563E-3</v>
      </c>
      <c r="AP856" s="19"/>
      <c r="AQ856" s="62">
        <f t="shared" ca="1" si="172"/>
        <v>1.0883830746085168</v>
      </c>
      <c r="AR856" s="62">
        <f t="shared" ca="1" si="173"/>
        <v>1.2113098616408289</v>
      </c>
      <c r="AS856" s="62">
        <f t="shared" ca="1" si="174"/>
        <v>1.0396655625831981</v>
      </c>
      <c r="AT856" s="49"/>
    </row>
    <row r="857" spans="1:46" x14ac:dyDescent="0.3">
      <c r="A857" s="5">
        <v>44704</v>
      </c>
      <c r="B857" s="6">
        <v>88.419998000000007</v>
      </c>
      <c r="C857" s="6">
        <v>90.949996999999996</v>
      </c>
      <c r="D857" s="6">
        <v>123.959999</v>
      </c>
      <c r="F857" s="13">
        <v>854</v>
      </c>
      <c r="G857" s="5">
        <v>44704</v>
      </c>
      <c r="H857" s="15">
        <f t="shared" si="170"/>
        <v>-2.1465635658388369E-3</v>
      </c>
      <c r="I857" s="15">
        <f t="shared" si="170"/>
        <v>-2.4866920738560734E-2</v>
      </c>
      <c r="J857" s="15">
        <f t="shared" si="170"/>
        <v>7.9371599328952221E-3</v>
      </c>
      <c r="K857" s="22"/>
      <c r="L857" s="13">
        <v>854</v>
      </c>
      <c r="M857" s="5">
        <v>44704</v>
      </c>
      <c r="N857" s="26">
        <f t="shared" si="167"/>
        <v>1.5638485397267681</v>
      </c>
      <c r="O857" s="26">
        <f t="shared" si="168"/>
        <v>0.8625758277204888</v>
      </c>
      <c r="P857" s="26">
        <f t="shared" si="169"/>
        <v>1.6405505860389251</v>
      </c>
      <c r="Q857" s="22"/>
      <c r="AD857" s="59">
        <v>853</v>
      </c>
      <c r="AE857" s="61">
        <f t="shared" ca="1" si="171"/>
        <v>0.75794423520321708</v>
      </c>
      <c r="AF857" s="61">
        <f t="shared" ca="1" si="171"/>
        <v>-1.6252523967984971</v>
      </c>
      <c r="AG857" s="61">
        <f t="shared" ca="1" si="171"/>
        <v>0.38157208703998546</v>
      </c>
      <c r="AH857" s="19"/>
      <c r="AI857" s="61">
        <f ca="1"/>
        <v>1.6435478674392739E-2</v>
      </c>
      <c r="AJ857" s="61">
        <f ca="1"/>
        <v>-2.346291542879627E-2</v>
      </c>
      <c r="AK857" s="61">
        <f ca="1"/>
        <v>9.529123595666841E-3</v>
      </c>
      <c r="AL857" s="19"/>
      <c r="AM857" s="61">
        <f t="shared" ca="1" si="175"/>
        <v>1.6786694996902985E-2</v>
      </c>
      <c r="AN857" s="61">
        <f t="shared" ca="1" si="176"/>
        <v>-2.321386283187974E-2</v>
      </c>
      <c r="AO857" s="61">
        <f t="shared" ca="1" si="177"/>
        <v>9.96079219892166E-3</v>
      </c>
      <c r="AP857" s="19"/>
      <c r="AQ857" s="62">
        <f t="shared" ca="1" si="172"/>
        <v>1.1068076404477187</v>
      </c>
      <c r="AR857" s="62">
        <f t="shared" ca="1" si="173"/>
        <v>1.1835145471662372</v>
      </c>
      <c r="AS857" s="62">
        <f t="shared" ca="1" si="174"/>
        <v>1.050073203330417</v>
      </c>
      <c r="AT857" s="49"/>
    </row>
    <row r="858" spans="1:46" x14ac:dyDescent="0.3">
      <c r="A858" s="5">
        <v>44705</v>
      </c>
      <c r="B858" s="6">
        <v>86.059997999999993</v>
      </c>
      <c r="C858" s="6">
        <v>91.139999000000003</v>
      </c>
      <c r="D858" s="6">
        <v>124.209999</v>
      </c>
      <c r="F858" s="13">
        <v>855</v>
      </c>
      <c r="G858" s="5">
        <v>44705</v>
      </c>
      <c r="H858" s="15">
        <f t="shared" si="170"/>
        <v>-2.7053461607927074E-2</v>
      </c>
      <c r="I858" s="15">
        <f t="shared" si="170"/>
        <v>2.0869028846316447E-3</v>
      </c>
      <c r="J858" s="15">
        <f t="shared" si="170"/>
        <v>2.0147486527917918E-3</v>
      </c>
      <c r="K858" s="22"/>
      <c r="L858" s="13">
        <v>855</v>
      </c>
      <c r="M858" s="5">
        <v>44705</v>
      </c>
      <c r="N858" s="26">
        <f t="shared" si="167"/>
        <v>1.5221081796585041</v>
      </c>
      <c r="O858" s="26">
        <f t="shared" si="168"/>
        <v>0.86437781934032965</v>
      </c>
      <c r="P858" s="26">
        <f t="shared" si="169"/>
        <v>1.6438592150306834</v>
      </c>
      <c r="Q858" s="22"/>
      <c r="AD858" s="59">
        <v>854</v>
      </c>
      <c r="AE858" s="61">
        <f t="shared" ca="1" si="171"/>
        <v>0.41627866915342548</v>
      </c>
      <c r="AF858" s="61">
        <f t="shared" ca="1" si="171"/>
        <v>0.66302470446825423</v>
      </c>
      <c r="AG858" s="61">
        <f t="shared" ca="1" si="171"/>
        <v>1.4417448354325622</v>
      </c>
      <c r="AH858" s="19"/>
      <c r="AI858" s="61">
        <f ca="1"/>
        <v>9.0267052267259933E-3</v>
      </c>
      <c r="AJ858" s="61">
        <f ca="1"/>
        <v>2.0927251051285057E-2</v>
      </c>
      <c r="AK858" s="61">
        <f ca="1"/>
        <v>4.7757508027089599E-2</v>
      </c>
      <c r="AL858" s="19"/>
      <c r="AM858" s="61">
        <f t="shared" ca="1" si="175"/>
        <v>9.3779215492362372E-3</v>
      </c>
      <c r="AN858" s="61">
        <f t="shared" ca="1" si="176"/>
        <v>2.1176303648201587E-2</v>
      </c>
      <c r="AO858" s="61">
        <f t="shared" ca="1" si="177"/>
        <v>4.8189176630344416E-2</v>
      </c>
      <c r="AP858" s="19"/>
      <c r="AQ858" s="62">
        <f t="shared" ca="1" si="172"/>
        <v>1.1172360174936291</v>
      </c>
      <c r="AR858" s="62">
        <f t="shared" ca="1" si="173"/>
        <v>1.2088442588667763</v>
      </c>
      <c r="AS858" s="62">
        <f t="shared" ca="1" si="174"/>
        <v>1.1019144276188826</v>
      </c>
      <c r="AT858" s="49"/>
    </row>
    <row r="859" spans="1:46" x14ac:dyDescent="0.3">
      <c r="A859" s="5">
        <v>44706</v>
      </c>
      <c r="B859" s="6">
        <v>87.370002999999997</v>
      </c>
      <c r="C859" s="6">
        <v>93.690002000000007</v>
      </c>
      <c r="D859" s="6">
        <v>127.339996</v>
      </c>
      <c r="F859" s="13">
        <v>856</v>
      </c>
      <c r="G859" s="5">
        <v>44706</v>
      </c>
      <c r="H859" s="15">
        <f t="shared" si="170"/>
        <v>1.510730447587841E-2</v>
      </c>
      <c r="I859" s="15">
        <f t="shared" si="170"/>
        <v>2.7594706446486508E-2</v>
      </c>
      <c r="J859" s="15">
        <f t="shared" si="170"/>
        <v>2.4886969671690115E-2</v>
      </c>
      <c r="K859" s="22"/>
      <c r="L859" s="13">
        <v>856</v>
      </c>
      <c r="M859" s="5">
        <v>44706</v>
      </c>
      <c r="N859" s="26">
        <f t="shared" si="167"/>
        <v>1.5452777052480067</v>
      </c>
      <c r="O859" s="26">
        <f t="shared" si="168"/>
        <v>0.88856221759176368</v>
      </c>
      <c r="P859" s="26">
        <f t="shared" si="169"/>
        <v>1.6852832103039497</v>
      </c>
      <c r="Q859" s="22"/>
      <c r="AD859" s="59">
        <v>855</v>
      </c>
      <c r="AE859" s="61">
        <f t="shared" ca="1" si="171"/>
        <v>4.4102293293892703E-2</v>
      </c>
      <c r="AF859" s="61">
        <f t="shared" ca="1" si="171"/>
        <v>0.26998375330335372</v>
      </c>
      <c r="AG859" s="61">
        <f t="shared" ca="1" si="171"/>
        <v>-8.5263336008188889E-2</v>
      </c>
      <c r="AH859" s="19"/>
      <c r="AI859" s="61">
        <f ca="1"/>
        <v>9.5632668903306006E-4</v>
      </c>
      <c r="AJ859" s="61">
        <f ca="1"/>
        <v>6.5586756144111434E-3</v>
      </c>
      <c r="AK859" s="61">
        <f ca="1"/>
        <v>3.6854259166503025E-4</v>
      </c>
      <c r="AL859" s="19"/>
      <c r="AM859" s="61">
        <f t="shared" ca="1" si="175"/>
        <v>1.3075430115433043E-3</v>
      </c>
      <c r="AN859" s="61">
        <f t="shared" ca="1" si="176"/>
        <v>6.807728211327674E-3</v>
      </c>
      <c r="AO859" s="61">
        <f t="shared" ca="1" si="177"/>
        <v>8.0021119491984849E-4</v>
      </c>
      <c r="AP859" s="19"/>
      <c r="AQ859" s="62">
        <f t="shared" ca="1" si="172"/>
        <v>1.1186978071086804</v>
      </c>
      <c r="AR859" s="62">
        <f t="shared" ca="1" si="173"/>
        <v>1.2171018177477722</v>
      </c>
      <c r="AS859" s="62">
        <f t="shared" ca="1" si="174"/>
        <v>1.1027965447726467</v>
      </c>
      <c r="AT859" s="49"/>
    </row>
    <row r="860" spans="1:46" x14ac:dyDescent="0.3">
      <c r="A860" s="5">
        <v>44707</v>
      </c>
      <c r="B860" s="6">
        <v>86.910004000000001</v>
      </c>
      <c r="C860" s="6">
        <v>98.410004000000001</v>
      </c>
      <c r="D860" s="6">
        <v>128.11999499999999</v>
      </c>
      <c r="F860" s="13">
        <v>857</v>
      </c>
      <c r="G860" s="5">
        <v>44707</v>
      </c>
      <c r="H860" s="15">
        <f t="shared" si="170"/>
        <v>-5.2788621727406304E-3</v>
      </c>
      <c r="I860" s="15">
        <f t="shared" si="170"/>
        <v>4.9150984247077006E-2</v>
      </c>
      <c r="J860" s="15">
        <f t="shared" si="170"/>
        <v>6.1066425381326008E-3</v>
      </c>
      <c r="K860" s="22"/>
      <c r="L860" s="13">
        <v>857</v>
      </c>
      <c r="M860" s="5">
        <v>44707</v>
      </c>
      <c r="N860" s="26">
        <f t="shared" si="167"/>
        <v>1.5371418900399383</v>
      </c>
      <c r="O860" s="26">
        <f t="shared" si="168"/>
        <v>0.93332703085495006</v>
      </c>
      <c r="P860" s="26">
        <f t="shared" si="169"/>
        <v>1.6956061195237193</v>
      </c>
      <c r="Q860" s="22"/>
      <c r="AD860" s="59">
        <v>856</v>
      </c>
      <c r="AE860" s="61">
        <f t="shared" ca="1" si="171"/>
        <v>-1.3335231942933798</v>
      </c>
      <c r="AF860" s="61">
        <f t="shared" ca="1" si="171"/>
        <v>1.6185192651225588</v>
      </c>
      <c r="AG860" s="61">
        <f t="shared" ca="1" si="171"/>
        <v>0.24758132015809836</v>
      </c>
      <c r="AH860" s="19"/>
      <c r="AI860" s="61">
        <f ca="1"/>
        <v>-2.8916496760135139E-2</v>
      </c>
      <c r="AJ860" s="61">
        <f ca="1"/>
        <v>1.430740759397401E-2</v>
      </c>
      <c r="AK860" s="61">
        <f ca="1"/>
        <v>-1.9621527784142992E-3</v>
      </c>
      <c r="AL860" s="19"/>
      <c r="AM860" s="61">
        <f t="shared" ca="1" si="175"/>
        <v>-2.8565280437624893E-2</v>
      </c>
      <c r="AN860" s="61">
        <f t="shared" ca="1" si="176"/>
        <v>1.4556460190890541E-2</v>
      </c>
      <c r="AO860" s="61">
        <f t="shared" ca="1" si="177"/>
        <v>-1.530484175159481E-3</v>
      </c>
      <c r="AP860" s="19"/>
      <c r="AQ860" s="62">
        <f t="shared" ca="1" si="172"/>
        <v>1.0871939903690959</v>
      </c>
      <c r="AR860" s="62">
        <f t="shared" ca="1" si="173"/>
        <v>1.2349480860328392</v>
      </c>
      <c r="AS860" s="62">
        <f t="shared" ca="1" si="174"/>
        <v>1.1011100230390702</v>
      </c>
      <c r="AT860" s="49"/>
    </row>
    <row r="861" spans="1:46" x14ac:dyDescent="0.3">
      <c r="A861" s="5">
        <v>44708</v>
      </c>
      <c r="B861" s="6">
        <v>89.370002999999997</v>
      </c>
      <c r="C861" s="6">
        <v>98.870002999999997</v>
      </c>
      <c r="D861" s="6">
        <v>131.80999800000001</v>
      </c>
      <c r="F861" s="13">
        <v>858</v>
      </c>
      <c r="G861" s="5">
        <v>44708</v>
      </c>
      <c r="H861" s="15">
        <f t="shared" si="170"/>
        <v>2.7911942487620699E-2</v>
      </c>
      <c r="I861" s="15">
        <f t="shared" si="170"/>
        <v>4.663420694746399E-3</v>
      </c>
      <c r="J861" s="15">
        <f t="shared" si="170"/>
        <v>2.8394190835975306E-2</v>
      </c>
      <c r="K861" s="22"/>
      <c r="L861" s="13">
        <v>858</v>
      </c>
      <c r="M861" s="5">
        <v>44708</v>
      </c>
      <c r="N861" s="26">
        <f t="shared" si="167"/>
        <v>1.5806508917465354</v>
      </c>
      <c r="O861" s="26">
        <f t="shared" si="168"/>
        <v>0.93768969200133356</v>
      </c>
      <c r="P861" s="26">
        <f t="shared" si="169"/>
        <v>1.7444415231456203</v>
      </c>
      <c r="Q861" s="22"/>
      <c r="AD861" s="59">
        <v>857</v>
      </c>
      <c r="AE861" s="61">
        <f t="shared" ca="1" si="171"/>
        <v>1.9758574564694447</v>
      </c>
      <c r="AF861" s="61">
        <f t="shared" ca="1" si="171"/>
        <v>-1.0081124317615073</v>
      </c>
      <c r="AG861" s="61">
        <f t="shared" ca="1" si="171"/>
        <v>6.5068535724144727E-2</v>
      </c>
      <c r="AH861" s="19"/>
      <c r="AI861" s="61">
        <f ca="1"/>
        <v>4.2845055851287783E-2</v>
      </c>
      <c r="AJ861" s="61">
        <f ca="1"/>
        <v>9.0144390144344527E-3</v>
      </c>
      <c r="AK861" s="61">
        <f ca="1"/>
        <v>2.3761833649430929E-2</v>
      </c>
      <c r="AL861" s="19"/>
      <c r="AM861" s="61">
        <f t="shared" ca="1" si="175"/>
        <v>4.3196272173798025E-2</v>
      </c>
      <c r="AN861" s="61">
        <f t="shared" ca="1" si="176"/>
        <v>9.2634916113509842E-3</v>
      </c>
      <c r="AO861" s="61">
        <f t="shared" ca="1" si="177"/>
        <v>2.4193502252685746E-2</v>
      </c>
      <c r="AP861" s="19"/>
      <c r="AQ861" s="62">
        <f t="shared" ca="1" si="172"/>
        <v>1.1351857891188282</v>
      </c>
      <c r="AR861" s="62">
        <f t="shared" ca="1" si="173"/>
        <v>1.246441168115813</v>
      </c>
      <c r="AS861" s="62">
        <f t="shared" ca="1" si="174"/>
        <v>1.1280745993894632</v>
      </c>
      <c r="AT861" s="49"/>
    </row>
    <row r="862" spans="1:46" x14ac:dyDescent="0.3">
      <c r="A862" s="5">
        <v>44712</v>
      </c>
      <c r="B862" s="6">
        <v>90.150002000000001</v>
      </c>
      <c r="C862" s="6">
        <v>101.089996</v>
      </c>
      <c r="D862" s="6">
        <v>129.60000600000001</v>
      </c>
      <c r="F862" s="13">
        <v>859</v>
      </c>
      <c r="G862" s="5">
        <v>44712</v>
      </c>
      <c r="H862" s="15">
        <f t="shared" si="170"/>
        <v>8.6898828729612757E-3</v>
      </c>
      <c r="I862" s="15">
        <f t="shared" si="170"/>
        <v>2.2205283345348614E-2</v>
      </c>
      <c r="J862" s="15">
        <f t="shared" si="170"/>
        <v>-1.6908646336549062E-2</v>
      </c>
      <c r="K862" s="22"/>
      <c r="L862" s="13">
        <v>859</v>
      </c>
      <c r="M862" s="5">
        <v>44712</v>
      </c>
      <c r="N862" s="26">
        <f t="shared" si="167"/>
        <v>1.5944464167943684</v>
      </c>
      <c r="O862" s="26">
        <f t="shared" si="168"/>
        <v>0.95874425343808312</v>
      </c>
      <c r="P862" s="26">
        <f t="shared" si="169"/>
        <v>1.7151933487346045</v>
      </c>
      <c r="Q862" s="22"/>
      <c r="AD862" s="59">
        <v>858</v>
      </c>
      <c r="AE862" s="61">
        <f t="shared" ca="1" si="171"/>
        <v>-2.153597145361837E-2</v>
      </c>
      <c r="AF862" s="61">
        <f t="shared" ca="1" si="171"/>
        <v>0.26242210992238157</v>
      </c>
      <c r="AG862" s="61">
        <f t="shared" ca="1" si="171"/>
        <v>-7.9449980593499309E-2</v>
      </c>
      <c r="AH862" s="19"/>
      <c r="AI862" s="61">
        <f ca="1"/>
        <v>-4.6699213889182068E-4</v>
      </c>
      <c r="AJ862" s="61">
        <f ca="1"/>
        <v>5.3669233005304053E-3</v>
      </c>
      <c r="AK862" s="61">
        <f ca="1"/>
        <v>-5.0561328355543654E-4</v>
      </c>
      <c r="AL862" s="19"/>
      <c r="AM862" s="61">
        <f t="shared" ca="1" si="175"/>
        <v>-1.1577581638157647E-4</v>
      </c>
      <c r="AN862" s="61">
        <f t="shared" ca="1" si="176"/>
        <v>5.6159758974469358E-3</v>
      </c>
      <c r="AO862" s="61">
        <f t="shared" ca="1" si="177"/>
        <v>-7.3944680300618297E-5</v>
      </c>
      <c r="AP862" s="19"/>
      <c r="AQ862" s="62">
        <f t="shared" ca="1" si="172"/>
        <v>1.1350543696650921</v>
      </c>
      <c r="AR862" s="62">
        <f t="shared" ca="1" si="173"/>
        <v>1.253460844390357</v>
      </c>
      <c r="AS862" s="62">
        <f t="shared" ca="1" si="174"/>
        <v>1.1279911873578321</v>
      </c>
      <c r="AT862" s="49"/>
    </row>
    <row r="863" spans="1:46" x14ac:dyDescent="0.3">
      <c r="A863" s="5">
        <v>44713</v>
      </c>
      <c r="B863" s="6">
        <v>86.970000999999996</v>
      </c>
      <c r="C863" s="6">
        <v>101.19000200000001</v>
      </c>
      <c r="D863" s="6">
        <v>132.550003</v>
      </c>
      <c r="F863" s="13">
        <v>860</v>
      </c>
      <c r="G863" s="5">
        <v>44713</v>
      </c>
      <c r="H863" s="15">
        <f t="shared" si="170"/>
        <v>-3.5911728734681375E-2</v>
      </c>
      <c r="I863" s="15">
        <f t="shared" si="170"/>
        <v>9.8878790920304974E-4</v>
      </c>
      <c r="J863" s="15">
        <f t="shared" si="170"/>
        <v>2.2507125153533349E-2</v>
      </c>
      <c r="K863" s="22"/>
      <c r="L863" s="13">
        <v>860</v>
      </c>
      <c r="M863" s="5">
        <v>44713</v>
      </c>
      <c r="N863" s="26">
        <f t="shared" si="167"/>
        <v>1.5382030325751144</v>
      </c>
      <c r="O863" s="26">
        <f t="shared" si="168"/>
        <v>0.95969271700127623</v>
      </c>
      <c r="P863" s="26">
        <f t="shared" si="169"/>
        <v>1.7542351311338047</v>
      </c>
      <c r="Q863" s="22"/>
      <c r="AD863" s="59">
        <v>859</v>
      </c>
      <c r="AE863" s="61">
        <f t="shared" ca="1" si="171"/>
        <v>4.510533098402645E-2</v>
      </c>
      <c r="AF863" s="61">
        <f t="shared" ca="1" si="171"/>
        <v>-0.60114494614268099</v>
      </c>
      <c r="AG863" s="61">
        <f t="shared" ca="1" si="171"/>
        <v>4.0367824278203332E-2</v>
      </c>
      <c r="AH863" s="19"/>
      <c r="AI863" s="61">
        <f ca="1"/>
        <v>9.7807684399186818E-4</v>
      </c>
      <c r="AJ863" s="61">
        <f ca="1"/>
        <v>-1.2360493254402633E-2</v>
      </c>
      <c r="AK863" s="61">
        <f ca="1"/>
        <v>-2.5328619055701865E-3</v>
      </c>
      <c r="AL863" s="19"/>
      <c r="AM863" s="61">
        <f t="shared" ca="1" si="175"/>
        <v>1.3292931665021125E-3</v>
      </c>
      <c r="AN863" s="61">
        <f t="shared" ca="1" si="176"/>
        <v>-1.2111440657486101E-2</v>
      </c>
      <c r="AO863" s="61">
        <f t="shared" ca="1" si="177"/>
        <v>-2.1011933023153684E-3</v>
      </c>
      <c r="AP863" s="19"/>
      <c r="AQ863" s="62">
        <f t="shared" ca="1" si="172"/>
        <v>1.1365641929588657</v>
      </c>
      <c r="AR863" s="62">
        <f t="shared" ca="1" si="173"/>
        <v>1.2383711909324484</v>
      </c>
      <c r="AS863" s="62">
        <f t="shared" ca="1" si="174"/>
        <v>1.1256235481348202</v>
      </c>
      <c r="AT863" s="49"/>
    </row>
    <row r="864" spans="1:46" x14ac:dyDescent="0.3">
      <c r="A864" s="5">
        <v>44714</v>
      </c>
      <c r="B864" s="6">
        <v>89.93</v>
      </c>
      <c r="C864" s="6">
        <v>104.099998</v>
      </c>
      <c r="D864" s="6">
        <v>133.61999499999999</v>
      </c>
      <c r="F864" s="13">
        <v>861</v>
      </c>
      <c r="G864" s="5">
        <v>44714</v>
      </c>
      <c r="H864" s="15">
        <f t="shared" si="170"/>
        <v>3.3468346826532588E-2</v>
      </c>
      <c r="I864" s="15">
        <f t="shared" si="170"/>
        <v>2.8351998902159718E-2</v>
      </c>
      <c r="J864" s="15">
        <f t="shared" si="170"/>
        <v>8.0399577097794751E-3</v>
      </c>
      <c r="K864" s="22"/>
      <c r="L864" s="13">
        <v>861</v>
      </c>
      <c r="M864" s="5">
        <v>44714</v>
      </c>
      <c r="N864" s="26">
        <f t="shared" si="167"/>
        <v>1.5905553309063438</v>
      </c>
      <c r="O864" s="26">
        <f t="shared" si="168"/>
        <v>0.98729131283590066</v>
      </c>
      <c r="P864" s="26">
        <f t="shared" si="169"/>
        <v>1.7683959573424022</v>
      </c>
      <c r="Q864" s="22"/>
      <c r="AD864" s="59">
        <v>860</v>
      </c>
      <c r="AE864" s="61">
        <f t="shared" ca="1" si="171"/>
        <v>0.73331735656723329</v>
      </c>
      <c r="AF864" s="61">
        <f t="shared" ca="1" si="171"/>
        <v>1.6408308899613975</v>
      </c>
      <c r="AG864" s="61">
        <f t="shared" ca="1" si="171"/>
        <v>-1.18096744542396</v>
      </c>
      <c r="AH864" s="19"/>
      <c r="AI864" s="61">
        <f ca="1"/>
        <v>1.5901462423804004E-2</v>
      </c>
      <c r="AJ864" s="61">
        <f ca="1"/>
        <v>4.7143260188975654E-2</v>
      </c>
      <c r="AK864" s="61">
        <f ca="1"/>
        <v>-7.865681538358444E-3</v>
      </c>
      <c r="AL864" s="19"/>
      <c r="AM864" s="61">
        <f t="shared" ca="1" si="175"/>
        <v>1.625267874631425E-2</v>
      </c>
      <c r="AN864" s="61">
        <f t="shared" ca="1" si="176"/>
        <v>4.7392312785892184E-2</v>
      </c>
      <c r="AO864" s="61">
        <f t="shared" ca="1" si="177"/>
        <v>-7.4340129351036259E-3</v>
      </c>
      <c r="AP864" s="19"/>
      <c r="AQ864" s="62">
        <f t="shared" ca="1" si="172"/>
        <v>1.1551873336839082</v>
      </c>
      <c r="AR864" s="62">
        <f t="shared" ca="1" si="173"/>
        <v>1.298473408436239</v>
      </c>
      <c r="AS864" s="62">
        <f t="shared" ca="1" si="174"/>
        <v>1.1172866747247399</v>
      </c>
      <c r="AT864" s="49"/>
    </row>
    <row r="865" spans="1:46" x14ac:dyDescent="0.3">
      <c r="A865" s="5">
        <v>44715</v>
      </c>
      <c r="B865" s="6">
        <v>89.989998</v>
      </c>
      <c r="C865" s="6">
        <v>105.19000200000001</v>
      </c>
      <c r="D865" s="6">
        <v>135.41999799999999</v>
      </c>
      <c r="F865" s="13">
        <v>862</v>
      </c>
      <c r="G865" s="5">
        <v>44715</v>
      </c>
      <c r="H865" s="15">
        <f t="shared" si="170"/>
        <v>6.6694089474117295E-4</v>
      </c>
      <c r="I865" s="15">
        <f t="shared" si="170"/>
        <v>1.0416301355769726E-2</v>
      </c>
      <c r="J865" s="15">
        <f t="shared" si="170"/>
        <v>1.3381132210849422E-2</v>
      </c>
      <c r="K865" s="22"/>
      <c r="L865" s="13">
        <v>862</v>
      </c>
      <c r="M865" s="5">
        <v>44715</v>
      </c>
      <c r="N865" s="26">
        <f t="shared" si="167"/>
        <v>1.591616491128113</v>
      </c>
      <c r="O865" s="26">
        <f t="shared" si="168"/>
        <v>0.9976289833530162</v>
      </c>
      <c r="P865" s="26">
        <f t="shared" si="169"/>
        <v>1.7922181257866101</v>
      </c>
      <c r="Q865" s="22"/>
      <c r="AD865" s="59">
        <v>861</v>
      </c>
      <c r="AE865" s="61">
        <f t="shared" ca="1" si="171"/>
        <v>-0.37502598661694719</v>
      </c>
      <c r="AF865" s="61">
        <f t="shared" ca="1" si="171"/>
        <v>1.8500655269168063</v>
      </c>
      <c r="AG865" s="61">
        <f t="shared" ca="1" si="171"/>
        <v>0.36598254652263712</v>
      </c>
      <c r="AH865" s="19"/>
      <c r="AI865" s="61">
        <f ca="1"/>
        <v>-8.1321703089849845E-3</v>
      </c>
      <c r="AJ865" s="61">
        <f ca="1"/>
        <v>3.4343023406323475E-2</v>
      </c>
      <c r="AK865" s="61">
        <f ca="1"/>
        <v>1.6864256407233061E-2</v>
      </c>
      <c r="AL865" s="19"/>
      <c r="AM865" s="61">
        <f t="shared" ca="1" si="175"/>
        <v>-7.7809539864747406E-3</v>
      </c>
      <c r="AN865" s="61">
        <f t="shared" ca="1" si="176"/>
        <v>3.4592076003240005E-2</v>
      </c>
      <c r="AO865" s="61">
        <f t="shared" ca="1" si="177"/>
        <v>1.7295925010487878E-2</v>
      </c>
      <c r="AP865" s="19"/>
      <c r="AQ865" s="62">
        <f t="shared" ca="1" si="172"/>
        <v>1.146233753067341</v>
      </c>
      <c r="AR865" s="62">
        <f t="shared" ca="1" si="173"/>
        <v>1.3441762195409619</v>
      </c>
      <c r="AS865" s="62">
        <f t="shared" ca="1" si="174"/>
        <v>1.1367792665390779</v>
      </c>
      <c r="AT865" s="49"/>
    </row>
    <row r="866" spans="1:46" x14ac:dyDescent="0.3">
      <c r="A866" s="5">
        <v>44718</v>
      </c>
      <c r="B866" s="6">
        <v>90.75</v>
      </c>
      <c r="C866" s="6">
        <v>105.83000199999999</v>
      </c>
      <c r="D866" s="6">
        <v>138.69000199999999</v>
      </c>
      <c r="F866" s="13">
        <v>863</v>
      </c>
      <c r="G866" s="5">
        <v>44718</v>
      </c>
      <c r="H866" s="15">
        <f t="shared" si="170"/>
        <v>8.4099423237947793E-3</v>
      </c>
      <c r="I866" s="15">
        <f t="shared" si="170"/>
        <v>6.0657942394691505E-3</v>
      </c>
      <c r="J866" s="15">
        <f t="shared" si="170"/>
        <v>2.3860195800261975E-2</v>
      </c>
      <c r="K866" s="22"/>
      <c r="L866" s="13">
        <v>863</v>
      </c>
      <c r="M866" s="5">
        <v>44718</v>
      </c>
      <c r="N866" s="26">
        <f t="shared" si="167"/>
        <v>1.6050583373707406</v>
      </c>
      <c r="O866" s="26">
        <f t="shared" si="168"/>
        <v>1.0036987859692945</v>
      </c>
      <c r="P866" s="26">
        <f t="shared" si="169"/>
        <v>1.8354950459368726</v>
      </c>
      <c r="Q866" s="22"/>
      <c r="AD866" s="59">
        <v>862</v>
      </c>
      <c r="AE866" s="61">
        <f t="shared" ca="1" si="171"/>
        <v>-8.0691761220807762E-2</v>
      </c>
      <c r="AF866" s="61">
        <f t="shared" ca="1" si="171"/>
        <v>3.6546649582687558E-2</v>
      </c>
      <c r="AG866" s="61">
        <f t="shared" ca="1" si="171"/>
        <v>-1.4259199008391568</v>
      </c>
      <c r="AH866" s="19"/>
      <c r="AI866" s="61">
        <f ca="1"/>
        <v>-1.7497431330000146E-3</v>
      </c>
      <c r="AJ866" s="61">
        <f ca="1"/>
        <v>-4.6863609482329844E-4</v>
      </c>
      <c r="AK866" s="61">
        <f ca="1"/>
        <v>-3.7466890344707918E-2</v>
      </c>
      <c r="AL866" s="19"/>
      <c r="AM866" s="61">
        <f t="shared" ca="1" si="175"/>
        <v>-1.3985268104897705E-3</v>
      </c>
      <c r="AN866" s="61">
        <f t="shared" ca="1" si="176"/>
        <v>-2.1958349790676776E-4</v>
      </c>
      <c r="AO866" s="61">
        <f t="shared" ca="1" si="177"/>
        <v>-3.70352217414531E-2</v>
      </c>
      <c r="AP866" s="19"/>
      <c r="AQ866" s="62">
        <f t="shared" ca="1" si="172"/>
        <v>1.1446318348564672</v>
      </c>
      <c r="AR866" s="62">
        <f t="shared" ca="1" si="173"/>
        <v>1.3438810930285139</v>
      </c>
      <c r="AS866" s="62">
        <f t="shared" ca="1" si="174"/>
        <v>1.0954484660411652</v>
      </c>
      <c r="AT866" s="49"/>
    </row>
    <row r="867" spans="1:46" x14ac:dyDescent="0.3">
      <c r="A867" s="5">
        <v>44719</v>
      </c>
      <c r="B867" s="6">
        <v>92.050003000000004</v>
      </c>
      <c r="C867" s="6">
        <v>106.529999</v>
      </c>
      <c r="D867" s="6">
        <v>145.08000200000001</v>
      </c>
      <c r="F867" s="13">
        <v>864</v>
      </c>
      <c r="G867" s="5">
        <v>44719</v>
      </c>
      <c r="H867" s="15">
        <f t="shared" si="170"/>
        <v>1.4223467125109447E-2</v>
      </c>
      <c r="I867" s="15">
        <f t="shared" si="170"/>
        <v>6.5925742322132681E-3</v>
      </c>
      <c r="J867" s="15">
        <f t="shared" si="170"/>
        <v>4.5044087111305184E-2</v>
      </c>
      <c r="K867" s="22"/>
      <c r="L867" s="13">
        <v>864</v>
      </c>
      <c r="M867" s="5">
        <v>44719</v>
      </c>
      <c r="N867" s="26">
        <f t="shared" si="167"/>
        <v>1.628050961654564</v>
      </c>
      <c r="O867" s="26">
        <f t="shared" si="168"/>
        <v>1.0103376041286494</v>
      </c>
      <c r="P867" s="26">
        <f t="shared" si="169"/>
        <v>1.9200636029662153</v>
      </c>
      <c r="Q867" s="22"/>
      <c r="AD867" s="59">
        <v>863</v>
      </c>
      <c r="AE867" s="61">
        <f t="shared" ca="1" si="171"/>
        <v>-0.80611841412758334</v>
      </c>
      <c r="AF867" s="61">
        <f t="shared" ca="1" si="171"/>
        <v>-0.40435413761735539</v>
      </c>
      <c r="AG867" s="61">
        <f t="shared" ca="1" si="171"/>
        <v>-0.25285766584020014</v>
      </c>
      <c r="AH867" s="19"/>
      <c r="AI867" s="61">
        <f ca="1"/>
        <v>-1.7480101291194511E-2</v>
      </c>
      <c r="AJ867" s="61">
        <f ca="1"/>
        <v>-2.1406686476621018E-2</v>
      </c>
      <c r="AK867" s="61">
        <f ca="1"/>
        <v>-2.1236689918431716E-2</v>
      </c>
      <c r="AL867" s="19"/>
      <c r="AM867" s="61">
        <f t="shared" ca="1" si="175"/>
        <v>-1.7128884968684265E-2</v>
      </c>
      <c r="AN867" s="61">
        <f t="shared" ca="1" si="176"/>
        <v>-2.1157633879704488E-2</v>
      </c>
      <c r="AO867" s="61">
        <f t="shared" ca="1" si="177"/>
        <v>-2.0805021315176898E-2</v>
      </c>
      <c r="AP867" s="19"/>
      <c r="AQ867" s="62">
        <f t="shared" ca="1" si="172"/>
        <v>1.1251925299213452</v>
      </c>
      <c r="AR867" s="62">
        <f t="shared" ca="1" si="173"/>
        <v>1.3157464298574271</v>
      </c>
      <c r="AS867" s="62">
        <f t="shared" ca="1" si="174"/>
        <v>1.072893083545823</v>
      </c>
      <c r="AT867" s="49"/>
    </row>
    <row r="868" spans="1:46" x14ac:dyDescent="0.3">
      <c r="A868" s="5">
        <v>44720</v>
      </c>
      <c r="B868" s="6">
        <v>91.099997999999999</v>
      </c>
      <c r="C868" s="6">
        <v>104.44000200000001</v>
      </c>
      <c r="D868" s="6">
        <v>143.770004</v>
      </c>
      <c r="F868" s="13">
        <v>865</v>
      </c>
      <c r="G868" s="5">
        <v>44720</v>
      </c>
      <c r="H868" s="15">
        <f t="shared" si="170"/>
        <v>-1.0374157958053961E-2</v>
      </c>
      <c r="I868" s="15">
        <f t="shared" si="170"/>
        <v>-1.9813863255400056E-2</v>
      </c>
      <c r="J868" s="15">
        <f t="shared" si="170"/>
        <v>-9.0704999434824702E-3</v>
      </c>
      <c r="K868" s="22"/>
      <c r="L868" s="13">
        <v>865</v>
      </c>
      <c r="M868" s="5">
        <v>44720</v>
      </c>
      <c r="N868" s="26">
        <f t="shared" si="167"/>
        <v>1.6112486096347964</v>
      </c>
      <c r="O868" s="26">
        <f t="shared" si="168"/>
        <v>0.99051593341206501</v>
      </c>
      <c r="P868" s="26">
        <f t="shared" si="169"/>
        <v>1.9027264135184336</v>
      </c>
      <c r="Q868" s="22"/>
      <c r="AD868" s="59">
        <v>864</v>
      </c>
      <c r="AE868" s="61">
        <f t="shared" ca="1" si="171"/>
        <v>0.2222981342813149</v>
      </c>
      <c r="AF868" s="61">
        <f t="shared" ca="1" si="171"/>
        <v>0.77733220283474413</v>
      </c>
      <c r="AG868" s="61">
        <f t="shared" ca="1" si="171"/>
        <v>1.5172584722338751</v>
      </c>
      <c r="AH868" s="19"/>
      <c r="AI868" s="61">
        <f ca="1"/>
        <v>4.8203760588775534E-3</v>
      </c>
      <c r="AJ868" s="61">
        <f ca="1"/>
        <v>2.0375591967671122E-2</v>
      </c>
      <c r="AK868" s="61">
        <f ca="1"/>
        <v>4.7631001748172072E-2</v>
      </c>
      <c r="AL868" s="19"/>
      <c r="AM868" s="61">
        <f t="shared" ca="1" si="175"/>
        <v>5.1715923813877972E-3</v>
      </c>
      <c r="AN868" s="61">
        <f t="shared" ca="1" si="176"/>
        <v>2.0624644564587652E-2</v>
      </c>
      <c r="AO868" s="61">
        <f t="shared" ca="1" si="177"/>
        <v>4.8062670351426889E-2</v>
      </c>
      <c r="AP868" s="19"/>
      <c r="AQ868" s="62">
        <f t="shared" ca="1" si="172"/>
        <v>1.1310266398529727</v>
      </c>
      <c r="AR868" s="62">
        <f t="shared" ca="1" si="173"/>
        <v>1.3431650096144983</v>
      </c>
      <c r="AS868" s="62">
        <f t="shared" ca="1" si="174"/>
        <v>1.1257184865193963</v>
      </c>
      <c r="AT868" s="49"/>
    </row>
    <row r="869" spans="1:46" x14ac:dyDescent="0.3">
      <c r="A869" s="5">
        <v>44721</v>
      </c>
      <c r="B869" s="6">
        <v>87.620002999999997</v>
      </c>
      <c r="C869" s="6">
        <v>103.18</v>
      </c>
      <c r="D869" s="6">
        <v>143.41000399999999</v>
      </c>
      <c r="F869" s="13">
        <v>866</v>
      </c>
      <c r="G869" s="5">
        <v>44721</v>
      </c>
      <c r="H869" s="15">
        <f t="shared" si="170"/>
        <v>-3.8948465687505485E-2</v>
      </c>
      <c r="I869" s="15">
        <f t="shared" si="170"/>
        <v>-1.2137727164175081E-2</v>
      </c>
      <c r="J869" s="15">
        <f t="shared" si="170"/>
        <v>-2.5071396235386515E-3</v>
      </c>
      <c r="K869" s="22"/>
      <c r="L869" s="13">
        <v>866</v>
      </c>
      <c r="M869" s="5">
        <v>44721</v>
      </c>
      <c r="N869" s="26">
        <f t="shared" si="167"/>
        <v>1.5496993535603227</v>
      </c>
      <c r="O869" s="26">
        <f t="shared" si="168"/>
        <v>0.97856599054313376</v>
      </c>
      <c r="P869" s="26">
        <f t="shared" si="169"/>
        <v>1.8979619877703013</v>
      </c>
      <c r="Q869" s="22"/>
      <c r="AD869" s="59">
        <v>865</v>
      </c>
      <c r="AE869" s="61">
        <f t="shared" ca="1" si="171"/>
        <v>-1.861191481507606</v>
      </c>
      <c r="AF869" s="61">
        <f t="shared" ca="1" si="171"/>
        <v>0.7944553773181221</v>
      </c>
      <c r="AG869" s="61">
        <f t="shared" ca="1" si="171"/>
        <v>0.43309248886933782</v>
      </c>
      <c r="AH869" s="19"/>
      <c r="AI869" s="61">
        <f ca="1"/>
        <v>-4.0358606190966193E-2</v>
      </c>
      <c r="AJ869" s="61">
        <f ca="1"/>
        <v>-1.1863701925003182E-2</v>
      </c>
      <c r="AK869" s="61">
        <f ca="1"/>
        <v>-1.0809389571749258E-2</v>
      </c>
      <c r="AL869" s="19"/>
      <c r="AM869" s="61">
        <f t="shared" ca="1" si="175"/>
        <v>-4.000738986845595E-2</v>
      </c>
      <c r="AN869" s="61">
        <f t="shared" ca="1" si="176"/>
        <v>-1.1614649328086651E-2</v>
      </c>
      <c r="AO869" s="61">
        <f t="shared" ca="1" si="177"/>
        <v>-1.0377720968494439E-2</v>
      </c>
      <c r="AP869" s="19"/>
      <c r="AQ869" s="62">
        <f t="shared" ca="1" si="172"/>
        <v>1.0866704205895394</v>
      </c>
      <c r="AR869" s="62">
        <f t="shared" ca="1" si="173"/>
        <v>1.3276548658381415</v>
      </c>
      <c r="AS869" s="62">
        <f t="shared" ca="1" si="174"/>
        <v>1.1140965033308339</v>
      </c>
      <c r="AT869" s="49"/>
    </row>
    <row r="870" spans="1:46" x14ac:dyDescent="0.3">
      <c r="A870" s="5">
        <v>44722</v>
      </c>
      <c r="B870" s="6">
        <v>84.599997999999999</v>
      </c>
      <c r="C870" s="6">
        <v>99.790001000000004</v>
      </c>
      <c r="D870" s="6">
        <v>140.509995</v>
      </c>
      <c r="F870" s="13">
        <v>867</v>
      </c>
      <c r="G870" s="5">
        <v>44722</v>
      </c>
      <c r="H870" s="15">
        <f t="shared" si="170"/>
        <v>-3.5075073652994705E-2</v>
      </c>
      <c r="I870" s="15">
        <f t="shared" si="170"/>
        <v>-3.3407047899238575E-2</v>
      </c>
      <c r="J870" s="15">
        <f t="shared" si="170"/>
        <v>-2.0429063599585837E-2</v>
      </c>
      <c r="K870" s="22"/>
      <c r="L870" s="13">
        <v>867</v>
      </c>
      <c r="M870" s="5">
        <v>44722</v>
      </c>
      <c r="N870" s="26">
        <f t="shared" si="167"/>
        <v>1.4962857535145782</v>
      </c>
      <c r="O870" s="26">
        <f t="shared" si="168"/>
        <v>0.94641501429410058</v>
      </c>
      <c r="P870" s="26">
        <f t="shared" si="169"/>
        <v>1.8595817723552615</v>
      </c>
      <c r="Q870" s="22"/>
      <c r="AD870" s="59">
        <v>866</v>
      </c>
      <c r="AE870" s="61">
        <f t="shared" ca="1" si="171"/>
        <v>-0.99459800822833877</v>
      </c>
      <c r="AF870" s="61">
        <f t="shared" ca="1" si="171"/>
        <v>-1.9016834513679821</v>
      </c>
      <c r="AG870" s="61">
        <f t="shared" ca="1" si="171"/>
        <v>-0.47131746738077207</v>
      </c>
      <c r="AH870" s="19"/>
      <c r="AI870" s="61">
        <f ca="1"/>
        <v>-2.1567146492574806E-2</v>
      </c>
      <c r="AJ870" s="61">
        <f ca="1"/>
        <v>-5.6902809109122418E-2</v>
      </c>
      <c r="AK870" s="61">
        <f ca="1"/>
        <v>-4.0163391969757919E-2</v>
      </c>
      <c r="AL870" s="19"/>
      <c r="AM870" s="61">
        <f t="shared" ca="1" si="175"/>
        <v>-2.1215930170064561E-2</v>
      </c>
      <c r="AN870" s="61">
        <f t="shared" ca="1" si="176"/>
        <v>-5.6653756512205888E-2</v>
      </c>
      <c r="AO870" s="61">
        <f t="shared" ca="1" si="177"/>
        <v>-3.9731723366503102E-2</v>
      </c>
      <c r="AP870" s="19"/>
      <c r="AQ870" s="62">
        <f t="shared" ca="1" si="172"/>
        <v>1.0638585401190219</v>
      </c>
      <c r="AR870" s="62">
        <f t="shared" ca="1" si="173"/>
        <v>1.2545292098148033</v>
      </c>
      <c r="AS870" s="62">
        <f t="shared" ca="1" si="174"/>
        <v>1.0706993596895709</v>
      </c>
      <c r="AT870" s="49"/>
    </row>
    <row r="871" spans="1:46" x14ac:dyDescent="0.3">
      <c r="A871" s="5">
        <v>44725</v>
      </c>
      <c r="B871" s="6">
        <v>80.569999999999993</v>
      </c>
      <c r="C871" s="6">
        <v>94.389999000000003</v>
      </c>
      <c r="D871" s="6">
        <v>131.61000100000001</v>
      </c>
      <c r="F871" s="13">
        <v>868</v>
      </c>
      <c r="G871" s="5">
        <v>44725</v>
      </c>
      <c r="H871" s="15">
        <f t="shared" si="170"/>
        <v>-4.8807871182410832E-2</v>
      </c>
      <c r="I871" s="15">
        <f t="shared" si="170"/>
        <v>-5.5632863174754986E-2</v>
      </c>
      <c r="J871" s="15">
        <f t="shared" si="170"/>
        <v>-6.5435613589153105E-2</v>
      </c>
      <c r="K871" s="22"/>
      <c r="L871" s="13">
        <v>868</v>
      </c>
      <c r="M871" s="5">
        <v>44725</v>
      </c>
      <c r="N871" s="26">
        <f t="shared" si="167"/>
        <v>1.4250088180932292</v>
      </c>
      <c r="O871" s="26">
        <f t="shared" si="168"/>
        <v>0.89520103575111842</v>
      </c>
      <c r="P871" s="26">
        <f t="shared" si="169"/>
        <v>1.7417946596557616</v>
      </c>
      <c r="Q871" s="22"/>
      <c r="AD871" s="59">
        <v>867</v>
      </c>
      <c r="AE871" s="61">
        <f t="shared" ca="1" si="171"/>
        <v>0.65353054902484775</v>
      </c>
      <c r="AF871" s="61">
        <f t="shared" ca="1" si="171"/>
        <v>0.42705070338578927</v>
      </c>
      <c r="AG871" s="61">
        <f t="shared" ca="1" si="171"/>
        <v>0.88456880063643362</v>
      </c>
      <c r="AH871" s="19"/>
      <c r="AI871" s="61">
        <f ca="1"/>
        <v>1.4171342564116483E-2</v>
      </c>
      <c r="AJ871" s="61">
        <f ca="1"/>
        <v>1.9511662603137744E-2</v>
      </c>
      <c r="AK871" s="61">
        <f ca="1"/>
        <v>3.5326371479462146E-2</v>
      </c>
      <c r="AL871" s="19"/>
      <c r="AM871" s="61">
        <f t="shared" ca="1" si="175"/>
        <v>1.4522558886626727E-2</v>
      </c>
      <c r="AN871" s="61">
        <f t="shared" ca="1" si="176"/>
        <v>1.9760715200054273E-2</v>
      </c>
      <c r="AO871" s="61">
        <f t="shared" ca="1" si="177"/>
        <v>3.5758040082716963E-2</v>
      </c>
      <c r="AP871" s="19"/>
      <c r="AQ871" s="62">
        <f t="shared" ca="1" si="172"/>
        <v>1.0794212198621911</v>
      </c>
      <c r="AR871" s="62">
        <f t="shared" ca="1" si="173"/>
        <v>1.2795661635871782</v>
      </c>
      <c r="AS871" s="62">
        <f t="shared" ca="1" si="174"/>
        <v>1.1096782209202829</v>
      </c>
      <c r="AT871" s="49"/>
    </row>
    <row r="872" spans="1:46" x14ac:dyDescent="0.3">
      <c r="A872" s="5">
        <v>44726</v>
      </c>
      <c r="B872" s="6">
        <v>81.430000000000007</v>
      </c>
      <c r="C872" s="6">
        <v>94.57</v>
      </c>
      <c r="D872" s="6">
        <v>133.75</v>
      </c>
      <c r="F872" s="13">
        <v>869</v>
      </c>
      <c r="G872" s="5">
        <v>44726</v>
      </c>
      <c r="H872" s="15">
        <f t="shared" si="170"/>
        <v>1.0617383689935467E-2</v>
      </c>
      <c r="I872" s="15">
        <f t="shared" si="170"/>
        <v>1.9051762849102791E-3</v>
      </c>
      <c r="J872" s="15">
        <f t="shared" si="170"/>
        <v>1.6129374331676754E-2</v>
      </c>
      <c r="K872" s="22"/>
      <c r="L872" s="13">
        <v>869</v>
      </c>
      <c r="M872" s="5">
        <v>44726</v>
      </c>
      <c r="N872" s="26">
        <f t="shared" si="167"/>
        <v>1.4402192882875968</v>
      </c>
      <c r="O872" s="26">
        <f t="shared" si="168"/>
        <v>0.89690817722101324</v>
      </c>
      <c r="P872" s="26">
        <f t="shared" si="169"/>
        <v>1.7701165105906966</v>
      </c>
      <c r="Q872" s="22"/>
      <c r="AD872" s="59">
        <v>868</v>
      </c>
      <c r="AE872" s="61">
        <f t="shared" ca="1" si="171"/>
        <v>-0.11721308322376106</v>
      </c>
      <c r="AF872" s="61">
        <f t="shared" ca="1" si="171"/>
        <v>0.1492198365578378</v>
      </c>
      <c r="AG872" s="61">
        <f t="shared" ca="1" si="171"/>
        <v>0.85340329568904705</v>
      </c>
      <c r="AH872" s="19"/>
      <c r="AI872" s="61">
        <f ca="1"/>
        <v>-2.5416818813424093E-3</v>
      </c>
      <c r="AJ872" s="61">
        <f ca="1"/>
        <v>1.4087862084957571E-3</v>
      </c>
      <c r="AK872" s="61">
        <f ca="1"/>
        <v>2.1183141650495198E-2</v>
      </c>
      <c r="AL872" s="19"/>
      <c r="AM872" s="61">
        <f t="shared" ca="1" si="175"/>
        <v>-2.190465558832165E-3</v>
      </c>
      <c r="AN872" s="61">
        <f t="shared" ca="1" si="176"/>
        <v>1.6578388054122877E-3</v>
      </c>
      <c r="AO872" s="61">
        <f t="shared" ca="1" si="177"/>
        <v>2.1614810253750016E-2</v>
      </c>
      <c r="AP872" s="19"/>
      <c r="AQ872" s="62">
        <f t="shared" ca="1" si="172"/>
        <v>1.0770593725735536</v>
      </c>
      <c r="AR872" s="62">
        <f t="shared" ca="1" si="173"/>
        <v>1.2816892373980808</v>
      </c>
      <c r="AS872" s="62">
        <f t="shared" ca="1" si="174"/>
        <v>1.1339248037588863</v>
      </c>
      <c r="AT872" s="49"/>
    </row>
    <row r="873" spans="1:46" x14ac:dyDescent="0.3">
      <c r="A873" s="5">
        <v>44727</v>
      </c>
      <c r="B873" s="6">
        <v>82.339995999999999</v>
      </c>
      <c r="C873" s="6">
        <v>95.870002999999997</v>
      </c>
      <c r="D873" s="6">
        <v>128.300003</v>
      </c>
      <c r="F873" s="13">
        <v>870</v>
      </c>
      <c r="G873" s="5">
        <v>44727</v>
      </c>
      <c r="H873" s="15">
        <f t="shared" si="170"/>
        <v>1.1113212283654897E-2</v>
      </c>
      <c r="I873" s="15">
        <f t="shared" si="170"/>
        <v>1.3652837353859004E-2</v>
      </c>
      <c r="J873" s="15">
        <f t="shared" si="170"/>
        <v>-4.1601090771828643E-2</v>
      </c>
      <c r="K873" s="22"/>
      <c r="L873" s="13">
        <v>870</v>
      </c>
      <c r="M873" s="5">
        <v>44727</v>
      </c>
      <c r="N873" s="26">
        <f t="shared" si="167"/>
        <v>1.4563140173980542</v>
      </c>
      <c r="O873" s="26">
        <f t="shared" si="168"/>
        <v>0.90923749223752848</v>
      </c>
      <c r="P873" s="26">
        <f t="shared" si="169"/>
        <v>1.6979884382739134</v>
      </c>
      <c r="Q873" s="22"/>
      <c r="AD873" s="59">
        <v>869</v>
      </c>
      <c r="AE873" s="61">
        <f t="shared" ca="1" si="171"/>
        <v>-0.66973035477667775</v>
      </c>
      <c r="AF873" s="61">
        <f t="shared" ca="1" si="171"/>
        <v>2.1605239141704224</v>
      </c>
      <c r="AG873" s="61">
        <f t="shared" ca="1" si="171"/>
        <v>0.58336609559613772</v>
      </c>
      <c r="AH873" s="19"/>
      <c r="AI873" s="61">
        <f ca="1"/>
        <v>-1.4522623766080002E-2</v>
      </c>
      <c r="AJ873" s="61">
        <f ca="1"/>
        <v>3.647834002320919E-2</v>
      </c>
      <c r="AK873" s="61">
        <f ca="1"/>
        <v>2.0265586197406989E-2</v>
      </c>
      <c r="AL873" s="19"/>
      <c r="AM873" s="61">
        <f t="shared" ca="1" si="175"/>
        <v>-1.4171407443569758E-2</v>
      </c>
      <c r="AN873" s="61">
        <f t="shared" ca="1" si="176"/>
        <v>3.6727392620125719E-2</v>
      </c>
      <c r="AO873" s="61">
        <f t="shared" ca="1" si="177"/>
        <v>2.0697254800661806E-2</v>
      </c>
      <c r="AP873" s="19"/>
      <c r="AQ873" s="62">
        <f t="shared" ca="1" si="172"/>
        <v>1.0619035685435518</v>
      </c>
      <c r="AR873" s="62">
        <f t="shared" ca="1" si="173"/>
        <v>1.3296374581373729</v>
      </c>
      <c r="AS873" s="62">
        <f t="shared" ca="1" si="174"/>
        <v>1.1576384919444938</v>
      </c>
      <c r="AT873" s="49"/>
    </row>
    <row r="874" spans="1:46" x14ac:dyDescent="0.3">
      <c r="A874" s="5">
        <v>44728</v>
      </c>
      <c r="B874" s="6">
        <v>78.319999999999993</v>
      </c>
      <c r="C874" s="6">
        <v>87.139999000000003</v>
      </c>
      <c r="D874" s="6">
        <v>118.739998</v>
      </c>
      <c r="F874" s="13">
        <v>871</v>
      </c>
      <c r="G874" s="5">
        <v>44728</v>
      </c>
      <c r="H874" s="15">
        <f t="shared" si="170"/>
        <v>-5.0053969540440182E-2</v>
      </c>
      <c r="I874" s="15">
        <f t="shared" si="170"/>
        <v>-9.5477129167769875E-2</v>
      </c>
      <c r="J874" s="15">
        <f t="shared" si="170"/>
        <v>-7.7435083005281721E-2</v>
      </c>
      <c r="K874" s="22"/>
      <c r="L874" s="13">
        <v>871</v>
      </c>
      <c r="M874" s="5">
        <v>44728</v>
      </c>
      <c r="N874" s="26">
        <f t="shared" si="167"/>
        <v>1.3852139832823844</v>
      </c>
      <c r="O874" s="26">
        <f t="shared" si="168"/>
        <v>0.82644155298858968</v>
      </c>
      <c r="P874" s="26">
        <f t="shared" si="169"/>
        <v>1.5714663994564957</v>
      </c>
      <c r="Q874" s="22"/>
      <c r="AD874" s="59">
        <v>870</v>
      </c>
      <c r="AE874" s="61">
        <f t="shared" ca="1" si="171"/>
        <v>0.89478512809460964</v>
      </c>
      <c r="AF874" s="61">
        <f t="shared" ca="1" si="171"/>
        <v>-0.47375441800127532</v>
      </c>
      <c r="AG874" s="61">
        <f t="shared" ca="1" si="171"/>
        <v>-1.4023146140967875E-2</v>
      </c>
      <c r="AH874" s="19"/>
      <c r="AI874" s="61">
        <f ca="1"/>
        <v>1.9402775570975559E-2</v>
      </c>
      <c r="AJ874" s="61">
        <f ca="1"/>
        <v>3.7079448153225954E-3</v>
      </c>
      <c r="AK874" s="61">
        <f ca="1"/>
        <v>9.5252696342733086E-3</v>
      </c>
      <c r="AL874" s="19"/>
      <c r="AM874" s="61">
        <f t="shared" ca="1" si="175"/>
        <v>1.9753991893485805E-2</v>
      </c>
      <c r="AN874" s="61">
        <f t="shared" ca="1" si="176"/>
        <v>3.9569974122391259E-3</v>
      </c>
      <c r="AO874" s="61">
        <f t="shared" ca="1" si="177"/>
        <v>9.9569382375281276E-3</v>
      </c>
      <c r="AP874" s="19"/>
      <c r="AQ874" s="62">
        <f t="shared" ca="1" si="172"/>
        <v>1.083088962165603</v>
      </c>
      <c r="AR874" s="62">
        <f t="shared" ca="1" si="173"/>
        <v>1.3349092534799658</v>
      </c>
      <c r="AS874" s="62">
        <f t="shared" ca="1" si="174"/>
        <v>1.169222602341552</v>
      </c>
      <c r="AT874" s="49"/>
    </row>
    <row r="875" spans="1:46" x14ac:dyDescent="0.3">
      <c r="A875" s="5">
        <v>44729</v>
      </c>
      <c r="B875" s="6">
        <v>76.839995999999999</v>
      </c>
      <c r="C875" s="6">
        <v>89.709998999999996</v>
      </c>
      <c r="D875" s="6">
        <v>112.44000200000001</v>
      </c>
      <c r="F875" s="13">
        <v>872</v>
      </c>
      <c r="G875" s="5">
        <v>44729</v>
      </c>
      <c r="H875" s="15">
        <f t="shared" si="170"/>
        <v>-1.9077712378121003E-2</v>
      </c>
      <c r="I875" s="15">
        <f t="shared" si="170"/>
        <v>2.9066225210652805E-2</v>
      </c>
      <c r="J875" s="15">
        <f t="shared" si="170"/>
        <v>-5.451644817341017E-2</v>
      </c>
      <c r="K875" s="22"/>
      <c r="L875" s="13">
        <v>872</v>
      </c>
      <c r="M875" s="5">
        <v>44729</v>
      </c>
      <c r="N875" s="26">
        <f t="shared" si="167"/>
        <v>1.3590377545271002</v>
      </c>
      <c r="O875" s="26">
        <f t="shared" si="168"/>
        <v>0.85081560411958257</v>
      </c>
      <c r="P875" s="26">
        <f t="shared" si="169"/>
        <v>1.4880890018022501</v>
      </c>
      <c r="Q875" s="22"/>
      <c r="AD875" s="59">
        <v>871</v>
      </c>
      <c r="AE875" s="61">
        <f t="shared" ca="1" si="171"/>
        <v>-0.41134362789576923</v>
      </c>
      <c r="AF875" s="61">
        <f t="shared" ca="1" si="171"/>
        <v>0.31180457466151518</v>
      </c>
      <c r="AG875" s="61">
        <f t="shared" ca="1" si="171"/>
        <v>1.2202472365205888</v>
      </c>
      <c r="AH875" s="19"/>
      <c r="AI875" s="61">
        <f ca="1"/>
        <v>-8.9196923864928186E-3</v>
      </c>
      <c r="AJ875" s="61">
        <f ca="1"/>
        <v>3.3890026220771263E-4</v>
      </c>
      <c r="AK875" s="61">
        <f ca="1"/>
        <v>2.7380724164026815E-2</v>
      </c>
      <c r="AL875" s="19"/>
      <c r="AM875" s="61">
        <f t="shared" ca="1" si="175"/>
        <v>-8.5684760639825747E-3</v>
      </c>
      <c r="AN875" s="61">
        <f t="shared" ca="1" si="176"/>
        <v>5.879528591242433E-4</v>
      </c>
      <c r="AO875" s="61">
        <f t="shared" ca="1" si="177"/>
        <v>2.7812392767281632E-2</v>
      </c>
      <c r="AP875" s="19"/>
      <c r="AQ875" s="62">
        <f t="shared" ca="1" si="172"/>
        <v>1.0738481865376521</v>
      </c>
      <c r="AR875" s="62">
        <f t="shared" ca="1" si="173"/>
        <v>1.3356943479688788</v>
      </c>
      <c r="AS875" s="62">
        <f t="shared" ca="1" si="174"/>
        <v>1.2021979161939162</v>
      </c>
      <c r="AT875" s="49"/>
    </row>
    <row r="876" spans="1:46" x14ac:dyDescent="0.3">
      <c r="A876" s="5">
        <v>44733</v>
      </c>
      <c r="B876" s="6">
        <v>79.279999000000004</v>
      </c>
      <c r="C876" s="6">
        <v>92.160004000000001</v>
      </c>
      <c r="D876" s="6">
        <v>116.470001</v>
      </c>
      <c r="F876" s="13">
        <v>873</v>
      </c>
      <c r="G876" s="5">
        <v>44733</v>
      </c>
      <c r="H876" s="15">
        <f t="shared" si="170"/>
        <v>3.1260591564077019E-2</v>
      </c>
      <c r="I876" s="15">
        <f t="shared" si="170"/>
        <v>2.6944005926195284E-2</v>
      </c>
      <c r="J876" s="15">
        <f t="shared" si="170"/>
        <v>3.521397387486707E-2</v>
      </c>
      <c r="K876" s="22"/>
      <c r="L876" s="13">
        <v>873</v>
      </c>
      <c r="M876" s="5">
        <v>44733</v>
      </c>
      <c r="N876" s="26">
        <f t="shared" si="167"/>
        <v>1.4021930951150852</v>
      </c>
      <c r="O876" s="26">
        <f t="shared" si="168"/>
        <v>0.8740516146803563</v>
      </c>
      <c r="P876" s="26">
        <f t="shared" si="169"/>
        <v>1.5414240879148779</v>
      </c>
      <c r="Q876" s="22"/>
      <c r="AD876" s="59">
        <v>872</v>
      </c>
      <c r="AE876" s="61">
        <f t="shared" ca="1" si="171"/>
        <v>-0.78993782696394177</v>
      </c>
      <c r="AF876" s="61">
        <f t="shared" ca="1" si="171"/>
        <v>-0.43573779064606916</v>
      </c>
      <c r="AG876" s="61">
        <f t="shared" ca="1" si="171"/>
        <v>-1.0468957814588353</v>
      </c>
      <c r="AH876" s="19"/>
      <c r="AI876" s="61">
        <f ca="1"/>
        <v>-1.7129236830571121E-2</v>
      </c>
      <c r="AJ876" s="61">
        <f ca="1"/>
        <v>-2.1835578093593669E-2</v>
      </c>
      <c r="AK876" s="61">
        <f ca="1"/>
        <v>-4.156185192964347E-2</v>
      </c>
      <c r="AL876" s="19"/>
      <c r="AM876" s="61">
        <f t="shared" ca="1" si="175"/>
        <v>-1.6778020508060876E-2</v>
      </c>
      <c r="AN876" s="61">
        <f t="shared" ca="1" si="176"/>
        <v>-2.1586525496677139E-2</v>
      </c>
      <c r="AO876" s="61">
        <f t="shared" ca="1" si="177"/>
        <v>-4.1130183326388653E-2</v>
      </c>
      <c r="AP876" s="19"/>
      <c r="AQ876" s="62">
        <f t="shared" ca="1" si="172"/>
        <v>1.0559814430606085</v>
      </c>
      <c r="AR876" s="62">
        <f t="shared" ca="1" si="173"/>
        <v>1.3071703227913414</v>
      </c>
      <c r="AS876" s="62">
        <f t="shared" ca="1" si="174"/>
        <v>1.153754370566503</v>
      </c>
      <c r="AT876" s="49"/>
    </row>
    <row r="877" spans="1:46" x14ac:dyDescent="0.3">
      <c r="A877" s="5">
        <v>44734</v>
      </c>
      <c r="B877" s="6">
        <v>80.110000999999997</v>
      </c>
      <c r="C877" s="6">
        <v>92.269997000000004</v>
      </c>
      <c r="D877" s="6">
        <v>113.129997</v>
      </c>
      <c r="F877" s="13">
        <v>874</v>
      </c>
      <c r="G877" s="5">
        <v>44734</v>
      </c>
      <c r="H877" s="15">
        <f t="shared" si="170"/>
        <v>1.0414825301650662E-2</v>
      </c>
      <c r="I877" s="15">
        <f t="shared" si="170"/>
        <v>1.192788726829732E-3</v>
      </c>
      <c r="J877" s="15">
        <f t="shared" si="170"/>
        <v>-2.9096164280252221E-2</v>
      </c>
      <c r="K877" s="22"/>
      <c r="L877" s="13">
        <v>874</v>
      </c>
      <c r="M877" s="5">
        <v>44734</v>
      </c>
      <c r="N877" s="26">
        <f t="shared" si="167"/>
        <v>1.4168730028851608</v>
      </c>
      <c r="O877" s="26">
        <f t="shared" si="168"/>
        <v>0.875094795616563</v>
      </c>
      <c r="P877" s="26">
        <f t="shared" si="169"/>
        <v>1.4972207516469231</v>
      </c>
      <c r="Q877" s="22"/>
      <c r="AD877" s="59">
        <v>873</v>
      </c>
      <c r="AE877" s="61">
        <f t="shared" ca="1" si="171"/>
        <v>1.3331664632128217</v>
      </c>
      <c r="AF877" s="61">
        <f t="shared" ca="1" si="171"/>
        <v>0.74383812792857529</v>
      </c>
      <c r="AG877" s="61">
        <f t="shared" ca="1" si="171"/>
        <v>0.44640402645450222</v>
      </c>
      <c r="AH877" s="19"/>
      <c r="AI877" s="61">
        <f ca="1"/>
        <v>2.8908761301779901E-2</v>
      </c>
      <c r="AJ877" s="61">
        <f ca="1"/>
        <v>3.7035250632365124E-2</v>
      </c>
      <c r="AK877" s="61">
        <f ca="1"/>
        <v>3.6373564366044775E-2</v>
      </c>
      <c r="AL877" s="19"/>
      <c r="AM877" s="61">
        <f t="shared" ca="1" si="175"/>
        <v>2.9259977624290147E-2</v>
      </c>
      <c r="AN877" s="61">
        <f t="shared" ca="1" si="176"/>
        <v>3.7284303229281654E-2</v>
      </c>
      <c r="AO877" s="61">
        <f t="shared" ca="1" si="177"/>
        <v>3.6805232969299592E-2</v>
      </c>
      <c r="AP877" s="19"/>
      <c r="AQ877" s="62">
        <f t="shared" ca="1" si="172"/>
        <v>1.0873359150614892</v>
      </c>
      <c r="AR877" s="62">
        <f t="shared" ca="1" si="173"/>
        <v>1.3568272165367343</v>
      </c>
      <c r="AS877" s="62">
        <f t="shared" ca="1" si="174"/>
        <v>1.1970096973686304</v>
      </c>
      <c r="AT877" s="49"/>
    </row>
    <row r="878" spans="1:46" x14ac:dyDescent="0.3">
      <c r="A878" s="5">
        <v>44735</v>
      </c>
      <c r="B878" s="6">
        <v>75.080001999999993</v>
      </c>
      <c r="C878" s="6">
        <v>93.330001999999993</v>
      </c>
      <c r="D878" s="6">
        <v>104.529999</v>
      </c>
      <c r="F878" s="13">
        <v>875</v>
      </c>
      <c r="G878" s="5">
        <v>44735</v>
      </c>
      <c r="H878" s="15">
        <f t="shared" si="170"/>
        <v>-6.4846464353301311E-2</v>
      </c>
      <c r="I878" s="15">
        <f t="shared" si="170"/>
        <v>1.1422591929804006E-2</v>
      </c>
      <c r="J878" s="15">
        <f t="shared" si="170"/>
        <v>-7.9063471442226016E-2</v>
      </c>
      <c r="K878" s="22"/>
      <c r="L878" s="13">
        <v>875</v>
      </c>
      <c r="M878" s="5">
        <v>44735</v>
      </c>
      <c r="N878" s="26">
        <f t="shared" si="167"/>
        <v>1.3279094565279543</v>
      </c>
      <c r="O878" s="26">
        <f t="shared" si="168"/>
        <v>0.88514795362010701</v>
      </c>
      <c r="P878" s="26">
        <f t="shared" si="169"/>
        <v>1.3834039407994692</v>
      </c>
      <c r="Q878" s="22"/>
      <c r="AD878" s="59">
        <v>874</v>
      </c>
      <c r="AE878" s="61">
        <f t="shared" ca="1" si="171"/>
        <v>-0.92318717927137195</v>
      </c>
      <c r="AF878" s="61">
        <f t="shared" ca="1" si="171"/>
        <v>1.0898848412242721</v>
      </c>
      <c r="AG878" s="61">
        <f t="shared" ca="1" si="171"/>
        <v>-0.93203111649331005</v>
      </c>
      <c r="AH878" s="19"/>
      <c r="AI878" s="61">
        <f ca="1"/>
        <v>-2.0018653738186013E-2</v>
      </c>
      <c r="AJ878" s="61">
        <f ca="1"/>
        <v>9.2397184127065591E-3</v>
      </c>
      <c r="AK878" s="61">
        <f ca="1"/>
        <v>-2.9843718911966896E-2</v>
      </c>
      <c r="AL878" s="19"/>
      <c r="AM878" s="61">
        <f t="shared" ca="1" si="175"/>
        <v>-1.9667437415675768E-2</v>
      </c>
      <c r="AN878" s="61">
        <f t="shared" ca="1" si="176"/>
        <v>9.4887710096230905E-3</v>
      </c>
      <c r="AO878" s="61">
        <f t="shared" ca="1" si="177"/>
        <v>-2.9412050308712079E-2</v>
      </c>
      <c r="AP878" s="19"/>
      <c r="AQ878" s="62">
        <f t="shared" ca="1" si="172"/>
        <v>1.0661597272652965</v>
      </c>
      <c r="AR878" s="62">
        <f t="shared" ca="1" si="173"/>
        <v>1.3697631151250929</v>
      </c>
      <c r="AS878" s="62">
        <f t="shared" ca="1" si="174"/>
        <v>1.1623158968402396</v>
      </c>
      <c r="AT878" s="49"/>
    </row>
    <row r="879" spans="1:46" x14ac:dyDescent="0.3">
      <c r="A879" s="5">
        <v>44736</v>
      </c>
      <c r="B879" s="6">
        <v>77.900002000000001</v>
      </c>
      <c r="C879" s="6">
        <v>96.349997999999999</v>
      </c>
      <c r="D879" s="6">
        <v>103.93</v>
      </c>
      <c r="F879" s="13">
        <v>876</v>
      </c>
      <c r="G879" s="5">
        <v>44736</v>
      </c>
      <c r="H879" s="15">
        <f t="shared" si="170"/>
        <v>3.6871740194083034E-2</v>
      </c>
      <c r="I879" s="15">
        <f t="shared" si="170"/>
        <v>3.1845753095728985E-2</v>
      </c>
      <c r="J879" s="15">
        <f t="shared" si="170"/>
        <v>-5.7565063776538429E-3</v>
      </c>
      <c r="K879" s="22"/>
      <c r="L879" s="13">
        <v>876</v>
      </c>
      <c r="M879" s="5">
        <v>44736</v>
      </c>
      <c r="N879" s="26">
        <f t="shared" si="167"/>
        <v>1.37778564949088</v>
      </c>
      <c r="O879" s="26">
        <f t="shared" si="168"/>
        <v>0.91378979677940442</v>
      </c>
      <c r="P879" s="26">
        <f t="shared" si="169"/>
        <v>1.3754632444537653</v>
      </c>
      <c r="Q879" s="22"/>
      <c r="AD879" s="59">
        <v>875</v>
      </c>
      <c r="AE879" s="61">
        <f t="shared" ca="1" si="171"/>
        <v>-1.7471209841156528</v>
      </c>
      <c r="AF879" s="61">
        <f t="shared" ca="1" si="171"/>
        <v>-0.43600552138291626</v>
      </c>
      <c r="AG879" s="61">
        <f t="shared" ca="1" si="171"/>
        <v>0.86408331953181128</v>
      </c>
      <c r="AH879" s="19"/>
      <c r="AI879" s="61">
        <f ca="1"/>
        <v>-3.7885069035874352E-2</v>
      </c>
      <c r="AJ879" s="61">
        <f ca="1"/>
        <v>-3.682355171869299E-2</v>
      </c>
      <c r="AK879" s="61">
        <f ca="1"/>
        <v>-6.7474424473359523E-3</v>
      </c>
      <c r="AL879" s="19"/>
      <c r="AM879" s="61">
        <f t="shared" ca="1" si="175"/>
        <v>-3.753385271336411E-2</v>
      </c>
      <c r="AN879" s="61">
        <f t="shared" ca="1" si="176"/>
        <v>-3.657449912177646E-2</v>
      </c>
      <c r="AO879" s="61">
        <f t="shared" ca="1" si="177"/>
        <v>-6.3157738440811342E-3</v>
      </c>
      <c r="AP879" s="19"/>
      <c r="AQ879" s="62">
        <f t="shared" ca="1" si="172"/>
        <v>1.0268843342912459</v>
      </c>
      <c r="AR879" s="62">
        <f t="shared" ca="1" si="173"/>
        <v>1.3205698092127187</v>
      </c>
      <c r="AS879" s="62">
        <f t="shared" ca="1" si="174"/>
        <v>1.1549981055826581</v>
      </c>
      <c r="AT879" s="49"/>
    </row>
    <row r="880" spans="1:46" x14ac:dyDescent="0.3">
      <c r="A880" s="5">
        <v>44739</v>
      </c>
      <c r="B880" s="6">
        <v>77.559997999999993</v>
      </c>
      <c r="C880" s="6">
        <v>94.190002000000007</v>
      </c>
      <c r="D880" s="6">
        <v>112.239998</v>
      </c>
      <c r="F880" s="13">
        <v>877</v>
      </c>
      <c r="G880" s="5">
        <v>44739</v>
      </c>
      <c r="H880" s="15">
        <f t="shared" si="170"/>
        <v>-4.3741739626804634E-3</v>
      </c>
      <c r="I880" s="15">
        <f t="shared" si="170"/>
        <v>-2.2673334034318586E-2</v>
      </c>
      <c r="J880" s="15">
        <f t="shared" si="170"/>
        <v>7.6921822374915683E-2</v>
      </c>
      <c r="K880" s="22"/>
      <c r="L880" s="13">
        <v>877</v>
      </c>
      <c r="M880" s="5">
        <v>44739</v>
      </c>
      <c r="N880" s="26">
        <f t="shared" si="167"/>
        <v>1.3717721370397571</v>
      </c>
      <c r="O880" s="26">
        <f t="shared" si="168"/>
        <v>0.89330425088573118</v>
      </c>
      <c r="P880" s="26">
        <f t="shared" si="169"/>
        <v>1.4854420456707795</v>
      </c>
      <c r="Q880" s="22"/>
      <c r="AD880" s="59">
        <v>876</v>
      </c>
      <c r="AE880" s="61">
        <f t="shared" ca="1" si="171"/>
        <v>-1.1092322187067951</v>
      </c>
      <c r="AF880" s="61">
        <f t="shared" ca="1" si="171"/>
        <v>-1.2771968280206663</v>
      </c>
      <c r="AG880" s="61">
        <f t="shared" ca="1" si="171"/>
        <v>-0.221086232646304</v>
      </c>
      <c r="AH880" s="19"/>
      <c r="AI880" s="61">
        <f ca="1"/>
        <v>-2.4052907362791556E-2</v>
      </c>
      <c r="AJ880" s="61">
        <f ca="1"/>
        <v>-4.5123250264802406E-2</v>
      </c>
      <c r="AK880" s="61">
        <f ca="1"/>
        <v>-3.1048339533852245E-2</v>
      </c>
      <c r="AL880" s="19"/>
      <c r="AM880" s="61">
        <f t="shared" ca="1" si="175"/>
        <v>-2.370169104028131E-2</v>
      </c>
      <c r="AN880" s="61">
        <f t="shared" ca="1" si="176"/>
        <v>-4.4874197667885876E-2</v>
      </c>
      <c r="AO880" s="61">
        <f t="shared" ca="1" si="177"/>
        <v>-3.0616670930597428E-2</v>
      </c>
      <c r="AP880" s="19"/>
      <c r="AQ880" s="62">
        <f t="shared" ca="1" si="172"/>
        <v>1.0028316101815424</v>
      </c>
      <c r="AR880" s="62">
        <f t="shared" ca="1" si="173"/>
        <v>1.2626202427724533</v>
      </c>
      <c r="AS880" s="62">
        <f t="shared" ca="1" si="174"/>
        <v>1.120171762421569</v>
      </c>
      <c r="AT880" s="49"/>
    </row>
    <row r="881" spans="1:46" x14ac:dyDescent="0.3">
      <c r="A881" s="5">
        <v>44740</v>
      </c>
      <c r="B881" s="6">
        <v>75.769997000000004</v>
      </c>
      <c r="C881" s="6">
        <v>93.07</v>
      </c>
      <c r="D881" s="6">
        <v>116.25</v>
      </c>
      <c r="F881" s="13">
        <v>878</v>
      </c>
      <c r="G881" s="5">
        <v>44740</v>
      </c>
      <c r="H881" s="15">
        <f t="shared" si="170"/>
        <v>-2.3349408238188155E-2</v>
      </c>
      <c r="I881" s="15">
        <f t="shared" si="170"/>
        <v>-1.1962141870783137E-2</v>
      </c>
      <c r="J881" s="15">
        <f t="shared" si="170"/>
        <v>3.5103626492219688E-2</v>
      </c>
      <c r="K881" s="22"/>
      <c r="L881" s="13">
        <v>878</v>
      </c>
      <c r="M881" s="5">
        <v>44740</v>
      </c>
      <c r="N881" s="26">
        <f t="shared" si="167"/>
        <v>1.3401131174369807</v>
      </c>
      <c r="O881" s="26">
        <f t="shared" si="168"/>
        <v>0.88268207733911075</v>
      </c>
      <c r="P881" s="26">
        <f t="shared" si="169"/>
        <v>1.5385124811676147</v>
      </c>
      <c r="Q881" s="22"/>
      <c r="AD881" s="59">
        <v>877</v>
      </c>
      <c r="AE881" s="61">
        <f t="shared" ca="1" si="171"/>
        <v>1.0790405578452957</v>
      </c>
      <c r="AF881" s="61">
        <f t="shared" ca="1" si="171"/>
        <v>-1.1987311779140135</v>
      </c>
      <c r="AG881" s="61">
        <f t="shared" ca="1" si="171"/>
        <v>-0.72280053108768083</v>
      </c>
      <c r="AH881" s="19"/>
      <c r="AI881" s="61">
        <f ca="1"/>
        <v>2.3398222789459289E-2</v>
      </c>
      <c r="AJ881" s="61">
        <f ca="1"/>
        <v>-9.1661345569324301E-3</v>
      </c>
      <c r="AK881" s="61">
        <f ca="1"/>
        <v>-1.1016720890754703E-2</v>
      </c>
      <c r="AL881" s="19"/>
      <c r="AM881" s="61">
        <f t="shared" ca="1" si="175"/>
        <v>2.3749439111969535E-2</v>
      </c>
      <c r="AN881" s="61">
        <f t="shared" ca="1" si="176"/>
        <v>-8.9170819600158987E-3</v>
      </c>
      <c r="AO881" s="61">
        <f t="shared" ca="1" si="177"/>
        <v>-1.0585052287499884E-2</v>
      </c>
      <c r="AP881" s="19"/>
      <c r="AQ881" s="62">
        <f t="shared" ca="1" si="172"/>
        <v>1.0269333672086596</v>
      </c>
      <c r="AR881" s="62">
        <f t="shared" ca="1" si="173"/>
        <v>1.2514114039224904</v>
      </c>
      <c r="AS881" s="62">
        <f t="shared" ca="1" si="174"/>
        <v>1.1083772188006149</v>
      </c>
      <c r="AT881" s="49"/>
    </row>
    <row r="882" spans="1:46" x14ac:dyDescent="0.3">
      <c r="A882" s="5">
        <v>44741</v>
      </c>
      <c r="B882" s="6">
        <v>75.519997000000004</v>
      </c>
      <c r="C882" s="6">
        <v>91.529999000000004</v>
      </c>
      <c r="D882" s="6">
        <v>108.849998</v>
      </c>
      <c r="F882" s="13">
        <v>879</v>
      </c>
      <c r="G882" s="5">
        <v>44741</v>
      </c>
      <c r="H882" s="15">
        <f t="shared" si="170"/>
        <v>-3.3049142371064269E-3</v>
      </c>
      <c r="I882" s="15">
        <f t="shared" si="170"/>
        <v>-1.6685121726310738E-2</v>
      </c>
      <c r="J882" s="15">
        <f t="shared" si="170"/>
        <v>-6.5772275160818433E-2</v>
      </c>
      <c r="K882" s="22"/>
      <c r="L882" s="13">
        <v>879</v>
      </c>
      <c r="M882" s="5">
        <v>44741</v>
      </c>
      <c r="N882" s="26">
        <f t="shared" si="167"/>
        <v>1.3356914691246646</v>
      </c>
      <c r="O882" s="26">
        <f t="shared" si="168"/>
        <v>0.86807660530962427</v>
      </c>
      <c r="P882" s="26">
        <f t="shared" si="169"/>
        <v>1.4405770365425368</v>
      </c>
      <c r="Q882" s="22"/>
      <c r="AD882" s="59">
        <v>878</v>
      </c>
      <c r="AE882" s="61">
        <f t="shared" ca="1" si="171"/>
        <v>-0.43375121005291511</v>
      </c>
      <c r="AF882" s="61">
        <f t="shared" ca="1" si="171"/>
        <v>-0.10172448095558467</v>
      </c>
      <c r="AG882" s="61">
        <f t="shared" ca="1" si="171"/>
        <v>-0.44740370860575324</v>
      </c>
      <c r="AH882" s="19"/>
      <c r="AI882" s="61">
        <f ca="1"/>
        <v>-9.4055847801327464E-3</v>
      </c>
      <c r="AJ882" s="61">
        <f ca="1"/>
        <v>-9.0003056217047104E-3</v>
      </c>
      <c r="AK882" s="61">
        <f ca="1"/>
        <v>-1.8587764569882842E-2</v>
      </c>
      <c r="AL882" s="19"/>
      <c r="AM882" s="61">
        <f t="shared" ca="1" si="175"/>
        <v>-9.0543684576225025E-3</v>
      </c>
      <c r="AN882" s="61">
        <f t="shared" ca="1" si="176"/>
        <v>-8.751253024788179E-3</v>
      </c>
      <c r="AO882" s="61">
        <f t="shared" ca="1" si="177"/>
        <v>-1.8156095966628025E-2</v>
      </c>
      <c r="AP882" s="19"/>
      <c r="AQ882" s="62">
        <f t="shared" ca="1" si="172"/>
        <v>1.0176771021744619</v>
      </c>
      <c r="AR882" s="62">
        <f t="shared" ca="1" si="173"/>
        <v>1.2405077659234884</v>
      </c>
      <c r="AS882" s="62">
        <f t="shared" ca="1" si="174"/>
        <v>1.0884349998851484</v>
      </c>
      <c r="AT882" s="49"/>
    </row>
    <row r="883" spans="1:46" x14ac:dyDescent="0.3">
      <c r="A883" s="5">
        <v>44742</v>
      </c>
      <c r="B883" s="6">
        <v>74.889999000000003</v>
      </c>
      <c r="C883" s="6">
        <v>89.650002000000001</v>
      </c>
      <c r="D883" s="6">
        <v>106.279999</v>
      </c>
      <c r="F883" s="13">
        <v>880</v>
      </c>
      <c r="G883" s="5">
        <v>44742</v>
      </c>
      <c r="H883" s="15">
        <f t="shared" si="170"/>
        <v>-8.3771252043102155E-3</v>
      </c>
      <c r="I883" s="15">
        <f t="shared" si="170"/>
        <v>-2.0753554111187254E-2</v>
      </c>
      <c r="J883" s="15">
        <f t="shared" si="170"/>
        <v>-2.3893657824142531E-2</v>
      </c>
      <c r="K883" s="22"/>
      <c r="L883" s="13">
        <v>880</v>
      </c>
      <c r="M883" s="5">
        <v>44742</v>
      </c>
      <c r="N883" s="26">
        <f t="shared" si="167"/>
        <v>1.3245489507508146</v>
      </c>
      <c r="O883" s="26">
        <f t="shared" si="168"/>
        <v>0.85024658857650626</v>
      </c>
      <c r="P883" s="26">
        <f t="shared" si="169"/>
        <v>1.4065643437417774</v>
      </c>
      <c r="Q883" s="22"/>
      <c r="AD883" s="59">
        <v>879</v>
      </c>
      <c r="AE883" s="61">
        <f t="shared" ca="1" si="171"/>
        <v>-1.1345116780327966</v>
      </c>
      <c r="AF883" s="61">
        <f t="shared" ca="1" si="171"/>
        <v>-3.489632272727395E-2</v>
      </c>
      <c r="AG883" s="61">
        <f t="shared" ca="1" si="171"/>
        <v>0.51772552089954038</v>
      </c>
      <c r="AH883" s="19"/>
      <c r="AI883" s="61">
        <f ca="1"/>
        <v>-2.460107435893116E-2</v>
      </c>
      <c r="AJ883" s="61">
        <f ca="1"/>
        <v>-1.8516267241807337E-2</v>
      </c>
      <c r="AK883" s="61">
        <f ca="1"/>
        <v>-3.7446809244477668E-3</v>
      </c>
      <c r="AL883" s="19"/>
      <c r="AM883" s="61">
        <f t="shared" ca="1" si="175"/>
        <v>-2.4249858036420914E-2</v>
      </c>
      <c r="AN883" s="61">
        <f t="shared" ca="1" si="176"/>
        <v>-1.8267214644890808E-2</v>
      </c>
      <c r="AO883" s="61">
        <f t="shared" ca="1" si="177"/>
        <v>-3.3130123211929487E-3</v>
      </c>
      <c r="AP883" s="19"/>
      <c r="AQ883" s="62">
        <f t="shared" ca="1" si="172"/>
        <v>0.99329539815517731</v>
      </c>
      <c r="AR883" s="62">
        <f t="shared" ca="1" si="173"/>
        <v>1.218052862974071</v>
      </c>
      <c r="AS883" s="62">
        <f t="shared" ca="1" si="174"/>
        <v>1.0848349680874061</v>
      </c>
      <c r="AT883" s="49"/>
    </row>
    <row r="884" spans="1:46" x14ac:dyDescent="0.3">
      <c r="A884" s="5">
        <v>44743</v>
      </c>
      <c r="B884" s="6">
        <v>75.400002000000001</v>
      </c>
      <c r="C884" s="6">
        <v>90.699996999999996</v>
      </c>
      <c r="D884" s="6">
        <v>107.980003</v>
      </c>
      <c r="F884" s="13">
        <v>881</v>
      </c>
      <c r="G884" s="5">
        <v>44743</v>
      </c>
      <c r="H884" s="15">
        <f t="shared" si="170"/>
        <v>6.7869446307508921E-3</v>
      </c>
      <c r="I884" s="15">
        <f t="shared" si="170"/>
        <v>1.1644101684894275E-2</v>
      </c>
      <c r="J884" s="15">
        <f t="shared" si="170"/>
        <v>1.5868941090558433E-2</v>
      </c>
      <c r="K884" s="22"/>
      <c r="L884" s="13">
        <v>881</v>
      </c>
      <c r="M884" s="5">
        <v>44743</v>
      </c>
      <c r="N884" s="26">
        <f t="shared" si="167"/>
        <v>1.3335691663677192</v>
      </c>
      <c r="O884" s="26">
        <f t="shared" si="168"/>
        <v>0.86020481107350499</v>
      </c>
      <c r="P884" s="26">
        <f t="shared" si="169"/>
        <v>1.4290630738237977</v>
      </c>
      <c r="Q884" s="22"/>
      <c r="AD884" s="59">
        <v>880</v>
      </c>
      <c r="AE884" s="61">
        <f t="shared" ca="1" si="171"/>
        <v>0.41944748210791877</v>
      </c>
      <c r="AF884" s="61">
        <f t="shared" ca="1" si="171"/>
        <v>-0.77651094606751325</v>
      </c>
      <c r="AG884" s="61">
        <f t="shared" ca="1" si="171"/>
        <v>-0.82985474869073139</v>
      </c>
      <c r="AH884" s="19"/>
      <c r="AI884" s="61">
        <f ca="1"/>
        <v>9.0954186693749106E-3</v>
      </c>
      <c r="AJ884" s="61">
        <f ca="1"/>
        <v>-1.0312921871041072E-2</v>
      </c>
      <c r="AK884" s="61">
        <f ca="1"/>
        <v>-2.0531823627422268E-2</v>
      </c>
      <c r="AL884" s="19"/>
      <c r="AM884" s="61">
        <f t="shared" ca="1" si="175"/>
        <v>9.4466349918851545E-3</v>
      </c>
      <c r="AN884" s="61">
        <f t="shared" ca="1" si="176"/>
        <v>-1.006386927412454E-2</v>
      </c>
      <c r="AO884" s="61">
        <f t="shared" ca="1" si="177"/>
        <v>-2.0100155024167451E-2</v>
      </c>
      <c r="AP884" s="19"/>
      <c r="AQ884" s="62">
        <f t="shared" ca="1" si="172"/>
        <v>1.0027231574107633</v>
      </c>
      <c r="AR884" s="62">
        <f t="shared" ca="1" si="173"/>
        <v>1.2058560148772413</v>
      </c>
      <c r="AS884" s="62">
        <f t="shared" ca="1" si="174"/>
        <v>1.0632473015839552</v>
      </c>
      <c r="AT884" s="49"/>
    </row>
    <row r="885" spans="1:46" x14ac:dyDescent="0.3">
      <c r="A885" s="5">
        <v>44747</v>
      </c>
      <c r="B885" s="6">
        <v>77.239998</v>
      </c>
      <c r="C885" s="6">
        <v>90.75</v>
      </c>
      <c r="D885" s="6">
        <v>103.589996</v>
      </c>
      <c r="F885" s="13">
        <v>882</v>
      </c>
      <c r="G885" s="5">
        <v>44747</v>
      </c>
      <c r="H885" s="15">
        <f t="shared" si="170"/>
        <v>2.4110130127884752E-2</v>
      </c>
      <c r="I885" s="15">
        <f t="shared" si="170"/>
        <v>5.5114909994478521E-4</v>
      </c>
      <c r="J885" s="15">
        <f t="shared" si="170"/>
        <v>-4.1505291116819221E-2</v>
      </c>
      <c r="K885" s="22"/>
      <c r="L885" s="13">
        <v>882</v>
      </c>
      <c r="M885" s="5">
        <v>44747</v>
      </c>
      <c r="N885" s="26">
        <f t="shared" si="167"/>
        <v>1.3661124271999925</v>
      </c>
      <c r="O885" s="26">
        <f t="shared" si="168"/>
        <v>0.86067904285510155</v>
      </c>
      <c r="P885" s="26">
        <f t="shared" si="169"/>
        <v>1.3709634560869099</v>
      </c>
      <c r="Q885" s="22"/>
      <c r="AD885" s="59">
        <v>881</v>
      </c>
      <c r="AE885" s="61">
        <f t="shared" ca="1" si="171"/>
        <v>-0.7111592882692922</v>
      </c>
      <c r="AF885" s="61">
        <f t="shared" ca="1" si="171"/>
        <v>-0.13502428204419828</v>
      </c>
      <c r="AG885" s="61">
        <f t="shared" ca="1" si="171"/>
        <v>-1.2727074918536632</v>
      </c>
      <c r="AH885" s="19"/>
      <c r="AI885" s="61">
        <f ca="1"/>
        <v>-1.54209805597538E-2</v>
      </c>
      <c r="AJ885" s="61">
        <f ca="1"/>
        <v>-1.4066195666056575E-2</v>
      </c>
      <c r="AK885" s="61">
        <f ca="1"/>
        <v>-4.4065378826472566E-2</v>
      </c>
      <c r="AL885" s="19"/>
      <c r="AM885" s="61">
        <f t="shared" ca="1" si="175"/>
        <v>-1.5069764237243556E-2</v>
      </c>
      <c r="AN885" s="61">
        <f t="shared" ca="1" si="176"/>
        <v>-1.3817143069140043E-2</v>
      </c>
      <c r="AO885" s="61">
        <f t="shared" ca="1" si="177"/>
        <v>-4.3633710223217749E-2</v>
      </c>
      <c r="AP885" s="19"/>
      <c r="AQ885" s="62">
        <f t="shared" ca="1" si="172"/>
        <v>0.98772564415194364</v>
      </c>
      <c r="AR885" s="62">
        <f t="shared" ca="1" si="173"/>
        <v>1.1893091085364309</v>
      </c>
      <c r="AS885" s="62">
        <f t="shared" ca="1" si="174"/>
        <v>1.0178514733389565</v>
      </c>
      <c r="AT885" s="49"/>
    </row>
    <row r="886" spans="1:46" x14ac:dyDescent="0.3">
      <c r="A886" s="5">
        <v>44748</v>
      </c>
      <c r="B886" s="6">
        <v>77.879997000000003</v>
      </c>
      <c r="C886" s="6">
        <v>90.040001000000004</v>
      </c>
      <c r="D886" s="6">
        <v>101.709999</v>
      </c>
      <c r="F886" s="13">
        <v>883</v>
      </c>
      <c r="G886" s="5">
        <v>44748</v>
      </c>
      <c r="H886" s="15">
        <f t="shared" si="170"/>
        <v>8.2517103162031511E-3</v>
      </c>
      <c r="I886" s="15">
        <f t="shared" si="170"/>
        <v>-7.854446000253654E-3</v>
      </c>
      <c r="J886" s="15">
        <f t="shared" si="170"/>
        <v>-1.8315144650614248E-2</v>
      </c>
      <c r="K886" s="22"/>
      <c r="L886" s="13">
        <v>883</v>
      </c>
      <c r="M886" s="5">
        <v>44748</v>
      </c>
      <c r="N886" s="26">
        <f t="shared" si="167"/>
        <v>1.3774318291929286</v>
      </c>
      <c r="O886" s="26">
        <f t="shared" si="168"/>
        <v>0.85394536506173435</v>
      </c>
      <c r="P886" s="26">
        <f t="shared" si="169"/>
        <v>1.3460826057724353</v>
      </c>
      <c r="Q886" s="22"/>
      <c r="AD886" s="59">
        <v>882</v>
      </c>
      <c r="AE886" s="61">
        <f t="shared" ca="1" si="171"/>
        <v>1.1973645191933022</v>
      </c>
      <c r="AF886" s="61">
        <f t="shared" ca="1" si="171"/>
        <v>-1.5204549658010862</v>
      </c>
      <c r="AG886" s="61">
        <f t="shared" ca="1" si="171"/>
        <v>0.13550503829873492</v>
      </c>
      <c r="AH886" s="19"/>
      <c r="AI886" s="61">
        <f ca="1"/>
        <v>2.5963993268448976E-2</v>
      </c>
      <c r="AJ886" s="61">
        <f ca="1"/>
        <v>-1.43070818499146E-2</v>
      </c>
      <c r="AK886" s="61">
        <f ca="1"/>
        <v>1.0455603283551483E-2</v>
      </c>
      <c r="AL886" s="19"/>
      <c r="AM886" s="61">
        <f t="shared" ca="1" si="175"/>
        <v>2.6315209590959222E-2</v>
      </c>
      <c r="AN886" s="61">
        <f t="shared" ca="1" si="176"/>
        <v>-1.4058029252998068E-2</v>
      </c>
      <c r="AO886" s="61">
        <f t="shared" ca="1" si="177"/>
        <v>1.0887271886806302E-2</v>
      </c>
      <c r="AP886" s="19"/>
      <c r="AQ886" s="62">
        <f t="shared" ca="1" si="172"/>
        <v>1.0140628664199056</v>
      </c>
      <c r="AR886" s="62">
        <f t="shared" ca="1" si="173"/>
        <v>1.1727067380267133</v>
      </c>
      <c r="AS886" s="62">
        <f t="shared" ca="1" si="174"/>
        <v>1.0289936429253725</v>
      </c>
      <c r="AT886" s="49"/>
    </row>
    <row r="887" spans="1:46" x14ac:dyDescent="0.3">
      <c r="A887" s="5">
        <v>44749</v>
      </c>
      <c r="B887" s="6">
        <v>79.800003000000004</v>
      </c>
      <c r="C887" s="6">
        <v>93.139999000000003</v>
      </c>
      <c r="D887" s="6">
        <v>106.339996</v>
      </c>
      <c r="F887" s="13">
        <v>884</v>
      </c>
      <c r="G887" s="5">
        <v>44749</v>
      </c>
      <c r="H887" s="15">
        <f t="shared" si="170"/>
        <v>2.4354400066550454E-2</v>
      </c>
      <c r="I887" s="15">
        <f t="shared" si="170"/>
        <v>3.3849699672999015E-2</v>
      </c>
      <c r="J887" s="15">
        <f t="shared" si="170"/>
        <v>4.4515853655365277E-2</v>
      </c>
      <c r="K887" s="22"/>
      <c r="L887" s="13">
        <v>884</v>
      </c>
      <c r="M887" s="5">
        <v>44749</v>
      </c>
      <c r="N887" s="26">
        <f t="shared" si="167"/>
        <v>1.4113901943510756</v>
      </c>
      <c r="O887" s="26">
        <f t="shared" si="168"/>
        <v>0.88334595251619963</v>
      </c>
      <c r="P887" s="26">
        <f t="shared" si="169"/>
        <v>1.4073583749962515</v>
      </c>
      <c r="Q887" s="22"/>
      <c r="AD887" s="59">
        <v>883</v>
      </c>
      <c r="AE887" s="61">
        <f t="shared" ca="1" si="171"/>
        <v>0.11150028892616347</v>
      </c>
      <c r="AF887" s="61">
        <f t="shared" ca="1" si="171"/>
        <v>-1.5714298585182289</v>
      </c>
      <c r="AG887" s="61">
        <f t="shared" ca="1" si="171"/>
        <v>-0.8650180945193936</v>
      </c>
      <c r="AH887" s="19"/>
      <c r="AI887" s="61">
        <f ca="1"/>
        <v>2.4178040226709419E-3</v>
      </c>
      <c r="AJ887" s="61">
        <f ca="1"/>
        <v>-3.2411386880928476E-2</v>
      </c>
      <c r="AK887" s="61">
        <f ca="1"/>
        <v>-3.1580980090395457E-2</v>
      </c>
      <c r="AL887" s="19"/>
      <c r="AM887" s="61">
        <f t="shared" ca="1" si="175"/>
        <v>2.7690203451811862E-3</v>
      </c>
      <c r="AN887" s="61">
        <f t="shared" ca="1" si="176"/>
        <v>-3.2162334284011947E-2</v>
      </c>
      <c r="AO887" s="61">
        <f t="shared" ca="1" si="177"/>
        <v>-3.1149311487140639E-2</v>
      </c>
      <c r="AP887" s="19"/>
      <c r="AQ887" s="62">
        <f t="shared" ca="1" si="172"/>
        <v>1.016874718369293</v>
      </c>
      <c r="AR887" s="62">
        <f t="shared" ca="1" si="173"/>
        <v>1.1355898345012023</v>
      </c>
      <c r="AS887" s="62">
        <f t="shared" ca="1" si="174"/>
        <v>0.99743526200544208</v>
      </c>
      <c r="AT887" s="49"/>
    </row>
    <row r="888" spans="1:46" x14ac:dyDescent="0.3">
      <c r="A888" s="5">
        <v>44750</v>
      </c>
      <c r="B888" s="6">
        <v>78.519997000000004</v>
      </c>
      <c r="C888" s="6">
        <v>93.199996999999996</v>
      </c>
      <c r="D888" s="6">
        <v>107.029999</v>
      </c>
      <c r="F888" s="13">
        <v>885</v>
      </c>
      <c r="G888" s="5">
        <v>44750</v>
      </c>
      <c r="H888" s="15">
        <f t="shared" si="170"/>
        <v>-1.6170210848314038E-2</v>
      </c>
      <c r="I888" s="15">
        <f t="shared" si="170"/>
        <v>6.4396268499823629E-4</v>
      </c>
      <c r="J888" s="15">
        <f t="shared" si="170"/>
        <v>6.4676891921142919E-3</v>
      </c>
      <c r="K888" s="22"/>
      <c r="L888" s="13">
        <v>885</v>
      </c>
      <c r="M888" s="5">
        <v>44750</v>
      </c>
      <c r="N888" s="26">
        <f t="shared" si="167"/>
        <v>1.3887512488724578</v>
      </c>
      <c r="O888" s="26">
        <f t="shared" si="168"/>
        <v>0.88391497754334247</v>
      </c>
      <c r="P888" s="26">
        <f t="shared" si="169"/>
        <v>1.4164902307170524</v>
      </c>
      <c r="Q888" s="22"/>
      <c r="AD888" s="59">
        <v>884</v>
      </c>
      <c r="AE888" s="61">
        <f t="shared" ca="1" si="171"/>
        <v>2.0439257242192213</v>
      </c>
      <c r="AF888" s="61">
        <f t="shared" ca="1" si="171"/>
        <v>0.28891325943661128</v>
      </c>
      <c r="AG888" s="61">
        <f t="shared" ca="1" si="171"/>
        <v>0.5559487745429742</v>
      </c>
      <c r="AH888" s="19"/>
      <c r="AI888" s="61">
        <f ca="1"/>
        <v>4.4321067556429068E-2</v>
      </c>
      <c r="AJ888" s="61">
        <f ca="1"/>
        <v>3.8272039810148213E-2</v>
      </c>
      <c r="AK888" s="61">
        <f ca="1"/>
        <v>4.6478161591231151E-2</v>
      </c>
      <c r="AL888" s="19"/>
      <c r="AM888" s="61">
        <f t="shared" ca="1" si="175"/>
        <v>4.467228387893931E-2</v>
      </c>
      <c r="AN888" s="61">
        <f t="shared" ca="1" si="176"/>
        <v>3.8521092407064743E-2</v>
      </c>
      <c r="AO888" s="61">
        <f t="shared" ca="1" si="177"/>
        <v>4.6909830194485969E-2</v>
      </c>
      <c r="AP888" s="19"/>
      <c r="AQ888" s="62">
        <f t="shared" ca="1" si="172"/>
        <v>1.0633307577138285</v>
      </c>
      <c r="AR888" s="62">
        <f t="shared" ca="1" si="173"/>
        <v>1.1801874553529932</v>
      </c>
      <c r="AS888" s="62">
        <f t="shared" ca="1" si="174"/>
        <v>1.0453395884229089</v>
      </c>
      <c r="AT888" s="49"/>
    </row>
    <row r="889" spans="1:46" x14ac:dyDescent="0.3">
      <c r="A889" s="5">
        <v>44753</v>
      </c>
      <c r="B889" s="6">
        <v>77.639999000000003</v>
      </c>
      <c r="C889" s="6">
        <v>91.800003000000004</v>
      </c>
      <c r="D889" s="6">
        <v>107.790001</v>
      </c>
      <c r="F889" s="13">
        <v>886</v>
      </c>
      <c r="G889" s="5">
        <v>44753</v>
      </c>
      <c r="H889" s="15">
        <f t="shared" si="170"/>
        <v>-1.1270585780582702E-2</v>
      </c>
      <c r="I889" s="15">
        <f t="shared" si="170"/>
        <v>-1.5135359196520851E-2</v>
      </c>
      <c r="J889" s="15">
        <f t="shared" si="170"/>
        <v>7.0757394177261186E-3</v>
      </c>
      <c r="K889" s="22"/>
      <c r="L889" s="13">
        <v>886</v>
      </c>
      <c r="M889" s="5">
        <v>44753</v>
      </c>
      <c r="N889" s="26">
        <f t="shared" si="167"/>
        <v>1.3731870821862915</v>
      </c>
      <c r="O889" s="26">
        <f t="shared" si="168"/>
        <v>0.8706373412246331</v>
      </c>
      <c r="P889" s="26">
        <f t="shared" si="169"/>
        <v>1.4265484893210296</v>
      </c>
      <c r="Q889" s="22"/>
      <c r="AD889" s="59">
        <v>885</v>
      </c>
      <c r="AE889" s="61">
        <f t="shared" ca="1" si="171"/>
        <v>-0.10830327439418805</v>
      </c>
      <c r="AF889" s="61">
        <f t="shared" ca="1" si="171"/>
        <v>-0.68506673783316008</v>
      </c>
      <c r="AG889" s="61">
        <f t="shared" ca="1" si="171"/>
        <v>-0.2232943872645243</v>
      </c>
      <c r="AH889" s="19"/>
      <c r="AI889" s="61">
        <f ca="1"/>
        <v>-2.3484790489835075E-3</v>
      </c>
      <c r="AJ889" s="61">
        <f ca="1"/>
        <v>-1.6585822127535274E-2</v>
      </c>
      <c r="AK889" s="61">
        <f ca="1"/>
        <v>-1.2145587762490402E-2</v>
      </c>
      <c r="AL889" s="19"/>
      <c r="AM889" s="61">
        <f t="shared" ca="1" si="175"/>
        <v>-1.9972627264732631E-3</v>
      </c>
      <c r="AN889" s="61">
        <f t="shared" ca="1" si="176"/>
        <v>-1.6336769530618744E-2</v>
      </c>
      <c r="AO889" s="61">
        <f t="shared" ca="1" si="177"/>
        <v>-1.1713919159235583E-2</v>
      </c>
      <c r="AP889" s="19"/>
      <c r="AQ889" s="62">
        <f t="shared" ca="1" si="172"/>
        <v>1.0612091262585226</v>
      </c>
      <c r="AR889" s="62">
        <f t="shared" ca="1" si="173"/>
        <v>1.1610636408943822</v>
      </c>
      <c r="AS889" s="62">
        <f t="shared" ca="1" si="174"/>
        <v>1.0331660043803088</v>
      </c>
      <c r="AT889" s="49"/>
    </row>
    <row r="890" spans="1:46" x14ac:dyDescent="0.3">
      <c r="A890" s="5">
        <v>44754</v>
      </c>
      <c r="B890" s="6">
        <v>77.059997999999993</v>
      </c>
      <c r="C890" s="6">
        <v>93.279999000000004</v>
      </c>
      <c r="D890" s="6">
        <v>104.860001</v>
      </c>
      <c r="F890" s="13">
        <v>887</v>
      </c>
      <c r="G890" s="5">
        <v>44754</v>
      </c>
      <c r="H890" s="15">
        <f t="shared" si="170"/>
        <v>-7.4984321766418463E-3</v>
      </c>
      <c r="I890" s="15">
        <f t="shared" si="170"/>
        <v>1.599338157558771E-2</v>
      </c>
      <c r="J890" s="15">
        <f t="shared" si="170"/>
        <v>-2.7558762389923941E-2</v>
      </c>
      <c r="K890" s="22"/>
      <c r="L890" s="13">
        <v>887</v>
      </c>
      <c r="M890" s="5">
        <v>44754</v>
      </c>
      <c r="N890" s="26">
        <f t="shared" si="167"/>
        <v>1.3629288404151247</v>
      </c>
      <c r="O890" s="26">
        <f t="shared" si="168"/>
        <v>0.88467372183851056</v>
      </c>
      <c r="P890" s="26">
        <f t="shared" si="169"/>
        <v>1.387771357537622</v>
      </c>
      <c r="Q890" s="22"/>
      <c r="AD890" s="59">
        <v>886</v>
      </c>
      <c r="AE890" s="61">
        <f t="shared" ca="1" si="171"/>
        <v>1.2532495000308714</v>
      </c>
      <c r="AF890" s="61">
        <f t="shared" ca="1" si="171"/>
        <v>1.1965424834495726</v>
      </c>
      <c r="AG890" s="61">
        <f t="shared" ca="1" si="171"/>
        <v>-0.46615415334392285</v>
      </c>
      <c r="AH890" s="19"/>
      <c r="AI890" s="61">
        <f ca="1"/>
        <v>2.7175819110133032E-2</v>
      </c>
      <c r="AJ890" s="61">
        <f ca="1"/>
        <v>4.5624353164007439E-2</v>
      </c>
      <c r="AK890" s="61">
        <f ca="1"/>
        <v>1.5001200616083557E-2</v>
      </c>
      <c r="AL890" s="19"/>
      <c r="AM890" s="61">
        <f t="shared" ca="1" si="175"/>
        <v>2.7527035432643277E-2</v>
      </c>
      <c r="AN890" s="61">
        <f t="shared" ca="1" si="176"/>
        <v>4.5873405760923969E-2</v>
      </c>
      <c r="AO890" s="61">
        <f t="shared" ca="1" si="177"/>
        <v>1.5432869219338376E-2</v>
      </c>
      <c r="AP890" s="19"/>
      <c r="AQ890" s="62">
        <f t="shared" ca="1" si="172"/>
        <v>1.0908268412421114</v>
      </c>
      <c r="AR890" s="62">
        <f t="shared" ca="1" si="173"/>
        <v>1.2155661344623589</v>
      </c>
      <c r="AS890" s="62">
        <f t="shared" ca="1" si="174"/>
        <v>1.0492343919490543</v>
      </c>
      <c r="AT890" s="49"/>
    </row>
    <row r="891" spans="1:46" x14ac:dyDescent="0.3">
      <c r="A891" s="5">
        <v>44755</v>
      </c>
      <c r="B891" s="6">
        <v>75.699996999999996</v>
      </c>
      <c r="C891" s="6">
        <v>93.940002000000007</v>
      </c>
      <c r="D891" s="6">
        <v>102.389999</v>
      </c>
      <c r="F891" s="13">
        <v>888</v>
      </c>
      <c r="G891" s="5">
        <v>44755</v>
      </c>
      <c r="H891" s="15">
        <f t="shared" si="170"/>
        <v>-1.7806192430925457E-2</v>
      </c>
      <c r="I891" s="15">
        <f t="shared" si="170"/>
        <v>7.0505900072636183E-3</v>
      </c>
      <c r="J891" s="15">
        <f t="shared" si="170"/>
        <v>-2.3837094860764994E-2</v>
      </c>
      <c r="K891" s="22"/>
      <c r="L891" s="13">
        <v>888</v>
      </c>
      <c r="M891" s="5">
        <v>44755</v>
      </c>
      <c r="N891" s="26">
        <f t="shared" si="167"/>
        <v>1.3388750559095322</v>
      </c>
      <c r="O891" s="26">
        <f t="shared" si="168"/>
        <v>0.89093323423874748</v>
      </c>
      <c r="P891" s="26">
        <f t="shared" si="169"/>
        <v>1.355082076630018</v>
      </c>
      <c r="Q891" s="22"/>
      <c r="AD891" s="59">
        <v>887</v>
      </c>
      <c r="AE891" s="61">
        <f t="shared" ca="1" si="171"/>
        <v>-0.12616050954481683</v>
      </c>
      <c r="AF891" s="61">
        <f t="shared" ca="1" si="171"/>
        <v>0.52507571952961285</v>
      </c>
      <c r="AG891" s="61">
        <f t="shared" ca="1" si="171"/>
        <v>6.2526862409358119E-2</v>
      </c>
      <c r="AH891" s="19"/>
      <c r="AI891" s="61">
        <f ca="1"/>
        <v>-2.7357004221008657E-3</v>
      </c>
      <c r="AJ891" s="61">
        <f ca="1"/>
        <v>9.4383481601602384E-3</v>
      </c>
      <c r="AK891" s="61">
        <f ca="1"/>
        <v>3.4356700984405457E-3</v>
      </c>
      <c r="AL891" s="19"/>
      <c r="AM891" s="61">
        <f t="shared" ca="1" si="175"/>
        <v>-2.3844840995906214E-3</v>
      </c>
      <c r="AN891" s="61">
        <f t="shared" ca="1" si="176"/>
        <v>9.6874007570767699E-3</v>
      </c>
      <c r="AO891" s="61">
        <f t="shared" ca="1" si="177"/>
        <v>3.8673387016953638E-3</v>
      </c>
      <c r="AP891" s="19"/>
      <c r="AQ891" s="62">
        <f t="shared" ca="1" si="172"/>
        <v>1.0882288806126184</v>
      </c>
      <c r="AR891" s="62">
        <f t="shared" ca="1" si="173"/>
        <v>1.2273990332310947</v>
      </c>
      <c r="AS891" s="62">
        <f t="shared" ca="1" si="174"/>
        <v>1.053299993181487</v>
      </c>
      <c r="AT891" s="49"/>
    </row>
    <row r="892" spans="1:46" x14ac:dyDescent="0.3">
      <c r="A892" s="5">
        <v>44756</v>
      </c>
      <c r="B892" s="6">
        <v>75.940002000000007</v>
      </c>
      <c r="C892" s="6">
        <v>92.589995999999999</v>
      </c>
      <c r="D892" s="6">
        <v>100.779999</v>
      </c>
      <c r="F892" s="13">
        <v>889</v>
      </c>
      <c r="G892" s="5">
        <v>44756</v>
      </c>
      <c r="H892" s="15">
        <f t="shared" si="170"/>
        <v>3.1654603269541835E-3</v>
      </c>
      <c r="I892" s="15">
        <f t="shared" si="170"/>
        <v>-1.4475200630288945E-2</v>
      </c>
      <c r="J892" s="15">
        <f t="shared" si="170"/>
        <v>-1.5849128490298219E-2</v>
      </c>
      <c r="K892" s="22"/>
      <c r="L892" s="13">
        <v>889</v>
      </c>
      <c r="M892" s="5">
        <v>44756</v>
      </c>
      <c r="N892" s="26">
        <f t="shared" si="167"/>
        <v>1.3431199267223219</v>
      </c>
      <c r="O892" s="26">
        <f t="shared" si="168"/>
        <v>0.87812968744063558</v>
      </c>
      <c r="P892" s="26">
        <f t="shared" si="169"/>
        <v>1.3337745059230945</v>
      </c>
      <c r="Q892" s="22"/>
      <c r="AD892" s="59">
        <v>888</v>
      </c>
      <c r="AE892" s="61">
        <f t="shared" ca="1" si="171"/>
        <v>-5.1404324277865732E-2</v>
      </c>
      <c r="AF892" s="61">
        <f t="shared" ca="1" si="171"/>
        <v>0.98833825616891957</v>
      </c>
      <c r="AG892" s="61">
        <f t="shared" ca="1" si="171"/>
        <v>-0.36381297732658846</v>
      </c>
      <c r="AH892" s="19"/>
      <c r="AI892" s="61">
        <f ca="1"/>
        <v>-1.1146660086594788E-3</v>
      </c>
      <c r="AJ892" s="61">
        <f ca="1"/>
        <v>2.067793988889538E-2</v>
      </c>
      <c r="AK892" s="61">
        <f ca="1"/>
        <v>-3.1200658004663677E-3</v>
      </c>
      <c r="AL892" s="19"/>
      <c r="AM892" s="61">
        <f t="shared" ca="1" si="175"/>
        <v>-7.6344968614923457E-4</v>
      </c>
      <c r="AN892" s="61">
        <f t="shared" ca="1" si="176"/>
        <v>2.092699248581191E-2</v>
      </c>
      <c r="AO892" s="61">
        <f t="shared" ca="1" si="177"/>
        <v>-2.6883971972115495E-3</v>
      </c>
      <c r="AP892" s="19"/>
      <c r="AQ892" s="62">
        <f t="shared" ca="1" si="172"/>
        <v>1.0873983896746171</v>
      </c>
      <c r="AR892" s="62">
        <f t="shared" ca="1" si="173"/>
        <v>1.2533554511879581</v>
      </c>
      <c r="AS892" s="62">
        <f t="shared" ca="1" si="174"/>
        <v>1.0504721073753396</v>
      </c>
      <c r="AT892" s="49"/>
    </row>
    <row r="893" spans="1:46" x14ac:dyDescent="0.3">
      <c r="A893" s="5">
        <v>44757</v>
      </c>
      <c r="B893" s="6">
        <v>76.660004000000001</v>
      </c>
      <c r="C893" s="6">
        <v>93.010002</v>
      </c>
      <c r="D893" s="6">
        <v>104.589996</v>
      </c>
      <c r="F893" s="13">
        <v>890</v>
      </c>
      <c r="G893" s="5">
        <v>44757</v>
      </c>
      <c r="H893" s="15">
        <f t="shared" si="170"/>
        <v>9.4365309906204488E-3</v>
      </c>
      <c r="I893" s="15">
        <f t="shared" si="170"/>
        <v>4.5259344986944942E-3</v>
      </c>
      <c r="J893" s="15">
        <f t="shared" si="170"/>
        <v>3.7107993191753723E-2</v>
      </c>
      <c r="K893" s="22"/>
      <c r="L893" s="13">
        <v>890</v>
      </c>
      <c r="M893" s="5">
        <v>44757</v>
      </c>
      <c r="N893" s="26">
        <f t="shared" si="167"/>
        <v>1.3558543092349786</v>
      </c>
      <c r="O893" s="26">
        <f t="shared" si="168"/>
        <v>0.88211305231196779</v>
      </c>
      <c r="P893" s="26">
        <f t="shared" si="169"/>
        <v>1.3841979720539432</v>
      </c>
      <c r="Q893" s="22"/>
      <c r="AD893" s="59">
        <v>889</v>
      </c>
      <c r="AE893" s="61">
        <f t="shared" ca="1" si="171"/>
        <v>0.69213747838740658</v>
      </c>
      <c r="AF893" s="61">
        <f t="shared" ca="1" si="171"/>
        <v>-0.70927014589440884</v>
      </c>
      <c r="AG893" s="61">
        <f t="shared" ca="1" si="171"/>
        <v>0.15766997671333058</v>
      </c>
      <c r="AH893" s="19"/>
      <c r="AI893" s="61">
        <f ca="1"/>
        <v>1.5008506216468818E-2</v>
      </c>
      <c r="AJ893" s="61">
        <f ca="1"/>
        <v>-4.5831386856124545E-3</v>
      </c>
      <c r="AK893" s="61">
        <f ca="1"/>
        <v>9.2711998000540776E-3</v>
      </c>
      <c r="AL893" s="19"/>
      <c r="AM893" s="61">
        <f t="shared" ca="1" si="175"/>
        <v>1.5359722538979062E-2</v>
      </c>
      <c r="AN893" s="61">
        <f t="shared" ca="1" si="176"/>
        <v>-4.3340860886959239E-3</v>
      </c>
      <c r="AO893" s="61">
        <f t="shared" ca="1" si="177"/>
        <v>9.7028684033088966E-3</v>
      </c>
      <c r="AP893" s="19"/>
      <c r="AQ893" s="62">
        <f t="shared" ca="1" si="172"/>
        <v>1.1042294565892896</v>
      </c>
      <c r="AR893" s="62">
        <f t="shared" ca="1" si="173"/>
        <v>1.247935055478453</v>
      </c>
      <c r="AS893" s="62">
        <f t="shared" ca="1" si="174"/>
        <v>1.060714309007073</v>
      </c>
      <c r="AT893" s="49"/>
    </row>
    <row r="894" spans="1:46" x14ac:dyDescent="0.3">
      <c r="A894" s="5">
        <v>44760</v>
      </c>
      <c r="B894" s="6">
        <v>78.150002000000001</v>
      </c>
      <c r="C894" s="6">
        <v>92.230002999999996</v>
      </c>
      <c r="D894" s="6">
        <v>106.30999799999999</v>
      </c>
      <c r="F894" s="13">
        <v>891</v>
      </c>
      <c r="G894" s="5">
        <v>44760</v>
      </c>
      <c r="H894" s="15">
        <f t="shared" si="170"/>
        <v>1.9249970328437865E-2</v>
      </c>
      <c r="I894" s="15">
        <f t="shared" si="170"/>
        <v>-8.4215459824354445E-3</v>
      </c>
      <c r="J894" s="15">
        <f t="shared" si="170"/>
        <v>1.6311428966005979E-2</v>
      </c>
      <c r="K894" s="22"/>
      <c r="L894" s="13">
        <v>891</v>
      </c>
      <c r="M894" s="5">
        <v>44760</v>
      </c>
      <c r="N894" s="26">
        <f t="shared" si="167"/>
        <v>1.3822072978031961</v>
      </c>
      <c r="O894" s="26">
        <f t="shared" si="168"/>
        <v>0.87471548985744507</v>
      </c>
      <c r="P894" s="26">
        <f t="shared" si="169"/>
        <v>1.4069613659862723</v>
      </c>
      <c r="Q894" s="22"/>
      <c r="AD894" s="59">
        <v>890</v>
      </c>
      <c r="AE894" s="61">
        <f t="shared" ca="1" si="171"/>
        <v>0.53241897737208177</v>
      </c>
      <c r="AF894" s="61">
        <f t="shared" ca="1" si="171"/>
        <v>9.3870842493599685E-2</v>
      </c>
      <c r="AG894" s="61">
        <f t="shared" ca="1" si="171"/>
        <v>-0.19933755510796597</v>
      </c>
      <c r="AH894" s="19"/>
      <c r="AI894" s="61">
        <f ca="1"/>
        <v>1.1545124749309129E-2</v>
      </c>
      <c r="AJ894" s="61">
        <f ca="1"/>
        <v>1.0373980033461962E-2</v>
      </c>
      <c r="AK894" s="61">
        <f ca="1"/>
        <v>3.4208436244680084E-3</v>
      </c>
      <c r="AL894" s="19"/>
      <c r="AM894" s="61">
        <f t="shared" ca="1" si="175"/>
        <v>1.1896341071819373E-2</v>
      </c>
      <c r="AN894" s="61">
        <f t="shared" ca="1" si="176"/>
        <v>1.0623032630378493E-2</v>
      </c>
      <c r="AO894" s="61">
        <f t="shared" ca="1" si="177"/>
        <v>3.8525122277228265E-3</v>
      </c>
      <c r="AP894" s="19"/>
      <c r="AQ894" s="62">
        <f t="shared" ca="1" si="172"/>
        <v>1.1174441944923916</v>
      </c>
      <c r="AR894" s="62">
        <f t="shared" ca="1" si="173"/>
        <v>1.2612625742943611</v>
      </c>
      <c r="AS894" s="62">
        <f t="shared" ca="1" si="174"/>
        <v>1.0648086054522929</v>
      </c>
      <c r="AT894" s="49"/>
    </row>
    <row r="895" spans="1:46" x14ac:dyDescent="0.3">
      <c r="A895" s="5">
        <v>44761</v>
      </c>
      <c r="B895" s="6">
        <v>81.5</v>
      </c>
      <c r="C895" s="6">
        <v>97.040001000000004</v>
      </c>
      <c r="D895" s="6">
        <v>108.739998</v>
      </c>
      <c r="F895" s="13">
        <v>892</v>
      </c>
      <c r="G895" s="5">
        <v>44761</v>
      </c>
      <c r="H895" s="15">
        <f t="shared" si="170"/>
        <v>4.1972937787521113E-2</v>
      </c>
      <c r="I895" s="15">
        <f t="shared" si="170"/>
        <v>5.0837785165819403E-2</v>
      </c>
      <c r="J895" s="15">
        <f t="shared" si="170"/>
        <v>2.2600357837670625E-2</v>
      </c>
      <c r="K895" s="22"/>
      <c r="L895" s="13">
        <v>892</v>
      </c>
      <c r="M895" s="5">
        <v>44761</v>
      </c>
      <c r="N895" s="26">
        <f t="shared" si="167"/>
        <v>1.4414573498150451</v>
      </c>
      <c r="O895" s="26">
        <f t="shared" si="168"/>
        <v>0.9203338311772794</v>
      </c>
      <c r="P895" s="26">
        <f t="shared" si="169"/>
        <v>1.4391212397861632</v>
      </c>
      <c r="Q895" s="22"/>
      <c r="AD895" s="59">
        <v>891</v>
      </c>
      <c r="AE895" s="61">
        <f t="shared" ca="1" si="171"/>
        <v>0.83071152286682748</v>
      </c>
      <c r="AF895" s="61">
        <f t="shared" ca="1" si="171"/>
        <v>-0.90746950688469497</v>
      </c>
      <c r="AG895" s="61">
        <f t="shared" ca="1" si="171"/>
        <v>1.882803625459482</v>
      </c>
      <c r="AH895" s="19"/>
      <c r="AI895" s="61">
        <f ca="1"/>
        <v>1.8013385265723977E-2</v>
      </c>
      <c r="AJ895" s="61">
        <f ca="1"/>
        <v>-6.7221957159855437E-3</v>
      </c>
      <c r="AK895" s="61">
        <f ca="1"/>
        <v>5.4120742413126734E-2</v>
      </c>
      <c r="AL895" s="19"/>
      <c r="AM895" s="61">
        <f t="shared" ca="1" si="175"/>
        <v>1.8364601588234223E-2</v>
      </c>
      <c r="AN895" s="61">
        <f t="shared" ca="1" si="176"/>
        <v>-6.4731431190690131E-3</v>
      </c>
      <c r="AO895" s="61">
        <f t="shared" ca="1" si="177"/>
        <v>5.4552411016381551E-2</v>
      </c>
      <c r="AP895" s="19"/>
      <c r="AQ895" s="62">
        <f t="shared" ca="1" si="172"/>
        <v>1.1381552045683618</v>
      </c>
      <c r="AR895" s="62">
        <f t="shared" ca="1" si="173"/>
        <v>1.2531246086644547</v>
      </c>
      <c r="AS895" s="62">
        <f t="shared" ca="1" si="174"/>
        <v>1.1245101075235477</v>
      </c>
      <c r="AT895" s="49"/>
    </row>
    <row r="896" spans="1:46" x14ac:dyDescent="0.3">
      <c r="A896" s="5">
        <v>44762</v>
      </c>
      <c r="B896" s="6">
        <v>83.589995999999999</v>
      </c>
      <c r="C896" s="6">
        <v>98.169998000000007</v>
      </c>
      <c r="D896" s="6">
        <v>109.279999</v>
      </c>
      <c r="F896" s="13">
        <v>893</v>
      </c>
      <c r="G896" s="5">
        <v>44762</v>
      </c>
      <c r="H896" s="15">
        <f t="shared" si="170"/>
        <v>2.5320827611632565E-2</v>
      </c>
      <c r="I896" s="15">
        <f t="shared" si="170"/>
        <v>1.1577374390783777E-2</v>
      </c>
      <c r="J896" s="15">
        <f t="shared" si="170"/>
        <v>4.9536933463960754E-3</v>
      </c>
      <c r="K896" s="22"/>
      <c r="L896" s="13">
        <v>893</v>
      </c>
      <c r="M896" s="5">
        <v>44762</v>
      </c>
      <c r="N896" s="26">
        <f t="shared" si="167"/>
        <v>1.4784222589596347</v>
      </c>
      <c r="O896" s="26">
        <f t="shared" si="168"/>
        <v>0.93105079796944612</v>
      </c>
      <c r="P896" s="26">
        <f t="shared" si="169"/>
        <v>1.4462678916428771</v>
      </c>
      <c r="Q896" s="22"/>
      <c r="AD896" s="59">
        <v>892</v>
      </c>
      <c r="AE896" s="61">
        <f t="shared" ca="1" si="171"/>
        <v>0.92142673788311436</v>
      </c>
      <c r="AF896" s="61">
        <f t="shared" ca="1" si="171"/>
        <v>-1.6657057832278779</v>
      </c>
      <c r="AG896" s="61">
        <f t="shared" ca="1" si="171"/>
        <v>-1.1763499544884835</v>
      </c>
      <c r="AH896" s="19"/>
      <c r="AI896" s="61">
        <f ca="1"/>
        <v>1.9980479825712799E-2</v>
      </c>
      <c r="AJ896" s="61">
        <f ca="1"/>
        <v>-2.1783327573085577E-2</v>
      </c>
      <c r="AK896" s="61">
        <f ca="1"/>
        <v>-2.8254117312373261E-2</v>
      </c>
      <c r="AL896" s="19"/>
      <c r="AM896" s="61">
        <f t="shared" ca="1" si="175"/>
        <v>2.0331696148223045E-2</v>
      </c>
      <c r="AN896" s="61">
        <f t="shared" ca="1" si="176"/>
        <v>-2.1534274976169047E-2</v>
      </c>
      <c r="AO896" s="61">
        <f t="shared" ca="1" si="177"/>
        <v>-2.7822448709118444E-2</v>
      </c>
      <c r="AP896" s="19"/>
      <c r="AQ896" s="62">
        <f t="shared" ca="1" si="172"/>
        <v>1.1615326768838223</v>
      </c>
      <c r="AR896" s="62">
        <f t="shared" ca="1" si="173"/>
        <v>1.226427956932499</v>
      </c>
      <c r="AS896" s="62">
        <f t="shared" ca="1" si="174"/>
        <v>1.0936547094743456</v>
      </c>
      <c r="AT896" s="49"/>
    </row>
    <row r="897" spans="1:46" x14ac:dyDescent="0.3">
      <c r="A897" s="5">
        <v>44763</v>
      </c>
      <c r="B897" s="6">
        <v>82.699996999999996</v>
      </c>
      <c r="C897" s="6">
        <v>98.220000999999996</v>
      </c>
      <c r="D897" s="6">
        <v>104.150002</v>
      </c>
      <c r="F897" s="13">
        <v>894</v>
      </c>
      <c r="G897" s="5">
        <v>44763</v>
      </c>
      <c r="H897" s="15">
        <f t="shared" si="170"/>
        <v>-1.0704282104499958E-2</v>
      </c>
      <c r="I897" s="15">
        <f t="shared" si="170"/>
        <v>5.0922146071704299E-4</v>
      </c>
      <c r="J897" s="15">
        <f t="shared" si="170"/>
        <v>-4.8081199761621382E-2</v>
      </c>
      <c r="K897" s="22"/>
      <c r="L897" s="13">
        <v>894</v>
      </c>
      <c r="M897" s="5">
        <v>44763</v>
      </c>
      <c r="N897" s="26">
        <f t="shared" si="167"/>
        <v>1.4626812086543826</v>
      </c>
      <c r="O897" s="26">
        <f t="shared" si="168"/>
        <v>0.93152502975104257</v>
      </c>
      <c r="P897" s="26">
        <f t="shared" si="169"/>
        <v>1.3783748644355445</v>
      </c>
      <c r="Q897" s="22"/>
      <c r="AD897" s="59">
        <v>893</v>
      </c>
      <c r="AE897" s="61">
        <f t="shared" ca="1" si="171"/>
        <v>-1.5976573670136354</v>
      </c>
      <c r="AF897" s="61">
        <f t="shared" ca="1" si="171"/>
        <v>2.975054138485381</v>
      </c>
      <c r="AG897" s="61">
        <f t="shared" ca="1" si="171"/>
        <v>0.35031441037432198</v>
      </c>
      <c r="AH897" s="19"/>
      <c r="AI897" s="61">
        <f ca="1"/>
        <v>-3.4644057392294564E-2</v>
      </c>
      <c r="AJ897" s="61">
        <f ca="1"/>
        <v>3.9658756165912246E-2</v>
      </c>
      <c r="AK897" s="61">
        <f ca="1"/>
        <v>6.3204812557752788E-3</v>
      </c>
      <c r="AL897" s="19"/>
      <c r="AM897" s="61">
        <f t="shared" ca="1" si="175"/>
        <v>-3.4292841069784322E-2</v>
      </c>
      <c r="AN897" s="61">
        <f t="shared" ca="1" si="176"/>
        <v>3.9907808762828775E-2</v>
      </c>
      <c r="AO897" s="61">
        <f t="shared" ca="1" si="177"/>
        <v>6.7521498590300969E-3</v>
      </c>
      <c r="AP897" s="19"/>
      <c r="AQ897" s="62">
        <f t="shared" ca="1" si="172"/>
        <v>1.1223756613619928</v>
      </c>
      <c r="AR897" s="62">
        <f t="shared" ca="1" si="173"/>
        <v>1.2763617565524794</v>
      </c>
      <c r="AS897" s="62">
        <f t="shared" ca="1" si="174"/>
        <v>1.1010642168680269</v>
      </c>
      <c r="AT897" s="49"/>
    </row>
    <row r="898" spans="1:46" x14ac:dyDescent="0.3">
      <c r="A898" s="5">
        <v>44764</v>
      </c>
      <c r="B898" s="6">
        <v>77.050003000000004</v>
      </c>
      <c r="C898" s="6">
        <v>96.940002000000007</v>
      </c>
      <c r="D898" s="6">
        <v>104.019997</v>
      </c>
      <c r="F898" s="13">
        <v>895</v>
      </c>
      <c r="G898" s="5">
        <v>44764</v>
      </c>
      <c r="H898" s="15">
        <f t="shared" si="170"/>
        <v>-7.076496505206957E-2</v>
      </c>
      <c r="I898" s="15">
        <f t="shared" si="170"/>
        <v>-1.3117619743776142E-2</v>
      </c>
      <c r="J898" s="15">
        <f t="shared" si="170"/>
        <v>-1.2490274057348316E-3</v>
      </c>
      <c r="K898" s="22"/>
      <c r="L898" s="13">
        <v>895</v>
      </c>
      <c r="M898" s="5">
        <v>44764</v>
      </c>
      <c r="N898" s="26">
        <f t="shared" si="167"/>
        <v>1.3627520629155987</v>
      </c>
      <c r="O898" s="26">
        <f t="shared" si="168"/>
        <v>0.91938543400255246</v>
      </c>
      <c r="P898" s="26">
        <f t="shared" si="169"/>
        <v>1.3766543111872502</v>
      </c>
      <c r="Q898" s="22"/>
      <c r="AD898" s="59">
        <v>894</v>
      </c>
      <c r="AE898" s="61">
        <f t="shared" ca="1" si="171"/>
        <v>0.54150053529902575</v>
      </c>
      <c r="AF898" s="61">
        <f t="shared" ca="1" si="171"/>
        <v>-0.40097465257389237</v>
      </c>
      <c r="AG898" s="61">
        <f t="shared" ca="1" si="171"/>
        <v>-0.91028944975407022</v>
      </c>
      <c r="AH898" s="19"/>
      <c r="AI898" s="61">
        <f ca="1"/>
        <v>1.1742051838013129E-2</v>
      </c>
      <c r="AJ898" s="61">
        <f ca="1"/>
        <v>-2.3984274916744215E-4</v>
      </c>
      <c r="AK898" s="61">
        <f ca="1"/>
        <v>-1.8144456968184758E-2</v>
      </c>
      <c r="AL898" s="19"/>
      <c r="AM898" s="61">
        <f t="shared" ca="1" si="175"/>
        <v>1.2093268160523373E-2</v>
      </c>
      <c r="AN898" s="61">
        <f t="shared" ca="1" si="176"/>
        <v>9.2098477490885249E-6</v>
      </c>
      <c r="AO898" s="61">
        <f t="shared" ca="1" si="177"/>
        <v>-1.7712788364929941E-2</v>
      </c>
      <c r="AP898" s="19"/>
      <c r="AQ898" s="62">
        <f t="shared" ca="1" si="172"/>
        <v>1.1360312551666905</v>
      </c>
      <c r="AR898" s="62">
        <f t="shared" ca="1" si="173"/>
        <v>1.2763735117040615</v>
      </c>
      <c r="AS898" s="62">
        <f t="shared" ca="1" si="174"/>
        <v>1.0817330096261994</v>
      </c>
      <c r="AT898" s="49"/>
    </row>
    <row r="899" spans="1:46" x14ac:dyDescent="0.3">
      <c r="A899" s="5">
        <v>44767</v>
      </c>
      <c r="B899" s="6">
        <v>78.050003000000004</v>
      </c>
      <c r="C899" s="6">
        <v>96.779999000000004</v>
      </c>
      <c r="D899" s="6">
        <v>109.32</v>
      </c>
      <c r="F899" s="13">
        <v>896</v>
      </c>
      <c r="G899" s="5">
        <v>44767</v>
      </c>
      <c r="H899" s="15">
        <f t="shared" si="170"/>
        <v>1.2895084696459684E-2</v>
      </c>
      <c r="I899" s="15">
        <f t="shared" si="170"/>
        <v>-1.6519000160890229E-3</v>
      </c>
      <c r="J899" s="15">
        <f t="shared" si="170"/>
        <v>4.969620155554879E-2</v>
      </c>
      <c r="K899" s="22"/>
      <c r="L899" s="13">
        <v>896</v>
      </c>
      <c r="M899" s="5">
        <v>44767</v>
      </c>
      <c r="N899" s="26">
        <f t="shared" si="167"/>
        <v>1.3804386561648629</v>
      </c>
      <c r="O899" s="26">
        <f t="shared" si="168"/>
        <v>0.91786795489628303</v>
      </c>
      <c r="P899" s="26">
        <f t="shared" si="169"/>
        <v>1.4467972855160742</v>
      </c>
      <c r="Q899" s="22"/>
      <c r="AD899" s="59">
        <v>895</v>
      </c>
      <c r="AE899" s="61">
        <f t="shared" ca="1" si="171"/>
        <v>1.0926556626168615</v>
      </c>
      <c r="AF899" s="61">
        <f t="shared" ca="1" si="171"/>
        <v>1.006890695681282</v>
      </c>
      <c r="AG899" s="61">
        <f t="shared" ca="1" si="171"/>
        <v>1.2514035678439825</v>
      </c>
      <c r="AH899" s="19"/>
      <c r="AI899" s="61">
        <f ca="1"/>
        <v>2.3693456599190286E-2</v>
      </c>
      <c r="AJ899" s="61">
        <f ca="1"/>
        <v>3.898840955414274E-2</v>
      </c>
      <c r="AK899" s="61">
        <f ca="1"/>
        <v>5.5296475436175919E-2</v>
      </c>
      <c r="AL899" s="19"/>
      <c r="AM899" s="61">
        <f t="shared" ca="1" si="175"/>
        <v>2.4044672921700531E-2</v>
      </c>
      <c r="AN899" s="61">
        <f t="shared" ca="1" si="176"/>
        <v>3.923746215105927E-2</v>
      </c>
      <c r="AO899" s="61">
        <f t="shared" ca="1" si="177"/>
        <v>5.5728144039430737E-2</v>
      </c>
      <c r="AP899" s="19"/>
      <c r="AQ899" s="62">
        <f t="shared" ca="1" si="172"/>
        <v>1.1636777992144389</v>
      </c>
      <c r="AR899" s="62">
        <f t="shared" ca="1" si="173"/>
        <v>1.327450685454612</v>
      </c>
      <c r="AS899" s="62">
        <f t="shared" ca="1" si="174"/>
        <v>1.1437273540358468</v>
      </c>
      <c r="AT899" s="49"/>
    </row>
    <row r="900" spans="1:46" x14ac:dyDescent="0.3">
      <c r="A900" s="5">
        <v>44768</v>
      </c>
      <c r="B900" s="6">
        <v>75.419998000000007</v>
      </c>
      <c r="C900" s="6">
        <v>90.629997000000003</v>
      </c>
      <c r="D900" s="6">
        <v>107.629997</v>
      </c>
      <c r="F900" s="13">
        <v>897</v>
      </c>
      <c r="G900" s="5">
        <v>44768</v>
      </c>
      <c r="H900" s="15">
        <f t="shared" si="170"/>
        <v>-3.4277220086293948E-2</v>
      </c>
      <c r="I900" s="15">
        <f t="shared" si="170"/>
        <v>-6.5655100067391239E-2</v>
      </c>
      <c r="J900" s="15">
        <f t="shared" si="170"/>
        <v>-1.5579969656930258E-2</v>
      </c>
      <c r="K900" s="22"/>
      <c r="L900" s="13">
        <v>897</v>
      </c>
      <c r="M900" s="5">
        <v>44768</v>
      </c>
      <c r="N900" s="26">
        <f t="shared" ref="N900:N963" si="178">B900/B$3</f>
        <v>1.3339228274863315</v>
      </c>
      <c r="O900" s="26">
        <f t="shared" ref="O900:O963" si="179">C900/C$3</f>
        <v>0.85954092641234958</v>
      </c>
      <c r="P900" s="26">
        <f t="shared" ref="P900:P963" si="180">D900/D$3</f>
        <v>1.4244309138282403</v>
      </c>
      <c r="Q900" s="22"/>
      <c r="AD900" s="59">
        <v>896</v>
      </c>
      <c r="AE900" s="61">
        <f t="shared" ca="1" si="171"/>
        <v>-0.76689973447023663</v>
      </c>
      <c r="AF900" s="61">
        <f t="shared" ca="1" si="171"/>
        <v>-1.7797102639161813</v>
      </c>
      <c r="AG900" s="61">
        <f t="shared" ca="1" si="171"/>
        <v>-1.6144144877774407</v>
      </c>
      <c r="AH900" s="19"/>
      <c r="AI900" s="61">
        <f ca="1"/>
        <v>-1.6629672271210819E-2</v>
      </c>
      <c r="AJ900" s="61">
        <f ca="1"/>
        <v>-5.0687587434258663E-2</v>
      </c>
      <c r="AK900" s="61">
        <f ca="1"/>
        <v>-6.5226128613752418E-2</v>
      </c>
      <c r="AL900" s="19"/>
      <c r="AM900" s="61">
        <f t="shared" ca="1" si="175"/>
        <v>-1.6278455948700574E-2</v>
      </c>
      <c r="AN900" s="61">
        <f t="shared" ca="1" si="176"/>
        <v>-5.0438534837342133E-2</v>
      </c>
      <c r="AO900" s="61">
        <f t="shared" ca="1" si="177"/>
        <v>-6.4794460010497601E-2</v>
      </c>
      <c r="AP900" s="19"/>
      <c r="AQ900" s="62">
        <f t="shared" ca="1" si="172"/>
        <v>1.1448882686096156</v>
      </c>
      <c r="AR900" s="62">
        <f t="shared" ca="1" si="173"/>
        <v>1.2621565305870543</v>
      </c>
      <c r="AS900" s="62">
        <f t="shared" ca="1" si="174"/>
        <v>1.0719700005023312</v>
      </c>
      <c r="AT900" s="49"/>
    </row>
    <row r="901" spans="1:46" x14ac:dyDescent="0.3">
      <c r="A901" s="5">
        <v>44769</v>
      </c>
      <c r="B901" s="6">
        <v>77.650002000000001</v>
      </c>
      <c r="C901" s="6">
        <v>95.239998</v>
      </c>
      <c r="D901" s="6">
        <v>111.5</v>
      </c>
      <c r="F901" s="13">
        <v>898</v>
      </c>
      <c r="G901" s="5">
        <v>44769</v>
      </c>
      <c r="H901" s="15">
        <f t="shared" ref="H901:J964" si="181">LN(B901/B900)</f>
        <v>2.9139110039249988E-2</v>
      </c>
      <c r="I901" s="15">
        <f t="shared" si="181"/>
        <v>4.9614749654013919E-2</v>
      </c>
      <c r="J901" s="15">
        <f t="shared" si="181"/>
        <v>3.5325199497236531E-2</v>
      </c>
      <c r="K901" s="22"/>
      <c r="L901" s="13">
        <v>898</v>
      </c>
      <c r="M901" s="5">
        <v>44769</v>
      </c>
      <c r="N901" s="26">
        <f t="shared" si="178"/>
        <v>1.3733640011785639</v>
      </c>
      <c r="O901" s="26">
        <f t="shared" si="179"/>
        <v>0.90326248286679656</v>
      </c>
      <c r="P901" s="26">
        <f t="shared" si="180"/>
        <v>1.4756485303242068</v>
      </c>
      <c r="Q901" s="22"/>
      <c r="AD901" s="59">
        <v>897</v>
      </c>
      <c r="AE901" s="61">
        <f t="shared" ref="AE901:AG964" ca="1" si="182">_xlfn.NORM.S.INV(RAND())</f>
        <v>0.48233197708426684</v>
      </c>
      <c r="AF901" s="61">
        <f t="shared" ca="1" si="182"/>
        <v>-0.26469017607034923</v>
      </c>
      <c r="AG901" s="61">
        <f t="shared" ca="1" si="182"/>
        <v>0.13679218367463825</v>
      </c>
      <c r="AH901" s="19"/>
      <c r="AI901" s="61">
        <f ca="1"/>
        <v>1.045902396925112E-2</v>
      </c>
      <c r="AJ901" s="61">
        <f ca="1"/>
        <v>1.7963127650940701E-3</v>
      </c>
      <c r="AK901" s="61">
        <f ca="1"/>
        <v>8.7672577893978861E-3</v>
      </c>
      <c r="AL901" s="19"/>
      <c r="AM901" s="61">
        <f t="shared" ca="1" si="175"/>
        <v>1.0810240291761364E-2</v>
      </c>
      <c r="AN901" s="61">
        <f t="shared" ca="1" si="176"/>
        <v>2.0453653620106007E-3</v>
      </c>
      <c r="AO901" s="61">
        <f t="shared" ca="1" si="177"/>
        <v>9.1989263926527051E-3</v>
      </c>
      <c r="AP901" s="19"/>
      <c r="AQ901" s="62">
        <f t="shared" ca="1" si="172"/>
        <v>1.1573319241723017</v>
      </c>
      <c r="AR901" s="62">
        <f t="shared" ca="1" si="173"/>
        <v>1.2647407437652887</v>
      </c>
      <c r="AS901" s="62">
        <f t="shared" ca="1" si="174"/>
        <v>1.0818764682084909</v>
      </c>
      <c r="AT901" s="49"/>
    </row>
    <row r="902" spans="1:46" x14ac:dyDescent="0.3">
      <c r="A902" s="5">
        <v>44770</v>
      </c>
      <c r="B902" s="6">
        <v>78.129997000000003</v>
      </c>
      <c r="C902" s="6">
        <v>97.339995999999999</v>
      </c>
      <c r="D902" s="6">
        <v>109.510002</v>
      </c>
      <c r="F902" s="13">
        <v>899</v>
      </c>
      <c r="G902" s="5">
        <v>44770</v>
      </c>
      <c r="H902" s="15">
        <f t="shared" si="181"/>
        <v>6.1624922598137394E-3</v>
      </c>
      <c r="I902" s="15">
        <f t="shared" si="181"/>
        <v>2.1809962693149679E-2</v>
      </c>
      <c r="J902" s="15">
        <f t="shared" si="181"/>
        <v>-1.8008703349333518E-2</v>
      </c>
      <c r="K902" s="22"/>
      <c r="L902" s="13">
        <v>899</v>
      </c>
      <c r="M902" s="5">
        <v>44770</v>
      </c>
      <c r="N902" s="26">
        <f t="shared" si="178"/>
        <v>1.3818534775052447</v>
      </c>
      <c r="O902" s="26">
        <f t="shared" si="179"/>
        <v>0.92317900373332684</v>
      </c>
      <c r="P902" s="26">
        <f t="shared" si="180"/>
        <v>1.4493118700188425</v>
      </c>
      <c r="Q902" s="22"/>
      <c r="AD902" s="59">
        <v>898</v>
      </c>
      <c r="AE902" s="61">
        <f t="shared" ca="1" si="182"/>
        <v>0.72038130671564016</v>
      </c>
      <c r="AF902" s="61">
        <f t="shared" ca="1" si="182"/>
        <v>-0.36600492899276421</v>
      </c>
      <c r="AG902" s="61">
        <f t="shared" ca="1" si="182"/>
        <v>-1.6551792707094937E-2</v>
      </c>
      <c r="AH902" s="19"/>
      <c r="AI902" s="61">
        <f ca="1"/>
        <v>1.5620953434366626E-2</v>
      </c>
      <c r="AJ902" s="61">
        <f ca="1"/>
        <v>3.3201620597195277E-3</v>
      </c>
      <c r="AK902" s="61">
        <f ca="1"/>
        <v>7.6423956674131115E-3</v>
      </c>
      <c r="AL902" s="19"/>
      <c r="AM902" s="61">
        <f t="shared" ca="1" si="175"/>
        <v>1.5972169756876872E-2</v>
      </c>
      <c r="AN902" s="61">
        <f t="shared" ca="1" si="176"/>
        <v>3.5692146566360583E-3</v>
      </c>
      <c r="AO902" s="61">
        <f t="shared" ca="1" si="177"/>
        <v>8.0740642706679296E-3</v>
      </c>
      <c r="AP902" s="19"/>
      <c r="AQ902" s="62">
        <f t="shared" ref="AQ902:AQ965" ca="1" si="183">AQ901*EXP(AM902)</f>
        <v>1.1759654388282301</v>
      </c>
      <c r="AR902" s="62">
        <f t="shared" ref="AR902:AR965" ca="1" si="184">AR901*EXP(AN902)</f>
        <v>1.269262940509432</v>
      </c>
      <c r="AS902" s="62">
        <f t="shared" ref="AS902:AS965" ca="1" si="185">AS901*EXP(AO902)</f>
        <v>1.0906469674870991</v>
      </c>
      <c r="AT902" s="49"/>
    </row>
    <row r="903" spans="1:46" x14ac:dyDescent="0.3">
      <c r="A903" s="5">
        <v>44771</v>
      </c>
      <c r="B903" s="6">
        <v>79.139999000000003</v>
      </c>
      <c r="C903" s="6">
        <v>98.629997000000003</v>
      </c>
      <c r="D903" s="6">
        <v>110.769997</v>
      </c>
      <c r="F903" s="13">
        <v>900</v>
      </c>
      <c r="G903" s="5">
        <v>44771</v>
      </c>
      <c r="H903" s="15">
        <f t="shared" si="181"/>
        <v>1.2844355710333245E-2</v>
      </c>
      <c r="I903" s="15">
        <f t="shared" si="181"/>
        <v>1.3165481236961193E-2</v>
      </c>
      <c r="J903" s="15">
        <f t="shared" si="181"/>
        <v>1.1440064894855965E-2</v>
      </c>
      <c r="K903" s="22"/>
      <c r="L903" s="13">
        <v>900</v>
      </c>
      <c r="M903" s="5">
        <v>44771</v>
      </c>
      <c r="N903" s="26">
        <f t="shared" si="178"/>
        <v>1.3997169720601881</v>
      </c>
      <c r="O903" s="26">
        <f t="shared" si="179"/>
        <v>0.93541345911582963</v>
      </c>
      <c r="P903" s="26">
        <f t="shared" si="180"/>
        <v>1.4659872939647247</v>
      </c>
      <c r="Q903" s="22"/>
      <c r="AD903" s="59">
        <v>899</v>
      </c>
      <c r="AE903" s="61">
        <f t="shared" ca="1" si="182"/>
        <v>-1.513340452150238</v>
      </c>
      <c r="AF903" s="61">
        <f t="shared" ca="1" si="182"/>
        <v>-0.8503867786009266</v>
      </c>
      <c r="AG903" s="61">
        <f t="shared" ca="1" si="182"/>
        <v>-0.98581368060276608</v>
      </c>
      <c r="AH903" s="19"/>
      <c r="AI903" s="61">
        <f ca="1"/>
        <v>-3.2815705395189652E-2</v>
      </c>
      <c r="AJ903" s="61">
        <f ca="1"/>
        <v>-4.2171338138808925E-2</v>
      </c>
      <c r="AK903" s="61">
        <f ca="1"/>
        <v>-5.3605749247037648E-2</v>
      </c>
      <c r="AL903" s="19"/>
      <c r="AM903" s="61">
        <f t="shared" ref="AM903:AM966" ca="1" si="186">AI903+T$3</f>
        <v>-3.246448907267941E-2</v>
      </c>
      <c r="AN903" s="61">
        <f t="shared" ref="AN903:AN966" ca="1" si="187">AJ903+U$3</f>
        <v>-4.1922285541892396E-2</v>
      </c>
      <c r="AO903" s="61">
        <f t="shared" ref="AO903:AO966" ca="1" si="188">AK903+V$3</f>
        <v>-5.3174080643782831E-2</v>
      </c>
      <c r="AP903" s="19"/>
      <c r="AQ903" s="62">
        <f t="shared" ca="1" si="183"/>
        <v>1.1384013699819928</v>
      </c>
      <c r="AR903" s="62">
        <f t="shared" ca="1" si="184"/>
        <v>1.2171524639238103</v>
      </c>
      <c r="AS903" s="62">
        <f t="shared" ca="1" si="185"/>
        <v>1.0341677403825151</v>
      </c>
      <c r="AT903" s="49"/>
    </row>
    <row r="904" spans="1:46" x14ac:dyDescent="0.3">
      <c r="A904" s="5">
        <v>44774</v>
      </c>
      <c r="B904" s="6">
        <v>79.220000999999996</v>
      </c>
      <c r="C904" s="6">
        <v>97.940002000000007</v>
      </c>
      <c r="D904" s="6">
        <v>110.650002</v>
      </c>
      <c r="F904" s="13">
        <v>901</v>
      </c>
      <c r="G904" s="5">
        <v>44774</v>
      </c>
      <c r="H904" s="15">
        <f t="shared" si="181"/>
        <v>1.0103814954024765E-3</v>
      </c>
      <c r="I904" s="15">
        <f t="shared" si="181"/>
        <v>-7.0203778543559709E-3</v>
      </c>
      <c r="J904" s="15">
        <f t="shared" si="181"/>
        <v>-1.0838678736261199E-3</v>
      </c>
      <c r="K904" s="22"/>
      <c r="L904" s="13">
        <v>901</v>
      </c>
      <c r="M904" s="5">
        <v>44774</v>
      </c>
      <c r="N904" s="26">
        <f t="shared" si="178"/>
        <v>1.4011319348933156</v>
      </c>
      <c r="O904" s="26">
        <f t="shared" si="179"/>
        <v>0.92886950059048745</v>
      </c>
      <c r="P904" s="26">
        <f t="shared" si="180"/>
        <v>1.4643992182212606</v>
      </c>
      <c r="Q904" s="22"/>
      <c r="AD904" s="59">
        <v>900</v>
      </c>
      <c r="AE904" s="61">
        <f t="shared" ca="1" si="182"/>
        <v>-0.66457957852591076</v>
      </c>
      <c r="AF904" s="61">
        <f t="shared" ca="1" si="182"/>
        <v>-0.99636243935286262</v>
      </c>
      <c r="AG904" s="61">
        <f t="shared" ca="1" si="182"/>
        <v>0.12887900267284208</v>
      </c>
      <c r="AH904" s="19"/>
      <c r="AI904" s="61">
        <f ca="1"/>
        <v>-1.4410932866810411E-2</v>
      </c>
      <c r="AJ904" s="61">
        <f ca="1"/>
        <v>-3.2059175666387094E-2</v>
      </c>
      <c r="AK904" s="61">
        <f ca="1"/>
        <v>-1.3534495210183654E-2</v>
      </c>
      <c r="AL904" s="19"/>
      <c r="AM904" s="61">
        <f t="shared" ca="1" si="186"/>
        <v>-1.4059716544300167E-2</v>
      </c>
      <c r="AN904" s="61">
        <f t="shared" ca="1" si="187"/>
        <v>-3.1810123069470564E-2</v>
      </c>
      <c r="AO904" s="61">
        <f t="shared" ca="1" si="188"/>
        <v>-1.3102826606928835E-2</v>
      </c>
      <c r="AP904" s="19"/>
      <c r="AQ904" s="62">
        <f t="shared" ca="1" si="183"/>
        <v>1.1225077610387733</v>
      </c>
      <c r="AR904" s="62">
        <f t="shared" ca="1" si="184"/>
        <v>1.179044024711656</v>
      </c>
      <c r="AS904" s="62">
        <f t="shared" ca="1" si="185"/>
        <v>1.0207056083906723</v>
      </c>
      <c r="AT904" s="49"/>
    </row>
    <row r="905" spans="1:46" x14ac:dyDescent="0.3">
      <c r="A905" s="5">
        <v>44775</v>
      </c>
      <c r="B905" s="6">
        <v>78</v>
      </c>
      <c r="C905" s="6">
        <v>94.970000999999996</v>
      </c>
      <c r="D905" s="6">
        <v>112.989998</v>
      </c>
      <c r="F905" s="13">
        <v>902</v>
      </c>
      <c r="G905" s="5">
        <v>44775</v>
      </c>
      <c r="H905" s="15">
        <f t="shared" si="181"/>
        <v>-1.5519978127253723E-2</v>
      </c>
      <c r="I905" s="15">
        <f t="shared" si="181"/>
        <v>-3.0794003910334915E-2</v>
      </c>
      <c r="J905" s="15">
        <f t="shared" si="181"/>
        <v>2.0927216948403344E-2</v>
      </c>
      <c r="K905" s="22"/>
      <c r="L905" s="13">
        <v>902</v>
      </c>
      <c r="M905" s="5">
        <v>44775</v>
      </c>
      <c r="N905" s="26">
        <f t="shared" si="178"/>
        <v>1.3795542734426198</v>
      </c>
      <c r="O905" s="26">
        <f t="shared" si="179"/>
        <v>0.90070181334025379</v>
      </c>
      <c r="P905" s="26">
        <f t="shared" si="180"/>
        <v>1.4953679326460545</v>
      </c>
      <c r="Q905" s="22"/>
      <c r="AD905" s="59">
        <v>901</v>
      </c>
      <c r="AE905" s="61">
        <f t="shared" ca="1" si="182"/>
        <v>-9.1778818038610016E-2</v>
      </c>
      <c r="AF905" s="61">
        <f t="shared" ca="1" si="182"/>
        <v>-0.42860727748593092</v>
      </c>
      <c r="AG905" s="61">
        <f t="shared" ca="1" si="182"/>
        <v>-0.16174004230088687</v>
      </c>
      <c r="AH905" s="19"/>
      <c r="AI905" s="61">
        <f ca="1"/>
        <v>-1.9901580308610864E-3</v>
      </c>
      <c r="AJ905" s="61">
        <f ca="1"/>
        <v>-1.075276840581553E-2</v>
      </c>
      <c r="AK905" s="61">
        <f ca="1"/>
        <v>-8.5183046758267756E-3</v>
      </c>
      <c r="AL905" s="19"/>
      <c r="AM905" s="61">
        <f t="shared" ca="1" si="186"/>
        <v>-1.6389417083508421E-3</v>
      </c>
      <c r="AN905" s="61">
        <f t="shared" ca="1" si="187"/>
        <v>-1.0503715808898998E-2</v>
      </c>
      <c r="AO905" s="61">
        <f t="shared" ca="1" si="188"/>
        <v>-8.0866360725719566E-3</v>
      </c>
      <c r="AP905" s="19"/>
      <c r="AQ905" s="62">
        <f t="shared" ca="1" si="183"/>
        <v>1.1206695430288163</v>
      </c>
      <c r="AR905" s="62">
        <f t="shared" ca="1" si="184"/>
        <v>1.1667244950348115</v>
      </c>
      <c r="AS905" s="62">
        <f t="shared" ca="1" si="185"/>
        <v>1.0124848176687153</v>
      </c>
      <c r="AT905" s="49"/>
    </row>
    <row r="906" spans="1:46" x14ac:dyDescent="0.3">
      <c r="A906" s="5">
        <v>44776</v>
      </c>
      <c r="B906" s="6">
        <v>80.180000000000007</v>
      </c>
      <c r="C906" s="6">
        <v>98.360000999999997</v>
      </c>
      <c r="D906" s="6">
        <v>107.80999799999999</v>
      </c>
      <c r="F906" s="13">
        <v>903</v>
      </c>
      <c r="G906" s="5">
        <v>44776</v>
      </c>
      <c r="H906" s="15">
        <f t="shared" si="181"/>
        <v>2.7565280524769323E-2</v>
      </c>
      <c r="I906" s="15">
        <f t="shared" si="181"/>
        <v>3.5073164730224288E-2</v>
      </c>
      <c r="J906" s="15">
        <f t="shared" si="181"/>
        <v>-4.6928901520601696E-2</v>
      </c>
      <c r="K906" s="22"/>
      <c r="L906" s="13">
        <v>903</v>
      </c>
      <c r="M906" s="5">
        <v>44776</v>
      </c>
      <c r="N906" s="26">
        <f t="shared" si="178"/>
        <v>1.4181110467260163</v>
      </c>
      <c r="O906" s="26">
        <f t="shared" si="179"/>
        <v>0.9328527990733535</v>
      </c>
      <c r="P906" s="26">
        <f t="shared" si="180"/>
        <v>1.4268131399368222</v>
      </c>
      <c r="Q906" s="22"/>
      <c r="AD906" s="59">
        <v>902</v>
      </c>
      <c r="AE906" s="61">
        <f t="shared" ca="1" si="182"/>
        <v>-0.77039520408965845</v>
      </c>
      <c r="AF906" s="61">
        <f t="shared" ca="1" si="182"/>
        <v>-1.3037312157770986</v>
      </c>
      <c r="AG906" s="61">
        <f t="shared" ca="1" si="182"/>
        <v>-0.31772585034934114</v>
      </c>
      <c r="AH906" s="19"/>
      <c r="AI906" s="61">
        <f ca="1"/>
        <v>-1.6705469030020643E-2</v>
      </c>
      <c r="AJ906" s="61">
        <f ca="1"/>
        <v>-4.0396410732516777E-2</v>
      </c>
      <c r="AK906" s="61">
        <f ca="1"/>
        <v>-2.8704607669049802E-2</v>
      </c>
      <c r="AL906" s="19"/>
      <c r="AM906" s="61">
        <f t="shared" ca="1" si="186"/>
        <v>-1.6354252707510397E-2</v>
      </c>
      <c r="AN906" s="61">
        <f t="shared" ca="1" si="187"/>
        <v>-4.0147358135600247E-2</v>
      </c>
      <c r="AO906" s="61">
        <f t="shared" ca="1" si="188"/>
        <v>-2.8272939065794984E-2</v>
      </c>
      <c r="AP906" s="19"/>
      <c r="AQ906" s="62">
        <f t="shared" ca="1" si="183"/>
        <v>1.1024908844809913</v>
      </c>
      <c r="AR906" s="62">
        <f t="shared" ca="1" si="184"/>
        <v>1.1208114003819718</v>
      </c>
      <c r="AS906" s="62">
        <f t="shared" ca="1" si="185"/>
        <v>0.98425977865454195</v>
      </c>
      <c r="AT906" s="49"/>
    </row>
    <row r="907" spans="1:46" x14ac:dyDescent="0.3">
      <c r="A907" s="5">
        <v>44777</v>
      </c>
      <c r="B907" s="6">
        <v>79.010002</v>
      </c>
      <c r="C907" s="6">
        <v>98.730002999999996</v>
      </c>
      <c r="D907" s="6">
        <v>104.33000199999999</v>
      </c>
      <c r="F907" s="13">
        <v>904</v>
      </c>
      <c r="G907" s="5">
        <v>44777</v>
      </c>
      <c r="H907" s="15">
        <f t="shared" si="181"/>
        <v>-1.4699655166467863E-2</v>
      </c>
      <c r="I907" s="15">
        <f t="shared" si="181"/>
        <v>3.7546544945324454E-3</v>
      </c>
      <c r="J907" s="15">
        <f t="shared" si="181"/>
        <v>-3.2811428350052282E-2</v>
      </c>
      <c r="K907" s="22"/>
      <c r="L907" s="13">
        <v>904</v>
      </c>
      <c r="M907" s="5">
        <v>44777</v>
      </c>
      <c r="N907" s="26">
        <f t="shared" si="178"/>
        <v>1.3974177679975635</v>
      </c>
      <c r="O907" s="26">
        <f t="shared" si="179"/>
        <v>0.93636192267902263</v>
      </c>
      <c r="P907" s="26">
        <f t="shared" si="180"/>
        <v>1.3807570773096103</v>
      </c>
      <c r="Q907" s="22"/>
      <c r="AD907" s="59">
        <v>903</v>
      </c>
      <c r="AE907" s="61">
        <f t="shared" ca="1" si="182"/>
        <v>0.83323909123084661</v>
      </c>
      <c r="AF907" s="61">
        <f t="shared" ca="1" si="182"/>
        <v>5.769711629331168E-2</v>
      </c>
      <c r="AG907" s="61">
        <f t="shared" ca="1" si="182"/>
        <v>-1.2145845106655975</v>
      </c>
      <c r="AH907" s="19"/>
      <c r="AI907" s="61">
        <f ca="1"/>
        <v>1.806819377803329E-2</v>
      </c>
      <c r="AJ907" s="61">
        <f ca="1"/>
        <v>1.4296245358299261E-2</v>
      </c>
      <c r="AK907" s="61">
        <f ca="1"/>
        <v>-1.8399708402395184E-2</v>
      </c>
      <c r="AL907" s="19"/>
      <c r="AM907" s="61">
        <f t="shared" ca="1" si="186"/>
        <v>1.8419410100543536E-2</v>
      </c>
      <c r="AN907" s="61">
        <f t="shared" ca="1" si="187"/>
        <v>1.4545297955215792E-2</v>
      </c>
      <c r="AO907" s="61">
        <f t="shared" ca="1" si="188"/>
        <v>-1.7968039799140367E-2</v>
      </c>
      <c r="AP907" s="19"/>
      <c r="AQ907" s="62">
        <f t="shared" ca="1" si="183"/>
        <v>1.1229862934244657</v>
      </c>
      <c r="AR907" s="62">
        <f t="shared" ca="1" si="184"/>
        <v>1.137233075711521</v>
      </c>
      <c r="AS907" s="62">
        <f t="shared" ca="1" si="185"/>
        <v>0.96673249678314088</v>
      </c>
      <c r="AT907" s="49"/>
    </row>
    <row r="908" spans="1:46" x14ac:dyDescent="0.3">
      <c r="A908" s="5">
        <v>44778</v>
      </c>
      <c r="B908" s="6">
        <v>78.860000999999997</v>
      </c>
      <c r="C908" s="6">
        <v>100.220001</v>
      </c>
      <c r="D908" s="6">
        <v>104.989998</v>
      </c>
      <c r="F908" s="13">
        <v>905</v>
      </c>
      <c r="G908" s="5">
        <v>44778</v>
      </c>
      <c r="H908" s="15">
        <f t="shared" si="181"/>
        <v>-1.9003109177120976E-3</v>
      </c>
      <c r="I908" s="15">
        <f t="shared" si="181"/>
        <v>1.4978897500368179E-2</v>
      </c>
      <c r="J908" s="15">
        <f t="shared" si="181"/>
        <v>6.3061168275971892E-3</v>
      </c>
      <c r="K908" s="22"/>
      <c r="L908" s="13">
        <v>905</v>
      </c>
      <c r="M908" s="5">
        <v>44778</v>
      </c>
      <c r="N908" s="26">
        <f t="shared" si="178"/>
        <v>1.3947647613235805</v>
      </c>
      <c r="O908" s="26">
        <f t="shared" si="179"/>
        <v>0.95049316292691255</v>
      </c>
      <c r="P908" s="26">
        <f t="shared" si="180"/>
        <v>1.3894918049097884</v>
      </c>
      <c r="Q908" s="22"/>
      <c r="AD908" s="59">
        <v>904</v>
      </c>
      <c r="AE908" s="61">
        <f t="shared" ca="1" si="182"/>
        <v>0.87816570089175738</v>
      </c>
      <c r="AF908" s="61">
        <f t="shared" ca="1" si="182"/>
        <v>-0.12734554084822897</v>
      </c>
      <c r="AG908" s="61">
        <f t="shared" ca="1" si="182"/>
        <v>-0.65501487177322948</v>
      </c>
      <c r="AH908" s="19"/>
      <c r="AI908" s="61">
        <f ca="1"/>
        <v>1.9042395177951175E-2</v>
      </c>
      <c r="AJ908" s="61">
        <f ca="1"/>
        <v>1.097736137957502E-2</v>
      </c>
      <c r="AK908" s="61">
        <f ca="1"/>
        <v>-4.7028998188649515E-3</v>
      </c>
      <c r="AL908" s="19"/>
      <c r="AM908" s="61">
        <f t="shared" ca="1" si="186"/>
        <v>1.939361150046142E-2</v>
      </c>
      <c r="AN908" s="61">
        <f t="shared" ca="1" si="187"/>
        <v>1.1226413976491552E-2</v>
      </c>
      <c r="AO908" s="61">
        <f t="shared" ca="1" si="188"/>
        <v>-4.2712312156101334E-3</v>
      </c>
      <c r="AP908" s="19"/>
      <c r="AQ908" s="62">
        <f t="shared" ca="1" si="183"/>
        <v>1.1449776095779378</v>
      </c>
      <c r="AR908" s="62">
        <f t="shared" ca="1" si="184"/>
        <v>1.1500720580288177</v>
      </c>
      <c r="AS908" s="62">
        <f t="shared" ca="1" si="185"/>
        <v>0.96261216447579712</v>
      </c>
      <c r="AT908" s="49"/>
    </row>
    <row r="909" spans="1:46" x14ac:dyDescent="0.3">
      <c r="A909" s="5">
        <v>44781</v>
      </c>
      <c r="B909" s="6">
        <v>78.559997999999993</v>
      </c>
      <c r="C909" s="6">
        <v>101.160004</v>
      </c>
      <c r="D909" s="6">
        <v>106.389999</v>
      </c>
      <c r="F909" s="13">
        <v>906</v>
      </c>
      <c r="G909" s="5">
        <v>44781</v>
      </c>
      <c r="H909" s="15">
        <f t="shared" si="181"/>
        <v>-3.8115025422193931E-3</v>
      </c>
      <c r="I909" s="15">
        <f t="shared" si="181"/>
        <v>9.3356818334575289E-3</v>
      </c>
      <c r="J909" s="15">
        <f t="shared" si="181"/>
        <v>1.3246489651478623E-2</v>
      </c>
      <c r="K909" s="22"/>
      <c r="L909" s="13">
        <v>906</v>
      </c>
      <c r="M909" s="5">
        <v>44781</v>
      </c>
      <c r="N909" s="26">
        <f t="shared" si="178"/>
        <v>1.3894587302890213</v>
      </c>
      <c r="O909" s="26">
        <f t="shared" si="179"/>
        <v>0.95940821397177134</v>
      </c>
      <c r="P909" s="26">
        <f t="shared" si="180"/>
        <v>1.4080201404981512</v>
      </c>
      <c r="Q909" s="22"/>
      <c r="AD909" s="59">
        <v>905</v>
      </c>
      <c r="AE909" s="61">
        <f t="shared" ca="1" si="182"/>
        <v>-0.55709984886155217</v>
      </c>
      <c r="AF909" s="61">
        <f t="shared" ca="1" si="182"/>
        <v>1.2151555621343766</v>
      </c>
      <c r="AG909" s="61">
        <f t="shared" ca="1" si="182"/>
        <v>0.5056674619173972</v>
      </c>
      <c r="AH909" s="19"/>
      <c r="AI909" s="61">
        <f ca="1"/>
        <v>-1.2080311796311154E-2</v>
      </c>
      <c r="AJ909" s="61">
        <f ca="1"/>
        <v>1.7692727611752924E-2</v>
      </c>
      <c r="AK909" s="61">
        <f ca="1"/>
        <v>1.3281408469306666E-2</v>
      </c>
      <c r="AL909" s="19"/>
      <c r="AM909" s="61">
        <f t="shared" ca="1" si="186"/>
        <v>-1.172909547380091E-2</v>
      </c>
      <c r="AN909" s="61">
        <f t="shared" ca="1" si="187"/>
        <v>1.7941780208669454E-2</v>
      </c>
      <c r="AO909" s="61">
        <f t="shared" ca="1" si="188"/>
        <v>1.3713077072561485E-2</v>
      </c>
      <c r="AP909" s="19"/>
      <c r="AQ909" s="62">
        <f t="shared" ca="1" si="183"/>
        <v>1.1316265091066477</v>
      </c>
      <c r="AR909" s="62">
        <f t="shared" ca="1" si="184"/>
        <v>1.1708926185569992</v>
      </c>
      <c r="AS909" s="62">
        <f t="shared" ca="1" si="185"/>
        <v>0.97590346329741129</v>
      </c>
      <c r="AT909" s="49"/>
    </row>
    <row r="910" spans="1:46" x14ac:dyDescent="0.3">
      <c r="A910" s="5">
        <v>44782</v>
      </c>
      <c r="B910" s="6">
        <v>77.769997000000004</v>
      </c>
      <c r="C910" s="6">
        <v>96.769997000000004</v>
      </c>
      <c r="D910" s="6">
        <v>110.66999800000001</v>
      </c>
      <c r="F910" s="13">
        <v>907</v>
      </c>
      <c r="G910" s="5">
        <v>44782</v>
      </c>
      <c r="H910" s="15">
        <f t="shared" si="181"/>
        <v>-1.0106924456396417E-2</v>
      </c>
      <c r="I910" s="15">
        <f t="shared" si="181"/>
        <v>-4.4366463451576951E-2</v>
      </c>
      <c r="J910" s="15">
        <f t="shared" si="181"/>
        <v>3.944120407605408E-2</v>
      </c>
      <c r="K910" s="22"/>
      <c r="L910" s="13">
        <v>907</v>
      </c>
      <c r="M910" s="5">
        <v>44782</v>
      </c>
      <c r="N910" s="26">
        <f t="shared" si="178"/>
        <v>1.3754863039355094</v>
      </c>
      <c r="O910" s="26">
        <f t="shared" si="179"/>
        <v>0.91777309526227058</v>
      </c>
      <c r="P910" s="26">
        <f t="shared" si="180"/>
        <v>1.4646638556025375</v>
      </c>
      <c r="Q910" s="22"/>
      <c r="AD910" s="59">
        <v>906</v>
      </c>
      <c r="AE910" s="61">
        <f t="shared" ca="1" si="182"/>
        <v>-0.10035165267414506</v>
      </c>
      <c r="AF910" s="61">
        <f t="shared" ca="1" si="182"/>
        <v>0.30610181870097286</v>
      </c>
      <c r="AG910" s="61">
        <f t="shared" ca="1" si="182"/>
        <v>-1.5794144979247007</v>
      </c>
      <c r="AH910" s="19"/>
      <c r="AI910" s="61">
        <f ca="1"/>
        <v>-2.1760538188192262E-3</v>
      </c>
      <c r="AJ910" s="61">
        <f ca="1"/>
        <v>5.0826965441438656E-3</v>
      </c>
      <c r="AK910" s="61">
        <f ca="1"/>
        <v>-3.9791568983722117E-2</v>
      </c>
      <c r="AL910" s="19"/>
      <c r="AM910" s="61">
        <f t="shared" ca="1" si="186"/>
        <v>-1.8248374963089819E-3</v>
      </c>
      <c r="AN910" s="61">
        <f t="shared" ca="1" si="187"/>
        <v>5.3317491410603962E-3</v>
      </c>
      <c r="AO910" s="61">
        <f t="shared" ca="1" si="188"/>
        <v>-3.93599003804673E-2</v>
      </c>
      <c r="AP910" s="19"/>
      <c r="AQ910" s="62">
        <f t="shared" ca="1" si="183"/>
        <v>1.1295633576516104</v>
      </c>
      <c r="AR910" s="62">
        <f t="shared" ca="1" si="184"/>
        <v>1.1771521966917378</v>
      </c>
      <c r="AS910" s="62">
        <f t="shared" ca="1" si="185"/>
        <v>0.93823811485869724</v>
      </c>
      <c r="AT910" s="49"/>
    </row>
    <row r="911" spans="1:46" x14ac:dyDescent="0.3">
      <c r="A911" s="5">
        <v>44783</v>
      </c>
      <c r="B911" s="6">
        <v>80.050003000000004</v>
      </c>
      <c r="C911" s="6">
        <v>95.519997000000004</v>
      </c>
      <c r="D911" s="6">
        <v>111.760002</v>
      </c>
      <c r="F911" s="13">
        <v>908</v>
      </c>
      <c r="G911" s="5">
        <v>44783</v>
      </c>
      <c r="H911" s="15">
        <f t="shared" si="181"/>
        <v>2.8895762787734963E-2</v>
      </c>
      <c r="I911" s="15">
        <f t="shared" si="181"/>
        <v>-1.300137965425101E-2</v>
      </c>
      <c r="J911" s="15">
        <f t="shared" si="181"/>
        <v>9.8009506392476037E-3</v>
      </c>
      <c r="K911" s="22"/>
      <c r="L911" s="13">
        <v>908</v>
      </c>
      <c r="M911" s="5">
        <v>44783</v>
      </c>
      <c r="N911" s="26">
        <f t="shared" si="178"/>
        <v>1.4158118426633917</v>
      </c>
      <c r="O911" s="26">
        <f t="shared" si="179"/>
        <v>0.90591801202735178</v>
      </c>
      <c r="P911" s="26">
        <f t="shared" si="180"/>
        <v>1.4790895309446674</v>
      </c>
      <c r="Q911" s="22"/>
      <c r="AD911" s="59">
        <v>907</v>
      </c>
      <c r="AE911" s="61">
        <f t="shared" ca="1" si="182"/>
        <v>-0.62825791957755994</v>
      </c>
      <c r="AF911" s="61">
        <f t="shared" ca="1" si="182"/>
        <v>-2.0525268635421527</v>
      </c>
      <c r="AG911" s="61">
        <f t="shared" ca="1" si="182"/>
        <v>1.5955162467918362</v>
      </c>
      <c r="AH911" s="19"/>
      <c r="AI911" s="61">
        <f ca="1"/>
        <v>-1.3623323669012198E-2</v>
      </c>
      <c r="AJ911" s="61">
        <f ca="1"/>
        <v>-5.4447465312384383E-2</v>
      </c>
      <c r="AK911" s="61">
        <f ca="1"/>
        <v>1.7139361064558951E-2</v>
      </c>
      <c r="AL911" s="19"/>
      <c r="AM911" s="61">
        <f t="shared" ca="1" si="186"/>
        <v>-1.3272107346501954E-2</v>
      </c>
      <c r="AN911" s="61">
        <f t="shared" ca="1" si="187"/>
        <v>-5.4198412715467853E-2</v>
      </c>
      <c r="AO911" s="61">
        <f t="shared" ca="1" si="188"/>
        <v>1.7571029667813768E-2</v>
      </c>
      <c r="AP911" s="19"/>
      <c r="AQ911" s="62">
        <f t="shared" ca="1" si="183"/>
        <v>1.1146707184765281</v>
      </c>
      <c r="AR911" s="62">
        <f t="shared" ca="1" si="184"/>
        <v>1.1150505232327876</v>
      </c>
      <c r="AS911" s="62">
        <f t="shared" ca="1" si="185"/>
        <v>0.95486961298381368</v>
      </c>
      <c r="AT911" s="49"/>
    </row>
    <row r="912" spans="1:46" x14ac:dyDescent="0.3">
      <c r="A912" s="5">
        <v>44784</v>
      </c>
      <c r="B912" s="6">
        <v>81.160004000000001</v>
      </c>
      <c r="C912" s="6">
        <v>99.120002999999997</v>
      </c>
      <c r="D912" s="6">
        <v>114.089996</v>
      </c>
      <c r="F912" s="13">
        <v>909</v>
      </c>
      <c r="G912" s="5">
        <v>44784</v>
      </c>
      <c r="H912" s="15">
        <f t="shared" si="181"/>
        <v>1.3771087323674882E-2</v>
      </c>
      <c r="I912" s="15">
        <f t="shared" si="181"/>
        <v>3.699564934997393E-2</v>
      </c>
      <c r="J912" s="15">
        <f t="shared" si="181"/>
        <v>2.0633842704040412E-2</v>
      </c>
      <c r="K912" s="22"/>
      <c r="L912" s="13">
        <v>909</v>
      </c>
      <c r="M912" s="5">
        <v>44784</v>
      </c>
      <c r="N912" s="26">
        <f t="shared" si="178"/>
        <v>1.4354439788566684</v>
      </c>
      <c r="O912" s="26">
        <f t="shared" si="179"/>
        <v>0.94006070864831726</v>
      </c>
      <c r="P912" s="26">
        <f t="shared" si="180"/>
        <v>1.509925873740759</v>
      </c>
      <c r="Q912" s="22"/>
      <c r="AD912" s="59">
        <v>908</v>
      </c>
      <c r="AE912" s="61">
        <f t="shared" ca="1" si="182"/>
        <v>-0.17669509553351001</v>
      </c>
      <c r="AF912" s="61">
        <f t="shared" ca="1" si="182"/>
        <v>-0.19247802946085371</v>
      </c>
      <c r="AG912" s="61">
        <f t="shared" ca="1" si="182"/>
        <v>-0.66266652930166825</v>
      </c>
      <c r="AH912" s="19"/>
      <c r="AI912" s="61">
        <f ca="1"/>
        <v>-3.8315067779784145E-3</v>
      </c>
      <c r="AJ912" s="61">
        <f ca="1"/>
        <v>-6.9493971820608885E-3</v>
      </c>
      <c r="AK912" s="61">
        <f ca="1"/>
        <v>-2.0943772211460539E-2</v>
      </c>
      <c r="AL912" s="19"/>
      <c r="AM912" s="61">
        <f t="shared" ca="1" si="186"/>
        <v>-3.4802904554681702E-3</v>
      </c>
      <c r="AN912" s="61">
        <f t="shared" ca="1" si="187"/>
        <v>-6.7003445851443579E-3</v>
      </c>
      <c r="AO912" s="61">
        <f t="shared" ca="1" si="188"/>
        <v>-2.0512103608205722E-2</v>
      </c>
      <c r="AP912" s="19"/>
      <c r="AQ912" s="62">
        <f t="shared" ca="1" si="183"/>
        <v>1.1107980834702642</v>
      </c>
      <c r="AR912" s="62">
        <f t="shared" ca="1" si="184"/>
        <v>1.1076042745712515</v>
      </c>
      <c r="AS912" s="62">
        <f t="shared" ca="1" si="185"/>
        <v>0.93548274105439533</v>
      </c>
      <c r="AT912" s="49"/>
    </row>
    <row r="913" spans="1:46" x14ac:dyDescent="0.3">
      <c r="A913" s="5">
        <v>44785</v>
      </c>
      <c r="B913" s="6">
        <v>82.32</v>
      </c>
      <c r="C913" s="6">
        <v>98.839995999999999</v>
      </c>
      <c r="D913" s="6">
        <v>115.19000200000001</v>
      </c>
      <c r="F913" s="13">
        <v>910</v>
      </c>
      <c r="G913" s="5">
        <v>44785</v>
      </c>
      <c r="H913" s="15">
        <f t="shared" si="181"/>
        <v>1.4191527282819021E-2</v>
      </c>
      <c r="I913" s="15">
        <f t="shared" si="181"/>
        <v>-2.8289269362674449E-3</v>
      </c>
      <c r="J913" s="15">
        <f t="shared" si="181"/>
        <v>9.5953807527960847E-3</v>
      </c>
      <c r="K913" s="22"/>
      <c r="L913" s="13">
        <v>910</v>
      </c>
      <c r="M913" s="5">
        <v>44785</v>
      </c>
      <c r="N913" s="26">
        <f t="shared" si="178"/>
        <v>1.4559603562794419</v>
      </c>
      <c r="O913" s="26">
        <f t="shared" si="179"/>
        <v>0.93740510361522933</v>
      </c>
      <c r="P913" s="26">
        <f t="shared" si="180"/>
        <v>1.5244839207115917</v>
      </c>
      <c r="Q913" s="22"/>
      <c r="AD913" s="59">
        <v>909</v>
      </c>
      <c r="AE913" s="61">
        <f t="shared" ca="1" si="182"/>
        <v>-1.164163842592437</v>
      </c>
      <c r="AF913" s="61">
        <f t="shared" ca="1" si="182"/>
        <v>-1.4352533912632404</v>
      </c>
      <c r="AG913" s="61">
        <f t="shared" ca="1" si="182"/>
        <v>-0.33025891478831976</v>
      </c>
      <c r="AH913" s="19"/>
      <c r="AI913" s="61">
        <f ca="1"/>
        <v>-2.5244060340794176E-2</v>
      </c>
      <c r="AJ913" s="61">
        <f ca="1"/>
        <v>-4.9418578846611258E-2</v>
      </c>
      <c r="AK913" s="61">
        <f ca="1"/>
        <v>-3.5770090620490906E-2</v>
      </c>
      <c r="AL913" s="19"/>
      <c r="AM913" s="61">
        <f t="shared" ca="1" si="186"/>
        <v>-2.4892844018283931E-2</v>
      </c>
      <c r="AN913" s="61">
        <f t="shared" ca="1" si="187"/>
        <v>-4.9169526249694728E-2</v>
      </c>
      <c r="AO913" s="61">
        <f t="shared" ca="1" si="188"/>
        <v>-3.5338422017236089E-2</v>
      </c>
      <c r="AP913" s="19"/>
      <c r="AQ913" s="62">
        <f t="shared" ca="1" si="183"/>
        <v>1.0834884771217637</v>
      </c>
      <c r="AR913" s="62">
        <f t="shared" ca="1" si="184"/>
        <v>1.0544611154287857</v>
      </c>
      <c r="AS913" s="62">
        <f t="shared" ca="1" si="185"/>
        <v>0.90300155425406592</v>
      </c>
      <c r="AT913" s="49"/>
    </row>
    <row r="914" spans="1:46" x14ac:dyDescent="0.3">
      <c r="A914" s="5">
        <v>44788</v>
      </c>
      <c r="B914" s="6">
        <v>81.339995999999999</v>
      </c>
      <c r="C914" s="6">
        <v>98.470000999999996</v>
      </c>
      <c r="D914" s="6">
        <v>111.949997</v>
      </c>
      <c r="F914" s="13">
        <v>911</v>
      </c>
      <c r="G914" s="5">
        <v>44788</v>
      </c>
      <c r="H914" s="15">
        <f t="shared" si="181"/>
        <v>-1.1976240223013853E-2</v>
      </c>
      <c r="I914" s="15">
        <f t="shared" si="181"/>
        <v>-3.7503972358749874E-3</v>
      </c>
      <c r="J914" s="15">
        <f t="shared" si="181"/>
        <v>-2.8530640053947301E-2</v>
      </c>
      <c r="K914" s="22"/>
      <c r="L914" s="13">
        <v>911</v>
      </c>
      <c r="M914" s="5">
        <v>44788</v>
      </c>
      <c r="N914" s="26">
        <f t="shared" si="178"/>
        <v>1.43862742414879</v>
      </c>
      <c r="O914" s="26">
        <f t="shared" si="179"/>
        <v>0.93389604639802637</v>
      </c>
      <c r="P914" s="26">
        <f t="shared" si="180"/>
        <v>1.4816040228058238</v>
      </c>
      <c r="Q914" s="22"/>
      <c r="AD914" s="59">
        <v>910</v>
      </c>
      <c r="AE914" s="61">
        <f t="shared" ca="1" si="182"/>
        <v>-0.27249353509835422</v>
      </c>
      <c r="AF914" s="61">
        <f t="shared" ca="1" si="182"/>
        <v>2.375954873661422</v>
      </c>
      <c r="AG914" s="61">
        <f t="shared" ca="1" si="182"/>
        <v>0.59518983849111373</v>
      </c>
      <c r="AH914" s="19"/>
      <c r="AI914" s="61">
        <f ca="1"/>
        <v>-5.9088274268859842E-3</v>
      </c>
      <c r="AJ914" s="61">
        <f ca="1"/>
        <v>4.7378636087974879E-2</v>
      </c>
      <c r="AK914" s="61">
        <f ca="1"/>
        <v>2.7955064945576154E-2</v>
      </c>
      <c r="AL914" s="19"/>
      <c r="AM914" s="61">
        <f t="shared" ca="1" si="186"/>
        <v>-5.5576111043757403E-3</v>
      </c>
      <c r="AN914" s="61">
        <f t="shared" ca="1" si="187"/>
        <v>4.7627688684891409E-2</v>
      </c>
      <c r="AO914" s="61">
        <f t="shared" ca="1" si="188"/>
        <v>2.8386733548830971E-2</v>
      </c>
      <c r="AP914" s="19"/>
      <c r="AQ914" s="62">
        <f t="shared" ca="1" si="183"/>
        <v>1.0774835714512057</v>
      </c>
      <c r="AR914" s="62">
        <f t="shared" ca="1" si="184"/>
        <v>1.1058978445507872</v>
      </c>
      <c r="AS914" s="62">
        <f t="shared" ca="1" si="185"/>
        <v>0.9290021082397707</v>
      </c>
      <c r="AT914" s="49"/>
    </row>
    <row r="915" spans="1:46" x14ac:dyDescent="0.3">
      <c r="A915" s="5">
        <v>44789</v>
      </c>
      <c r="B915" s="6">
        <v>81.940002000000007</v>
      </c>
      <c r="C915" s="6">
        <v>100.860001</v>
      </c>
      <c r="D915" s="6">
        <v>113.30999799999999</v>
      </c>
      <c r="F915" s="13">
        <v>912</v>
      </c>
      <c r="G915" s="5">
        <v>44789</v>
      </c>
      <c r="H915" s="15">
        <f t="shared" si="181"/>
        <v>7.349445224048159E-3</v>
      </c>
      <c r="I915" s="15">
        <f t="shared" si="181"/>
        <v>2.3981483148224667E-2</v>
      </c>
      <c r="J915" s="15">
        <f t="shared" si="181"/>
        <v>1.2075091494696197E-2</v>
      </c>
      <c r="K915" s="22"/>
      <c r="L915" s="13">
        <v>912</v>
      </c>
      <c r="M915" s="5">
        <v>44789</v>
      </c>
      <c r="N915" s="26">
        <f t="shared" si="178"/>
        <v>1.4492394862179081</v>
      </c>
      <c r="O915" s="26">
        <f t="shared" si="179"/>
        <v>0.95656296554319098</v>
      </c>
      <c r="P915" s="26">
        <f t="shared" si="180"/>
        <v>1.4996029777555051</v>
      </c>
      <c r="Q915" s="22"/>
      <c r="AD915" s="59">
        <v>911</v>
      </c>
      <c r="AE915" s="61">
        <f t="shared" ca="1" si="182"/>
        <v>-1.6629308058531922</v>
      </c>
      <c r="AF915" s="61">
        <f t="shared" ca="1" si="182"/>
        <v>-1.7902856612031672</v>
      </c>
      <c r="AG915" s="61">
        <f t="shared" ca="1" si="182"/>
        <v>-1.2650738269982489E-2</v>
      </c>
      <c r="AH915" s="19"/>
      <c r="AI915" s="61">
        <f ca="1"/>
        <v>-3.6059465231321371E-2</v>
      </c>
      <c r="AJ915" s="61">
        <f ca="1"/>
        <v>-6.494243557019419E-2</v>
      </c>
      <c r="AK915" s="61">
        <f ca="1"/>
        <v>-3.7502838433173744E-2</v>
      </c>
      <c r="AL915" s="19"/>
      <c r="AM915" s="61">
        <f t="shared" ca="1" si="186"/>
        <v>-3.5708248908811129E-2</v>
      </c>
      <c r="AN915" s="61">
        <f t="shared" ca="1" si="187"/>
        <v>-6.4693382973277661E-2</v>
      </c>
      <c r="AO915" s="61">
        <f t="shared" ca="1" si="188"/>
        <v>-3.7071169829918926E-2</v>
      </c>
      <c r="AP915" s="19"/>
      <c r="AQ915" s="62">
        <f t="shared" ca="1" si="183"/>
        <v>1.0396873542639216</v>
      </c>
      <c r="AR915" s="62">
        <f t="shared" ca="1" si="184"/>
        <v>1.0366186841631722</v>
      </c>
      <c r="AS915" s="62">
        <f t="shared" ca="1" si="185"/>
        <v>0.89519344836696446</v>
      </c>
      <c r="AT915" s="49"/>
    </row>
    <row r="916" spans="1:46" x14ac:dyDescent="0.3">
      <c r="A916" s="5">
        <v>44790</v>
      </c>
      <c r="B916" s="6">
        <v>81.110000999999997</v>
      </c>
      <c r="C916" s="6">
        <v>98.120002999999997</v>
      </c>
      <c r="D916" s="6">
        <v>117.75</v>
      </c>
      <c r="F916" s="13">
        <v>913</v>
      </c>
      <c r="G916" s="5">
        <v>44790</v>
      </c>
      <c r="H916" s="15">
        <f t="shared" si="181"/>
        <v>-1.0181026115639065E-2</v>
      </c>
      <c r="I916" s="15">
        <f t="shared" si="181"/>
        <v>-2.7542176598218015E-2</v>
      </c>
      <c r="J916" s="15">
        <f t="shared" si="181"/>
        <v>3.8436325154744905E-2</v>
      </c>
      <c r="K916" s="22"/>
      <c r="L916" s="13">
        <v>913</v>
      </c>
      <c r="M916" s="5">
        <v>44790</v>
      </c>
      <c r="N916" s="26">
        <f t="shared" si="178"/>
        <v>1.4345595961344253</v>
      </c>
      <c r="O916" s="26">
        <f t="shared" si="179"/>
        <v>0.93057664206038226</v>
      </c>
      <c r="P916" s="26">
        <f t="shared" si="180"/>
        <v>1.5583642551181647</v>
      </c>
      <c r="Q916" s="22"/>
      <c r="AD916" s="59">
        <v>912</v>
      </c>
      <c r="AE916" s="61">
        <f t="shared" ca="1" si="182"/>
        <v>-0.37661013361339085</v>
      </c>
      <c r="AF916" s="61">
        <f t="shared" ca="1" si="182"/>
        <v>-0.99514375244985842</v>
      </c>
      <c r="AG916" s="61">
        <f t="shared" ca="1" si="182"/>
        <v>0.14593354409260759</v>
      </c>
      <c r="AH916" s="19"/>
      <c r="AI916" s="61">
        <f ca="1"/>
        <v>-8.1665214036538043E-3</v>
      </c>
      <c r="AJ916" s="61">
        <f ca="1"/>
        <v>-2.7525291204590643E-2</v>
      </c>
      <c r="AK916" s="61">
        <f ca="1"/>
        <v>-8.8340702739773819E-3</v>
      </c>
      <c r="AL916" s="19"/>
      <c r="AM916" s="61">
        <f t="shared" ca="1" si="186"/>
        <v>-7.8153050811435604E-3</v>
      </c>
      <c r="AN916" s="61">
        <f t="shared" ca="1" si="187"/>
        <v>-2.7276238607674114E-2</v>
      </c>
      <c r="AO916" s="61">
        <f t="shared" ca="1" si="188"/>
        <v>-8.4024016707225629E-3</v>
      </c>
      <c r="AP916" s="19"/>
      <c r="AQ916" s="62">
        <f t="shared" ca="1" si="183"/>
        <v>1.0315935493753239</v>
      </c>
      <c r="AR916" s="62">
        <f t="shared" ca="1" si="184"/>
        <v>1.0087257619140435</v>
      </c>
      <c r="AS916" s="62">
        <f t="shared" ca="1" si="185"/>
        <v>0.88770318560683248</v>
      </c>
      <c r="AT916" s="49"/>
    </row>
    <row r="917" spans="1:46" x14ac:dyDescent="0.3">
      <c r="A917" s="5">
        <v>44791</v>
      </c>
      <c r="B917" s="6">
        <v>80.980002999999996</v>
      </c>
      <c r="C917" s="6">
        <v>99.209998999999996</v>
      </c>
      <c r="D917" s="6">
        <v>118.790001</v>
      </c>
      <c r="F917" s="13">
        <v>914</v>
      </c>
      <c r="G917" s="5">
        <v>44791</v>
      </c>
      <c r="H917" s="15">
        <f t="shared" si="181"/>
        <v>-1.6040227609906584E-3</v>
      </c>
      <c r="I917" s="15">
        <f t="shared" si="181"/>
        <v>1.1047555617087573E-2</v>
      </c>
      <c r="J917" s="15">
        <f t="shared" si="181"/>
        <v>8.7935038231381525E-3</v>
      </c>
      <c r="K917" s="22"/>
      <c r="L917" s="13">
        <v>914</v>
      </c>
      <c r="M917" s="5">
        <v>44791</v>
      </c>
      <c r="N917" s="26">
        <f t="shared" si="178"/>
        <v>1.4322603743852074</v>
      </c>
      <c r="O917" s="26">
        <f t="shared" si="179"/>
        <v>0.9409142367049651</v>
      </c>
      <c r="P917" s="26">
        <f t="shared" si="180"/>
        <v>1.5721281649583951</v>
      </c>
      <c r="Q917" s="22"/>
      <c r="AD917" s="59">
        <v>913</v>
      </c>
      <c r="AE917" s="61">
        <f t="shared" ca="1" si="182"/>
        <v>-0.57091890589765859</v>
      </c>
      <c r="AF917" s="61">
        <f t="shared" ca="1" si="182"/>
        <v>-0.45868523660014038</v>
      </c>
      <c r="AG917" s="61">
        <f t="shared" ca="1" si="182"/>
        <v>-1.4643496206516506</v>
      </c>
      <c r="AH917" s="19"/>
      <c r="AI917" s="61">
        <f ca="1"/>
        <v>-1.2379968165036288E-2</v>
      </c>
      <c r="AJ917" s="61">
        <f ca="1"/>
        <v>-1.8906206020057728E-2</v>
      </c>
      <c r="AK917" s="61">
        <f ca="1"/>
        <v>-4.9182482881756723E-2</v>
      </c>
      <c r="AL917" s="19"/>
      <c r="AM917" s="61">
        <f t="shared" ca="1" si="186"/>
        <v>-1.2028751842526044E-2</v>
      </c>
      <c r="AN917" s="61">
        <f t="shared" ca="1" si="187"/>
        <v>-1.8657153423141198E-2</v>
      </c>
      <c r="AO917" s="61">
        <f t="shared" ca="1" si="188"/>
        <v>-4.8750814278501906E-2</v>
      </c>
      <c r="AP917" s="19"/>
      <c r="AQ917" s="62">
        <f t="shared" ca="1" si="183"/>
        <v>1.0192590993101796</v>
      </c>
      <c r="AR917" s="62">
        <f t="shared" ca="1" si="184"/>
        <v>0.99008028720775643</v>
      </c>
      <c r="AS917" s="62">
        <f t="shared" ca="1" si="185"/>
        <v>0.84546487363584699</v>
      </c>
      <c r="AT917" s="49"/>
    </row>
    <row r="918" spans="1:46" x14ac:dyDescent="0.3">
      <c r="A918" s="5">
        <v>44792</v>
      </c>
      <c r="B918" s="6">
        <v>81.389999000000003</v>
      </c>
      <c r="C918" s="6">
        <v>98.059997999999993</v>
      </c>
      <c r="D918" s="6">
        <v>118.550003</v>
      </c>
      <c r="F918" s="13">
        <v>915</v>
      </c>
      <c r="G918" s="5">
        <v>44792</v>
      </c>
      <c r="H918" s="15">
        <f t="shared" si="181"/>
        <v>5.0501554022297432E-3</v>
      </c>
      <c r="I918" s="15">
        <f t="shared" si="181"/>
        <v>-1.1659289754771172E-2</v>
      </c>
      <c r="J918" s="15">
        <f t="shared" si="181"/>
        <v>-2.0223989024728767E-3</v>
      </c>
      <c r="K918" s="22"/>
      <c r="L918" s="13">
        <v>915</v>
      </c>
      <c r="M918" s="5">
        <v>44792</v>
      </c>
      <c r="N918" s="26">
        <f t="shared" si="178"/>
        <v>1.4395118068710329</v>
      </c>
      <c r="O918" s="26">
        <f t="shared" si="179"/>
        <v>0.93000755064477314</v>
      </c>
      <c r="P918" s="26">
        <f t="shared" si="180"/>
        <v>1.5689519075953391</v>
      </c>
      <c r="Q918" s="22"/>
      <c r="AD918" s="59">
        <v>914</v>
      </c>
      <c r="AE918" s="61">
        <f t="shared" ca="1" si="182"/>
        <v>0.18443766039365317</v>
      </c>
      <c r="AF918" s="61">
        <f t="shared" ca="1" si="182"/>
        <v>-1.0280211294859787</v>
      </c>
      <c r="AG918" s="61">
        <f t="shared" ca="1" si="182"/>
        <v>-0.72521674715955831</v>
      </c>
      <c r="AH918" s="19"/>
      <c r="AI918" s="61">
        <f ca="1"/>
        <v>3.9993987596488954E-3</v>
      </c>
      <c r="AJ918" s="61">
        <f ca="1"/>
        <v>-1.9458204790985534E-2</v>
      </c>
      <c r="AK918" s="61">
        <f ca="1"/>
        <v>-2.3094651747097322E-2</v>
      </c>
      <c r="AL918" s="19"/>
      <c r="AM918" s="61">
        <f t="shared" ca="1" si="186"/>
        <v>4.3506150821591393E-3</v>
      </c>
      <c r="AN918" s="61">
        <f t="shared" ca="1" si="187"/>
        <v>-1.9209152194069004E-2</v>
      </c>
      <c r="AO918" s="61">
        <f t="shared" ca="1" si="188"/>
        <v>-2.2662983143842505E-2</v>
      </c>
      <c r="AP918" s="19"/>
      <c r="AQ918" s="62">
        <f t="shared" ca="1" si="183"/>
        <v>1.0237031635169349</v>
      </c>
      <c r="AR918" s="62">
        <f t="shared" ca="1" si="184"/>
        <v>0.97124318588355563</v>
      </c>
      <c r="AS918" s="62">
        <f t="shared" ca="1" si="185"/>
        <v>0.82651960645882372</v>
      </c>
      <c r="AT918" s="49"/>
    </row>
    <row r="919" spans="1:46" x14ac:dyDescent="0.3">
      <c r="A919" s="5">
        <v>44795</v>
      </c>
      <c r="B919" s="6">
        <v>78.849997999999999</v>
      </c>
      <c r="C919" s="6">
        <v>95.150002000000001</v>
      </c>
      <c r="D919" s="6">
        <v>119.129997</v>
      </c>
      <c r="F919" s="13">
        <v>916</v>
      </c>
      <c r="G919" s="5">
        <v>44795</v>
      </c>
      <c r="H919" s="15">
        <f t="shared" si="181"/>
        <v>-3.1705115007997678E-2</v>
      </c>
      <c r="I919" s="15">
        <f t="shared" si="181"/>
        <v>-3.0124901065809576E-2</v>
      </c>
      <c r="J919" s="15">
        <f t="shared" si="181"/>
        <v>4.880470811503443E-3</v>
      </c>
      <c r="K919" s="22"/>
      <c r="L919" s="13">
        <v>916</v>
      </c>
      <c r="M919" s="5">
        <v>44795</v>
      </c>
      <c r="N919" s="26">
        <f t="shared" si="178"/>
        <v>1.3945878423313081</v>
      </c>
      <c r="O919" s="26">
        <f t="shared" si="179"/>
        <v>0.90240895481014871</v>
      </c>
      <c r="P919" s="26">
        <f t="shared" si="180"/>
        <v>1.5766278474491227</v>
      </c>
      <c r="Q919" s="22"/>
      <c r="AD919" s="59">
        <v>915</v>
      </c>
      <c r="AE919" s="61">
        <f t="shared" ca="1" si="182"/>
        <v>0.5997477330551505</v>
      </c>
      <c r="AF919" s="61">
        <f t="shared" ca="1" si="182"/>
        <v>-0.5743488102760238</v>
      </c>
      <c r="AG919" s="61">
        <f t="shared" ca="1" si="182"/>
        <v>0.15846355466201384</v>
      </c>
      <c r="AH919" s="19"/>
      <c r="AI919" s="61">
        <f ca="1"/>
        <v>1.3005100664167539E-2</v>
      </c>
      <c r="AJ919" s="61">
        <f ca="1"/>
        <v>-3.0966016724364859E-3</v>
      </c>
      <c r="AK919" s="61">
        <f ca="1"/>
        <v>8.8766004953741082E-3</v>
      </c>
      <c r="AL919" s="19"/>
      <c r="AM919" s="61">
        <f t="shared" ca="1" si="186"/>
        <v>1.3356316986677783E-2</v>
      </c>
      <c r="AN919" s="61">
        <f t="shared" ca="1" si="187"/>
        <v>-2.8475490755199553E-3</v>
      </c>
      <c r="AO919" s="61">
        <f t="shared" ca="1" si="188"/>
        <v>9.3082690986289272E-3</v>
      </c>
      <c r="AP919" s="19"/>
      <c r="AQ919" s="62">
        <f t="shared" ca="1" si="183"/>
        <v>1.0374677851707936</v>
      </c>
      <c r="AR919" s="62">
        <f t="shared" ca="1" si="184"/>
        <v>0.96848145719260925</v>
      </c>
      <c r="AS919" s="62">
        <f t="shared" ca="1" si="185"/>
        <v>0.83424899115884055</v>
      </c>
      <c r="AT919" s="49"/>
    </row>
    <row r="920" spans="1:46" x14ac:dyDescent="0.3">
      <c r="A920" s="5">
        <v>44796</v>
      </c>
      <c r="B920" s="6">
        <v>78.599997999999999</v>
      </c>
      <c r="C920" s="6">
        <v>95.269997000000004</v>
      </c>
      <c r="D920" s="6">
        <v>122.110001</v>
      </c>
      <c r="F920" s="13">
        <v>917</v>
      </c>
      <c r="G920" s="5">
        <v>44796</v>
      </c>
      <c r="H920" s="15">
        <f t="shared" si="181"/>
        <v>-3.1756140545627894E-3</v>
      </c>
      <c r="I920" s="15">
        <f t="shared" si="181"/>
        <v>1.2603194676351602E-3</v>
      </c>
      <c r="J920" s="15">
        <f t="shared" si="181"/>
        <v>2.4706977405571987E-2</v>
      </c>
      <c r="K920" s="22"/>
      <c r="L920" s="13">
        <v>917</v>
      </c>
      <c r="M920" s="5">
        <v>44796</v>
      </c>
      <c r="N920" s="26">
        <f t="shared" si="178"/>
        <v>1.390166194018992</v>
      </c>
      <c r="O920" s="26">
        <f t="shared" si="179"/>
        <v>0.90354699538036809</v>
      </c>
      <c r="P920" s="26">
        <f t="shared" si="180"/>
        <v>1.6160667579689456</v>
      </c>
      <c r="Q920" s="22"/>
      <c r="AD920" s="59">
        <v>916</v>
      </c>
      <c r="AE920" s="61">
        <f t="shared" ca="1" si="182"/>
        <v>0.29723163551317688</v>
      </c>
      <c r="AF920" s="61">
        <f t="shared" ca="1" si="182"/>
        <v>1.3056566950011896</v>
      </c>
      <c r="AG920" s="61">
        <f t="shared" ca="1" si="182"/>
        <v>-0.43450970533108885</v>
      </c>
      <c r="AH920" s="19"/>
      <c r="AI920" s="61">
        <f ca="1"/>
        <v>6.4452554422053344E-3</v>
      </c>
      <c r="AJ920" s="61">
        <f ca="1"/>
        <v>3.3032146917031768E-2</v>
      </c>
      <c r="AK920" s="61">
        <f ca="1"/>
        <v>2.4546765109597322E-3</v>
      </c>
      <c r="AL920" s="19"/>
      <c r="AM920" s="61">
        <f t="shared" ca="1" si="186"/>
        <v>6.7964717647155783E-3</v>
      </c>
      <c r="AN920" s="61">
        <f t="shared" ca="1" si="187"/>
        <v>3.3281199513948298E-2</v>
      </c>
      <c r="AO920" s="61">
        <f t="shared" ca="1" si="188"/>
        <v>2.8863451142145504E-3</v>
      </c>
      <c r="AP920" s="19"/>
      <c r="AQ920" s="62">
        <f t="shared" ca="1" si="183"/>
        <v>1.0445429214268533</v>
      </c>
      <c r="AR920" s="62">
        <f t="shared" ca="1" si="184"/>
        <v>1.0012560454574142</v>
      </c>
      <c r="AS920" s="62">
        <f t="shared" ca="1" si="185"/>
        <v>0.83666040006354758</v>
      </c>
      <c r="AT920" s="49"/>
    </row>
    <row r="921" spans="1:46" x14ac:dyDescent="0.3">
      <c r="A921" s="5">
        <v>44797</v>
      </c>
      <c r="B921" s="6">
        <v>78.559997999999993</v>
      </c>
      <c r="C921" s="6">
        <v>95.080001999999993</v>
      </c>
      <c r="D921" s="6">
        <v>122.120003</v>
      </c>
      <c r="F921" s="13">
        <v>918</v>
      </c>
      <c r="G921" s="5">
        <v>44797</v>
      </c>
      <c r="H921" s="15">
        <f t="shared" si="181"/>
        <v>-5.090354019063743E-4</v>
      </c>
      <c r="I921" s="15">
        <f t="shared" si="181"/>
        <v>-1.9962707023256829E-3</v>
      </c>
      <c r="J921" s="15">
        <f t="shared" si="181"/>
        <v>8.1906398409545777E-5</v>
      </c>
      <c r="K921" s="22"/>
      <c r="L921" s="13">
        <v>918</v>
      </c>
      <c r="M921" s="5">
        <v>44797</v>
      </c>
      <c r="N921" s="26">
        <f t="shared" si="178"/>
        <v>1.3894587302890213</v>
      </c>
      <c r="O921" s="26">
        <f t="shared" si="179"/>
        <v>0.90174507014899319</v>
      </c>
      <c r="P921" s="26">
        <f t="shared" si="180"/>
        <v>1.6161991295976479</v>
      </c>
      <c r="Q921" s="22"/>
      <c r="AD921" s="59">
        <v>917</v>
      </c>
      <c r="AE921" s="61">
        <f t="shared" ca="1" si="182"/>
        <v>-0.19325658677669025</v>
      </c>
      <c r="AF921" s="61">
        <f t="shared" ca="1" si="182"/>
        <v>0.60704082015193106</v>
      </c>
      <c r="AG921" s="61">
        <f t="shared" ca="1" si="182"/>
        <v>-0.23440707243351558</v>
      </c>
      <c r="AH921" s="19"/>
      <c r="AI921" s="61">
        <f ca="1"/>
        <v>-4.1906308711519057E-3</v>
      </c>
      <c r="AJ921" s="61">
        <f ca="1"/>
        <v>1.0169732557075043E-2</v>
      </c>
      <c r="AK921" s="61">
        <f ca="1"/>
        <v>-4.5859091644870507E-3</v>
      </c>
      <c r="AL921" s="19"/>
      <c r="AM921" s="61">
        <f t="shared" ca="1" si="186"/>
        <v>-3.8394145486416614E-3</v>
      </c>
      <c r="AN921" s="61">
        <f t="shared" ca="1" si="187"/>
        <v>1.0418785153991575E-2</v>
      </c>
      <c r="AO921" s="61">
        <f t="shared" ca="1" si="188"/>
        <v>-4.1542405612322326E-3</v>
      </c>
      <c r="AP921" s="19"/>
      <c r="AQ921" s="62">
        <f t="shared" ca="1" si="183"/>
        <v>1.0405401771520193</v>
      </c>
      <c r="AR921" s="62">
        <f t="shared" ca="1" si="184"/>
        <v>1.0117424500182048</v>
      </c>
      <c r="AS921" s="62">
        <f t="shared" ca="1" si="185"/>
        <v>0.83319192093014494</v>
      </c>
      <c r="AT921" s="49"/>
    </row>
    <row r="922" spans="1:46" x14ac:dyDescent="0.3">
      <c r="A922" s="5">
        <v>44798</v>
      </c>
      <c r="B922" s="6">
        <v>80.839995999999999</v>
      </c>
      <c r="C922" s="6">
        <v>98.25</v>
      </c>
      <c r="D922" s="6">
        <v>123.360001</v>
      </c>
      <c r="F922" s="13">
        <v>919</v>
      </c>
      <c r="G922" s="5">
        <v>44798</v>
      </c>
      <c r="H922" s="15">
        <f t="shared" si="181"/>
        <v>2.8609204467002165E-2</v>
      </c>
      <c r="I922" s="15">
        <f t="shared" si="181"/>
        <v>3.2796587222459789E-2</v>
      </c>
      <c r="J922" s="15">
        <f t="shared" si="181"/>
        <v>1.0102725488697156E-2</v>
      </c>
      <c r="K922" s="22"/>
      <c r="L922" s="13">
        <v>919</v>
      </c>
      <c r="M922" s="5">
        <v>44798</v>
      </c>
      <c r="N922" s="26">
        <f t="shared" si="178"/>
        <v>1.4297841275241576</v>
      </c>
      <c r="O922" s="26">
        <f t="shared" si="179"/>
        <v>0.9318095422646141</v>
      </c>
      <c r="P922" s="26">
        <f t="shared" si="180"/>
        <v>1.632609902927737</v>
      </c>
      <c r="Q922" s="22"/>
      <c r="AD922" s="59">
        <v>918</v>
      </c>
      <c r="AE922" s="61">
        <f t="shared" ca="1" si="182"/>
        <v>0.8337125309061213</v>
      </c>
      <c r="AF922" s="61">
        <f t="shared" ca="1" si="182"/>
        <v>0.95712212205582081</v>
      </c>
      <c r="AG922" s="61">
        <f t="shared" ca="1" si="182"/>
        <v>-0.83897937947685863</v>
      </c>
      <c r="AH922" s="19"/>
      <c r="AI922" s="61">
        <f ca="1"/>
        <v>1.8078459978797388E-2</v>
      </c>
      <c r="AJ922" s="61">
        <f ca="1"/>
        <v>3.3853573562220726E-2</v>
      </c>
      <c r="AK922" s="61">
        <f ca="1"/>
        <v>-2.435561232963096E-3</v>
      </c>
      <c r="AL922" s="19"/>
      <c r="AM922" s="61">
        <f t="shared" ca="1" si="186"/>
        <v>1.8429676301307634E-2</v>
      </c>
      <c r="AN922" s="61">
        <f t="shared" ca="1" si="187"/>
        <v>3.4102626159137256E-2</v>
      </c>
      <c r="AO922" s="61">
        <f t="shared" ca="1" si="188"/>
        <v>-2.0038926297082779E-3</v>
      </c>
      <c r="AP922" s="19"/>
      <c r="AQ922" s="62">
        <f t="shared" ca="1" si="183"/>
        <v>1.0598947976729118</v>
      </c>
      <c r="AR922" s="62">
        <f t="shared" ca="1" si="184"/>
        <v>1.0468405924789208</v>
      </c>
      <c r="AS922" s="62">
        <f t="shared" ca="1" si="185"/>
        <v>0.83152396554056784</v>
      </c>
      <c r="AT922" s="49"/>
    </row>
    <row r="923" spans="1:46" x14ac:dyDescent="0.3">
      <c r="A923" s="5">
        <v>44799</v>
      </c>
      <c r="B923" s="6">
        <v>77.769997000000004</v>
      </c>
      <c r="C923" s="6">
        <v>94.099997999999999</v>
      </c>
      <c r="D923" s="6">
        <v>121.879997</v>
      </c>
      <c r="F923" s="13">
        <v>920</v>
      </c>
      <c r="G923" s="5">
        <v>44799</v>
      </c>
      <c r="H923" s="15">
        <f t="shared" si="181"/>
        <v>-3.8716128923398728E-2</v>
      </c>
      <c r="I923" s="15">
        <f t="shared" si="181"/>
        <v>-4.3157225412022049E-2</v>
      </c>
      <c r="J923" s="15">
        <f t="shared" si="181"/>
        <v>-1.2069988418241469E-2</v>
      </c>
      <c r="K923" s="22"/>
      <c r="L923" s="13">
        <v>920</v>
      </c>
      <c r="M923" s="5">
        <v>44799</v>
      </c>
      <c r="N923" s="26">
        <f t="shared" si="178"/>
        <v>1.3754863039355094</v>
      </c>
      <c r="O923" s="26">
        <f t="shared" si="179"/>
        <v>0.89245064695655063</v>
      </c>
      <c r="P923" s="26">
        <f t="shared" si="180"/>
        <v>1.6130227663584642</v>
      </c>
      <c r="Q923" s="22"/>
      <c r="AD923" s="59">
        <v>919</v>
      </c>
      <c r="AE923" s="61">
        <f t="shared" ca="1" si="182"/>
        <v>2.7967973536031643E-2</v>
      </c>
      <c r="AF923" s="61">
        <f t="shared" ca="1" si="182"/>
        <v>-0.86316923477914287</v>
      </c>
      <c r="AG923" s="61">
        <f t="shared" ca="1" si="182"/>
        <v>-0.27546586664036821</v>
      </c>
      <c r="AH923" s="19"/>
      <c r="AI923" s="61">
        <f ca="1"/>
        <v>6.0646550401453273E-4</v>
      </c>
      <c r="AJ923" s="61">
        <f ca="1"/>
        <v>-1.8324097516834989E-2</v>
      </c>
      <c r="AK923" s="61">
        <f ca="1"/>
        <v>-1.2723016454317006E-2</v>
      </c>
      <c r="AL923" s="19"/>
      <c r="AM923" s="61">
        <f t="shared" ca="1" si="186"/>
        <v>9.5768182652477695E-4</v>
      </c>
      <c r="AN923" s="61">
        <f t="shared" ca="1" si="187"/>
        <v>-1.8075044919918459E-2</v>
      </c>
      <c r="AO923" s="61">
        <f t="shared" ca="1" si="188"/>
        <v>-1.2291347851062187E-2</v>
      </c>
      <c r="AP923" s="19"/>
      <c r="AQ923" s="62">
        <f t="shared" ca="1" si="183"/>
        <v>1.0609103258574983</v>
      </c>
      <c r="AR923" s="62">
        <f t="shared" ca="1" si="184"/>
        <v>1.0280888812808702</v>
      </c>
      <c r="AS923" s="62">
        <f t="shared" ca="1" si="185"/>
        <v>0.82136597084324925</v>
      </c>
      <c r="AT923" s="49"/>
    </row>
    <row r="924" spans="1:46" x14ac:dyDescent="0.3">
      <c r="A924" s="5">
        <v>44802</v>
      </c>
      <c r="B924" s="6">
        <v>77.470000999999996</v>
      </c>
      <c r="C924" s="6">
        <v>93.129997000000003</v>
      </c>
      <c r="D924" s="6">
        <v>123.41999800000001</v>
      </c>
      <c r="F924" s="13">
        <v>921</v>
      </c>
      <c r="G924" s="5">
        <v>44802</v>
      </c>
      <c r="H924" s="15">
        <f t="shared" si="181"/>
        <v>-3.8649365795315823E-3</v>
      </c>
      <c r="I924" s="15">
        <f t="shared" si="181"/>
        <v>-1.0361691016818142E-2</v>
      </c>
      <c r="J924" s="15">
        <f t="shared" si="181"/>
        <v>1.2556227184958467E-2</v>
      </c>
      <c r="K924" s="22"/>
      <c r="L924" s="13">
        <v>921</v>
      </c>
      <c r="M924" s="5">
        <v>44802</v>
      </c>
      <c r="N924" s="26">
        <f t="shared" si="178"/>
        <v>1.3701803967071031</v>
      </c>
      <c r="O924" s="26">
        <f t="shared" si="179"/>
        <v>0.88325109288218717</v>
      </c>
      <c r="P924" s="26">
        <f t="shared" si="180"/>
        <v>1.6334039341822113</v>
      </c>
      <c r="Q924" s="22"/>
      <c r="AD924" s="59">
        <v>920</v>
      </c>
      <c r="AE924" s="61">
        <f t="shared" ca="1" si="182"/>
        <v>-0.68552060098206835</v>
      </c>
      <c r="AF924" s="61">
        <f t="shared" ca="1" si="182"/>
        <v>0.49784608938909281</v>
      </c>
      <c r="AG924" s="61">
        <f t="shared" ca="1" si="182"/>
        <v>0.94922191739560402</v>
      </c>
      <c r="AH924" s="19"/>
      <c r="AI924" s="61">
        <f ca="1"/>
        <v>-1.4865023962187472E-2</v>
      </c>
      <c r="AJ924" s="61">
        <f ca="1"/>
        <v>9.1191270872160654E-5</v>
      </c>
      <c r="AK924" s="61">
        <f ca="1"/>
        <v>1.7696143213004403E-2</v>
      </c>
      <c r="AL924" s="19"/>
      <c r="AM924" s="61">
        <f t="shared" ca="1" si="186"/>
        <v>-1.4513807639677228E-2</v>
      </c>
      <c r="AN924" s="61">
        <f t="shared" ca="1" si="187"/>
        <v>3.4024386778869133E-4</v>
      </c>
      <c r="AO924" s="61">
        <f t="shared" ca="1" si="188"/>
        <v>1.8127811816259221E-2</v>
      </c>
      <c r="AP924" s="19"/>
      <c r="AQ924" s="62">
        <f t="shared" ca="1" si="183"/>
        <v>1.0456236795313472</v>
      </c>
      <c r="AR924" s="62">
        <f t="shared" ca="1" si="184"/>
        <v>1.0284387417338292</v>
      </c>
      <c r="AS924" s="62">
        <f t="shared" ca="1" si="185"/>
        <v>0.83639131544089029</v>
      </c>
      <c r="AT924" s="49"/>
    </row>
    <row r="925" spans="1:46" x14ac:dyDescent="0.3">
      <c r="A925" s="5">
        <v>44803</v>
      </c>
      <c r="B925" s="6">
        <v>76.449996999999996</v>
      </c>
      <c r="C925" s="6">
        <v>94.449996999999996</v>
      </c>
      <c r="D925" s="6">
        <v>118.029999</v>
      </c>
      <c r="F925" s="13">
        <v>922</v>
      </c>
      <c r="G925" s="5">
        <v>44803</v>
      </c>
      <c r="H925" s="15">
        <f t="shared" si="181"/>
        <v>-1.3253884418297253E-2</v>
      </c>
      <c r="I925" s="15">
        <f t="shared" si="181"/>
        <v>1.4074227864150022E-2</v>
      </c>
      <c r="J925" s="15">
        <f t="shared" si="181"/>
        <v>-4.4654335719536253E-2</v>
      </c>
      <c r="K925" s="22"/>
      <c r="L925" s="13">
        <v>922</v>
      </c>
      <c r="M925" s="5">
        <v>44803</v>
      </c>
      <c r="N925" s="26">
        <f t="shared" si="178"/>
        <v>1.3521400008464803</v>
      </c>
      <c r="O925" s="26">
        <f t="shared" si="179"/>
        <v>0.89577006077826127</v>
      </c>
      <c r="P925" s="26">
        <f t="shared" si="180"/>
        <v>1.5620699063544181</v>
      </c>
      <c r="Q925" s="22"/>
      <c r="AD925" s="59">
        <v>921</v>
      </c>
      <c r="AE925" s="61">
        <f t="shared" ca="1" si="182"/>
        <v>2.0974168480175561</v>
      </c>
      <c r="AF925" s="61">
        <f t="shared" ca="1" si="182"/>
        <v>-0.51381197992033423</v>
      </c>
      <c r="AG925" s="61">
        <f t="shared" ca="1" si="182"/>
        <v>0.21769393725541675</v>
      </c>
      <c r="AH925" s="19"/>
      <c r="AI925" s="61">
        <f ca="1"/>
        <v>4.5480984320254207E-2</v>
      </c>
      <c r="AJ925" s="61">
        <f ca="1"/>
        <v>2.1661251014999702E-2</v>
      </c>
      <c r="AK925" s="61">
        <f ca="1"/>
        <v>3.2949287470750224E-2</v>
      </c>
      <c r="AL925" s="19"/>
      <c r="AM925" s="61">
        <f t="shared" ca="1" si="186"/>
        <v>4.5832200642764449E-2</v>
      </c>
      <c r="AN925" s="61">
        <f t="shared" ca="1" si="187"/>
        <v>2.1910303611916232E-2</v>
      </c>
      <c r="AO925" s="61">
        <f t="shared" ca="1" si="188"/>
        <v>3.3380956074005042E-2</v>
      </c>
      <c r="AP925" s="19"/>
      <c r="AQ925" s="62">
        <f t="shared" ca="1" si="183"/>
        <v>1.0946620993193978</v>
      </c>
      <c r="AR925" s="62">
        <f t="shared" ca="1" si="184"/>
        <v>1.0512208165067916</v>
      </c>
      <c r="AS925" s="62">
        <f t="shared" ca="1" si="185"/>
        <v>0.86478207633147053</v>
      </c>
      <c r="AT925" s="49"/>
    </row>
    <row r="926" spans="1:46" x14ac:dyDescent="0.3">
      <c r="A926" s="5">
        <v>44804</v>
      </c>
      <c r="B926" s="6">
        <v>76.970000999999996</v>
      </c>
      <c r="C926" s="6">
        <v>91.330001999999993</v>
      </c>
      <c r="D926" s="6">
        <v>117.120003</v>
      </c>
      <c r="F926" s="13">
        <v>923</v>
      </c>
      <c r="G926" s="5">
        <v>44804</v>
      </c>
      <c r="H926" s="15">
        <f t="shared" si="181"/>
        <v>6.7788554045645384E-3</v>
      </c>
      <c r="I926" s="15">
        <f t="shared" si="181"/>
        <v>-3.3591219582483803E-2</v>
      </c>
      <c r="J926" s="15">
        <f t="shared" si="181"/>
        <v>-7.7397451408002119E-3</v>
      </c>
      <c r="K926" s="22"/>
      <c r="L926" s="13">
        <v>923</v>
      </c>
      <c r="M926" s="5">
        <v>44804</v>
      </c>
      <c r="N926" s="26">
        <f t="shared" si="178"/>
        <v>1.3613371000824708</v>
      </c>
      <c r="O926" s="26">
        <f t="shared" si="179"/>
        <v>0.86617982044423703</v>
      </c>
      <c r="P926" s="26">
        <f t="shared" si="180"/>
        <v>1.5500265497624817</v>
      </c>
      <c r="Q926" s="22"/>
      <c r="AD926" s="59">
        <v>922</v>
      </c>
      <c r="AE926" s="61">
        <f t="shared" ca="1" si="182"/>
        <v>-0.57930780255123471</v>
      </c>
      <c r="AF926" s="61">
        <f t="shared" ca="1" si="182"/>
        <v>1.4368261013074024</v>
      </c>
      <c r="AG926" s="61">
        <f t="shared" ca="1" si="182"/>
        <v>-0.72253698802953958</v>
      </c>
      <c r="AH926" s="19"/>
      <c r="AI926" s="61">
        <f ca="1"/>
        <v>-1.2561875389404276E-2</v>
      </c>
      <c r="AJ926" s="61">
        <f ca="1"/>
        <v>2.2163355959715289E-2</v>
      </c>
      <c r="AK926" s="61">
        <f ca="1"/>
        <v>-1.6952162993266864E-2</v>
      </c>
      <c r="AL926" s="19"/>
      <c r="AM926" s="61">
        <f t="shared" ca="1" si="186"/>
        <v>-1.2210659066894032E-2</v>
      </c>
      <c r="AN926" s="61">
        <f t="shared" ca="1" si="187"/>
        <v>2.2412408556631819E-2</v>
      </c>
      <c r="AO926" s="61">
        <f t="shared" ca="1" si="188"/>
        <v>-1.6520494390012047E-2</v>
      </c>
      <c r="AP926" s="19"/>
      <c r="AQ926" s="62">
        <f t="shared" ca="1" si="183"/>
        <v>1.0813768296497135</v>
      </c>
      <c r="AR926" s="62">
        <f t="shared" ca="1" si="184"/>
        <v>1.0750472130395594</v>
      </c>
      <c r="AS926" s="62">
        <f t="shared" ca="1" si="185"/>
        <v>0.85061281277318679</v>
      </c>
      <c r="AT926" s="49"/>
    </row>
    <row r="927" spans="1:46" x14ac:dyDescent="0.3">
      <c r="A927" s="5">
        <v>44805</v>
      </c>
      <c r="B927" s="6">
        <v>76.970000999999996</v>
      </c>
      <c r="C927" s="6">
        <v>90.050003000000004</v>
      </c>
      <c r="D927" s="6">
        <v>110.639999</v>
      </c>
      <c r="F927" s="13">
        <v>924</v>
      </c>
      <c r="G927" s="5">
        <v>44805</v>
      </c>
      <c r="H927" s="15">
        <f t="shared" si="181"/>
        <v>0</v>
      </c>
      <c r="I927" s="15">
        <f t="shared" si="181"/>
        <v>-1.4114237665407016E-2</v>
      </c>
      <c r="J927" s="15">
        <f t="shared" si="181"/>
        <v>-5.6917397509574919E-2</v>
      </c>
      <c r="K927" s="22"/>
      <c r="L927" s="13">
        <v>924</v>
      </c>
      <c r="M927" s="5">
        <v>44805</v>
      </c>
      <c r="N927" s="26">
        <f t="shared" si="178"/>
        <v>1.3613371000824708</v>
      </c>
      <c r="O927" s="26">
        <f t="shared" si="179"/>
        <v>0.85404022469574681</v>
      </c>
      <c r="P927" s="26">
        <f t="shared" si="180"/>
        <v>1.4642668333580424</v>
      </c>
      <c r="Q927" s="22"/>
      <c r="AD927" s="59">
        <v>923</v>
      </c>
      <c r="AE927" s="61">
        <f t="shared" ca="1" si="182"/>
        <v>0.64149904259516211</v>
      </c>
      <c r="AF927" s="61">
        <f t="shared" ca="1" si="182"/>
        <v>-0.70034370509550559</v>
      </c>
      <c r="AG927" s="61">
        <f t="shared" ca="1" si="182"/>
        <v>-0.23417222245897623</v>
      </c>
      <c r="AH927" s="19"/>
      <c r="AI927" s="61">
        <f ca="1"/>
        <v>1.3910447951872483E-2</v>
      </c>
      <c r="AJ927" s="61">
        <f ca="1"/>
        <v>-5.1817233198484195E-3</v>
      </c>
      <c r="AK927" s="61">
        <f ca="1"/>
        <v>-1.4531261857241261E-3</v>
      </c>
      <c r="AL927" s="19"/>
      <c r="AM927" s="61">
        <f t="shared" ca="1" si="186"/>
        <v>1.4261664274382727E-2</v>
      </c>
      <c r="AN927" s="61">
        <f t="shared" ca="1" si="187"/>
        <v>-4.9326707229318889E-3</v>
      </c>
      <c r="AO927" s="61">
        <f t="shared" ca="1" si="188"/>
        <v>-1.0214575824693079E-3</v>
      </c>
      <c r="AP927" s="19"/>
      <c r="AQ927" s="62">
        <f t="shared" ca="1" si="183"/>
        <v>1.0969095609754709</v>
      </c>
      <c r="AR927" s="62">
        <f t="shared" ca="1" si="184"/>
        <v>1.0697574162644763</v>
      </c>
      <c r="AS927" s="62">
        <f t="shared" ca="1" si="185"/>
        <v>0.84974439146910452</v>
      </c>
      <c r="AT927" s="49"/>
    </row>
    <row r="928" spans="1:46" x14ac:dyDescent="0.3">
      <c r="A928" s="5">
        <v>44806</v>
      </c>
      <c r="B928" s="6">
        <v>76.059997999999993</v>
      </c>
      <c r="C928" s="6">
        <v>90.010002</v>
      </c>
      <c r="D928" s="6">
        <v>113.82</v>
      </c>
      <c r="F928" s="13">
        <v>925</v>
      </c>
      <c r="G928" s="5">
        <v>44806</v>
      </c>
      <c r="H928" s="15">
        <f t="shared" si="181"/>
        <v>-1.1893272333217856E-2</v>
      </c>
      <c r="I928" s="15">
        <f t="shared" si="181"/>
        <v>-4.4430744804267394E-4</v>
      </c>
      <c r="J928" s="15">
        <f t="shared" si="181"/>
        <v>2.8336574856797449E-2</v>
      </c>
      <c r="K928" s="22"/>
      <c r="L928" s="13">
        <v>925</v>
      </c>
      <c r="M928" s="5">
        <v>44806</v>
      </c>
      <c r="N928" s="26">
        <f t="shared" si="178"/>
        <v>1.3452422471658605</v>
      </c>
      <c r="O928" s="26">
        <f t="shared" si="179"/>
        <v>0.85366085254816282</v>
      </c>
      <c r="P928" s="26">
        <f t="shared" si="180"/>
        <v>1.5063526073677238</v>
      </c>
      <c r="Q928" s="22"/>
      <c r="AD928" s="59">
        <v>924</v>
      </c>
      <c r="AE928" s="61">
        <f t="shared" ca="1" si="182"/>
        <v>0.3374321043741827</v>
      </c>
      <c r="AF928" s="61">
        <f t="shared" ca="1" si="182"/>
        <v>1.6008926252005997</v>
      </c>
      <c r="AG928" s="61">
        <f t="shared" ca="1" si="182"/>
        <v>-1.6072237518350661</v>
      </c>
      <c r="AH928" s="19"/>
      <c r="AI928" s="61">
        <f ca="1"/>
        <v>7.3169738589151101E-3</v>
      </c>
      <c r="AJ928" s="61">
        <f ca="1"/>
        <v>4.0078631618682949E-2</v>
      </c>
      <c r="AK928" s="61">
        <f ca="1"/>
        <v>-2.4917033410779117E-2</v>
      </c>
      <c r="AL928" s="19"/>
      <c r="AM928" s="61">
        <f t="shared" ca="1" si="186"/>
        <v>7.668190181425354E-3</v>
      </c>
      <c r="AN928" s="61">
        <f t="shared" ca="1" si="187"/>
        <v>4.0327684215599478E-2</v>
      </c>
      <c r="AO928" s="61">
        <f t="shared" ca="1" si="188"/>
        <v>-2.44853648075243E-2</v>
      </c>
      <c r="AP928" s="19"/>
      <c r="AQ928" s="62">
        <f t="shared" ca="1" si="183"/>
        <v>1.1053532044582646</v>
      </c>
      <c r="AR928" s="62">
        <f t="shared" ca="1" si="184"/>
        <v>1.1137799529398946</v>
      </c>
      <c r="AS928" s="62">
        <f t="shared" ca="1" si="185"/>
        <v>0.82919074864433484</v>
      </c>
      <c r="AT928" s="49"/>
    </row>
    <row r="929" spans="1:46" x14ac:dyDescent="0.3">
      <c r="A929" s="5">
        <v>44810</v>
      </c>
      <c r="B929" s="6">
        <v>77.099997999999999</v>
      </c>
      <c r="C929" s="6">
        <v>89.5</v>
      </c>
      <c r="D929" s="6">
        <v>112.779999</v>
      </c>
      <c r="F929" s="13">
        <v>926</v>
      </c>
      <c r="G929" s="5">
        <v>44810</v>
      </c>
      <c r="H929" s="15">
        <f t="shared" si="181"/>
        <v>1.3580778423863359E-2</v>
      </c>
      <c r="I929" s="15">
        <f t="shared" si="181"/>
        <v>-5.6821722079373384E-3</v>
      </c>
      <c r="J929" s="15">
        <f t="shared" si="181"/>
        <v>-9.1792436627620554E-3</v>
      </c>
      <c r="K929" s="22"/>
      <c r="L929" s="13">
        <v>926</v>
      </c>
      <c r="M929" s="5">
        <v>44810</v>
      </c>
      <c r="N929" s="26">
        <f t="shared" si="178"/>
        <v>1.3636363041450954</v>
      </c>
      <c r="O929" s="26">
        <f t="shared" si="179"/>
        <v>0.84882395962018276</v>
      </c>
      <c r="P929" s="26">
        <f t="shared" si="180"/>
        <v>1.4925886975274936</v>
      </c>
      <c r="Q929" s="22"/>
      <c r="AD929" s="59">
        <v>925</v>
      </c>
      <c r="AE929" s="61">
        <f t="shared" ca="1" si="182"/>
        <v>-7.7495559264159963E-2</v>
      </c>
      <c r="AF929" s="61">
        <f t="shared" ca="1" si="182"/>
        <v>1.549257859373099</v>
      </c>
      <c r="AG929" s="61">
        <f t="shared" ca="1" si="182"/>
        <v>-1.1611354929770954</v>
      </c>
      <c r="AH929" s="19"/>
      <c r="AI929" s="61">
        <f ca="1"/>
        <v>-1.6804357794274226E-3</v>
      </c>
      <c r="AJ929" s="61">
        <f ca="1"/>
        <v>3.2461709436488899E-2</v>
      </c>
      <c r="AK929" s="61">
        <f ca="1"/>
        <v>-1.9982690854774825E-2</v>
      </c>
      <c r="AL929" s="19"/>
      <c r="AM929" s="61">
        <f t="shared" ca="1" si="186"/>
        <v>-1.3292194569171785E-3</v>
      </c>
      <c r="AN929" s="61">
        <f t="shared" ca="1" si="187"/>
        <v>3.2710762033405429E-2</v>
      </c>
      <c r="AO929" s="61">
        <f t="shared" ca="1" si="188"/>
        <v>-1.9551022251520007E-2</v>
      </c>
      <c r="AP929" s="19"/>
      <c r="AQ929" s="62">
        <f t="shared" ca="1" si="183"/>
        <v>1.10388492352211</v>
      </c>
      <c r="AR929" s="62">
        <f t="shared" ca="1" si="184"/>
        <v>1.150814963434807</v>
      </c>
      <c r="AS929" s="62">
        <f t="shared" ca="1" si="185"/>
        <v>0.81313667006655022</v>
      </c>
      <c r="AT929" s="49"/>
    </row>
    <row r="930" spans="1:46" x14ac:dyDescent="0.3">
      <c r="A930" s="5">
        <v>44811</v>
      </c>
      <c r="B930" s="6">
        <v>77.349997999999999</v>
      </c>
      <c r="C930" s="6">
        <v>92.440002000000007</v>
      </c>
      <c r="D930" s="6">
        <v>112.620003</v>
      </c>
      <c r="F930" s="13">
        <v>927</v>
      </c>
      <c r="G930" s="5">
        <v>44811</v>
      </c>
      <c r="H930" s="15">
        <f t="shared" si="181"/>
        <v>3.2372965336321699E-3</v>
      </c>
      <c r="I930" s="15">
        <f t="shared" si="181"/>
        <v>3.232118176102574E-2</v>
      </c>
      <c r="J930" s="15">
        <f t="shared" si="181"/>
        <v>-1.4196630474910658E-3</v>
      </c>
      <c r="K930" s="22"/>
      <c r="L930" s="13">
        <v>927</v>
      </c>
      <c r="M930" s="5">
        <v>44811</v>
      </c>
      <c r="N930" s="26">
        <f t="shared" si="178"/>
        <v>1.3680579524574117</v>
      </c>
      <c r="O930" s="26">
        <f t="shared" si="179"/>
        <v>0.876707134356845</v>
      </c>
      <c r="P930" s="26">
        <f t="shared" si="180"/>
        <v>1.4904712279108319</v>
      </c>
      <c r="Q930" s="22"/>
      <c r="AD930" s="59">
        <v>926</v>
      </c>
      <c r="AE930" s="61">
        <f t="shared" ca="1" si="182"/>
        <v>-0.75448620945767608</v>
      </c>
      <c r="AF930" s="61">
        <f t="shared" ca="1" si="182"/>
        <v>-0.29441206965800043</v>
      </c>
      <c r="AG930" s="61">
        <f t="shared" ca="1" si="182"/>
        <v>7.9985286521330981E-2</v>
      </c>
      <c r="AH930" s="19"/>
      <c r="AI930" s="61">
        <f ca="1"/>
        <v>-1.636049385920894E-2</v>
      </c>
      <c r="AJ930" s="61">
        <f ca="1"/>
        <v>-1.8208819036189702E-2</v>
      </c>
      <c r="AK930" s="61">
        <f ca="1"/>
        <v>-1.1172111710626393E-2</v>
      </c>
      <c r="AL930" s="19"/>
      <c r="AM930" s="61">
        <f t="shared" ca="1" si="186"/>
        <v>-1.6009277536698695E-2</v>
      </c>
      <c r="AN930" s="61">
        <f t="shared" ca="1" si="187"/>
        <v>-1.7959766439273172E-2</v>
      </c>
      <c r="AO930" s="61">
        <f t="shared" ca="1" si="188"/>
        <v>-1.0740443107371574E-2</v>
      </c>
      <c r="AP930" s="19"/>
      <c r="AQ930" s="62">
        <f t="shared" ca="1" si="183"/>
        <v>1.0863532327065104</v>
      </c>
      <c r="AR930" s="62">
        <f t="shared" ca="1" si="184"/>
        <v>1.1303310888701723</v>
      </c>
      <c r="AS930" s="62">
        <f t="shared" ca="1" si="185"/>
        <v>0.80444995501363148</v>
      </c>
      <c r="AT930" s="49"/>
    </row>
    <row r="931" spans="1:46" x14ac:dyDescent="0.3">
      <c r="A931" s="5">
        <v>44812</v>
      </c>
      <c r="B931" s="6">
        <v>78.069999999999993</v>
      </c>
      <c r="C931" s="6">
        <v>94.220000999999996</v>
      </c>
      <c r="D931" s="6">
        <v>111.93</v>
      </c>
      <c r="F931" s="13">
        <v>928</v>
      </c>
      <c r="G931" s="5">
        <v>44812</v>
      </c>
      <c r="H931" s="15">
        <f t="shared" si="181"/>
        <v>9.2653089696212391E-3</v>
      </c>
      <c r="I931" s="15">
        <f t="shared" si="181"/>
        <v>1.9072676843517523E-2</v>
      </c>
      <c r="J931" s="15">
        <f t="shared" si="181"/>
        <v>-6.1456705635483588E-3</v>
      </c>
      <c r="K931" s="22"/>
      <c r="L931" s="13">
        <v>928</v>
      </c>
      <c r="M931" s="5">
        <v>44812</v>
      </c>
      <c r="N931" s="26">
        <f t="shared" si="178"/>
        <v>1.3807923349700684</v>
      </c>
      <c r="O931" s="26">
        <f t="shared" si="179"/>
        <v>0.8935887633993026</v>
      </c>
      <c r="P931" s="26">
        <f t="shared" si="180"/>
        <v>1.4813393721900312</v>
      </c>
      <c r="Q931" s="22"/>
      <c r="AD931" s="59">
        <v>927</v>
      </c>
      <c r="AE931" s="61">
        <f t="shared" ca="1" si="182"/>
        <v>-1.6483952364976604</v>
      </c>
      <c r="AF931" s="61">
        <f t="shared" ca="1" si="182"/>
        <v>1.7349228162047723</v>
      </c>
      <c r="AG931" s="61">
        <f t="shared" ca="1" si="182"/>
        <v>-0.45770066940732779</v>
      </c>
      <c r="AH931" s="19"/>
      <c r="AI931" s="61">
        <f ca="1"/>
        <v>-3.5744271805384246E-2</v>
      </c>
      <c r="AJ931" s="61">
        <f ca="1"/>
        <v>1.1909073624934416E-2</v>
      </c>
      <c r="AK931" s="61">
        <f ca="1"/>
        <v>-2.386408462220509E-2</v>
      </c>
      <c r="AL931" s="19"/>
      <c r="AM931" s="61">
        <f t="shared" ca="1" si="186"/>
        <v>-3.5393055482874004E-2</v>
      </c>
      <c r="AN931" s="61">
        <f t="shared" ca="1" si="187"/>
        <v>1.2158126221850947E-2</v>
      </c>
      <c r="AO931" s="61">
        <f t="shared" ca="1" si="188"/>
        <v>-2.3432416018950273E-2</v>
      </c>
      <c r="AP931" s="19"/>
      <c r="AQ931" s="62">
        <f t="shared" ca="1" si="183"/>
        <v>1.0485763357830693</v>
      </c>
      <c r="AR931" s="62">
        <f t="shared" ca="1" si="184"/>
        <v>1.1441576793169039</v>
      </c>
      <c r="AS931" s="62">
        <f t="shared" ca="1" si="185"/>
        <v>0.78581888695499136</v>
      </c>
      <c r="AT931" s="49"/>
    </row>
    <row r="932" spans="1:46" x14ac:dyDescent="0.3">
      <c r="A932" s="5">
        <v>44813</v>
      </c>
      <c r="B932" s="6">
        <v>80.470000999999996</v>
      </c>
      <c r="C932" s="6">
        <v>96.540001000000004</v>
      </c>
      <c r="D932" s="6">
        <v>113.32</v>
      </c>
      <c r="F932" s="13">
        <v>929</v>
      </c>
      <c r="G932" s="5">
        <v>44813</v>
      </c>
      <c r="H932" s="15">
        <f t="shared" si="181"/>
        <v>3.0278596452833196E-2</v>
      </c>
      <c r="I932" s="15">
        <f t="shared" si="181"/>
        <v>2.4324956705394637E-2</v>
      </c>
      <c r="J932" s="15">
        <f t="shared" si="181"/>
        <v>1.2341999061139499E-2</v>
      </c>
      <c r="K932" s="22"/>
      <c r="L932" s="13">
        <v>929</v>
      </c>
      <c r="M932" s="5">
        <v>44813</v>
      </c>
      <c r="N932" s="26">
        <f t="shared" si="178"/>
        <v>1.4232401764548961</v>
      </c>
      <c r="O932" s="26">
        <f t="shared" si="179"/>
        <v>0.9155917978833118</v>
      </c>
      <c r="P932" s="26">
        <f t="shared" si="180"/>
        <v>1.4997353493842074</v>
      </c>
      <c r="Q932" s="22"/>
      <c r="AD932" s="59">
        <v>928</v>
      </c>
      <c r="AE932" s="61">
        <f t="shared" ca="1" si="182"/>
        <v>-0.44135902597022353</v>
      </c>
      <c r="AF932" s="61">
        <f t="shared" ca="1" si="182"/>
        <v>-0.81339152992439756</v>
      </c>
      <c r="AG932" s="61">
        <f t="shared" ca="1" si="182"/>
        <v>-0.198787836708743</v>
      </c>
      <c r="AH932" s="19"/>
      <c r="AI932" s="61">
        <f ca="1"/>
        <v>-9.5705548273475032E-3</v>
      </c>
      <c r="AJ932" s="61">
        <f ca="1"/>
        <v>-2.4588193237694699E-2</v>
      </c>
      <c r="AK932" s="61">
        <f ca="1"/>
        <v>-1.7342533936581164E-2</v>
      </c>
      <c r="AL932" s="19"/>
      <c r="AM932" s="61">
        <f t="shared" ca="1" si="186"/>
        <v>-9.2193385048372593E-3</v>
      </c>
      <c r="AN932" s="61">
        <f t="shared" ca="1" si="187"/>
        <v>-2.4339140640778169E-2</v>
      </c>
      <c r="AO932" s="61">
        <f t="shared" ca="1" si="188"/>
        <v>-1.6910865333326346E-2</v>
      </c>
      <c r="AP932" s="19"/>
      <c r="AQ932" s="62">
        <f t="shared" ca="1" si="183"/>
        <v>1.0389535814680475</v>
      </c>
      <c r="AR932" s="62">
        <f t="shared" ca="1" si="184"/>
        <v>1.1166460277539423</v>
      </c>
      <c r="AS932" s="62">
        <f t="shared" ca="1" si="185"/>
        <v>0.77264174207154768</v>
      </c>
      <c r="AT932" s="49"/>
    </row>
    <row r="933" spans="1:46" x14ac:dyDescent="0.3">
      <c r="A933" s="5">
        <v>44816</v>
      </c>
      <c r="B933" s="6">
        <v>81.25</v>
      </c>
      <c r="C933" s="6">
        <v>99.169998000000007</v>
      </c>
      <c r="D933" s="6">
        <v>114.25</v>
      </c>
      <c r="F933" s="13">
        <v>930</v>
      </c>
      <c r="G933" s="5">
        <v>44816</v>
      </c>
      <c r="H933" s="15">
        <f t="shared" si="181"/>
        <v>9.6463646248141095E-3</v>
      </c>
      <c r="I933" s="15">
        <f t="shared" si="181"/>
        <v>2.6878088439896853E-2</v>
      </c>
      <c r="J933" s="15">
        <f t="shared" si="181"/>
        <v>8.173354811998438E-3</v>
      </c>
      <c r="K933" s="22"/>
      <c r="L933" s="13">
        <v>930</v>
      </c>
      <c r="M933" s="5">
        <v>44816</v>
      </c>
      <c r="N933" s="26">
        <f t="shared" si="178"/>
        <v>1.4370357015027291</v>
      </c>
      <c r="O933" s="26">
        <f t="shared" si="179"/>
        <v>0.94053486455738122</v>
      </c>
      <c r="P933" s="26">
        <f t="shared" si="180"/>
        <v>1.5120434492335484</v>
      </c>
      <c r="Q933" s="22"/>
      <c r="AD933" s="59">
        <v>929</v>
      </c>
      <c r="AE933" s="61">
        <f t="shared" ca="1" si="182"/>
        <v>0.23787892307166053</v>
      </c>
      <c r="AF933" s="61">
        <f t="shared" ca="1" si="182"/>
        <v>1.3235060205066438</v>
      </c>
      <c r="AG933" s="61">
        <f t="shared" ca="1" si="182"/>
        <v>0.56960996784912743</v>
      </c>
      <c r="AH933" s="19"/>
      <c r="AI933" s="61">
        <f ca="1"/>
        <v>5.1582343207393702E-3</v>
      </c>
      <c r="AJ933" s="61">
        <f ca="1"/>
        <v>3.2491111459104646E-2</v>
      </c>
      <c r="AK933" s="61">
        <f ca="1"/>
        <v>2.7428911902013714E-2</v>
      </c>
      <c r="AL933" s="19"/>
      <c r="AM933" s="61">
        <f t="shared" ca="1" si="186"/>
        <v>5.5094506432496141E-3</v>
      </c>
      <c r="AN933" s="61">
        <f t="shared" ca="1" si="187"/>
        <v>3.2740164056021176E-2</v>
      </c>
      <c r="AO933" s="61">
        <f t="shared" ca="1" si="188"/>
        <v>2.7860580505268531E-2</v>
      </c>
      <c r="AP933" s="19"/>
      <c r="AQ933" s="62">
        <f t="shared" ca="1" si="183"/>
        <v>1.0446934421663889</v>
      </c>
      <c r="AR933" s="62">
        <f t="shared" ca="1" si="184"/>
        <v>1.1538102637947225</v>
      </c>
      <c r="AS933" s="62">
        <f t="shared" ca="1" si="185"/>
        <v>0.79447066073039552</v>
      </c>
      <c r="AT933" s="49"/>
    </row>
    <row r="934" spans="1:46" x14ac:dyDescent="0.3">
      <c r="A934" s="5">
        <v>44817</v>
      </c>
      <c r="B934" s="6">
        <v>78.519997000000004</v>
      </c>
      <c r="C934" s="6">
        <v>94.099997999999999</v>
      </c>
      <c r="D934" s="6">
        <v>111.33000199999999</v>
      </c>
      <c r="F934" s="13">
        <v>931</v>
      </c>
      <c r="G934" s="5">
        <v>44817</v>
      </c>
      <c r="H934" s="15">
        <f t="shared" si="181"/>
        <v>-3.4177490008413539E-2</v>
      </c>
      <c r="I934" s="15">
        <f t="shared" si="181"/>
        <v>-5.2477503693295693E-2</v>
      </c>
      <c r="J934" s="15">
        <f t="shared" si="181"/>
        <v>-2.5890248069088673E-2</v>
      </c>
      <c r="K934" s="22"/>
      <c r="L934" s="13">
        <v>931</v>
      </c>
      <c r="M934" s="5">
        <v>44817</v>
      </c>
      <c r="N934" s="26">
        <f t="shared" si="178"/>
        <v>1.3887512488724578</v>
      </c>
      <c r="O934" s="26">
        <f t="shared" si="179"/>
        <v>0.89245064695655063</v>
      </c>
      <c r="P934" s="26">
        <f t="shared" si="180"/>
        <v>1.4733986890788431</v>
      </c>
      <c r="Q934" s="22"/>
      <c r="AD934" s="59">
        <v>930</v>
      </c>
      <c r="AE934" s="61">
        <f t="shared" ca="1" si="182"/>
        <v>-1.0399978804004257</v>
      </c>
      <c r="AF934" s="61">
        <f t="shared" ca="1" si="182"/>
        <v>0.67604401623084098</v>
      </c>
      <c r="AG934" s="61">
        <f t="shared" ca="1" si="182"/>
        <v>0.71875011860859572</v>
      </c>
      <c r="AH934" s="19"/>
      <c r="AI934" s="61">
        <f ca="1"/>
        <v>-2.255161025158002E-2</v>
      </c>
      <c r="AJ934" s="61">
        <f ca="1"/>
        <v>-1.5838936145154258E-3</v>
      </c>
      <c r="AK934" s="61">
        <f ca="1"/>
        <v>7.8088225988940628E-3</v>
      </c>
      <c r="AL934" s="19"/>
      <c r="AM934" s="61">
        <f t="shared" ca="1" si="186"/>
        <v>-2.2200393929069775E-2</v>
      </c>
      <c r="AN934" s="61">
        <f t="shared" ca="1" si="187"/>
        <v>-1.3348410175988952E-3</v>
      </c>
      <c r="AO934" s="61">
        <f t="shared" ca="1" si="188"/>
        <v>8.2404912021488818E-3</v>
      </c>
      <c r="AP934" s="19"/>
      <c r="AQ934" s="62">
        <f t="shared" ca="1" si="183"/>
        <v>1.0217563841278612</v>
      </c>
      <c r="AR934" s="62">
        <f t="shared" ca="1" si="184"/>
        <v>1.1522711380007378</v>
      </c>
      <c r="AS934" s="62">
        <f t="shared" ca="1" si="185"/>
        <v>0.80104453800918296</v>
      </c>
      <c r="AT934" s="49"/>
    </row>
    <row r="935" spans="1:46" x14ac:dyDescent="0.3">
      <c r="A935" s="5">
        <v>44818</v>
      </c>
      <c r="B935" s="6">
        <v>78.660004000000001</v>
      </c>
      <c r="C935" s="6">
        <v>93.800003000000004</v>
      </c>
      <c r="D935" s="6">
        <v>109.589996</v>
      </c>
      <c r="F935" s="13">
        <v>932</v>
      </c>
      <c r="G935" s="5">
        <v>44818</v>
      </c>
      <c r="H935" s="15">
        <f t="shared" si="181"/>
        <v>1.7814866539959632E-3</v>
      </c>
      <c r="I935" s="15">
        <f t="shared" si="181"/>
        <v>-3.1931373422276056E-3</v>
      </c>
      <c r="J935" s="15">
        <f t="shared" si="181"/>
        <v>-1.5752688729605883E-2</v>
      </c>
      <c r="K935" s="22"/>
      <c r="L935" s="13">
        <v>932</v>
      </c>
      <c r="M935" s="5">
        <v>44818</v>
      </c>
      <c r="N935" s="26">
        <f t="shared" si="178"/>
        <v>1.3912274957335073</v>
      </c>
      <c r="O935" s="26">
        <f t="shared" si="179"/>
        <v>0.88960547440050308</v>
      </c>
      <c r="P935" s="26">
        <f t="shared" si="180"/>
        <v>1.4503705518891095</v>
      </c>
      <c r="Q935" s="22"/>
      <c r="AD935" s="59">
        <v>931</v>
      </c>
      <c r="AE935" s="61">
        <f t="shared" ca="1" si="182"/>
        <v>0.15320162779590907</v>
      </c>
      <c r="AF935" s="61">
        <f t="shared" ca="1" si="182"/>
        <v>-0.8711134998429213</v>
      </c>
      <c r="AG935" s="61">
        <f t="shared" ca="1" si="182"/>
        <v>-0.61240448415259285</v>
      </c>
      <c r="AH935" s="19"/>
      <c r="AI935" s="61">
        <f ca="1"/>
        <v>3.3220677321291543E-3</v>
      </c>
      <c r="AJ935" s="61">
        <f ca="1"/>
        <v>-1.6536574727004975E-2</v>
      </c>
      <c r="AK935" s="61">
        <f ca="1"/>
        <v>-1.9560920258663631E-2</v>
      </c>
      <c r="AL935" s="19"/>
      <c r="AM935" s="61">
        <f t="shared" ca="1" si="186"/>
        <v>3.6732840546393987E-3</v>
      </c>
      <c r="AN935" s="61">
        <f t="shared" ca="1" si="187"/>
        <v>-1.6287522130088446E-2</v>
      </c>
      <c r="AO935" s="61">
        <f t="shared" ca="1" si="188"/>
        <v>-1.9129251655408814E-2</v>
      </c>
      <c r="AP935" s="19"/>
      <c r="AQ935" s="62">
        <f t="shared" ca="1" si="183"/>
        <v>1.0255164872969849</v>
      </c>
      <c r="AR935" s="62">
        <f t="shared" ca="1" si="184"/>
        <v>1.1336555091073937</v>
      </c>
      <c r="AS935" s="62">
        <f t="shared" ca="1" si="185"/>
        <v>0.78586678778405705</v>
      </c>
      <c r="AT935" s="49"/>
    </row>
    <row r="936" spans="1:46" x14ac:dyDescent="0.3">
      <c r="A936" s="5">
        <v>44819</v>
      </c>
      <c r="B936" s="6">
        <v>78.300003000000004</v>
      </c>
      <c r="C936" s="6">
        <v>93.080001999999993</v>
      </c>
      <c r="D936" s="6">
        <v>105.160004</v>
      </c>
      <c r="F936" s="13">
        <v>933</v>
      </c>
      <c r="G936" s="5">
        <v>44819</v>
      </c>
      <c r="H936" s="15">
        <f t="shared" si="181"/>
        <v>-4.5871765444962624E-3</v>
      </c>
      <c r="I936" s="15">
        <f t="shared" si="181"/>
        <v>-7.7055280741372438E-3</v>
      </c>
      <c r="J936" s="15">
        <f t="shared" si="181"/>
        <v>-4.1263055076663224E-2</v>
      </c>
      <c r="K936" s="22"/>
      <c r="L936" s="13">
        <v>933</v>
      </c>
      <c r="M936" s="5">
        <v>44819</v>
      </c>
      <c r="N936" s="26">
        <f t="shared" si="178"/>
        <v>1.384860304477179</v>
      </c>
      <c r="O936" s="26">
        <f t="shared" si="179"/>
        <v>0.88277693697312321</v>
      </c>
      <c r="P936" s="26">
        <f t="shared" si="180"/>
        <v>1.39174175203128</v>
      </c>
      <c r="Q936" s="22"/>
      <c r="AD936" s="59">
        <v>932</v>
      </c>
      <c r="AE936" s="61">
        <f t="shared" ca="1" si="182"/>
        <v>-0.17244347616910358</v>
      </c>
      <c r="AF936" s="61">
        <f t="shared" ca="1" si="182"/>
        <v>-1.1056038266200179</v>
      </c>
      <c r="AG936" s="61">
        <f t="shared" ca="1" si="182"/>
        <v>-0.89474637440336047</v>
      </c>
      <c r="AH936" s="19"/>
      <c r="AI936" s="61">
        <f ca="1"/>
        <v>-3.7393134527312056E-3</v>
      </c>
      <c r="AJ936" s="61">
        <f ca="1"/>
        <v>-2.6730567808310381E-2</v>
      </c>
      <c r="AK936" s="61">
        <f ca="1"/>
        <v>-3.3257479951122305E-2</v>
      </c>
      <c r="AL936" s="19"/>
      <c r="AM936" s="61">
        <f t="shared" ca="1" si="186"/>
        <v>-3.3880971302209613E-3</v>
      </c>
      <c r="AN936" s="61">
        <f t="shared" ca="1" si="187"/>
        <v>-2.6481515211393851E-2</v>
      </c>
      <c r="AO936" s="61">
        <f t="shared" ca="1" si="188"/>
        <v>-3.2825811347867488E-2</v>
      </c>
      <c r="AP936" s="19"/>
      <c r="AQ936" s="62">
        <f t="shared" ca="1" si="183"/>
        <v>1.0220478172430372</v>
      </c>
      <c r="AR936" s="62">
        <f t="shared" ca="1" si="184"/>
        <v>1.1040286074744221</v>
      </c>
      <c r="AS936" s="62">
        <f t="shared" ca="1" si="185"/>
        <v>0.76048887687728339</v>
      </c>
      <c r="AT936" s="49"/>
    </row>
    <row r="937" spans="1:46" x14ac:dyDescent="0.3">
      <c r="A937" s="5">
        <v>44820</v>
      </c>
      <c r="B937" s="6">
        <v>76.709998999999996</v>
      </c>
      <c r="C937" s="6">
        <v>93.489998</v>
      </c>
      <c r="D937" s="6">
        <v>104.459999</v>
      </c>
      <c r="F937" s="13">
        <v>934</v>
      </c>
      <c r="G937" s="5">
        <v>44820</v>
      </c>
      <c r="H937" s="15">
        <f t="shared" si="181"/>
        <v>-2.0515576375838181E-2</v>
      </c>
      <c r="I937" s="15">
        <f t="shared" si="181"/>
        <v>4.3950973895781273E-3</v>
      </c>
      <c r="J937" s="15">
        <f t="shared" si="181"/>
        <v>-6.6788244638460144E-3</v>
      </c>
      <c r="K937" s="22"/>
      <c r="L937" s="13">
        <v>934</v>
      </c>
      <c r="M937" s="5">
        <v>44820</v>
      </c>
      <c r="N937" s="26">
        <f t="shared" si="178"/>
        <v>1.3567385504644756</v>
      </c>
      <c r="O937" s="26">
        <f t="shared" si="179"/>
        <v>0.88666536633791027</v>
      </c>
      <c r="P937" s="26">
        <f t="shared" si="180"/>
        <v>1.3824775246817769</v>
      </c>
      <c r="Q937" s="22"/>
      <c r="AD937" s="59">
        <v>933</v>
      </c>
      <c r="AE937" s="61">
        <f t="shared" ca="1" si="182"/>
        <v>-0.19081257262645415</v>
      </c>
      <c r="AF937" s="61">
        <f t="shared" ca="1" si="182"/>
        <v>6.008156811557927E-2</v>
      </c>
      <c r="AG937" s="61">
        <f t="shared" ca="1" si="182"/>
        <v>-0.29326326772371175</v>
      </c>
      <c r="AH937" s="19"/>
      <c r="AI937" s="61">
        <f ca="1"/>
        <v>-4.1376341722122413E-3</v>
      </c>
      <c r="AJ937" s="61">
        <f ca="1"/>
        <v>-1.6807288430074109E-3</v>
      </c>
      <c r="AK937" s="61">
        <f ca="1"/>
        <v>-9.9096296289133638E-3</v>
      </c>
      <c r="AL937" s="19"/>
      <c r="AM937" s="61">
        <f t="shared" ca="1" si="186"/>
        <v>-3.786417849701997E-3</v>
      </c>
      <c r="AN937" s="61">
        <f t="shared" ca="1" si="187"/>
        <v>-1.4316762460908801E-3</v>
      </c>
      <c r="AO937" s="61">
        <f t="shared" ca="1" si="188"/>
        <v>-9.4779610256585448E-3</v>
      </c>
      <c r="AP937" s="19"/>
      <c r="AQ937" s="62">
        <f t="shared" ca="1" si="183"/>
        <v>1.0181852344356299</v>
      </c>
      <c r="AR937" s="62">
        <f t="shared" ca="1" si="184"/>
        <v>1.1024491268643195</v>
      </c>
      <c r="AS937" s="62">
        <f t="shared" ca="1" si="185"/>
        <v>0.75331504330239274</v>
      </c>
      <c r="AT937" s="49"/>
    </row>
    <row r="938" spans="1:46" x14ac:dyDescent="0.3">
      <c r="A938" s="5">
        <v>44823</v>
      </c>
      <c r="B938" s="6">
        <v>78.300003000000004</v>
      </c>
      <c r="C938" s="6">
        <v>96.269997000000004</v>
      </c>
      <c r="D938" s="6">
        <v>104.66999800000001</v>
      </c>
      <c r="F938" s="13">
        <v>935</v>
      </c>
      <c r="G938" s="5">
        <v>44823</v>
      </c>
      <c r="H938" s="15">
        <f t="shared" si="181"/>
        <v>2.0515576375838222E-2</v>
      </c>
      <c r="I938" s="15">
        <f t="shared" si="181"/>
        <v>2.9302255316957126E-2</v>
      </c>
      <c r="J938" s="15">
        <f t="shared" si="181"/>
        <v>2.0083113240103871E-3</v>
      </c>
      <c r="K938" s="22"/>
      <c r="L938" s="13">
        <v>935</v>
      </c>
      <c r="M938" s="5">
        <v>44823</v>
      </c>
      <c r="N938" s="26">
        <f t="shared" si="178"/>
        <v>1.384860304477179</v>
      </c>
      <c r="O938" s="26">
        <f t="shared" si="179"/>
        <v>0.91303106196830308</v>
      </c>
      <c r="P938" s="26">
        <f t="shared" si="180"/>
        <v>1.385256759800338</v>
      </c>
      <c r="Q938" s="22"/>
      <c r="AD938" s="59">
        <v>934</v>
      </c>
      <c r="AE938" s="61">
        <f t="shared" ca="1" si="182"/>
        <v>-0.39618613486446563</v>
      </c>
      <c r="AF938" s="61">
        <f t="shared" ca="1" si="182"/>
        <v>1.614619715610472E-2</v>
      </c>
      <c r="AG938" s="61">
        <f t="shared" ca="1" si="182"/>
        <v>0.29477351027023657</v>
      </c>
      <c r="AH938" s="19"/>
      <c r="AI938" s="61">
        <f ca="1"/>
        <v>-8.5910129904334855E-3</v>
      </c>
      <c r="AJ938" s="61">
        <f ca="1"/>
        <v>-5.8502852355407156E-3</v>
      </c>
      <c r="AK938" s="61">
        <f ca="1"/>
        <v>1.811926577660293E-3</v>
      </c>
      <c r="AL938" s="19"/>
      <c r="AM938" s="61">
        <f t="shared" ca="1" si="186"/>
        <v>-8.2397966679232416E-3</v>
      </c>
      <c r="AN938" s="61">
        <f t="shared" ca="1" si="187"/>
        <v>-5.601232638624185E-3</v>
      </c>
      <c r="AO938" s="61">
        <f t="shared" ca="1" si="188"/>
        <v>2.2435951809151112E-3</v>
      </c>
      <c r="AP938" s="19"/>
      <c r="AQ938" s="62">
        <f t="shared" ca="1" si="183"/>
        <v>1.0098300648551102</v>
      </c>
      <c r="AR938" s="62">
        <f t="shared" ca="1" si="184"/>
        <v>1.0962913146015116</v>
      </c>
      <c r="AS938" s="62">
        <f t="shared" ca="1" si="185"/>
        <v>0.75500707471024564</v>
      </c>
      <c r="AT938" s="49"/>
    </row>
    <row r="939" spans="1:46" x14ac:dyDescent="0.3">
      <c r="A939" s="5">
        <v>44824</v>
      </c>
      <c r="B939" s="6">
        <v>76.610000999999997</v>
      </c>
      <c r="C939" s="6">
        <v>94.209998999999996</v>
      </c>
      <c r="D939" s="6">
        <v>107.41999800000001</v>
      </c>
      <c r="F939" s="13">
        <v>936</v>
      </c>
      <c r="G939" s="5">
        <v>44824</v>
      </c>
      <c r="H939" s="15">
        <f t="shared" si="181"/>
        <v>-2.1820011729077344E-2</v>
      </c>
      <c r="I939" s="15">
        <f t="shared" si="181"/>
        <v>-2.1630390181527053E-2</v>
      </c>
      <c r="J939" s="15">
        <f t="shared" si="181"/>
        <v>2.5933841099685887E-2</v>
      </c>
      <c r="K939" s="22"/>
      <c r="L939" s="13">
        <v>936</v>
      </c>
      <c r="M939" s="5">
        <v>44824</v>
      </c>
      <c r="N939" s="26">
        <f t="shared" si="178"/>
        <v>1.3549699265127357</v>
      </c>
      <c r="O939" s="26">
        <f t="shared" si="179"/>
        <v>0.89349390376529003</v>
      </c>
      <c r="P939" s="26">
        <f t="shared" si="180"/>
        <v>1.4216516787096793</v>
      </c>
      <c r="Q939" s="22"/>
      <c r="AD939" s="59">
        <v>935</v>
      </c>
      <c r="AE939" s="61">
        <f t="shared" ca="1" si="182"/>
        <v>-0.29214382157369295</v>
      </c>
      <c r="AF939" s="61">
        <f t="shared" ca="1" si="182"/>
        <v>0.25203130999593076</v>
      </c>
      <c r="AG939" s="61">
        <f t="shared" ca="1" si="182"/>
        <v>1.4271762070043796</v>
      </c>
      <c r="AH939" s="19"/>
      <c r="AI939" s="61">
        <f ca="1"/>
        <v>-6.3349298356265779E-3</v>
      </c>
      <c r="AJ939" s="61">
        <f ca="1"/>
        <v>9.0542317700038552E-4</v>
      </c>
      <c r="AK939" s="61">
        <f ca="1"/>
        <v>3.4022526461214106E-2</v>
      </c>
      <c r="AL939" s="19"/>
      <c r="AM939" s="61">
        <f t="shared" ca="1" si="186"/>
        <v>-5.983713513116334E-3</v>
      </c>
      <c r="AN939" s="61">
        <f t="shared" ca="1" si="187"/>
        <v>1.1544757739169161E-3</v>
      </c>
      <c r="AO939" s="61">
        <f t="shared" ca="1" si="188"/>
        <v>3.4454195064468923E-2</v>
      </c>
      <c r="AP939" s="19"/>
      <c r="AQ939" s="62">
        <f t="shared" ca="1" si="183"/>
        <v>1.0038055734409068</v>
      </c>
      <c r="AR939" s="62">
        <f t="shared" ca="1" si="184"/>
        <v>1.0975576872229773</v>
      </c>
      <c r="AS939" s="62">
        <f t="shared" ca="1" si="185"/>
        <v>0.78147355830512011</v>
      </c>
      <c r="AT939" s="49"/>
    </row>
    <row r="940" spans="1:46" x14ac:dyDescent="0.3">
      <c r="A940" s="5">
        <v>44825</v>
      </c>
      <c r="B940" s="6">
        <v>74.889999000000003</v>
      </c>
      <c r="C940" s="6">
        <v>92.309997999999993</v>
      </c>
      <c r="D940" s="6">
        <v>105.529999</v>
      </c>
      <c r="F940" s="13">
        <v>937</v>
      </c>
      <c r="G940" s="5">
        <v>44825</v>
      </c>
      <c r="H940" s="15">
        <f t="shared" si="181"/>
        <v>-2.2707272673497574E-2</v>
      </c>
      <c r="I940" s="15">
        <f t="shared" si="181"/>
        <v>-2.0373866110057048E-2</v>
      </c>
      <c r="J940" s="15">
        <f t="shared" si="181"/>
        <v>-1.775110265178597E-2</v>
      </c>
      <c r="K940" s="22"/>
      <c r="L940" s="13">
        <v>937</v>
      </c>
      <c r="M940" s="5">
        <v>44825</v>
      </c>
      <c r="N940" s="26">
        <f t="shared" si="178"/>
        <v>1.3245489507508146</v>
      </c>
      <c r="O940" s="26">
        <f t="shared" si="179"/>
        <v>0.87547416776414688</v>
      </c>
      <c r="P940" s="26">
        <f t="shared" si="180"/>
        <v>1.3966384567665024</v>
      </c>
      <c r="Q940" s="22"/>
      <c r="AD940" s="59">
        <v>936</v>
      </c>
      <c r="AE940" s="61">
        <f t="shared" ca="1" si="182"/>
        <v>0.39780855677360899</v>
      </c>
      <c r="AF940" s="61">
        <f t="shared" ca="1" si="182"/>
        <v>-2.5227872797591719</v>
      </c>
      <c r="AG940" s="61">
        <f t="shared" ca="1" si="182"/>
        <v>-0.83089786596803139</v>
      </c>
      <c r="AH940" s="19"/>
      <c r="AI940" s="61">
        <f ca="1"/>
        <v>8.6261940492107763E-3</v>
      </c>
      <c r="AJ940" s="61">
        <f ca="1"/>
        <v>-4.8608714787509145E-2</v>
      </c>
      <c r="AK940" s="61">
        <f ca="1"/>
        <v>-3.3176357601545407E-2</v>
      </c>
      <c r="AL940" s="19"/>
      <c r="AM940" s="61">
        <f t="shared" ca="1" si="186"/>
        <v>8.9774103717210202E-3</v>
      </c>
      <c r="AN940" s="61">
        <f t="shared" ca="1" si="187"/>
        <v>-4.8359662190592616E-2</v>
      </c>
      <c r="AO940" s="61">
        <f t="shared" ca="1" si="188"/>
        <v>-3.274468899829059E-2</v>
      </c>
      <c r="AP940" s="19"/>
      <c r="AQ940" s="62">
        <f t="shared" ca="1" si="183"/>
        <v>1.0128577196270725</v>
      </c>
      <c r="AR940" s="62">
        <f t="shared" ca="1" si="184"/>
        <v>1.0457431330476847</v>
      </c>
      <c r="AS940" s="62">
        <f t="shared" ca="1" si="185"/>
        <v>0.75629886773387955</v>
      </c>
      <c r="AT940" s="49"/>
    </row>
    <row r="941" spans="1:46" x14ac:dyDescent="0.3">
      <c r="A941" s="5">
        <v>44826</v>
      </c>
      <c r="B941" s="6">
        <v>73.150002000000001</v>
      </c>
      <c r="C941" s="6">
        <v>88.389999000000003</v>
      </c>
      <c r="D941" s="6">
        <v>107.589996</v>
      </c>
      <c r="F941" s="13">
        <v>938</v>
      </c>
      <c r="G941" s="5">
        <v>44826</v>
      </c>
      <c r="H941" s="15">
        <f t="shared" si="181"/>
        <v>-2.3508202101145129E-2</v>
      </c>
      <c r="I941" s="15">
        <f t="shared" si="181"/>
        <v>-4.3393626576575299E-2</v>
      </c>
      <c r="J941" s="15">
        <f t="shared" si="181"/>
        <v>1.9332406220620331E-2</v>
      </c>
      <c r="K941" s="22"/>
      <c r="L941" s="13">
        <v>938</v>
      </c>
      <c r="M941" s="5">
        <v>44826</v>
      </c>
      <c r="N941" s="26">
        <f t="shared" si="178"/>
        <v>1.2937743315568744</v>
      </c>
      <c r="O941" s="26">
        <f t="shared" si="179"/>
        <v>0.83829663622350836</v>
      </c>
      <c r="P941" s="26">
        <f t="shared" si="180"/>
        <v>1.4239015199550431</v>
      </c>
      <c r="Q941" s="22"/>
      <c r="AD941" s="59">
        <v>937</v>
      </c>
      <c r="AE941" s="61">
        <f t="shared" ca="1" si="182"/>
        <v>0.15964686696594946</v>
      </c>
      <c r="AF941" s="61">
        <f t="shared" ca="1" si="182"/>
        <v>1.1672454899038596</v>
      </c>
      <c r="AG941" s="61">
        <f t="shared" ca="1" si="182"/>
        <v>-0.50812466140538159</v>
      </c>
      <c r="AH941" s="19"/>
      <c r="AI941" s="61">
        <f ca="1"/>
        <v>3.4618281340301699E-3</v>
      </c>
      <c r="AJ941" s="61">
        <f ca="1"/>
        <v>2.7870115235644116E-2</v>
      </c>
      <c r="AK941" s="61">
        <f ca="1"/>
        <v>-2.438980913230894E-3</v>
      </c>
      <c r="AL941" s="19"/>
      <c r="AM941" s="61">
        <f t="shared" ca="1" si="186"/>
        <v>3.8130444565404142E-3</v>
      </c>
      <c r="AN941" s="61">
        <f t="shared" ca="1" si="187"/>
        <v>2.8119167832560646E-2</v>
      </c>
      <c r="AO941" s="61">
        <f t="shared" ca="1" si="188"/>
        <v>-2.0073123099760759E-3</v>
      </c>
      <c r="AP941" s="19"/>
      <c r="AQ941" s="62">
        <f t="shared" ca="1" si="183"/>
        <v>1.0167271636329169</v>
      </c>
      <c r="AR941" s="62">
        <f t="shared" ca="1" si="184"/>
        <v>1.0755658902587599</v>
      </c>
      <c r="AS941" s="62">
        <f t="shared" ca="1" si="185"/>
        <v>0.75478226236620682</v>
      </c>
      <c r="AT941" s="49"/>
    </row>
    <row r="942" spans="1:46" x14ac:dyDescent="0.3">
      <c r="A942" s="5">
        <v>44827</v>
      </c>
      <c r="B942" s="6">
        <v>73.629997000000003</v>
      </c>
      <c r="C942" s="6">
        <v>85.43</v>
      </c>
      <c r="D942" s="6">
        <v>100.57</v>
      </c>
      <c r="F942" s="13">
        <v>939</v>
      </c>
      <c r="G942" s="5">
        <v>44827</v>
      </c>
      <c r="H942" s="15">
        <f t="shared" si="181"/>
        <v>6.5403558291498905E-3</v>
      </c>
      <c r="I942" s="15">
        <f t="shared" si="181"/>
        <v>-3.4061502595832183E-2</v>
      </c>
      <c r="J942" s="15">
        <f t="shared" si="181"/>
        <v>-6.7473666971251692E-2</v>
      </c>
      <c r="K942" s="22"/>
      <c r="L942" s="13">
        <v>939</v>
      </c>
      <c r="M942" s="5">
        <v>44827</v>
      </c>
      <c r="N942" s="26">
        <f t="shared" si="178"/>
        <v>1.3022638078835549</v>
      </c>
      <c r="O942" s="26">
        <f t="shared" si="179"/>
        <v>0.81022380860728738</v>
      </c>
      <c r="P942" s="26">
        <f t="shared" si="180"/>
        <v>1.3309952708045334</v>
      </c>
      <c r="Q942" s="22"/>
      <c r="AD942" s="59">
        <v>938</v>
      </c>
      <c r="AE942" s="61">
        <f t="shared" ca="1" si="182"/>
        <v>8.5596289904165623E-2</v>
      </c>
      <c r="AF942" s="61">
        <f t="shared" ca="1" si="182"/>
        <v>-6.0486132968966329E-2</v>
      </c>
      <c r="AG942" s="61">
        <f t="shared" ca="1" si="182"/>
        <v>-0.88803561303087331</v>
      </c>
      <c r="AH942" s="19"/>
      <c r="AI942" s="61">
        <f ca="1"/>
        <v>1.8560943298814889E-3</v>
      </c>
      <c r="AJ942" s="61">
        <f ca="1"/>
        <v>2.5054402591375216E-5</v>
      </c>
      <c r="AK942" s="61">
        <f ca="1"/>
        <v>-2.1912671833441026E-2</v>
      </c>
      <c r="AL942" s="19"/>
      <c r="AM942" s="61">
        <f t="shared" ca="1" si="186"/>
        <v>2.2073106523917332E-3</v>
      </c>
      <c r="AN942" s="61">
        <f t="shared" ca="1" si="187"/>
        <v>2.7410699950790589E-4</v>
      </c>
      <c r="AO942" s="61">
        <f t="shared" ca="1" si="188"/>
        <v>-2.1481003230186209E-2</v>
      </c>
      <c r="AP942" s="19"/>
      <c r="AQ942" s="62">
        <f t="shared" ca="1" si="183"/>
        <v>1.0189738750145567</v>
      </c>
      <c r="AR942" s="62">
        <f t="shared" ca="1" si="184"/>
        <v>1.075860750807536</v>
      </c>
      <c r="AS942" s="62">
        <f t="shared" ca="1" si="185"/>
        <v>0.73874168282106234</v>
      </c>
      <c r="AT942" s="49"/>
    </row>
    <row r="943" spans="1:46" x14ac:dyDescent="0.3">
      <c r="A943" s="5">
        <v>44830</v>
      </c>
      <c r="B943" s="6">
        <v>73.589995999999999</v>
      </c>
      <c r="C943" s="6">
        <v>83.959998999999996</v>
      </c>
      <c r="D943" s="6">
        <v>97.889999000000003</v>
      </c>
      <c r="F943" s="13">
        <v>940</v>
      </c>
      <c r="G943" s="5">
        <v>44830</v>
      </c>
      <c r="H943" s="15">
        <f t="shared" si="181"/>
        <v>-5.4341805306798647E-4</v>
      </c>
      <c r="I943" s="15">
        <f t="shared" si="181"/>
        <v>-1.7356844121528745E-2</v>
      </c>
      <c r="J943" s="15">
        <f t="shared" si="181"/>
        <v>-2.7009613398598059E-2</v>
      </c>
      <c r="K943" s="22"/>
      <c r="L943" s="13">
        <v>940</v>
      </c>
      <c r="M943" s="5">
        <v>44830</v>
      </c>
      <c r="N943" s="26">
        <f t="shared" si="178"/>
        <v>1.3015563264669912</v>
      </c>
      <c r="O943" s="26">
        <f t="shared" si="179"/>
        <v>0.79628222123895631</v>
      </c>
      <c r="P943" s="26">
        <f t="shared" si="180"/>
        <v>1.2955267547783684</v>
      </c>
      <c r="Q943" s="22"/>
      <c r="AD943" s="59">
        <v>939</v>
      </c>
      <c r="AE943" s="61">
        <f t="shared" ca="1" si="182"/>
        <v>-9.4727514486445286E-2</v>
      </c>
      <c r="AF943" s="61">
        <f t="shared" ca="1" si="182"/>
        <v>1.4821254597570648</v>
      </c>
      <c r="AG943" s="61">
        <f t="shared" ca="1" si="182"/>
        <v>-0.36491003423218332</v>
      </c>
      <c r="AH943" s="19"/>
      <c r="AI943" s="61">
        <f ca="1"/>
        <v>-2.054098404485883E-3</v>
      </c>
      <c r="AJ943" s="61">
        <f ca="1"/>
        <v>3.0732798029957226E-2</v>
      </c>
      <c r="AK943" s="61">
        <f ca="1"/>
        <v>-3.1081917523647501E-4</v>
      </c>
      <c r="AL943" s="19"/>
      <c r="AM943" s="61">
        <f t="shared" ca="1" si="186"/>
        <v>-1.7028820819756387E-3</v>
      </c>
      <c r="AN943" s="61">
        <f t="shared" ca="1" si="187"/>
        <v>3.0981850626873756E-2</v>
      </c>
      <c r="AO943" s="61">
        <f t="shared" ca="1" si="188"/>
        <v>1.2084942801834323E-4</v>
      </c>
      <c r="AP943" s="19"/>
      <c r="AQ943" s="62">
        <f t="shared" ca="1" si="183"/>
        <v>1.0172401592365135</v>
      </c>
      <c r="AR943" s="62">
        <f t="shared" ca="1" si="184"/>
        <v>1.1097146278508283</v>
      </c>
      <c r="AS943" s="62">
        <f t="shared" ca="1" si="185"/>
        <v>0.73883096472560938</v>
      </c>
      <c r="AT943" s="49"/>
    </row>
    <row r="944" spans="1:46" x14ac:dyDescent="0.3">
      <c r="A944" s="5">
        <v>44831</v>
      </c>
      <c r="B944" s="6">
        <v>73.819999999999993</v>
      </c>
      <c r="C944" s="6">
        <v>85.519997000000004</v>
      </c>
      <c r="D944" s="6">
        <v>101.16999800000001</v>
      </c>
      <c r="F944" s="13">
        <v>941</v>
      </c>
      <c r="G944" s="5">
        <v>44831</v>
      </c>
      <c r="H944" s="15">
        <f t="shared" si="181"/>
        <v>3.1206050185575308E-3</v>
      </c>
      <c r="I944" s="15">
        <f t="shared" si="181"/>
        <v>1.8409748595277154E-2</v>
      </c>
      <c r="J944" s="15">
        <f t="shared" si="181"/>
        <v>3.2957861391301829E-2</v>
      </c>
      <c r="K944" s="22"/>
      <c r="L944" s="13">
        <v>941</v>
      </c>
      <c r="M944" s="5">
        <v>44831</v>
      </c>
      <c r="N944" s="26">
        <f t="shared" si="178"/>
        <v>1.3056243136606949</v>
      </c>
      <c r="O944" s="26">
        <f t="shared" si="179"/>
        <v>0.81107734614800175</v>
      </c>
      <c r="P944" s="26">
        <f t="shared" si="180"/>
        <v>1.3389359539157215</v>
      </c>
      <c r="Q944" s="22"/>
      <c r="AD944" s="59">
        <v>940</v>
      </c>
      <c r="AE944" s="61">
        <f t="shared" ca="1" si="182"/>
        <v>-0.52503308334535082</v>
      </c>
      <c r="AF944" s="61">
        <f t="shared" ca="1" si="182"/>
        <v>0.17137666292119724</v>
      </c>
      <c r="AG944" s="61">
        <f t="shared" ca="1" si="182"/>
        <v>-1.3940548772596708</v>
      </c>
      <c r="AH944" s="19"/>
      <c r="AI944" s="61">
        <f ca="1"/>
        <v>-1.1384966919577612E-2</v>
      </c>
      <c r="AJ944" s="61">
        <f ca="1"/>
        <v>-4.4929490750315951E-3</v>
      </c>
      <c r="AK944" s="61">
        <f ca="1"/>
        <v>-4.2266360472932925E-2</v>
      </c>
      <c r="AL944" s="19"/>
      <c r="AM944" s="61">
        <f t="shared" ca="1" si="186"/>
        <v>-1.1033750597067368E-2</v>
      </c>
      <c r="AN944" s="61">
        <f t="shared" ca="1" si="187"/>
        <v>-4.2438964781150645E-3</v>
      </c>
      <c r="AO944" s="61">
        <f t="shared" ca="1" si="188"/>
        <v>-4.1834691869678108E-2</v>
      </c>
      <c r="AP944" s="19"/>
      <c r="AQ944" s="62">
        <f t="shared" ca="1" si="183"/>
        <v>1.0060778791738285</v>
      </c>
      <c r="AR944" s="62">
        <f t="shared" ca="1" si="184"/>
        <v>1.1050150930729994</v>
      </c>
      <c r="AS944" s="62">
        <f t="shared" ca="1" si="185"/>
        <v>0.70855980604256541</v>
      </c>
      <c r="AT944" s="49"/>
    </row>
    <row r="945" spans="1:46" x14ac:dyDescent="0.3">
      <c r="A945" s="5">
        <v>44832</v>
      </c>
      <c r="B945" s="6">
        <v>76.559997999999993</v>
      </c>
      <c r="C945" s="6">
        <v>88.989998</v>
      </c>
      <c r="D945" s="6">
        <v>108.800003</v>
      </c>
      <c r="F945" s="13">
        <v>942</v>
      </c>
      <c r="G945" s="5">
        <v>44832</v>
      </c>
      <c r="H945" s="15">
        <f t="shared" si="181"/>
        <v>3.6445023419544038E-2</v>
      </c>
      <c r="I945" s="15">
        <f t="shared" si="181"/>
        <v>3.9773749757059648E-2</v>
      </c>
      <c r="J945" s="15">
        <f t="shared" si="181"/>
        <v>7.2709111546278613E-2</v>
      </c>
      <c r="K945" s="22"/>
      <c r="L945" s="13">
        <v>942</v>
      </c>
      <c r="M945" s="5">
        <v>44832</v>
      </c>
      <c r="N945" s="26">
        <f t="shared" si="178"/>
        <v>1.3540855437904926</v>
      </c>
      <c r="O945" s="26">
        <f t="shared" si="179"/>
        <v>0.8439870666922028</v>
      </c>
      <c r="P945" s="26">
        <f t="shared" si="180"/>
        <v>1.439915376916765</v>
      </c>
      <c r="Q945" s="22"/>
      <c r="AD945" s="59">
        <v>941</v>
      </c>
      <c r="AE945" s="61">
        <f t="shared" ca="1" si="182"/>
        <v>1.6284694377102291</v>
      </c>
      <c r="AF945" s="61">
        <f t="shared" ca="1" si="182"/>
        <v>0.45373849282010309</v>
      </c>
      <c r="AG945" s="61">
        <f t="shared" ca="1" si="182"/>
        <v>-1.0686550114658675</v>
      </c>
      <c r="AH945" s="19"/>
      <c r="AI945" s="61">
        <f ca="1"/>
        <v>3.5312195109196615E-2</v>
      </c>
      <c r="AJ945" s="61">
        <f ca="1"/>
        <v>3.5351821799346567E-2</v>
      </c>
      <c r="AK945" s="61">
        <f ca="1"/>
        <v>-1.2193275165549994E-4</v>
      </c>
      <c r="AL945" s="19"/>
      <c r="AM945" s="61">
        <f t="shared" ca="1" si="186"/>
        <v>3.5663411431706857E-2</v>
      </c>
      <c r="AN945" s="61">
        <f t="shared" ca="1" si="187"/>
        <v>3.5600874396263096E-2</v>
      </c>
      <c r="AO945" s="61">
        <f t="shared" ca="1" si="188"/>
        <v>3.097358515993183E-4</v>
      </c>
      <c r="AP945" s="19"/>
      <c r="AQ945" s="62">
        <f t="shared" ca="1" si="183"/>
        <v>1.0426055273030201</v>
      </c>
      <c r="AR945" s="62">
        <f t="shared" ca="1" si="184"/>
        <v>1.1450632414201516</v>
      </c>
      <c r="AS945" s="62">
        <f t="shared" ca="1" si="185"/>
        <v>0.70877930640931075</v>
      </c>
      <c r="AT945" s="49"/>
    </row>
    <row r="946" spans="1:46" x14ac:dyDescent="0.3">
      <c r="A946" s="5">
        <v>44833</v>
      </c>
      <c r="B946" s="6">
        <v>76</v>
      </c>
      <c r="C946" s="6">
        <v>87.269997000000004</v>
      </c>
      <c r="D946" s="6">
        <v>107.239998</v>
      </c>
      <c r="F946" s="13">
        <v>943</v>
      </c>
      <c r="G946" s="5">
        <v>44833</v>
      </c>
      <c r="H946" s="15">
        <f t="shared" si="181"/>
        <v>-7.3413807350652888E-3</v>
      </c>
      <c r="I946" s="15">
        <f t="shared" si="181"/>
        <v>-1.9517254595190176E-2</v>
      </c>
      <c r="J946" s="15">
        <f t="shared" si="181"/>
        <v>-1.4442067277370536E-2</v>
      </c>
      <c r="K946" s="22"/>
      <c r="L946" s="13">
        <v>943</v>
      </c>
      <c r="M946" s="5">
        <v>44833</v>
      </c>
      <c r="N946" s="26">
        <f t="shared" si="178"/>
        <v>1.3441810869440913</v>
      </c>
      <c r="O946" s="26">
        <f t="shared" si="179"/>
        <v>0.82767446267688805</v>
      </c>
      <c r="P946" s="26">
        <f t="shared" si="180"/>
        <v>1.4192694658356133</v>
      </c>
      <c r="Q946" s="22"/>
      <c r="AD946" s="59">
        <v>942</v>
      </c>
      <c r="AE946" s="61">
        <f t="shared" ca="1" si="182"/>
        <v>-0.32453417165842829</v>
      </c>
      <c r="AF946" s="61">
        <f t="shared" ca="1" si="182"/>
        <v>-1.5676893184438012</v>
      </c>
      <c r="AG946" s="61">
        <f t="shared" ca="1" si="182"/>
        <v>0.89807934626247354</v>
      </c>
      <c r="AH946" s="19"/>
      <c r="AI946" s="61">
        <f ca="1"/>
        <v>-7.0372914123078114E-3</v>
      </c>
      <c r="AJ946" s="61">
        <f ca="1"/>
        <v>-3.9155041156922976E-2</v>
      </c>
      <c r="AK946" s="61">
        <f ca="1"/>
        <v>7.1731925530838618E-3</v>
      </c>
      <c r="AL946" s="19"/>
      <c r="AM946" s="61">
        <f t="shared" ca="1" si="186"/>
        <v>-6.6860750897975675E-3</v>
      </c>
      <c r="AN946" s="61">
        <f t="shared" ca="1" si="187"/>
        <v>-3.8905988560006446E-2</v>
      </c>
      <c r="AO946" s="61">
        <f t="shared" ca="1" si="188"/>
        <v>7.6048611563386799E-3</v>
      </c>
      <c r="AP946" s="19"/>
      <c r="AQ946" s="62">
        <f t="shared" ca="1" si="183"/>
        <v>1.0356578407177366</v>
      </c>
      <c r="AR946" s="62">
        <f t="shared" ca="1" si="184"/>
        <v>1.1013689208646029</v>
      </c>
      <c r="AS946" s="62">
        <f t="shared" ca="1" si="185"/>
        <v>0.71419002242016749</v>
      </c>
      <c r="AT946" s="49"/>
    </row>
    <row r="947" spans="1:46" x14ac:dyDescent="0.3">
      <c r="A947" s="5">
        <v>44834</v>
      </c>
      <c r="B947" s="6">
        <v>76.5</v>
      </c>
      <c r="C947" s="6">
        <v>84.93</v>
      </c>
      <c r="D947" s="6">
        <v>106.849998</v>
      </c>
      <c r="F947" s="13">
        <v>944</v>
      </c>
      <c r="G947" s="5">
        <v>44834</v>
      </c>
      <c r="H947" s="15">
        <f t="shared" si="181"/>
        <v>6.5574005461590396E-3</v>
      </c>
      <c r="I947" s="15">
        <f t="shared" si="181"/>
        <v>-2.717933900722716E-2</v>
      </c>
      <c r="J947" s="15">
        <f t="shared" si="181"/>
        <v>-3.643331670673156E-3</v>
      </c>
      <c r="K947" s="22"/>
      <c r="L947" s="13">
        <v>944</v>
      </c>
      <c r="M947" s="5">
        <v>44834</v>
      </c>
      <c r="N947" s="26">
        <f t="shared" si="178"/>
        <v>1.3530243835687235</v>
      </c>
      <c r="O947" s="26">
        <f t="shared" si="179"/>
        <v>0.80548177531331988</v>
      </c>
      <c r="P947" s="26">
        <f t="shared" si="180"/>
        <v>1.4141080046084704</v>
      </c>
      <c r="Q947" s="22"/>
      <c r="AD947" s="59">
        <v>943</v>
      </c>
      <c r="AE947" s="61">
        <f t="shared" ca="1" si="182"/>
        <v>2.2184295620294399</v>
      </c>
      <c r="AF947" s="61">
        <f t="shared" ca="1" si="182"/>
        <v>-6.2314233902168052E-2</v>
      </c>
      <c r="AG947" s="61">
        <f t="shared" ca="1" si="182"/>
        <v>1.2519300753033313</v>
      </c>
      <c r="AH947" s="19"/>
      <c r="AI947" s="61">
        <f ca="1"/>
        <v>4.8105058477819963E-2</v>
      </c>
      <c r="AJ947" s="61">
        <f ca="1"/>
        <v>3.3369145866415491E-2</v>
      </c>
      <c r="AK947" s="61">
        <f ca="1"/>
        <v>6.4414054956193539E-2</v>
      </c>
      <c r="AL947" s="19"/>
      <c r="AM947" s="61">
        <f t="shared" ca="1" si="186"/>
        <v>4.8456274800330205E-2</v>
      </c>
      <c r="AN947" s="61">
        <f t="shared" ca="1" si="187"/>
        <v>3.361819846333202E-2</v>
      </c>
      <c r="AO947" s="61">
        <f t="shared" ca="1" si="188"/>
        <v>6.4845723559448357E-2</v>
      </c>
      <c r="AP947" s="19"/>
      <c r="AQ947" s="62">
        <f t="shared" ca="1" si="183"/>
        <v>1.0870777084617773</v>
      </c>
      <c r="AR947" s="62">
        <f t="shared" ca="1" si="184"/>
        <v>1.1390243675717033</v>
      </c>
      <c r="AS947" s="62">
        <f t="shared" ca="1" si="185"/>
        <v>0.76203675416366001</v>
      </c>
      <c r="AT947" s="49"/>
    </row>
    <row r="948" spans="1:46" x14ac:dyDescent="0.3">
      <c r="A948" s="5">
        <v>44837</v>
      </c>
      <c r="B948" s="6">
        <v>76.980002999999996</v>
      </c>
      <c r="C948" s="6">
        <v>86.860000999999997</v>
      </c>
      <c r="D948" s="6">
        <v>112.30999799999999</v>
      </c>
      <c r="F948" s="13">
        <v>945</v>
      </c>
      <c r="G948" s="5">
        <v>44837</v>
      </c>
      <c r="H948" s="15">
        <f t="shared" si="181"/>
        <v>6.2549459942705336E-3</v>
      </c>
      <c r="I948" s="15">
        <f t="shared" si="181"/>
        <v>2.2470250827536797E-2</v>
      </c>
      <c r="J948" s="15">
        <f t="shared" si="181"/>
        <v>4.983692411976344E-2</v>
      </c>
      <c r="K948" s="22"/>
      <c r="L948" s="13">
        <v>945</v>
      </c>
      <c r="M948" s="5">
        <v>44837</v>
      </c>
      <c r="N948" s="26">
        <f t="shared" si="178"/>
        <v>1.3615140013881499</v>
      </c>
      <c r="O948" s="26">
        <f t="shared" si="179"/>
        <v>0.82378603331210098</v>
      </c>
      <c r="P948" s="26">
        <f t="shared" si="180"/>
        <v>1.4863684617884718</v>
      </c>
      <c r="Q948" s="22"/>
      <c r="AD948" s="59">
        <v>944</v>
      </c>
      <c r="AE948" s="61">
        <f t="shared" ca="1" si="182"/>
        <v>0.55482550538966269</v>
      </c>
      <c r="AF948" s="61">
        <f t="shared" ca="1" si="182"/>
        <v>-0.96740424735654895</v>
      </c>
      <c r="AG948" s="61">
        <f t="shared" ca="1" si="182"/>
        <v>0.13897068311915192</v>
      </c>
      <c r="AH948" s="19"/>
      <c r="AI948" s="61">
        <f ca="1"/>
        <v>1.2030994284686488E-2</v>
      </c>
      <c r="AJ948" s="61">
        <f ca="1"/>
        <v>-1.2343199462850627E-2</v>
      </c>
      <c r="AK948" s="61">
        <f ca="1"/>
        <v>4.9453660964880299E-3</v>
      </c>
      <c r="AL948" s="19"/>
      <c r="AM948" s="61">
        <f t="shared" ca="1" si="186"/>
        <v>1.2382210607196732E-2</v>
      </c>
      <c r="AN948" s="61">
        <f t="shared" ca="1" si="187"/>
        <v>-1.2094146865934095E-2</v>
      </c>
      <c r="AO948" s="61">
        <f t="shared" ca="1" si="188"/>
        <v>5.377034699742848E-3</v>
      </c>
      <c r="AP948" s="19"/>
      <c r="AQ948" s="62">
        <f t="shared" ca="1" si="183"/>
        <v>1.1006218135279453</v>
      </c>
      <c r="AR948" s="62">
        <f t="shared" ca="1" si="184"/>
        <v>1.1253318064079205</v>
      </c>
      <c r="AS948" s="62">
        <f t="shared" ca="1" si="185"/>
        <v>0.76614528819931971</v>
      </c>
      <c r="AT948" s="49"/>
    </row>
    <row r="949" spans="1:46" x14ac:dyDescent="0.3">
      <c r="A949" s="5">
        <v>44838</v>
      </c>
      <c r="B949" s="6">
        <v>80</v>
      </c>
      <c r="C949" s="6">
        <v>91.75</v>
      </c>
      <c r="D949" s="6">
        <v>117.58000199999999</v>
      </c>
      <c r="F949" s="13">
        <v>946</v>
      </c>
      <c r="G949" s="5">
        <v>44838</v>
      </c>
      <c r="H949" s="15">
        <f t="shared" si="181"/>
        <v>3.8480947847120986E-2</v>
      </c>
      <c r="I949" s="15">
        <f t="shared" si="181"/>
        <v>5.4769848315224801E-2</v>
      </c>
      <c r="J949" s="15">
        <f t="shared" si="181"/>
        <v>4.5856082816712919E-2</v>
      </c>
      <c r="K949" s="22"/>
      <c r="L949" s="13">
        <v>946</v>
      </c>
      <c r="M949" s="5">
        <v>44838</v>
      </c>
      <c r="N949" s="26">
        <f t="shared" si="178"/>
        <v>1.4149274599411485</v>
      </c>
      <c r="O949" s="26">
        <f t="shared" si="179"/>
        <v>0.87016310944303654</v>
      </c>
      <c r="P949" s="26">
        <f t="shared" si="180"/>
        <v>1.5561144138728009</v>
      </c>
      <c r="Q949" s="22"/>
      <c r="AD949" s="59">
        <v>945</v>
      </c>
      <c r="AE949" s="61">
        <f t="shared" ca="1" si="182"/>
        <v>-1.1334314586799412</v>
      </c>
      <c r="AF949" s="61">
        <f t="shared" ca="1" si="182"/>
        <v>0.60321567476853433</v>
      </c>
      <c r="AG949" s="61">
        <f t="shared" ca="1" si="182"/>
        <v>-1.250466639653756</v>
      </c>
      <c r="AH949" s="19"/>
      <c r="AI949" s="61">
        <f ca="1"/>
        <v>-2.4577650574814956E-2</v>
      </c>
      <c r="AJ949" s="61">
        <f ca="1"/>
        <v>-4.629345667322305E-3</v>
      </c>
      <c r="AK949" s="61">
        <f ca="1"/>
        <v>-4.4535845224348253E-2</v>
      </c>
      <c r="AL949" s="19"/>
      <c r="AM949" s="61">
        <f t="shared" ca="1" si="186"/>
        <v>-2.422643425230471E-2</v>
      </c>
      <c r="AN949" s="61">
        <f t="shared" ca="1" si="187"/>
        <v>-4.3802930704057745E-3</v>
      </c>
      <c r="AO949" s="61">
        <f t="shared" ca="1" si="188"/>
        <v>-4.4104176621093436E-2</v>
      </c>
      <c r="AP949" s="19"/>
      <c r="AQ949" s="62">
        <f t="shared" ca="1" si="183"/>
        <v>1.0742780675016612</v>
      </c>
      <c r="AR949" s="62">
        <f t="shared" ca="1" si="184"/>
        <v>1.1204133034009842</v>
      </c>
      <c r="AS949" s="62">
        <f t="shared" ca="1" si="185"/>
        <v>0.73308939078781243</v>
      </c>
      <c r="AT949" s="49"/>
    </row>
    <row r="950" spans="1:46" x14ac:dyDescent="0.3">
      <c r="A950" s="5">
        <v>44839</v>
      </c>
      <c r="B950" s="6">
        <v>79.660004000000001</v>
      </c>
      <c r="C950" s="6">
        <v>94.019997000000004</v>
      </c>
      <c r="D950" s="6">
        <v>118.089996</v>
      </c>
      <c r="F950" s="13">
        <v>947</v>
      </c>
      <c r="G950" s="5">
        <v>44839</v>
      </c>
      <c r="H950" s="15">
        <f t="shared" si="181"/>
        <v>-4.2590067069776727E-3</v>
      </c>
      <c r="I950" s="15">
        <f t="shared" si="181"/>
        <v>2.4440006753199579E-2</v>
      </c>
      <c r="J950" s="15">
        <f t="shared" si="181"/>
        <v>4.3280417569153138E-3</v>
      </c>
      <c r="K950" s="22"/>
      <c r="L950" s="13">
        <v>947</v>
      </c>
      <c r="M950" s="5">
        <v>44839</v>
      </c>
      <c r="N950" s="26">
        <f t="shared" si="178"/>
        <v>1.4089140889827718</v>
      </c>
      <c r="O950" s="26">
        <f t="shared" si="179"/>
        <v>0.89169191214544929</v>
      </c>
      <c r="P950" s="26">
        <f t="shared" si="180"/>
        <v>1.562863937608892</v>
      </c>
      <c r="Q950" s="22"/>
      <c r="AD950" s="59">
        <v>946</v>
      </c>
      <c r="AE950" s="61">
        <f t="shared" ca="1" si="182"/>
        <v>0.61791007348554572</v>
      </c>
      <c r="AF950" s="61">
        <f t="shared" ca="1" si="182"/>
        <v>0.11500266387527902</v>
      </c>
      <c r="AG950" s="61">
        <f t="shared" ca="1" si="182"/>
        <v>-1.6854146128320386</v>
      </c>
      <c r="AH950" s="19"/>
      <c r="AI950" s="61">
        <f ca="1"/>
        <v>1.3398938027071669E-2</v>
      </c>
      <c r="AJ950" s="61">
        <f ca="1"/>
        <v>1.2171437200534801E-2</v>
      </c>
      <c r="AK950" s="61">
        <f ca="1"/>
        <v>-3.3240386238593995E-2</v>
      </c>
      <c r="AL950" s="19"/>
      <c r="AM950" s="61">
        <f t="shared" ca="1" si="186"/>
        <v>1.3750154349581913E-2</v>
      </c>
      <c r="AN950" s="61">
        <f t="shared" ca="1" si="187"/>
        <v>1.2420489797451332E-2</v>
      </c>
      <c r="AO950" s="61">
        <f t="shared" ca="1" si="188"/>
        <v>-3.2808717635339178E-2</v>
      </c>
      <c r="AP950" s="19"/>
      <c r="AQ950" s="62">
        <f t="shared" ca="1" si="183"/>
        <v>1.0891515789434076</v>
      </c>
      <c r="AR950" s="62">
        <f t="shared" ca="1" si="184"/>
        <v>1.1344161665982027</v>
      </c>
      <c r="AS950" s="62">
        <f t="shared" ca="1" si="185"/>
        <v>0.70942794128922559</v>
      </c>
      <c r="AT950" s="49"/>
    </row>
    <row r="951" spans="1:46" x14ac:dyDescent="0.3">
      <c r="A951" s="5">
        <v>44840</v>
      </c>
      <c r="B951" s="6">
        <v>79.580001999999993</v>
      </c>
      <c r="C951" s="6">
        <v>93.529999000000004</v>
      </c>
      <c r="D951" s="6">
        <v>119.220001</v>
      </c>
      <c r="F951" s="13">
        <v>948</v>
      </c>
      <c r="G951" s="5">
        <v>44840</v>
      </c>
      <c r="H951" s="15">
        <f t="shared" si="181"/>
        <v>-1.0047978361790682E-3</v>
      </c>
      <c r="I951" s="15">
        <f t="shared" si="181"/>
        <v>-5.2252639331764423E-3</v>
      </c>
      <c r="J951" s="15">
        <f t="shared" si="181"/>
        <v>9.5235224389152006E-3</v>
      </c>
      <c r="K951" s="22"/>
      <c r="L951" s="13">
        <v>948</v>
      </c>
      <c r="M951" s="5">
        <v>44840</v>
      </c>
      <c r="N951" s="26">
        <f t="shared" si="178"/>
        <v>1.4074991261496439</v>
      </c>
      <c r="O951" s="26">
        <f t="shared" si="179"/>
        <v>0.88704473848549437</v>
      </c>
      <c r="P951" s="26">
        <f t="shared" si="180"/>
        <v>1.5778190068242195</v>
      </c>
      <c r="Q951" s="22"/>
      <c r="AD951" s="59">
        <v>947</v>
      </c>
      <c r="AE951" s="61">
        <f t="shared" ca="1" si="182"/>
        <v>-0.8738865246090054</v>
      </c>
      <c r="AF951" s="61">
        <f t="shared" ca="1" si="182"/>
        <v>-1.5869707248899823</v>
      </c>
      <c r="AG951" s="61">
        <f t="shared" ca="1" si="182"/>
        <v>-0.98302546658057943</v>
      </c>
      <c r="AH951" s="19"/>
      <c r="AI951" s="61">
        <f ca="1"/>
        <v>-1.894960430063778E-2</v>
      </c>
      <c r="AJ951" s="61">
        <f ca="1"/>
        <v>-4.8172790811417218E-2</v>
      </c>
      <c r="AK951" s="61">
        <f ca="1"/>
        <v>-4.9273397852082124E-2</v>
      </c>
      <c r="AL951" s="19"/>
      <c r="AM951" s="61">
        <f t="shared" ca="1" si="186"/>
        <v>-1.8598387978127535E-2</v>
      </c>
      <c r="AN951" s="61">
        <f t="shared" ca="1" si="187"/>
        <v>-4.7923738214500688E-2</v>
      </c>
      <c r="AO951" s="61">
        <f t="shared" ca="1" si="188"/>
        <v>-4.8841729248827306E-2</v>
      </c>
      <c r="AP951" s="19"/>
      <c r="AQ951" s="62">
        <f t="shared" ca="1" si="183"/>
        <v>1.0690823217204246</v>
      </c>
      <c r="AR951" s="62">
        <f t="shared" ca="1" si="184"/>
        <v>1.0813328382202918</v>
      </c>
      <c r="AS951" s="62">
        <f t="shared" ca="1" si="185"/>
        <v>0.67561081954691515</v>
      </c>
      <c r="AT951" s="49"/>
    </row>
    <row r="952" spans="1:46" x14ac:dyDescent="0.3">
      <c r="A952" s="5">
        <v>44841</v>
      </c>
      <c r="B952" s="6">
        <v>77.5</v>
      </c>
      <c r="C952" s="6">
        <v>90.760002</v>
      </c>
      <c r="D952" s="6">
        <v>113.779999</v>
      </c>
      <c r="F952" s="13">
        <v>949</v>
      </c>
      <c r="G952" s="5">
        <v>44841</v>
      </c>
      <c r="H952" s="15">
        <f t="shared" si="181"/>
        <v>-2.6484893771423591E-2</v>
      </c>
      <c r="I952" s="15">
        <f t="shared" si="181"/>
        <v>-3.0063547806922983E-2</v>
      </c>
      <c r="J952" s="15">
        <f t="shared" si="181"/>
        <v>-4.6703783646024274E-2</v>
      </c>
      <c r="K952" s="22"/>
      <c r="L952" s="13">
        <v>949</v>
      </c>
      <c r="M952" s="5">
        <v>44841</v>
      </c>
      <c r="N952" s="26">
        <f t="shared" si="178"/>
        <v>1.3707109768179877</v>
      </c>
      <c r="O952" s="26">
        <f t="shared" si="179"/>
        <v>0.86077390248911412</v>
      </c>
      <c r="P952" s="26">
        <f t="shared" si="180"/>
        <v>1.5058232134945269</v>
      </c>
      <c r="Q952" s="22"/>
      <c r="AD952" s="59">
        <v>948</v>
      </c>
      <c r="AE952" s="61">
        <f t="shared" ca="1" si="182"/>
        <v>0.97707327121617893</v>
      </c>
      <c r="AF952" s="61">
        <f t="shared" ca="1" si="182"/>
        <v>0.39709570406149819</v>
      </c>
      <c r="AG952" s="61">
        <f t="shared" ca="1" si="182"/>
        <v>0.28005997361060103</v>
      </c>
      <c r="AH952" s="19"/>
      <c r="AI952" s="61">
        <f ca="1"/>
        <v>2.1187135103794379E-2</v>
      </c>
      <c r="AJ952" s="61">
        <f ca="1"/>
        <v>2.3924760228875463E-2</v>
      </c>
      <c r="AK952" s="61">
        <f ca="1"/>
        <v>2.4408445953914649E-2</v>
      </c>
      <c r="AL952" s="19"/>
      <c r="AM952" s="61">
        <f t="shared" ca="1" si="186"/>
        <v>2.1538351426304624E-2</v>
      </c>
      <c r="AN952" s="61">
        <f t="shared" ca="1" si="187"/>
        <v>2.4173812825791993E-2</v>
      </c>
      <c r="AO952" s="61">
        <f t="shared" ca="1" si="188"/>
        <v>2.4840114557169467E-2</v>
      </c>
      <c r="AP952" s="19"/>
      <c r="AQ952" s="62">
        <f t="shared" ca="1" si="183"/>
        <v>1.0923583563694512</v>
      </c>
      <c r="AR952" s="62">
        <f t="shared" ca="1" si="184"/>
        <v>1.1077912882077063</v>
      </c>
      <c r="AS952" s="62">
        <f t="shared" ca="1" si="185"/>
        <v>0.69260324284206276</v>
      </c>
      <c r="AT952" s="49"/>
    </row>
    <row r="953" spans="1:46" x14ac:dyDescent="0.3">
      <c r="A953" s="5">
        <v>44844</v>
      </c>
      <c r="B953" s="6">
        <v>78.459998999999996</v>
      </c>
      <c r="C953" s="6">
        <v>88.639999000000003</v>
      </c>
      <c r="D953" s="6">
        <v>110.860001</v>
      </c>
      <c r="F953" s="13">
        <v>950</v>
      </c>
      <c r="G953" s="5">
        <v>44844</v>
      </c>
      <c r="H953" s="15">
        <f t="shared" si="181"/>
        <v>1.2310991676757076E-2</v>
      </c>
      <c r="I953" s="15">
        <f t="shared" si="181"/>
        <v>-2.3635470230394796E-2</v>
      </c>
      <c r="J953" s="15">
        <f t="shared" si="181"/>
        <v>-2.5998597521565844E-2</v>
      </c>
      <c r="K953" s="22"/>
      <c r="L953" s="13">
        <v>950</v>
      </c>
      <c r="M953" s="5">
        <v>44844</v>
      </c>
      <c r="N953" s="26">
        <f t="shared" si="178"/>
        <v>1.3876900886506882</v>
      </c>
      <c r="O953" s="26">
        <f t="shared" si="179"/>
        <v>0.84066765287049217</v>
      </c>
      <c r="P953" s="26">
        <f t="shared" si="180"/>
        <v>1.4671784533398216</v>
      </c>
      <c r="Q953" s="22"/>
      <c r="AD953" s="59">
        <v>949</v>
      </c>
      <c r="AE953" s="61">
        <f t="shared" ca="1" si="182"/>
        <v>0.7560469949314812</v>
      </c>
      <c r="AF953" s="61">
        <f t="shared" ca="1" si="182"/>
        <v>1.1750453720831415</v>
      </c>
      <c r="AG953" s="61">
        <f t="shared" ca="1" si="182"/>
        <v>-0.48082577555218398</v>
      </c>
      <c r="AH953" s="19"/>
      <c r="AI953" s="61">
        <f ca="1"/>
        <v>1.6394338375967023E-2</v>
      </c>
      <c r="AJ953" s="61">
        <f ca="1"/>
        <v>3.737470994927844E-2</v>
      </c>
      <c r="AK953" s="61">
        <f ca="1"/>
        <v>7.1274832389611898E-3</v>
      </c>
      <c r="AL953" s="19"/>
      <c r="AM953" s="61">
        <f t="shared" ca="1" si="186"/>
        <v>1.6745554698477268E-2</v>
      </c>
      <c r="AN953" s="61">
        <f t="shared" ca="1" si="187"/>
        <v>3.7623762546194969E-2</v>
      </c>
      <c r="AO953" s="61">
        <f t="shared" ca="1" si="188"/>
        <v>7.5591518422160079E-3</v>
      </c>
      <c r="AP953" s="19"/>
      <c r="AQ953" s="62">
        <f t="shared" ca="1" si="183"/>
        <v>1.1108045175325478</v>
      </c>
      <c r="AR953" s="62">
        <f t="shared" ca="1" si="184"/>
        <v>1.1502645565412517</v>
      </c>
      <c r="AS953" s="62">
        <f t="shared" ca="1" si="185"/>
        <v>0.69785857381908467</v>
      </c>
      <c r="AT953" s="49"/>
    </row>
    <row r="954" spans="1:46" x14ac:dyDescent="0.3">
      <c r="A954" s="5">
        <v>44845</v>
      </c>
      <c r="B954" s="6">
        <v>79.489998</v>
      </c>
      <c r="C954" s="6">
        <v>90.559997999999993</v>
      </c>
      <c r="D954" s="6">
        <v>109.69000200000001</v>
      </c>
      <c r="F954" s="13">
        <v>951</v>
      </c>
      <c r="G954" s="5">
        <v>44845</v>
      </c>
      <c r="H954" s="15">
        <f t="shared" si="181"/>
        <v>1.3042274388565004E-2</v>
      </c>
      <c r="I954" s="15">
        <f t="shared" si="181"/>
        <v>2.1429380652681615E-2</v>
      </c>
      <c r="J954" s="15">
        <f t="shared" si="181"/>
        <v>-1.0609929355599297E-2</v>
      </c>
      <c r="K954" s="22"/>
      <c r="L954" s="13">
        <v>951</v>
      </c>
      <c r="M954" s="5">
        <v>44845</v>
      </c>
      <c r="N954" s="26">
        <f t="shared" si="178"/>
        <v>1.4059072620108373</v>
      </c>
      <c r="O954" s="26">
        <f t="shared" si="179"/>
        <v>0.8588770512352607</v>
      </c>
      <c r="P954" s="26">
        <f t="shared" si="180"/>
        <v>1.4516940828929088</v>
      </c>
      <c r="Q954" s="22"/>
      <c r="AD954" s="59">
        <v>950</v>
      </c>
      <c r="AE954" s="61">
        <f t="shared" ca="1" si="182"/>
        <v>-0.76546580859127178</v>
      </c>
      <c r="AF954" s="61">
        <f t="shared" ca="1" si="182"/>
        <v>0.76859278348903426</v>
      </c>
      <c r="AG954" s="61">
        <f t="shared" ca="1" si="182"/>
        <v>0.49402984207084233</v>
      </c>
      <c r="AH954" s="19"/>
      <c r="AI954" s="61">
        <f ca="1"/>
        <v>-1.6598578614039499E-2</v>
      </c>
      <c r="AJ954" s="61">
        <f ca="1"/>
        <v>4.7248167778652754E-3</v>
      </c>
      <c r="AK954" s="61">
        <f ca="1"/>
        <v>6.7596315265023837E-3</v>
      </c>
      <c r="AL954" s="19"/>
      <c r="AM954" s="61">
        <f t="shared" ca="1" si="186"/>
        <v>-1.6247362291529253E-2</v>
      </c>
      <c r="AN954" s="61">
        <f t="shared" ca="1" si="187"/>
        <v>4.973869374781806E-3</v>
      </c>
      <c r="AO954" s="61">
        <f t="shared" ca="1" si="188"/>
        <v>7.1913001297572018E-3</v>
      </c>
      <c r="AP954" s="19"/>
      <c r="AQ954" s="62">
        <f t="shared" ca="1" si="183"/>
        <v>1.0929026965900845</v>
      </c>
      <c r="AR954" s="62">
        <f t="shared" ca="1" si="184"/>
        <v>1.1560000742253853</v>
      </c>
      <c r="AS954" s="62">
        <f t="shared" ca="1" si="185"/>
        <v>0.7028951724120619</v>
      </c>
      <c r="AT954" s="49"/>
    </row>
    <row r="955" spans="1:46" x14ac:dyDescent="0.3">
      <c r="A955" s="5">
        <v>44846</v>
      </c>
      <c r="B955" s="6">
        <v>80.300003000000004</v>
      </c>
      <c r="C955" s="6">
        <v>92.519997000000004</v>
      </c>
      <c r="D955" s="6">
        <v>115.199997</v>
      </c>
      <c r="F955" s="13">
        <v>952</v>
      </c>
      <c r="G955" s="5">
        <v>44846</v>
      </c>
      <c r="H955" s="15">
        <f t="shared" si="181"/>
        <v>1.0138455887992217E-2</v>
      </c>
      <c r="I955" s="15">
        <f t="shared" si="181"/>
        <v>2.1412212567749476E-2</v>
      </c>
      <c r="J955" s="15">
        <f t="shared" si="181"/>
        <v>4.9011498563678431E-2</v>
      </c>
      <c r="K955" s="22"/>
      <c r="L955" s="13">
        <v>952</v>
      </c>
      <c r="M955" s="5">
        <v>44846</v>
      </c>
      <c r="N955" s="26">
        <f t="shared" si="178"/>
        <v>1.4202334909757077</v>
      </c>
      <c r="O955" s="26">
        <f t="shared" si="179"/>
        <v>0.87746581226354681</v>
      </c>
      <c r="P955" s="26">
        <f t="shared" si="180"/>
        <v>1.524616199698682</v>
      </c>
      <c r="Q955" s="22"/>
      <c r="AD955" s="59">
        <v>951</v>
      </c>
      <c r="AE955" s="61">
        <f t="shared" ca="1" si="182"/>
        <v>-1.2195953734969176</v>
      </c>
      <c r="AF955" s="61">
        <f t="shared" ca="1" si="182"/>
        <v>-0.53265534879204413</v>
      </c>
      <c r="AG955" s="61">
        <f t="shared" ca="1" si="182"/>
        <v>1.2550591129344426</v>
      </c>
      <c r="AH955" s="19"/>
      <c r="AI955" s="61">
        <f ca="1"/>
        <v>-2.6446053444977188E-2</v>
      </c>
      <c r="AJ955" s="61">
        <f ca="1"/>
        <v>-3.0667324951711653E-2</v>
      </c>
      <c r="AK955" s="61">
        <f ca="1"/>
        <v>1.038316617557538E-2</v>
      </c>
      <c r="AL955" s="19"/>
      <c r="AM955" s="61">
        <f t="shared" ca="1" si="186"/>
        <v>-2.6094837122466942E-2</v>
      </c>
      <c r="AN955" s="61">
        <f t="shared" ca="1" si="187"/>
        <v>-3.0418272354795124E-2</v>
      </c>
      <c r="AO955" s="61">
        <f t="shared" ca="1" si="188"/>
        <v>1.0814834778830199E-2</v>
      </c>
      <c r="AP955" s="19"/>
      <c r="AQ955" s="62">
        <f t="shared" ca="1" si="183"/>
        <v>1.0647524639675359</v>
      </c>
      <c r="AR955" s="62">
        <f t="shared" ca="1" si="184"/>
        <v>1.1213659743209479</v>
      </c>
      <c r="AS955" s="62">
        <f t="shared" ca="1" si="185"/>
        <v>0.71053812169182906</v>
      </c>
      <c r="AT955" s="49"/>
    </row>
    <row r="956" spans="1:46" x14ac:dyDescent="0.3">
      <c r="A956" s="5">
        <v>44847</v>
      </c>
      <c r="B956" s="6">
        <v>82.07</v>
      </c>
      <c r="C956" s="6">
        <v>94.120002999999997</v>
      </c>
      <c r="D956" s="6">
        <v>120.860001</v>
      </c>
      <c r="F956" s="13">
        <v>953</v>
      </c>
      <c r="G956" s="5">
        <v>44847</v>
      </c>
      <c r="H956" s="15">
        <f t="shared" si="181"/>
        <v>2.1802883329004531E-2</v>
      </c>
      <c r="I956" s="15">
        <f t="shared" si="181"/>
        <v>1.7145790795547979E-2</v>
      </c>
      <c r="J956" s="15">
        <f t="shared" si="181"/>
        <v>4.7963136987324732E-2</v>
      </c>
      <c r="K956" s="22"/>
      <c r="L956" s="13">
        <v>953</v>
      </c>
      <c r="M956" s="5">
        <v>44847</v>
      </c>
      <c r="N956" s="26">
        <f t="shared" si="178"/>
        <v>1.4515387079671258</v>
      </c>
      <c r="O956" s="26">
        <f t="shared" si="179"/>
        <v>0.8926403757086423</v>
      </c>
      <c r="P956" s="26">
        <f t="shared" si="180"/>
        <v>1.599523613010154</v>
      </c>
      <c r="Q956" s="22"/>
      <c r="AD956" s="59">
        <v>952</v>
      </c>
      <c r="AE956" s="61">
        <f t="shared" ca="1" si="182"/>
        <v>0.47987511396271781</v>
      </c>
      <c r="AF956" s="61">
        <f t="shared" ca="1" si="182"/>
        <v>0.8074827801825013</v>
      </c>
      <c r="AG956" s="61">
        <f t="shared" ca="1" si="182"/>
        <v>0.49417109055279912</v>
      </c>
      <c r="AH956" s="19"/>
      <c r="AI956" s="61">
        <f ca="1"/>
        <v>1.0405748649557851E-2</v>
      </c>
      <c r="AJ956" s="61">
        <f ca="1"/>
        <v>2.5062627373773714E-2</v>
      </c>
      <c r="AK956" s="61">
        <f ca="1"/>
        <v>2.54377237352705E-2</v>
      </c>
      <c r="AL956" s="19"/>
      <c r="AM956" s="61">
        <f t="shared" ca="1" si="186"/>
        <v>1.0756964972068095E-2</v>
      </c>
      <c r="AN956" s="61">
        <f t="shared" ca="1" si="187"/>
        <v>2.5311679970690244E-2</v>
      </c>
      <c r="AO956" s="61">
        <f t="shared" ca="1" si="188"/>
        <v>2.5869392338525317E-2</v>
      </c>
      <c r="AP956" s="19"/>
      <c r="AQ956" s="62">
        <f t="shared" ca="1" si="183"/>
        <v>1.0762677928827014</v>
      </c>
      <c r="AR956" s="62">
        <f t="shared" ca="1" si="184"/>
        <v>1.1501119000985252</v>
      </c>
      <c r="AS956" s="62">
        <f t="shared" ca="1" si="185"/>
        <v>0.72915912975554886</v>
      </c>
      <c r="AT956" s="49"/>
    </row>
    <row r="957" spans="1:46" x14ac:dyDescent="0.3">
      <c r="A957" s="5">
        <v>44848</v>
      </c>
      <c r="B957" s="6">
        <v>81</v>
      </c>
      <c r="C957" s="6">
        <v>92.540001000000004</v>
      </c>
      <c r="D957" s="6">
        <v>114.120003</v>
      </c>
      <c r="F957" s="13">
        <v>954</v>
      </c>
      <c r="G957" s="5">
        <v>44848</v>
      </c>
      <c r="H957" s="15">
        <f t="shared" si="181"/>
        <v>-1.3123386969181399E-2</v>
      </c>
      <c r="I957" s="15">
        <f t="shared" si="181"/>
        <v>-1.6929601448372911E-2</v>
      </c>
      <c r="J957" s="15">
        <f t="shared" si="181"/>
        <v>-5.7382306574031809E-2</v>
      </c>
      <c r="K957" s="22"/>
      <c r="L957" s="13">
        <v>954</v>
      </c>
      <c r="M957" s="5">
        <v>44848</v>
      </c>
      <c r="N957" s="26">
        <f t="shared" si="178"/>
        <v>1.432614053190413</v>
      </c>
      <c r="O957" s="26">
        <f t="shared" si="179"/>
        <v>0.87765553153157183</v>
      </c>
      <c r="P957" s="26">
        <f t="shared" si="180"/>
        <v>1.5103230018613818</v>
      </c>
      <c r="Q957" s="22"/>
      <c r="AD957" s="59">
        <v>953</v>
      </c>
      <c r="AE957" s="61">
        <f t="shared" ca="1" si="182"/>
        <v>0.55899548733820126</v>
      </c>
      <c r="AF957" s="61">
        <f t="shared" ca="1" si="182"/>
        <v>-0.28783870177599091</v>
      </c>
      <c r="AG957" s="61">
        <f t="shared" ca="1" si="182"/>
        <v>2.5739657939614999</v>
      </c>
      <c r="AH957" s="19"/>
      <c r="AI957" s="61">
        <f ca="1"/>
        <v>1.2121417360955988E-2</v>
      </c>
      <c r="AJ957" s="61">
        <f ca="1"/>
        <v>2.4931191711280486E-3</v>
      </c>
      <c r="AK957" s="61">
        <f ca="1"/>
        <v>7.2177258930182384E-2</v>
      </c>
      <c r="AL957" s="19"/>
      <c r="AM957" s="61">
        <f t="shared" ca="1" si="186"/>
        <v>1.2472633683466232E-2</v>
      </c>
      <c r="AN957" s="61">
        <f t="shared" ca="1" si="187"/>
        <v>2.7421717680445792E-3</v>
      </c>
      <c r="AO957" s="61">
        <f t="shared" ca="1" si="188"/>
        <v>7.2608927533437201E-2</v>
      </c>
      <c r="AP957" s="19"/>
      <c r="AQ957" s="62">
        <f t="shared" ca="1" si="183"/>
        <v>1.0897757516039741</v>
      </c>
      <c r="AR957" s="62">
        <f t="shared" ca="1" si="184"/>
        <v>1.1532700325729568</v>
      </c>
      <c r="AS957" s="62">
        <f t="shared" ca="1" si="185"/>
        <v>0.7840720531914952</v>
      </c>
      <c r="AT957" s="49"/>
    </row>
    <row r="958" spans="1:46" x14ac:dyDescent="0.3">
      <c r="A958" s="5">
        <v>44851</v>
      </c>
      <c r="B958" s="6">
        <v>82</v>
      </c>
      <c r="C958" s="6">
        <v>94.940002000000007</v>
      </c>
      <c r="D958" s="6">
        <v>115.5</v>
      </c>
      <c r="F958" s="13">
        <v>955</v>
      </c>
      <c r="G958" s="5">
        <v>44851</v>
      </c>
      <c r="H958" s="15">
        <f t="shared" si="181"/>
        <v>1.2270092591814401E-2</v>
      </c>
      <c r="I958" s="15">
        <f t="shared" si="181"/>
        <v>2.5604139904116842E-2</v>
      </c>
      <c r="J958" s="15">
        <f t="shared" si="181"/>
        <v>1.2019977328431564E-2</v>
      </c>
      <c r="K958" s="22"/>
      <c r="L958" s="13">
        <v>955</v>
      </c>
      <c r="M958" s="5">
        <v>44851</v>
      </c>
      <c r="N958" s="26">
        <f t="shared" si="178"/>
        <v>1.4503006464396773</v>
      </c>
      <c r="O958" s="26">
        <f t="shared" si="179"/>
        <v>0.90041730082668248</v>
      </c>
      <c r="P958" s="26">
        <f t="shared" si="180"/>
        <v>1.5285865941923398</v>
      </c>
      <c r="Q958" s="22"/>
      <c r="AD958" s="59">
        <v>954</v>
      </c>
      <c r="AE958" s="61">
        <f t="shared" ca="1" si="182"/>
        <v>1.0364788222352508</v>
      </c>
      <c r="AF958" s="61">
        <f t="shared" ca="1" si="182"/>
        <v>-0.28309143239428441</v>
      </c>
      <c r="AG958" s="61">
        <f t="shared" ca="1" si="182"/>
        <v>-0.77114152929679669</v>
      </c>
      <c r="AH958" s="19"/>
      <c r="AI958" s="61">
        <f ca="1"/>
        <v>2.2475301992025579E-2</v>
      </c>
      <c r="AJ958" s="61">
        <f ca="1"/>
        <v>1.0070036410006714E-2</v>
      </c>
      <c r="AK958" s="61">
        <f ca="1"/>
        <v>-6.4357310737656777E-3</v>
      </c>
      <c r="AL958" s="19"/>
      <c r="AM958" s="61">
        <f t="shared" ca="1" si="186"/>
        <v>2.2826518314535825E-2</v>
      </c>
      <c r="AN958" s="61">
        <f t="shared" ca="1" si="187"/>
        <v>1.0319089006923245E-2</v>
      </c>
      <c r="AO958" s="61">
        <f t="shared" ca="1" si="188"/>
        <v>-6.0040624705108596E-3</v>
      </c>
      <c r="AP958" s="19"/>
      <c r="AQ958" s="62">
        <f t="shared" ca="1" si="183"/>
        <v>1.1149376241895417</v>
      </c>
      <c r="AR958" s="62">
        <f t="shared" ca="1" si="184"/>
        <v>1.1652323426101328</v>
      </c>
      <c r="AS958" s="62">
        <f t="shared" ca="1" si="185"/>
        <v>0.77937853977623295</v>
      </c>
      <c r="AT958" s="49"/>
    </row>
    <row r="959" spans="1:46" x14ac:dyDescent="0.3">
      <c r="A959" s="5">
        <v>44852</v>
      </c>
      <c r="B959" s="6">
        <v>82.629997000000003</v>
      </c>
      <c r="C959" s="6">
        <v>94.440002000000007</v>
      </c>
      <c r="D959" s="6">
        <v>117.699997</v>
      </c>
      <c r="F959" s="13">
        <v>956</v>
      </c>
      <c r="G959" s="5">
        <v>44852</v>
      </c>
      <c r="H959" s="15">
        <f t="shared" si="181"/>
        <v>7.6535271424131041E-3</v>
      </c>
      <c r="I959" s="15">
        <f t="shared" si="181"/>
        <v>-5.2804007943290524E-3</v>
      </c>
      <c r="J959" s="15">
        <f t="shared" si="181"/>
        <v>1.8868458815852182E-2</v>
      </c>
      <c r="K959" s="22"/>
      <c r="L959" s="13">
        <v>956</v>
      </c>
      <c r="M959" s="5">
        <v>44852</v>
      </c>
      <c r="N959" s="26">
        <f t="shared" si="178"/>
        <v>1.4614431471269342</v>
      </c>
      <c r="O959" s="26">
        <f t="shared" si="179"/>
        <v>0.89567526753271498</v>
      </c>
      <c r="P959" s="26">
        <f t="shared" si="180"/>
        <v>1.557702489616265</v>
      </c>
      <c r="Q959" s="22"/>
      <c r="AD959" s="59">
        <v>955</v>
      </c>
      <c r="AE959" s="61">
        <f t="shared" ca="1" si="182"/>
        <v>0.12990922824799858</v>
      </c>
      <c r="AF959" s="61">
        <f t="shared" ca="1" si="182"/>
        <v>0.26746464990190733</v>
      </c>
      <c r="AG959" s="61">
        <f t="shared" ca="1" si="182"/>
        <v>3.6137812787918965E-2</v>
      </c>
      <c r="AH959" s="19"/>
      <c r="AI959" s="61">
        <f ca="1"/>
        <v>2.8169887061735344E-3</v>
      </c>
      <c r="AJ959" s="61">
        <f ca="1"/>
        <v>7.846999480113602E-3</v>
      </c>
      <c r="AK959" s="61">
        <f ca="1"/>
        <v>4.7289382070651222E-3</v>
      </c>
      <c r="AL959" s="19"/>
      <c r="AM959" s="61">
        <f t="shared" ca="1" si="186"/>
        <v>3.1682050286837788E-3</v>
      </c>
      <c r="AN959" s="61">
        <f t="shared" ca="1" si="187"/>
        <v>8.0960520770301334E-3</v>
      </c>
      <c r="AO959" s="61">
        <f t="shared" ca="1" si="188"/>
        <v>5.1606068103199404E-3</v>
      </c>
      <c r="AP959" s="19"/>
      <c r="AQ959" s="62">
        <f t="shared" ca="1" si="183"/>
        <v>1.1184755766972747</v>
      </c>
      <c r="AR959" s="62">
        <f t="shared" ca="1" si="184"/>
        <v>1.1747044157986171</v>
      </c>
      <c r="AS959" s="62">
        <f t="shared" ca="1" si="185"/>
        <v>0.78341100200310687</v>
      </c>
      <c r="AT959" s="49"/>
    </row>
    <row r="960" spans="1:46" x14ac:dyDescent="0.3">
      <c r="A960" s="5">
        <v>44853</v>
      </c>
      <c r="B960" s="6">
        <v>80.830001999999993</v>
      </c>
      <c r="C960" s="6">
        <v>91.779999000000004</v>
      </c>
      <c r="D960" s="6">
        <v>123.959999</v>
      </c>
      <c r="F960" s="13">
        <v>957</v>
      </c>
      <c r="G960" s="5">
        <v>44853</v>
      </c>
      <c r="H960" s="15">
        <f t="shared" si="181"/>
        <v>-2.2024565917625125E-2</v>
      </c>
      <c r="I960" s="15">
        <f t="shared" si="181"/>
        <v>-2.8570335323711685E-2</v>
      </c>
      <c r="J960" s="15">
        <f t="shared" si="181"/>
        <v>5.1819936074728588E-2</v>
      </c>
      <c r="K960" s="22"/>
      <c r="L960" s="13">
        <v>957</v>
      </c>
      <c r="M960" s="5">
        <v>44853</v>
      </c>
      <c r="N960" s="26">
        <f t="shared" si="178"/>
        <v>1.4296073677112244</v>
      </c>
      <c r="O960" s="26">
        <f t="shared" si="179"/>
        <v>0.87044762195660808</v>
      </c>
      <c r="P960" s="26">
        <f t="shared" si="180"/>
        <v>1.6405505860389251</v>
      </c>
      <c r="Q960" s="22"/>
      <c r="AD960" s="59">
        <v>956</v>
      </c>
      <c r="AE960" s="61">
        <f t="shared" ca="1" si="182"/>
        <v>-1.237053587931614</v>
      </c>
      <c r="AF960" s="61">
        <f t="shared" ca="1" si="182"/>
        <v>-0.22591623639775787</v>
      </c>
      <c r="AG960" s="61">
        <f t="shared" ca="1" si="182"/>
        <v>1.1430823585356638</v>
      </c>
      <c r="AH960" s="19"/>
      <c r="AI960" s="61">
        <f ca="1"/>
        <v>-2.6824622339240888E-2</v>
      </c>
      <c r="AJ960" s="61">
        <f ca="1"/>
        <v>-2.4273300074123007E-2</v>
      </c>
      <c r="AK960" s="61">
        <f ca="1"/>
        <v>9.4165702412338827E-3</v>
      </c>
      <c r="AL960" s="19"/>
      <c r="AM960" s="61">
        <f t="shared" ca="1" si="186"/>
        <v>-2.6473406016730643E-2</v>
      </c>
      <c r="AN960" s="61">
        <f t="shared" ca="1" si="187"/>
        <v>-2.4024247477206478E-2</v>
      </c>
      <c r="AO960" s="61">
        <f t="shared" ca="1" si="188"/>
        <v>9.8482388444887017E-3</v>
      </c>
      <c r="AP960" s="19"/>
      <c r="AQ960" s="62">
        <f t="shared" ca="1" si="183"/>
        <v>1.0892542196677784</v>
      </c>
      <c r="AR960" s="62">
        <f t="shared" ca="1" si="184"/>
        <v>1.14681932652109</v>
      </c>
      <c r="AS960" s="62">
        <f t="shared" ca="1" si="185"/>
        <v>0.79116433634363958</v>
      </c>
      <c r="AT960" s="49"/>
    </row>
    <row r="961" spans="1:46" x14ac:dyDescent="0.3">
      <c r="A961" s="5">
        <v>44854</v>
      </c>
      <c r="B961" s="6">
        <v>79.839995999999999</v>
      </c>
      <c r="C961" s="6">
        <v>89.699996999999996</v>
      </c>
      <c r="D961" s="6">
        <v>124.44000200000001</v>
      </c>
      <c r="F961" s="13">
        <v>958</v>
      </c>
      <c r="G961" s="5">
        <v>44854</v>
      </c>
      <c r="H961" s="15">
        <f t="shared" si="181"/>
        <v>-1.2323626586034123E-2</v>
      </c>
      <c r="I961" s="15">
        <f t="shared" si="181"/>
        <v>-2.2923662451133683E-2</v>
      </c>
      <c r="J961" s="15">
        <f t="shared" si="181"/>
        <v>3.8647632490097562E-3</v>
      </c>
      <c r="K961" s="22"/>
      <c r="L961" s="13">
        <v>958</v>
      </c>
      <c r="M961" s="5">
        <v>44854</v>
      </c>
      <c r="N961" s="26">
        <f t="shared" si="178"/>
        <v>1.4120975342748934</v>
      </c>
      <c r="O961" s="26">
        <f t="shared" si="179"/>
        <v>0.85072074448557</v>
      </c>
      <c r="P961" s="26">
        <f t="shared" si="180"/>
        <v>1.6469031934066491</v>
      </c>
      <c r="Q961" s="22"/>
      <c r="AD961" s="59">
        <v>957</v>
      </c>
      <c r="AE961" s="61">
        <f t="shared" ca="1" si="182"/>
        <v>1.9435539912718782</v>
      </c>
      <c r="AF961" s="61">
        <f t="shared" ca="1" si="182"/>
        <v>0.13201105058016838</v>
      </c>
      <c r="AG961" s="61">
        <f t="shared" ca="1" si="182"/>
        <v>-1.0476924473107254</v>
      </c>
      <c r="AH961" s="19"/>
      <c r="AI961" s="61">
        <f ca="1"/>
        <v>4.2144578311246537E-2</v>
      </c>
      <c r="AJ961" s="61">
        <f ca="1"/>
        <v>3.3290558353545815E-2</v>
      </c>
      <c r="AK961" s="61">
        <f ca="1"/>
        <v>2.8049206716476219E-3</v>
      </c>
      <c r="AL961" s="19"/>
      <c r="AM961" s="61">
        <f t="shared" ca="1" si="186"/>
        <v>4.249579463375678E-2</v>
      </c>
      <c r="AN961" s="61">
        <f t="shared" ca="1" si="187"/>
        <v>3.3539610950462345E-2</v>
      </c>
      <c r="AO961" s="61">
        <f t="shared" ca="1" si="188"/>
        <v>3.23658927490244E-3</v>
      </c>
      <c r="AP961" s="19"/>
      <c r="AQ961" s="62">
        <f t="shared" ca="1" si="183"/>
        <v>1.1365405626947751</v>
      </c>
      <c r="AR961" s="62">
        <f t="shared" ca="1" si="184"/>
        <v>1.1859355044937054</v>
      </c>
      <c r="AS961" s="62">
        <f t="shared" ca="1" si="185"/>
        <v>0.79372915874869399</v>
      </c>
      <c r="AT961" s="49"/>
    </row>
    <row r="962" spans="1:46" x14ac:dyDescent="0.3">
      <c r="A962" s="5">
        <v>44855</v>
      </c>
      <c r="B962" s="6">
        <v>73.010002</v>
      </c>
      <c r="C962" s="6">
        <v>90.709998999999996</v>
      </c>
      <c r="D962" s="6">
        <v>127.739998</v>
      </c>
      <c r="F962" s="13">
        <v>959</v>
      </c>
      <c r="G962" s="5">
        <v>44855</v>
      </c>
      <c r="H962" s="15">
        <f t="shared" si="181"/>
        <v>-8.9428136441505116E-2</v>
      </c>
      <c r="I962" s="15">
        <f t="shared" si="181"/>
        <v>1.1196857982776112E-2</v>
      </c>
      <c r="J962" s="15">
        <f t="shared" si="181"/>
        <v>2.6173244375201327E-2</v>
      </c>
      <c r="K962" s="22"/>
      <c r="L962" s="13">
        <v>959</v>
      </c>
      <c r="M962" s="5">
        <v>44855</v>
      </c>
      <c r="N962" s="26">
        <f t="shared" si="178"/>
        <v>1.2912982085019773</v>
      </c>
      <c r="O962" s="26">
        <f t="shared" si="179"/>
        <v>0.86029967070751756</v>
      </c>
      <c r="P962" s="26">
        <f t="shared" si="180"/>
        <v>1.6905770431597948</v>
      </c>
      <c r="Q962" s="22"/>
      <c r="AD962" s="59">
        <v>958</v>
      </c>
      <c r="AE962" s="61">
        <f t="shared" ca="1" si="182"/>
        <v>0.13011456083942513</v>
      </c>
      <c r="AF962" s="61">
        <f t="shared" ca="1" si="182"/>
        <v>-0.50075590643614154</v>
      </c>
      <c r="AG962" s="61">
        <f t="shared" ca="1" si="182"/>
        <v>-1.1662799086285056</v>
      </c>
      <c r="AH962" s="19"/>
      <c r="AI962" s="61">
        <f ca="1"/>
        <v>2.8214411965690107E-3</v>
      </c>
      <c r="AJ962" s="61">
        <f ca="1"/>
        <v>-8.8478421274262031E-3</v>
      </c>
      <c r="AK962" s="61">
        <f ca="1"/>
        <v>-3.1484079003101684E-2</v>
      </c>
      <c r="AL962" s="19"/>
      <c r="AM962" s="61">
        <f t="shared" ca="1" si="186"/>
        <v>3.172657519079255E-3</v>
      </c>
      <c r="AN962" s="61">
        <f t="shared" ca="1" si="187"/>
        <v>-8.5987895305096717E-3</v>
      </c>
      <c r="AO962" s="61">
        <f t="shared" ca="1" si="188"/>
        <v>-3.1052410399846866E-2</v>
      </c>
      <c r="AP962" s="19"/>
      <c r="AQ962" s="62">
        <f t="shared" ca="1" si="183"/>
        <v>1.1401521427806651</v>
      </c>
      <c r="AR962" s="62">
        <f t="shared" ca="1" si="184"/>
        <v>1.1757816128465259</v>
      </c>
      <c r="AS962" s="62">
        <f t="shared" ca="1" si="185"/>
        <v>0.76946070224515595</v>
      </c>
      <c r="AT962" s="49"/>
    </row>
    <row r="963" spans="1:46" x14ac:dyDescent="0.3">
      <c r="A963" s="5">
        <v>44858</v>
      </c>
      <c r="B963" s="6">
        <v>72.230002999999996</v>
      </c>
      <c r="C963" s="6">
        <v>89.160004000000001</v>
      </c>
      <c r="D963" s="6">
        <v>129.220001</v>
      </c>
      <c r="F963" s="13">
        <v>960</v>
      </c>
      <c r="G963" s="5">
        <v>44858</v>
      </c>
      <c r="H963" s="15">
        <f t="shared" si="181"/>
        <v>-1.0740931864758614E-2</v>
      </c>
      <c r="I963" s="15">
        <f t="shared" si="181"/>
        <v>-1.7235040221875293E-2</v>
      </c>
      <c r="J963" s="15">
        <f t="shared" si="181"/>
        <v>1.1519453392119428E-2</v>
      </c>
      <c r="K963" s="22"/>
      <c r="L963" s="13">
        <v>960</v>
      </c>
      <c r="M963" s="5">
        <v>44858</v>
      </c>
      <c r="N963" s="26">
        <f t="shared" si="178"/>
        <v>1.2775026834541443</v>
      </c>
      <c r="O963" s="26">
        <f t="shared" si="179"/>
        <v>0.84559941491655122</v>
      </c>
      <c r="P963" s="26">
        <f t="shared" si="180"/>
        <v>1.7101641664945519</v>
      </c>
      <c r="Q963" s="22"/>
      <c r="AD963" s="59">
        <v>959</v>
      </c>
      <c r="AE963" s="61">
        <f t="shared" ca="1" si="182"/>
        <v>0.80950798542680191</v>
      </c>
      <c r="AF963" s="61">
        <f t="shared" ca="1" si="182"/>
        <v>1.0201934542760307</v>
      </c>
      <c r="AG963" s="61">
        <f t="shared" ca="1" si="182"/>
        <v>-0.70348077090810746</v>
      </c>
      <c r="AH963" s="19"/>
      <c r="AI963" s="61">
        <f ca="1"/>
        <v>1.7553601720667011E-2</v>
      </c>
      <c r="AJ963" s="61">
        <f ca="1"/>
        <v>3.4845635425194296E-2</v>
      </c>
      <c r="AK963" s="61">
        <f ca="1"/>
        <v>1.1224490371199505E-3</v>
      </c>
      <c r="AL963" s="19"/>
      <c r="AM963" s="61">
        <f t="shared" ca="1" si="186"/>
        <v>1.7904818043177256E-2</v>
      </c>
      <c r="AN963" s="61">
        <f t="shared" ca="1" si="187"/>
        <v>3.5094688022110826E-2</v>
      </c>
      <c r="AO963" s="61">
        <f t="shared" ca="1" si="188"/>
        <v>1.5541176403747687E-3</v>
      </c>
      <c r="AP963" s="19"/>
      <c r="AQ963" s="62">
        <f t="shared" ca="1" si="183"/>
        <v>1.1607502114961143</v>
      </c>
      <c r="AR963" s="62">
        <f t="shared" ca="1" si="184"/>
        <v>1.2177779150311978</v>
      </c>
      <c r="AS963" s="62">
        <f t="shared" ca="1" si="185"/>
        <v>0.77065746440980953</v>
      </c>
      <c r="AT963" s="49"/>
    </row>
    <row r="964" spans="1:46" x14ac:dyDescent="0.3">
      <c r="A964" s="5">
        <v>44859</v>
      </c>
      <c r="B964" s="6">
        <v>74.75</v>
      </c>
      <c r="C964" s="6">
        <v>93.809997999999993</v>
      </c>
      <c r="D964" s="6">
        <v>126.800003</v>
      </c>
      <c r="F964" s="13">
        <v>961</v>
      </c>
      <c r="G964" s="5">
        <v>44859</v>
      </c>
      <c r="H964" s="15">
        <f t="shared" si="181"/>
        <v>3.4293698674052679E-2</v>
      </c>
      <c r="I964" s="15">
        <f t="shared" si="181"/>
        <v>5.0838885437336216E-2</v>
      </c>
      <c r="J964" s="15">
        <f t="shared" si="181"/>
        <v>-1.8905320206328236E-2</v>
      </c>
      <c r="K964" s="22"/>
      <c r="L964" s="13">
        <v>961</v>
      </c>
      <c r="M964" s="5">
        <v>44859</v>
      </c>
      <c r="N964" s="26">
        <f t="shared" ref="N964:N1027" si="189">B964/B$3</f>
        <v>1.3220728453825108</v>
      </c>
      <c r="O964" s="26">
        <f t="shared" ref="O964:O1027" si="190">C964/C$3</f>
        <v>0.88970026764604948</v>
      </c>
      <c r="P964" s="26">
        <f t="shared" ref="P964:P1027" si="191">D964/D$3</f>
        <v>1.6781366643233635</v>
      </c>
      <c r="Q964" s="22"/>
      <c r="AD964" s="59">
        <v>960</v>
      </c>
      <c r="AE964" s="61">
        <f t="shared" ca="1" si="182"/>
        <v>-0.35739607600885376</v>
      </c>
      <c r="AF964" s="61">
        <f t="shared" ca="1" si="182"/>
        <v>-0.2609759903061688</v>
      </c>
      <c r="AG964" s="61">
        <f t="shared" ca="1" si="182"/>
        <v>0.78116189844773221</v>
      </c>
      <c r="AH964" s="19"/>
      <c r="AI964" s="61">
        <f ca="1"/>
        <v>-7.7498783059947087E-3</v>
      </c>
      <c r="AJ964" s="61">
        <f ca="1"/>
        <v>-1.1266662873897994E-2</v>
      </c>
      <c r="AK964" s="61">
        <f ca="1"/>
        <v>1.2894697441947369E-2</v>
      </c>
      <c r="AL964" s="19"/>
      <c r="AM964" s="61">
        <f t="shared" ca="1" si="186"/>
        <v>-7.3986619834844648E-3</v>
      </c>
      <c r="AN964" s="61">
        <f t="shared" ca="1" si="187"/>
        <v>-1.1017610276981463E-2</v>
      </c>
      <c r="AO964" s="61">
        <f t="shared" ca="1" si="188"/>
        <v>1.3326366045202188E-2</v>
      </c>
      <c r="AP964" s="19"/>
      <c r="AQ964" s="62">
        <f t="shared" ca="1" si="183"/>
        <v>1.1521939046761167</v>
      </c>
      <c r="AR964" s="62">
        <f t="shared" ca="1" si="184"/>
        <v>1.2044345535143886</v>
      </c>
      <c r="AS964" s="62">
        <f t="shared" ca="1" si="185"/>
        <v>0.78099626418421408</v>
      </c>
      <c r="AT964" s="49"/>
    </row>
    <row r="965" spans="1:46" x14ac:dyDescent="0.3">
      <c r="A965" s="5">
        <v>44860</v>
      </c>
      <c r="B965" s="6">
        <v>74.650002000000001</v>
      </c>
      <c r="C965" s="6">
        <v>93.519997000000004</v>
      </c>
      <c r="D965" s="6">
        <v>126.739998</v>
      </c>
      <c r="F965" s="13">
        <v>962</v>
      </c>
      <c r="G965" s="5">
        <v>44860</v>
      </c>
      <c r="H965" s="15">
        <f t="shared" ref="H965:J1028" si="192">LN(B965/B964)</f>
        <v>-1.33866149390222E-3</v>
      </c>
      <c r="I965" s="15">
        <f t="shared" si="192"/>
        <v>-3.0961537330578695E-3</v>
      </c>
      <c r="J965" s="15">
        <f t="shared" si="192"/>
        <v>-4.7333754739816228E-4</v>
      </c>
      <c r="K965" s="22"/>
      <c r="L965" s="13">
        <v>962</v>
      </c>
      <c r="M965" s="5">
        <v>44860</v>
      </c>
      <c r="N965" s="26">
        <f t="shared" si="189"/>
        <v>1.3203042214307708</v>
      </c>
      <c r="O965" s="26">
        <f t="shared" si="190"/>
        <v>0.8869498788514818</v>
      </c>
      <c r="P965" s="26">
        <f t="shared" si="191"/>
        <v>1.6773425271927616</v>
      </c>
      <c r="Q965" s="22"/>
      <c r="AD965" s="59">
        <v>961</v>
      </c>
      <c r="AE965" s="61">
        <f t="shared" ref="AE965:AG1028" ca="1" si="193">_xlfn.NORM.S.INV(RAND())</f>
        <v>0.98481947804969516</v>
      </c>
      <c r="AF965" s="61">
        <f t="shared" ca="1" si="193"/>
        <v>-0.10428510191917058</v>
      </c>
      <c r="AG965" s="61">
        <f t="shared" ca="1" si="193"/>
        <v>-0.67162819118790418</v>
      </c>
      <c r="AH965" s="19"/>
      <c r="AI965" s="61">
        <f ca="1"/>
        <v>2.1355106059052789E-2</v>
      </c>
      <c r="AJ965" s="61">
        <f ca="1"/>
        <v>1.3147984446582396E-2</v>
      </c>
      <c r="AK965" s="61">
        <f ca="1"/>
        <v>-3.3902622856622974E-3</v>
      </c>
      <c r="AL965" s="19"/>
      <c r="AM965" s="61">
        <f t="shared" ca="1" si="186"/>
        <v>2.1706322381563035E-2</v>
      </c>
      <c r="AN965" s="61">
        <f t="shared" ca="1" si="187"/>
        <v>1.3397037043498927E-2</v>
      </c>
      <c r="AO965" s="61">
        <f t="shared" ca="1" si="188"/>
        <v>-2.9585936824074793E-3</v>
      </c>
      <c r="AP965" s="19"/>
      <c r="AQ965" s="62">
        <f t="shared" ca="1" si="183"/>
        <v>1.1774772080760125</v>
      </c>
      <c r="AR965" s="62">
        <f t="shared" ca="1" si="184"/>
        <v>1.2206789784631487</v>
      </c>
      <c r="AS965" s="62">
        <f t="shared" ca="1" si="185"/>
        <v>0.77868902834069931</v>
      </c>
      <c r="AT965" s="49"/>
    </row>
    <row r="966" spans="1:46" x14ac:dyDescent="0.3">
      <c r="A966" s="5">
        <v>44861</v>
      </c>
      <c r="B966" s="6">
        <v>74.769997000000004</v>
      </c>
      <c r="C966" s="6">
        <v>91.82</v>
      </c>
      <c r="D966" s="6">
        <v>128.270004</v>
      </c>
      <c r="F966" s="13">
        <v>963</v>
      </c>
      <c r="G966" s="5">
        <v>44861</v>
      </c>
      <c r="H966" s="15">
        <f t="shared" si="192"/>
        <v>1.606144111885792E-3</v>
      </c>
      <c r="I966" s="15">
        <f t="shared" si="192"/>
        <v>-1.8345146264036865E-2</v>
      </c>
      <c r="J966" s="15">
        <f t="shared" si="192"/>
        <v>1.1999720380946542E-2</v>
      </c>
      <c r="K966" s="22"/>
      <c r="L966" s="13">
        <v>963</v>
      </c>
      <c r="M966" s="5">
        <v>44861</v>
      </c>
      <c r="N966" s="26">
        <f t="shared" si="189"/>
        <v>1.3224265241877164</v>
      </c>
      <c r="O966" s="26">
        <f t="shared" si="190"/>
        <v>0.87082699410419195</v>
      </c>
      <c r="P966" s="26">
        <f t="shared" si="191"/>
        <v>1.6975914160294183</v>
      </c>
      <c r="Q966" s="22"/>
      <c r="AD966" s="59">
        <v>962</v>
      </c>
      <c r="AE966" s="61">
        <f t="shared" ca="1" si="193"/>
        <v>1.1639417891471555</v>
      </c>
      <c r="AF966" s="61">
        <f t="shared" ca="1" si="193"/>
        <v>-1.9763152644853907</v>
      </c>
      <c r="AG966" s="61">
        <f t="shared" ca="1" si="193"/>
        <v>-0.28672779574115487</v>
      </c>
      <c r="AH966" s="19"/>
      <c r="AI966" s="61">
        <f ca="1"/>
        <v>2.5239245270641263E-2</v>
      </c>
      <c r="AJ966" s="61">
        <f ca="1"/>
        <v>-2.4738813195658262E-2</v>
      </c>
      <c r="AK966" s="61">
        <f ca="1"/>
        <v>-4.0662002881574066E-3</v>
      </c>
      <c r="AL966" s="19"/>
      <c r="AM966" s="61">
        <f t="shared" ca="1" si="186"/>
        <v>2.5590461593151509E-2</v>
      </c>
      <c r="AN966" s="61">
        <f t="shared" ca="1" si="187"/>
        <v>-2.4489760598741733E-2</v>
      </c>
      <c r="AO966" s="61">
        <f t="shared" ca="1" si="188"/>
        <v>-3.6345316849025885E-3</v>
      </c>
      <c r="AP966" s="19"/>
      <c r="AQ966" s="62">
        <f t="shared" ref="AQ966:AQ1029" ca="1" si="194">AQ965*EXP(AM966)</f>
        <v>1.2079982515455867</v>
      </c>
      <c r="AR966" s="62">
        <f t="shared" ref="AR966:AR1029" ca="1" si="195">AR965*EXP(AN966)</f>
        <v>1.1911479226747181</v>
      </c>
      <c r="AS966" s="62">
        <f t="shared" ref="AS966:AS1029" ca="1" si="196">AS965*EXP(AO966)</f>
        <v>0.7758639953403319</v>
      </c>
      <c r="AT966" s="49"/>
    </row>
    <row r="967" spans="1:46" x14ac:dyDescent="0.3">
      <c r="A967" s="5">
        <v>44862</v>
      </c>
      <c r="B967" s="6">
        <v>77.760002</v>
      </c>
      <c r="C967" s="6">
        <v>93.279999000000004</v>
      </c>
      <c r="D967" s="6">
        <v>125.980003</v>
      </c>
      <c r="F967" s="13">
        <v>964</v>
      </c>
      <c r="G967" s="5">
        <v>44862</v>
      </c>
      <c r="H967" s="15">
        <f t="shared" si="192"/>
        <v>3.9210490983568547E-2</v>
      </c>
      <c r="I967" s="15">
        <f t="shared" si="192"/>
        <v>1.5775573060694617E-2</v>
      </c>
      <c r="J967" s="15">
        <f t="shared" si="192"/>
        <v>-1.8014260488893333E-2</v>
      </c>
      <c r="K967" s="22"/>
      <c r="L967" s="13">
        <v>964</v>
      </c>
      <c r="M967" s="5">
        <v>44862</v>
      </c>
      <c r="N967" s="26">
        <f t="shared" si="189"/>
        <v>1.3753095264359829</v>
      </c>
      <c r="O967" s="26">
        <f t="shared" si="190"/>
        <v>0.88467372183851056</v>
      </c>
      <c r="P967" s="26">
        <f t="shared" si="191"/>
        <v>1.667284361230396</v>
      </c>
      <c r="Q967" s="22"/>
      <c r="AD967" s="59">
        <v>963</v>
      </c>
      <c r="AE967" s="61">
        <f t="shared" ca="1" si="193"/>
        <v>-0.57984718925440937</v>
      </c>
      <c r="AF967" s="61">
        <f t="shared" ca="1" si="193"/>
        <v>1.0796305210281485</v>
      </c>
      <c r="AG967" s="61">
        <f t="shared" ca="1" si="193"/>
        <v>0.17740950077314216</v>
      </c>
      <c r="AH967" s="19"/>
      <c r="AI967" s="61">
        <f ca="1"/>
        <v>-1.257357160430444E-2</v>
      </c>
      <c r="AJ967" s="61">
        <f ca="1"/>
        <v>1.4390903872805666E-2</v>
      </c>
      <c r="AK967" s="61">
        <f ca="1"/>
        <v>3.5809200906263324E-3</v>
      </c>
      <c r="AL967" s="19"/>
      <c r="AM967" s="61">
        <f t="shared" ref="AM967:AM1030" ca="1" si="197">AI967+T$3</f>
        <v>-1.2222355281794196E-2</v>
      </c>
      <c r="AN967" s="61">
        <f t="shared" ref="AN967:AN1030" ca="1" si="198">AJ967+U$3</f>
        <v>1.4639956469722198E-2</v>
      </c>
      <c r="AO967" s="61">
        <f t="shared" ref="AO967:AO1030" ca="1" si="199">AK967+V$3</f>
        <v>4.0125886938811505E-3</v>
      </c>
      <c r="AP967" s="19"/>
      <c r="AQ967" s="62">
        <f t="shared" ca="1" si="194"/>
        <v>1.1933235302467646</v>
      </c>
      <c r="AR967" s="62">
        <f t="shared" ca="1" si="195"/>
        <v>1.2087145499902552</v>
      </c>
      <c r="AS967" s="62">
        <f t="shared" ca="1" si="196"/>
        <v>0.77898347284057456</v>
      </c>
      <c r="AT967" s="49"/>
    </row>
    <row r="968" spans="1:46" x14ac:dyDescent="0.3">
      <c r="A968" s="5">
        <v>44865</v>
      </c>
      <c r="B968" s="6">
        <v>76.459998999999996</v>
      </c>
      <c r="C968" s="6">
        <v>92.690002000000007</v>
      </c>
      <c r="D968" s="6">
        <v>125.550003</v>
      </c>
      <c r="F968" s="13">
        <v>965</v>
      </c>
      <c r="G968" s="5">
        <v>44865</v>
      </c>
      <c r="H968" s="15">
        <f t="shared" si="192"/>
        <v>-1.6859470682815344E-2</v>
      </c>
      <c r="I968" s="15">
        <f t="shared" si="192"/>
        <v>-6.3450984167287353E-3</v>
      </c>
      <c r="J968" s="15">
        <f t="shared" si="192"/>
        <v>-3.4190785086299978E-3</v>
      </c>
      <c r="K968" s="22"/>
      <c r="L968" s="13">
        <v>965</v>
      </c>
      <c r="M968" s="5">
        <v>44865</v>
      </c>
      <c r="N968" s="26">
        <f t="shared" si="189"/>
        <v>1.3523169021521595</v>
      </c>
      <c r="O968" s="26">
        <f t="shared" si="190"/>
        <v>0.87907815100382869</v>
      </c>
      <c r="P968" s="26">
        <f t="shared" si="191"/>
        <v>1.6615935193645719</v>
      </c>
      <c r="Q968" s="22"/>
      <c r="AD968" s="59">
        <v>964</v>
      </c>
      <c r="AE968" s="61">
        <f t="shared" ca="1" si="193"/>
        <v>0.26825310305876948</v>
      </c>
      <c r="AF968" s="61">
        <f t="shared" ca="1" si="193"/>
        <v>-0.31432452381997555</v>
      </c>
      <c r="AG968" s="61">
        <f t="shared" ca="1" si="193"/>
        <v>-0.60875936054824309</v>
      </c>
      <c r="AH968" s="19"/>
      <c r="AI968" s="61">
        <f ca="1"/>
        <v>5.8168766907765916E-3</v>
      </c>
      <c r="AJ968" s="61">
        <f ca="1"/>
        <v>-2.6333751691003564E-3</v>
      </c>
      <c r="AK968" s="61">
        <f ca="1"/>
        <v>-1.3846419512671806E-2</v>
      </c>
      <c r="AL968" s="19"/>
      <c r="AM968" s="61">
        <f t="shared" ca="1" si="197"/>
        <v>6.1680930132868355E-3</v>
      </c>
      <c r="AN968" s="61">
        <f t="shared" ca="1" si="198"/>
        <v>-2.3843225721838258E-3</v>
      </c>
      <c r="AO968" s="61">
        <f t="shared" ca="1" si="199"/>
        <v>-1.3414750909416987E-2</v>
      </c>
      <c r="AP968" s="19"/>
      <c r="AQ968" s="62">
        <f t="shared" ca="1" si="194"/>
        <v>1.2007068077391487</v>
      </c>
      <c r="AR968" s="62">
        <f t="shared" ca="1" si="195"/>
        <v>1.2058360176439136</v>
      </c>
      <c r="AS968" s="62">
        <f t="shared" ca="1" si="196"/>
        <v>0.76860338241602988</v>
      </c>
      <c r="AT968" s="49"/>
    </row>
    <row r="969" spans="1:46" x14ac:dyDescent="0.3">
      <c r="A969" s="5">
        <v>44866</v>
      </c>
      <c r="B969" s="6">
        <v>77.330001999999993</v>
      </c>
      <c r="C969" s="6">
        <v>93.510002</v>
      </c>
      <c r="D969" s="6">
        <v>130</v>
      </c>
      <c r="F969" s="13">
        <v>966</v>
      </c>
      <c r="G969" s="5">
        <v>44866</v>
      </c>
      <c r="H969" s="15">
        <f t="shared" si="192"/>
        <v>1.1314289294594779E-2</v>
      </c>
      <c r="I969" s="15">
        <f t="shared" si="192"/>
        <v>8.8077903704002567E-3</v>
      </c>
      <c r="J969" s="15">
        <f t="shared" si="192"/>
        <v>3.4830340957125977E-2</v>
      </c>
      <c r="K969" s="22"/>
      <c r="L969" s="13">
        <v>966</v>
      </c>
      <c r="M969" s="5">
        <v>44866</v>
      </c>
      <c r="N969" s="26">
        <f t="shared" si="189"/>
        <v>1.3677042913387991</v>
      </c>
      <c r="O969" s="26">
        <f t="shared" si="190"/>
        <v>0.88685508560593529</v>
      </c>
      <c r="P969" s="26">
        <f t="shared" si="191"/>
        <v>1.7204870757143218</v>
      </c>
      <c r="Q969" s="22"/>
      <c r="AD969" s="59">
        <v>965</v>
      </c>
      <c r="AE969" s="61">
        <f t="shared" ca="1" si="193"/>
        <v>1.3819692256378517</v>
      </c>
      <c r="AF969" s="61">
        <f t="shared" ca="1" si="193"/>
        <v>0.22039612861987429</v>
      </c>
      <c r="AG969" s="61">
        <f t="shared" ca="1" si="193"/>
        <v>0.44547393778368277</v>
      </c>
      <c r="AH969" s="19"/>
      <c r="AI969" s="61">
        <f ca="1"/>
        <v>2.9967014302243692E-2</v>
      </c>
      <c r="AJ969" s="61">
        <f ca="1"/>
        <v>2.6421583445211561E-2</v>
      </c>
      <c r="AK969" s="61">
        <f ca="1"/>
        <v>3.338450330092229E-2</v>
      </c>
      <c r="AL969" s="19"/>
      <c r="AM969" s="61">
        <f t="shared" ca="1" si="197"/>
        <v>3.0318230624753938E-2</v>
      </c>
      <c r="AN969" s="61">
        <f t="shared" ca="1" si="198"/>
        <v>2.667063604212809E-2</v>
      </c>
      <c r="AO969" s="61">
        <f t="shared" ca="1" si="199"/>
        <v>3.3816171904177107E-2</v>
      </c>
      <c r="AP969" s="19"/>
      <c r="AQ969" s="62">
        <f t="shared" ca="1" si="194"/>
        <v>1.2376675750462016</v>
      </c>
      <c r="AR969" s="62">
        <f t="shared" ca="1" si="195"/>
        <v>1.2384291388370385</v>
      </c>
      <c r="AS969" s="62">
        <f t="shared" ca="1" si="196"/>
        <v>0.79503906417540848</v>
      </c>
      <c r="AT969" s="49"/>
    </row>
    <row r="970" spans="1:46" x14ac:dyDescent="0.3">
      <c r="A970" s="5">
        <v>44867</v>
      </c>
      <c r="B970" s="6">
        <v>76.010002</v>
      </c>
      <c r="C970" s="6">
        <v>90.300003000000004</v>
      </c>
      <c r="D970" s="6">
        <v>125.83000199999999</v>
      </c>
      <c r="F970" s="13">
        <v>967</v>
      </c>
      <c r="G970" s="5">
        <v>44867</v>
      </c>
      <c r="H970" s="15">
        <f t="shared" si="192"/>
        <v>-1.7217067593851366E-2</v>
      </c>
      <c r="I970" s="15">
        <f t="shared" si="192"/>
        <v>-3.4930910189911464E-2</v>
      </c>
      <c r="J970" s="15">
        <f t="shared" si="192"/>
        <v>-3.2602644957245297E-2</v>
      </c>
      <c r="K970" s="22"/>
      <c r="L970" s="13">
        <v>967</v>
      </c>
      <c r="M970" s="5">
        <v>44867</v>
      </c>
      <c r="N970" s="26">
        <f t="shared" si="189"/>
        <v>1.3443579882497703</v>
      </c>
      <c r="O970" s="26">
        <f t="shared" si="190"/>
        <v>0.85641124134273061</v>
      </c>
      <c r="P970" s="26">
        <f t="shared" si="191"/>
        <v>1.6652991706008251</v>
      </c>
      <c r="Q970" s="22"/>
      <c r="AD970" s="59">
        <v>966</v>
      </c>
      <c r="AE970" s="61">
        <f t="shared" ca="1" si="193"/>
        <v>1.9153014698283461</v>
      </c>
      <c r="AF970" s="61">
        <f t="shared" ca="1" si="193"/>
        <v>-0.61628810294422864</v>
      </c>
      <c r="AG970" s="61">
        <f t="shared" ca="1" si="193"/>
        <v>0.77578142191002497</v>
      </c>
      <c r="AH970" s="19"/>
      <c r="AI970" s="61">
        <f ca="1"/>
        <v>4.1531942589360618E-2</v>
      </c>
      <c r="AJ970" s="61">
        <f ca="1"/>
        <v>1.658329676064977E-2</v>
      </c>
      <c r="AK970" s="61">
        <f ca="1"/>
        <v>4.3834925551255982E-2</v>
      </c>
      <c r="AL970" s="19"/>
      <c r="AM970" s="61">
        <f t="shared" ca="1" si="197"/>
        <v>4.188315891187086E-2</v>
      </c>
      <c r="AN970" s="61">
        <f t="shared" ca="1" si="198"/>
        <v>1.6832349357566299E-2</v>
      </c>
      <c r="AO970" s="61">
        <f t="shared" ca="1" si="199"/>
        <v>4.4266594154510799E-2</v>
      </c>
      <c r="AP970" s="19"/>
      <c r="AQ970" s="62">
        <f t="shared" ca="1" si="194"/>
        <v>1.2906058759397236</v>
      </c>
      <c r="AR970" s="62">
        <f t="shared" ca="1" si="195"/>
        <v>1.259451240089333</v>
      </c>
      <c r="AS970" s="62">
        <f t="shared" ca="1" si="196"/>
        <v>0.83102330993821028</v>
      </c>
      <c r="AT970" s="49"/>
    </row>
    <row r="971" spans="1:46" x14ac:dyDescent="0.3">
      <c r="A971" s="5">
        <v>44868</v>
      </c>
      <c r="B971" s="6">
        <v>71.779999000000004</v>
      </c>
      <c r="C971" s="6">
        <v>90.699996999999996</v>
      </c>
      <c r="D971" s="6">
        <v>129.71000699999999</v>
      </c>
      <c r="F971" s="13">
        <v>968</v>
      </c>
      <c r="G971" s="5">
        <v>44868</v>
      </c>
      <c r="H971" s="15">
        <f t="shared" si="192"/>
        <v>-5.7259065102272147E-2</v>
      </c>
      <c r="I971" s="15">
        <f t="shared" si="192"/>
        <v>4.4198303994847964E-3</v>
      </c>
      <c r="J971" s="15">
        <f t="shared" si="192"/>
        <v>3.0369437820783877E-2</v>
      </c>
      <c r="K971" s="22"/>
      <c r="L971" s="13">
        <v>968</v>
      </c>
      <c r="M971" s="5">
        <v>44868</v>
      </c>
      <c r="N971" s="26">
        <f t="shared" si="189"/>
        <v>1.2695436457456024</v>
      </c>
      <c r="O971" s="26">
        <f t="shared" si="190"/>
        <v>0.86020481107350499</v>
      </c>
      <c r="P971" s="26">
        <f t="shared" si="191"/>
        <v>1.716649158725494</v>
      </c>
      <c r="Q971" s="22"/>
      <c r="AD971" s="59">
        <v>967</v>
      </c>
      <c r="AE971" s="61">
        <f t="shared" ca="1" si="193"/>
        <v>-0.7711479027100735</v>
      </c>
      <c r="AF971" s="61">
        <f t="shared" ca="1" si="193"/>
        <v>-0.33405598243428269</v>
      </c>
      <c r="AG971" s="61">
        <f t="shared" ca="1" si="193"/>
        <v>0.45487482883624619</v>
      </c>
      <c r="AH971" s="19"/>
      <c r="AI971" s="61">
        <f ca="1"/>
        <v>-1.672179076128991E-2</v>
      </c>
      <c r="AJ971" s="61">
        <f ca="1"/>
        <v>-1.9331314275584349E-2</v>
      </c>
      <c r="AK971" s="61">
        <f ca="1"/>
        <v>-2.0928347774547048E-3</v>
      </c>
      <c r="AL971" s="19"/>
      <c r="AM971" s="61">
        <f t="shared" ca="1" si="197"/>
        <v>-1.6370574438779664E-2</v>
      </c>
      <c r="AN971" s="61">
        <f t="shared" ca="1" si="198"/>
        <v>-1.908226167866782E-2</v>
      </c>
      <c r="AO971" s="61">
        <f t="shared" ca="1" si="199"/>
        <v>-1.6611661741998867E-3</v>
      </c>
      <c r="AP971" s="19"/>
      <c r="AQ971" s="62">
        <f t="shared" ca="1" si="194"/>
        <v>1.2696499149431171</v>
      </c>
      <c r="AR971" s="62">
        <f t="shared" ca="1" si="195"/>
        <v>1.2356459140387226</v>
      </c>
      <c r="AS971" s="62">
        <f t="shared" ca="1" si="196"/>
        <v>0.82964398808435624</v>
      </c>
      <c r="AT971" s="49"/>
    </row>
    <row r="972" spans="1:46" x14ac:dyDescent="0.3">
      <c r="A972" s="5">
        <v>44869</v>
      </c>
      <c r="B972" s="6">
        <v>74.629997000000003</v>
      </c>
      <c r="C972" s="6">
        <v>95.059997999999993</v>
      </c>
      <c r="D972" s="6">
        <v>128.720001</v>
      </c>
      <c r="F972" s="13">
        <v>969</v>
      </c>
      <c r="G972" s="5">
        <v>44869</v>
      </c>
      <c r="H972" s="15">
        <f t="shared" si="192"/>
        <v>3.8936659156979685E-2</v>
      </c>
      <c r="I972" s="15">
        <f t="shared" si="192"/>
        <v>4.6950926101504156E-2</v>
      </c>
      <c r="J972" s="15">
        <f t="shared" si="192"/>
        <v>-7.6617328661926958E-3</v>
      </c>
      <c r="K972" s="22"/>
      <c r="L972" s="13">
        <v>969</v>
      </c>
      <c r="M972" s="5">
        <v>44869</v>
      </c>
      <c r="N972" s="26">
        <f t="shared" si="189"/>
        <v>1.3199504011328194</v>
      </c>
      <c r="O972" s="26">
        <f t="shared" si="190"/>
        <v>0.90155535088096816</v>
      </c>
      <c r="P972" s="26">
        <f t="shared" si="191"/>
        <v>1.7035469085110353</v>
      </c>
      <c r="Q972" s="22"/>
      <c r="AD972" s="59">
        <v>968</v>
      </c>
      <c r="AE972" s="61">
        <f t="shared" ca="1" si="193"/>
        <v>0.27159230529394529</v>
      </c>
      <c r="AF972" s="61">
        <f t="shared" ca="1" si="193"/>
        <v>1.2307616591538544</v>
      </c>
      <c r="AG972" s="61">
        <f t="shared" ca="1" si="193"/>
        <v>-1.5294830230623677</v>
      </c>
      <c r="AH972" s="19"/>
      <c r="AI972" s="61">
        <f ca="1"/>
        <v>5.8892849031182319E-3</v>
      </c>
      <c r="AJ972" s="61">
        <f ca="1"/>
        <v>3.1002911638204206E-2</v>
      </c>
      <c r="AK972" s="61">
        <f ca="1"/>
        <v>-2.6504771188100389E-2</v>
      </c>
      <c r="AL972" s="19"/>
      <c r="AM972" s="61">
        <f t="shared" ca="1" si="197"/>
        <v>6.2405012256284758E-3</v>
      </c>
      <c r="AN972" s="61">
        <f t="shared" ca="1" si="198"/>
        <v>3.1251964235120736E-2</v>
      </c>
      <c r="AO972" s="61">
        <f t="shared" ca="1" si="199"/>
        <v>-2.6073102584845572E-2</v>
      </c>
      <c r="AP972" s="19"/>
      <c r="AQ972" s="62">
        <f t="shared" ca="1" si="194"/>
        <v>1.2775979408322089</v>
      </c>
      <c r="AR972" s="62">
        <f t="shared" ca="1" si="195"/>
        <v>1.2748720299586114</v>
      </c>
      <c r="AS972" s="62">
        <f t="shared" ca="1" si="196"/>
        <v>0.80829215906758878</v>
      </c>
      <c r="AT972" s="49"/>
    </row>
    <row r="973" spans="1:46" x14ac:dyDescent="0.3">
      <c r="A973" s="5">
        <v>44872</v>
      </c>
      <c r="B973" s="6">
        <v>75.370002999999997</v>
      </c>
      <c r="C973" s="6">
        <v>94.57</v>
      </c>
      <c r="D973" s="6">
        <v>131.779999</v>
      </c>
      <c r="F973" s="13">
        <v>970</v>
      </c>
      <c r="G973" s="5">
        <v>44872</v>
      </c>
      <c r="H973" s="15">
        <f t="shared" si="192"/>
        <v>9.8668267140293812E-3</v>
      </c>
      <c r="I973" s="15">
        <f t="shared" si="192"/>
        <v>-5.1679491190987593E-3</v>
      </c>
      <c r="J973" s="15">
        <f t="shared" si="192"/>
        <v>2.3494347444340796E-2</v>
      </c>
      <c r="K973" s="22"/>
      <c r="L973" s="13">
        <v>970</v>
      </c>
      <c r="M973" s="5">
        <v>44872</v>
      </c>
      <c r="N973" s="26">
        <f t="shared" si="189"/>
        <v>1.3330385862568344</v>
      </c>
      <c r="O973" s="26">
        <f t="shared" si="190"/>
        <v>0.89690817722101324</v>
      </c>
      <c r="P973" s="26">
        <f t="shared" si="191"/>
        <v>1.7440445009011252</v>
      </c>
      <c r="Q973" s="22"/>
      <c r="AD973" s="59">
        <v>969</v>
      </c>
      <c r="AE973" s="61">
        <f t="shared" ca="1" si="193"/>
        <v>-0.15988601348421319</v>
      </c>
      <c r="AF973" s="61">
        <f t="shared" ca="1" si="193"/>
        <v>3.0259284513597318</v>
      </c>
      <c r="AG973" s="61">
        <f t="shared" ca="1" si="193"/>
        <v>-0.52582575183518943</v>
      </c>
      <c r="AH973" s="19"/>
      <c r="AI973" s="61">
        <f ca="1"/>
        <v>-3.4670138552460915E-3</v>
      </c>
      <c r="AJ973" s="61">
        <f ca="1"/>
        <v>6.3269044200719007E-2</v>
      </c>
      <c r="AK973" s="61">
        <f ca="1"/>
        <v>5.4759468278333997E-3</v>
      </c>
      <c r="AL973" s="19"/>
      <c r="AM973" s="61">
        <f t="shared" ca="1" si="197"/>
        <v>-3.1157975327358472E-3</v>
      </c>
      <c r="AN973" s="61">
        <f t="shared" ca="1" si="198"/>
        <v>6.3518096797635537E-2</v>
      </c>
      <c r="AO973" s="61">
        <f t="shared" ca="1" si="199"/>
        <v>5.9076154310882178E-3</v>
      </c>
      <c r="AP973" s="19"/>
      <c r="AQ973" s="62">
        <f t="shared" ca="1" si="194"/>
        <v>1.2736233994688899</v>
      </c>
      <c r="AR973" s="62">
        <f t="shared" ca="1" si="195"/>
        <v>1.358476568558479</v>
      </c>
      <c r="AS973" s="62">
        <f t="shared" ca="1" si="196"/>
        <v>0.81308137078125131</v>
      </c>
      <c r="AT973" s="49"/>
    </row>
    <row r="974" spans="1:46" x14ac:dyDescent="0.3">
      <c r="A974" s="5">
        <v>44873</v>
      </c>
      <c r="B974" s="6">
        <v>75.199996999999996</v>
      </c>
      <c r="C974" s="6">
        <v>95.150002000000001</v>
      </c>
      <c r="D974" s="6">
        <v>132.25</v>
      </c>
      <c r="F974" s="13">
        <v>971</v>
      </c>
      <c r="G974" s="5">
        <v>44873</v>
      </c>
      <c r="H974" s="15">
        <f t="shared" si="192"/>
        <v>-2.2581665968368172E-3</v>
      </c>
      <c r="I974" s="15">
        <f t="shared" si="192"/>
        <v>6.1143137341806552E-3</v>
      </c>
      <c r="J974" s="15">
        <f t="shared" si="192"/>
        <v>3.560212841139864E-3</v>
      </c>
      <c r="K974" s="22"/>
      <c r="L974" s="13">
        <v>971</v>
      </c>
      <c r="M974" s="5">
        <v>44873</v>
      </c>
      <c r="N974" s="26">
        <f t="shared" si="189"/>
        <v>1.3300317592849</v>
      </c>
      <c r="O974" s="26">
        <f t="shared" si="190"/>
        <v>0.90240895481014871</v>
      </c>
      <c r="P974" s="26">
        <f t="shared" si="191"/>
        <v>1.7502647366401467</v>
      </c>
      <c r="Q974" s="22"/>
      <c r="AD974" s="59">
        <v>970</v>
      </c>
      <c r="AE974" s="61">
        <f t="shared" ca="1" si="193"/>
        <v>-0.26812109779690657</v>
      </c>
      <c r="AF974" s="61">
        <f t="shared" ca="1" si="193"/>
        <v>-0.79940437757896821</v>
      </c>
      <c r="AG974" s="61">
        <f t="shared" ca="1" si="193"/>
        <v>-1.5788191331488723</v>
      </c>
      <c r="AH974" s="19"/>
      <c r="AI974" s="61">
        <f ca="1"/>
        <v>-5.8140142510805185E-3</v>
      </c>
      <c r="AJ974" s="61">
        <f ca="1"/>
        <v>-2.1572589655998883E-2</v>
      </c>
      <c r="AK974" s="61">
        <f ca="1"/>
        <v>-5.0040684848117703E-2</v>
      </c>
      <c r="AL974" s="19"/>
      <c r="AM974" s="61">
        <f t="shared" ca="1" si="197"/>
        <v>-5.4627979285702746E-3</v>
      </c>
      <c r="AN974" s="61">
        <f t="shared" ca="1" si="198"/>
        <v>-2.1323537059082354E-2</v>
      </c>
      <c r="AO974" s="61">
        <f t="shared" ca="1" si="199"/>
        <v>-4.9609016244862886E-2</v>
      </c>
      <c r="AP974" s="19"/>
      <c r="AQ974" s="62">
        <f t="shared" ca="1" si="194"/>
        <v>1.2666848214803956</v>
      </c>
      <c r="AR974" s="62">
        <f t="shared" ca="1" si="195"/>
        <v>1.32981570458597</v>
      </c>
      <c r="AS974" s="62">
        <f t="shared" ca="1" si="196"/>
        <v>0.77372938088766119</v>
      </c>
      <c r="AT974" s="49"/>
    </row>
    <row r="975" spans="1:46" x14ac:dyDescent="0.3">
      <c r="A975" s="5">
        <v>44874</v>
      </c>
      <c r="B975" s="6">
        <v>74.110000999999997</v>
      </c>
      <c r="C975" s="6">
        <v>90.239998</v>
      </c>
      <c r="D975" s="6">
        <v>128</v>
      </c>
      <c r="F975" s="13">
        <v>972</v>
      </c>
      <c r="G975" s="5">
        <v>44874</v>
      </c>
      <c r="H975" s="15">
        <f t="shared" si="192"/>
        <v>-1.4600701605453174E-2</v>
      </c>
      <c r="I975" s="15">
        <f t="shared" si="192"/>
        <v>-5.298184917497329E-2</v>
      </c>
      <c r="J975" s="15">
        <f t="shared" si="192"/>
        <v>-3.2663806818791573E-2</v>
      </c>
      <c r="K975" s="22"/>
      <c r="L975" s="13">
        <v>972</v>
      </c>
      <c r="M975" s="5">
        <v>44874</v>
      </c>
      <c r="N975" s="26">
        <f t="shared" si="189"/>
        <v>1.3107534433895747</v>
      </c>
      <c r="O975" s="26">
        <f t="shared" si="190"/>
        <v>0.85584214992712149</v>
      </c>
      <c r="P975" s="26">
        <f t="shared" si="191"/>
        <v>1.6940180437802554</v>
      </c>
      <c r="Q975" s="22"/>
      <c r="AD975" s="59">
        <v>971</v>
      </c>
      <c r="AE975" s="61">
        <f t="shared" ca="1" si="193"/>
        <v>0.494725518421957</v>
      </c>
      <c r="AF975" s="61">
        <f t="shared" ca="1" si="193"/>
        <v>-3.3785845636716036</v>
      </c>
      <c r="AG975" s="61">
        <f t="shared" ca="1" si="193"/>
        <v>-1.5975645100610662E-2</v>
      </c>
      <c r="AH975" s="19"/>
      <c r="AI975" s="61">
        <f ca="1"/>
        <v>1.0727769049555342E-2</v>
      </c>
      <c r="AJ975" s="61">
        <f ca="1"/>
        <v>-6.5693362589435575E-2</v>
      </c>
      <c r="AK975" s="61">
        <f ca="1"/>
        <v>-1.6893004575491508E-2</v>
      </c>
      <c r="AL975" s="19"/>
      <c r="AM975" s="61">
        <f t="shared" ca="1" si="197"/>
        <v>1.1078985372065586E-2</v>
      </c>
      <c r="AN975" s="61">
        <f t="shared" ca="1" si="198"/>
        <v>-6.5444309992519045E-2</v>
      </c>
      <c r="AO975" s="61">
        <f t="shared" ca="1" si="199"/>
        <v>-1.6461335972236691E-2</v>
      </c>
      <c r="AP975" s="19"/>
      <c r="AQ975" s="62">
        <f t="shared" ca="1" si="194"/>
        <v>1.2807964309032245</v>
      </c>
      <c r="AR975" s="62">
        <f t="shared" ca="1" si="195"/>
        <v>1.2455734853464588</v>
      </c>
      <c r="AS975" s="62">
        <f t="shared" ca="1" si="196"/>
        <v>0.7610970196225646</v>
      </c>
      <c r="AT975" s="49"/>
    </row>
    <row r="976" spans="1:46" x14ac:dyDescent="0.3">
      <c r="A976" s="5">
        <v>44875</v>
      </c>
      <c r="B976" s="6">
        <v>79.589995999999999</v>
      </c>
      <c r="C976" s="6">
        <v>95.449996999999996</v>
      </c>
      <c r="D976" s="6">
        <v>132.449997</v>
      </c>
      <c r="F976" s="13">
        <v>973</v>
      </c>
      <c r="G976" s="5">
        <v>44875</v>
      </c>
      <c r="H976" s="15">
        <f t="shared" si="192"/>
        <v>7.1337917103463572E-2</v>
      </c>
      <c r="I976" s="15">
        <f t="shared" si="192"/>
        <v>5.6129753155060101E-2</v>
      </c>
      <c r="J976" s="15">
        <f t="shared" si="192"/>
        <v>3.4174929148404636E-2</v>
      </c>
      <c r="K976" s="22"/>
      <c r="L976" s="13">
        <v>973</v>
      </c>
      <c r="M976" s="5">
        <v>44875</v>
      </c>
      <c r="N976" s="26">
        <f t="shared" si="189"/>
        <v>1.4076758859625773</v>
      </c>
      <c r="O976" s="26">
        <f t="shared" si="190"/>
        <v>0.90525412736619626</v>
      </c>
      <c r="P976" s="26">
        <f t="shared" si="191"/>
        <v>1.7529116001300054</v>
      </c>
      <c r="Q976" s="22"/>
      <c r="AD976" s="59">
        <v>972</v>
      </c>
      <c r="AE976" s="61">
        <f t="shared" ca="1" si="193"/>
        <v>0.48230616783637376</v>
      </c>
      <c r="AF976" s="61">
        <f t="shared" ca="1" si="193"/>
        <v>-0.53533444227720406</v>
      </c>
      <c r="AG976" s="61">
        <f t="shared" ca="1" si="193"/>
        <v>-0.73008773150489636</v>
      </c>
      <c r="AH976" s="19"/>
      <c r="AI976" s="61">
        <f ca="1"/>
        <v>1.0458464314168798E-2</v>
      </c>
      <c r="AJ976" s="61">
        <f ca="1"/>
        <v>-4.0868197468985294E-3</v>
      </c>
      <c r="AK976" s="61">
        <f ca="1"/>
        <v>-1.5348549674290078E-2</v>
      </c>
      <c r="AL976" s="19"/>
      <c r="AM976" s="61">
        <f t="shared" ca="1" si="197"/>
        <v>1.0809680636679041E-2</v>
      </c>
      <c r="AN976" s="61">
        <f t="shared" ca="1" si="198"/>
        <v>-3.8377671499819988E-3</v>
      </c>
      <c r="AO976" s="61">
        <f t="shared" ca="1" si="199"/>
        <v>-1.4916881071035259E-2</v>
      </c>
      <c r="AP976" s="19"/>
      <c r="AQ976" s="62">
        <f t="shared" ca="1" si="194"/>
        <v>1.294716531657897</v>
      </c>
      <c r="AR976" s="62">
        <f t="shared" ca="1" si="195"/>
        <v>1.2408024253061154</v>
      </c>
      <c r="AS976" s="62">
        <f t="shared" ca="1" si="196"/>
        <v>0.74982808354358865</v>
      </c>
      <c r="AT976" s="49"/>
    </row>
    <row r="977" spans="1:46" x14ac:dyDescent="0.3">
      <c r="A977" s="5">
        <v>44876</v>
      </c>
      <c r="B977" s="6">
        <v>80.849997999999999</v>
      </c>
      <c r="C977" s="6">
        <v>104.379997</v>
      </c>
      <c r="D977" s="6">
        <v>133.96000699999999</v>
      </c>
      <c r="F977" s="13">
        <v>974</v>
      </c>
      <c r="G977" s="5">
        <v>44876</v>
      </c>
      <c r="H977" s="15">
        <f t="shared" si="192"/>
        <v>1.5707154725761216E-2</v>
      </c>
      <c r="I977" s="15">
        <f t="shared" si="192"/>
        <v>8.9435538732440756E-2</v>
      </c>
      <c r="J977" s="15">
        <f t="shared" si="192"/>
        <v>1.1336107112384933E-2</v>
      </c>
      <c r="K977" s="22"/>
      <c r="L977" s="13">
        <v>974</v>
      </c>
      <c r="M977" s="5">
        <v>44876</v>
      </c>
      <c r="N977" s="26">
        <f t="shared" si="189"/>
        <v>1.4299610288298368</v>
      </c>
      <c r="O977" s="26">
        <f t="shared" si="190"/>
        <v>0.98994684199645588</v>
      </c>
      <c r="P977" s="26">
        <f t="shared" si="191"/>
        <v>1.7728958515853852</v>
      </c>
      <c r="Q977" s="22"/>
      <c r="AD977" s="59">
        <v>973</v>
      </c>
      <c r="AE977" s="61">
        <f t="shared" ca="1" si="193"/>
        <v>0.76936869285246134</v>
      </c>
      <c r="AF977" s="61">
        <f t="shared" ca="1" si="193"/>
        <v>0.33890049135127731</v>
      </c>
      <c r="AG977" s="61">
        <f t="shared" ca="1" si="193"/>
        <v>-0.1802829089361784</v>
      </c>
      <c r="AH977" s="19"/>
      <c r="AI977" s="61">
        <f ca="1"/>
        <v>1.6683209867981559E-2</v>
      </c>
      <c r="AJ977" s="61">
        <f ca="1"/>
        <v>1.940876581280853E-2</v>
      </c>
      <c r="AK977" s="61">
        <f ca="1"/>
        <v>9.1356959058570518E-3</v>
      </c>
      <c r="AL977" s="19"/>
      <c r="AM977" s="61">
        <f t="shared" ca="1" si="197"/>
        <v>1.7034426190491805E-2</v>
      </c>
      <c r="AN977" s="61">
        <f t="shared" ca="1" si="198"/>
        <v>1.965781840972506E-2</v>
      </c>
      <c r="AO977" s="61">
        <f t="shared" ca="1" si="199"/>
        <v>9.5673645091118708E-3</v>
      </c>
      <c r="AP977" s="19"/>
      <c r="AQ977" s="62">
        <f t="shared" ca="1" si="194"/>
        <v>1.3169602010553441</v>
      </c>
      <c r="AR977" s="62">
        <f t="shared" ca="1" si="195"/>
        <v>1.2654352142794931</v>
      </c>
      <c r="AS977" s="62">
        <f t="shared" ca="1" si="196"/>
        <v>0.75703638939887408</v>
      </c>
      <c r="AT977" s="49"/>
    </row>
    <row r="978" spans="1:46" x14ac:dyDescent="0.3">
      <c r="A978" s="5">
        <v>44879</v>
      </c>
      <c r="B978" s="6">
        <v>78.440002000000007</v>
      </c>
      <c r="C978" s="6">
        <v>101.339996</v>
      </c>
      <c r="D978" s="6">
        <v>136.800003</v>
      </c>
      <c r="F978" s="13">
        <v>975</v>
      </c>
      <c r="G978" s="5">
        <v>44879</v>
      </c>
      <c r="H978" s="15">
        <f t="shared" si="192"/>
        <v>-3.0261534460607364E-2</v>
      </c>
      <c r="I978" s="15">
        <f t="shared" si="192"/>
        <v>-2.9556896897453191E-2</v>
      </c>
      <c r="J978" s="15">
        <f t="shared" si="192"/>
        <v>2.0978726937867637E-2</v>
      </c>
      <c r="K978" s="22"/>
      <c r="L978" s="13">
        <v>975</v>
      </c>
      <c r="M978" s="5">
        <v>44879</v>
      </c>
      <c r="N978" s="26">
        <f t="shared" si="189"/>
        <v>1.3873364098454828</v>
      </c>
      <c r="O978" s="26">
        <f t="shared" si="190"/>
        <v>0.96111527008506692</v>
      </c>
      <c r="P978" s="26">
        <f t="shared" si="191"/>
        <v>1.8104818239936959</v>
      </c>
      <c r="Q978" s="22"/>
      <c r="AD978" s="59">
        <v>974</v>
      </c>
      <c r="AE978" s="61">
        <f t="shared" ca="1" si="193"/>
        <v>-0.33992261055749817</v>
      </c>
      <c r="AF978" s="61">
        <f t="shared" ca="1" si="193"/>
        <v>-0.79570958506758671</v>
      </c>
      <c r="AG978" s="61">
        <f t="shared" ca="1" si="193"/>
        <v>1.5096158455317725</v>
      </c>
      <c r="AH978" s="19"/>
      <c r="AI978" s="61">
        <f ca="1"/>
        <v>-7.3709787043419643E-3</v>
      </c>
      <c r="AJ978" s="61">
        <f ca="1"/>
        <v>-2.2616141121645145E-2</v>
      </c>
      <c r="AK978" s="61">
        <f ca="1"/>
        <v>2.8049994545129488E-2</v>
      </c>
      <c r="AL978" s="19"/>
      <c r="AM978" s="61">
        <f t="shared" ca="1" si="197"/>
        <v>-7.0197623818317205E-3</v>
      </c>
      <c r="AN978" s="61">
        <f t="shared" ca="1" si="198"/>
        <v>-2.2367088524728615E-2</v>
      </c>
      <c r="AO978" s="61">
        <f t="shared" ca="1" si="199"/>
        <v>2.8481663148384306E-2</v>
      </c>
      <c r="AP978" s="19"/>
      <c r="AQ978" s="62">
        <f t="shared" ca="1" si="194"/>
        <v>1.3077478255509829</v>
      </c>
      <c r="AR978" s="62">
        <f t="shared" ca="1" si="195"/>
        <v>1.2374453061014545</v>
      </c>
      <c r="AS978" s="62">
        <f t="shared" ca="1" si="196"/>
        <v>0.77890803676648113</v>
      </c>
      <c r="AT978" s="49"/>
    </row>
    <row r="979" spans="1:46" x14ac:dyDescent="0.3">
      <c r="A979" s="5">
        <v>44880</v>
      </c>
      <c r="B979" s="6">
        <v>78</v>
      </c>
      <c r="C979" s="6">
        <v>103.870003</v>
      </c>
      <c r="D979" s="6">
        <v>140.71000699999999</v>
      </c>
      <c r="F979" s="13">
        <v>976</v>
      </c>
      <c r="G979" s="5">
        <v>44880</v>
      </c>
      <c r="H979" s="15">
        <f t="shared" si="192"/>
        <v>-5.6252001357488196E-3</v>
      </c>
      <c r="I979" s="15">
        <f t="shared" si="192"/>
        <v>2.4658985545300775E-2</v>
      </c>
      <c r="J979" s="15">
        <f t="shared" si="192"/>
        <v>2.818105742959668E-2</v>
      </c>
      <c r="K979" s="22"/>
      <c r="L979" s="13">
        <v>976</v>
      </c>
      <c r="M979" s="5">
        <v>44880</v>
      </c>
      <c r="N979" s="26">
        <f t="shared" si="189"/>
        <v>1.3795542734426198</v>
      </c>
      <c r="O979" s="26">
        <f t="shared" si="190"/>
        <v>0.98511002494100852</v>
      </c>
      <c r="P979" s="26">
        <f t="shared" si="191"/>
        <v>1.8622288343628597</v>
      </c>
      <c r="Q979" s="22"/>
      <c r="AD979" s="59">
        <v>975</v>
      </c>
      <c r="AE979" s="61">
        <f t="shared" ca="1" si="193"/>
        <v>2.5906907171508733</v>
      </c>
      <c r="AF979" s="61">
        <f t="shared" ca="1" si="193"/>
        <v>-1.2932828890336117</v>
      </c>
      <c r="AG979" s="61">
        <f t="shared" ca="1" si="193"/>
        <v>0.56263753278661088</v>
      </c>
      <c r="AH979" s="19"/>
      <c r="AI979" s="61">
        <f ca="1"/>
        <v>5.6177275393174846E-2</v>
      </c>
      <c r="AJ979" s="61">
        <f ca="1"/>
        <v>1.2439546892045607E-2</v>
      </c>
      <c r="AK979" s="61">
        <f ca="1"/>
        <v>4.3585724446512757E-2</v>
      </c>
      <c r="AL979" s="19"/>
      <c r="AM979" s="61">
        <f t="shared" ca="1" si="197"/>
        <v>5.6528491715685088E-2</v>
      </c>
      <c r="AN979" s="61">
        <f t="shared" ca="1" si="198"/>
        <v>1.2688599488962138E-2</v>
      </c>
      <c r="AO979" s="61">
        <f t="shared" ca="1" si="199"/>
        <v>4.4017393049767574E-2</v>
      </c>
      <c r="AP979" s="19"/>
      <c r="AQ979" s="62">
        <f t="shared" ca="1" si="194"/>
        <v>1.3838022059999713</v>
      </c>
      <c r="AR979" s="62">
        <f t="shared" ca="1" si="195"/>
        <v>1.2532467913353791</v>
      </c>
      <c r="AS979" s="62">
        <f t="shared" ca="1" si="196"/>
        <v>0.81395931161346957</v>
      </c>
      <c r="AT979" s="49"/>
    </row>
    <row r="980" spans="1:46" x14ac:dyDescent="0.3">
      <c r="A980" s="5">
        <v>44881</v>
      </c>
      <c r="B980" s="6">
        <v>76.879997000000003</v>
      </c>
      <c r="C980" s="6">
        <v>100.120003</v>
      </c>
      <c r="D980" s="6">
        <v>135.529999</v>
      </c>
      <c r="F980" s="13">
        <v>977</v>
      </c>
      <c r="G980" s="5">
        <v>44881</v>
      </c>
      <c r="H980" s="15">
        <f t="shared" si="192"/>
        <v>-1.4463101049407635E-2</v>
      </c>
      <c r="I980" s="15">
        <f t="shared" si="192"/>
        <v>-3.6770649594360161E-2</v>
      </c>
      <c r="J980" s="15">
        <f t="shared" si="192"/>
        <v>-3.750807389838675E-2</v>
      </c>
      <c r="K980" s="22"/>
      <c r="L980" s="13">
        <v>977</v>
      </c>
      <c r="M980" s="5">
        <v>44881</v>
      </c>
      <c r="N980" s="26">
        <f t="shared" si="189"/>
        <v>1.3597452359436641</v>
      </c>
      <c r="O980" s="26">
        <f t="shared" si="190"/>
        <v>0.94954477523625225</v>
      </c>
      <c r="P980" s="26">
        <f t="shared" si="191"/>
        <v>1.7936739357774998</v>
      </c>
      <c r="Q980" s="22"/>
      <c r="AD980" s="59">
        <v>976</v>
      </c>
      <c r="AE980" s="61">
        <f t="shared" ca="1" si="193"/>
        <v>-1.004799057300805</v>
      </c>
      <c r="AF980" s="61">
        <f t="shared" ca="1" si="193"/>
        <v>-0.11224364596174766</v>
      </c>
      <c r="AG980" s="61">
        <f t="shared" ca="1" si="193"/>
        <v>0.29599869075484275</v>
      </c>
      <c r="AH980" s="19"/>
      <c r="AI980" s="61">
        <f ca="1"/>
        <v>-2.1788348946132619E-2</v>
      </c>
      <c r="AJ980" s="61">
        <f ca="1"/>
        <v>-1.8167184249974069E-2</v>
      </c>
      <c r="AK980" s="61">
        <f ca="1"/>
        <v>-8.0534530409617586E-3</v>
      </c>
      <c r="AL980" s="19"/>
      <c r="AM980" s="61">
        <f t="shared" ca="1" si="197"/>
        <v>-2.1437132623622374E-2</v>
      </c>
      <c r="AN980" s="61">
        <f t="shared" ca="1" si="198"/>
        <v>-1.7918131653057539E-2</v>
      </c>
      <c r="AO980" s="61">
        <f t="shared" ca="1" si="199"/>
        <v>-7.6217844377069405E-3</v>
      </c>
      <c r="AP980" s="19"/>
      <c r="AQ980" s="62">
        <f t="shared" ca="1" si="194"/>
        <v>1.3544531582389392</v>
      </c>
      <c r="AR980" s="62">
        <f t="shared" ca="1" si="195"/>
        <v>1.2309909374456334</v>
      </c>
      <c r="AS980" s="62">
        <f t="shared" ca="1" si="196"/>
        <v>0.80777907134713611</v>
      </c>
      <c r="AT980" s="49"/>
    </row>
    <row r="981" spans="1:46" x14ac:dyDescent="0.3">
      <c r="A981" s="5">
        <v>44882</v>
      </c>
      <c r="B981" s="6">
        <v>75.589995999999999</v>
      </c>
      <c r="C981" s="6">
        <v>102.07</v>
      </c>
      <c r="D981" s="6">
        <v>137.91000399999999</v>
      </c>
      <c r="F981" s="13">
        <v>978</v>
      </c>
      <c r="G981" s="5">
        <v>44882</v>
      </c>
      <c r="H981" s="15">
        <f t="shared" si="192"/>
        <v>-1.6921779253152639E-2</v>
      </c>
      <c r="I981" s="15">
        <f t="shared" si="192"/>
        <v>1.9289355887790908E-2</v>
      </c>
      <c r="J981" s="15">
        <f t="shared" si="192"/>
        <v>1.7408316841184653E-2</v>
      </c>
      <c r="K981" s="22"/>
      <c r="L981" s="13">
        <v>978</v>
      </c>
      <c r="M981" s="5">
        <v>44882</v>
      </c>
      <c r="N981" s="26">
        <f t="shared" si="189"/>
        <v>1.3369295129655199</v>
      </c>
      <c r="O981" s="26">
        <f t="shared" si="190"/>
        <v>0.96803867663052579</v>
      </c>
      <c r="P981" s="26">
        <f t="shared" si="191"/>
        <v>1.8251721499516185</v>
      </c>
      <c r="Q981" s="22"/>
      <c r="AD981" s="59">
        <v>977</v>
      </c>
      <c r="AE981" s="61">
        <f t="shared" ca="1" si="193"/>
        <v>-2.2433803822190108</v>
      </c>
      <c r="AF981" s="61">
        <f t="shared" ca="1" si="193"/>
        <v>-1.2041053285000063</v>
      </c>
      <c r="AG981" s="61">
        <f t="shared" ca="1" si="193"/>
        <v>0.71173333022698038</v>
      </c>
      <c r="AH981" s="19"/>
      <c r="AI981" s="61">
        <f ca="1"/>
        <v>-4.8646099169321964E-2</v>
      </c>
      <c r="AJ981" s="61">
        <f ca="1"/>
        <v>-6.1286602448207321E-2</v>
      </c>
      <c r="AK981" s="61">
        <f ca="1"/>
        <v>-2.3392458617802349E-2</v>
      </c>
      <c r="AL981" s="19"/>
      <c r="AM981" s="61">
        <f t="shared" ca="1" si="197"/>
        <v>-4.8294882846811722E-2</v>
      </c>
      <c r="AN981" s="61">
        <f t="shared" ca="1" si="198"/>
        <v>-6.1037549851290791E-2</v>
      </c>
      <c r="AO981" s="61">
        <f t="shared" ca="1" si="199"/>
        <v>-2.2960790014547532E-2</v>
      </c>
      <c r="AP981" s="19"/>
      <c r="AQ981" s="62">
        <f t="shared" ca="1" si="194"/>
        <v>1.2905944378515419</v>
      </c>
      <c r="AR981" s="62">
        <f t="shared" ca="1" si="195"/>
        <v>1.1581013945508964</v>
      </c>
      <c r="AS981" s="62">
        <f t="shared" ca="1" si="196"/>
        <v>0.78944313505176833</v>
      </c>
      <c r="AT981" s="49"/>
    </row>
    <row r="982" spans="1:46" x14ac:dyDescent="0.3">
      <c r="A982" s="5">
        <v>44883</v>
      </c>
      <c r="B982" s="6">
        <v>75.5</v>
      </c>
      <c r="C982" s="6">
        <v>102.870003</v>
      </c>
      <c r="D982" s="6">
        <v>137.61999499999999</v>
      </c>
      <c r="F982" s="13">
        <v>979</v>
      </c>
      <c r="G982" s="5">
        <v>44883</v>
      </c>
      <c r="H982" s="15">
        <f t="shared" si="192"/>
        <v>-1.1912901320524018E-3</v>
      </c>
      <c r="I982" s="15">
        <f t="shared" si="192"/>
        <v>7.8072318905526112E-3</v>
      </c>
      <c r="J982" s="15">
        <f t="shared" si="192"/>
        <v>-2.1051000482644479E-3</v>
      </c>
      <c r="K982" s="22"/>
      <c r="L982" s="13">
        <v>979</v>
      </c>
      <c r="M982" s="5">
        <v>44883</v>
      </c>
      <c r="N982" s="26">
        <f t="shared" si="189"/>
        <v>1.335337790319459</v>
      </c>
      <c r="O982" s="26">
        <f t="shared" si="190"/>
        <v>0.97562595835307353</v>
      </c>
      <c r="P982" s="26">
        <f t="shared" si="191"/>
        <v>1.8213340212105353</v>
      </c>
      <c r="Q982" s="22"/>
      <c r="AD982" s="59">
        <v>978</v>
      </c>
      <c r="AE982" s="61">
        <f t="shared" ca="1" si="193"/>
        <v>-0.595645541092228</v>
      </c>
      <c r="AF982" s="61">
        <f t="shared" ca="1" si="193"/>
        <v>-0.35620069546812544</v>
      </c>
      <c r="AG982" s="61">
        <f t="shared" ca="1" si="193"/>
        <v>-0.929268725771626</v>
      </c>
      <c r="AH982" s="19"/>
      <c r="AI982" s="61">
        <f ca="1"/>
        <v>-1.2916147565254133E-2</v>
      </c>
      <c r="AJ982" s="61">
        <f ca="1"/>
        <v>-1.7065629878668956E-2</v>
      </c>
      <c r="AK982" s="61">
        <f ca="1"/>
        <v>-3.5117340559278579E-2</v>
      </c>
      <c r="AL982" s="19"/>
      <c r="AM982" s="61">
        <f t="shared" ca="1" si="197"/>
        <v>-1.2564931242743889E-2</v>
      </c>
      <c r="AN982" s="61">
        <f t="shared" ca="1" si="198"/>
        <v>-1.6816577281752426E-2</v>
      </c>
      <c r="AO982" s="61">
        <f t="shared" ca="1" si="199"/>
        <v>-3.4685671956023761E-2</v>
      </c>
      <c r="AP982" s="19"/>
      <c r="AQ982" s="62">
        <f t="shared" ca="1" si="194"/>
        <v>1.2744796600281822</v>
      </c>
      <c r="AR982" s="62">
        <f t="shared" ca="1" si="195"/>
        <v>1.138788932825689</v>
      </c>
      <c r="AS982" s="62">
        <f t="shared" ca="1" si="196"/>
        <v>0.76253021399812593</v>
      </c>
      <c r="AT982" s="49"/>
    </row>
    <row r="983" spans="1:46" x14ac:dyDescent="0.3">
      <c r="A983" s="5">
        <v>44886</v>
      </c>
      <c r="B983" s="6">
        <v>75.209998999999996</v>
      </c>
      <c r="C983" s="6">
        <v>101.16999800000001</v>
      </c>
      <c r="D983" s="6">
        <v>135.96000699999999</v>
      </c>
      <c r="F983" s="13">
        <v>980</v>
      </c>
      <c r="G983" s="5">
        <v>44886</v>
      </c>
      <c r="H983" s="15">
        <f t="shared" si="192"/>
        <v>-3.8484687127717191E-3</v>
      </c>
      <c r="I983" s="15">
        <f t="shared" si="192"/>
        <v>-1.6663833856866789E-2</v>
      </c>
      <c r="J983" s="15">
        <f t="shared" si="192"/>
        <v>-1.2135451128759576E-2</v>
      </c>
      <c r="K983" s="22"/>
      <c r="L983" s="13">
        <v>980</v>
      </c>
      <c r="M983" s="5">
        <v>44886</v>
      </c>
      <c r="N983" s="26">
        <f t="shared" si="189"/>
        <v>1.330208660590579</v>
      </c>
      <c r="O983" s="26">
        <f t="shared" si="190"/>
        <v>0.95950299773325121</v>
      </c>
      <c r="P983" s="26">
        <f t="shared" si="191"/>
        <v>1.7993648835194518</v>
      </c>
      <c r="Q983" s="22"/>
      <c r="AD983" s="59">
        <v>979</v>
      </c>
      <c r="AE983" s="61">
        <f t="shared" ca="1" si="193"/>
        <v>2.4157006717201597</v>
      </c>
      <c r="AF983" s="61">
        <f t="shared" ca="1" si="193"/>
        <v>1.2537551007650851</v>
      </c>
      <c r="AG983" s="61">
        <f t="shared" ca="1" si="193"/>
        <v>0.91829130269558268</v>
      </c>
      <c r="AH983" s="19"/>
      <c r="AI983" s="61">
        <f ca="1"/>
        <v>5.2382741407259119E-2</v>
      </c>
      <c r="AJ983" s="61">
        <f ca="1"/>
        <v>6.5063006173991828E-2</v>
      </c>
      <c r="AK983" s="61">
        <f ca="1"/>
        <v>6.8049399488038231E-2</v>
      </c>
      <c r="AL983" s="19"/>
      <c r="AM983" s="61">
        <f t="shared" ca="1" si="197"/>
        <v>5.2733957729769361E-2</v>
      </c>
      <c r="AN983" s="61">
        <f t="shared" ca="1" si="198"/>
        <v>6.5312058770908357E-2</v>
      </c>
      <c r="AO983" s="61">
        <f t="shared" ca="1" si="199"/>
        <v>6.8481068091293049E-2</v>
      </c>
      <c r="AP983" s="19"/>
      <c r="AQ983" s="62">
        <f t="shared" ca="1" si="194"/>
        <v>1.3434916625140505</v>
      </c>
      <c r="AR983" s="62">
        <f t="shared" ca="1" si="195"/>
        <v>1.2156481810268416</v>
      </c>
      <c r="AS983" s="62">
        <f t="shared" ca="1" si="196"/>
        <v>0.81657862317631214</v>
      </c>
      <c r="AT983" s="49"/>
    </row>
    <row r="984" spans="1:46" x14ac:dyDescent="0.3">
      <c r="A984" s="5">
        <v>44887</v>
      </c>
      <c r="B984" s="6">
        <v>77.089995999999999</v>
      </c>
      <c r="C984" s="6">
        <v>106.220001</v>
      </c>
      <c r="D984" s="6">
        <v>141.979996</v>
      </c>
      <c r="F984" s="13">
        <v>981</v>
      </c>
      <c r="G984" s="5">
        <v>44887</v>
      </c>
      <c r="H984" s="15">
        <f t="shared" si="192"/>
        <v>2.4689331041557738E-2</v>
      </c>
      <c r="I984" s="15">
        <f t="shared" si="192"/>
        <v>4.87101739595832E-2</v>
      </c>
      <c r="J984" s="15">
        <f t="shared" si="192"/>
        <v>4.3325398124612301E-2</v>
      </c>
      <c r="K984" s="22"/>
      <c r="L984" s="13">
        <v>981</v>
      </c>
      <c r="M984" s="5">
        <v>44887</v>
      </c>
      <c r="N984" s="26">
        <f t="shared" si="189"/>
        <v>1.3634594028394165</v>
      </c>
      <c r="O984" s="26">
        <f t="shared" si="190"/>
        <v>1.0073975624545226</v>
      </c>
      <c r="P984" s="26">
        <f t="shared" si="191"/>
        <v>1.8790365240613163</v>
      </c>
      <c r="Q984" s="22"/>
      <c r="AD984" s="59">
        <v>980</v>
      </c>
      <c r="AE984" s="61">
        <f t="shared" ca="1" si="193"/>
        <v>-1.3792758508063026</v>
      </c>
      <c r="AF984" s="61">
        <f t="shared" ca="1" si="193"/>
        <v>-0.73326104834400407</v>
      </c>
      <c r="AG984" s="61">
        <f t="shared" ca="1" si="193"/>
        <v>3.2290702558120272</v>
      </c>
      <c r="AH984" s="19"/>
      <c r="AI984" s="61">
        <f ca="1"/>
        <v>-2.9908610395267335E-2</v>
      </c>
      <c r="AJ984" s="61">
        <f ca="1"/>
        <v>-3.7527066760030738E-2</v>
      </c>
      <c r="AK984" s="61">
        <f ca="1"/>
        <v>5.718511904899317E-2</v>
      </c>
      <c r="AL984" s="19"/>
      <c r="AM984" s="61">
        <f t="shared" ca="1" si="197"/>
        <v>-2.9557394072757089E-2</v>
      </c>
      <c r="AN984" s="61">
        <f t="shared" ca="1" si="198"/>
        <v>-3.7278014163114208E-2</v>
      </c>
      <c r="AO984" s="61">
        <f t="shared" ca="1" si="199"/>
        <v>5.7616787652247987E-2</v>
      </c>
      <c r="AP984" s="19"/>
      <c r="AQ984" s="62">
        <f t="shared" ca="1" si="194"/>
        <v>1.3043626741537939</v>
      </c>
      <c r="AR984" s="62">
        <f t="shared" ca="1" si="195"/>
        <v>1.1711654951760604</v>
      </c>
      <c r="AS984" s="62">
        <f t="shared" ca="1" si="196"/>
        <v>0.8650090664790645</v>
      </c>
      <c r="AT984" s="49"/>
    </row>
    <row r="985" spans="1:46" x14ac:dyDescent="0.3">
      <c r="A985" s="5">
        <v>44888</v>
      </c>
      <c r="B985" s="6">
        <v>77.139999000000003</v>
      </c>
      <c r="C985" s="6">
        <v>107.099998</v>
      </c>
      <c r="D985" s="6">
        <v>139.21000699999999</v>
      </c>
      <c r="F985" s="13">
        <v>982</v>
      </c>
      <c r="G985" s="5">
        <v>44888</v>
      </c>
      <c r="H985" s="15">
        <f t="shared" si="192"/>
        <v>6.484212328735767E-4</v>
      </c>
      <c r="I985" s="15">
        <f t="shared" si="192"/>
        <v>8.2505343708905929E-3</v>
      </c>
      <c r="J985" s="15">
        <f t="shared" si="192"/>
        <v>-1.970253975403877E-2</v>
      </c>
      <c r="K985" s="22"/>
      <c r="L985" s="13">
        <v>982</v>
      </c>
      <c r="M985" s="5">
        <v>44888</v>
      </c>
      <c r="N985" s="26">
        <f t="shared" si="189"/>
        <v>1.3643437855616594</v>
      </c>
      <c r="O985" s="26">
        <f t="shared" si="190"/>
        <v>1.0157435125997056</v>
      </c>
      <c r="P985" s="26">
        <f t="shared" si="191"/>
        <v>1.8423770604123098</v>
      </c>
      <c r="Q985" s="22"/>
      <c r="AD985" s="59">
        <v>981</v>
      </c>
      <c r="AE985" s="61">
        <f t="shared" ca="1" si="193"/>
        <v>-0.58628478671268824</v>
      </c>
      <c r="AF985" s="61">
        <f t="shared" ca="1" si="193"/>
        <v>-1.0899926169890561</v>
      </c>
      <c r="AG985" s="61">
        <f t="shared" ca="1" si="193"/>
        <v>0.79862516226957581</v>
      </c>
      <c r="AH985" s="19"/>
      <c r="AI985" s="61">
        <f ca="1"/>
        <v>-1.2713166301151102E-2</v>
      </c>
      <c r="AJ985" s="61">
        <f ca="1"/>
        <v>-3.2868826317849889E-2</v>
      </c>
      <c r="AK985" s="61">
        <f ca="1"/>
        <v>4.1218327930897976E-3</v>
      </c>
      <c r="AL985" s="19"/>
      <c r="AM985" s="61">
        <f t="shared" ca="1" si="197"/>
        <v>-1.2361949978640858E-2</v>
      </c>
      <c r="AN985" s="61">
        <f t="shared" ca="1" si="198"/>
        <v>-3.2619773720933359E-2</v>
      </c>
      <c r="AO985" s="61">
        <f t="shared" ca="1" si="199"/>
        <v>4.5535013963446157E-3</v>
      </c>
      <c r="AP985" s="19"/>
      <c r="AQ985" s="62">
        <f t="shared" ca="1" si="194"/>
        <v>1.2883374635255993</v>
      </c>
      <c r="AR985" s="62">
        <f t="shared" ca="1" si="195"/>
        <v>1.1335787107267303</v>
      </c>
      <c r="AS985" s="62">
        <f t="shared" ca="1" si="196"/>
        <v>0.86895686780929893</v>
      </c>
      <c r="AT985" s="49"/>
    </row>
    <row r="986" spans="1:46" x14ac:dyDescent="0.3">
      <c r="A986" s="5">
        <v>44890</v>
      </c>
      <c r="B986" s="6">
        <v>77.809997999999993</v>
      </c>
      <c r="C986" s="6">
        <v>109.470001</v>
      </c>
      <c r="D986" s="6">
        <v>138.39999399999999</v>
      </c>
      <c r="F986" s="13">
        <v>983</v>
      </c>
      <c r="G986" s="5">
        <v>44890</v>
      </c>
      <c r="H986" s="15">
        <f t="shared" si="192"/>
        <v>8.6479921085627423E-3</v>
      </c>
      <c r="I986" s="15">
        <f t="shared" si="192"/>
        <v>2.1887589471822219E-2</v>
      </c>
      <c r="J986" s="15">
        <f t="shared" si="192"/>
        <v>-5.8356348532514852E-3</v>
      </c>
      <c r="K986" s="22"/>
      <c r="L986" s="13">
        <v>983</v>
      </c>
      <c r="M986" s="5">
        <v>44890</v>
      </c>
      <c r="N986" s="26">
        <f t="shared" si="189"/>
        <v>1.3761937853520732</v>
      </c>
      <c r="O986" s="26">
        <f t="shared" si="190"/>
        <v>1.0382207788653113</v>
      </c>
      <c r="P986" s="26">
        <f t="shared" si="191"/>
        <v>1.8316569304303052</v>
      </c>
      <c r="Q986" s="22"/>
      <c r="AD986" s="59">
        <v>982</v>
      </c>
      <c r="AE986" s="61">
        <f t="shared" ca="1" si="193"/>
        <v>0.5879134368327118</v>
      </c>
      <c r="AF986" s="61">
        <f t="shared" ca="1" si="193"/>
        <v>2.2901384135426408</v>
      </c>
      <c r="AG986" s="61">
        <f t="shared" ca="1" si="193"/>
        <v>-0.71557172559064131</v>
      </c>
      <c r="AH986" s="19"/>
      <c r="AI986" s="61">
        <f ca="1"/>
        <v>1.2748482414227044E-2</v>
      </c>
      <c r="AJ986" s="61">
        <f ca="1"/>
        <v>5.8980708671019559E-2</v>
      </c>
      <c r="AK986" s="61">
        <f ca="1"/>
        <v>6.4820363052630094E-3</v>
      </c>
      <c r="AL986" s="19"/>
      <c r="AM986" s="61">
        <f t="shared" ca="1" si="197"/>
        <v>1.3099698736737287E-2</v>
      </c>
      <c r="AN986" s="61">
        <f t="shared" ca="1" si="198"/>
        <v>5.9229761267936089E-2</v>
      </c>
      <c r="AO986" s="61">
        <f t="shared" ca="1" si="199"/>
        <v>6.9137049085178275E-3</v>
      </c>
      <c r="AP986" s="19"/>
      <c r="AQ986" s="62">
        <f t="shared" ca="1" si="194"/>
        <v>1.3053253211489086</v>
      </c>
      <c r="AR986" s="62">
        <f t="shared" ca="1" si="195"/>
        <v>1.2027485430550662</v>
      </c>
      <c r="AS986" s="62">
        <f t="shared" ca="1" si="196"/>
        <v>0.87498539488691618</v>
      </c>
      <c r="AT986" s="49"/>
    </row>
    <row r="987" spans="1:46" x14ac:dyDescent="0.3">
      <c r="A987" s="5">
        <v>44893</v>
      </c>
      <c r="B987" s="6">
        <v>76.029999000000004</v>
      </c>
      <c r="C987" s="6">
        <v>107.949997</v>
      </c>
      <c r="D987" s="6">
        <v>134.83999600000001</v>
      </c>
      <c r="F987" s="13">
        <v>984</v>
      </c>
      <c r="G987" s="5">
        <v>44893</v>
      </c>
      <c r="H987" s="15">
        <f t="shared" si="192"/>
        <v>-2.3141945837558874E-2</v>
      </c>
      <c r="I987" s="15">
        <f t="shared" si="192"/>
        <v>-1.3982419081216618E-2</v>
      </c>
      <c r="J987" s="15">
        <f t="shared" si="192"/>
        <v>-2.6059139129895287E-2</v>
      </c>
      <c r="K987" s="22"/>
      <c r="L987" s="13">
        <v>984</v>
      </c>
      <c r="M987" s="5">
        <v>44893</v>
      </c>
      <c r="N987" s="26">
        <f t="shared" si="189"/>
        <v>1.3447116670549759</v>
      </c>
      <c r="O987" s="26">
        <f t="shared" si="190"/>
        <v>1.0238049597153838</v>
      </c>
      <c r="P987" s="26">
        <f t="shared" si="191"/>
        <v>1.7845420800566991</v>
      </c>
      <c r="Q987" s="22"/>
      <c r="AD987" s="59">
        <v>983</v>
      </c>
      <c r="AE987" s="61">
        <f t="shared" ca="1" si="193"/>
        <v>0.61482321472794965</v>
      </c>
      <c r="AF987" s="61">
        <f t="shared" ca="1" si="193"/>
        <v>-0.2935709855882026</v>
      </c>
      <c r="AG987" s="61">
        <f t="shared" ca="1" si="193"/>
        <v>0.9422048559049343</v>
      </c>
      <c r="AH987" s="19"/>
      <c r="AI987" s="61">
        <f ca="1"/>
        <v>1.3332001702570526E-2</v>
      </c>
      <c r="AJ987" s="61">
        <f ca="1"/>
        <v>3.2423566035217882E-3</v>
      </c>
      <c r="AK987" s="61">
        <f ca="1"/>
        <v>3.1156132717111949E-2</v>
      </c>
      <c r="AL987" s="19"/>
      <c r="AM987" s="61">
        <f t="shared" ca="1" si="197"/>
        <v>1.368321802508077E-2</v>
      </c>
      <c r="AN987" s="61">
        <f t="shared" ca="1" si="198"/>
        <v>3.4914092004383187E-3</v>
      </c>
      <c r="AO987" s="61">
        <f t="shared" ca="1" si="199"/>
        <v>3.1587801320366767E-2</v>
      </c>
      <c r="AP987" s="19"/>
      <c r="AQ987" s="62">
        <f t="shared" ca="1" si="194"/>
        <v>1.3233091297063742</v>
      </c>
      <c r="AR987" s="62">
        <f t="shared" ca="1" si="195"/>
        <v>1.2069551696382712</v>
      </c>
      <c r="AS987" s="62">
        <f t="shared" ca="1" si="196"/>
        <v>0.90306541800467899</v>
      </c>
      <c r="AT987" s="49"/>
    </row>
    <row r="988" spans="1:46" x14ac:dyDescent="0.3">
      <c r="A988" s="5">
        <v>44894</v>
      </c>
      <c r="B988" s="6">
        <v>76.209998999999996</v>
      </c>
      <c r="C988" s="6">
        <v>112.660004</v>
      </c>
      <c r="D988" s="6">
        <v>135.199997</v>
      </c>
      <c r="F988" s="13">
        <v>985</v>
      </c>
      <c r="G988" s="5">
        <v>44894</v>
      </c>
      <c r="H988" s="15">
        <f t="shared" si="192"/>
        <v>2.3646884687460968E-3</v>
      </c>
      <c r="I988" s="15">
        <f t="shared" si="192"/>
        <v>4.27063398014546E-2</v>
      </c>
      <c r="J988" s="15">
        <f t="shared" si="192"/>
        <v>2.6662807184426938E-3</v>
      </c>
      <c r="K988" s="22"/>
      <c r="L988" s="13">
        <v>985</v>
      </c>
      <c r="M988" s="5">
        <v>44894</v>
      </c>
      <c r="N988" s="26">
        <f t="shared" si="189"/>
        <v>1.3478952538398434</v>
      </c>
      <c r="O988" s="26">
        <f t="shared" si="190"/>
        <v>1.0684749797330237</v>
      </c>
      <c r="P988" s="26">
        <f t="shared" si="191"/>
        <v>1.7893065190393469</v>
      </c>
      <c r="Q988" s="22"/>
      <c r="AD988" s="59">
        <v>984</v>
      </c>
      <c r="AE988" s="61">
        <f t="shared" ca="1" si="193"/>
        <v>7.5387999265016728E-2</v>
      </c>
      <c r="AF988" s="61">
        <f t="shared" ca="1" si="193"/>
        <v>0.52237021766405145</v>
      </c>
      <c r="AG988" s="61">
        <f t="shared" ca="1" si="193"/>
        <v>-0.74187115056078989</v>
      </c>
      <c r="AH988" s="19"/>
      <c r="AI988" s="61">
        <f ca="1"/>
        <v>1.6347348481291794E-3</v>
      </c>
      <c r="AJ988" s="61">
        <f ca="1"/>
        <v>1.2534246690706484E-2</v>
      </c>
      <c r="AK988" s="61">
        <f ca="1"/>
        <v>-1.4214035002354873E-2</v>
      </c>
      <c r="AL988" s="19"/>
      <c r="AM988" s="61">
        <f t="shared" ca="1" si="197"/>
        <v>1.9859511706394237E-3</v>
      </c>
      <c r="AN988" s="61">
        <f t="shared" ca="1" si="198"/>
        <v>1.2783299287623015E-2</v>
      </c>
      <c r="AO988" s="61">
        <f t="shared" ca="1" si="199"/>
        <v>-1.3782366399100054E-2</v>
      </c>
      <c r="AP988" s="19"/>
      <c r="AQ988" s="62">
        <f t="shared" ca="1" si="194"/>
        <v>1.3259397683169429</v>
      </c>
      <c r="AR988" s="62">
        <f t="shared" ca="1" si="195"/>
        <v>1.2224830762832382</v>
      </c>
      <c r="AS988" s="62">
        <f t="shared" ca="1" si="196"/>
        <v>0.89070441712046122</v>
      </c>
      <c r="AT988" s="49"/>
    </row>
    <row r="989" spans="1:46" x14ac:dyDescent="0.3">
      <c r="A989" s="5">
        <v>44895</v>
      </c>
      <c r="B989" s="6">
        <v>78.779999000000004</v>
      </c>
      <c r="C989" s="6">
        <v>113.120003</v>
      </c>
      <c r="D989" s="6">
        <v>133.61999499999999</v>
      </c>
      <c r="F989" s="13">
        <v>986</v>
      </c>
      <c r="G989" s="5">
        <v>44895</v>
      </c>
      <c r="H989" s="15">
        <f t="shared" si="192"/>
        <v>3.3166470292794431E-2</v>
      </c>
      <c r="I989" s="15">
        <f t="shared" si="192"/>
        <v>4.0747596971447723E-3</v>
      </c>
      <c r="J989" s="15">
        <f t="shared" si="192"/>
        <v>-1.1755228341731783E-2</v>
      </c>
      <c r="K989" s="22"/>
      <c r="L989" s="13">
        <v>986</v>
      </c>
      <c r="M989" s="5">
        <v>44895</v>
      </c>
      <c r="N989" s="26">
        <f t="shared" si="189"/>
        <v>1.393349798490453</v>
      </c>
      <c r="O989" s="26">
        <f t="shared" si="190"/>
        <v>1.0728376408794074</v>
      </c>
      <c r="P989" s="26">
        <f t="shared" si="191"/>
        <v>1.7683959573424022</v>
      </c>
      <c r="Q989" s="22"/>
      <c r="AD989" s="59">
        <v>985</v>
      </c>
      <c r="AE989" s="61">
        <f t="shared" ca="1" si="193"/>
        <v>-1.1080702014377195</v>
      </c>
      <c r="AF989" s="61">
        <f t="shared" ca="1" si="193"/>
        <v>-0.41651792635294027</v>
      </c>
      <c r="AG989" s="61">
        <f t="shared" ca="1" si="193"/>
        <v>-0.79932197225008061</v>
      </c>
      <c r="AH989" s="19"/>
      <c r="AI989" s="61">
        <f ca="1"/>
        <v>-2.402770984936229E-2</v>
      </c>
      <c r="AJ989" s="61">
        <f ca="1"/>
        <v>-2.6397330212709832E-2</v>
      </c>
      <c r="AK989" s="61">
        <f ca="1"/>
        <v>-3.9784246463048276E-2</v>
      </c>
      <c r="AL989" s="19"/>
      <c r="AM989" s="61">
        <f t="shared" ca="1" si="197"/>
        <v>-2.3676493526852044E-2</v>
      </c>
      <c r="AN989" s="61">
        <f t="shared" ca="1" si="198"/>
        <v>-2.6148277615793303E-2</v>
      </c>
      <c r="AO989" s="61">
        <f t="shared" ca="1" si="199"/>
        <v>-3.9352577859793458E-2</v>
      </c>
      <c r="AP989" s="19"/>
      <c r="AQ989" s="62">
        <f t="shared" ca="1" si="194"/>
        <v>1.2949148934044528</v>
      </c>
      <c r="AR989" s="62">
        <f t="shared" ca="1" si="195"/>
        <v>1.1909315560911908</v>
      </c>
      <c r="AS989" s="62">
        <f t="shared" ca="1" si="196"/>
        <v>0.85633362729565998</v>
      </c>
      <c r="AT989" s="49"/>
    </row>
    <row r="990" spans="1:46" x14ac:dyDescent="0.3">
      <c r="A990" s="5">
        <v>44896</v>
      </c>
      <c r="B990" s="6">
        <v>78.480002999999996</v>
      </c>
      <c r="C990" s="6">
        <v>113.879997</v>
      </c>
      <c r="D990" s="6">
        <v>132.029999</v>
      </c>
      <c r="F990" s="13">
        <v>987</v>
      </c>
      <c r="G990" s="5">
        <v>44896</v>
      </c>
      <c r="H990" s="15">
        <f t="shared" si="192"/>
        <v>-3.8152913657761543E-3</v>
      </c>
      <c r="I990" s="15">
        <f t="shared" si="192"/>
        <v>6.6960073975456044E-3</v>
      </c>
      <c r="J990" s="15">
        <f t="shared" si="192"/>
        <v>-1.1970751160708979E-2</v>
      </c>
      <c r="K990" s="22"/>
      <c r="L990" s="13">
        <v>987</v>
      </c>
      <c r="M990" s="5">
        <v>44896</v>
      </c>
      <c r="N990" s="26">
        <f t="shared" si="189"/>
        <v>1.3880438912620465</v>
      </c>
      <c r="O990" s="26">
        <f t="shared" si="190"/>
        <v>1.0800454745818384</v>
      </c>
      <c r="P990" s="26">
        <f t="shared" si="191"/>
        <v>1.7473531298928835</v>
      </c>
      <c r="Q990" s="22"/>
      <c r="AD990" s="59">
        <v>986</v>
      </c>
      <c r="AE990" s="61">
        <f t="shared" ca="1" si="193"/>
        <v>-0.14098143352830714</v>
      </c>
      <c r="AF990" s="61">
        <f t="shared" ca="1" si="193"/>
        <v>-0.76679137708572798</v>
      </c>
      <c r="AG990" s="61">
        <f t="shared" ca="1" si="193"/>
        <v>1.3746830611642289</v>
      </c>
      <c r="AH990" s="19"/>
      <c r="AI990" s="61">
        <f ca="1"/>
        <v>-3.057081559065567E-3</v>
      </c>
      <c r="AJ990" s="61">
        <f ca="1"/>
        <v>-1.8873679914985869E-2</v>
      </c>
      <c r="AK990" s="61">
        <f ca="1"/>
        <v>2.7736142532736364E-2</v>
      </c>
      <c r="AL990" s="19"/>
      <c r="AM990" s="61">
        <f t="shared" ca="1" si="197"/>
        <v>-2.7058652365553226E-3</v>
      </c>
      <c r="AN990" s="61">
        <f t="shared" ca="1" si="198"/>
        <v>-1.8624627318069339E-2</v>
      </c>
      <c r="AO990" s="61">
        <f t="shared" ca="1" si="199"/>
        <v>2.8167811135991181E-2</v>
      </c>
      <c r="AP990" s="19"/>
      <c r="AQ990" s="62">
        <f t="shared" ca="1" si="194"/>
        <v>1.291415764430782</v>
      </c>
      <c r="AR990" s="62">
        <f t="shared" ca="1" si="195"/>
        <v>1.1689561765500611</v>
      </c>
      <c r="AS990" s="62">
        <f t="shared" ca="1" si="196"/>
        <v>0.88079760198077772</v>
      </c>
      <c r="AT990" s="49"/>
    </row>
    <row r="991" spans="1:46" x14ac:dyDescent="0.3">
      <c r="A991" s="5">
        <v>44897</v>
      </c>
      <c r="B991" s="6">
        <v>77.480002999999996</v>
      </c>
      <c r="C991" s="6">
        <v>115.55999799999999</v>
      </c>
      <c r="D991" s="6">
        <v>127.07</v>
      </c>
      <c r="F991" s="13">
        <v>988</v>
      </c>
      <c r="G991" s="5">
        <v>44897</v>
      </c>
      <c r="H991" s="15">
        <f t="shared" si="192"/>
        <v>-1.2823976224942671E-2</v>
      </c>
      <c r="I991" s="15">
        <f t="shared" si="192"/>
        <v>1.4644622224690689E-2</v>
      </c>
      <c r="J991" s="15">
        <f t="shared" si="192"/>
        <v>-3.8291046200630542E-2</v>
      </c>
      <c r="K991" s="22"/>
      <c r="L991" s="13">
        <v>988</v>
      </c>
      <c r="M991" s="5">
        <v>44897</v>
      </c>
      <c r="N991" s="26">
        <f t="shared" si="189"/>
        <v>1.3703572980127821</v>
      </c>
      <c r="O991" s="26">
        <f t="shared" si="190"/>
        <v>1.0959787159336358</v>
      </c>
      <c r="P991" s="26">
        <f t="shared" si="191"/>
        <v>1.6817099439309144</v>
      </c>
      <c r="Q991" s="22"/>
      <c r="AD991" s="59">
        <v>987</v>
      </c>
      <c r="AE991" s="61">
        <f t="shared" ca="1" si="193"/>
        <v>0.71265862433611182</v>
      </c>
      <c r="AF991" s="61">
        <f t="shared" ca="1" si="193"/>
        <v>0.31290190399589934</v>
      </c>
      <c r="AG991" s="61">
        <f t="shared" ca="1" si="193"/>
        <v>0.73860263275456128</v>
      </c>
      <c r="AH991" s="19"/>
      <c r="AI991" s="61">
        <f ca="1"/>
        <v>1.545349259006874E-2</v>
      </c>
      <c r="AJ991" s="61">
        <f ca="1"/>
        <v>1.7956014904391991E-2</v>
      </c>
      <c r="AK991" s="61">
        <f ca="1"/>
        <v>3.1656485978871204E-2</v>
      </c>
      <c r="AL991" s="19"/>
      <c r="AM991" s="61">
        <f t="shared" ca="1" si="197"/>
        <v>1.5804708912578985E-2</v>
      </c>
      <c r="AN991" s="61">
        <f t="shared" ca="1" si="198"/>
        <v>1.8205067501308521E-2</v>
      </c>
      <c r="AO991" s="61">
        <f t="shared" ca="1" si="199"/>
        <v>3.2088154582126022E-2</v>
      </c>
      <c r="AP991" s="19"/>
      <c r="AQ991" s="62">
        <f t="shared" ca="1" si="194"/>
        <v>1.3119883583702336</v>
      </c>
      <c r="AR991" s="62">
        <f t="shared" ca="1" si="195"/>
        <v>1.1904319938711874</v>
      </c>
      <c r="AS991" s="62">
        <f t="shared" ca="1" si="196"/>
        <v>0.90951911741971747</v>
      </c>
      <c r="AT991" s="49"/>
    </row>
    <row r="992" spans="1:46" x14ac:dyDescent="0.3">
      <c r="A992" s="5">
        <v>44900</v>
      </c>
      <c r="B992" s="6">
        <v>75.559997999999993</v>
      </c>
      <c r="C992" s="6">
        <v>111.010002</v>
      </c>
      <c r="D992" s="6">
        <v>120.959999</v>
      </c>
      <c r="F992" s="13">
        <v>989</v>
      </c>
      <c r="G992" s="5">
        <v>44900</v>
      </c>
      <c r="H992" s="15">
        <f t="shared" si="192"/>
        <v>-2.5092861094186843E-2</v>
      </c>
      <c r="I992" s="15">
        <f t="shared" si="192"/>
        <v>-4.0169552930057119E-2</v>
      </c>
      <c r="J992" s="15">
        <f t="shared" si="192"/>
        <v>-4.92782115524159E-2</v>
      </c>
      <c r="K992" s="22"/>
      <c r="L992" s="13">
        <v>989</v>
      </c>
      <c r="M992" s="5">
        <v>44900</v>
      </c>
      <c r="N992" s="26">
        <f t="shared" si="189"/>
        <v>1.3363989505412284</v>
      </c>
      <c r="O992" s="26">
        <f t="shared" si="190"/>
        <v>1.0528262508947979</v>
      </c>
      <c r="P992" s="26">
        <f t="shared" si="191"/>
        <v>1.6008470381378253</v>
      </c>
      <c r="Q992" s="22"/>
      <c r="AD992" s="59">
        <v>988</v>
      </c>
      <c r="AE992" s="61">
        <f t="shared" ca="1" si="193"/>
        <v>-1.0966063086131885</v>
      </c>
      <c r="AF992" s="61">
        <f t="shared" ca="1" si="193"/>
        <v>1.4023662085392843</v>
      </c>
      <c r="AG992" s="61">
        <f t="shared" ca="1" si="193"/>
        <v>3.2869502522130313E-2</v>
      </c>
      <c r="AH992" s="19"/>
      <c r="AI992" s="61">
        <f ca="1"/>
        <v>-2.3779123532200599E-2</v>
      </c>
      <c r="AJ992" s="61">
        <f ca="1"/>
        <v>1.3317404102270586E-2</v>
      </c>
      <c r="AK992" s="61">
        <f ca="1"/>
        <v>-5.4847329546454651E-3</v>
      </c>
      <c r="AL992" s="19"/>
      <c r="AM992" s="61">
        <f t="shared" ca="1" si="197"/>
        <v>-2.3427907209690353E-2</v>
      </c>
      <c r="AN992" s="61">
        <f t="shared" ca="1" si="198"/>
        <v>1.3566456699187117E-2</v>
      </c>
      <c r="AO992" s="61">
        <f t="shared" ca="1" si="199"/>
        <v>-5.053064351390647E-3</v>
      </c>
      <c r="AP992" s="19"/>
      <c r="AQ992" s="62">
        <f t="shared" ca="1" si="194"/>
        <v>1.2816084749251695</v>
      </c>
      <c r="AR992" s="62">
        <f t="shared" ca="1" si="195"/>
        <v>1.2066919838089443</v>
      </c>
      <c r="AS992" s="62">
        <f t="shared" ca="1" si="196"/>
        <v>0.90493485084193093</v>
      </c>
      <c r="AT992" s="49"/>
    </row>
    <row r="993" spans="1:46" x14ac:dyDescent="0.3">
      <c r="A993" s="5">
        <v>44901</v>
      </c>
      <c r="B993" s="6">
        <v>73.849997999999999</v>
      </c>
      <c r="C993" s="6">
        <v>110.82</v>
      </c>
      <c r="D993" s="6">
        <v>118.860001</v>
      </c>
      <c r="F993" s="13">
        <v>990</v>
      </c>
      <c r="G993" s="5">
        <v>44901</v>
      </c>
      <c r="H993" s="15">
        <f t="shared" si="192"/>
        <v>-2.2891034268811537E-2</v>
      </c>
      <c r="I993" s="15">
        <f t="shared" si="192"/>
        <v>-1.7130419217470114E-3</v>
      </c>
      <c r="J993" s="15">
        <f t="shared" si="192"/>
        <v>-1.7513565812253259E-2</v>
      </c>
      <c r="K993" s="22"/>
      <c r="L993" s="13">
        <v>990</v>
      </c>
      <c r="M993" s="5">
        <v>44901</v>
      </c>
      <c r="N993" s="26">
        <f t="shared" si="189"/>
        <v>1.3061548760849864</v>
      </c>
      <c r="O993" s="26">
        <f t="shared" si="190"/>
        <v>1.051024259274957</v>
      </c>
      <c r="P993" s="26">
        <f t="shared" si="191"/>
        <v>1.5730545810760874</v>
      </c>
      <c r="Q993" s="22"/>
      <c r="AD993" s="59">
        <v>989</v>
      </c>
      <c r="AE993" s="61">
        <f t="shared" ca="1" si="193"/>
        <v>-0.7041300881235516</v>
      </c>
      <c r="AF993" s="61">
        <f t="shared" ca="1" si="193"/>
        <v>-1.2196841277325403</v>
      </c>
      <c r="AG993" s="61">
        <f t="shared" ca="1" si="193"/>
        <v>-0.93827841072126916</v>
      </c>
      <c r="AH993" s="19"/>
      <c r="AI993" s="61">
        <f ca="1"/>
        <v>-1.5268557381731496E-2</v>
      </c>
      <c r="AJ993" s="61">
        <f ca="1"/>
        <v>-3.7532357759250817E-2</v>
      </c>
      <c r="AK993" s="61">
        <f ca="1"/>
        <v>-4.3032134824807153E-2</v>
      </c>
      <c r="AL993" s="19"/>
      <c r="AM993" s="61">
        <f t="shared" ca="1" si="197"/>
        <v>-1.4917341059221252E-2</v>
      </c>
      <c r="AN993" s="61">
        <f t="shared" ca="1" si="198"/>
        <v>-3.7283305162334288E-2</v>
      </c>
      <c r="AO993" s="61">
        <f t="shared" ca="1" si="199"/>
        <v>-4.2600466221552336E-2</v>
      </c>
      <c r="AP993" s="19"/>
      <c r="AQ993" s="62">
        <f t="shared" ca="1" si="194"/>
        <v>1.2626321740700099</v>
      </c>
      <c r="AR993" s="62">
        <f t="shared" ca="1" si="195"/>
        <v>1.1625308698590571</v>
      </c>
      <c r="AS993" s="62">
        <f t="shared" ca="1" si="196"/>
        <v>0.86719380490295439</v>
      </c>
      <c r="AT993" s="49"/>
    </row>
    <row r="994" spans="1:46" x14ac:dyDescent="0.3">
      <c r="A994" s="5">
        <v>44902</v>
      </c>
      <c r="B994" s="6">
        <v>73.889999000000003</v>
      </c>
      <c r="C994" s="6">
        <v>109.779999</v>
      </c>
      <c r="D994" s="6">
        <v>120.19000200000001</v>
      </c>
      <c r="F994" s="13">
        <v>991</v>
      </c>
      <c r="G994" s="5">
        <v>44902</v>
      </c>
      <c r="H994" s="15">
        <f t="shared" si="192"/>
        <v>5.4150537145943099E-4</v>
      </c>
      <c r="I994" s="15">
        <f t="shared" si="192"/>
        <v>-9.4289094265877556E-3</v>
      </c>
      <c r="J994" s="15">
        <f t="shared" si="192"/>
        <v>1.1127502253242992E-2</v>
      </c>
      <c r="K994" s="22"/>
      <c r="L994" s="13">
        <v>991</v>
      </c>
      <c r="M994" s="5">
        <v>44902</v>
      </c>
      <c r="N994" s="26">
        <f t="shared" si="189"/>
        <v>1.3068623575015503</v>
      </c>
      <c r="O994" s="26">
        <f t="shared" si="190"/>
        <v>1.041160820539438</v>
      </c>
      <c r="P994" s="26">
        <f t="shared" si="191"/>
        <v>1.5906565005467579</v>
      </c>
      <c r="Q994" s="22"/>
      <c r="AD994" s="59">
        <v>990</v>
      </c>
      <c r="AE994" s="61">
        <f t="shared" ca="1" si="193"/>
        <v>0.71928463749996741</v>
      </c>
      <c r="AF994" s="61">
        <f t="shared" ca="1" si="193"/>
        <v>-2.061898022328065</v>
      </c>
      <c r="AG994" s="61">
        <f t="shared" ca="1" si="193"/>
        <v>0.27142923134806485</v>
      </c>
      <c r="AH994" s="19"/>
      <c r="AI994" s="61">
        <f ca="1"/>
        <v>1.5597172946739828E-2</v>
      </c>
      <c r="AJ994" s="61">
        <f ca="1"/>
        <v>-3.3558965522635646E-2</v>
      </c>
      <c r="AK994" s="61">
        <f ca="1"/>
        <v>3.0609922611565957E-3</v>
      </c>
      <c r="AL994" s="19"/>
      <c r="AM994" s="61">
        <f t="shared" ca="1" si="197"/>
        <v>1.5948389269250074E-2</v>
      </c>
      <c r="AN994" s="61">
        <f t="shared" ca="1" si="198"/>
        <v>-3.3309912925719116E-2</v>
      </c>
      <c r="AO994" s="61">
        <f t="shared" ca="1" si="199"/>
        <v>3.4926608644114138E-3</v>
      </c>
      <c r="AP994" s="19"/>
      <c r="AQ994" s="62">
        <f t="shared" ca="1" si="194"/>
        <v>1.2829305564969968</v>
      </c>
      <c r="AR994" s="62">
        <f t="shared" ca="1" si="195"/>
        <v>1.1244449092847613</v>
      </c>
      <c r="AS994" s="62">
        <f t="shared" ca="1" si="196"/>
        <v>0.87022791424032608</v>
      </c>
      <c r="AT994" s="49"/>
    </row>
    <row r="995" spans="1:46" x14ac:dyDescent="0.3">
      <c r="A995" s="5">
        <v>44903</v>
      </c>
      <c r="B995" s="6">
        <v>73.010002</v>
      </c>
      <c r="C995" s="6">
        <v>112.129997</v>
      </c>
      <c r="D995" s="6">
        <v>116.900002</v>
      </c>
      <c r="F995" s="13">
        <v>992</v>
      </c>
      <c r="G995" s="5">
        <v>44903</v>
      </c>
      <c r="H995" s="15">
        <f t="shared" si="192"/>
        <v>-1.1981041805423346E-2</v>
      </c>
      <c r="I995" s="15">
        <f t="shared" si="192"/>
        <v>2.1180531705513508E-2</v>
      </c>
      <c r="J995" s="15">
        <f t="shared" si="192"/>
        <v>-2.7754955018354486E-2</v>
      </c>
      <c r="K995" s="22"/>
      <c r="L995" s="13">
        <v>992</v>
      </c>
      <c r="M995" s="5">
        <v>44903</v>
      </c>
      <c r="N995" s="26">
        <f t="shared" si="189"/>
        <v>1.2912982085019773</v>
      </c>
      <c r="O995" s="26">
        <f t="shared" si="190"/>
        <v>1.0634483580529521</v>
      </c>
      <c r="P995" s="26">
        <f t="shared" si="191"/>
        <v>1.5471149430152182</v>
      </c>
      <c r="Q995" s="22"/>
      <c r="AD995" s="59">
        <v>991</v>
      </c>
      <c r="AE995" s="61">
        <f t="shared" ca="1" si="193"/>
        <v>1.6972199351876138</v>
      </c>
      <c r="AF995" s="61">
        <f t="shared" ca="1" si="193"/>
        <v>0.722975721955043</v>
      </c>
      <c r="AG995" s="61">
        <f t="shared" ca="1" si="193"/>
        <v>-0.19591069142911655</v>
      </c>
      <c r="AH995" s="19"/>
      <c r="AI995" s="61">
        <f ca="1"/>
        <v>3.6803000478064535E-2</v>
      </c>
      <c r="AJ995" s="61">
        <f ca="1"/>
        <v>4.2280072972235211E-2</v>
      </c>
      <c r="AK995" s="61">
        <f ca="1"/>
        <v>2.5149656294085523E-2</v>
      </c>
      <c r="AL995" s="19"/>
      <c r="AM995" s="61">
        <f t="shared" ca="1" si="197"/>
        <v>3.7154216800574777E-2</v>
      </c>
      <c r="AN995" s="61">
        <f t="shared" ca="1" si="198"/>
        <v>4.2529125569151741E-2</v>
      </c>
      <c r="AO995" s="61">
        <f t="shared" ca="1" si="199"/>
        <v>2.558132489734034E-2</v>
      </c>
      <c r="AP995" s="19"/>
      <c r="AQ995" s="62">
        <f t="shared" ca="1" si="194"/>
        <v>1.3314934075177192</v>
      </c>
      <c r="AR995" s="62">
        <f t="shared" ca="1" si="195"/>
        <v>1.17329804533107</v>
      </c>
      <c r="AS995" s="62">
        <f t="shared" ca="1" si="196"/>
        <v>0.89277668126298526</v>
      </c>
      <c r="AT995" s="49"/>
    </row>
    <row r="996" spans="1:46" x14ac:dyDescent="0.3">
      <c r="A996" s="5">
        <v>44904</v>
      </c>
      <c r="B996" s="6">
        <v>73.010002</v>
      </c>
      <c r="C996" s="6">
        <v>107.510002</v>
      </c>
      <c r="D996" s="6">
        <v>114.650002</v>
      </c>
      <c r="F996" s="13">
        <v>993</v>
      </c>
      <c r="G996" s="5">
        <v>44904</v>
      </c>
      <c r="H996" s="15">
        <f t="shared" si="192"/>
        <v>0</v>
      </c>
      <c r="I996" s="15">
        <f t="shared" si="192"/>
        <v>-4.2075000618072088E-2</v>
      </c>
      <c r="J996" s="15">
        <f t="shared" si="192"/>
        <v>-1.9434858838353143E-2</v>
      </c>
      <c r="K996" s="22"/>
      <c r="L996" s="13">
        <v>993</v>
      </c>
      <c r="M996" s="5">
        <v>44904</v>
      </c>
      <c r="N996" s="26">
        <f t="shared" si="189"/>
        <v>1.2912982085019773</v>
      </c>
      <c r="O996" s="26">
        <f t="shared" si="190"/>
        <v>1.0196320178370253</v>
      </c>
      <c r="P996" s="26">
        <f t="shared" si="191"/>
        <v>1.5173372820893936</v>
      </c>
      <c r="Q996" s="22"/>
      <c r="AD996" s="59">
        <v>992</v>
      </c>
      <c r="AE996" s="61">
        <f t="shared" ca="1" si="193"/>
        <v>0.64634254561615667</v>
      </c>
      <c r="AF996" s="61">
        <f t="shared" ca="1" si="193"/>
        <v>-2.3699633689153488</v>
      </c>
      <c r="AG996" s="61">
        <f t="shared" ca="1" si="193"/>
        <v>7.238942358753489E-2</v>
      </c>
      <c r="AH996" s="19"/>
      <c r="AI996" s="61">
        <f ca="1"/>
        <v>1.4015475850909898E-2</v>
      </c>
      <c r="AJ996" s="61">
        <f ca="1"/>
        <v>-4.1396793592382727E-2</v>
      </c>
      <c r="AK996" s="61">
        <f ca="1"/>
        <v>-5.2856960078206689E-3</v>
      </c>
      <c r="AL996" s="19"/>
      <c r="AM996" s="61">
        <f t="shared" ca="1" si="197"/>
        <v>1.4366692173420141E-2</v>
      </c>
      <c r="AN996" s="61">
        <f t="shared" ca="1" si="198"/>
        <v>-4.1147740995466198E-2</v>
      </c>
      <c r="AO996" s="61">
        <f t="shared" ca="1" si="199"/>
        <v>-4.8540274045658508E-3</v>
      </c>
      <c r="AP996" s="19"/>
      <c r="AQ996" s="62">
        <f t="shared" ca="1" si="194"/>
        <v>1.3507606352009074</v>
      </c>
      <c r="AR996" s="62">
        <f t="shared" ca="1" si="195"/>
        <v>1.125999273476592</v>
      </c>
      <c r="AS996" s="62">
        <f t="shared" ca="1" si="196"/>
        <v>0.88845361940452172</v>
      </c>
      <c r="AT996" s="49"/>
    </row>
    <row r="997" spans="1:46" x14ac:dyDescent="0.3">
      <c r="A997" s="5">
        <v>44907</v>
      </c>
      <c r="B997" s="6">
        <v>74.919998000000007</v>
      </c>
      <c r="C997" s="6">
        <v>111.220001</v>
      </c>
      <c r="D997" s="6">
        <v>120.660004</v>
      </c>
      <c r="F997" s="13">
        <v>994</v>
      </c>
      <c r="G997" s="5">
        <v>44907</v>
      </c>
      <c r="H997" s="15">
        <f t="shared" si="192"/>
        <v>2.5824405419244197E-2</v>
      </c>
      <c r="I997" s="15">
        <f t="shared" si="192"/>
        <v>3.392634565054941E-2</v>
      </c>
      <c r="J997" s="15">
        <f t="shared" si="192"/>
        <v>5.1092679415308706E-2</v>
      </c>
      <c r="K997" s="22"/>
      <c r="L997" s="13">
        <v>994</v>
      </c>
      <c r="M997" s="5">
        <v>44907</v>
      </c>
      <c r="N997" s="26">
        <f t="shared" si="189"/>
        <v>1.3250795308616994</v>
      </c>
      <c r="O997" s="26">
        <f t="shared" si="190"/>
        <v>1.0548178953941976</v>
      </c>
      <c r="P997" s="26">
        <f t="shared" si="191"/>
        <v>1.5968767495202953</v>
      </c>
      <c r="Q997" s="22"/>
      <c r="AD997" s="59">
        <v>993</v>
      </c>
      <c r="AE997" s="61">
        <f t="shared" ca="1" si="193"/>
        <v>-0.98263411144164292</v>
      </c>
      <c r="AF997" s="61">
        <f t="shared" ca="1" si="193"/>
        <v>1.0551807007908431</v>
      </c>
      <c r="AG997" s="61">
        <f t="shared" ca="1" si="193"/>
        <v>1.6705214069311332</v>
      </c>
      <c r="AH997" s="19"/>
      <c r="AI997" s="61">
        <f ca="1"/>
        <v>-2.1307717947086028E-2</v>
      </c>
      <c r="AJ997" s="61">
        <f ca="1"/>
        <v>7.554905134514768E-3</v>
      </c>
      <c r="AK997" s="61">
        <f ca="1"/>
        <v>3.5710796486832744E-2</v>
      </c>
      <c r="AL997" s="19"/>
      <c r="AM997" s="61">
        <f t="shared" ca="1" si="197"/>
        <v>-2.0956501624575782E-2</v>
      </c>
      <c r="AN997" s="61">
        <f t="shared" ca="1" si="198"/>
        <v>7.8039577314312986E-3</v>
      </c>
      <c r="AO997" s="61">
        <f t="shared" ca="1" si="199"/>
        <v>3.6142465090087561E-2</v>
      </c>
      <c r="AP997" s="19"/>
      <c r="AQ997" s="62">
        <f t="shared" ca="1" si="194"/>
        <v>1.3227479667188928</v>
      </c>
      <c r="AR997" s="62">
        <f t="shared" ca="1" si="195"/>
        <v>1.1348209012465387</v>
      </c>
      <c r="AS997" s="62">
        <f t="shared" ca="1" si="196"/>
        <v>0.92115186152711204</v>
      </c>
      <c r="AT997" s="49"/>
    </row>
    <row r="998" spans="1:46" x14ac:dyDescent="0.3">
      <c r="A998" s="5">
        <v>44908</v>
      </c>
      <c r="B998" s="6">
        <v>76.050003000000004</v>
      </c>
      <c r="C998" s="6">
        <v>111.160004</v>
      </c>
      <c r="D998" s="6">
        <v>120.529999</v>
      </c>
      <c r="F998" s="13">
        <v>995</v>
      </c>
      <c r="G998" s="5">
        <v>44908</v>
      </c>
      <c r="H998" s="15">
        <f t="shared" si="192"/>
        <v>1.4970207272286802E-2</v>
      </c>
      <c r="I998" s="15">
        <f t="shared" si="192"/>
        <v>-5.3958989213723631E-4</v>
      </c>
      <c r="J998" s="15">
        <f t="shared" si="192"/>
        <v>-1.0780298600553326E-3</v>
      </c>
      <c r="K998" s="22"/>
      <c r="L998" s="13">
        <v>995</v>
      </c>
      <c r="M998" s="5">
        <v>44908</v>
      </c>
      <c r="N998" s="26">
        <f t="shared" si="189"/>
        <v>1.3450654696663342</v>
      </c>
      <c r="O998" s="26">
        <f t="shared" si="190"/>
        <v>1.0542488798511214</v>
      </c>
      <c r="P998" s="26">
        <f t="shared" si="191"/>
        <v>1.5951561962720011</v>
      </c>
      <c r="Q998" s="22"/>
      <c r="AD998" s="59">
        <v>994</v>
      </c>
      <c r="AE998" s="61">
        <f t="shared" ca="1" si="193"/>
        <v>0.26148619104573506</v>
      </c>
      <c r="AF998" s="61">
        <f t="shared" ca="1" si="193"/>
        <v>0.29909950750038183</v>
      </c>
      <c r="AG998" s="61">
        <f t="shared" ca="1" si="193"/>
        <v>-0.65256579086212174</v>
      </c>
      <c r="AH998" s="19"/>
      <c r="AI998" s="61">
        <f ca="1"/>
        <v>5.6701410433289924E-3</v>
      </c>
      <c r="AJ998" s="61">
        <f ca="1"/>
        <v>1.0594102385959484E-2</v>
      </c>
      <c r="AK998" s="61">
        <f ca="1"/>
        <v>-1.0748708489606906E-2</v>
      </c>
      <c r="AL998" s="19"/>
      <c r="AM998" s="61">
        <f t="shared" ca="1" si="197"/>
        <v>6.0213573658392363E-3</v>
      </c>
      <c r="AN998" s="61">
        <f t="shared" ca="1" si="198"/>
        <v>1.0843154982876016E-2</v>
      </c>
      <c r="AO998" s="61">
        <f t="shared" ca="1" si="199"/>
        <v>-1.0317039886352087E-2</v>
      </c>
      <c r="AP998" s="19"/>
      <c r="AQ998" s="62">
        <f t="shared" ca="1" si="194"/>
        <v>1.3307367324007806</v>
      </c>
      <c r="AR998" s="62">
        <f t="shared" ca="1" si="195"/>
        <v>1.1471928946590693</v>
      </c>
      <c r="AS998" s="62">
        <f t="shared" ca="1" si="196"/>
        <v>0.91169715717541688</v>
      </c>
      <c r="AT998" s="49"/>
    </row>
    <row r="999" spans="1:46" x14ac:dyDescent="0.3">
      <c r="A999" s="5">
        <v>44909</v>
      </c>
      <c r="B999" s="6">
        <v>75.589995999999999</v>
      </c>
      <c r="C999" s="6">
        <v>110.470001</v>
      </c>
      <c r="D999" s="6">
        <v>119.730003</v>
      </c>
      <c r="F999" s="13">
        <v>996</v>
      </c>
      <c r="G999" s="5">
        <v>44909</v>
      </c>
      <c r="H999" s="15">
        <f t="shared" si="192"/>
        <v>-6.0671117660014307E-3</v>
      </c>
      <c r="I999" s="15">
        <f t="shared" si="192"/>
        <v>-6.2266409220542414E-3</v>
      </c>
      <c r="J999" s="15">
        <f t="shared" si="192"/>
        <v>-6.6594435184338906E-3</v>
      </c>
      <c r="K999" s="22"/>
      <c r="L999" s="13">
        <v>996</v>
      </c>
      <c r="M999" s="5">
        <v>44909</v>
      </c>
      <c r="N999" s="26">
        <f t="shared" si="189"/>
        <v>1.3369295129655199</v>
      </c>
      <c r="O999" s="26">
        <f t="shared" si="190"/>
        <v>1.0477048454532463</v>
      </c>
      <c r="P999" s="26">
        <f t="shared" si="191"/>
        <v>1.5845686364364384</v>
      </c>
      <c r="Q999" s="22"/>
      <c r="AD999" s="59">
        <v>995</v>
      </c>
      <c r="AE999" s="61">
        <f t="shared" ca="1" si="193"/>
        <v>-1.088008804006577</v>
      </c>
      <c r="AF999" s="61">
        <f t="shared" ca="1" si="193"/>
        <v>0.21723496477116216</v>
      </c>
      <c r="AG999" s="61">
        <f t="shared" ca="1" si="193"/>
        <v>1.5040602339711768</v>
      </c>
      <c r="AH999" s="19"/>
      <c r="AI999" s="61">
        <f ca="1"/>
        <v>-2.3592692793563116E-2</v>
      </c>
      <c r="AJ999" s="61">
        <f ca="1"/>
        <v>-1.2308058437732094E-2</v>
      </c>
      <c r="AK999" s="61">
        <f ca="1"/>
        <v>2.3987900185706804E-2</v>
      </c>
      <c r="AL999" s="19"/>
      <c r="AM999" s="61">
        <f t="shared" ca="1" si="197"/>
        <v>-2.3241476471052871E-2</v>
      </c>
      <c r="AN999" s="61">
        <f t="shared" ca="1" si="198"/>
        <v>-1.2059005840815562E-2</v>
      </c>
      <c r="AO999" s="61">
        <f t="shared" ca="1" si="199"/>
        <v>2.4419568788961621E-2</v>
      </c>
      <c r="AP999" s="19"/>
      <c r="AQ999" s="62">
        <f t="shared" ca="1" si="194"/>
        <v>1.3001650871673458</v>
      </c>
      <c r="AR999" s="62">
        <f t="shared" ca="1" si="195"/>
        <v>1.1334419667393747</v>
      </c>
      <c r="AS999" s="62">
        <f t="shared" ca="1" si="196"/>
        <v>0.93423446434712654</v>
      </c>
      <c r="AT999" s="49"/>
    </row>
    <row r="1000" spans="1:46" x14ac:dyDescent="0.3">
      <c r="A1000" s="5">
        <v>44910</v>
      </c>
      <c r="B1000" s="6">
        <v>73.339995999999999</v>
      </c>
      <c r="C1000" s="6">
        <v>106.57</v>
      </c>
      <c r="D1000" s="6">
        <v>119.91999800000001</v>
      </c>
      <c r="F1000" s="13">
        <v>997</v>
      </c>
      <c r="G1000" s="5">
        <v>44910</v>
      </c>
      <c r="H1000" s="15">
        <f t="shared" si="192"/>
        <v>-3.0217838284349277E-2</v>
      </c>
      <c r="I1000" s="15">
        <f t="shared" si="192"/>
        <v>-3.5941953703550279E-2</v>
      </c>
      <c r="J1000" s="15">
        <f t="shared" si="192"/>
        <v>1.5856043314281666E-3</v>
      </c>
      <c r="K1000" s="22"/>
      <c r="L1000" s="13">
        <v>997</v>
      </c>
      <c r="M1000" s="5">
        <v>44910</v>
      </c>
      <c r="N1000" s="26">
        <f t="shared" si="189"/>
        <v>1.2971346781546751</v>
      </c>
      <c r="O1000" s="26">
        <f t="shared" si="190"/>
        <v>1.0107169762762334</v>
      </c>
      <c r="P1000" s="26">
        <f t="shared" si="191"/>
        <v>1.587083128297595</v>
      </c>
      <c r="Q1000" s="22"/>
      <c r="AD1000" s="59">
        <v>996</v>
      </c>
      <c r="AE1000" s="61">
        <f t="shared" ca="1" si="193"/>
        <v>-1.097945442440436</v>
      </c>
      <c r="AF1000" s="61">
        <f t="shared" ca="1" si="193"/>
        <v>1.3550752488829401</v>
      </c>
      <c r="AG1000" s="61">
        <f t="shared" ca="1" si="193"/>
        <v>0.33396323811281925</v>
      </c>
      <c r="AH1000" s="19"/>
      <c r="AI1000" s="61">
        <f ca="1"/>
        <v>-2.3808161691523735E-2</v>
      </c>
      <c r="AJ1000" s="61">
        <f ca="1"/>
        <v>1.2268526395099288E-2</v>
      </c>
      <c r="AK1000" s="61">
        <f ca="1"/>
        <v>1.8764438782782333E-3</v>
      </c>
      <c r="AL1000" s="19"/>
      <c r="AM1000" s="61">
        <f t="shared" ca="1" si="197"/>
        <v>-2.345694536901349E-2</v>
      </c>
      <c r="AN1000" s="61">
        <f t="shared" ca="1" si="198"/>
        <v>1.251757899201582E-2</v>
      </c>
      <c r="AO1000" s="61">
        <f t="shared" ca="1" si="199"/>
        <v>2.3081124815330515E-3</v>
      </c>
      <c r="AP1000" s="19"/>
      <c r="AQ1000" s="62">
        <f t="shared" ca="1" si="194"/>
        <v>1.2700220990738287</v>
      </c>
      <c r="AR1000" s="62">
        <f t="shared" ca="1" si="195"/>
        <v>1.1477190871594631</v>
      </c>
      <c r="AS1000" s="62">
        <f t="shared" ca="1" si="196"/>
        <v>0.93639327300316655</v>
      </c>
      <c r="AT1000" s="49"/>
    </row>
    <row r="1001" spans="1:46" x14ac:dyDescent="0.3">
      <c r="A1001" s="5">
        <v>44911</v>
      </c>
      <c r="B1001" s="6">
        <v>73.089995999999999</v>
      </c>
      <c r="C1001" s="6">
        <v>105.18</v>
      </c>
      <c r="D1001" s="6">
        <v>119.370003</v>
      </c>
      <c r="F1001" s="13">
        <v>998</v>
      </c>
      <c r="G1001" s="5">
        <v>44911</v>
      </c>
      <c r="H1001" s="15">
        <f t="shared" si="192"/>
        <v>-3.4146043374321338E-3</v>
      </c>
      <c r="I1001" s="15">
        <f t="shared" si="192"/>
        <v>-1.3128878071666539E-2</v>
      </c>
      <c r="J1001" s="15">
        <f t="shared" si="192"/>
        <v>-4.5968988776676819E-3</v>
      </c>
      <c r="K1001" s="22"/>
      <c r="L1001" s="13">
        <v>998</v>
      </c>
      <c r="M1001" s="5">
        <v>44911</v>
      </c>
      <c r="N1001" s="26">
        <f t="shared" si="189"/>
        <v>1.292713029842359</v>
      </c>
      <c r="O1001" s="26">
        <f t="shared" si="190"/>
        <v>0.99753412371900374</v>
      </c>
      <c r="P1001" s="26">
        <f t="shared" si="191"/>
        <v>1.5798042106883063</v>
      </c>
      <c r="Q1001" s="22"/>
      <c r="AD1001" s="59">
        <v>997</v>
      </c>
      <c r="AE1001" s="61">
        <f t="shared" ca="1" si="193"/>
        <v>1.3051417662220364</v>
      </c>
      <c r="AF1001" s="61">
        <f t="shared" ca="1" si="193"/>
        <v>0.85494372756958403</v>
      </c>
      <c r="AG1001" s="61">
        <f t="shared" ca="1" si="193"/>
        <v>0.73393650998660431</v>
      </c>
      <c r="AH1001" s="19"/>
      <c r="AI1001" s="61">
        <f ca="1"/>
        <v>2.8301065790216472E-2</v>
      </c>
      <c r="AJ1001" s="61">
        <f ca="1"/>
        <v>3.9011591875632932E-2</v>
      </c>
      <c r="AK1001" s="61">
        <f ca="1"/>
        <v>4.4108510303292242E-2</v>
      </c>
      <c r="AL1001" s="19"/>
      <c r="AM1001" s="61">
        <f t="shared" ca="1" si="197"/>
        <v>2.8652282112726718E-2</v>
      </c>
      <c r="AN1001" s="61">
        <f t="shared" ca="1" si="198"/>
        <v>3.9260644472549462E-2</v>
      </c>
      <c r="AO1001" s="61">
        <f t="shared" ca="1" si="199"/>
        <v>4.4540178906547059E-2</v>
      </c>
      <c r="AP1001" s="19"/>
      <c r="AQ1001" s="62">
        <f t="shared" ca="1" si="194"/>
        <v>1.3069374597626449</v>
      </c>
      <c r="AR1001" s="62">
        <f t="shared" ca="1" si="195"/>
        <v>1.1936755147322717</v>
      </c>
      <c r="AS1001" s="62">
        <f t="shared" ca="1" si="196"/>
        <v>0.97904316317651574</v>
      </c>
      <c r="AT1001" s="49"/>
    </row>
    <row r="1002" spans="1:46" x14ac:dyDescent="0.3">
      <c r="A1002" s="5">
        <v>44914</v>
      </c>
      <c r="B1002" s="6">
        <v>72.069999999999993</v>
      </c>
      <c r="C1002" s="6">
        <v>103.019997</v>
      </c>
      <c r="D1002" s="6">
        <v>119.709999</v>
      </c>
      <c r="F1002" s="13">
        <v>999</v>
      </c>
      <c r="G1002" s="5">
        <v>44914</v>
      </c>
      <c r="H1002" s="15">
        <f t="shared" si="192"/>
        <v>-1.405363482890039E-2</v>
      </c>
      <c r="I1002" s="15">
        <f t="shared" si="192"/>
        <v>-2.0750053144318516E-2</v>
      </c>
      <c r="J1002" s="15">
        <f t="shared" si="192"/>
        <v>2.8442046708680533E-3</v>
      </c>
      <c r="K1002" s="22"/>
      <c r="L1002" s="13">
        <v>999</v>
      </c>
      <c r="M1002" s="5">
        <v>44914</v>
      </c>
      <c r="N1002" s="26">
        <f t="shared" si="189"/>
        <v>1.2746727754744822</v>
      </c>
      <c r="O1002" s="26">
        <f t="shared" si="190"/>
        <v>0.97704851143686433</v>
      </c>
      <c r="P1002" s="26">
        <f t="shared" si="191"/>
        <v>1.5843038931790339</v>
      </c>
      <c r="Q1002" s="22"/>
      <c r="AD1002" s="59">
        <v>998</v>
      </c>
      <c r="AE1002" s="61">
        <f t="shared" ca="1" si="193"/>
        <v>0.73078643046741176</v>
      </c>
      <c r="AF1002" s="61">
        <f t="shared" ca="1" si="193"/>
        <v>-4.1105743078847908E-2</v>
      </c>
      <c r="AG1002" s="61">
        <f t="shared" ca="1" si="193"/>
        <v>0.44177859369097627</v>
      </c>
      <c r="AH1002" s="19"/>
      <c r="AI1002" s="61">
        <f ca="1"/>
        <v>1.5846581101395203E-2</v>
      </c>
      <c r="AJ1002" s="61">
        <f ca="1"/>
        <v>1.0545040999986481E-2</v>
      </c>
      <c r="AK1002" s="61">
        <f ca="1"/>
        <v>2.1826630720860128E-2</v>
      </c>
      <c r="AL1002" s="19"/>
      <c r="AM1002" s="61">
        <f t="shared" ca="1" si="197"/>
        <v>1.6197797423905449E-2</v>
      </c>
      <c r="AN1002" s="61">
        <f t="shared" ca="1" si="198"/>
        <v>1.0794093596903013E-2</v>
      </c>
      <c r="AO1002" s="61">
        <f t="shared" ca="1" si="199"/>
        <v>2.2258299324114945E-2</v>
      </c>
      <c r="AP1002" s="19"/>
      <c r="AQ1002" s="62">
        <f t="shared" ca="1" si="194"/>
        <v>1.3282793471477214</v>
      </c>
      <c r="AR1002" s="62">
        <f t="shared" ca="1" si="195"/>
        <v>1.2066299498761648</v>
      </c>
      <c r="AS1002" s="62">
        <f t="shared" ca="1" si="196"/>
        <v>1.0010793330081706</v>
      </c>
      <c r="AT1002" s="49"/>
    </row>
    <row r="1003" spans="1:46" x14ac:dyDescent="0.3">
      <c r="A1003" s="5">
        <v>44915</v>
      </c>
      <c r="B1003" s="6">
        <v>71.730002999999996</v>
      </c>
      <c r="C1003" s="6">
        <v>101.650002</v>
      </c>
      <c r="D1003" s="6">
        <v>121.879997</v>
      </c>
      <c r="F1003" s="13">
        <v>1000</v>
      </c>
      <c r="G1003" s="5">
        <v>44915</v>
      </c>
      <c r="H1003" s="15">
        <f t="shared" si="192"/>
        <v>-4.7287569745026242E-3</v>
      </c>
      <c r="I1003" s="15">
        <f t="shared" si="192"/>
        <v>-1.3387555267167579E-2</v>
      </c>
      <c r="J1003" s="15">
        <f t="shared" si="192"/>
        <v>1.7964786593375717E-2</v>
      </c>
      <c r="K1003" s="22"/>
      <c r="L1003" s="13">
        <v>1000</v>
      </c>
      <c r="M1003" s="5">
        <v>44915</v>
      </c>
      <c r="N1003" s="26">
        <f t="shared" si="189"/>
        <v>1.2686593868295122</v>
      </c>
      <c r="O1003" s="26">
        <f t="shared" si="190"/>
        <v>0.96405538763172627</v>
      </c>
      <c r="P1003" s="26">
        <f t="shared" si="191"/>
        <v>1.6130227663584642</v>
      </c>
      <c r="Q1003" s="22"/>
      <c r="AD1003" s="59">
        <v>999</v>
      </c>
      <c r="AE1003" s="61">
        <f t="shared" ca="1" si="193"/>
        <v>0.73295807008435021</v>
      </c>
      <c r="AF1003" s="61">
        <f t="shared" ca="1" si="193"/>
        <v>0.18184732912549356</v>
      </c>
      <c r="AG1003" s="61">
        <f t="shared" ca="1" si="193"/>
        <v>-0.24020231578673132</v>
      </c>
      <c r="AH1003" s="19"/>
      <c r="AI1003" s="61">
        <f ca="1"/>
        <v>1.5893671553376922E-2</v>
      </c>
      <c r="AJ1003" s="61">
        <f ca="1"/>
        <v>1.5425144141242688E-2</v>
      </c>
      <c r="AK1003" s="61">
        <f ca="1"/>
        <v>5.9565358385376514E-3</v>
      </c>
      <c r="AL1003" s="19"/>
      <c r="AM1003" s="61">
        <f t="shared" ca="1" si="197"/>
        <v>1.6244887875887168E-2</v>
      </c>
      <c r="AN1003" s="61">
        <f t="shared" ca="1" si="198"/>
        <v>1.5674196738159219E-2</v>
      </c>
      <c r="AO1003" s="61">
        <f t="shared" ca="1" si="199"/>
        <v>6.3882044417924696E-3</v>
      </c>
      <c r="AP1003" s="19"/>
      <c r="AQ1003" s="62">
        <f t="shared" ca="1" si="194"/>
        <v>1.3500333131822291</v>
      </c>
      <c r="AR1003" s="62">
        <f t="shared" ca="1" si="195"/>
        <v>1.2256919052592503</v>
      </c>
      <c r="AS1003" s="62">
        <f t="shared" ca="1" si="196"/>
        <v>1.0074949026171998</v>
      </c>
      <c r="AT1003" s="49"/>
    </row>
    <row r="1004" spans="1:46" x14ac:dyDescent="0.3">
      <c r="A1004" s="5">
        <v>44916</v>
      </c>
      <c r="B1004" s="6">
        <v>73.160004000000001</v>
      </c>
      <c r="C1004" s="6">
        <v>103.33000199999999</v>
      </c>
      <c r="D1004" s="6">
        <v>122.68</v>
      </c>
      <c r="F1004" s="13">
        <v>1001</v>
      </c>
      <c r="G1004" s="5">
        <v>44916</v>
      </c>
      <c r="H1004" s="15">
        <f t="shared" si="192"/>
        <v>1.9739766235502207E-2</v>
      </c>
      <c r="I1004" s="15">
        <f t="shared" si="192"/>
        <v>1.6392209832014344E-2</v>
      </c>
      <c r="J1004" s="15">
        <f t="shared" si="192"/>
        <v>6.542409742917631E-3</v>
      </c>
      <c r="K1004" s="22"/>
      <c r="L1004" s="13">
        <v>1001</v>
      </c>
      <c r="M1004" s="5">
        <v>44916</v>
      </c>
      <c r="N1004" s="26">
        <f t="shared" si="189"/>
        <v>1.2939512328625535</v>
      </c>
      <c r="O1004" s="26">
        <f t="shared" si="190"/>
        <v>0.97998861949945704</v>
      </c>
      <c r="P1004" s="26">
        <f t="shared" si="191"/>
        <v>1.6236104188356386</v>
      </c>
      <c r="Q1004" s="22"/>
      <c r="AD1004" s="59">
        <v>1000</v>
      </c>
      <c r="AE1004" s="61">
        <f t="shared" ca="1" si="193"/>
        <v>1.4854902690176348</v>
      </c>
      <c r="AF1004" s="61">
        <f t="shared" ca="1" si="193"/>
        <v>-0.52390499079298891</v>
      </c>
      <c r="AG1004" s="61">
        <f t="shared" ca="1" si="193"/>
        <v>-1.8631995970950055</v>
      </c>
      <c r="AH1004" s="19"/>
      <c r="AI1004" s="61">
        <f ca="1"/>
        <v>3.221179409183221E-2</v>
      </c>
      <c r="AJ1004" s="61">
        <f ca="1"/>
        <v>1.1863787557442674E-2</v>
      </c>
      <c r="AK1004" s="61">
        <f ca="1"/>
        <v>-2.9475740455720677E-2</v>
      </c>
      <c r="AL1004" s="19"/>
      <c r="AM1004" s="61">
        <f t="shared" ca="1" si="197"/>
        <v>3.2563010414342453E-2</v>
      </c>
      <c r="AN1004" s="61">
        <f t="shared" ca="1" si="198"/>
        <v>1.2112840154359206E-2</v>
      </c>
      <c r="AO1004" s="61">
        <f t="shared" ca="1" si="199"/>
        <v>-2.9044071852465859E-2</v>
      </c>
      <c r="AP1004" s="19"/>
      <c r="AQ1004" s="62">
        <f t="shared" ca="1" si="194"/>
        <v>1.3947180483841386</v>
      </c>
      <c r="AR1004" s="62">
        <f t="shared" ca="1" si="195"/>
        <v>1.2406287968471874</v>
      </c>
      <c r="AS1004" s="62">
        <f t="shared" ca="1" si="196"/>
        <v>0.97865400422318971</v>
      </c>
      <c r="AT1004" s="49"/>
    </row>
    <row r="1005" spans="1:46" x14ac:dyDescent="0.3">
      <c r="A1005" s="5">
        <v>44917</v>
      </c>
      <c r="B1005" s="6">
        <v>71.949996999999996</v>
      </c>
      <c r="C1005" s="6">
        <v>103.760002</v>
      </c>
      <c r="D1005" s="6">
        <v>119.620003</v>
      </c>
      <c r="F1005" s="13">
        <v>1002</v>
      </c>
      <c r="G1005" s="5">
        <v>44917</v>
      </c>
      <c r="H1005" s="15">
        <f t="shared" si="192"/>
        <v>-1.6677486559595115E-2</v>
      </c>
      <c r="I1005" s="15">
        <f t="shared" si="192"/>
        <v>4.152789701712482E-3</v>
      </c>
      <c r="J1005" s="15">
        <f t="shared" si="192"/>
        <v>-2.5259262550222046E-2</v>
      </c>
      <c r="K1005" s="22"/>
      <c r="L1005" s="13">
        <v>1002</v>
      </c>
      <c r="M1005" s="5">
        <v>44917</v>
      </c>
      <c r="N1005" s="26">
        <f t="shared" si="189"/>
        <v>1.2725503312247908</v>
      </c>
      <c r="O1005" s="26">
        <f t="shared" si="190"/>
        <v>0.98406676813226912</v>
      </c>
      <c r="P1005" s="26">
        <f t="shared" si="191"/>
        <v>1.5831128396800647</v>
      </c>
      <c r="Q1005" s="22"/>
      <c r="AD1005" s="59">
        <v>1001</v>
      </c>
      <c r="AE1005" s="61">
        <f t="shared" ca="1" si="193"/>
        <v>-9.9886970071182107E-2</v>
      </c>
      <c r="AF1005" s="61">
        <f t="shared" ca="1" si="193"/>
        <v>-0.90215771875794926</v>
      </c>
      <c r="AG1005" s="61">
        <f t="shared" ca="1" si="193"/>
        <v>0.2736879076343533</v>
      </c>
      <c r="AH1005" s="19"/>
      <c r="AI1005" s="61">
        <f ca="1"/>
        <v>-2.1659775089053297E-3</v>
      </c>
      <c r="AJ1005" s="61">
        <f ca="1"/>
        <v>-2.1172780673090502E-2</v>
      </c>
      <c r="AK1005" s="61">
        <f ca="1"/>
        <v>-8.1742288084128353E-4</v>
      </c>
      <c r="AL1005" s="19"/>
      <c r="AM1005" s="61">
        <f t="shared" ca="1" si="197"/>
        <v>-1.8147611863950854E-3</v>
      </c>
      <c r="AN1005" s="61">
        <f t="shared" ca="1" si="198"/>
        <v>-2.0923728076173972E-2</v>
      </c>
      <c r="AO1005" s="61">
        <f t="shared" ca="1" si="199"/>
        <v>-3.857542775864653E-4</v>
      </c>
      <c r="AP1005" s="19"/>
      <c r="AQ1005" s="62">
        <f t="shared" ca="1" si="194"/>
        <v>1.3921892634683395</v>
      </c>
      <c r="AR1005" s="62">
        <f t="shared" ca="1" si="195"/>
        <v>1.2149399081340739</v>
      </c>
      <c r="AS1005" s="62">
        <f t="shared" ca="1" si="196"/>
        <v>0.97827655706039285</v>
      </c>
      <c r="AT1005" s="49"/>
    </row>
    <row r="1006" spans="1:46" x14ac:dyDescent="0.3">
      <c r="A1006" s="5">
        <v>44918</v>
      </c>
      <c r="B1006" s="6">
        <v>73.379997000000003</v>
      </c>
      <c r="C1006" s="6">
        <v>104.360001</v>
      </c>
      <c r="D1006" s="6">
        <v>124.370003</v>
      </c>
      <c r="F1006" s="13">
        <v>1003</v>
      </c>
      <c r="G1006" s="5">
        <v>44918</v>
      </c>
      <c r="H1006" s="15">
        <f t="shared" si="192"/>
        <v>1.9679986406306752E-2</v>
      </c>
      <c r="I1006" s="15">
        <f t="shared" si="192"/>
        <v>5.7659105673041255E-3</v>
      </c>
      <c r="J1006" s="15">
        <f t="shared" si="192"/>
        <v>3.8940941091393365E-2</v>
      </c>
      <c r="K1006" s="22"/>
      <c r="L1006" s="13">
        <v>1003</v>
      </c>
      <c r="M1006" s="5">
        <v>44918</v>
      </c>
      <c r="N1006" s="26">
        <f t="shared" si="189"/>
        <v>1.2978421595712388</v>
      </c>
      <c r="O1006" s="26">
        <f t="shared" si="190"/>
        <v>0.98975719860096356</v>
      </c>
      <c r="P1006" s="26">
        <f t="shared" si="191"/>
        <v>1.6459767905234726</v>
      </c>
      <c r="Q1006" s="22"/>
      <c r="AD1006" s="59">
        <v>1002</v>
      </c>
      <c r="AE1006" s="61">
        <f t="shared" ca="1" si="193"/>
        <v>0.47534274143460514</v>
      </c>
      <c r="AF1006" s="61">
        <f t="shared" ca="1" si="193"/>
        <v>1.7603433278722107</v>
      </c>
      <c r="AG1006" s="61">
        <f t="shared" ca="1" si="193"/>
        <v>-1.0844993526438638</v>
      </c>
      <c r="AH1006" s="19"/>
      <c r="AI1006" s="61">
        <f ca="1"/>
        <v>1.030746739274451E-2</v>
      </c>
      <c r="AJ1006" s="61">
        <f ca="1"/>
        <v>4.570307879398313E-2</v>
      </c>
      <c r="AK1006" s="61">
        <f ca="1"/>
        <v>-8.3642274937984137E-3</v>
      </c>
      <c r="AL1006" s="19"/>
      <c r="AM1006" s="61">
        <f t="shared" ca="1" si="197"/>
        <v>1.0658683715254753E-2</v>
      </c>
      <c r="AN1006" s="61">
        <f t="shared" ca="1" si="198"/>
        <v>4.595213139089966E-2</v>
      </c>
      <c r="AO1006" s="61">
        <f t="shared" ca="1" si="199"/>
        <v>-7.9325588905435947E-3</v>
      </c>
      <c r="AP1006" s="19"/>
      <c r="AQ1006" s="62">
        <f t="shared" ca="1" si="194"/>
        <v>1.4071075318159925</v>
      </c>
      <c r="AR1006" s="62">
        <f t="shared" ca="1" si="195"/>
        <v>1.2720715949021988</v>
      </c>
      <c r="AS1006" s="62">
        <f t="shared" ca="1" si="196"/>
        <v>0.9705470187014279</v>
      </c>
      <c r="AT1006" s="49"/>
    </row>
    <row r="1007" spans="1:46" x14ac:dyDescent="0.3">
      <c r="A1007" s="5">
        <v>44922</v>
      </c>
      <c r="B1007" s="6">
        <v>73.470000999999996</v>
      </c>
      <c r="C1007" s="6">
        <v>104.239998</v>
      </c>
      <c r="D1007" s="6">
        <v>126.410004</v>
      </c>
      <c r="F1007" s="13">
        <v>1004</v>
      </c>
      <c r="G1007" s="5">
        <v>44922</v>
      </c>
      <c r="H1007" s="15">
        <f t="shared" si="192"/>
        <v>1.225795199122895E-3</v>
      </c>
      <c r="I1007" s="15">
        <f t="shared" si="192"/>
        <v>-1.1505562206461869E-3</v>
      </c>
      <c r="J1007" s="15">
        <f t="shared" si="192"/>
        <v>1.6269606363309881E-2</v>
      </c>
      <c r="K1007" s="22"/>
      <c r="L1007" s="13">
        <v>1004</v>
      </c>
      <c r="M1007" s="5">
        <v>44922</v>
      </c>
      <c r="N1007" s="26">
        <f t="shared" si="189"/>
        <v>1.2994340237100457</v>
      </c>
      <c r="O1007" s="26">
        <f t="shared" si="190"/>
        <v>0.98861908215821159</v>
      </c>
      <c r="P1007" s="26">
        <f t="shared" si="191"/>
        <v>1.6729752163307365</v>
      </c>
      <c r="Q1007" s="22"/>
      <c r="AD1007" s="59">
        <v>1003</v>
      </c>
      <c r="AE1007" s="61">
        <f t="shared" ca="1" si="193"/>
        <v>2.59381514168496</v>
      </c>
      <c r="AF1007" s="61">
        <f t="shared" ca="1" si="193"/>
        <v>0.66330664711019927</v>
      </c>
      <c r="AG1007" s="61">
        <f t="shared" ca="1" si="193"/>
        <v>1.2770773700440403</v>
      </c>
      <c r="AH1007" s="19"/>
      <c r="AI1007" s="61">
        <f ca="1"/>
        <v>5.6245026304672922E-2</v>
      </c>
      <c r="AJ1007" s="61">
        <f ca="1"/>
        <v>5.5016916058192797E-2</v>
      </c>
      <c r="AK1007" s="61">
        <f ca="1"/>
        <v>7.5715010963479892E-2</v>
      </c>
      <c r="AL1007" s="19"/>
      <c r="AM1007" s="61">
        <f t="shared" ca="1" si="197"/>
        <v>5.6596242627183165E-2</v>
      </c>
      <c r="AN1007" s="61">
        <f t="shared" ca="1" si="198"/>
        <v>5.5265968655109327E-2</v>
      </c>
      <c r="AO1007" s="61">
        <f t="shared" ca="1" si="199"/>
        <v>7.614667956673471E-2</v>
      </c>
      <c r="AP1007" s="19"/>
      <c r="AQ1007" s="62">
        <f t="shared" ca="1" si="194"/>
        <v>1.4890412316444674</v>
      </c>
      <c r="AR1007" s="62">
        <f t="shared" ca="1" si="195"/>
        <v>1.344352812953769</v>
      </c>
      <c r="AS1007" s="62">
        <f t="shared" ca="1" si="196"/>
        <v>1.0473375213865046</v>
      </c>
      <c r="AT1007" s="49"/>
    </row>
    <row r="1008" spans="1:46" x14ac:dyDescent="0.3">
      <c r="A1008" s="5">
        <v>44923</v>
      </c>
      <c r="B1008" s="6">
        <v>72.300003000000004</v>
      </c>
      <c r="C1008" s="6">
        <v>102.400002</v>
      </c>
      <c r="D1008" s="6">
        <v>125.349998</v>
      </c>
      <c r="F1008" s="13">
        <v>1005</v>
      </c>
      <c r="G1008" s="5">
        <v>44923</v>
      </c>
      <c r="H1008" s="15">
        <f t="shared" si="192"/>
        <v>-1.6053002584689505E-2</v>
      </c>
      <c r="I1008" s="15">
        <f t="shared" si="192"/>
        <v>-1.7809181493439609E-2</v>
      </c>
      <c r="J1008" s="15">
        <f t="shared" si="192"/>
        <v>-8.4208155015548167E-3</v>
      </c>
      <c r="K1008" s="22"/>
      <c r="L1008" s="13">
        <v>1005</v>
      </c>
      <c r="M1008" s="5">
        <v>44923</v>
      </c>
      <c r="N1008" s="26">
        <f t="shared" si="189"/>
        <v>1.2787407449815928</v>
      </c>
      <c r="O1008" s="26">
        <f t="shared" si="190"/>
        <v>0.97116843757267757</v>
      </c>
      <c r="P1008" s="26">
        <f t="shared" si="191"/>
        <v>1.6589465499985854</v>
      </c>
      <c r="Q1008" s="22"/>
      <c r="AD1008" s="59">
        <v>1004</v>
      </c>
      <c r="AE1008" s="61">
        <f t="shared" ca="1" si="193"/>
        <v>1.3407969199474328</v>
      </c>
      <c r="AF1008" s="61">
        <f t="shared" ca="1" si="193"/>
        <v>-0.46322409558198308</v>
      </c>
      <c r="AG1008" s="61">
        <f t="shared" ca="1" si="193"/>
        <v>-0.69027462019470276</v>
      </c>
      <c r="AH1008" s="19"/>
      <c r="AI1008" s="61">
        <f ca="1"/>
        <v>2.9074222298925624E-2</v>
      </c>
      <c r="AJ1008" s="61">
        <f ca="1"/>
        <v>1.0917959370351872E-2</v>
      </c>
      <c r="AK1008" s="61">
        <f ca="1"/>
        <v>-1.136035622024207E-3</v>
      </c>
      <c r="AL1008" s="19"/>
      <c r="AM1008" s="61">
        <f t="shared" ca="1" si="197"/>
        <v>2.942543862143587E-2</v>
      </c>
      <c r="AN1008" s="61">
        <f t="shared" ca="1" si="198"/>
        <v>1.1167011967268404E-2</v>
      </c>
      <c r="AO1008" s="61">
        <f t="shared" ca="1" si="199"/>
        <v>-7.0436701876938873E-4</v>
      </c>
      <c r="AP1008" s="19"/>
      <c r="AQ1008" s="62">
        <f t="shared" ca="1" si="194"/>
        <v>1.533507940785372</v>
      </c>
      <c r="AR1008" s="62">
        <f t="shared" ca="1" si="195"/>
        <v>1.3594493516377444</v>
      </c>
      <c r="AS1008" s="62">
        <f t="shared" ca="1" si="196"/>
        <v>1.0466000711272299</v>
      </c>
      <c r="AT1008" s="49"/>
    </row>
    <row r="1009" spans="1:46" x14ac:dyDescent="0.3">
      <c r="A1009" s="5">
        <v>44924</v>
      </c>
      <c r="B1009" s="6">
        <v>73.870002999999997</v>
      </c>
      <c r="C1009" s="6">
        <v>104.68</v>
      </c>
      <c r="D1009" s="6">
        <v>126.32</v>
      </c>
      <c r="F1009" s="13">
        <v>1006</v>
      </c>
      <c r="G1009" s="5">
        <v>44924</v>
      </c>
      <c r="H1009" s="15">
        <f t="shared" si="192"/>
        <v>2.1482661494037054E-2</v>
      </c>
      <c r="I1009" s="15">
        <f t="shared" si="192"/>
        <v>2.2021345525287967E-2</v>
      </c>
      <c r="J1009" s="15">
        <f t="shared" si="192"/>
        <v>7.7085612984094335E-3</v>
      </c>
      <c r="K1009" s="22"/>
      <c r="L1009" s="13">
        <v>1006</v>
      </c>
      <c r="M1009" s="5">
        <v>44924</v>
      </c>
      <c r="N1009" s="26">
        <f t="shared" si="189"/>
        <v>1.3065086963829378</v>
      </c>
      <c r="O1009" s="26">
        <f t="shared" si="190"/>
        <v>0.99279209042503624</v>
      </c>
      <c r="P1009" s="26">
        <f t="shared" si="191"/>
        <v>1.6717840569556395</v>
      </c>
      <c r="Q1009" s="22"/>
      <c r="AD1009" s="59">
        <v>1005</v>
      </c>
      <c r="AE1009" s="61">
        <f t="shared" ca="1" si="193"/>
        <v>-0.38848137180515313</v>
      </c>
      <c r="AF1009" s="61">
        <f t="shared" ca="1" si="193"/>
        <v>0.59265989266836683</v>
      </c>
      <c r="AG1009" s="61">
        <f t="shared" ca="1" si="193"/>
        <v>-1.5213944599735398</v>
      </c>
      <c r="AH1009" s="19"/>
      <c r="AI1009" s="61">
        <f ca="1"/>
        <v>-8.4239407137789539E-3</v>
      </c>
      <c r="AJ1009" s="61">
        <f ca="1"/>
        <v>6.8014241587916122E-3</v>
      </c>
      <c r="AK1009" s="61">
        <f ca="1"/>
        <v>-4.0544298182095082E-2</v>
      </c>
      <c r="AL1009" s="19"/>
      <c r="AM1009" s="61">
        <f t="shared" ca="1" si="197"/>
        <v>-8.07272439126871E-3</v>
      </c>
      <c r="AN1009" s="61">
        <f t="shared" ca="1" si="198"/>
        <v>7.0504767557081427E-3</v>
      </c>
      <c r="AO1009" s="61">
        <f t="shared" ca="1" si="199"/>
        <v>-4.0112629578840264E-2</v>
      </c>
      <c r="AP1009" s="19"/>
      <c r="AQ1009" s="62">
        <f t="shared" ca="1" si="194"/>
        <v>1.5211781881346778</v>
      </c>
      <c r="AR1009" s="62">
        <f t="shared" ca="1" si="195"/>
        <v>1.3690679858258754</v>
      </c>
      <c r="AS1009" s="62">
        <f t="shared" ca="1" si="196"/>
        <v>1.0054490456750409</v>
      </c>
      <c r="AT1009" s="49"/>
    </row>
    <row r="1010" spans="1:46" x14ac:dyDescent="0.3">
      <c r="A1010" s="5">
        <v>44925</v>
      </c>
      <c r="B1010" s="6">
        <v>73.830001999999993</v>
      </c>
      <c r="C1010" s="6">
        <v>105.66999800000001</v>
      </c>
      <c r="D1010" s="6">
        <v>126.860001</v>
      </c>
      <c r="F1010" s="13">
        <v>1007</v>
      </c>
      <c r="G1010" s="5">
        <v>44925</v>
      </c>
      <c r="H1010" s="15">
        <f t="shared" si="192"/>
        <v>-5.4165199219842464E-4</v>
      </c>
      <c r="I1010" s="15">
        <f t="shared" si="192"/>
        <v>9.4129338641464055E-3</v>
      </c>
      <c r="J1010" s="15">
        <f t="shared" si="192"/>
        <v>4.2657541410697428E-3</v>
      </c>
      <c r="K1010" s="22"/>
      <c r="L1010" s="13">
        <v>1007</v>
      </c>
      <c r="M1010" s="5">
        <v>44925</v>
      </c>
      <c r="N1010" s="26">
        <f t="shared" si="189"/>
        <v>1.305801214966374</v>
      </c>
      <c r="O1010" s="26">
        <f t="shared" si="190"/>
        <v>1.0021812973789588</v>
      </c>
      <c r="P1010" s="26">
        <f t="shared" si="191"/>
        <v>1.6789307088123535</v>
      </c>
      <c r="Q1010" s="22"/>
      <c r="AD1010" s="59">
        <v>1006</v>
      </c>
      <c r="AE1010" s="61">
        <f t="shared" ca="1" si="193"/>
        <v>-4.3361867240296968E-2</v>
      </c>
      <c r="AF1010" s="61">
        <f t="shared" ca="1" si="193"/>
        <v>0.56334899733219734</v>
      </c>
      <c r="AG1010" s="61">
        <f t="shared" ca="1" si="193"/>
        <v>0.82353763307253458</v>
      </c>
      <c r="AH1010" s="19"/>
      <c r="AI1010" s="61">
        <f ca="1"/>
        <v>-9.4027107959818558E-4</v>
      </c>
      <c r="AJ1010" s="61">
        <f ca="1"/>
        <v>1.156624912905126E-2</v>
      </c>
      <c r="AK1010" s="61">
        <f ca="1"/>
        <v>2.4425665089570763E-2</v>
      </c>
      <c r="AL1010" s="19"/>
      <c r="AM1010" s="61">
        <f t="shared" ca="1" si="197"/>
        <v>-5.8905475708794137E-4</v>
      </c>
      <c r="AN1010" s="61">
        <f t="shared" ca="1" si="198"/>
        <v>1.1815301725967791E-2</v>
      </c>
      <c r="AO1010" s="61">
        <f t="shared" ca="1" si="199"/>
        <v>2.485733369282558E-2</v>
      </c>
      <c r="AP1010" s="19"/>
      <c r="AQ1010" s="62">
        <f t="shared" ca="1" si="194"/>
        <v>1.5202823947481587</v>
      </c>
      <c r="AR1010" s="62">
        <f t="shared" ca="1" si="195"/>
        <v>1.3853398765131069</v>
      </c>
      <c r="AS1010" s="62">
        <f t="shared" ca="1" si="196"/>
        <v>1.0307550449412879</v>
      </c>
      <c r="AT1010" s="49"/>
    </row>
    <row r="1011" spans="1:46" x14ac:dyDescent="0.3">
      <c r="A1011" s="5">
        <v>44929</v>
      </c>
      <c r="B1011" s="6">
        <v>73.589995999999999</v>
      </c>
      <c r="C1011" s="6">
        <v>109.110001</v>
      </c>
      <c r="D1011" s="6">
        <v>120.040001</v>
      </c>
      <c r="F1011" s="13">
        <v>1008</v>
      </c>
      <c r="G1011" s="5">
        <v>44929</v>
      </c>
      <c r="H1011" s="15">
        <f t="shared" si="192"/>
        <v>-3.2560875770379642E-3</v>
      </c>
      <c r="I1011" s="15">
        <f t="shared" si="192"/>
        <v>3.2035545305978429E-2</v>
      </c>
      <c r="J1011" s="15">
        <f t="shared" si="192"/>
        <v>-5.5259095185733527E-2</v>
      </c>
      <c r="K1011" s="22"/>
      <c r="L1011" s="13">
        <v>1008</v>
      </c>
      <c r="M1011" s="5">
        <v>44929</v>
      </c>
      <c r="N1011" s="26">
        <f t="shared" si="189"/>
        <v>1.3015563264669912</v>
      </c>
      <c r="O1011" s="26">
        <f t="shared" si="190"/>
        <v>1.0348065148936547</v>
      </c>
      <c r="P1011" s="26">
        <f t="shared" si="191"/>
        <v>1.5886713099171867</v>
      </c>
      <c r="Q1011" s="22"/>
      <c r="AD1011" s="59">
        <v>1007</v>
      </c>
      <c r="AE1011" s="61">
        <f t="shared" ca="1" si="193"/>
        <v>0.60900207782520932</v>
      </c>
      <c r="AF1011" s="61">
        <f t="shared" ca="1" si="193"/>
        <v>1.3114155093518449</v>
      </c>
      <c r="AG1011" s="61">
        <f t="shared" ca="1" si="193"/>
        <v>-1.1550602507927392</v>
      </c>
      <c r="AH1011" s="19"/>
      <c r="AI1011" s="61">
        <f ca="1"/>
        <v>1.3205774511990922E-2</v>
      </c>
      <c r="AJ1011" s="61">
        <f ca="1"/>
        <v>3.8037256923073068E-2</v>
      </c>
      <c r="AK1011" s="61">
        <f ca="1"/>
        <v>-1.1358661367022266E-2</v>
      </c>
      <c r="AL1011" s="19"/>
      <c r="AM1011" s="61">
        <f t="shared" ca="1" si="197"/>
        <v>1.3556990834501166E-2</v>
      </c>
      <c r="AN1011" s="61">
        <f t="shared" ca="1" si="198"/>
        <v>3.8286309519989598E-2</v>
      </c>
      <c r="AO1011" s="61">
        <f t="shared" ca="1" si="199"/>
        <v>-1.0926992763767447E-2</v>
      </c>
      <c r="AP1011" s="19"/>
      <c r="AQ1011" s="62">
        <f t="shared" ca="1" si="194"/>
        <v>1.5410331905959553</v>
      </c>
      <c r="AR1011" s="62">
        <f t="shared" ca="1" si="195"/>
        <v>1.4394078550674974</v>
      </c>
      <c r="AS1011" s="62">
        <f t="shared" ca="1" si="196"/>
        <v>1.0195533041506035</v>
      </c>
      <c r="AT1011" s="49"/>
    </row>
    <row r="1012" spans="1:46" x14ac:dyDescent="0.3">
      <c r="A1012" s="5">
        <v>44930</v>
      </c>
      <c r="B1012" s="6">
        <v>75.5</v>
      </c>
      <c r="C1012" s="6">
        <v>113.160004</v>
      </c>
      <c r="D1012" s="6">
        <v>119.620003</v>
      </c>
      <c r="F1012" s="13">
        <v>1009</v>
      </c>
      <c r="G1012" s="5">
        <v>44930</v>
      </c>
      <c r="H1012" s="15">
        <f t="shared" si="192"/>
        <v>2.5623563671684231E-2</v>
      </c>
      <c r="I1012" s="15">
        <f t="shared" si="192"/>
        <v>3.6446224949475234E-2</v>
      </c>
      <c r="J1012" s="15">
        <f t="shared" si="192"/>
        <v>-3.5049522068940639E-3</v>
      </c>
      <c r="K1012" s="22"/>
      <c r="L1012" s="13">
        <v>1009</v>
      </c>
      <c r="M1012" s="5">
        <v>44930</v>
      </c>
      <c r="N1012" s="26">
        <f t="shared" si="189"/>
        <v>1.335337790319459</v>
      </c>
      <c r="O1012" s="26">
        <f t="shared" si="190"/>
        <v>1.0732170130269914</v>
      </c>
      <c r="P1012" s="26">
        <f t="shared" si="191"/>
        <v>1.5831128396800647</v>
      </c>
      <c r="Q1012" s="22"/>
      <c r="AD1012" s="59">
        <v>1008</v>
      </c>
      <c r="AE1012" s="61">
        <f t="shared" ca="1" si="193"/>
        <v>-0.67162795557220301</v>
      </c>
      <c r="AF1012" s="61">
        <f t="shared" ca="1" si="193"/>
        <v>-1.6794257363709992</v>
      </c>
      <c r="AG1012" s="61">
        <f t="shared" ca="1" si="193"/>
        <v>-0.55707191035400672</v>
      </c>
      <c r="AH1012" s="19"/>
      <c r="AI1012" s="61">
        <f ca="1"/>
        <v>-1.4563771882206256E-2</v>
      </c>
      <c r="AJ1012" s="61">
        <f ca="1"/>
        <v>-4.7016575099947555E-2</v>
      </c>
      <c r="AK1012" s="61">
        <f ca="1"/>
        <v>-3.6023116842790873E-2</v>
      </c>
      <c r="AL1012" s="19"/>
      <c r="AM1012" s="61">
        <f t="shared" ca="1" si="197"/>
        <v>-1.4212555559696012E-2</v>
      </c>
      <c r="AN1012" s="61">
        <f t="shared" ca="1" si="198"/>
        <v>-4.6767522503031025E-2</v>
      </c>
      <c r="AO1012" s="61">
        <f t="shared" ca="1" si="199"/>
        <v>-3.5591448239536055E-2</v>
      </c>
      <c r="AP1012" s="19"/>
      <c r="AQ1012" s="62">
        <f t="shared" ca="1" si="194"/>
        <v>1.5192860778486164</v>
      </c>
      <c r="AR1012" s="62">
        <f t="shared" ca="1" si="195"/>
        <v>1.3736401978305581</v>
      </c>
      <c r="AS1012" s="62">
        <f t="shared" ca="1" si="196"/>
        <v>0.98390409218374686</v>
      </c>
      <c r="AT1012" s="49"/>
    </row>
    <row r="1013" spans="1:46" x14ac:dyDescent="0.3">
      <c r="A1013" s="5">
        <v>44931</v>
      </c>
      <c r="B1013" s="6">
        <v>74.209998999999996</v>
      </c>
      <c r="C1013" s="6">
        <v>114.459999</v>
      </c>
      <c r="D1013" s="6">
        <v>126.589996</v>
      </c>
      <c r="F1013" s="13">
        <v>1010</v>
      </c>
      <c r="G1013" s="5">
        <v>44931</v>
      </c>
      <c r="H1013" s="15">
        <f t="shared" si="192"/>
        <v>-1.7233757748209844E-2</v>
      </c>
      <c r="I1013" s="15">
        <f t="shared" si="192"/>
        <v>1.1422626462734219E-2</v>
      </c>
      <c r="J1013" s="15">
        <f t="shared" si="192"/>
        <v>5.6633409354835046E-2</v>
      </c>
      <c r="K1013" s="22"/>
      <c r="L1013" s="13">
        <v>1010</v>
      </c>
      <c r="M1013" s="5">
        <v>44931</v>
      </c>
      <c r="N1013" s="26">
        <f t="shared" si="189"/>
        <v>1.3125220673413147</v>
      </c>
      <c r="O1013" s="26">
        <f t="shared" si="190"/>
        <v>1.0855462521709738</v>
      </c>
      <c r="P1013" s="26">
        <f t="shared" si="191"/>
        <v>1.6753573233286747</v>
      </c>
      <c r="Q1013" s="22"/>
      <c r="AD1013" s="59">
        <v>1009</v>
      </c>
      <c r="AE1013" s="61">
        <f t="shared" ca="1" si="193"/>
        <v>1.083447679431504</v>
      </c>
      <c r="AF1013" s="61">
        <f t="shared" ca="1" si="193"/>
        <v>1.1840009427728204</v>
      </c>
      <c r="AG1013" s="61">
        <f t="shared" ca="1" si="193"/>
        <v>-0.34000852277099963</v>
      </c>
      <c r="AH1013" s="19"/>
      <c r="AI1013" s="61">
        <f ca="1"/>
        <v>2.3493788069174307E-2</v>
      </c>
      <c r="AJ1013" s="61">
        <f ca="1"/>
        <v>4.2693954539872264E-2</v>
      </c>
      <c r="AK1013" s="61">
        <f ca="1"/>
        <v>1.5635808081244172E-2</v>
      </c>
      <c r="AL1013" s="19"/>
      <c r="AM1013" s="61">
        <f t="shared" ca="1" si="197"/>
        <v>2.3845004391684552E-2</v>
      </c>
      <c r="AN1013" s="61">
        <f t="shared" ca="1" si="198"/>
        <v>4.2943007136788794E-2</v>
      </c>
      <c r="AO1013" s="61">
        <f t="shared" ca="1" si="199"/>
        <v>1.6067476684498989E-2</v>
      </c>
      <c r="AP1013" s="19"/>
      <c r="AQ1013" s="62">
        <f t="shared" ca="1" si="194"/>
        <v>1.5559488357193128</v>
      </c>
      <c r="AR1013" s="62">
        <f t="shared" ca="1" si="195"/>
        <v>1.4339133312502141</v>
      </c>
      <c r="AS1013" s="62">
        <f t="shared" ca="1" si="196"/>
        <v>0.99984063541131529</v>
      </c>
      <c r="AT1013" s="49"/>
    </row>
    <row r="1014" spans="1:46" x14ac:dyDescent="0.3">
      <c r="A1014" s="5">
        <v>44932</v>
      </c>
      <c r="B1014" s="6">
        <v>76.25</v>
      </c>
      <c r="C1014" s="6">
        <v>115.970001</v>
      </c>
      <c r="D1014" s="6">
        <v>127.55999799999999</v>
      </c>
      <c r="F1014" s="13">
        <v>1011</v>
      </c>
      <c r="G1014" s="5">
        <v>44932</v>
      </c>
      <c r="H1014" s="15">
        <f t="shared" si="192"/>
        <v>2.7118516980751857E-2</v>
      </c>
      <c r="I1014" s="15">
        <f t="shared" si="192"/>
        <v>1.3106137347251981E-2</v>
      </c>
      <c r="J1014" s="15">
        <f t="shared" si="192"/>
        <v>7.6333404122965031E-3</v>
      </c>
      <c r="K1014" s="22"/>
      <c r="L1014" s="13">
        <v>1011</v>
      </c>
      <c r="M1014" s="5">
        <v>44932</v>
      </c>
      <c r="N1014" s="26">
        <f t="shared" si="189"/>
        <v>1.3486027352564074</v>
      </c>
      <c r="O1014" s="26">
        <f t="shared" si="190"/>
        <v>1.0998672116868888</v>
      </c>
      <c r="P1014" s="26">
        <f t="shared" si="191"/>
        <v>1.6881948302857288</v>
      </c>
      <c r="Q1014" s="22"/>
      <c r="AD1014" s="59">
        <v>1010</v>
      </c>
      <c r="AE1014" s="61">
        <f t="shared" ca="1" si="193"/>
        <v>-2.3077912086715856E-2</v>
      </c>
      <c r="AF1014" s="61">
        <f t="shared" ca="1" si="193"/>
        <v>0.23033487697191796</v>
      </c>
      <c r="AG1014" s="61">
        <f t="shared" ca="1" si="193"/>
        <v>0.38601507147824748</v>
      </c>
      <c r="AH1014" s="19"/>
      <c r="AI1014" s="61">
        <f ca="1"/>
        <v>-5.0042801875659548E-4</v>
      </c>
      <c r="AJ1014" s="61">
        <f ca="1"/>
        <v>4.645339664152549E-3</v>
      </c>
      <c r="AK1014" s="61">
        <f ca="1"/>
        <v>1.1170824365588765E-2</v>
      </c>
      <c r="AL1014" s="19"/>
      <c r="AM1014" s="61">
        <f t="shared" ca="1" si="197"/>
        <v>-1.4921169624635127E-4</v>
      </c>
      <c r="AN1014" s="61">
        <f t="shared" ca="1" si="198"/>
        <v>4.8943922610690796E-3</v>
      </c>
      <c r="AO1014" s="61">
        <f t="shared" ca="1" si="199"/>
        <v>1.1602492968843584E-2</v>
      </c>
      <c r="AP1014" s="19"/>
      <c r="AQ1014" s="62">
        <f t="shared" ca="1" si="194"/>
        <v>1.5557166872743249</v>
      </c>
      <c r="AR1014" s="62">
        <f t="shared" ca="1" si="195"/>
        <v>1.4409486683671684</v>
      </c>
      <c r="AS1014" s="62">
        <f t="shared" ca="1" si="196"/>
        <v>1.0115088385808544</v>
      </c>
      <c r="AT1014" s="49"/>
    </row>
    <row r="1015" spans="1:46" x14ac:dyDescent="0.3">
      <c r="A1015" s="5">
        <v>44935</v>
      </c>
      <c r="B1015" s="6">
        <v>75.410004000000001</v>
      </c>
      <c r="C1015" s="6">
        <v>114.379997</v>
      </c>
      <c r="D1015" s="6">
        <v>128.58000200000001</v>
      </c>
      <c r="F1015" s="13">
        <v>1012</v>
      </c>
      <c r="G1015" s="5">
        <v>44935</v>
      </c>
      <c r="H1015" s="15">
        <f t="shared" si="192"/>
        <v>-1.1077470229603851E-2</v>
      </c>
      <c r="I1015" s="15">
        <f t="shared" si="192"/>
        <v>-1.3805333332723364E-2</v>
      </c>
      <c r="J1015" s="15">
        <f t="shared" si="192"/>
        <v>7.9644678050987579E-3</v>
      </c>
      <c r="K1015" s="22"/>
      <c r="L1015" s="13">
        <v>1012</v>
      </c>
      <c r="M1015" s="5">
        <v>44935</v>
      </c>
      <c r="N1015" s="26">
        <f t="shared" si="189"/>
        <v>1.3337460676733983</v>
      </c>
      <c r="O1015" s="26">
        <f t="shared" si="190"/>
        <v>1.084787507875806</v>
      </c>
      <c r="P1015" s="26">
        <f t="shared" si="191"/>
        <v>1.7016940895101667</v>
      </c>
      <c r="Q1015" s="22"/>
      <c r="AD1015" s="59">
        <v>1011</v>
      </c>
      <c r="AE1015" s="61">
        <f t="shared" ca="1" si="193"/>
        <v>-1.3084930373766681</v>
      </c>
      <c r="AF1015" s="61">
        <f t="shared" ca="1" si="193"/>
        <v>0.11764200409668633</v>
      </c>
      <c r="AG1015" s="61">
        <f t="shared" ca="1" si="193"/>
        <v>-2.1800743044698034</v>
      </c>
      <c r="AH1015" s="19"/>
      <c r="AI1015" s="61">
        <f ca="1"/>
        <v>-2.8373735708445074E-2</v>
      </c>
      <c r="AJ1015" s="61">
        <f ca="1"/>
        <v>-1.7923906511291322E-2</v>
      </c>
      <c r="AK1015" s="61">
        <f ca="1"/>
        <v>-7.4358615771089639E-2</v>
      </c>
      <c r="AL1015" s="19"/>
      <c r="AM1015" s="61">
        <f t="shared" ca="1" si="197"/>
        <v>-2.8022519385934828E-2</v>
      </c>
      <c r="AN1015" s="61">
        <f t="shared" ca="1" si="198"/>
        <v>-1.7674853914374792E-2</v>
      </c>
      <c r="AO1015" s="61">
        <f t="shared" ca="1" si="199"/>
        <v>-7.3926947167834822E-2</v>
      </c>
      <c r="AP1015" s="19"/>
      <c r="AQ1015" s="62">
        <f t="shared" ca="1" si="194"/>
        <v>1.5127267426832225</v>
      </c>
      <c r="AR1015" s="62">
        <f t="shared" ca="1" si="195"/>
        <v>1.4157038674437405</v>
      </c>
      <c r="AS1015" s="62">
        <f t="shared" ca="1" si="196"/>
        <v>0.93942825184805867</v>
      </c>
      <c r="AT1015" s="49"/>
    </row>
    <row r="1016" spans="1:46" x14ac:dyDescent="0.3">
      <c r="A1016" s="5">
        <v>44936</v>
      </c>
      <c r="B1016" s="6">
        <v>75.050003000000004</v>
      </c>
      <c r="C1016" s="6">
        <v>114.08000199999999</v>
      </c>
      <c r="D1016" s="6">
        <v>132.009995</v>
      </c>
      <c r="F1016" s="13">
        <v>1013</v>
      </c>
      <c r="G1016" s="5">
        <v>44936</v>
      </c>
      <c r="H1016" s="15">
        <f t="shared" si="192"/>
        <v>-4.7853472050959425E-3</v>
      </c>
      <c r="I1016" s="15">
        <f t="shared" si="192"/>
        <v>-2.6262380612658291E-3</v>
      </c>
      <c r="J1016" s="15">
        <f t="shared" si="192"/>
        <v>2.6326345148689936E-2</v>
      </c>
      <c r="K1016" s="22"/>
      <c r="L1016" s="13">
        <v>1013</v>
      </c>
      <c r="M1016" s="5">
        <v>44936</v>
      </c>
      <c r="N1016" s="26">
        <f t="shared" si="189"/>
        <v>1.32737887641707</v>
      </c>
      <c r="O1016" s="26">
        <f t="shared" si="190"/>
        <v>1.0819423353197584</v>
      </c>
      <c r="P1016" s="26">
        <f t="shared" si="191"/>
        <v>1.7470883866354789</v>
      </c>
      <c r="Q1016" s="22"/>
      <c r="AD1016" s="59">
        <v>1012</v>
      </c>
      <c r="AE1016" s="61">
        <f t="shared" ca="1" si="193"/>
        <v>0.36233936417651086</v>
      </c>
      <c r="AF1016" s="61">
        <f t="shared" ca="1" si="193"/>
        <v>2.6238173782546011E-2</v>
      </c>
      <c r="AG1016" s="61">
        <f t="shared" ca="1" si="193"/>
        <v>-0.60801009409959195</v>
      </c>
      <c r="AH1016" s="19"/>
      <c r="AI1016" s="61">
        <f ca="1"/>
        <v>7.8570699745732324E-3</v>
      </c>
      <c r="AJ1016" s="61">
        <f ca="1"/>
        <v>6.2417715765083238E-3</v>
      </c>
      <c r="AK1016" s="61">
        <f ca="1"/>
        <v>-1.0038648048196645E-2</v>
      </c>
      <c r="AL1016" s="19"/>
      <c r="AM1016" s="61">
        <f t="shared" ca="1" si="197"/>
        <v>8.2082862970834763E-3</v>
      </c>
      <c r="AN1016" s="61">
        <f t="shared" ca="1" si="198"/>
        <v>6.4908241734248544E-3</v>
      </c>
      <c r="AO1016" s="61">
        <f t="shared" ca="1" si="199"/>
        <v>-9.6069794449418263E-3</v>
      </c>
      <c r="AP1016" s="19"/>
      <c r="AQ1016" s="62">
        <f t="shared" ca="1" si="194"/>
        <v>1.5251947373076171</v>
      </c>
      <c r="AR1016" s="62">
        <f t="shared" ca="1" si="195"/>
        <v>1.4249228393248612</v>
      </c>
      <c r="AS1016" s="62">
        <f t="shared" ca="1" si="196"/>
        <v>0.93044639726958789</v>
      </c>
      <c r="AT1016" s="49"/>
    </row>
    <row r="1017" spans="1:46" x14ac:dyDescent="0.3">
      <c r="A1017" s="5">
        <v>44937</v>
      </c>
      <c r="B1017" s="6">
        <v>76.220000999999996</v>
      </c>
      <c r="C1017" s="6">
        <v>116.220001</v>
      </c>
      <c r="D1017" s="6">
        <v>133.60000600000001</v>
      </c>
      <c r="F1017" s="13">
        <v>1014</v>
      </c>
      <c r="G1017" s="5">
        <v>44937</v>
      </c>
      <c r="H1017" s="15">
        <f t="shared" si="192"/>
        <v>1.5469310512808773E-2</v>
      </c>
      <c r="I1017" s="15">
        <f t="shared" si="192"/>
        <v>1.858498105378812E-2</v>
      </c>
      <c r="J1017" s="15">
        <f t="shared" si="192"/>
        <v>1.1972666595975109E-2</v>
      </c>
      <c r="K1017" s="22"/>
      <c r="L1017" s="13">
        <v>1014</v>
      </c>
      <c r="M1017" s="5">
        <v>44937</v>
      </c>
      <c r="N1017" s="26">
        <f t="shared" si="189"/>
        <v>1.3480721551455226</v>
      </c>
      <c r="O1017" s="26">
        <f t="shared" si="190"/>
        <v>1.1022382283338727</v>
      </c>
      <c r="P1017" s="26">
        <f t="shared" si="191"/>
        <v>1.7681314126027374</v>
      </c>
      <c r="Q1017" s="22"/>
      <c r="AD1017" s="59">
        <v>1013</v>
      </c>
      <c r="AE1017" s="61">
        <f t="shared" ca="1" si="193"/>
        <v>1.3950076981402004</v>
      </c>
      <c r="AF1017" s="61">
        <f t="shared" ca="1" si="193"/>
        <v>-0.73958593822536922</v>
      </c>
      <c r="AG1017" s="61">
        <f t="shared" ca="1" si="193"/>
        <v>0.80184138839013241</v>
      </c>
      <c r="AH1017" s="19"/>
      <c r="AI1017" s="61">
        <f ca="1"/>
        <v>3.0249744253612147E-2</v>
      </c>
      <c r="AJ1017" s="61">
        <f ca="1"/>
        <v>5.7594789103719984E-3</v>
      </c>
      <c r="AK1017" s="61">
        <f ca="1"/>
        <v>3.5946635979530447E-2</v>
      </c>
      <c r="AL1017" s="19"/>
      <c r="AM1017" s="61">
        <f t="shared" ca="1" si="197"/>
        <v>3.0600960576122393E-2</v>
      </c>
      <c r="AN1017" s="61">
        <f t="shared" ca="1" si="198"/>
        <v>6.008531507288529E-3</v>
      </c>
      <c r="AO1017" s="61">
        <f t="shared" ca="1" si="199"/>
        <v>3.6378304582785265E-2</v>
      </c>
      <c r="AP1017" s="19"/>
      <c r="AQ1017" s="62">
        <f t="shared" ca="1" si="194"/>
        <v>1.5725886120628325</v>
      </c>
      <c r="AR1017" s="62">
        <f t="shared" ca="1" si="195"/>
        <v>1.4335103062976349</v>
      </c>
      <c r="AS1017" s="62">
        <f t="shared" ca="1" si="196"/>
        <v>0.96491766131113987</v>
      </c>
      <c r="AT1017" s="49"/>
    </row>
    <row r="1018" spans="1:46" x14ac:dyDescent="0.3">
      <c r="A1018" s="5">
        <v>44938</v>
      </c>
      <c r="B1018" s="6">
        <v>76.089995999999999</v>
      </c>
      <c r="C1018" s="6">
        <v>119.43</v>
      </c>
      <c r="D1018" s="6">
        <v>135.320007</v>
      </c>
      <c r="F1018" s="13">
        <v>1015</v>
      </c>
      <c r="G1018" s="5">
        <v>44938</v>
      </c>
      <c r="H1018" s="15">
        <f t="shared" si="192"/>
        <v>-1.7071109465258353E-3</v>
      </c>
      <c r="I1018" s="15">
        <f t="shared" si="192"/>
        <v>2.7245470429005027E-2</v>
      </c>
      <c r="J1018" s="15">
        <f t="shared" si="192"/>
        <v>1.2792089629016734E-2</v>
      </c>
      <c r="K1018" s="22"/>
      <c r="L1018" s="13">
        <v>1015</v>
      </c>
      <c r="M1018" s="5">
        <v>44938</v>
      </c>
      <c r="N1018" s="26">
        <f t="shared" si="189"/>
        <v>1.345772809590152</v>
      </c>
      <c r="O1018" s="26">
        <f t="shared" si="190"/>
        <v>1.1326820725970774</v>
      </c>
      <c r="P1018" s="26">
        <f t="shared" si="191"/>
        <v>1.7908947933005506</v>
      </c>
      <c r="Q1018" s="22"/>
      <c r="AD1018" s="59">
        <v>1014</v>
      </c>
      <c r="AE1018" s="61">
        <f t="shared" ca="1" si="193"/>
        <v>-0.13496443802180078</v>
      </c>
      <c r="AF1018" s="61">
        <f t="shared" ca="1" si="193"/>
        <v>0.46780548819803502</v>
      </c>
      <c r="AG1018" s="61">
        <f t="shared" ca="1" si="193"/>
        <v>1.3118931406215966</v>
      </c>
      <c r="AH1018" s="19"/>
      <c r="AI1018" s="61">
        <f ca="1"/>
        <v>-2.9266073147373051E-3</v>
      </c>
      <c r="AJ1018" s="61">
        <f ca="1"/>
        <v>8.0557193397531503E-3</v>
      </c>
      <c r="AK1018" s="61">
        <f ca="1"/>
        <v>3.4910971861973603E-2</v>
      </c>
      <c r="AL1018" s="19"/>
      <c r="AM1018" s="61">
        <f t="shared" ca="1" si="197"/>
        <v>-2.5753909922270608E-3</v>
      </c>
      <c r="AN1018" s="61">
        <f t="shared" ca="1" si="198"/>
        <v>8.3047719366696818E-3</v>
      </c>
      <c r="AO1018" s="61">
        <f t="shared" ca="1" si="199"/>
        <v>3.534264046522842E-2</v>
      </c>
      <c r="AP1018" s="19"/>
      <c r="AQ1018" s="62">
        <f t="shared" ca="1" si="194"/>
        <v>1.5685437922487564</v>
      </c>
      <c r="AR1018" s="62">
        <f t="shared" ca="1" si="195"/>
        <v>1.445464853647052</v>
      </c>
      <c r="AS1018" s="62">
        <f t="shared" ca="1" si="196"/>
        <v>0.99963020250746459</v>
      </c>
      <c r="AT1018" s="49"/>
    </row>
    <row r="1019" spans="1:46" x14ac:dyDescent="0.3">
      <c r="A1019" s="5">
        <v>44939</v>
      </c>
      <c r="B1019" s="6">
        <v>77.5</v>
      </c>
      <c r="C1019" s="6">
        <v>118.80999799999999</v>
      </c>
      <c r="D1019" s="6">
        <v>136.13000500000001</v>
      </c>
      <c r="F1019" s="13">
        <v>1016</v>
      </c>
      <c r="G1019" s="5">
        <v>44939</v>
      </c>
      <c r="H1019" s="15">
        <f t="shared" si="192"/>
        <v>1.836113874019708E-2</v>
      </c>
      <c r="I1019" s="15">
        <f t="shared" si="192"/>
        <v>-5.2048640437395788E-3</v>
      </c>
      <c r="J1019" s="15">
        <f t="shared" si="192"/>
        <v>5.9679526122369221E-3</v>
      </c>
      <c r="K1019" s="22"/>
      <c r="L1019" s="13">
        <v>1016</v>
      </c>
      <c r="M1019" s="5">
        <v>44939</v>
      </c>
      <c r="N1019" s="26">
        <f t="shared" si="189"/>
        <v>1.3707109768179877</v>
      </c>
      <c r="O1019" s="26">
        <f t="shared" si="190"/>
        <v>1.1268019323444245</v>
      </c>
      <c r="P1019" s="26">
        <f t="shared" si="191"/>
        <v>1.8016147247648158</v>
      </c>
      <c r="Q1019" s="22"/>
      <c r="AD1019" s="59">
        <v>1015</v>
      </c>
      <c r="AE1019" s="61">
        <f t="shared" ca="1" si="193"/>
        <v>0.78036293272441315</v>
      </c>
      <c r="AF1019" s="61">
        <f t="shared" ca="1" si="193"/>
        <v>-4.9132449660169358E-2</v>
      </c>
      <c r="AG1019" s="61">
        <f t="shared" ca="1" si="193"/>
        <v>-0.46052867045683199</v>
      </c>
      <c r="AH1019" s="19"/>
      <c r="AI1019" s="61">
        <f ca="1"/>
        <v>1.6921612096752619E-2</v>
      </c>
      <c r="AJ1019" s="61">
        <f ca="1"/>
        <v>1.1146560530482132E-2</v>
      </c>
      <c r="AK1019" s="61">
        <f ca="1"/>
        <v>-6.1444875718617495E-4</v>
      </c>
      <c r="AL1019" s="19"/>
      <c r="AM1019" s="61">
        <f t="shared" ca="1" si="197"/>
        <v>1.7272828419262864E-2</v>
      </c>
      <c r="AN1019" s="61">
        <f t="shared" ca="1" si="198"/>
        <v>1.1395613127398663E-2</v>
      </c>
      <c r="AO1019" s="61">
        <f t="shared" ca="1" si="199"/>
        <v>-1.8278015393135671E-4</v>
      </c>
      <c r="AP1019" s="19"/>
      <c r="AQ1019" s="62">
        <f t="shared" ca="1" si="194"/>
        <v>1.5958723210815695</v>
      </c>
      <c r="AR1019" s="62">
        <f t="shared" ca="1" si="195"/>
        <v>1.4620310234664202</v>
      </c>
      <c r="AS1019" s="62">
        <f t="shared" ca="1" si="196"/>
        <v>0.99944750664227366</v>
      </c>
      <c r="AT1019" s="49"/>
    </row>
    <row r="1020" spans="1:46" x14ac:dyDescent="0.3">
      <c r="A1020" s="5">
        <v>44943</v>
      </c>
      <c r="B1020" s="6">
        <v>76.819999999999993</v>
      </c>
      <c r="C1020" s="6">
        <v>119.269997</v>
      </c>
      <c r="D1020" s="6">
        <v>137.61000100000001</v>
      </c>
      <c r="F1020" s="13">
        <v>1017</v>
      </c>
      <c r="G1020" s="5">
        <v>44943</v>
      </c>
      <c r="H1020" s="15">
        <f t="shared" si="192"/>
        <v>-8.8129134415426309E-3</v>
      </c>
      <c r="I1020" s="15">
        <f t="shared" si="192"/>
        <v>3.8642438009673223E-3</v>
      </c>
      <c r="J1020" s="15">
        <f t="shared" si="192"/>
        <v>1.0813256290126248E-2</v>
      </c>
      <c r="K1020" s="22"/>
      <c r="L1020" s="13">
        <v>1017</v>
      </c>
      <c r="M1020" s="5">
        <v>44943</v>
      </c>
      <c r="N1020" s="26">
        <f t="shared" si="189"/>
        <v>1.3586840934084878</v>
      </c>
      <c r="O1020" s="26">
        <f t="shared" si="190"/>
        <v>1.1311645934908081</v>
      </c>
      <c r="P1020" s="26">
        <f t="shared" si="191"/>
        <v>1.8212017554579609</v>
      </c>
      <c r="Q1020" s="22"/>
      <c r="AD1020" s="59">
        <v>1016</v>
      </c>
      <c r="AE1020" s="61">
        <f t="shared" ca="1" si="193"/>
        <v>0.78491623338917649</v>
      </c>
      <c r="AF1020" s="61">
        <f t="shared" ca="1" si="193"/>
        <v>0.46011204313277748</v>
      </c>
      <c r="AG1020" s="61">
        <f t="shared" ca="1" si="193"/>
        <v>-6.0625561560623384E-4</v>
      </c>
      <c r="AH1020" s="19"/>
      <c r="AI1020" s="61">
        <f ca="1"/>
        <v>1.702034716524186E-2</v>
      </c>
      <c r="AJ1020" s="61">
        <f ca="1"/>
        <v>2.2286777595411152E-2</v>
      </c>
      <c r="AK1020" s="61">
        <f ca="1"/>
        <v>1.4822354687427276E-2</v>
      </c>
      <c r="AL1020" s="19"/>
      <c r="AM1020" s="61">
        <f t="shared" ca="1" si="197"/>
        <v>1.7371563487752106E-2</v>
      </c>
      <c r="AN1020" s="61">
        <f t="shared" ca="1" si="198"/>
        <v>2.2535830192327681E-2</v>
      </c>
      <c r="AO1020" s="61">
        <f t="shared" ca="1" si="199"/>
        <v>1.5254023290682095E-2</v>
      </c>
      <c r="AP1020" s="19"/>
      <c r="AQ1020" s="62">
        <f t="shared" ca="1" si="194"/>
        <v>1.6238373129928596</v>
      </c>
      <c r="AR1020" s="62">
        <f t="shared" ca="1" si="195"/>
        <v>1.4953531671865989</v>
      </c>
      <c r="AS1020" s="62">
        <f t="shared" ca="1" si="196"/>
        <v>1.0148099740202234</v>
      </c>
      <c r="AT1020" s="49"/>
    </row>
    <row r="1021" spans="1:46" x14ac:dyDescent="0.3">
      <c r="A1021" s="5">
        <v>44944</v>
      </c>
      <c r="B1021" s="6">
        <v>76.809997999999993</v>
      </c>
      <c r="C1021" s="6">
        <v>118.91999800000001</v>
      </c>
      <c r="D1021" s="6">
        <v>135.520004</v>
      </c>
      <c r="F1021" s="13">
        <v>1018</v>
      </c>
      <c r="G1021" s="5">
        <v>44944</v>
      </c>
      <c r="H1021" s="15">
        <f t="shared" si="192"/>
        <v>-1.3020894544480831E-4</v>
      </c>
      <c r="I1021" s="15">
        <f t="shared" si="192"/>
        <v>-2.9388241256953131E-3</v>
      </c>
      <c r="J1021" s="15">
        <f t="shared" si="192"/>
        <v>-1.5304344124421622E-2</v>
      </c>
      <c r="K1021" s="22"/>
      <c r="L1021" s="13">
        <v>1018</v>
      </c>
      <c r="M1021" s="5">
        <v>44944</v>
      </c>
      <c r="N1021" s="26">
        <f t="shared" si="189"/>
        <v>1.3585071921028087</v>
      </c>
      <c r="O1021" s="26">
        <f t="shared" si="190"/>
        <v>1.1278451796690976</v>
      </c>
      <c r="P1021" s="26">
        <f t="shared" si="191"/>
        <v>1.7935416567904092</v>
      </c>
      <c r="Q1021" s="22"/>
      <c r="AD1021" s="59">
        <v>1017</v>
      </c>
      <c r="AE1021" s="61">
        <f t="shared" ca="1" si="193"/>
        <v>0.20238243724796251</v>
      </c>
      <c r="AF1021" s="61">
        <f t="shared" ca="1" si="193"/>
        <v>0.27468031557881611</v>
      </c>
      <c r="AG1021" s="61">
        <f t="shared" ca="1" si="193"/>
        <v>-0.41021332181200232</v>
      </c>
      <c r="AH1021" s="19"/>
      <c r="AI1021" s="61">
        <f ca="1"/>
        <v>4.3885184120025572E-3</v>
      </c>
      <c r="AJ1021" s="61">
        <f ca="1"/>
        <v>9.1382144736149706E-3</v>
      </c>
      <c r="AK1021" s="61">
        <f ca="1"/>
        <v>-5.5849105464812017E-3</v>
      </c>
      <c r="AL1021" s="19"/>
      <c r="AM1021" s="61">
        <f t="shared" ca="1" si="197"/>
        <v>4.7397347345128011E-3</v>
      </c>
      <c r="AN1021" s="61">
        <f t="shared" ca="1" si="198"/>
        <v>9.387267070531502E-3</v>
      </c>
      <c r="AO1021" s="61">
        <f t="shared" ca="1" si="199"/>
        <v>-5.1532419432263835E-3</v>
      </c>
      <c r="AP1021" s="19"/>
      <c r="AQ1021" s="62">
        <f t="shared" ca="1" si="194"/>
        <v>1.6315521397818529</v>
      </c>
      <c r="AR1021" s="62">
        <f t="shared" ca="1" si="195"/>
        <v>1.5094565392251751</v>
      </c>
      <c r="AS1021" s="62">
        <f t="shared" ca="1" si="196"/>
        <v>1.0095938641789088</v>
      </c>
      <c r="AT1021" s="49"/>
    </row>
    <row r="1022" spans="1:46" x14ac:dyDescent="0.3">
      <c r="A1022" s="5">
        <v>44945</v>
      </c>
      <c r="B1022" s="6">
        <v>75.720000999999996</v>
      </c>
      <c r="C1022" s="6">
        <v>117.339996</v>
      </c>
      <c r="D1022" s="6">
        <v>138.470001</v>
      </c>
      <c r="F1022" s="13">
        <v>1019</v>
      </c>
      <c r="G1022" s="5">
        <v>44945</v>
      </c>
      <c r="H1022" s="15">
        <f t="shared" si="192"/>
        <v>-1.4292474424641497E-2</v>
      </c>
      <c r="I1022" s="15">
        <f t="shared" si="192"/>
        <v>-1.3375311903126876E-2</v>
      </c>
      <c r="J1022" s="15">
        <f t="shared" si="192"/>
        <v>2.1534442468721E-2</v>
      </c>
      <c r="K1022" s="22"/>
      <c r="L1022" s="13">
        <v>1019</v>
      </c>
      <c r="M1022" s="5">
        <v>44945</v>
      </c>
      <c r="N1022" s="26">
        <f t="shared" si="189"/>
        <v>1.3392288585208905</v>
      </c>
      <c r="O1022" s="26">
        <f t="shared" si="190"/>
        <v>1.112860335492027</v>
      </c>
      <c r="P1022" s="26">
        <f t="shared" si="191"/>
        <v>1.8325834391896094</v>
      </c>
      <c r="Q1022" s="22"/>
      <c r="AD1022" s="59">
        <v>1018</v>
      </c>
      <c r="AE1022" s="61">
        <f t="shared" ca="1" si="193"/>
        <v>-0.47301398403827355</v>
      </c>
      <c r="AF1022" s="61">
        <f t="shared" ca="1" si="193"/>
        <v>0.48510279190116956</v>
      </c>
      <c r="AG1022" s="61">
        <f t="shared" ca="1" si="193"/>
        <v>-1.8457880120650556</v>
      </c>
      <c r="AH1022" s="19"/>
      <c r="AI1022" s="61">
        <f ca="1"/>
        <v>-1.0256969954084025E-2</v>
      </c>
      <c r="AJ1022" s="61">
        <f ca="1"/>
        <v>3.1404281104366709E-3</v>
      </c>
      <c r="AK1022" s="61">
        <f ca="1"/>
        <v>-5.0861728583786112E-2</v>
      </c>
      <c r="AL1022" s="19"/>
      <c r="AM1022" s="61">
        <f t="shared" ca="1" si="197"/>
        <v>-9.9057536315737809E-3</v>
      </c>
      <c r="AN1022" s="61">
        <f t="shared" ca="1" si="198"/>
        <v>3.3894807073532015E-3</v>
      </c>
      <c r="AO1022" s="61">
        <f t="shared" ca="1" si="199"/>
        <v>-5.0430059980531294E-2</v>
      </c>
      <c r="AP1022" s="19"/>
      <c r="AQ1022" s="62">
        <f t="shared" ca="1" si="194"/>
        <v>1.6154701697665412</v>
      </c>
      <c r="AR1022" s="62">
        <f t="shared" ca="1" si="195"/>
        <v>1.514581493603927</v>
      </c>
      <c r="AS1022" s="62">
        <f t="shared" ca="1" si="196"/>
        <v>0.95994246877875289</v>
      </c>
      <c r="AT1022" s="49"/>
    </row>
    <row r="1023" spans="1:46" x14ac:dyDescent="0.3">
      <c r="A1023" s="5">
        <v>44946</v>
      </c>
      <c r="B1023" s="6">
        <v>78.269997000000004</v>
      </c>
      <c r="C1023" s="6">
        <v>121.050003</v>
      </c>
      <c r="D1023" s="6">
        <v>142.729996</v>
      </c>
      <c r="F1023" s="13">
        <v>1020</v>
      </c>
      <c r="G1023" s="5">
        <v>44946</v>
      </c>
      <c r="H1023" s="15">
        <f t="shared" si="192"/>
        <v>3.3122009940211944E-2</v>
      </c>
      <c r="I1023" s="15">
        <f t="shared" si="192"/>
        <v>3.1128038758473611E-2</v>
      </c>
      <c r="J1023" s="15">
        <f t="shared" si="192"/>
        <v>3.0301002728331083E-2</v>
      </c>
      <c r="K1023" s="22"/>
      <c r="L1023" s="13">
        <v>1020</v>
      </c>
      <c r="M1023" s="5">
        <v>44946</v>
      </c>
      <c r="N1023" s="26">
        <f t="shared" si="189"/>
        <v>1.3843296005601415</v>
      </c>
      <c r="O1023" s="26">
        <f t="shared" si="190"/>
        <v>1.148046288921732</v>
      </c>
      <c r="P1023" s="26">
        <f t="shared" si="191"/>
        <v>1.8889624110365912</v>
      </c>
      <c r="Q1023" s="22"/>
      <c r="AD1023" s="59">
        <v>1019</v>
      </c>
      <c r="AE1023" s="61">
        <f t="shared" ca="1" si="193"/>
        <v>-0.55178001241482766</v>
      </c>
      <c r="AF1023" s="61">
        <f t="shared" ca="1" si="193"/>
        <v>-2.8960272332895123E-2</v>
      </c>
      <c r="AG1023" s="61">
        <f t="shared" ca="1" si="193"/>
        <v>-0.44630054266861585</v>
      </c>
      <c r="AH1023" s="19"/>
      <c r="AI1023" s="61">
        <f ca="1"/>
        <v>-1.1964954947600569E-2</v>
      </c>
      <c r="AJ1023" s="61">
        <f ca="1"/>
        <v>-9.2661282001584473E-3</v>
      </c>
      <c r="AK1023" s="61">
        <f ca="1"/>
        <v>-1.9791002435084602E-2</v>
      </c>
      <c r="AL1023" s="19"/>
      <c r="AM1023" s="61">
        <f t="shared" ca="1" si="197"/>
        <v>-1.1613738625090325E-2</v>
      </c>
      <c r="AN1023" s="61">
        <f t="shared" ca="1" si="198"/>
        <v>-9.0170756032419159E-3</v>
      </c>
      <c r="AO1023" s="61">
        <f t="shared" ca="1" si="199"/>
        <v>-1.9359333831829785E-2</v>
      </c>
      <c r="AP1023" s="19"/>
      <c r="AQ1023" s="62">
        <f t="shared" ca="1" si="194"/>
        <v>1.5968170473612739</v>
      </c>
      <c r="AR1023" s="62">
        <f t="shared" ca="1" si="195"/>
        <v>1.500985786647044</v>
      </c>
      <c r="AS1023" s="62">
        <f t="shared" ca="1" si="196"/>
        <v>0.94153735228820201</v>
      </c>
      <c r="AT1023" s="49"/>
    </row>
    <row r="1024" spans="1:46" x14ac:dyDescent="0.3">
      <c r="A1024" s="5">
        <v>44949</v>
      </c>
      <c r="B1024" s="6">
        <v>79.75</v>
      </c>
      <c r="C1024" s="6">
        <v>126.870003</v>
      </c>
      <c r="D1024" s="6">
        <v>143.08000200000001</v>
      </c>
      <c r="F1024" s="13">
        <v>1021</v>
      </c>
      <c r="G1024" s="5">
        <v>44949</v>
      </c>
      <c r="H1024" s="15">
        <f t="shared" si="192"/>
        <v>1.8732392177069512E-2</v>
      </c>
      <c r="I1024" s="15">
        <f t="shared" si="192"/>
        <v>4.6959255631543954E-2</v>
      </c>
      <c r="J1024" s="15">
        <f t="shared" si="192"/>
        <v>2.4492227522764994E-3</v>
      </c>
      <c r="K1024" s="22"/>
      <c r="L1024" s="13">
        <v>1021</v>
      </c>
      <c r="M1024" s="5">
        <v>44949</v>
      </c>
      <c r="N1024" s="26">
        <f t="shared" si="189"/>
        <v>1.4105058116288325</v>
      </c>
      <c r="O1024" s="26">
        <f t="shared" si="190"/>
        <v>1.2032435564635136</v>
      </c>
      <c r="P1024" s="26">
        <f t="shared" si="191"/>
        <v>1.8935945710321489</v>
      </c>
      <c r="Q1024" s="22"/>
      <c r="AD1024" s="59">
        <v>1020</v>
      </c>
      <c r="AE1024" s="61">
        <f t="shared" ca="1" si="193"/>
        <v>0.59418476639372109</v>
      </c>
      <c r="AF1024" s="61">
        <f t="shared" ca="1" si="193"/>
        <v>-0.92505713135613521</v>
      </c>
      <c r="AG1024" s="61">
        <f t="shared" ca="1" si="193"/>
        <v>0.56073130104631785</v>
      </c>
      <c r="AH1024" s="19"/>
      <c r="AI1024" s="61">
        <f ca="1"/>
        <v>1.2884471710632762E-2</v>
      </c>
      <c r="AJ1024" s="61">
        <f ca="1"/>
        <v>-1.0806677350202737E-2</v>
      </c>
      <c r="AK1024" s="61">
        <f ca="1"/>
        <v>1.6630636668982325E-2</v>
      </c>
      <c r="AL1024" s="19"/>
      <c r="AM1024" s="61">
        <f t="shared" ca="1" si="197"/>
        <v>1.3235688033143006E-2</v>
      </c>
      <c r="AN1024" s="61">
        <f t="shared" ca="1" si="198"/>
        <v>-1.0557624753286206E-2</v>
      </c>
      <c r="AO1024" s="61">
        <f t="shared" ca="1" si="199"/>
        <v>1.7062305272237142E-2</v>
      </c>
      <c r="AP1024" s="19"/>
      <c r="AQ1024" s="62">
        <f t="shared" ca="1" si="194"/>
        <v>1.6180925067261744</v>
      </c>
      <c r="AR1024" s="62">
        <f t="shared" ca="1" si="195"/>
        <v>1.4852223008562577</v>
      </c>
      <c r="AS1024" s="62">
        <f t="shared" ca="1" si="196"/>
        <v>0.95773998406596728</v>
      </c>
      <c r="AT1024" s="49"/>
    </row>
    <row r="1025" spans="1:46" x14ac:dyDescent="0.3">
      <c r="A1025" s="5">
        <v>44950</v>
      </c>
      <c r="B1025" s="6">
        <v>79.099997999999999</v>
      </c>
      <c r="C1025" s="6">
        <v>126.300003</v>
      </c>
      <c r="D1025" s="6">
        <v>145.029999</v>
      </c>
      <c r="F1025" s="13">
        <v>1022</v>
      </c>
      <c r="G1025" s="5">
        <v>44950</v>
      </c>
      <c r="H1025" s="15">
        <f t="shared" si="192"/>
        <v>-8.1838921757961518E-3</v>
      </c>
      <c r="I1025" s="15">
        <f t="shared" si="192"/>
        <v>-4.5029106893444172E-3</v>
      </c>
      <c r="J1025" s="15">
        <f t="shared" si="192"/>
        <v>1.3536682308022551E-2</v>
      </c>
      <c r="K1025" s="22"/>
      <c r="L1025" s="13">
        <v>1022</v>
      </c>
      <c r="M1025" s="5">
        <v>44950</v>
      </c>
      <c r="N1025" s="26">
        <f t="shared" si="189"/>
        <v>1.3990094906436241</v>
      </c>
      <c r="O1025" s="26">
        <f t="shared" si="190"/>
        <v>1.1978376385083906</v>
      </c>
      <c r="P1025" s="26">
        <f t="shared" si="191"/>
        <v>1.9194018374643156</v>
      </c>
      <c r="Q1025" s="22"/>
      <c r="AD1025" s="59">
        <v>1021</v>
      </c>
      <c r="AE1025" s="61">
        <f t="shared" ca="1" si="193"/>
        <v>-0.54234302770626985</v>
      </c>
      <c r="AF1025" s="61">
        <f t="shared" ca="1" si="193"/>
        <v>1.0602292888181015</v>
      </c>
      <c r="AG1025" s="61">
        <f t="shared" ca="1" si="193"/>
        <v>0.62176893328308391</v>
      </c>
      <c r="AH1025" s="19"/>
      <c r="AI1025" s="61">
        <f ca="1"/>
        <v>-1.1760320683331131E-2</v>
      </c>
      <c r="AJ1025" s="61">
        <f ca="1"/>
        <v>1.4556226157669031E-2</v>
      </c>
      <c r="AK1025" s="61">
        <f ca="1"/>
        <v>1.538290085647516E-2</v>
      </c>
      <c r="AL1025" s="19"/>
      <c r="AM1025" s="61">
        <f t="shared" ca="1" si="197"/>
        <v>-1.1409104360820887E-2</v>
      </c>
      <c r="AN1025" s="61">
        <f t="shared" ca="1" si="198"/>
        <v>1.4805278754585562E-2</v>
      </c>
      <c r="AO1025" s="61">
        <f t="shared" ca="1" si="199"/>
        <v>1.5814569459729977E-2</v>
      </c>
      <c r="AP1025" s="19"/>
      <c r="AQ1025" s="62">
        <f t="shared" ca="1" si="194"/>
        <v>1.5997364327468204</v>
      </c>
      <c r="AR1025" s="62">
        <f t="shared" ca="1" si="195"/>
        <v>1.5073750149386453</v>
      </c>
      <c r="AS1025" s="62">
        <f t="shared" ca="1" si="196"/>
        <v>0.97300662909568603</v>
      </c>
      <c r="AT1025" s="49"/>
    </row>
    <row r="1026" spans="1:46" x14ac:dyDescent="0.3">
      <c r="A1026" s="5">
        <v>44951</v>
      </c>
      <c r="B1026" s="6">
        <v>78.879997000000003</v>
      </c>
      <c r="C1026" s="6">
        <v>123.980003</v>
      </c>
      <c r="D1026" s="6">
        <v>143.35000600000001</v>
      </c>
      <c r="F1026" s="13">
        <v>1023</v>
      </c>
      <c r="G1026" s="5">
        <v>44951</v>
      </c>
      <c r="H1026" s="15">
        <f t="shared" si="192"/>
        <v>-2.7851772272328634E-3</v>
      </c>
      <c r="I1026" s="15">
        <f t="shared" si="192"/>
        <v>-1.8539766638190108E-2</v>
      </c>
      <c r="J1026" s="15">
        <f t="shared" si="192"/>
        <v>-1.1651376492057358E-2</v>
      </c>
      <c r="K1026" s="22"/>
      <c r="L1026" s="13">
        <v>1023</v>
      </c>
      <c r="M1026" s="5">
        <v>44951</v>
      </c>
      <c r="N1026" s="26">
        <f t="shared" si="189"/>
        <v>1.3951184224421929</v>
      </c>
      <c r="O1026" s="26">
        <f t="shared" si="190"/>
        <v>1.1758346040243814</v>
      </c>
      <c r="P1026" s="26">
        <f t="shared" si="191"/>
        <v>1.8971679432813116</v>
      </c>
      <c r="Q1026" s="22"/>
      <c r="AD1026" s="59">
        <v>1022</v>
      </c>
      <c r="AE1026" s="61">
        <f t="shared" ca="1" si="193"/>
        <v>0.19746872937757459</v>
      </c>
      <c r="AF1026" s="61">
        <f t="shared" ca="1" si="193"/>
        <v>0.79401325134564049</v>
      </c>
      <c r="AG1026" s="61">
        <f t="shared" ca="1" si="193"/>
        <v>0.73370789201630293</v>
      </c>
      <c r="AH1026" s="19"/>
      <c r="AI1026" s="61">
        <f ca="1"/>
        <v>4.2819681710151002E-3</v>
      </c>
      <c r="AJ1026" s="61">
        <f ca="1"/>
        <v>2.0349533296040147E-2</v>
      </c>
      <c r="AK1026" s="61">
        <f ca="1"/>
        <v>2.7307078667376621E-2</v>
      </c>
      <c r="AL1026" s="19"/>
      <c r="AM1026" s="61">
        <f t="shared" ca="1" si="197"/>
        <v>4.6331844935253441E-3</v>
      </c>
      <c r="AN1026" s="61">
        <f t="shared" ca="1" si="198"/>
        <v>2.0598585892956676E-2</v>
      </c>
      <c r="AO1026" s="61">
        <f t="shared" ca="1" si="199"/>
        <v>2.7738747270631438E-2</v>
      </c>
      <c r="AP1026" s="19"/>
      <c r="AQ1026" s="62">
        <f t="shared" ca="1" si="194"/>
        <v>1.6071655036191224</v>
      </c>
      <c r="AR1026" s="62">
        <f t="shared" ca="1" si="195"/>
        <v>1.538746806679171</v>
      </c>
      <c r="AS1026" s="62">
        <f t="shared" ca="1" si="196"/>
        <v>1.0003744335820322</v>
      </c>
      <c r="AT1026" s="49"/>
    </row>
    <row r="1027" spans="1:46" x14ac:dyDescent="0.3">
      <c r="A1027" s="5">
        <v>44952</v>
      </c>
      <c r="B1027" s="6">
        <v>80.809997999999993</v>
      </c>
      <c r="C1027" s="6">
        <v>124.209999</v>
      </c>
      <c r="D1027" s="6">
        <v>149.96000699999999</v>
      </c>
      <c r="F1027" s="13">
        <v>1024</v>
      </c>
      <c r="G1027" s="5">
        <v>44952</v>
      </c>
      <c r="H1027" s="15">
        <f t="shared" si="192"/>
        <v>2.4173023234018699E-2</v>
      </c>
      <c r="I1027" s="15">
        <f t="shared" si="192"/>
        <v>1.853387033996598E-3</v>
      </c>
      <c r="J1027" s="15">
        <f t="shared" si="192"/>
        <v>4.5079404361848339E-2</v>
      </c>
      <c r="K1027" s="22"/>
      <c r="L1027" s="13">
        <v>1024</v>
      </c>
      <c r="M1027" s="5">
        <v>44952</v>
      </c>
      <c r="N1027" s="26">
        <f t="shared" si="189"/>
        <v>1.4292535650998661</v>
      </c>
      <c r="O1027" s="26">
        <f t="shared" si="190"/>
        <v>1.1780159014033402</v>
      </c>
      <c r="P1027" s="26">
        <f t="shared" si="191"/>
        <v>1.9846481070579172</v>
      </c>
      <c r="Q1027" s="22"/>
      <c r="AD1027" s="59">
        <v>1023</v>
      </c>
      <c r="AE1027" s="61">
        <f t="shared" ca="1" si="193"/>
        <v>-0.62343981823468619</v>
      </c>
      <c r="AF1027" s="61">
        <f t="shared" ca="1" si="193"/>
        <v>1.158368454056627</v>
      </c>
      <c r="AG1027" s="61">
        <f t="shared" ca="1" si="193"/>
        <v>-1.7081115195969008</v>
      </c>
      <c r="AH1027" s="19"/>
      <c r="AI1027" s="61">
        <f ca="1"/>
        <v>-1.3518846587198081E-2</v>
      </c>
      <c r="AJ1027" s="61">
        <f ca="1"/>
        <v>1.5420026412333658E-2</v>
      </c>
      <c r="AK1027" s="61">
        <f ca="1"/>
        <v>-4.481563991420269E-2</v>
      </c>
      <c r="AL1027" s="19"/>
      <c r="AM1027" s="61">
        <f t="shared" ca="1" si="197"/>
        <v>-1.3167630264687837E-2</v>
      </c>
      <c r="AN1027" s="61">
        <f t="shared" ca="1" si="198"/>
        <v>1.566907900925019E-2</v>
      </c>
      <c r="AO1027" s="61">
        <f t="shared" ca="1" si="199"/>
        <v>-4.4383971310947873E-2</v>
      </c>
      <c r="AP1027" s="19"/>
      <c r="AQ1027" s="62">
        <f t="shared" ca="1" si="194"/>
        <v>1.5861416633410073</v>
      </c>
      <c r="AR1027" s="62">
        <f t="shared" ca="1" si="195"/>
        <v>1.5630474390435258</v>
      </c>
      <c r="AS1027" s="62">
        <f t="shared" ca="1" si="196"/>
        <v>0.95694476328380895</v>
      </c>
      <c r="AT1027" s="49"/>
    </row>
    <row r="1028" spans="1:46" x14ac:dyDescent="0.3">
      <c r="A1028" s="5">
        <v>44953</v>
      </c>
      <c r="B1028" s="6">
        <v>85.199996999999996</v>
      </c>
      <c r="C1028" s="6">
        <v>122.82</v>
      </c>
      <c r="D1028" s="6">
        <v>143.21000699999999</v>
      </c>
      <c r="F1028" s="13">
        <v>1025</v>
      </c>
      <c r="G1028" s="5">
        <v>44953</v>
      </c>
      <c r="H1028" s="15">
        <f t="shared" si="192"/>
        <v>5.2900703128058099E-2</v>
      </c>
      <c r="I1028" s="15">
        <f t="shared" si="192"/>
        <v>-1.1253804603967632E-2</v>
      </c>
      <c r="J1028" s="15">
        <f t="shared" si="192"/>
        <v>-4.6056505176946455E-2</v>
      </c>
      <c r="K1028" s="22"/>
      <c r="L1028" s="13">
        <v>1025</v>
      </c>
      <c r="M1028" s="5">
        <v>44953</v>
      </c>
      <c r="N1028" s="26">
        <f t="shared" ref="N1028:N1091" si="200">B1028/B$3</f>
        <v>1.5068976917775434</v>
      </c>
      <c r="O1028" s="26">
        <f t="shared" ref="O1028:O1091" si="201">C1028/C$3</f>
        <v>1.1648330583301771</v>
      </c>
      <c r="P1028" s="26">
        <f t="shared" ref="P1028:P1091" si="202">D1028/D$3</f>
        <v>1.8953151242804427</v>
      </c>
      <c r="Q1028" s="22"/>
      <c r="AD1028" s="59">
        <v>1024</v>
      </c>
      <c r="AE1028" s="61">
        <f t="shared" ca="1" si="193"/>
        <v>-6.1707227686244592E-2</v>
      </c>
      <c r="AF1028" s="61">
        <f t="shared" ca="1" si="193"/>
        <v>-0.64338275799822442</v>
      </c>
      <c r="AG1028" s="61">
        <f t="shared" ca="1" si="193"/>
        <v>0.33841205328078666</v>
      </c>
      <c r="AH1028" s="19"/>
      <c r="AI1028" s="61">
        <f ca="1"/>
        <v>-1.3380771006474509E-3</v>
      </c>
      <c r="AJ1028" s="61">
        <f ca="1"/>
        <v>-1.4950441338982686E-2</v>
      </c>
      <c r="AK1028" s="61">
        <f ca="1"/>
        <v>3.2273458537213648E-3</v>
      </c>
      <c r="AL1028" s="19"/>
      <c r="AM1028" s="61">
        <f t="shared" ca="1" si="197"/>
        <v>-9.8686077813720657E-4</v>
      </c>
      <c r="AN1028" s="61">
        <f t="shared" ca="1" si="198"/>
        <v>-1.4701388742066154E-2</v>
      </c>
      <c r="AO1028" s="61">
        <f t="shared" ca="1" si="199"/>
        <v>3.659014456976183E-3</v>
      </c>
      <c r="AP1028" s="19"/>
      <c r="AQ1028" s="62">
        <f t="shared" ca="1" si="194"/>
        <v>1.584577134457956</v>
      </c>
      <c r="AR1028" s="62">
        <f t="shared" ca="1" si="195"/>
        <v>1.540236557680174</v>
      </c>
      <c r="AS1028" s="62">
        <f t="shared" ca="1" si="196"/>
        <v>0.96045265180084416</v>
      </c>
      <c r="AT1028" s="49"/>
    </row>
    <row r="1029" spans="1:46" x14ac:dyDescent="0.3">
      <c r="A1029" s="5">
        <v>44956</v>
      </c>
      <c r="B1029" s="6">
        <v>82.470000999999996</v>
      </c>
      <c r="C1029" s="6">
        <v>121.860001</v>
      </c>
      <c r="D1029" s="6">
        <v>140.19000199999999</v>
      </c>
      <c r="F1029" s="13">
        <v>1026</v>
      </c>
      <c r="G1029" s="5">
        <v>44956</v>
      </c>
      <c r="H1029" s="15">
        <f t="shared" ref="H1029:J1092" si="203">LN(B1029/B1028)</f>
        <v>-3.2566795653116452E-2</v>
      </c>
      <c r="I1029" s="15">
        <f t="shared" si="203"/>
        <v>-7.8470158747666937E-3</v>
      </c>
      <c r="J1029" s="15">
        <f t="shared" si="203"/>
        <v>-2.1313473723080956E-2</v>
      </c>
      <c r="K1029" s="22"/>
      <c r="L1029" s="13">
        <v>1026</v>
      </c>
      <c r="M1029" s="5">
        <v>44956</v>
      </c>
      <c r="N1029" s="26">
        <f t="shared" si="200"/>
        <v>1.4586133629534248</v>
      </c>
      <c r="O1029" s="26">
        <f t="shared" si="201"/>
        <v>1.1557283638898261</v>
      </c>
      <c r="P1029" s="26">
        <f t="shared" si="202"/>
        <v>1.8553468198874226</v>
      </c>
      <c r="Q1029" s="22"/>
      <c r="AD1029" s="59">
        <v>1025</v>
      </c>
      <c r="AE1029" s="61">
        <f t="shared" ref="AE1029:AG1092" ca="1" si="204">_xlfn.NORM.S.INV(RAND())</f>
        <v>0.41863331982374069</v>
      </c>
      <c r="AF1029" s="61">
        <f t="shared" ca="1" si="204"/>
        <v>0.9679828510740689</v>
      </c>
      <c r="AG1029" s="61">
        <f t="shared" ca="1" si="204"/>
        <v>-0.21841730880043295</v>
      </c>
      <c r="AH1029" s="19"/>
      <c r="AI1029" s="61">
        <f ca="1"/>
        <v>9.0777641425144814E-3</v>
      </c>
      <c r="AJ1029" s="61">
        <f ca="1"/>
        <v>2.7592682484874665E-2</v>
      </c>
      <c r="AK1029" s="61">
        <f ca="1"/>
        <v>7.406675419055422E-3</v>
      </c>
      <c r="AL1029" s="19"/>
      <c r="AM1029" s="61">
        <f t="shared" ca="1" si="197"/>
        <v>9.4289804650247253E-3</v>
      </c>
      <c r="AN1029" s="61">
        <f t="shared" ca="1" si="198"/>
        <v>2.7841735081791195E-2</v>
      </c>
      <c r="AO1029" s="61">
        <f t="shared" ca="1" si="199"/>
        <v>7.838344022310241E-3</v>
      </c>
      <c r="AP1029" s="19"/>
      <c r="AQ1029" s="62">
        <f t="shared" ca="1" si="194"/>
        <v>1.5995887421640644</v>
      </c>
      <c r="AR1029" s="62">
        <f t="shared" ca="1" si="195"/>
        <v>1.5837219614442994</v>
      </c>
      <c r="AS1029" s="62">
        <f t="shared" ca="1" si="196"/>
        <v>0.96801059227518127</v>
      </c>
      <c r="AT1029" s="49"/>
    </row>
    <row r="1030" spans="1:46" x14ac:dyDescent="0.3">
      <c r="A1030" s="5">
        <v>44957</v>
      </c>
      <c r="B1030" s="6">
        <v>83.959998999999996</v>
      </c>
      <c r="C1030" s="6">
        <v>123.849998</v>
      </c>
      <c r="D1030" s="6">
        <v>140.029999</v>
      </c>
      <c r="F1030" s="13">
        <v>1027</v>
      </c>
      <c r="G1030" s="5">
        <v>44957</v>
      </c>
      <c r="H1030" s="15">
        <f t="shared" si="203"/>
        <v>1.7905880071113336E-2</v>
      </c>
      <c r="I1030" s="15">
        <f t="shared" si="203"/>
        <v>1.6198286760315223E-2</v>
      </c>
      <c r="J1030" s="15">
        <f t="shared" si="203"/>
        <v>-1.1419814204382858E-3</v>
      </c>
      <c r="K1030" s="22"/>
      <c r="L1030" s="13">
        <v>1027</v>
      </c>
      <c r="M1030" s="5">
        <v>44957</v>
      </c>
      <c r="N1030" s="26">
        <f t="shared" si="200"/>
        <v>1.4849663515216422</v>
      </c>
      <c r="O1030" s="26">
        <f t="shared" si="201"/>
        <v>1.174601627947617</v>
      </c>
      <c r="P1030" s="26">
        <f t="shared" si="202"/>
        <v>1.8532292576291494</v>
      </c>
      <c r="Q1030" s="22"/>
      <c r="AD1030" s="59">
        <v>1026</v>
      </c>
      <c r="AE1030" s="61">
        <f t="shared" ca="1" si="204"/>
        <v>-1.2082265248139012</v>
      </c>
      <c r="AF1030" s="61">
        <f t="shared" ca="1" si="204"/>
        <v>-0.73529717609768341</v>
      </c>
      <c r="AG1030" s="61">
        <f t="shared" ca="1" si="204"/>
        <v>-0.32181323800930539</v>
      </c>
      <c r="AH1030" s="19"/>
      <c r="AI1030" s="61">
        <f ca="1"/>
        <v>-2.6199528092050641E-2</v>
      </c>
      <c r="AJ1030" s="61">
        <f ca="1"/>
        <v>-3.4894002217678563E-2</v>
      </c>
      <c r="AK1030" s="61">
        <f ca="1"/>
        <v>-3.1275348827204244E-2</v>
      </c>
      <c r="AL1030" s="19"/>
      <c r="AM1030" s="61">
        <f t="shared" ca="1" si="197"/>
        <v>-2.5848311769540395E-2</v>
      </c>
      <c r="AN1030" s="61">
        <f t="shared" ca="1" si="198"/>
        <v>-3.4644949620762033E-2</v>
      </c>
      <c r="AO1030" s="61">
        <f t="shared" ca="1" si="199"/>
        <v>-3.0843680223949427E-2</v>
      </c>
      <c r="AP1030" s="19"/>
      <c r="AQ1030" s="62">
        <f t="shared" ref="AQ1030:AQ1093" ca="1" si="205">AQ1029*EXP(AM1030)</f>
        <v>1.5587718698479647</v>
      </c>
      <c r="AR1030" s="62">
        <f t="shared" ref="AR1030:AR1093" ca="1" si="206">AR1029*EXP(AN1030)</f>
        <v>1.5297935611886604</v>
      </c>
      <c r="AS1030" s="62">
        <f t="shared" ref="AS1030:AS1093" ca="1" si="207">AS1029*EXP(AO1030)</f>
        <v>0.93860933542348557</v>
      </c>
      <c r="AT1030" s="49"/>
    </row>
    <row r="1031" spans="1:46" x14ac:dyDescent="0.3">
      <c r="A1031" s="5">
        <v>44958</v>
      </c>
      <c r="B1031" s="6">
        <v>85.589995999999999</v>
      </c>
      <c r="C1031" s="6">
        <v>127.730003</v>
      </c>
      <c r="D1031" s="6">
        <v>136.229996</v>
      </c>
      <c r="F1031" s="13">
        <v>1028</v>
      </c>
      <c r="G1031" s="5">
        <v>44958</v>
      </c>
      <c r="H1031" s="15">
        <f t="shared" si="203"/>
        <v>1.9227924117086983E-2</v>
      </c>
      <c r="I1031" s="15">
        <f t="shared" si="203"/>
        <v>3.0847544754926539E-2</v>
      </c>
      <c r="J1031" s="15">
        <f t="shared" si="203"/>
        <v>-2.7512073810498E-2</v>
      </c>
      <c r="K1031" s="22"/>
      <c r="L1031" s="13">
        <v>1028</v>
      </c>
      <c r="M1031" s="5">
        <v>44958</v>
      </c>
      <c r="N1031" s="26">
        <f t="shared" si="200"/>
        <v>1.5137954454581635</v>
      </c>
      <c r="O1031" s="26">
        <f t="shared" si="201"/>
        <v>1.2113998537291377</v>
      </c>
      <c r="P1031" s="26">
        <f t="shared" si="202"/>
        <v>1.8029380572508751</v>
      </c>
      <c r="Q1031" s="22"/>
      <c r="AD1031" s="59">
        <v>1027</v>
      </c>
      <c r="AE1031" s="61">
        <f t="shared" ca="1" si="204"/>
        <v>0.28820196832005235</v>
      </c>
      <c r="AF1031" s="61">
        <f t="shared" ca="1" si="204"/>
        <v>1.5851713297637668</v>
      </c>
      <c r="AG1031" s="61">
        <f t="shared" ca="1" si="204"/>
        <v>1.1515595115577881</v>
      </c>
      <c r="AH1031" s="19"/>
      <c r="AI1031" s="61">
        <f ca="1"/>
        <v>6.2494535669530317E-3</v>
      </c>
      <c r="AJ1031" s="61">
        <f ca="1"/>
        <v>3.8966346538915939E-2</v>
      </c>
      <c r="AK1031" s="61">
        <f ca="1"/>
        <v>4.4924751214228079E-2</v>
      </c>
      <c r="AL1031" s="19"/>
      <c r="AM1031" s="61">
        <f t="shared" ref="AM1031:AM1094" ca="1" si="208">AI1031+T$3</f>
        <v>6.6006698894632756E-3</v>
      </c>
      <c r="AN1031" s="61">
        <f t="shared" ref="AN1031:AN1094" ca="1" si="209">AJ1031+U$3</f>
        <v>3.9215399135832468E-2</v>
      </c>
      <c r="AO1031" s="61">
        <f t="shared" ref="AO1031:AO1094" ca="1" si="210">AK1031+V$3</f>
        <v>4.5356419817482896E-2</v>
      </c>
      <c r="AP1031" s="19"/>
      <c r="AQ1031" s="62">
        <f t="shared" ca="1" si="205"/>
        <v>1.5690948401735492</v>
      </c>
      <c r="AR1031" s="62">
        <f t="shared" ca="1" si="206"/>
        <v>1.5909768491350063</v>
      </c>
      <c r="AS1031" s="62">
        <f t="shared" ca="1" si="207"/>
        <v>0.98216151387381012</v>
      </c>
      <c r="AT1031" s="49"/>
    </row>
    <row r="1032" spans="1:46" x14ac:dyDescent="0.3">
      <c r="A1032" s="5">
        <v>44959</v>
      </c>
      <c r="B1032" s="6">
        <v>88.709998999999996</v>
      </c>
      <c r="C1032" s="6">
        <v>126.900002</v>
      </c>
      <c r="D1032" s="6">
        <v>133.050003</v>
      </c>
      <c r="F1032" s="13">
        <v>1029</v>
      </c>
      <c r="G1032" s="5">
        <v>44959</v>
      </c>
      <c r="H1032" s="15">
        <f t="shared" si="203"/>
        <v>3.5804204100723519E-2</v>
      </c>
      <c r="I1032" s="15">
        <f t="shared" si="203"/>
        <v>-6.5192940609449671E-3</v>
      </c>
      <c r="J1032" s="15">
        <f t="shared" si="203"/>
        <v>-2.3619584444248488E-2</v>
      </c>
      <c r="K1032" s="22"/>
      <c r="L1032" s="13">
        <v>1029</v>
      </c>
      <c r="M1032" s="5">
        <v>44959</v>
      </c>
      <c r="N1032" s="26">
        <f t="shared" si="200"/>
        <v>1.5689776694556479</v>
      </c>
      <c r="O1032" s="26">
        <f t="shared" si="201"/>
        <v>1.2035280689770851</v>
      </c>
      <c r="P1032" s="26">
        <f t="shared" si="202"/>
        <v>1.7608523891173213</v>
      </c>
      <c r="Q1032" s="22"/>
      <c r="AD1032" s="59">
        <v>1028</v>
      </c>
      <c r="AE1032" s="61">
        <f t="shared" ca="1" si="204"/>
        <v>-1.4911034377814099</v>
      </c>
      <c r="AF1032" s="61">
        <f t="shared" ca="1" si="204"/>
        <v>0.3111007477417197</v>
      </c>
      <c r="AG1032" s="61">
        <f t="shared" ca="1" si="204"/>
        <v>0.35407200222579877</v>
      </c>
      <c r="AH1032" s="19"/>
      <c r="AI1032" s="61">
        <f ca="1"/>
        <v>-3.2333511642052851E-2</v>
      </c>
      <c r="AJ1032" s="61">
        <f ca="1"/>
        <v>-1.6577163546644801E-2</v>
      </c>
      <c r="AK1032" s="61">
        <f ca="1"/>
        <v>-1.076964393155801E-2</v>
      </c>
      <c r="AL1032" s="19"/>
      <c r="AM1032" s="61">
        <f t="shared" ca="1" si="208"/>
        <v>-3.1982295319542609E-2</v>
      </c>
      <c r="AN1032" s="61">
        <f t="shared" ca="1" si="209"/>
        <v>-1.6328110949728272E-2</v>
      </c>
      <c r="AO1032" s="61">
        <f t="shared" ca="1" si="210"/>
        <v>-1.0337975328303191E-2</v>
      </c>
      <c r="AP1032" s="19"/>
      <c r="AQ1032" s="62">
        <f t="shared" ca="1" si="205"/>
        <v>1.5197055862782045</v>
      </c>
      <c r="AR1032" s="62">
        <f t="shared" ca="1" si="206"/>
        <v>1.565210135963031</v>
      </c>
      <c r="AS1032" s="62">
        <f t="shared" ca="1" si="207"/>
        <v>0.97206025561739884</v>
      </c>
      <c r="AT1032" s="49"/>
    </row>
    <row r="1033" spans="1:46" x14ac:dyDescent="0.3">
      <c r="A1033" s="5">
        <v>44960</v>
      </c>
      <c r="B1033" s="6">
        <v>87.059997999999993</v>
      </c>
      <c r="C1033" s="6">
        <v>125.889999</v>
      </c>
      <c r="D1033" s="6">
        <v>131.729996</v>
      </c>
      <c r="F1033" s="13">
        <v>1030</v>
      </c>
      <c r="G1033" s="5">
        <v>44960</v>
      </c>
      <c r="H1033" s="15">
        <f t="shared" si="203"/>
        <v>-1.8775098108320561E-2</v>
      </c>
      <c r="I1033" s="15">
        <f t="shared" si="203"/>
        <v>-7.9908886460579483E-3</v>
      </c>
      <c r="J1033" s="15">
        <f t="shared" si="203"/>
        <v>-9.9706770950178224E-3</v>
      </c>
      <c r="K1033" s="22"/>
      <c r="L1033" s="13">
        <v>1030</v>
      </c>
      <c r="M1033" s="5">
        <v>44960</v>
      </c>
      <c r="N1033" s="26">
        <f t="shared" si="200"/>
        <v>1.5397947729077683</v>
      </c>
      <c r="O1033" s="26">
        <f t="shared" si="201"/>
        <v>1.193949133271071</v>
      </c>
      <c r="P1033" s="26">
        <f t="shared" si="202"/>
        <v>1.7433827353992255</v>
      </c>
      <c r="Q1033" s="22"/>
      <c r="AD1033" s="59">
        <v>1029</v>
      </c>
      <c r="AE1033" s="61">
        <f t="shared" ca="1" si="204"/>
        <v>1.9546289988107179</v>
      </c>
      <c r="AF1033" s="61">
        <f t="shared" ca="1" si="204"/>
        <v>0.15228763527075093</v>
      </c>
      <c r="AG1033" s="61">
        <f t="shared" ca="1" si="204"/>
        <v>0.41696768489667146</v>
      </c>
      <c r="AH1033" s="19"/>
      <c r="AI1033" s="61">
        <f ca="1"/>
        <v>4.2384731929110707E-2</v>
      </c>
      <c r="AJ1033" s="61">
        <f ca="1"/>
        <v>3.3904640315937852E-2</v>
      </c>
      <c r="AK1033" s="61">
        <f ca="1"/>
        <v>4.0635883847908269E-2</v>
      </c>
      <c r="AL1033" s="19"/>
      <c r="AM1033" s="61">
        <f t="shared" ca="1" si="208"/>
        <v>4.2735948251620949E-2</v>
      </c>
      <c r="AN1033" s="61">
        <f t="shared" ca="1" si="209"/>
        <v>3.4153692912854382E-2</v>
      </c>
      <c r="AO1033" s="61">
        <f t="shared" ca="1" si="210"/>
        <v>4.1067552451163086E-2</v>
      </c>
      <c r="AP1033" s="19"/>
      <c r="AQ1033" s="62">
        <f t="shared" ca="1" si="205"/>
        <v>1.5860593934785689</v>
      </c>
      <c r="AR1033" s="62">
        <f t="shared" ca="1" si="206"/>
        <v>1.6195912135258002</v>
      </c>
      <c r="AS1033" s="62">
        <f t="shared" ca="1" si="207"/>
        <v>1.01281143961653</v>
      </c>
      <c r="AT1033" s="49"/>
    </row>
    <row r="1034" spans="1:46" x14ac:dyDescent="0.3">
      <c r="A1034" s="5">
        <v>44963</v>
      </c>
      <c r="B1034" s="6">
        <v>84.769997000000004</v>
      </c>
      <c r="C1034" s="6">
        <v>120.970001</v>
      </c>
      <c r="D1034" s="6">
        <v>128.08999600000001</v>
      </c>
      <c r="F1034" s="13">
        <v>1031</v>
      </c>
      <c r="G1034" s="5">
        <v>44963</v>
      </c>
      <c r="H1034" s="15">
        <f t="shared" si="203"/>
        <v>-2.6655841921053448E-2</v>
      </c>
      <c r="I1034" s="15">
        <f t="shared" si="203"/>
        <v>-3.9865912596456041E-2</v>
      </c>
      <c r="J1034" s="15">
        <f t="shared" si="203"/>
        <v>-2.8021232261592977E-2</v>
      </c>
      <c r="K1034" s="22"/>
      <c r="L1034" s="13">
        <v>1031</v>
      </c>
      <c r="M1034" s="5">
        <v>44963</v>
      </c>
      <c r="N1034" s="26">
        <f t="shared" si="200"/>
        <v>1.49929245668036</v>
      </c>
      <c r="O1034" s="26">
        <f t="shared" si="201"/>
        <v>1.147287544626564</v>
      </c>
      <c r="P1034" s="26">
        <f t="shared" si="202"/>
        <v>1.6952090972792246</v>
      </c>
      <c r="Q1034" s="22"/>
      <c r="AD1034" s="59">
        <v>1030</v>
      </c>
      <c r="AE1034" s="61">
        <f t="shared" ca="1" si="204"/>
        <v>-8.372061972818777E-3</v>
      </c>
      <c r="AF1034" s="61">
        <f t="shared" ca="1" si="204"/>
        <v>0.67155185485478419</v>
      </c>
      <c r="AG1034" s="61">
        <f t="shared" ca="1" si="204"/>
        <v>0.55092641546102727</v>
      </c>
      <c r="AH1034" s="19"/>
      <c r="AI1034" s="61">
        <f ca="1"/>
        <v>-1.8154217635557972E-4</v>
      </c>
      <c r="AJ1034" s="61">
        <f ca="1"/>
        <v>1.4465820601585654E-2</v>
      </c>
      <c r="AK1034" s="61">
        <f ca="1"/>
        <v>1.8720385780168877E-2</v>
      </c>
      <c r="AL1034" s="19"/>
      <c r="AM1034" s="61">
        <f t="shared" ca="1" si="208"/>
        <v>1.6967414615466449E-4</v>
      </c>
      <c r="AN1034" s="61">
        <f t="shared" ca="1" si="209"/>
        <v>1.4714873198502185E-2</v>
      </c>
      <c r="AO1034" s="61">
        <f t="shared" ca="1" si="210"/>
        <v>1.9152054383423694E-2</v>
      </c>
      <c r="AP1034" s="19"/>
      <c r="AQ1034" s="62">
        <f t="shared" ca="1" si="205"/>
        <v>1.5863285295839817</v>
      </c>
      <c r="AR1034" s="62">
        <f t="shared" ca="1" si="206"/>
        <v>1.6435994991022986</v>
      </c>
      <c r="AS1034" s="62">
        <f t="shared" ca="1" si="207"/>
        <v>1.0323958011397698</v>
      </c>
      <c r="AT1034" s="49"/>
    </row>
    <row r="1035" spans="1:46" x14ac:dyDescent="0.3">
      <c r="A1035" s="5">
        <v>44964</v>
      </c>
      <c r="B1035" s="6">
        <v>84.910004000000001</v>
      </c>
      <c r="C1035" s="6">
        <v>122.300003</v>
      </c>
      <c r="D1035" s="6">
        <v>134.520004</v>
      </c>
      <c r="F1035" s="13">
        <v>1032</v>
      </c>
      <c r="G1035" s="5">
        <v>44964</v>
      </c>
      <c r="H1035" s="15">
        <f t="shared" si="203"/>
        <v>1.6502478895392479E-3</v>
      </c>
      <c r="I1035" s="15">
        <f t="shared" si="203"/>
        <v>1.0934477984701901E-2</v>
      </c>
      <c r="J1035" s="15">
        <f t="shared" si="203"/>
        <v>4.897980599242218E-2</v>
      </c>
      <c r="K1035" s="22"/>
      <c r="L1035" s="13">
        <v>1032</v>
      </c>
      <c r="M1035" s="5">
        <v>44964</v>
      </c>
      <c r="N1035" s="26">
        <f t="shared" si="200"/>
        <v>1.5017687035414096</v>
      </c>
      <c r="O1035" s="26">
        <f t="shared" si="201"/>
        <v>1.1599013721566507</v>
      </c>
      <c r="P1035" s="26">
        <f t="shared" si="202"/>
        <v>1.7803071408233762</v>
      </c>
      <c r="Q1035" s="22"/>
      <c r="AD1035" s="59">
        <v>1031</v>
      </c>
      <c r="AE1035" s="61">
        <f t="shared" ca="1" si="204"/>
        <v>1.1046506877710112</v>
      </c>
      <c r="AF1035" s="61">
        <f t="shared" ca="1" si="204"/>
        <v>6.6025853105721205E-2</v>
      </c>
      <c r="AG1035" s="61">
        <f t="shared" ca="1" si="204"/>
        <v>2.3573854208016387</v>
      </c>
      <c r="AH1035" s="19"/>
      <c r="AI1035" s="61">
        <f ca="1"/>
        <v>2.3953560141064936E-2</v>
      </c>
      <c r="AJ1035" s="61">
        <f ca="1"/>
        <v>1.8725504952232509E-2</v>
      </c>
      <c r="AK1035" s="61">
        <f ca="1"/>
        <v>7.7182910250427422E-2</v>
      </c>
      <c r="AL1035" s="19"/>
      <c r="AM1035" s="61">
        <f t="shared" ca="1" si="208"/>
        <v>2.4304776463575182E-2</v>
      </c>
      <c r="AN1035" s="61">
        <f t="shared" ca="1" si="209"/>
        <v>1.8974557549149038E-2</v>
      </c>
      <c r="AO1035" s="61">
        <f t="shared" ca="1" si="210"/>
        <v>7.761457885368224E-2</v>
      </c>
      <c r="AP1035" s="19"/>
      <c r="AQ1035" s="62">
        <f t="shared" ca="1" si="205"/>
        <v>1.6253562486951258</v>
      </c>
      <c r="AR1035" s="62">
        <f t="shared" ca="1" si="206"/>
        <v>1.6750838283816911</v>
      </c>
      <c r="AS1035" s="62">
        <f t="shared" ca="1" si="207"/>
        <v>1.1157163897579712</v>
      </c>
      <c r="AT1035" s="49"/>
    </row>
    <row r="1036" spans="1:46" x14ac:dyDescent="0.3">
      <c r="A1036" s="5">
        <v>44965</v>
      </c>
      <c r="B1036" s="6">
        <v>84.389999000000003</v>
      </c>
      <c r="C1036" s="6">
        <v>117.08000199999999</v>
      </c>
      <c r="D1036" s="6">
        <v>134.11999499999999</v>
      </c>
      <c r="F1036" s="13">
        <v>1033</v>
      </c>
      <c r="G1036" s="5">
        <v>44965</v>
      </c>
      <c r="H1036" s="15">
        <f t="shared" si="203"/>
        <v>-6.1430197998443882E-3</v>
      </c>
      <c r="I1036" s="15">
        <f t="shared" si="203"/>
        <v>-4.3619588316949301E-2</v>
      </c>
      <c r="J1036" s="15">
        <f t="shared" si="203"/>
        <v>-2.9780322894444461E-3</v>
      </c>
      <c r="K1036" s="22"/>
      <c r="L1036" s="13">
        <v>1033</v>
      </c>
      <c r="M1036" s="5">
        <v>44965</v>
      </c>
      <c r="N1036" s="26">
        <f t="shared" si="200"/>
        <v>1.4925715866188261</v>
      </c>
      <c r="O1036" s="26">
        <f t="shared" si="201"/>
        <v>1.1103945350835633</v>
      </c>
      <c r="P1036" s="26">
        <f t="shared" si="202"/>
        <v>1.7750132153259188</v>
      </c>
      <c r="Q1036" s="22"/>
      <c r="AD1036" s="59">
        <v>1032</v>
      </c>
      <c r="AE1036" s="61">
        <f t="shared" ca="1" si="204"/>
        <v>0.40719116924681276</v>
      </c>
      <c r="AF1036" s="61">
        <f t="shared" ca="1" si="204"/>
        <v>-0.55152292375090561</v>
      </c>
      <c r="AG1036" s="61">
        <f t="shared" ca="1" si="204"/>
        <v>0.30661820370374299</v>
      </c>
      <c r="AH1036" s="19"/>
      <c r="AI1036" s="61">
        <f ca="1"/>
        <v>8.8296492904424567E-3</v>
      </c>
      <c r="AJ1036" s="61">
        <f ca="1"/>
        <v>-5.6144182059547831E-3</v>
      </c>
      <c r="AK1036" s="61">
        <f ca="1"/>
        <v>9.9879379849600793E-3</v>
      </c>
      <c r="AL1036" s="19"/>
      <c r="AM1036" s="61">
        <f t="shared" ca="1" si="208"/>
        <v>9.1808656129527006E-3</v>
      </c>
      <c r="AN1036" s="61">
        <f t="shared" ca="1" si="209"/>
        <v>-5.3653656090382525E-3</v>
      </c>
      <c r="AO1036" s="61">
        <f t="shared" ca="1" si="210"/>
        <v>1.0419606588214898E-2</v>
      </c>
      <c r="AP1036" s="19"/>
      <c r="AQ1036" s="62">
        <f t="shared" ca="1" si="205"/>
        <v>1.6403471353492576</v>
      </c>
      <c r="AR1036" s="62">
        <f t="shared" ca="1" si="206"/>
        <v>1.666120458597105</v>
      </c>
      <c r="AS1036" s="62">
        <f t="shared" ca="1" si="207"/>
        <v>1.1274024921700456</v>
      </c>
      <c r="AT1036" s="49"/>
    </row>
    <row r="1037" spans="1:46" x14ac:dyDescent="0.3">
      <c r="A1037" s="5">
        <v>44966</v>
      </c>
      <c r="B1037" s="6">
        <v>82.699996999999996</v>
      </c>
      <c r="C1037" s="6">
        <v>117.620003</v>
      </c>
      <c r="D1037" s="6">
        <v>132.61999499999999</v>
      </c>
      <c r="F1037" s="13">
        <v>1034</v>
      </c>
      <c r="G1037" s="5">
        <v>44966</v>
      </c>
      <c r="H1037" s="15">
        <f t="shared" si="203"/>
        <v>-2.0229333566180247E-2</v>
      </c>
      <c r="I1037" s="15">
        <f t="shared" si="203"/>
        <v>4.6016356316541012E-3</v>
      </c>
      <c r="J1037" s="15">
        <f t="shared" si="203"/>
        <v>-1.1247026078962588E-2</v>
      </c>
      <c r="K1037" s="22"/>
      <c r="L1037" s="13">
        <v>1034</v>
      </c>
      <c r="M1037" s="5">
        <v>44966</v>
      </c>
      <c r="N1037" s="26">
        <f t="shared" si="200"/>
        <v>1.4626812086543826</v>
      </c>
      <c r="O1037" s="26">
        <f t="shared" si="201"/>
        <v>1.1155159405251149</v>
      </c>
      <c r="P1037" s="26">
        <f t="shared" si="202"/>
        <v>1.7551614413753691</v>
      </c>
      <c r="Q1037" s="22"/>
      <c r="AD1037" s="59">
        <v>1033</v>
      </c>
      <c r="AE1037" s="61">
        <f t="shared" ca="1" si="204"/>
        <v>-0.1993578033047689</v>
      </c>
      <c r="AF1037" s="61">
        <f t="shared" ca="1" si="204"/>
        <v>-1.9970828901533551</v>
      </c>
      <c r="AG1037" s="61">
        <f t="shared" ca="1" si="204"/>
        <v>0.22987411502176613</v>
      </c>
      <c r="AH1037" s="19"/>
      <c r="AI1037" s="61">
        <f ca="1"/>
        <v>-4.3229313880998365E-3</v>
      </c>
      <c r="AJ1037" s="61">
        <f ca="1"/>
        <v>-4.652904457737269E-2</v>
      </c>
      <c r="AK1037" s="61">
        <f ca="1"/>
        <v>-1.1120633626868614E-2</v>
      </c>
      <c r="AL1037" s="19"/>
      <c r="AM1037" s="61">
        <f t="shared" ca="1" si="208"/>
        <v>-3.9717150655895926E-3</v>
      </c>
      <c r="AN1037" s="61">
        <f t="shared" ca="1" si="209"/>
        <v>-4.627999198045616E-2</v>
      </c>
      <c r="AO1037" s="61">
        <f t="shared" ca="1" si="210"/>
        <v>-1.0688965023613795E-2</v>
      </c>
      <c r="AP1037" s="19"/>
      <c r="AQ1037" s="62">
        <f t="shared" ca="1" si="205"/>
        <v>1.6338450646523184</v>
      </c>
      <c r="AR1037" s="62">
        <f t="shared" ca="1" si="206"/>
        <v>1.5907694869651561</v>
      </c>
      <c r="AS1037" s="62">
        <f t="shared" ca="1" si="207"/>
        <v>1.1154159026080681</v>
      </c>
      <c r="AT1037" s="49"/>
    </row>
    <row r="1038" spans="1:46" x14ac:dyDescent="0.3">
      <c r="A1038" s="5">
        <v>44967</v>
      </c>
      <c r="B1038" s="6">
        <v>84.669998000000007</v>
      </c>
      <c r="C1038" s="6">
        <v>118.209999</v>
      </c>
      <c r="D1038" s="6">
        <v>140.729996</v>
      </c>
      <c r="F1038" s="13">
        <v>1035</v>
      </c>
      <c r="G1038" s="5">
        <v>44967</v>
      </c>
      <c r="H1038" s="15">
        <f t="shared" si="203"/>
        <v>2.3541758279118689E-2</v>
      </c>
      <c r="I1038" s="15">
        <f t="shared" si="203"/>
        <v>5.0035807650885156E-3</v>
      </c>
      <c r="J1038" s="15">
        <f t="shared" si="203"/>
        <v>5.9355274346237552E-2</v>
      </c>
      <c r="K1038" s="22"/>
      <c r="L1038" s="13">
        <v>1035</v>
      </c>
      <c r="M1038" s="5">
        <v>44967</v>
      </c>
      <c r="N1038" s="26">
        <f t="shared" si="200"/>
        <v>1.4975238150420269</v>
      </c>
      <c r="O1038" s="26">
        <f t="shared" si="201"/>
        <v>1.1211115018757301</v>
      </c>
      <c r="P1038" s="26">
        <f t="shared" si="202"/>
        <v>1.8624933791025247</v>
      </c>
      <c r="Q1038" s="22"/>
      <c r="AD1038" s="59">
        <v>1034</v>
      </c>
      <c r="AE1038" s="61">
        <f t="shared" ca="1" si="204"/>
        <v>-2.6053473566549781</v>
      </c>
      <c r="AF1038" s="61">
        <f t="shared" ca="1" si="204"/>
        <v>-1.2338307110116005</v>
      </c>
      <c r="AG1038" s="61">
        <f t="shared" ca="1" si="204"/>
        <v>-0.18764365511615552</v>
      </c>
      <c r="AH1038" s="19"/>
      <c r="AI1038" s="61">
        <f ca="1"/>
        <v>-5.6495094138696925E-2</v>
      </c>
      <c r="AJ1038" s="61">
        <f ca="1"/>
        <v>-6.7598343285011631E-2</v>
      </c>
      <c r="AK1038" s="61">
        <f ca="1"/>
        <v>-5.1992056150328654E-2</v>
      </c>
      <c r="AL1038" s="19"/>
      <c r="AM1038" s="61">
        <f t="shared" ca="1" si="208"/>
        <v>-5.6143877816186682E-2</v>
      </c>
      <c r="AN1038" s="61">
        <f t="shared" ca="1" si="209"/>
        <v>-6.7349290688095101E-2</v>
      </c>
      <c r="AO1038" s="61">
        <f t="shared" ca="1" si="210"/>
        <v>-5.1560387547073837E-2</v>
      </c>
      <c r="AP1038" s="19"/>
      <c r="AQ1038" s="62">
        <f t="shared" ca="1" si="205"/>
        <v>1.5446421948759017</v>
      </c>
      <c r="AR1038" s="62">
        <f t="shared" ca="1" si="206"/>
        <v>1.487160448616061</v>
      </c>
      <c r="AS1038" s="62">
        <f t="shared" ca="1" si="207"/>
        <v>1.0593621213114521</v>
      </c>
      <c r="AT1038" s="49"/>
    </row>
    <row r="1039" spans="1:46" x14ac:dyDescent="0.3">
      <c r="A1039" s="5">
        <v>44970</v>
      </c>
      <c r="B1039" s="6">
        <v>84.400002000000001</v>
      </c>
      <c r="C1039" s="6">
        <v>122.879997</v>
      </c>
      <c r="D1039" s="6">
        <v>139.800003</v>
      </c>
      <c r="F1039" s="13">
        <v>1036</v>
      </c>
      <c r="G1039" s="5">
        <v>44970</v>
      </c>
      <c r="H1039" s="15">
        <f t="shared" si="203"/>
        <v>-3.193898734474778E-3</v>
      </c>
      <c r="I1039" s="15">
        <f t="shared" si="203"/>
        <v>3.8745549682534859E-2</v>
      </c>
      <c r="J1039" s="15">
        <f t="shared" si="203"/>
        <v>-6.6302813263170671E-3</v>
      </c>
      <c r="K1039" s="22"/>
      <c r="L1039" s="13">
        <v>1036</v>
      </c>
      <c r="M1039" s="5">
        <v>44970</v>
      </c>
      <c r="N1039" s="26">
        <f t="shared" si="200"/>
        <v>1.4927485056110983</v>
      </c>
      <c r="O1039" s="26">
        <f t="shared" si="201"/>
        <v>1.1654020738732536</v>
      </c>
      <c r="P1039" s="26">
        <f t="shared" si="202"/>
        <v>1.8501853718947956</v>
      </c>
      <c r="Q1039" s="22"/>
      <c r="AD1039" s="59">
        <v>1035</v>
      </c>
      <c r="AE1039" s="61">
        <f t="shared" ca="1" si="204"/>
        <v>-1.1700670858780038</v>
      </c>
      <c r="AF1039" s="61">
        <f t="shared" ca="1" si="204"/>
        <v>-1.295071109070415</v>
      </c>
      <c r="AG1039" s="61">
        <f t="shared" ca="1" si="204"/>
        <v>0.9650189266413538</v>
      </c>
      <c r="AH1039" s="19"/>
      <c r="AI1039" s="61">
        <f ca="1"/>
        <v>-2.5372067949564592E-2</v>
      </c>
      <c r="AJ1039" s="61">
        <f ca="1"/>
        <v>-4.6463973850661852E-2</v>
      </c>
      <c r="AK1039" s="61">
        <f ca="1"/>
        <v>-1.6851258976666415E-3</v>
      </c>
      <c r="AL1039" s="19"/>
      <c r="AM1039" s="61">
        <f t="shared" ca="1" si="208"/>
        <v>-2.5020851627054346E-2</v>
      </c>
      <c r="AN1039" s="61">
        <f t="shared" ca="1" si="209"/>
        <v>-4.6214921253745322E-2</v>
      </c>
      <c r="AO1039" s="61">
        <f t="shared" ca="1" si="210"/>
        <v>-1.2534572944118234E-3</v>
      </c>
      <c r="AP1039" s="19"/>
      <c r="AQ1039" s="62">
        <f t="shared" ca="1" si="205"/>
        <v>1.5064734304500249</v>
      </c>
      <c r="AR1039" s="62">
        <f t="shared" ca="1" si="206"/>
        <v>1.4199954129462864</v>
      </c>
      <c r="AS1039" s="62">
        <f t="shared" ca="1" si="207"/>
        <v>1.0580350879966129</v>
      </c>
      <c r="AT1039" s="49"/>
    </row>
    <row r="1040" spans="1:46" x14ac:dyDescent="0.3">
      <c r="A1040" s="5">
        <v>44971</v>
      </c>
      <c r="B1040" s="6">
        <v>83.669998000000007</v>
      </c>
      <c r="C1040" s="6">
        <v>122.120003</v>
      </c>
      <c r="D1040" s="6">
        <v>139.69000199999999</v>
      </c>
      <c r="F1040" s="13">
        <v>1037</v>
      </c>
      <c r="G1040" s="5">
        <v>44971</v>
      </c>
      <c r="H1040" s="15">
        <f t="shared" si="203"/>
        <v>-8.6869588945166429E-3</v>
      </c>
      <c r="I1040" s="15">
        <f t="shared" si="203"/>
        <v>-6.2040525526218084E-3</v>
      </c>
      <c r="J1040" s="15">
        <f t="shared" si="203"/>
        <v>-7.8715520206059763E-4</v>
      </c>
      <c r="K1040" s="22"/>
      <c r="L1040" s="13">
        <v>1037</v>
      </c>
      <c r="M1040" s="5">
        <v>44971</v>
      </c>
      <c r="N1040" s="26">
        <f t="shared" si="200"/>
        <v>1.4798372217927624</v>
      </c>
      <c r="O1040" s="26">
        <f t="shared" si="201"/>
        <v>1.1581942401708223</v>
      </c>
      <c r="P1040" s="26">
        <f t="shared" si="202"/>
        <v>1.8487295619039059</v>
      </c>
      <c r="Q1040" s="22"/>
      <c r="AD1040" s="59">
        <v>1036</v>
      </c>
      <c r="AE1040" s="61">
        <f t="shared" ca="1" si="204"/>
        <v>-0.61196333573961581</v>
      </c>
      <c r="AF1040" s="61">
        <f t="shared" ca="1" si="204"/>
        <v>-1.2696057501422398</v>
      </c>
      <c r="AG1040" s="61">
        <f t="shared" ca="1" si="204"/>
        <v>1.2964795296976241</v>
      </c>
      <c r="AH1040" s="19"/>
      <c r="AI1040" s="61">
        <f ca="1"/>
        <v>-1.3269987272034614E-2</v>
      </c>
      <c r="AJ1040" s="61">
        <f ca="1"/>
        <v>-3.7174829870068121E-2</v>
      </c>
      <c r="AK1040" s="61">
        <f ca="1"/>
        <v>1.5232506327197665E-2</v>
      </c>
      <c r="AL1040" s="19"/>
      <c r="AM1040" s="61">
        <f t="shared" ca="1" si="208"/>
        <v>-1.291877094952437E-2</v>
      </c>
      <c r="AN1040" s="61">
        <f t="shared" ca="1" si="209"/>
        <v>-3.6925777273151592E-2</v>
      </c>
      <c r="AO1040" s="61">
        <f t="shared" ca="1" si="210"/>
        <v>1.5664174930452482E-2</v>
      </c>
      <c r="AP1040" s="19"/>
      <c r="AQ1040" s="62">
        <f t="shared" ca="1" si="205"/>
        <v>1.4871368168323174</v>
      </c>
      <c r="AR1040" s="62">
        <f t="shared" ca="1" si="206"/>
        <v>1.3685172630749685</v>
      </c>
      <c r="AS1040" s="62">
        <f t="shared" ca="1" si="207"/>
        <v>1.0747388182306539</v>
      </c>
      <c r="AT1040" s="49"/>
    </row>
    <row r="1041" spans="1:46" x14ac:dyDescent="0.3">
      <c r="A1041" s="5">
        <v>44972</v>
      </c>
      <c r="B1041" s="6">
        <v>84.43</v>
      </c>
      <c r="C1041" s="6">
        <v>123.629997</v>
      </c>
      <c r="D1041" s="6">
        <v>136.36999499999999</v>
      </c>
      <c r="F1041" s="13">
        <v>1038</v>
      </c>
      <c r="G1041" s="5">
        <v>44972</v>
      </c>
      <c r="H1041" s="15">
        <f t="shared" si="203"/>
        <v>9.0423222773317342E-3</v>
      </c>
      <c r="I1041" s="15">
        <f t="shared" si="203"/>
        <v>1.2289017320203103E-2</v>
      </c>
      <c r="J1041" s="15">
        <f t="shared" si="203"/>
        <v>-2.4053952852090329E-2</v>
      </c>
      <c r="K1041" s="22"/>
      <c r="L1041" s="13">
        <v>1038</v>
      </c>
      <c r="M1041" s="5">
        <v>44972</v>
      </c>
      <c r="N1041" s="26">
        <f t="shared" si="200"/>
        <v>1.4932790680353898</v>
      </c>
      <c r="O1041" s="26">
        <f t="shared" si="201"/>
        <v>1.1725151238142046</v>
      </c>
      <c r="P1041" s="26">
        <f t="shared" si="202"/>
        <v>1.8047908762517437</v>
      </c>
      <c r="Q1041" s="22"/>
      <c r="AD1041" s="59">
        <v>1037</v>
      </c>
      <c r="AE1041" s="61">
        <f t="shared" ca="1" si="204"/>
        <v>-0.17101340710991481</v>
      </c>
      <c r="AF1041" s="61">
        <f t="shared" ca="1" si="204"/>
        <v>0.36463674359454445</v>
      </c>
      <c r="AG1041" s="61">
        <f t="shared" ca="1" si="204"/>
        <v>-0.20792176534478451</v>
      </c>
      <c r="AH1041" s="19"/>
      <c r="AI1041" s="61">
        <f ca="1"/>
        <v>-3.708303427938413E-3</v>
      </c>
      <c r="AJ1041" s="61">
        <f ca="1"/>
        <v>5.2489910442591863E-3</v>
      </c>
      <c r="AK1041" s="61">
        <f ca="1"/>
        <v>-5.2858228382480429E-3</v>
      </c>
      <c r="AL1041" s="19"/>
      <c r="AM1041" s="61">
        <f t="shared" ca="1" si="208"/>
        <v>-3.3570871054281687E-3</v>
      </c>
      <c r="AN1041" s="61">
        <f t="shared" ca="1" si="209"/>
        <v>5.4980436411757169E-3</v>
      </c>
      <c r="AO1041" s="61">
        <f t="shared" ca="1" si="210"/>
        <v>-4.8541542349932248E-3</v>
      </c>
      <c r="AP1041" s="19"/>
      <c r="AQ1041" s="62">
        <f t="shared" ca="1" si="205"/>
        <v>1.482152739671998</v>
      </c>
      <c r="AR1041" s="62">
        <f t="shared" ca="1" si="206"/>
        <v>1.376062152771595</v>
      </c>
      <c r="AS1041" s="62">
        <f t="shared" ca="1" si="207"/>
        <v>1.0695345117168846</v>
      </c>
      <c r="AT1041" s="49"/>
    </row>
    <row r="1042" spans="1:46" x14ac:dyDescent="0.3">
      <c r="A1042" s="5">
        <v>44973</v>
      </c>
      <c r="B1042" s="6">
        <v>82.900002000000001</v>
      </c>
      <c r="C1042" s="6">
        <v>122.93</v>
      </c>
      <c r="D1042" s="6">
        <v>133.970001</v>
      </c>
      <c r="F1042" s="13">
        <v>1039</v>
      </c>
      <c r="G1042" s="5">
        <v>44973</v>
      </c>
      <c r="H1042" s="15">
        <f t="shared" si="203"/>
        <v>-1.8287702414707247E-2</v>
      </c>
      <c r="I1042" s="15">
        <f t="shared" si="203"/>
        <v>-5.6781220736308816E-3</v>
      </c>
      <c r="J1042" s="15">
        <f t="shared" si="203"/>
        <v>-1.7755841451534075E-2</v>
      </c>
      <c r="K1042" s="22"/>
      <c r="L1042" s="13">
        <v>1039</v>
      </c>
      <c r="M1042" s="5">
        <v>44973</v>
      </c>
      <c r="N1042" s="26">
        <f t="shared" si="200"/>
        <v>1.4662186157372017</v>
      </c>
      <c r="O1042" s="26">
        <f t="shared" si="201"/>
        <v>1.16587630565485</v>
      </c>
      <c r="P1042" s="26">
        <f t="shared" si="202"/>
        <v>1.7730281173379598</v>
      </c>
      <c r="Q1042" s="22"/>
      <c r="AD1042" s="59">
        <v>1038</v>
      </c>
      <c r="AE1042" s="61">
        <f t="shared" ca="1" si="204"/>
        <v>-0.3585007469418261</v>
      </c>
      <c r="AF1042" s="61">
        <f t="shared" ca="1" si="204"/>
        <v>1.4136049226320344</v>
      </c>
      <c r="AG1042" s="61">
        <f t="shared" ca="1" si="204"/>
        <v>-1.0488859141689215</v>
      </c>
      <c r="AH1042" s="19"/>
      <c r="AI1042" s="61">
        <f ca="1"/>
        <v>-7.7738323051384853E-3</v>
      </c>
      <c r="AJ1042" s="61">
        <f ca="1"/>
        <v>2.5114766660111799E-2</v>
      </c>
      <c r="AK1042" s="61">
        <f ca="1"/>
        <v>-2.2214197250075701E-2</v>
      </c>
      <c r="AL1042" s="19"/>
      <c r="AM1042" s="61">
        <f t="shared" ca="1" si="208"/>
        <v>-7.4226159826282414E-3</v>
      </c>
      <c r="AN1042" s="61">
        <f t="shared" ca="1" si="209"/>
        <v>2.5363819257028328E-2</v>
      </c>
      <c r="AO1042" s="61">
        <f t="shared" ca="1" si="210"/>
        <v>-2.1782528646820884E-2</v>
      </c>
      <c r="AP1042" s="19"/>
      <c r="AQ1042" s="62">
        <f t="shared" ca="1" si="205"/>
        <v>1.4711920179953371</v>
      </c>
      <c r="AR1042" s="62">
        <f t="shared" ca="1" si="206"/>
        <v>1.4114107370248421</v>
      </c>
      <c r="AS1042" s="62">
        <f t="shared" ca="1" si="207"/>
        <v>1.0464892488259085</v>
      </c>
      <c r="AT1042" s="49"/>
    </row>
    <row r="1043" spans="1:46" x14ac:dyDescent="0.3">
      <c r="A1043" s="5">
        <v>44974</v>
      </c>
      <c r="B1043" s="6">
        <v>82.419998000000007</v>
      </c>
      <c r="C1043" s="6">
        <v>122.769997</v>
      </c>
      <c r="D1043" s="6">
        <v>129.61000100000001</v>
      </c>
      <c r="F1043" s="13">
        <v>1040</v>
      </c>
      <c r="G1043" s="5">
        <v>44974</v>
      </c>
      <c r="H1043" s="15">
        <f t="shared" si="203"/>
        <v>-5.8069846219851928E-3</v>
      </c>
      <c r="I1043" s="15">
        <f t="shared" si="203"/>
        <v>-1.3024259224386034E-3</v>
      </c>
      <c r="J1043" s="15">
        <f t="shared" si="203"/>
        <v>-3.3085952602514332E-2</v>
      </c>
      <c r="K1043" s="22"/>
      <c r="L1043" s="13">
        <v>1040</v>
      </c>
      <c r="M1043" s="5">
        <v>44974</v>
      </c>
      <c r="N1043" s="26">
        <f t="shared" si="200"/>
        <v>1.4577289802311819</v>
      </c>
      <c r="O1043" s="26">
        <f t="shared" si="201"/>
        <v>1.1643588265485807</v>
      </c>
      <c r="P1043" s="26">
        <f t="shared" si="202"/>
        <v>1.7153256277216951</v>
      </c>
      <c r="Q1043" s="22"/>
      <c r="AD1043" s="59">
        <v>1039</v>
      </c>
      <c r="AE1043" s="61">
        <f t="shared" ca="1" si="204"/>
        <v>-2.2971519986906153E-2</v>
      </c>
      <c r="AF1043" s="61">
        <f t="shared" ca="1" si="204"/>
        <v>0.21925933932855526</v>
      </c>
      <c r="AG1043" s="61">
        <f t="shared" ca="1" si="204"/>
        <v>0.82259761902373574</v>
      </c>
      <c r="AH1043" s="19"/>
      <c r="AI1043" s="61">
        <f ca="1"/>
        <v>-4.9812098216164412E-4</v>
      </c>
      <c r="AJ1043" s="61">
        <f ca="1"/>
        <v>4.4062668679694427E-3</v>
      </c>
      <c r="AK1043" s="61">
        <f ca="1"/>
        <v>2.2279622599495279E-2</v>
      </c>
      <c r="AL1043" s="19"/>
      <c r="AM1043" s="61">
        <f t="shared" ca="1" si="208"/>
        <v>-1.4690465965139991E-4</v>
      </c>
      <c r="AN1043" s="61">
        <f t="shared" ca="1" si="209"/>
        <v>4.6553194648859732E-3</v>
      </c>
      <c r="AO1043" s="61">
        <f t="shared" ca="1" si="210"/>
        <v>2.2711291202750096E-2</v>
      </c>
      <c r="AP1043" s="19"/>
      <c r="AQ1043" s="62">
        <f t="shared" ca="1" si="205"/>
        <v>1.4709759089067562</v>
      </c>
      <c r="AR1043" s="62">
        <f t="shared" ca="1" si="206"/>
        <v>1.4179966227086667</v>
      </c>
      <c r="AS1043" s="62">
        <f t="shared" ca="1" si="207"/>
        <v>1.0705283167566577</v>
      </c>
      <c r="AT1043" s="49"/>
    </row>
    <row r="1044" spans="1:46" x14ac:dyDescent="0.3">
      <c r="A1044" s="5">
        <v>44978</v>
      </c>
      <c r="B1044" s="6">
        <v>79.980002999999996</v>
      </c>
      <c r="C1044" s="6">
        <v>118.589996</v>
      </c>
      <c r="D1044" s="6">
        <v>132.199997</v>
      </c>
      <c r="F1044" s="13">
        <v>1041</v>
      </c>
      <c r="G1044" s="5">
        <v>44978</v>
      </c>
      <c r="H1044" s="15">
        <f t="shared" si="203"/>
        <v>-3.0051460716667353E-2</v>
      </c>
      <c r="I1044" s="15">
        <f t="shared" si="203"/>
        <v>-3.4640529509764671E-2</v>
      </c>
      <c r="J1044" s="15">
        <f t="shared" si="203"/>
        <v>1.9785955573958347E-2</v>
      </c>
      <c r="K1044" s="22"/>
      <c r="L1044" s="13">
        <v>1041</v>
      </c>
      <c r="M1044" s="5">
        <v>44978</v>
      </c>
      <c r="N1044" s="26">
        <f t="shared" si="200"/>
        <v>1.4145737811359431</v>
      </c>
      <c r="O1044" s="26">
        <f t="shared" si="201"/>
        <v>1.1247154187269457</v>
      </c>
      <c r="P1044" s="26">
        <f t="shared" si="202"/>
        <v>1.749602971138247</v>
      </c>
      <c r="Q1044" s="22"/>
      <c r="AD1044" s="59">
        <v>1040</v>
      </c>
      <c r="AE1044" s="61">
        <f t="shared" ca="1" si="204"/>
        <v>-0.81909978924992044</v>
      </c>
      <c r="AF1044" s="61">
        <f t="shared" ca="1" si="204"/>
        <v>-0.23804411568963996</v>
      </c>
      <c r="AG1044" s="61">
        <f t="shared" ca="1" si="204"/>
        <v>-0.75424445394818307</v>
      </c>
      <c r="AH1044" s="19"/>
      <c r="AI1044" s="61">
        <f ca="1"/>
        <v>-1.7761593126712279E-2</v>
      </c>
      <c r="AJ1044" s="61">
        <f ca="1"/>
        <v>-1.799495778096287E-2</v>
      </c>
      <c r="AK1044" s="61">
        <f ca="1"/>
        <v>-3.3102772039321382E-2</v>
      </c>
      <c r="AL1044" s="19"/>
      <c r="AM1044" s="61">
        <f t="shared" ca="1" si="208"/>
        <v>-1.7410376804202033E-2</v>
      </c>
      <c r="AN1044" s="61">
        <f t="shared" ca="1" si="209"/>
        <v>-1.774590518404634E-2</v>
      </c>
      <c r="AO1044" s="61">
        <f t="shared" ca="1" si="210"/>
        <v>-3.2671103436066565E-2</v>
      </c>
      <c r="AP1044" s="19"/>
      <c r="AQ1044" s="62">
        <f t="shared" ca="1" si="205"/>
        <v>1.4455873178463827</v>
      </c>
      <c r="AR1044" s="62">
        <f t="shared" ca="1" si="206"/>
        <v>1.3930549499143263</v>
      </c>
      <c r="AS1044" s="62">
        <f t="shared" ca="1" si="207"/>
        <v>1.0361181452579773</v>
      </c>
      <c r="AT1044" s="49"/>
    </row>
    <row r="1045" spans="1:46" x14ac:dyDescent="0.3">
      <c r="A1045" s="5">
        <v>44979</v>
      </c>
      <c r="B1045" s="6">
        <v>80.470000999999996</v>
      </c>
      <c r="C1045" s="6">
        <v>119.08000199999999</v>
      </c>
      <c r="D1045" s="6">
        <v>130.69000199999999</v>
      </c>
      <c r="F1045" s="13">
        <v>1042</v>
      </c>
      <c r="G1045" s="5">
        <v>44979</v>
      </c>
      <c r="H1045" s="15">
        <f t="shared" si="203"/>
        <v>6.1078156569838431E-3</v>
      </c>
      <c r="I1045" s="15">
        <f t="shared" si="203"/>
        <v>4.1234206959606208E-3</v>
      </c>
      <c r="J1045" s="15">
        <f t="shared" si="203"/>
        <v>-1.1487782812361954E-2</v>
      </c>
      <c r="K1045" s="22"/>
      <c r="L1045" s="13">
        <v>1042</v>
      </c>
      <c r="M1045" s="5">
        <v>44979</v>
      </c>
      <c r="N1045" s="26">
        <f t="shared" si="200"/>
        <v>1.4232401764548961</v>
      </c>
      <c r="O1045" s="26">
        <f t="shared" si="201"/>
        <v>1.1293626682594333</v>
      </c>
      <c r="P1045" s="26">
        <f t="shared" si="202"/>
        <v>1.7296189182006068</v>
      </c>
      <c r="Q1045" s="22"/>
      <c r="AD1045" s="59">
        <v>1041</v>
      </c>
      <c r="AE1045" s="61">
        <f t="shared" ca="1" si="204"/>
        <v>-2.412791016967974</v>
      </c>
      <c r="AF1045" s="61">
        <f t="shared" ca="1" si="204"/>
        <v>-0.5620917695812836</v>
      </c>
      <c r="AG1045" s="61">
        <f t="shared" ca="1" si="204"/>
        <v>1.1833543875029349</v>
      </c>
      <c r="AH1045" s="19"/>
      <c r="AI1045" s="61">
        <f ca="1"/>
        <v>-5.231964762488267E-2</v>
      </c>
      <c r="AJ1045" s="61">
        <f ca="1"/>
        <v>-4.9983456926236444E-2</v>
      </c>
      <c r="AK1045" s="61">
        <f ca="1"/>
        <v>-9.2913276910322022E-3</v>
      </c>
      <c r="AL1045" s="19"/>
      <c r="AM1045" s="61">
        <f t="shared" ca="1" si="208"/>
        <v>-5.1968431302372428E-2</v>
      </c>
      <c r="AN1045" s="61">
        <f t="shared" ca="1" si="209"/>
        <v>-4.9734404329319915E-2</v>
      </c>
      <c r="AO1045" s="61">
        <f t="shared" ca="1" si="210"/>
        <v>-8.8596590877773832E-3</v>
      </c>
      <c r="AP1045" s="19"/>
      <c r="AQ1045" s="62">
        <f t="shared" ca="1" si="205"/>
        <v>1.3723810939735055</v>
      </c>
      <c r="AR1045" s="62">
        <f t="shared" ca="1" si="206"/>
        <v>1.3254668498160367</v>
      </c>
      <c r="AS1045" s="62">
        <f t="shared" ca="1" si="207"/>
        <v>1.0269790361916997</v>
      </c>
      <c r="AT1045" s="49"/>
    </row>
    <row r="1046" spans="1:46" x14ac:dyDescent="0.3">
      <c r="A1046" s="5">
        <v>44980</v>
      </c>
      <c r="B1046" s="6">
        <v>79.540001000000004</v>
      </c>
      <c r="C1046" s="6">
        <v>118.620003</v>
      </c>
      <c r="D1046" s="6">
        <v>132.429993</v>
      </c>
      <c r="F1046" s="13">
        <v>1043</v>
      </c>
      <c r="G1046" s="5">
        <v>44980</v>
      </c>
      <c r="H1046" s="15">
        <f t="shared" si="203"/>
        <v>-1.1624404233197621E-2</v>
      </c>
      <c r="I1046" s="15">
        <f t="shared" si="203"/>
        <v>-3.870421241582116E-3</v>
      </c>
      <c r="J1046" s="15">
        <f t="shared" si="203"/>
        <v>1.3226029168423671E-2</v>
      </c>
      <c r="K1046" s="22"/>
      <c r="L1046" s="13">
        <v>1043</v>
      </c>
      <c r="M1046" s="5">
        <v>44980</v>
      </c>
      <c r="N1046" s="26">
        <f t="shared" si="200"/>
        <v>1.4067916447330804</v>
      </c>
      <c r="O1046" s="26">
        <f t="shared" si="201"/>
        <v>1.1250000071130499</v>
      </c>
      <c r="P1046" s="26">
        <f t="shared" si="202"/>
        <v>1.7526468568726008</v>
      </c>
      <c r="Q1046" s="22"/>
      <c r="AD1046" s="59">
        <v>1042</v>
      </c>
      <c r="AE1046" s="61">
        <f t="shared" ca="1" si="204"/>
        <v>-0.68625012076211078</v>
      </c>
      <c r="AF1046" s="61">
        <f t="shared" ca="1" si="204"/>
        <v>0.79527471126196159</v>
      </c>
      <c r="AG1046" s="61">
        <f t="shared" ca="1" si="204"/>
        <v>-8.0195026882870744E-3</v>
      </c>
      <c r="AH1046" s="19"/>
      <c r="AI1046" s="61">
        <f ca="1"/>
        <v>-1.4880843076880285E-2</v>
      </c>
      <c r="AJ1046" s="61">
        <f ca="1"/>
        <v>6.5446863441691958E-3</v>
      </c>
      <c r="AK1046" s="61">
        <f ca="1"/>
        <v>-4.7444886792649306E-3</v>
      </c>
      <c r="AL1046" s="19"/>
      <c r="AM1046" s="61">
        <f t="shared" ca="1" si="208"/>
        <v>-1.4529626754370041E-2</v>
      </c>
      <c r="AN1046" s="61">
        <f t="shared" ca="1" si="209"/>
        <v>6.7937389410857264E-3</v>
      </c>
      <c r="AO1046" s="61">
        <f t="shared" ca="1" si="210"/>
        <v>-4.3128200760101125E-3</v>
      </c>
      <c r="AP1046" s="19"/>
      <c r="AQ1046" s="62">
        <f t="shared" ca="1" si="205"/>
        <v>1.3525850715819885</v>
      </c>
      <c r="AR1046" s="62">
        <f t="shared" ca="1" si="206"/>
        <v>1.3345023833439307</v>
      </c>
      <c r="AS1046" s="62">
        <f t="shared" ca="1" si="207"/>
        <v>1.0225593977899756</v>
      </c>
      <c r="AT1046" s="49"/>
    </row>
    <row r="1047" spans="1:46" x14ac:dyDescent="0.3">
      <c r="A1047" s="5">
        <v>44981</v>
      </c>
      <c r="B1047" s="6">
        <v>78.569999999999993</v>
      </c>
      <c r="C1047" s="6">
        <v>118.949997</v>
      </c>
      <c r="D1047" s="6">
        <v>132.75</v>
      </c>
      <c r="F1047" s="13">
        <v>1044</v>
      </c>
      <c r="G1047" s="5">
        <v>44981</v>
      </c>
      <c r="H1047" s="15">
        <f t="shared" si="203"/>
        <v>-1.2270105164105018E-2</v>
      </c>
      <c r="I1047" s="15">
        <f t="shared" si="203"/>
        <v>2.7780798268603776E-3</v>
      </c>
      <c r="J1047" s="15">
        <f t="shared" si="203"/>
        <v>2.413509041290389E-3</v>
      </c>
      <c r="K1047" s="22"/>
      <c r="L1047" s="13">
        <v>1044</v>
      </c>
      <c r="M1047" s="5">
        <v>44981</v>
      </c>
      <c r="N1047" s="26">
        <f t="shared" si="200"/>
        <v>1.3896356315947005</v>
      </c>
      <c r="O1047" s="26">
        <f t="shared" si="201"/>
        <v>1.1281296921826689</v>
      </c>
      <c r="P1047" s="26">
        <f t="shared" si="202"/>
        <v>1.7568819946236633</v>
      </c>
      <c r="Q1047" s="22"/>
      <c r="AD1047" s="59">
        <v>1043</v>
      </c>
      <c r="AE1047" s="61">
        <f t="shared" ca="1" si="204"/>
        <v>0.27964044262059656</v>
      </c>
      <c r="AF1047" s="61">
        <f t="shared" ca="1" si="204"/>
        <v>-0.71098222588891302</v>
      </c>
      <c r="AG1047" s="61">
        <f t="shared" ca="1" si="204"/>
        <v>-0.29384404553280258</v>
      </c>
      <c r="AH1047" s="19"/>
      <c r="AI1047" s="61">
        <f ca="1"/>
        <v>6.0638030051858539E-3</v>
      </c>
      <c r="AJ1047" s="61">
        <f ca="1"/>
        <v>-1.1076895480492351E-2</v>
      </c>
      <c r="AK1047" s="61">
        <f ca="1"/>
        <v>-8.4034953883551037E-3</v>
      </c>
      <c r="AL1047" s="19"/>
      <c r="AM1047" s="61">
        <f t="shared" ca="1" si="208"/>
        <v>6.4150193276960978E-3</v>
      </c>
      <c r="AN1047" s="61">
        <f t="shared" ca="1" si="209"/>
        <v>-1.0827842883575819E-2</v>
      </c>
      <c r="AO1047" s="61">
        <f t="shared" ca="1" si="210"/>
        <v>-7.9718267851002847E-3</v>
      </c>
      <c r="AP1047" s="19"/>
      <c r="AQ1047" s="62">
        <f t="shared" ca="1" si="205"/>
        <v>1.3612898216767781</v>
      </c>
      <c r="AR1047" s="62">
        <f t="shared" ca="1" si="206"/>
        <v>1.3201305496033251</v>
      </c>
      <c r="AS1047" s="62">
        <f t="shared" ca="1" si="207"/>
        <v>1.0144401370616134</v>
      </c>
      <c r="AT1047" s="49"/>
    </row>
    <row r="1048" spans="1:46" x14ac:dyDescent="0.3">
      <c r="A1048" s="5">
        <v>44984</v>
      </c>
      <c r="B1048" s="6">
        <v>79.680000000000007</v>
      </c>
      <c r="C1048" s="6">
        <v>119.099998</v>
      </c>
      <c r="D1048" s="6">
        <v>135.050003</v>
      </c>
      <c r="F1048" s="13">
        <v>1045</v>
      </c>
      <c r="G1048" s="5">
        <v>44984</v>
      </c>
      <c r="H1048" s="15">
        <f t="shared" si="203"/>
        <v>1.4028666088612817E-2</v>
      </c>
      <c r="I1048" s="15">
        <f t="shared" si="203"/>
        <v>1.2602480403576173E-3</v>
      </c>
      <c r="J1048" s="15">
        <f t="shared" si="203"/>
        <v>1.7177442330571033E-2</v>
      </c>
      <c r="K1048" s="22"/>
      <c r="L1048" s="13">
        <v>1045</v>
      </c>
      <c r="M1048" s="5">
        <v>44984</v>
      </c>
      <c r="N1048" s="26">
        <f t="shared" si="200"/>
        <v>1.4092677501013842</v>
      </c>
      <c r="O1048" s="26">
        <f t="shared" si="201"/>
        <v>1.1295523116549258</v>
      </c>
      <c r="P1048" s="26">
        <f t="shared" si="202"/>
        <v>1.7873214210513877</v>
      </c>
      <c r="Q1048" s="22"/>
      <c r="AD1048" s="59">
        <v>1044</v>
      </c>
      <c r="AE1048" s="61">
        <f t="shared" ca="1" si="204"/>
        <v>0.45491864252855735</v>
      </c>
      <c r="AF1048" s="61">
        <f t="shared" ca="1" si="204"/>
        <v>1.0129747969399436</v>
      </c>
      <c r="AG1048" s="61">
        <f t="shared" ca="1" si="204"/>
        <v>-8.8868568181225419E-2</v>
      </c>
      <c r="AH1048" s="19"/>
      <c r="AI1048" s="61">
        <f ca="1"/>
        <v>9.8645854148585836E-3</v>
      </c>
      <c r="AJ1048" s="61">
        <f ca="1"/>
        <v>2.9138578345060995E-2</v>
      </c>
      <c r="AK1048" s="61">
        <f ca="1"/>
        <v>1.1578697805073122E-2</v>
      </c>
      <c r="AL1048" s="19"/>
      <c r="AM1048" s="61">
        <f t="shared" ca="1" si="208"/>
        <v>1.0215801737368828E-2</v>
      </c>
      <c r="AN1048" s="61">
        <f t="shared" ca="1" si="209"/>
        <v>2.9387630941977525E-2</v>
      </c>
      <c r="AO1048" s="61">
        <f t="shared" ca="1" si="210"/>
        <v>1.2010366408327941E-2</v>
      </c>
      <c r="AP1048" s="19"/>
      <c r="AQ1048" s="62">
        <f t="shared" ca="1" si="205"/>
        <v>1.3752677649865639</v>
      </c>
      <c r="AR1048" s="62">
        <f t="shared" ca="1" si="206"/>
        <v>1.3595017384945089</v>
      </c>
      <c r="AS1048" s="62">
        <f t="shared" ca="1" si="207"/>
        <v>1.0266973945428204</v>
      </c>
      <c r="AT1048" s="49"/>
    </row>
    <row r="1049" spans="1:46" x14ac:dyDescent="0.3">
      <c r="A1049" s="5">
        <v>44985</v>
      </c>
      <c r="B1049" s="6">
        <v>80.620002999999997</v>
      </c>
      <c r="C1049" s="6">
        <v>118.19000200000001</v>
      </c>
      <c r="D1049" s="6">
        <v>131.729996</v>
      </c>
      <c r="F1049" s="13">
        <v>1046</v>
      </c>
      <c r="G1049" s="5">
        <v>44985</v>
      </c>
      <c r="H1049" s="15">
        <f t="shared" si="203"/>
        <v>1.1728181624286082E-2</v>
      </c>
      <c r="I1049" s="15">
        <f t="shared" si="203"/>
        <v>-7.6699436225884437E-3</v>
      </c>
      <c r="J1049" s="15">
        <f t="shared" si="203"/>
        <v>-2.4890759576024674E-2</v>
      </c>
      <c r="K1049" s="22"/>
      <c r="L1049" s="13">
        <v>1046</v>
      </c>
      <c r="M1049" s="5">
        <v>44985</v>
      </c>
      <c r="N1049" s="26">
        <f t="shared" si="200"/>
        <v>1.4258932008154723</v>
      </c>
      <c r="O1049" s="26">
        <f t="shared" si="201"/>
        <v>1.1209218489961712</v>
      </c>
      <c r="P1049" s="26">
        <f t="shared" si="202"/>
        <v>1.7433827353992255</v>
      </c>
      <c r="Q1049" s="22"/>
      <c r="AD1049" s="59">
        <v>1045</v>
      </c>
      <c r="AE1049" s="61">
        <f t="shared" ca="1" si="204"/>
        <v>1.52925522448767</v>
      </c>
      <c r="AF1049" s="61">
        <f t="shared" ca="1" si="204"/>
        <v>0.38232007662503453</v>
      </c>
      <c r="AG1049" s="61">
        <f t="shared" ca="1" si="204"/>
        <v>-1.0431884025953215</v>
      </c>
      <c r="AH1049" s="19"/>
      <c r="AI1049" s="61">
        <f ca="1"/>
        <v>3.3160805851411936E-2</v>
      </c>
      <c r="AJ1049" s="61">
        <f ca="1"/>
        <v>3.2246535455471612E-2</v>
      </c>
      <c r="AK1049" s="61">
        <f ca="1"/>
        <v>-1.4383849403557317E-3</v>
      </c>
      <c r="AL1049" s="19"/>
      <c r="AM1049" s="61">
        <f t="shared" ca="1" si="208"/>
        <v>3.3512022173922178E-2</v>
      </c>
      <c r="AN1049" s="61">
        <f t="shared" ca="1" si="209"/>
        <v>3.2495588052388141E-2</v>
      </c>
      <c r="AO1049" s="61">
        <f t="shared" ca="1" si="210"/>
        <v>-1.0067163371009135E-3</v>
      </c>
      <c r="AP1049" s="19"/>
      <c r="AQ1049" s="62">
        <f t="shared" ca="1" si="205"/>
        <v>1.4221367192510161</v>
      </c>
      <c r="AR1049" s="62">
        <f t="shared" ca="1" si="206"/>
        <v>1.4044051774772441</v>
      </c>
      <c r="AS1049" s="62">
        <f t="shared" ca="1" si="207"/>
        <v>1.0256643215954317</v>
      </c>
      <c r="AT1049" s="49"/>
    </row>
    <row r="1050" spans="1:46" x14ac:dyDescent="0.3">
      <c r="A1050" s="5">
        <v>44986</v>
      </c>
      <c r="B1050" s="6">
        <v>80.839995999999999</v>
      </c>
      <c r="C1050" s="6">
        <v>116.879997</v>
      </c>
      <c r="D1050" s="6">
        <v>139.28999300000001</v>
      </c>
      <c r="F1050" s="13">
        <v>1047</v>
      </c>
      <c r="G1050" s="5">
        <v>44986</v>
      </c>
      <c r="H1050" s="15">
        <f t="shared" si="203"/>
        <v>2.7250481543348508E-3</v>
      </c>
      <c r="I1050" s="15">
        <f t="shared" si="203"/>
        <v>-1.1145774170961907E-2</v>
      </c>
      <c r="J1050" s="15">
        <f t="shared" si="203"/>
        <v>5.5803697568480429E-2</v>
      </c>
      <c r="K1050" s="22"/>
      <c r="L1050" s="13">
        <v>1047</v>
      </c>
      <c r="M1050" s="5">
        <v>44986</v>
      </c>
      <c r="N1050" s="26">
        <f t="shared" si="200"/>
        <v>1.4297841275241576</v>
      </c>
      <c r="O1050" s="26">
        <f t="shared" si="201"/>
        <v>1.1084976743456434</v>
      </c>
      <c r="P1050" s="26">
        <f t="shared" si="202"/>
        <v>1.843435636406449</v>
      </c>
      <c r="Q1050" s="22"/>
      <c r="AD1050" s="59">
        <v>1046</v>
      </c>
      <c r="AE1050" s="61">
        <f t="shared" ca="1" si="204"/>
        <v>0.32537861944930824</v>
      </c>
      <c r="AF1050" s="61">
        <f t="shared" ca="1" si="204"/>
        <v>-5.2118649232023341E-3</v>
      </c>
      <c r="AG1050" s="61">
        <f t="shared" ca="1" si="204"/>
        <v>1.7701676327903029</v>
      </c>
      <c r="AH1050" s="19"/>
      <c r="AI1050" s="61">
        <f ca="1"/>
        <v>7.0556026587215055E-3</v>
      </c>
      <c r="AJ1050" s="61">
        <f ca="1"/>
        <v>4.9796509151261853E-3</v>
      </c>
      <c r="AK1050" s="61">
        <f ca="1"/>
        <v>5.0122557716719862E-2</v>
      </c>
      <c r="AL1050" s="19"/>
      <c r="AM1050" s="61">
        <f t="shared" ca="1" si="208"/>
        <v>7.4068189812317494E-3</v>
      </c>
      <c r="AN1050" s="61">
        <f t="shared" ca="1" si="209"/>
        <v>5.2287035120427159E-3</v>
      </c>
      <c r="AO1050" s="61">
        <f t="shared" ca="1" si="210"/>
        <v>5.0554226319974679E-2</v>
      </c>
      <c r="AP1050" s="19"/>
      <c r="AQ1050" s="62">
        <f t="shared" ca="1" si="205"/>
        <v>1.4327093348868749</v>
      </c>
      <c r="AR1050" s="62">
        <f t="shared" ca="1" si="206"/>
        <v>1.4117676270202399</v>
      </c>
      <c r="AS1050" s="62">
        <f t="shared" ca="1" si="207"/>
        <v>1.0788490167350526</v>
      </c>
      <c r="AT1050" s="49"/>
    </row>
    <row r="1051" spans="1:46" x14ac:dyDescent="0.3">
      <c r="A1051" s="5">
        <v>44987</v>
      </c>
      <c r="B1051" s="6">
        <v>80.620002999999997</v>
      </c>
      <c r="C1051" s="6">
        <v>118.389999</v>
      </c>
      <c r="D1051" s="6">
        <v>139.229996</v>
      </c>
      <c r="F1051" s="13">
        <v>1048</v>
      </c>
      <c r="G1051" s="5">
        <v>44987</v>
      </c>
      <c r="H1051" s="15">
        <f t="shared" si="203"/>
        <v>-2.7250481543347753E-3</v>
      </c>
      <c r="I1051" s="15">
        <f t="shared" si="203"/>
        <v>1.2836509201792972E-2</v>
      </c>
      <c r="J1051" s="15">
        <f t="shared" si="203"/>
        <v>-4.3082725332168991E-4</v>
      </c>
      <c r="K1051" s="22"/>
      <c r="L1051" s="13">
        <v>1048</v>
      </c>
      <c r="M1051" s="5">
        <v>44987</v>
      </c>
      <c r="N1051" s="26">
        <f t="shared" si="200"/>
        <v>1.4258932008154723</v>
      </c>
      <c r="O1051" s="26">
        <f t="shared" si="201"/>
        <v>1.1228186338615584</v>
      </c>
      <c r="P1051" s="26">
        <f t="shared" si="202"/>
        <v>1.8426416051519749</v>
      </c>
      <c r="Q1051" s="22"/>
      <c r="AD1051" s="59">
        <v>1047</v>
      </c>
      <c r="AE1051" s="61">
        <f t="shared" ca="1" si="204"/>
        <v>-0.90620531805526172</v>
      </c>
      <c r="AF1051" s="61">
        <f t="shared" ca="1" si="204"/>
        <v>-0.14831695012829069</v>
      </c>
      <c r="AG1051" s="61">
        <f t="shared" ca="1" si="204"/>
        <v>1.1022406325903702</v>
      </c>
      <c r="AH1051" s="19"/>
      <c r="AI1051" s="61">
        <f ca="1"/>
        <v>-1.9650414222789417E-2</v>
      </c>
      <c r="AJ1051" s="61">
        <f ca="1"/>
        <v>-1.7408051701406298E-2</v>
      </c>
      <c r="AK1051" s="61">
        <f ca="1"/>
        <v>1.3805160827292707E-2</v>
      </c>
      <c r="AL1051" s="19"/>
      <c r="AM1051" s="61">
        <f t="shared" ca="1" si="208"/>
        <v>-1.9299197900279171E-2</v>
      </c>
      <c r="AN1051" s="61">
        <f t="shared" ca="1" si="209"/>
        <v>-1.7158999104489769E-2</v>
      </c>
      <c r="AO1051" s="61">
        <f t="shared" ca="1" si="210"/>
        <v>1.4236829430547526E-2</v>
      </c>
      <c r="AP1051" s="19"/>
      <c r="AQ1051" s="62">
        <f t="shared" ca="1" si="205"/>
        <v>1.4053242984961409</v>
      </c>
      <c r="AR1051" s="62">
        <f t="shared" ca="1" si="206"/>
        <v>1.3877497581655742</v>
      </c>
      <c r="AS1051" s="62">
        <f t="shared" ca="1" si="207"/>
        <v>1.0943182613822688</v>
      </c>
      <c r="AT1051" s="49"/>
    </row>
    <row r="1052" spans="1:46" x14ac:dyDescent="0.3">
      <c r="A1052" s="5">
        <v>44988</v>
      </c>
      <c r="B1052" s="6">
        <v>81.319999999999993</v>
      </c>
      <c r="C1052" s="6">
        <v>118.889999</v>
      </c>
      <c r="D1052" s="6">
        <v>141.16999799999999</v>
      </c>
      <c r="F1052" s="13">
        <v>1049</v>
      </c>
      <c r="G1052" s="5">
        <v>44988</v>
      </c>
      <c r="H1052" s="15">
        <f t="shared" si="203"/>
        <v>8.6451938595166894E-3</v>
      </c>
      <c r="I1052" s="15">
        <f t="shared" si="203"/>
        <v>4.2144364824314128E-3</v>
      </c>
      <c r="J1052" s="15">
        <f t="shared" si="203"/>
        <v>1.3837610537038851E-2</v>
      </c>
      <c r="K1052" s="22"/>
      <c r="L1052" s="13">
        <v>1049</v>
      </c>
      <c r="M1052" s="5">
        <v>44988</v>
      </c>
      <c r="N1052" s="26">
        <f t="shared" si="200"/>
        <v>1.4382737630301774</v>
      </c>
      <c r="O1052" s="26">
        <f t="shared" si="201"/>
        <v>1.1275606671555261</v>
      </c>
      <c r="P1052" s="26">
        <f t="shared" si="202"/>
        <v>1.8683165925970513</v>
      </c>
      <c r="Q1052" s="22"/>
      <c r="AD1052" s="59">
        <v>1048</v>
      </c>
      <c r="AE1052" s="61">
        <f t="shared" ca="1" si="204"/>
        <v>-1.2681723295558165</v>
      </c>
      <c r="AF1052" s="61">
        <f t="shared" ca="1" si="204"/>
        <v>0.16222766241780806</v>
      </c>
      <c r="AG1052" s="61">
        <f t="shared" ca="1" si="204"/>
        <v>-0.77544119548631396</v>
      </c>
      <c r="AH1052" s="19"/>
      <c r="AI1052" s="61">
        <f ca="1"/>
        <v>-2.7499409995883451E-2</v>
      </c>
      <c r="AJ1052" s="61">
        <f ca="1"/>
        <v>-1.6323678512868221E-2</v>
      </c>
      <c r="AK1052" s="61">
        <f ca="1"/>
        <v>-3.7462225348658479E-2</v>
      </c>
      <c r="AL1052" s="19"/>
      <c r="AM1052" s="61">
        <f t="shared" ca="1" si="208"/>
        <v>-2.7148193673373205E-2</v>
      </c>
      <c r="AN1052" s="61">
        <f t="shared" ca="1" si="209"/>
        <v>-1.6074625915951692E-2</v>
      </c>
      <c r="AO1052" s="61">
        <f t="shared" ca="1" si="210"/>
        <v>-3.7030556745403662E-2</v>
      </c>
      <c r="AP1052" s="19"/>
      <c r="AQ1052" s="62">
        <f t="shared" ca="1" si="205"/>
        <v>1.3676855065704214</v>
      </c>
      <c r="AR1052" s="62">
        <f t="shared" ca="1" si="206"/>
        <v>1.3656205359248372</v>
      </c>
      <c r="AS1052" s="62">
        <f t="shared" ca="1" si="207"/>
        <v>1.0545361692851933</v>
      </c>
      <c r="AT1052" s="49"/>
    </row>
    <row r="1053" spans="1:46" x14ac:dyDescent="0.3">
      <c r="A1053" s="5">
        <v>44991</v>
      </c>
      <c r="B1053" s="6">
        <v>81.25</v>
      </c>
      <c r="C1053" s="6">
        <v>117.040001</v>
      </c>
      <c r="D1053" s="6">
        <v>139.69000199999999</v>
      </c>
      <c r="F1053" s="13">
        <v>1050</v>
      </c>
      <c r="G1053" s="5">
        <v>44991</v>
      </c>
      <c r="H1053" s="15">
        <f t="shared" si="203"/>
        <v>-8.6116755029892278E-4</v>
      </c>
      <c r="I1053" s="15">
        <f t="shared" si="203"/>
        <v>-1.568292220336057E-2</v>
      </c>
      <c r="J1053" s="15">
        <f t="shared" si="203"/>
        <v>-1.0539127671915543E-2</v>
      </c>
      <c r="K1053" s="22"/>
      <c r="L1053" s="13">
        <v>1050</v>
      </c>
      <c r="M1053" s="5">
        <v>44991</v>
      </c>
      <c r="N1053" s="26">
        <f t="shared" si="200"/>
        <v>1.4370357015027291</v>
      </c>
      <c r="O1053" s="26">
        <f t="shared" si="201"/>
        <v>1.1100151629359793</v>
      </c>
      <c r="P1053" s="26">
        <f t="shared" si="202"/>
        <v>1.8487295619039059</v>
      </c>
      <c r="Q1053" s="22"/>
      <c r="AD1053" s="59">
        <v>1049</v>
      </c>
      <c r="AE1053" s="61">
        <f t="shared" ca="1" si="204"/>
        <v>0.65429431376946856</v>
      </c>
      <c r="AF1053" s="61">
        <f t="shared" ca="1" si="204"/>
        <v>0.18069597955707153</v>
      </c>
      <c r="AG1053" s="61">
        <f t="shared" ca="1" si="204"/>
        <v>7.6009186529460482E-2</v>
      </c>
      <c r="AH1053" s="19"/>
      <c r="AI1053" s="61">
        <f ca="1"/>
        <v>1.4187904256374888E-2</v>
      </c>
      <c r="AJ1053" s="61">
        <f ca="1"/>
        <v>1.4168846691011545E-2</v>
      </c>
      <c r="AK1053" s="61">
        <f ca="1"/>
        <v>1.2887452045438463E-2</v>
      </c>
      <c r="AL1053" s="19"/>
      <c r="AM1053" s="61">
        <f t="shared" ca="1" si="208"/>
        <v>1.4539120578885132E-2</v>
      </c>
      <c r="AN1053" s="61">
        <f t="shared" ca="1" si="209"/>
        <v>1.4417899287928077E-2</v>
      </c>
      <c r="AO1053" s="61">
        <f t="shared" ca="1" si="210"/>
        <v>1.3319120648693282E-2</v>
      </c>
      <c r="AP1053" s="19"/>
      <c r="AQ1053" s="62">
        <f t="shared" ca="1" si="205"/>
        <v>1.3877157089876915</v>
      </c>
      <c r="AR1053" s="62">
        <f t="shared" ca="1" si="206"/>
        <v>1.3854525396451742</v>
      </c>
      <c r="AS1053" s="62">
        <f t="shared" ca="1" si="207"/>
        <v>1.0686756172325256</v>
      </c>
      <c r="AT1053" s="49"/>
    </row>
    <row r="1054" spans="1:46" x14ac:dyDescent="0.3">
      <c r="A1054" s="5">
        <v>44992</v>
      </c>
      <c r="B1054" s="6">
        <v>80.680000000000007</v>
      </c>
      <c r="C1054" s="6">
        <v>116.33000199999999</v>
      </c>
      <c r="D1054" s="6">
        <v>136.96000699999999</v>
      </c>
      <c r="F1054" s="13">
        <v>1051</v>
      </c>
      <c r="G1054" s="5">
        <v>44992</v>
      </c>
      <c r="H1054" s="15">
        <f t="shared" si="203"/>
        <v>-7.0401081238357617E-3</v>
      </c>
      <c r="I1054" s="15">
        <f t="shared" si="203"/>
        <v>-6.0847682348118349E-3</v>
      </c>
      <c r="J1054" s="15">
        <f t="shared" si="203"/>
        <v>-1.9736732553632882E-2</v>
      </c>
      <c r="K1054" s="22"/>
      <c r="L1054" s="13">
        <v>1051</v>
      </c>
      <c r="M1054" s="5">
        <v>44992</v>
      </c>
      <c r="N1054" s="26">
        <f t="shared" si="200"/>
        <v>1.4269543433506486</v>
      </c>
      <c r="O1054" s="26">
        <f t="shared" si="201"/>
        <v>1.103281485142612</v>
      </c>
      <c r="P1054" s="26">
        <f t="shared" si="202"/>
        <v>1.8125993994864849</v>
      </c>
      <c r="Q1054" s="22"/>
      <c r="AD1054" s="59">
        <v>1050</v>
      </c>
      <c r="AE1054" s="61">
        <f t="shared" ca="1" si="204"/>
        <v>-0.59342072125351752</v>
      </c>
      <c r="AF1054" s="61">
        <f t="shared" ca="1" si="204"/>
        <v>0.84828995247258165</v>
      </c>
      <c r="AG1054" s="61">
        <f t="shared" ca="1" si="204"/>
        <v>0.62789191527547417</v>
      </c>
      <c r="AH1054" s="19"/>
      <c r="AI1054" s="61">
        <f ca="1"/>
        <v>-1.2867903938196678E-2</v>
      </c>
      <c r="AJ1054" s="61">
        <f ca="1"/>
        <v>9.1500236906670827E-3</v>
      </c>
      <c r="AK1054" s="61">
        <f ca="1"/>
        <v>1.3292496123840886E-2</v>
      </c>
      <c r="AL1054" s="19"/>
      <c r="AM1054" s="61">
        <f t="shared" ca="1" si="208"/>
        <v>-1.2516687615686434E-2</v>
      </c>
      <c r="AN1054" s="61">
        <f t="shared" ca="1" si="209"/>
        <v>9.3990762875836142E-3</v>
      </c>
      <c r="AO1054" s="61">
        <f t="shared" ca="1" si="210"/>
        <v>1.3724164727095705E-2</v>
      </c>
      <c r="AP1054" s="19"/>
      <c r="AQ1054" s="62">
        <f t="shared" ca="1" si="205"/>
        <v>1.3704543577864123</v>
      </c>
      <c r="AR1054" s="62">
        <f t="shared" ca="1" si="206"/>
        <v>1.3985359032061369</v>
      </c>
      <c r="AS1054" s="62">
        <f t="shared" ca="1" si="207"/>
        <v>1.0834434034130509</v>
      </c>
      <c r="AT1054" s="49"/>
    </row>
    <row r="1055" spans="1:46" x14ac:dyDescent="0.3">
      <c r="A1055" s="5">
        <v>44993</v>
      </c>
      <c r="B1055" s="6">
        <v>80.559997999999993</v>
      </c>
      <c r="C1055" s="6">
        <v>116.239998</v>
      </c>
      <c r="D1055" s="6">
        <v>132.770004</v>
      </c>
      <c r="F1055" s="13">
        <v>1052</v>
      </c>
      <c r="G1055" s="5">
        <v>44993</v>
      </c>
      <c r="H1055" s="15">
        <f t="shared" si="203"/>
        <v>-1.4884895019210891E-3</v>
      </c>
      <c r="I1055" s="15">
        <f t="shared" si="203"/>
        <v>-7.7399496489833448E-4</v>
      </c>
      <c r="J1055" s="15">
        <f t="shared" si="203"/>
        <v>-3.1070625468145614E-2</v>
      </c>
      <c r="K1055" s="22"/>
      <c r="L1055" s="13">
        <v>1052</v>
      </c>
      <c r="M1055" s="5">
        <v>44993</v>
      </c>
      <c r="N1055" s="26">
        <f t="shared" si="200"/>
        <v>1.4248319167875501</v>
      </c>
      <c r="O1055" s="26">
        <f t="shared" si="201"/>
        <v>1.1024278812134316</v>
      </c>
      <c r="P1055" s="26">
        <f t="shared" si="202"/>
        <v>1.7571467378810679</v>
      </c>
      <c r="Q1055" s="22"/>
      <c r="AD1055" s="59">
        <v>1051</v>
      </c>
      <c r="AE1055" s="61">
        <f t="shared" ca="1" si="204"/>
        <v>-0.44900562478893447</v>
      </c>
      <c r="AF1055" s="61">
        <f t="shared" ca="1" si="204"/>
        <v>-3.7080647401742273E-2</v>
      </c>
      <c r="AG1055" s="61">
        <f t="shared" ca="1" si="204"/>
        <v>0.3128856838539843</v>
      </c>
      <c r="AH1055" s="19"/>
      <c r="AI1055" s="61">
        <f ca="1"/>
        <v>-9.7363658540424482E-3</v>
      </c>
      <c r="AJ1055" s="61">
        <f ca="1"/>
        <v>-7.8339733712442673E-3</v>
      </c>
      <c r="AK1055" s="61">
        <f ca="1"/>
        <v>1.1206748858576063E-3</v>
      </c>
      <c r="AL1055" s="19"/>
      <c r="AM1055" s="61">
        <f t="shared" ca="1" si="208"/>
        <v>-9.3851495315322043E-3</v>
      </c>
      <c r="AN1055" s="61">
        <f t="shared" ca="1" si="209"/>
        <v>-7.5849207743277367E-3</v>
      </c>
      <c r="AO1055" s="61">
        <f t="shared" ca="1" si="210"/>
        <v>1.5523434891124245E-3</v>
      </c>
      <c r="AP1055" s="19"/>
      <c r="AQ1055" s="62">
        <f t="shared" ca="1" si="205"/>
        <v>1.3576526058563334</v>
      </c>
      <c r="AR1055" s="62">
        <f t="shared" ca="1" si="206"/>
        <v>1.3879682472607797</v>
      </c>
      <c r="AS1055" s="62">
        <f t="shared" ca="1" si="207"/>
        <v>1.0851265858267845</v>
      </c>
      <c r="AT1055" s="49"/>
    </row>
    <row r="1056" spans="1:46" x14ac:dyDescent="0.3">
      <c r="A1056" s="5">
        <v>44994</v>
      </c>
      <c r="B1056" s="6">
        <v>78.839995999999999</v>
      </c>
      <c r="C1056" s="6">
        <v>114.699997</v>
      </c>
      <c r="D1056" s="6">
        <v>132.279999</v>
      </c>
      <c r="F1056" s="13">
        <v>1053</v>
      </c>
      <c r="G1056" s="5">
        <v>44994</v>
      </c>
      <c r="H1056" s="15">
        <f t="shared" si="203"/>
        <v>-2.1581792035239002E-2</v>
      </c>
      <c r="I1056" s="15">
        <f t="shared" si="203"/>
        <v>-1.3337004076108931E-2</v>
      </c>
      <c r="J1056" s="15">
        <f t="shared" si="203"/>
        <v>-3.6974574812277858E-3</v>
      </c>
      <c r="K1056" s="22"/>
      <c r="L1056" s="13">
        <v>1053</v>
      </c>
      <c r="M1056" s="5">
        <v>44994</v>
      </c>
      <c r="N1056" s="26">
        <f t="shared" si="200"/>
        <v>1.3944109410256289</v>
      </c>
      <c r="O1056" s="26">
        <f t="shared" si="201"/>
        <v>1.087822409183945</v>
      </c>
      <c r="P1056" s="26">
        <f t="shared" si="202"/>
        <v>1.7506617588846418</v>
      </c>
      <c r="Q1056" s="22"/>
      <c r="AD1056" s="59">
        <v>1052</v>
      </c>
      <c r="AE1056" s="61">
        <f t="shared" ca="1" si="204"/>
        <v>-1.3100703583696962E-2</v>
      </c>
      <c r="AF1056" s="61">
        <f t="shared" ca="1" si="204"/>
        <v>0.16293960696809831</v>
      </c>
      <c r="AG1056" s="61">
        <f t="shared" ca="1" si="204"/>
        <v>-0.58838936173031686</v>
      </c>
      <c r="AH1056" s="19"/>
      <c r="AI1056" s="61">
        <f ca="1"/>
        <v>-2.8407938786111645E-4</v>
      </c>
      <c r="AJ1056" s="61">
        <f ca="1"/>
        <v>3.3366015273349312E-3</v>
      </c>
      <c r="AK1056" s="61">
        <f ca="1"/>
        <v>-1.4120583309753798E-2</v>
      </c>
      <c r="AL1056" s="19"/>
      <c r="AM1056" s="61">
        <f t="shared" ca="1" si="208"/>
        <v>6.7136934649127762E-5</v>
      </c>
      <c r="AN1056" s="61">
        <f t="shared" ca="1" si="209"/>
        <v>3.5856541242514617E-3</v>
      </c>
      <c r="AO1056" s="61">
        <f t="shared" ca="1" si="210"/>
        <v>-1.3688914706498979E-2</v>
      </c>
      <c r="AP1056" s="19"/>
      <c r="AQ1056" s="62">
        <f t="shared" ca="1" si="205"/>
        <v>1.3577437575503974</v>
      </c>
      <c r="AR1056" s="62">
        <f t="shared" ca="1" si="206"/>
        <v>1.3929539545000291</v>
      </c>
      <c r="AS1056" s="62">
        <f t="shared" ca="1" si="207"/>
        <v>1.0703735871928348</v>
      </c>
      <c r="AT1056" s="49"/>
    </row>
    <row r="1057" spans="1:46" x14ac:dyDescent="0.3">
      <c r="A1057" s="5">
        <v>44995</v>
      </c>
      <c r="B1057" s="6">
        <v>77.410004000000001</v>
      </c>
      <c r="C1057" s="6">
        <v>113.33000199999999</v>
      </c>
      <c r="D1057" s="6">
        <v>132.16000399999999</v>
      </c>
      <c r="F1057" s="13">
        <v>1054</v>
      </c>
      <c r="G1057" s="5">
        <v>44995</v>
      </c>
      <c r="H1057" s="15">
        <f t="shared" si="203"/>
        <v>-1.8304408659319732E-2</v>
      </c>
      <c r="I1057" s="15">
        <f t="shared" si="203"/>
        <v>-1.2016063587702462E-2</v>
      </c>
      <c r="J1057" s="15">
        <f t="shared" si="203"/>
        <v>-9.0754051485901575E-4</v>
      </c>
      <c r="K1057" s="22"/>
      <c r="L1057" s="13">
        <v>1054</v>
      </c>
      <c r="M1057" s="5">
        <v>44995</v>
      </c>
      <c r="N1057" s="26">
        <f t="shared" si="200"/>
        <v>1.369119254171927</v>
      </c>
      <c r="O1057" s="26">
        <f t="shared" si="201"/>
        <v>1.0748292853788071</v>
      </c>
      <c r="P1057" s="26">
        <f t="shared" si="202"/>
        <v>1.7490736831411775</v>
      </c>
      <c r="Q1057" s="22"/>
      <c r="AD1057" s="59">
        <v>1053</v>
      </c>
      <c r="AE1057" s="61">
        <f t="shared" ca="1" si="204"/>
        <v>0.33681208746573299</v>
      </c>
      <c r="AF1057" s="61">
        <f t="shared" ca="1" si="204"/>
        <v>-0.64890246869165868</v>
      </c>
      <c r="AG1057" s="61">
        <f t="shared" ca="1" si="204"/>
        <v>1.5319744132998883</v>
      </c>
      <c r="AH1057" s="19"/>
      <c r="AI1057" s="61">
        <f ca="1"/>
        <v>7.3035292356786055E-3</v>
      </c>
      <c r="AJ1057" s="61">
        <f ca="1"/>
        <v>-8.8326588802495817E-3</v>
      </c>
      <c r="AK1057" s="61">
        <f ca="1"/>
        <v>3.965582809072745E-2</v>
      </c>
      <c r="AL1057" s="19"/>
      <c r="AM1057" s="61">
        <f t="shared" ca="1" si="208"/>
        <v>7.6547455581888494E-3</v>
      </c>
      <c r="AN1057" s="61">
        <f t="shared" ca="1" si="209"/>
        <v>-8.5836062833330503E-3</v>
      </c>
      <c r="AO1057" s="61">
        <f t="shared" ca="1" si="210"/>
        <v>4.0087496693982268E-2</v>
      </c>
      <c r="AP1057" s="19"/>
      <c r="AQ1057" s="62">
        <f t="shared" ca="1" si="205"/>
        <v>1.368176820826208</v>
      </c>
      <c r="AR1057" s="62">
        <f t="shared" ca="1" si="206"/>
        <v>1.3810485549125155</v>
      </c>
      <c r="AS1057" s="62">
        <f t="shared" ca="1" si="207"/>
        <v>1.1141538424743889</v>
      </c>
      <c r="AT1057" s="49"/>
    </row>
    <row r="1058" spans="1:46" x14ac:dyDescent="0.3">
      <c r="A1058" s="5">
        <v>44998</v>
      </c>
      <c r="B1058" s="6">
        <v>77.330001999999993</v>
      </c>
      <c r="C1058" s="6">
        <v>110.720001</v>
      </c>
      <c r="D1058" s="6">
        <v>128.11000100000001</v>
      </c>
      <c r="F1058" s="13">
        <v>1055</v>
      </c>
      <c r="G1058" s="5">
        <v>44998</v>
      </c>
      <c r="H1058" s="15">
        <f t="shared" si="203"/>
        <v>-1.0340184054037714E-3</v>
      </c>
      <c r="I1058" s="15">
        <f t="shared" si="203"/>
        <v>-2.3299433491283484E-2</v>
      </c>
      <c r="J1058" s="15">
        <f t="shared" si="203"/>
        <v>-3.1124062364876914E-2</v>
      </c>
      <c r="K1058" s="22"/>
      <c r="L1058" s="13">
        <v>1055</v>
      </c>
      <c r="M1058" s="5">
        <v>44998</v>
      </c>
      <c r="N1058" s="26">
        <f t="shared" si="200"/>
        <v>1.3677042913387991</v>
      </c>
      <c r="O1058" s="26">
        <f t="shared" si="201"/>
        <v>1.0500758621002302</v>
      </c>
      <c r="P1058" s="26">
        <f t="shared" si="202"/>
        <v>1.6954738537711451</v>
      </c>
      <c r="Q1058" s="22"/>
      <c r="AD1058" s="59">
        <v>1054</v>
      </c>
      <c r="AE1058" s="61">
        <f t="shared" ca="1" si="204"/>
        <v>0.7084980556481737</v>
      </c>
      <c r="AF1058" s="61">
        <f t="shared" ca="1" si="204"/>
        <v>0.72922906665940701</v>
      </c>
      <c r="AG1058" s="61">
        <f t="shared" ca="1" si="204"/>
        <v>-0.30770750045598561</v>
      </c>
      <c r="AH1058" s="19"/>
      <c r="AI1058" s="61">
        <f ca="1"/>
        <v>1.5363273633623192E-2</v>
      </c>
      <c r="AJ1058" s="61">
        <f ca="1"/>
        <v>2.6940186817464316E-2</v>
      </c>
      <c r="AK1058" s="61">
        <f ca="1"/>
        <v>7.7205603317945844E-3</v>
      </c>
      <c r="AL1058" s="19"/>
      <c r="AM1058" s="61">
        <f t="shared" ca="1" si="208"/>
        <v>1.5714489956133438E-2</v>
      </c>
      <c r="AN1058" s="61">
        <f t="shared" ca="1" si="209"/>
        <v>2.7189239414380846E-2</v>
      </c>
      <c r="AO1058" s="61">
        <f t="shared" ca="1" si="210"/>
        <v>8.1522289350494034E-3</v>
      </c>
      <c r="AP1058" s="19"/>
      <c r="AQ1058" s="62">
        <f t="shared" ca="1" si="205"/>
        <v>1.3898468424635064</v>
      </c>
      <c r="AR1058" s="62">
        <f t="shared" ca="1" si="206"/>
        <v>1.4191133461400012</v>
      </c>
      <c r="AS1058" s="62">
        <f t="shared" ca="1" si="207"/>
        <v>1.1232738031623666</v>
      </c>
      <c r="AT1058" s="49"/>
    </row>
    <row r="1059" spans="1:46" x14ac:dyDescent="0.3">
      <c r="A1059" s="5">
        <v>44999</v>
      </c>
      <c r="B1059" s="6">
        <v>77.150002000000001</v>
      </c>
      <c r="C1059" s="6">
        <v>111.82</v>
      </c>
      <c r="D1059" s="6">
        <v>131.61999499999999</v>
      </c>
      <c r="F1059" s="13">
        <v>1056</v>
      </c>
      <c r="G1059" s="5">
        <v>44999</v>
      </c>
      <c r="H1059" s="15">
        <f t="shared" si="203"/>
        <v>-2.3303997514323273E-3</v>
      </c>
      <c r="I1059" s="15">
        <f t="shared" si="203"/>
        <v>9.8859346973479527E-3</v>
      </c>
      <c r="J1059" s="15">
        <f t="shared" si="203"/>
        <v>2.7029667365690204E-2</v>
      </c>
      <c r="K1059" s="22"/>
      <c r="L1059" s="13">
        <v>1056</v>
      </c>
      <c r="M1059" s="5">
        <v>44999</v>
      </c>
      <c r="N1059" s="26">
        <f t="shared" si="200"/>
        <v>1.3645207045539318</v>
      </c>
      <c r="O1059" s="26">
        <f t="shared" si="201"/>
        <v>1.060508325862892</v>
      </c>
      <c r="P1059" s="26">
        <f t="shared" si="202"/>
        <v>1.7419269254083358</v>
      </c>
      <c r="Q1059" s="22"/>
      <c r="AD1059" s="59">
        <v>1055</v>
      </c>
      <c r="AE1059" s="61">
        <f t="shared" ca="1" si="204"/>
        <v>-1.6137968906136528</v>
      </c>
      <c r="AF1059" s="61">
        <f t="shared" ca="1" si="204"/>
        <v>-0.1990384999330691</v>
      </c>
      <c r="AG1059" s="61">
        <f t="shared" ca="1" si="204"/>
        <v>0.25811359688418273</v>
      </c>
      <c r="AH1059" s="19"/>
      <c r="AI1059" s="61">
        <f ca="1"/>
        <v>-3.4994031418908569E-2</v>
      </c>
      <c r="AJ1059" s="61">
        <f ca="1"/>
        <v>-2.9585998602845012E-2</v>
      </c>
      <c r="AK1059" s="61">
        <f ca="1"/>
        <v>-1.8633592325780324E-2</v>
      </c>
      <c r="AL1059" s="19"/>
      <c r="AM1059" s="61">
        <f t="shared" ca="1" si="208"/>
        <v>-3.4642815096398327E-2</v>
      </c>
      <c r="AN1059" s="61">
        <f t="shared" ca="1" si="209"/>
        <v>-2.9336946005928483E-2</v>
      </c>
      <c r="AO1059" s="61">
        <f t="shared" ca="1" si="210"/>
        <v>-1.8201923722525506E-2</v>
      </c>
      <c r="AP1059" s="19"/>
      <c r="AQ1059" s="62">
        <f t="shared" ca="1" si="205"/>
        <v>1.3425230821988765</v>
      </c>
      <c r="AR1059" s="62">
        <f t="shared" ca="1" si="206"/>
        <v>1.3780856506912473</v>
      </c>
      <c r="AS1059" s="62">
        <f t="shared" ca="1" si="207"/>
        <v>1.1030130111535854</v>
      </c>
      <c r="AT1059" s="49"/>
    </row>
    <row r="1060" spans="1:46" x14ac:dyDescent="0.3">
      <c r="A1060" s="5">
        <v>45000</v>
      </c>
      <c r="B1060" s="6">
        <v>75.339995999999999</v>
      </c>
      <c r="C1060" s="6">
        <v>111.639999</v>
      </c>
      <c r="D1060" s="6">
        <v>124.33000199999999</v>
      </c>
      <c r="F1060" s="13">
        <v>1057</v>
      </c>
      <c r="G1060" s="5">
        <v>45000</v>
      </c>
      <c r="H1060" s="15">
        <f t="shared" si="203"/>
        <v>-2.3740455561448187E-2</v>
      </c>
      <c r="I1060" s="15">
        <f t="shared" si="203"/>
        <v>-1.6110358877407833E-3</v>
      </c>
      <c r="J1060" s="15">
        <f t="shared" si="203"/>
        <v>-5.6979607988756384E-2</v>
      </c>
      <c r="K1060" s="22"/>
      <c r="L1060" s="13">
        <v>1057</v>
      </c>
      <c r="M1060" s="5">
        <v>45000</v>
      </c>
      <c r="N1060" s="26">
        <f t="shared" si="200"/>
        <v>1.3325078646532038</v>
      </c>
      <c r="O1060" s="26">
        <f t="shared" si="201"/>
        <v>1.0588011843929972</v>
      </c>
      <c r="P1060" s="26">
        <f t="shared" si="202"/>
        <v>1.6454473966502752</v>
      </c>
      <c r="Q1060" s="22"/>
      <c r="AD1060" s="59">
        <v>1056</v>
      </c>
      <c r="AE1060" s="61">
        <f t="shared" ca="1" si="204"/>
        <v>-1.654970939176615</v>
      </c>
      <c r="AF1060" s="61">
        <f t="shared" ca="1" si="204"/>
        <v>0.29629799002130414</v>
      </c>
      <c r="AG1060" s="61">
        <f t="shared" ca="1" si="204"/>
        <v>-0.30110895714115804</v>
      </c>
      <c r="AH1060" s="19"/>
      <c r="AI1060" s="61">
        <f ca="1"/>
        <v>-3.5886861215171269E-2</v>
      </c>
      <c r="AJ1060" s="61">
        <f ca="1"/>
        <v>-1.9463826054769741E-2</v>
      </c>
      <c r="AK1060" s="61">
        <f ca="1"/>
        <v>-3.0080830354082988E-2</v>
      </c>
      <c r="AL1060" s="19"/>
      <c r="AM1060" s="61">
        <f t="shared" ca="1" si="208"/>
        <v>-3.5535644892661027E-2</v>
      </c>
      <c r="AN1060" s="61">
        <f t="shared" ca="1" si="209"/>
        <v>-1.9214773457853211E-2</v>
      </c>
      <c r="AO1060" s="61">
        <f t="shared" ca="1" si="210"/>
        <v>-2.9649161750828171E-2</v>
      </c>
      <c r="AP1060" s="19"/>
      <c r="AQ1060" s="62">
        <f t="shared" ca="1" si="205"/>
        <v>1.2956533636104841</v>
      </c>
      <c r="AR1060" s="62">
        <f t="shared" ca="1" si="206"/>
        <v>1.3518588252855048</v>
      </c>
      <c r="AS1060" s="62">
        <f t="shared" ca="1" si="207"/>
        <v>1.0707896581961081</v>
      </c>
      <c r="AT1060" s="49"/>
    </row>
    <row r="1061" spans="1:46" x14ac:dyDescent="0.3">
      <c r="A1061" s="5">
        <v>45001</v>
      </c>
      <c r="B1061" s="6">
        <v>75.059997999999993</v>
      </c>
      <c r="C1061" s="6">
        <v>112.18</v>
      </c>
      <c r="D1061" s="6">
        <v>127.16999800000001</v>
      </c>
      <c r="F1061" s="13">
        <v>1058</v>
      </c>
      <c r="G1061" s="5">
        <v>45001</v>
      </c>
      <c r="H1061" s="15">
        <f t="shared" si="203"/>
        <v>-3.7233821097229836E-3</v>
      </c>
      <c r="I1061" s="15">
        <f t="shared" si="203"/>
        <v>4.825324369432552E-3</v>
      </c>
      <c r="J1061" s="15">
        <f t="shared" si="203"/>
        <v>2.2585421254607548E-2</v>
      </c>
      <c r="K1061" s="22"/>
      <c r="L1061" s="13">
        <v>1058</v>
      </c>
      <c r="M1061" s="5">
        <v>45001</v>
      </c>
      <c r="N1061" s="26">
        <f t="shared" si="200"/>
        <v>1.327555653916596</v>
      </c>
      <c r="O1061" s="26">
        <f t="shared" si="201"/>
        <v>1.0639225898345488</v>
      </c>
      <c r="P1061" s="26">
        <f t="shared" si="202"/>
        <v>1.6830333690585859</v>
      </c>
      <c r="Q1061" s="22"/>
      <c r="AD1061" s="59">
        <v>1057</v>
      </c>
      <c r="AE1061" s="61">
        <f t="shared" ca="1" si="204"/>
        <v>0.67029501620279797</v>
      </c>
      <c r="AF1061" s="61">
        <f t="shared" ca="1" si="204"/>
        <v>1.2048435010827927</v>
      </c>
      <c r="AG1061" s="61">
        <f t="shared" ca="1" si="204"/>
        <v>-1.3534967602532899</v>
      </c>
      <c r="AH1061" s="19"/>
      <c r="AI1061" s="61">
        <f ca="1"/>
        <v>1.4534868045271284E-2</v>
      </c>
      <c r="AJ1061" s="61">
        <f ca="1"/>
        <v>3.6680183657834237E-2</v>
      </c>
      <c r="AK1061" s="61">
        <f ca="1"/>
        <v>-1.6287488376085187E-2</v>
      </c>
      <c r="AL1061" s="19"/>
      <c r="AM1061" s="61">
        <f t="shared" ca="1" si="208"/>
        <v>1.4886084367781528E-2</v>
      </c>
      <c r="AN1061" s="61">
        <f t="shared" ca="1" si="209"/>
        <v>3.6929236254750766E-2</v>
      </c>
      <c r="AO1061" s="61">
        <f t="shared" ca="1" si="210"/>
        <v>-1.5855819772830369E-2</v>
      </c>
      <c r="AP1061" s="19"/>
      <c r="AQ1061" s="62">
        <f t="shared" ca="1" si="205"/>
        <v>1.3150848393603047</v>
      </c>
      <c r="AR1061" s="62">
        <f t="shared" ca="1" si="206"/>
        <v>1.4027152032638006</v>
      </c>
      <c r="AS1061" s="62">
        <f t="shared" ca="1" si="207"/>
        <v>1.0539453037826261</v>
      </c>
      <c r="AT1061" s="49"/>
    </row>
    <row r="1062" spans="1:46" x14ac:dyDescent="0.3">
      <c r="A1062" s="5">
        <v>45002</v>
      </c>
      <c r="B1062" s="6">
        <v>73.379997000000003</v>
      </c>
      <c r="C1062" s="6">
        <v>110.91999800000001</v>
      </c>
      <c r="D1062" s="6">
        <v>126.370003</v>
      </c>
      <c r="F1062" s="13">
        <v>1059</v>
      </c>
      <c r="G1062" s="5">
        <v>45002</v>
      </c>
      <c r="H1062" s="15">
        <f t="shared" si="203"/>
        <v>-2.2636389017463152E-2</v>
      </c>
      <c r="I1062" s="15">
        <f t="shared" si="203"/>
        <v>-1.1295521363627097E-2</v>
      </c>
      <c r="J1062" s="15">
        <f t="shared" si="203"/>
        <v>-6.3106227952750152E-3</v>
      </c>
      <c r="K1062" s="22"/>
      <c r="L1062" s="13">
        <v>1059</v>
      </c>
      <c r="M1062" s="5">
        <v>45002</v>
      </c>
      <c r="N1062" s="26">
        <f t="shared" si="200"/>
        <v>1.2978421595712388</v>
      </c>
      <c r="O1062" s="26">
        <f t="shared" si="201"/>
        <v>1.0519726469656174</v>
      </c>
      <c r="P1062" s="26">
        <f t="shared" si="202"/>
        <v>1.6724458224575391</v>
      </c>
      <c r="Q1062" s="22"/>
      <c r="AD1062" s="59">
        <v>1058</v>
      </c>
      <c r="AE1062" s="61">
        <f t="shared" ca="1" si="204"/>
        <v>1.5599137856531977</v>
      </c>
      <c r="AF1062" s="61">
        <f t="shared" ca="1" si="204"/>
        <v>1.3736306608317428</v>
      </c>
      <c r="AG1062" s="61">
        <f t="shared" ca="1" si="204"/>
        <v>-1.5666344059245432</v>
      </c>
      <c r="AH1062" s="19"/>
      <c r="AI1062" s="61">
        <f ca="1"/>
        <v>3.3825614823919645E-2</v>
      </c>
      <c r="AJ1062" s="61">
        <f ca="1"/>
        <v>5.4273557932425928E-2</v>
      </c>
      <c r="AK1062" s="61">
        <f ca="1"/>
        <v>-7.4147852547636894E-3</v>
      </c>
      <c r="AL1062" s="19"/>
      <c r="AM1062" s="61">
        <f t="shared" ca="1" si="208"/>
        <v>3.4176831146429887E-2</v>
      </c>
      <c r="AN1062" s="61">
        <f t="shared" ca="1" si="209"/>
        <v>5.4522610529342458E-2</v>
      </c>
      <c r="AO1062" s="61">
        <f t="shared" ca="1" si="210"/>
        <v>-6.9831166515088713E-3</v>
      </c>
      <c r="AP1062" s="19"/>
      <c r="AQ1062" s="62">
        <f t="shared" ca="1" si="205"/>
        <v>1.360807143156427</v>
      </c>
      <c r="AR1062" s="62">
        <f t="shared" ca="1" si="206"/>
        <v>1.4813182485128622</v>
      </c>
      <c r="AS1062" s="62">
        <f t="shared" ca="1" si="207"/>
        <v>1.0466111183219207</v>
      </c>
      <c r="AT1062" s="49"/>
    </row>
    <row r="1063" spans="1:46" x14ac:dyDescent="0.3">
      <c r="A1063" s="5">
        <v>45005</v>
      </c>
      <c r="B1063" s="6">
        <v>75.419998000000007</v>
      </c>
      <c r="C1063" s="6">
        <v>112.05999799999999</v>
      </c>
      <c r="D1063" s="6">
        <v>128.91000399999999</v>
      </c>
      <c r="F1063" s="13">
        <v>1060</v>
      </c>
      <c r="G1063" s="5">
        <v>45005</v>
      </c>
      <c r="H1063" s="15">
        <f t="shared" si="203"/>
        <v>2.7421087267985055E-2</v>
      </c>
      <c r="I1063" s="15">
        <f t="shared" si="203"/>
        <v>1.0225221572992743E-2</v>
      </c>
      <c r="J1063" s="15">
        <f t="shared" si="203"/>
        <v>1.9900381974012483E-2</v>
      </c>
      <c r="K1063" s="22"/>
      <c r="L1063" s="13">
        <v>1060</v>
      </c>
      <c r="M1063" s="5">
        <v>45005</v>
      </c>
      <c r="N1063" s="26">
        <f t="shared" si="200"/>
        <v>1.3339228274863315</v>
      </c>
      <c r="O1063" s="26">
        <f t="shared" si="201"/>
        <v>1.0627844828758632</v>
      </c>
      <c r="P1063" s="26">
        <f t="shared" si="202"/>
        <v>1.7060615062483193</v>
      </c>
      <c r="Q1063" s="22"/>
      <c r="AD1063" s="59">
        <v>1059</v>
      </c>
      <c r="AE1063" s="61">
        <f t="shared" ca="1" si="204"/>
        <v>-0.89003132041750055</v>
      </c>
      <c r="AF1063" s="61">
        <f t="shared" ca="1" si="204"/>
        <v>-0.61992022849002637</v>
      </c>
      <c r="AG1063" s="61">
        <f t="shared" ca="1" si="204"/>
        <v>-0.63386211717115604</v>
      </c>
      <c r="AH1063" s="19"/>
      <c r="AI1063" s="61">
        <f ca="1"/>
        <v>-1.9299692651322052E-2</v>
      </c>
      <c r="AJ1063" s="61">
        <f ca="1"/>
        <v>-2.740566798935571E-2</v>
      </c>
      <c r="AK1063" s="61">
        <f ca="1"/>
        <v>-3.3755981589824305E-2</v>
      </c>
      <c r="AL1063" s="19"/>
      <c r="AM1063" s="61">
        <f t="shared" ca="1" si="208"/>
        <v>-1.8948476328811806E-2</v>
      </c>
      <c r="AN1063" s="61">
        <f t="shared" ca="1" si="209"/>
        <v>-2.715661539243918E-2</v>
      </c>
      <c r="AO1063" s="61">
        <f t="shared" ca="1" si="210"/>
        <v>-3.3324312986569488E-2</v>
      </c>
      <c r="AP1063" s="19"/>
      <c r="AQ1063" s="62">
        <f t="shared" ca="1" si="205"/>
        <v>1.3352646808237163</v>
      </c>
      <c r="AR1063" s="62">
        <f t="shared" ca="1" si="206"/>
        <v>1.4416319700270248</v>
      </c>
      <c r="AS1063" s="62">
        <f t="shared" ca="1" si="207"/>
        <v>1.0123082559147556</v>
      </c>
      <c r="AT1063" s="49"/>
    </row>
    <row r="1064" spans="1:46" x14ac:dyDescent="0.3">
      <c r="A1064" s="5">
        <v>45006</v>
      </c>
      <c r="B1064" s="6">
        <v>77.260002</v>
      </c>
      <c r="C1064" s="6">
        <v>114.529999</v>
      </c>
      <c r="D1064" s="6">
        <v>132.19000199999999</v>
      </c>
      <c r="F1064" s="13">
        <v>1061</v>
      </c>
      <c r="G1064" s="5">
        <v>45006</v>
      </c>
      <c r="H1064" s="15">
        <f t="shared" si="203"/>
        <v>2.4103917812705721E-2</v>
      </c>
      <c r="I1064" s="15">
        <f t="shared" si="203"/>
        <v>2.1802364388731437E-2</v>
      </c>
      <c r="J1064" s="15">
        <f t="shared" si="203"/>
        <v>2.5125779236632485E-2</v>
      </c>
      <c r="K1064" s="22"/>
      <c r="L1064" s="13">
        <v>1061</v>
      </c>
      <c r="M1064" s="5">
        <v>45006</v>
      </c>
      <c r="N1064" s="26">
        <f t="shared" si="200"/>
        <v>1.3664662298113508</v>
      </c>
      <c r="O1064" s="26">
        <f t="shared" si="201"/>
        <v>1.0862101368321293</v>
      </c>
      <c r="P1064" s="26">
        <f t="shared" si="202"/>
        <v>1.7494706921511565</v>
      </c>
      <c r="Q1064" s="22"/>
      <c r="AD1064" s="59">
        <v>1060</v>
      </c>
      <c r="AE1064" s="61">
        <f t="shared" ca="1" si="204"/>
        <v>0.45718238639792241</v>
      </c>
      <c r="AF1064" s="61">
        <f t="shared" ca="1" si="204"/>
        <v>-0.21072556268495463</v>
      </c>
      <c r="AG1064" s="61">
        <f t="shared" ca="1" si="204"/>
        <v>-0.14210283004979243</v>
      </c>
      <c r="AH1064" s="19"/>
      <c r="AI1064" s="61">
        <f ca="1"/>
        <v>9.9136730816831234E-3</v>
      </c>
      <c r="AJ1064" s="61">
        <f ca="1"/>
        <v>2.5756386601563297E-3</v>
      </c>
      <c r="AK1064" s="61">
        <f ca="1"/>
        <v>1.6304247892130644E-3</v>
      </c>
      <c r="AL1064" s="19"/>
      <c r="AM1064" s="61">
        <f t="shared" ca="1" si="208"/>
        <v>1.0264889404193367E-2</v>
      </c>
      <c r="AN1064" s="61">
        <f t="shared" ca="1" si="209"/>
        <v>2.8246912570728602E-3</v>
      </c>
      <c r="AO1064" s="61">
        <f t="shared" ca="1" si="210"/>
        <v>2.0620933924678825E-3</v>
      </c>
      <c r="AP1064" s="19"/>
      <c r="AQ1064" s="62">
        <f t="shared" ca="1" si="205"/>
        <v>1.349041613472292</v>
      </c>
      <c r="AR1064" s="62">
        <f t="shared" ca="1" si="206"/>
        <v>1.4457098919724727</v>
      </c>
      <c r="AS1064" s="62">
        <f t="shared" ca="1" si="207"/>
        <v>1.014397883843926</v>
      </c>
      <c r="AT1064" s="49"/>
    </row>
    <row r="1065" spans="1:46" x14ac:dyDescent="0.3">
      <c r="A1065" s="5">
        <v>45007</v>
      </c>
      <c r="B1065" s="6">
        <v>74.629997000000003</v>
      </c>
      <c r="C1065" s="6">
        <v>111.889999</v>
      </c>
      <c r="D1065" s="6">
        <v>131.770004</v>
      </c>
      <c r="F1065" s="13">
        <v>1062</v>
      </c>
      <c r="G1065" s="5">
        <v>45007</v>
      </c>
      <c r="H1065" s="15">
        <f t="shared" si="203"/>
        <v>-3.463385217976795E-2</v>
      </c>
      <c r="I1065" s="15">
        <f t="shared" si="203"/>
        <v>-2.3320551796007477E-2</v>
      </c>
      <c r="J1065" s="15">
        <f t="shared" si="203"/>
        <v>-3.1822878079620187E-3</v>
      </c>
      <c r="K1065" s="22"/>
      <c r="L1065" s="13">
        <v>1062</v>
      </c>
      <c r="M1065" s="5">
        <v>45007</v>
      </c>
      <c r="N1065" s="26">
        <f t="shared" si="200"/>
        <v>1.3199504011328194</v>
      </c>
      <c r="O1065" s="26">
        <f t="shared" si="201"/>
        <v>1.0611722010399809</v>
      </c>
      <c r="P1065" s="26">
        <f t="shared" si="202"/>
        <v>1.7439122219140346</v>
      </c>
      <c r="Q1065" s="22"/>
      <c r="AD1065" s="59">
        <v>1061</v>
      </c>
      <c r="AE1065" s="61">
        <f t="shared" ca="1" si="204"/>
        <v>-0.48930717602710877</v>
      </c>
      <c r="AF1065" s="61">
        <f t="shared" ca="1" si="204"/>
        <v>0.54096617107463851</v>
      </c>
      <c r="AG1065" s="61">
        <f t="shared" ca="1" si="204"/>
        <v>0.64381011257381693</v>
      </c>
      <c r="AH1065" s="19"/>
      <c r="AI1065" s="61">
        <f ca="1"/>
        <v>-1.0610276169809104E-2</v>
      </c>
      <c r="AJ1065" s="61">
        <f ca="1"/>
        <v>4.0996489572593412E-3</v>
      </c>
      <c r="AK1065" s="61">
        <f ca="1"/>
        <v>1.3074338459746496E-2</v>
      </c>
      <c r="AL1065" s="19"/>
      <c r="AM1065" s="61">
        <f t="shared" ca="1" si="208"/>
        <v>-1.025905984729886E-2</v>
      </c>
      <c r="AN1065" s="61">
        <f t="shared" ca="1" si="209"/>
        <v>4.3487015541758718E-3</v>
      </c>
      <c r="AO1065" s="61">
        <f t="shared" ca="1" si="210"/>
        <v>1.3506007063001315E-2</v>
      </c>
      <c r="AP1065" s="19"/>
      <c r="AQ1065" s="62">
        <f t="shared" ca="1" si="205"/>
        <v>1.3352724648478309</v>
      </c>
      <c r="AR1065" s="62">
        <f t="shared" ca="1" si="206"/>
        <v>1.4520105427220291</v>
      </c>
      <c r="AS1065" s="62">
        <f t="shared" ca="1" si="207"/>
        <v>1.0281912860484843</v>
      </c>
      <c r="AT1065" s="49"/>
    </row>
    <row r="1066" spans="1:46" x14ac:dyDescent="0.3">
      <c r="A1066" s="5">
        <v>45008</v>
      </c>
      <c r="B1066" s="6">
        <v>74.059997999999993</v>
      </c>
      <c r="C1066" s="6">
        <v>111.44000200000001</v>
      </c>
      <c r="D1066" s="6">
        <v>130.38000500000001</v>
      </c>
      <c r="F1066" s="13">
        <v>1063</v>
      </c>
      <c r="G1066" s="5">
        <v>45008</v>
      </c>
      <c r="H1066" s="15">
        <f t="shared" si="203"/>
        <v>-7.6669824646483772E-3</v>
      </c>
      <c r="I1066" s="15">
        <f t="shared" si="203"/>
        <v>-4.0298894638532501E-3</v>
      </c>
      <c r="J1066" s="15">
        <f t="shared" si="203"/>
        <v>-1.0604707067250909E-2</v>
      </c>
      <c r="K1066" s="22"/>
      <c r="L1066" s="13">
        <v>1063</v>
      </c>
      <c r="M1066" s="5">
        <v>45008</v>
      </c>
      <c r="N1066" s="26">
        <f t="shared" si="200"/>
        <v>1.3098690606673318</v>
      </c>
      <c r="O1066" s="26">
        <f t="shared" si="201"/>
        <v>1.05690439952761</v>
      </c>
      <c r="P1066" s="26">
        <f t="shared" si="202"/>
        <v>1.7255162579543746</v>
      </c>
      <c r="Q1066" s="22"/>
      <c r="AD1066" s="59">
        <v>1062</v>
      </c>
      <c r="AE1066" s="61">
        <f t="shared" ca="1" si="204"/>
        <v>-0.20439016423273773</v>
      </c>
      <c r="AF1066" s="61">
        <f t="shared" ca="1" si="204"/>
        <v>-1.6980754746755178</v>
      </c>
      <c r="AG1066" s="61">
        <f t="shared" ca="1" si="204"/>
        <v>-0.14167768731801386</v>
      </c>
      <c r="AH1066" s="19"/>
      <c r="AI1066" s="61">
        <f ca="1"/>
        <v>-4.4320545357827302E-3</v>
      </c>
      <c r="AJ1066" s="61">
        <f ca="1"/>
        <v>-4.0108582342126484E-2</v>
      </c>
      <c r="AK1066" s="61">
        <f ca="1"/>
        <v>-1.8608382038482384E-2</v>
      </c>
      <c r="AL1066" s="19"/>
      <c r="AM1066" s="61">
        <f t="shared" ca="1" si="208"/>
        <v>-4.0808382132724863E-3</v>
      </c>
      <c r="AN1066" s="61">
        <f t="shared" ca="1" si="209"/>
        <v>-3.9859529745209954E-2</v>
      </c>
      <c r="AO1066" s="61">
        <f t="shared" ca="1" si="210"/>
        <v>-1.8176713435227566E-2</v>
      </c>
      <c r="AP1066" s="19"/>
      <c r="AQ1066" s="62">
        <f t="shared" ca="1" si="205"/>
        <v>1.3298345371463229</v>
      </c>
      <c r="AR1066" s="62">
        <f t="shared" ca="1" si="206"/>
        <v>1.3952723754862071</v>
      </c>
      <c r="AS1066" s="62">
        <f t="shared" ca="1" si="207"/>
        <v>1.0096709767746841</v>
      </c>
      <c r="AT1066" s="49"/>
    </row>
    <row r="1067" spans="1:46" x14ac:dyDescent="0.3">
      <c r="A1067" s="5">
        <v>45009</v>
      </c>
      <c r="B1067" s="6">
        <v>74.699996999999996</v>
      </c>
      <c r="C1067" s="6">
        <v>111.089996</v>
      </c>
      <c r="D1067" s="6">
        <v>129.259995</v>
      </c>
      <c r="F1067" s="13">
        <v>1064</v>
      </c>
      <c r="G1067" s="5">
        <v>45009</v>
      </c>
      <c r="H1067" s="15">
        <f t="shared" si="203"/>
        <v>8.6045034977930424E-3</v>
      </c>
      <c r="I1067" s="15">
        <f t="shared" si="203"/>
        <v>-3.1456998316383229E-3</v>
      </c>
      <c r="J1067" s="15">
        <f t="shared" si="203"/>
        <v>-8.6274606928108191E-3</v>
      </c>
      <c r="K1067" s="22"/>
      <c r="L1067" s="13">
        <v>1064</v>
      </c>
      <c r="M1067" s="5">
        <v>45009</v>
      </c>
      <c r="N1067" s="26">
        <f t="shared" si="200"/>
        <v>1.3211884626602677</v>
      </c>
      <c r="O1067" s="26">
        <f t="shared" si="201"/>
        <v>1.0535849193174331</v>
      </c>
      <c r="P1067" s="26">
        <f t="shared" si="202"/>
        <v>1.7106934677261376</v>
      </c>
      <c r="Q1067" s="22"/>
      <c r="AD1067" s="59">
        <v>1063</v>
      </c>
      <c r="AE1067" s="61">
        <f t="shared" ca="1" si="204"/>
        <v>-1.4028008123146534</v>
      </c>
      <c r="AF1067" s="61">
        <f t="shared" ca="1" si="204"/>
        <v>0.93785990455692525</v>
      </c>
      <c r="AG1067" s="61">
        <f t="shared" ca="1" si="204"/>
        <v>-1.111483705867929</v>
      </c>
      <c r="AH1067" s="19"/>
      <c r="AI1067" s="61">
        <f ca="1"/>
        <v>-3.0418732361011617E-2</v>
      </c>
      <c r="AJ1067" s="61">
        <f ca="1"/>
        <v>-1.5717729426327313E-3</v>
      </c>
      <c r="AK1067" s="61">
        <f ca="1"/>
        <v>-4.2598469159587399E-2</v>
      </c>
      <c r="AL1067" s="19"/>
      <c r="AM1067" s="61">
        <f t="shared" ca="1" si="208"/>
        <v>-3.0067516038501371E-2</v>
      </c>
      <c r="AN1067" s="61">
        <f t="shared" ca="1" si="209"/>
        <v>-1.3227203457162008E-3</v>
      </c>
      <c r="AO1067" s="61">
        <f t="shared" ca="1" si="210"/>
        <v>-4.2166800556332582E-2</v>
      </c>
      <c r="AP1067" s="19"/>
      <c r="AQ1067" s="62">
        <f t="shared" ca="1" si="205"/>
        <v>1.290444858266204</v>
      </c>
      <c r="AR1067" s="62">
        <f t="shared" ca="1" si="206"/>
        <v>1.393428040366032</v>
      </c>
      <c r="AS1067" s="62">
        <f t="shared" ca="1" si="207"/>
        <v>0.96798151462864224</v>
      </c>
      <c r="AT1067" s="49"/>
    </row>
    <row r="1068" spans="1:46" x14ac:dyDescent="0.3">
      <c r="A1068" s="5">
        <v>45012</v>
      </c>
      <c r="B1068" s="6">
        <v>76.199996999999996</v>
      </c>
      <c r="C1068" s="6">
        <v>112.779999</v>
      </c>
      <c r="D1068" s="6">
        <v>131.88000500000001</v>
      </c>
      <c r="F1068" s="13">
        <v>1065</v>
      </c>
      <c r="G1068" s="5">
        <v>45012</v>
      </c>
      <c r="H1068" s="15">
        <f t="shared" si="203"/>
        <v>1.9881371344392912E-2</v>
      </c>
      <c r="I1068" s="15">
        <f t="shared" si="203"/>
        <v>1.509836192542662E-2</v>
      </c>
      <c r="J1068" s="15">
        <f t="shared" si="203"/>
        <v>2.0066614963762198E-2</v>
      </c>
      <c r="K1068" s="22"/>
      <c r="L1068" s="13">
        <v>1065</v>
      </c>
      <c r="M1068" s="5">
        <v>45012</v>
      </c>
      <c r="N1068" s="26">
        <f t="shared" si="200"/>
        <v>1.3477183525341643</v>
      </c>
      <c r="O1068" s="26">
        <f t="shared" si="201"/>
        <v>1.0696130203032432</v>
      </c>
      <c r="P1068" s="26">
        <f t="shared" si="202"/>
        <v>1.7453680319049243</v>
      </c>
      <c r="Q1068" s="22"/>
      <c r="AD1068" s="59">
        <v>1064</v>
      </c>
      <c r="AE1068" s="61">
        <f t="shared" ca="1" si="204"/>
        <v>-0.59699812970515898</v>
      </c>
      <c r="AF1068" s="61">
        <f t="shared" ca="1" si="204"/>
        <v>-0.12438118429910575</v>
      </c>
      <c r="AG1068" s="61">
        <f t="shared" ca="1" si="204"/>
        <v>-0.12059895273678858</v>
      </c>
      <c r="AH1068" s="19"/>
      <c r="AI1068" s="61">
        <f ca="1"/>
        <v>-1.2945477481982232E-2</v>
      </c>
      <c r="AJ1068" s="61">
        <f ca="1"/>
        <v>-1.2047968075072494E-2</v>
      </c>
      <c r="AK1068" s="61">
        <f ca="1"/>
        <v>-1.2786662716300688E-2</v>
      </c>
      <c r="AL1068" s="19"/>
      <c r="AM1068" s="61">
        <f t="shared" ca="1" si="208"/>
        <v>-1.2594261159471988E-2</v>
      </c>
      <c r="AN1068" s="61">
        <f t="shared" ca="1" si="209"/>
        <v>-1.1798915478155963E-2</v>
      </c>
      <c r="AO1068" s="61">
        <f t="shared" ca="1" si="210"/>
        <v>-1.2354994113045869E-2</v>
      </c>
      <c r="AP1068" s="19"/>
      <c r="AQ1068" s="62">
        <f t="shared" ca="1" si="205"/>
        <v>1.2742945726399131</v>
      </c>
      <c r="AR1068" s="62">
        <f t="shared" ca="1" si="206"/>
        <v>1.3770837129749576</v>
      </c>
      <c r="AS1068" s="62">
        <f t="shared" ca="1" si="207"/>
        <v>0.95609568458716077</v>
      </c>
      <c r="AT1068" s="49"/>
    </row>
    <row r="1069" spans="1:46" x14ac:dyDescent="0.3">
      <c r="A1069" s="5">
        <v>45013</v>
      </c>
      <c r="B1069" s="6">
        <v>76.300003000000004</v>
      </c>
      <c r="C1069" s="6">
        <v>115.599998</v>
      </c>
      <c r="D1069" s="6">
        <v>136.020004</v>
      </c>
      <c r="F1069" s="13">
        <v>1066</v>
      </c>
      <c r="G1069" s="5">
        <v>45013</v>
      </c>
      <c r="H1069" s="15">
        <f t="shared" si="203"/>
        <v>1.3115542863692373E-3</v>
      </c>
      <c r="I1069" s="15">
        <f t="shared" si="203"/>
        <v>2.4696929425023204E-2</v>
      </c>
      <c r="J1069" s="15">
        <f t="shared" si="203"/>
        <v>3.0909507038148123E-2</v>
      </c>
      <c r="K1069" s="22"/>
      <c r="L1069" s="13">
        <v>1066</v>
      </c>
      <c r="M1069" s="5">
        <v>45013</v>
      </c>
      <c r="N1069" s="26">
        <f t="shared" si="200"/>
        <v>1.3494871179786503</v>
      </c>
      <c r="O1069" s="26">
        <f t="shared" si="201"/>
        <v>1.0963580785971532</v>
      </c>
      <c r="P1069" s="26">
        <f t="shared" si="202"/>
        <v>1.8001589147739259</v>
      </c>
      <c r="Q1069" s="22"/>
      <c r="AD1069" s="59">
        <v>1065</v>
      </c>
      <c r="AE1069" s="61">
        <f t="shared" ca="1" si="204"/>
        <v>5.0877026256077762E-2</v>
      </c>
      <c r="AF1069" s="61">
        <f t="shared" ca="1" si="204"/>
        <v>-0.28383847676053514</v>
      </c>
      <c r="AG1069" s="61">
        <f t="shared" ca="1" si="204"/>
        <v>0.2542666754043072</v>
      </c>
      <c r="AH1069" s="19"/>
      <c r="AI1069" s="61">
        <f ca="1"/>
        <v>1.1032319281696101E-3</v>
      </c>
      <c r="AJ1069" s="61">
        <f ca="1"/>
        <v>-5.3731737226780981E-3</v>
      </c>
      <c r="AK1069" s="61">
        <f ca="1"/>
        <v>5.267115342651665E-3</v>
      </c>
      <c r="AL1069" s="19"/>
      <c r="AM1069" s="61">
        <f t="shared" ca="1" si="208"/>
        <v>1.4544482506798542E-3</v>
      </c>
      <c r="AN1069" s="61">
        <f t="shared" ca="1" si="209"/>
        <v>-5.1241211257615675E-3</v>
      </c>
      <c r="AO1069" s="61">
        <f t="shared" ca="1" si="210"/>
        <v>5.6987839459064831E-3</v>
      </c>
      <c r="AP1069" s="19"/>
      <c r="AQ1069" s="62">
        <f t="shared" ca="1" si="205"/>
        <v>1.2761493166395592</v>
      </c>
      <c r="AR1069" s="62">
        <f t="shared" ca="1" si="206"/>
        <v>1.3700454171696197</v>
      </c>
      <c r="AS1069" s="62">
        <f t="shared" ca="1" si="207"/>
        <v>0.96155982200670653</v>
      </c>
      <c r="AT1069" s="49"/>
    </row>
    <row r="1070" spans="1:46" x14ac:dyDescent="0.3">
      <c r="A1070" s="5">
        <v>45014</v>
      </c>
      <c r="B1070" s="6">
        <v>77.150002000000001</v>
      </c>
      <c r="C1070" s="6">
        <v>116.620003</v>
      </c>
      <c r="D1070" s="6">
        <v>136.949997</v>
      </c>
      <c r="F1070" s="13">
        <v>1067</v>
      </c>
      <c r="G1070" s="5">
        <v>45014</v>
      </c>
      <c r="H1070" s="15">
        <f t="shared" si="203"/>
        <v>1.1078627123804911E-2</v>
      </c>
      <c r="I1070" s="15">
        <f t="shared" si="203"/>
        <v>8.7848725813461717E-3</v>
      </c>
      <c r="J1070" s="15">
        <f t="shared" si="203"/>
        <v>6.813910648349659E-3</v>
      </c>
      <c r="K1070" s="22"/>
      <c r="L1070" s="13">
        <v>1067</v>
      </c>
      <c r="M1070" s="5">
        <v>45014</v>
      </c>
      <c r="N1070" s="26">
        <f t="shared" si="200"/>
        <v>1.3645207045539318</v>
      </c>
      <c r="O1070" s="26">
        <f t="shared" si="201"/>
        <v>1.1060318739371797</v>
      </c>
      <c r="P1070" s="26">
        <f t="shared" si="202"/>
        <v>1.8124669219816549</v>
      </c>
      <c r="Q1070" s="22"/>
      <c r="AD1070" s="59">
        <v>1066</v>
      </c>
      <c r="AE1070" s="61">
        <f t="shared" ca="1" si="204"/>
        <v>0.89565840347758663</v>
      </c>
      <c r="AF1070" s="61">
        <f t="shared" ca="1" si="204"/>
        <v>-0.36664644770405608</v>
      </c>
      <c r="AG1070" s="61">
        <f t="shared" ca="1" si="204"/>
        <v>0.478326371012887</v>
      </c>
      <c r="AH1070" s="19"/>
      <c r="AI1070" s="61">
        <f ca="1"/>
        <v>1.9421711923106981E-2</v>
      </c>
      <c r="AJ1070" s="61">
        <f ca="1"/>
        <v>6.0497143455036789E-3</v>
      </c>
      <c r="AK1070" s="61">
        <f ca="1"/>
        <v>2.2906448953393416E-2</v>
      </c>
      <c r="AL1070" s="19"/>
      <c r="AM1070" s="61">
        <f t="shared" ca="1" si="208"/>
        <v>1.9772928245617227E-2</v>
      </c>
      <c r="AN1070" s="61">
        <f t="shared" ca="1" si="209"/>
        <v>6.2987669424202095E-3</v>
      </c>
      <c r="AO1070" s="61">
        <f t="shared" ca="1" si="210"/>
        <v>2.3338117556648233E-2</v>
      </c>
      <c r="AP1070" s="19"/>
      <c r="AQ1070" s="62">
        <f t="shared" ca="1" si="205"/>
        <v>1.3016336451148625</v>
      </c>
      <c r="AR1070" s="62">
        <f t="shared" ca="1" si="206"/>
        <v>1.3787022490147827</v>
      </c>
      <c r="AS1070" s="62">
        <f t="shared" ca="1" si="207"/>
        <v>0.98426473256296498</v>
      </c>
      <c r="AT1070" s="49"/>
    </row>
    <row r="1071" spans="1:46" x14ac:dyDescent="0.3">
      <c r="A1071" s="5">
        <v>45015</v>
      </c>
      <c r="B1071" s="6">
        <v>77.949996999999996</v>
      </c>
      <c r="C1071" s="6">
        <v>114.279999</v>
      </c>
      <c r="D1071" s="6">
        <v>137.020004</v>
      </c>
      <c r="F1071" s="13">
        <v>1068</v>
      </c>
      <c r="G1071" s="5">
        <v>45015</v>
      </c>
      <c r="H1071" s="15">
        <f t="shared" si="203"/>
        <v>1.0315952284880416E-2</v>
      </c>
      <c r="I1071" s="15">
        <f t="shared" si="203"/>
        <v>-2.0269242906450366E-2</v>
      </c>
      <c r="J1071" s="15">
        <f t="shared" si="203"/>
        <v>5.1105596428926135E-4</v>
      </c>
      <c r="K1071" s="22"/>
      <c r="L1071" s="13">
        <v>1068</v>
      </c>
      <c r="M1071" s="5">
        <v>45015</v>
      </c>
      <c r="N1071" s="26">
        <f t="shared" si="200"/>
        <v>1.3786698907203769</v>
      </c>
      <c r="O1071" s="26">
        <f t="shared" si="201"/>
        <v>1.0838391201851456</v>
      </c>
      <c r="P1071" s="26">
        <f t="shared" si="202"/>
        <v>1.8133934307409592</v>
      </c>
      <c r="Q1071" s="22"/>
      <c r="AD1071" s="59">
        <v>1067</v>
      </c>
      <c r="AE1071" s="61">
        <f t="shared" ca="1" si="204"/>
        <v>0.58170400030182134</v>
      </c>
      <c r="AF1071" s="61">
        <f t="shared" ca="1" si="204"/>
        <v>-0.62402565766440132</v>
      </c>
      <c r="AG1071" s="61">
        <f t="shared" ca="1" si="204"/>
        <v>-1.8346312256647987</v>
      </c>
      <c r="AH1071" s="19"/>
      <c r="AI1071" s="61">
        <f ca="1"/>
        <v>1.2613835223914838E-2</v>
      </c>
      <c r="AJ1071" s="61">
        <f ca="1"/>
        <v>-4.4588051045465673E-3</v>
      </c>
      <c r="AK1071" s="61">
        <f ca="1"/>
        <v>-4.2802851559890456E-2</v>
      </c>
      <c r="AL1071" s="19"/>
      <c r="AM1071" s="61">
        <f t="shared" ca="1" si="208"/>
        <v>1.2965051546425082E-2</v>
      </c>
      <c r="AN1071" s="61">
        <f t="shared" ca="1" si="209"/>
        <v>-4.2097525076300367E-3</v>
      </c>
      <c r="AO1071" s="61">
        <f t="shared" ca="1" si="210"/>
        <v>-4.2371182956635639E-2</v>
      </c>
      <c r="AP1071" s="19"/>
      <c r="AQ1071" s="62">
        <f t="shared" ca="1" si="205"/>
        <v>1.3186192642028307</v>
      </c>
      <c r="AR1071" s="62">
        <f t="shared" ca="1" si="206"/>
        <v>1.3729104533314405</v>
      </c>
      <c r="AS1071" s="62">
        <f t="shared" ca="1" si="207"/>
        <v>0.94343145746060253</v>
      </c>
      <c r="AT1071" s="49"/>
    </row>
    <row r="1072" spans="1:46" x14ac:dyDescent="0.3">
      <c r="A1072" s="5">
        <v>45016</v>
      </c>
      <c r="B1072" s="6">
        <v>80.569999999999993</v>
      </c>
      <c r="C1072" s="6">
        <v>116.66999800000001</v>
      </c>
      <c r="D1072" s="6">
        <v>139.60000600000001</v>
      </c>
      <c r="F1072" s="13">
        <v>1069</v>
      </c>
      <c r="G1072" s="5">
        <v>45016</v>
      </c>
      <c r="H1072" s="15">
        <f t="shared" si="203"/>
        <v>3.3058814771528881E-2</v>
      </c>
      <c r="I1072" s="15">
        <f t="shared" si="203"/>
        <v>2.0697851081263395E-2</v>
      </c>
      <c r="J1072" s="15">
        <f t="shared" si="203"/>
        <v>1.8654303540642882E-2</v>
      </c>
      <c r="K1072" s="22"/>
      <c r="L1072" s="13">
        <v>1069</v>
      </c>
      <c r="M1072" s="5">
        <v>45016</v>
      </c>
      <c r="N1072" s="26">
        <f t="shared" si="200"/>
        <v>1.4250088180932292</v>
      </c>
      <c r="O1072" s="26">
        <f t="shared" si="201"/>
        <v>1.1065060298462437</v>
      </c>
      <c r="P1072" s="26">
        <f t="shared" si="202"/>
        <v>1.8475385084049369</v>
      </c>
      <c r="Q1072" s="22"/>
      <c r="AD1072" s="59">
        <v>1068</v>
      </c>
      <c r="AE1072" s="61">
        <f t="shared" ca="1" si="204"/>
        <v>-0.19492181466422789</v>
      </c>
      <c r="AF1072" s="61">
        <f t="shared" ca="1" si="204"/>
        <v>-0.29453017029316098</v>
      </c>
      <c r="AG1072" s="61">
        <f t="shared" ca="1" si="204"/>
        <v>-0.89570099486562849</v>
      </c>
      <c r="AH1072" s="19"/>
      <c r="AI1072" s="61">
        <f ca="1"/>
        <v>-4.2267401469567294E-3</v>
      </c>
      <c r="AJ1072" s="61">
        <f ca="1"/>
        <v>-9.4528950795275783E-3</v>
      </c>
      <c r="AK1072" s="61">
        <f ca="1"/>
        <v>-2.7902112676018775E-2</v>
      </c>
      <c r="AL1072" s="19"/>
      <c r="AM1072" s="61">
        <f t="shared" ca="1" si="208"/>
        <v>-3.8755238244464851E-3</v>
      </c>
      <c r="AN1072" s="61">
        <f t="shared" ca="1" si="209"/>
        <v>-9.2038424826110469E-3</v>
      </c>
      <c r="AO1072" s="61">
        <f t="shared" ca="1" si="210"/>
        <v>-2.7470444072763958E-2</v>
      </c>
      <c r="AP1072" s="19"/>
      <c r="AQ1072" s="62">
        <f t="shared" ca="1" si="205"/>
        <v>1.3135188136717413</v>
      </c>
      <c r="AR1072" s="62">
        <f t="shared" ca="1" si="206"/>
        <v>1.3603323738985496</v>
      </c>
      <c r="AS1072" s="62">
        <f t="shared" ca="1" si="207"/>
        <v>0.91786770771820869</v>
      </c>
      <c r="AT1072" s="49"/>
    </row>
    <row r="1073" spans="1:46" x14ac:dyDescent="0.3">
      <c r="A1073" s="5">
        <v>45019</v>
      </c>
      <c r="B1073" s="6">
        <v>79.620002999999997</v>
      </c>
      <c r="C1073" s="6">
        <v>117.519997</v>
      </c>
      <c r="D1073" s="6">
        <v>138.529999</v>
      </c>
      <c r="F1073" s="13">
        <v>1070</v>
      </c>
      <c r="G1073" s="5">
        <v>45019</v>
      </c>
      <c r="H1073" s="15">
        <f t="shared" si="203"/>
        <v>-1.1861016537959009E-2</v>
      </c>
      <c r="I1073" s="15">
        <f t="shared" si="203"/>
        <v>7.2590866446536253E-3</v>
      </c>
      <c r="J1073" s="15">
        <f t="shared" si="203"/>
        <v>-7.6943318570792804E-3</v>
      </c>
      <c r="K1073" s="22"/>
      <c r="L1073" s="13">
        <v>1070</v>
      </c>
      <c r="M1073" s="5">
        <v>45019</v>
      </c>
      <c r="N1073" s="26">
        <f t="shared" si="200"/>
        <v>1.4082066075662079</v>
      </c>
      <c r="O1073" s="26">
        <f t="shared" si="201"/>
        <v>1.1145674769619218</v>
      </c>
      <c r="P1073" s="26">
        <f t="shared" si="202"/>
        <v>1.8333774836785997</v>
      </c>
      <c r="Q1073" s="22"/>
      <c r="AD1073" s="59">
        <v>1069</v>
      </c>
      <c r="AE1073" s="61">
        <f t="shared" ca="1" si="204"/>
        <v>0.141006452550126</v>
      </c>
      <c r="AF1073" s="61">
        <f t="shared" ca="1" si="204"/>
        <v>-8.3487501506403217E-2</v>
      </c>
      <c r="AG1073" s="61">
        <f t="shared" ca="1" si="204"/>
        <v>0.77630617714820294</v>
      </c>
      <c r="AH1073" s="19"/>
      <c r="AI1073" s="61">
        <f ca="1"/>
        <v>3.0576240786606237E-3</v>
      </c>
      <c r="AJ1073" s="61">
        <f ca="1"/>
        <v>3.9239484077802176E-4</v>
      </c>
      <c r="AK1073" s="61">
        <f ca="1"/>
        <v>2.1384419299004587E-2</v>
      </c>
      <c r="AL1073" s="19"/>
      <c r="AM1073" s="61">
        <f t="shared" ca="1" si="208"/>
        <v>3.408840401170868E-3</v>
      </c>
      <c r="AN1073" s="61">
        <f t="shared" ca="1" si="209"/>
        <v>6.4144743769455244E-4</v>
      </c>
      <c r="AO1073" s="61">
        <f t="shared" ca="1" si="210"/>
        <v>2.1816087902259404E-2</v>
      </c>
      <c r="AP1073" s="19"/>
      <c r="AQ1073" s="62">
        <f t="shared" ca="1" si="205"/>
        <v>1.3180040300215783</v>
      </c>
      <c r="AR1073" s="62">
        <f t="shared" ca="1" si="206"/>
        <v>1.3612052355317004</v>
      </c>
      <c r="AS1073" s="62">
        <f t="shared" ca="1" si="207"/>
        <v>0.93811201316664727</v>
      </c>
      <c r="AT1073" s="49"/>
    </row>
    <row r="1074" spans="1:46" x14ac:dyDescent="0.3">
      <c r="A1074" s="5">
        <v>45020</v>
      </c>
      <c r="B1074" s="6">
        <v>77.480002999999996</v>
      </c>
      <c r="C1074" s="6">
        <v>115.540001</v>
      </c>
      <c r="D1074" s="6">
        <v>127.43</v>
      </c>
      <c r="F1074" s="13">
        <v>1071</v>
      </c>
      <c r="G1074" s="5">
        <v>45020</v>
      </c>
      <c r="H1074" s="15">
        <f t="shared" si="203"/>
        <v>-2.7245477992681556E-2</v>
      </c>
      <c r="I1074" s="15">
        <f t="shared" si="203"/>
        <v>-1.6991707329921071E-2</v>
      </c>
      <c r="J1074" s="15">
        <f t="shared" si="203"/>
        <v>-8.3519707226946779E-2</v>
      </c>
      <c r="K1074" s="22"/>
      <c r="L1074" s="13">
        <v>1071</v>
      </c>
      <c r="M1074" s="5">
        <v>45020</v>
      </c>
      <c r="N1074" s="26">
        <f t="shared" si="200"/>
        <v>1.3703572980127821</v>
      </c>
      <c r="O1074" s="26">
        <f t="shared" si="201"/>
        <v>1.095789063054077</v>
      </c>
      <c r="P1074" s="26">
        <f t="shared" si="202"/>
        <v>1.6864743696790465</v>
      </c>
      <c r="Q1074" s="22"/>
      <c r="AD1074" s="59">
        <v>1070</v>
      </c>
      <c r="AE1074" s="61">
        <f t="shared" ca="1" si="204"/>
        <v>0.37580443286653165</v>
      </c>
      <c r="AF1074" s="61">
        <f t="shared" ca="1" si="204"/>
        <v>0.65459170876589556</v>
      </c>
      <c r="AG1074" s="61">
        <f t="shared" ca="1" si="204"/>
        <v>-0.84424480638149779</v>
      </c>
      <c r="AH1074" s="19"/>
      <c r="AI1074" s="61">
        <f ca="1"/>
        <v>8.1490503591786188E-3</v>
      </c>
      <c r="AJ1074" s="61">
        <f ca="1"/>
        <v>2.011043488484214E-2</v>
      </c>
      <c r="AK1074" s="61">
        <f ca="1"/>
        <v>-1.1466861966267925E-2</v>
      </c>
      <c r="AL1074" s="19"/>
      <c r="AM1074" s="61">
        <f t="shared" ca="1" si="208"/>
        <v>8.5002666816888627E-3</v>
      </c>
      <c r="AN1074" s="61">
        <f t="shared" ca="1" si="209"/>
        <v>2.035948748175867E-2</v>
      </c>
      <c r="AO1074" s="61">
        <f t="shared" ca="1" si="210"/>
        <v>-1.1035193363013106E-2</v>
      </c>
      <c r="AP1074" s="19"/>
      <c r="AQ1074" s="62">
        <f t="shared" ca="1" si="205"/>
        <v>1.3292551668506734</v>
      </c>
      <c r="AR1074" s="62">
        <f t="shared" ca="1" si="206"/>
        <v>1.3892027165736638</v>
      </c>
      <c r="AS1074" s="62">
        <f t="shared" ca="1" si="207"/>
        <v>0.92781667570145798</v>
      </c>
      <c r="AT1074" s="49"/>
    </row>
    <row r="1075" spans="1:46" x14ac:dyDescent="0.3">
      <c r="A1075" s="5">
        <v>45021</v>
      </c>
      <c r="B1075" s="6">
        <v>75.040001000000004</v>
      </c>
      <c r="C1075" s="6">
        <v>113.839996</v>
      </c>
      <c r="D1075" s="6">
        <v>135.08999600000001</v>
      </c>
      <c r="F1075" s="13">
        <v>1072</v>
      </c>
      <c r="G1075" s="5">
        <v>45021</v>
      </c>
      <c r="H1075" s="15">
        <f t="shared" si="203"/>
        <v>-3.1998559234268698E-2</v>
      </c>
      <c r="I1075" s="15">
        <f t="shared" si="203"/>
        <v>-1.4822880363568823E-2</v>
      </c>
      <c r="J1075" s="15">
        <f t="shared" si="203"/>
        <v>5.8373999147512186E-2</v>
      </c>
      <c r="K1075" s="22"/>
      <c r="L1075" s="13">
        <v>1072</v>
      </c>
      <c r="M1075" s="5">
        <v>45021</v>
      </c>
      <c r="N1075" s="26">
        <f t="shared" si="200"/>
        <v>1.3272019751113908</v>
      </c>
      <c r="O1075" s="26">
        <f t="shared" si="201"/>
        <v>1.0796661024342544</v>
      </c>
      <c r="P1075" s="26">
        <f t="shared" si="202"/>
        <v>1.7878507090484574</v>
      </c>
      <c r="Q1075" s="22"/>
      <c r="AD1075" s="59">
        <v>1071</v>
      </c>
      <c r="AE1075" s="61">
        <f t="shared" ca="1" si="204"/>
        <v>-1.1132193601170055</v>
      </c>
      <c r="AF1075" s="61">
        <f t="shared" ca="1" si="204"/>
        <v>1.0813947486157133E-2</v>
      </c>
      <c r="AG1075" s="61">
        <f t="shared" ca="1" si="204"/>
        <v>-0.72397375991505974</v>
      </c>
      <c r="AH1075" s="19"/>
      <c r="AI1075" s="61">
        <f ca="1"/>
        <v>-2.413936567275117E-2</v>
      </c>
      <c r="AJ1075" s="61">
        <f ca="1"/>
        <v>-1.7189433448314168E-2</v>
      </c>
      <c r="AK1075" s="61">
        <f ca="1"/>
        <v>-3.492044235714141E-2</v>
      </c>
      <c r="AL1075" s="19"/>
      <c r="AM1075" s="61">
        <f t="shared" ca="1" si="208"/>
        <v>-2.3788149350240925E-2</v>
      </c>
      <c r="AN1075" s="61">
        <f t="shared" ca="1" si="209"/>
        <v>-1.6940380851397638E-2</v>
      </c>
      <c r="AO1075" s="61">
        <f t="shared" ca="1" si="210"/>
        <v>-3.4488773753886592E-2</v>
      </c>
      <c r="AP1075" s="19"/>
      <c r="AQ1075" s="62">
        <f t="shared" ca="1" si="205"/>
        <v>1.2980077786837936</v>
      </c>
      <c r="AR1075" s="62">
        <f t="shared" ca="1" si="206"/>
        <v>1.3658673068955984</v>
      </c>
      <c r="AS1075" s="62">
        <f t="shared" ca="1" si="207"/>
        <v>0.89636293449628768</v>
      </c>
      <c r="AT1075" s="49"/>
    </row>
    <row r="1076" spans="1:46" x14ac:dyDescent="0.3">
      <c r="A1076" s="5">
        <v>45022</v>
      </c>
      <c r="B1076" s="6">
        <v>74.010002</v>
      </c>
      <c r="C1076" s="6">
        <v>112.05999799999999</v>
      </c>
      <c r="D1076" s="6">
        <v>132.58999600000001</v>
      </c>
      <c r="F1076" s="13">
        <v>1073</v>
      </c>
      <c r="G1076" s="5">
        <v>45022</v>
      </c>
      <c r="H1076" s="15">
        <f t="shared" si="203"/>
        <v>-1.3821071791445377E-2</v>
      </c>
      <c r="I1076" s="15">
        <f t="shared" si="203"/>
        <v>-1.5759494355005309E-2</v>
      </c>
      <c r="J1076" s="15">
        <f t="shared" si="203"/>
        <v>-1.8679563413260551E-2</v>
      </c>
      <c r="K1076" s="22"/>
      <c r="L1076" s="13">
        <v>1073</v>
      </c>
      <c r="M1076" s="5">
        <v>45022</v>
      </c>
      <c r="N1076" s="26">
        <f t="shared" si="200"/>
        <v>1.3089848017512415</v>
      </c>
      <c r="O1076" s="26">
        <f t="shared" si="201"/>
        <v>1.0627844828758632</v>
      </c>
      <c r="P1076" s="26">
        <f t="shared" si="202"/>
        <v>1.7547644191308742</v>
      </c>
      <c r="Q1076" s="22"/>
      <c r="AD1076" s="59">
        <v>1072</v>
      </c>
      <c r="AE1076" s="61">
        <f t="shared" ca="1" si="204"/>
        <v>2.3855094908689076</v>
      </c>
      <c r="AF1076" s="61">
        <f t="shared" ca="1" si="204"/>
        <v>-0.72011291548385847</v>
      </c>
      <c r="AG1076" s="61">
        <f t="shared" ca="1" si="204"/>
        <v>0.13631239655488792</v>
      </c>
      <c r="AH1076" s="19"/>
      <c r="AI1076" s="61">
        <f ca="1"/>
        <v>5.1728067242605771E-2</v>
      </c>
      <c r="AJ1076" s="61">
        <f ca="1"/>
        <v>2.1686413643748292E-2</v>
      </c>
      <c r="AK1076" s="61">
        <f ca="1"/>
        <v>3.3668155936641735E-2</v>
      </c>
      <c r="AL1076" s="19"/>
      <c r="AM1076" s="61">
        <f t="shared" ca="1" si="208"/>
        <v>5.2079283565116014E-2</v>
      </c>
      <c r="AN1076" s="61">
        <f t="shared" ca="1" si="209"/>
        <v>2.1935466240664822E-2</v>
      </c>
      <c r="AO1076" s="61">
        <f t="shared" ca="1" si="210"/>
        <v>3.4099824539896552E-2</v>
      </c>
      <c r="AP1076" s="19"/>
      <c r="AQ1076" s="62">
        <f t="shared" ca="1" si="205"/>
        <v>1.3673983155750169</v>
      </c>
      <c r="AR1076" s="62">
        <f t="shared" ca="1" si="206"/>
        <v>1.3961592625722685</v>
      </c>
      <c r="AS1076" s="62">
        <f t="shared" ca="1" si="207"/>
        <v>0.92745587230636417</v>
      </c>
      <c r="AT1076" s="49"/>
    </row>
    <row r="1077" spans="1:46" x14ac:dyDescent="0.3">
      <c r="A1077" s="5">
        <v>45026</v>
      </c>
      <c r="B1077" s="6">
        <v>74.959998999999996</v>
      </c>
      <c r="C1077" s="6">
        <v>116.910004</v>
      </c>
      <c r="D1077" s="6">
        <v>135.10000600000001</v>
      </c>
      <c r="F1077" s="13">
        <v>1074</v>
      </c>
      <c r="G1077" s="5">
        <v>45026</v>
      </c>
      <c r="H1077" s="15">
        <f t="shared" si="203"/>
        <v>1.2754378356968445E-2</v>
      </c>
      <c r="I1077" s="15">
        <f t="shared" si="203"/>
        <v>4.2370017943523214E-2</v>
      </c>
      <c r="J1077" s="15">
        <f t="shared" si="203"/>
        <v>1.8753659419259886E-2</v>
      </c>
      <c r="K1077" s="22"/>
      <c r="L1077" s="13">
        <v>1074</v>
      </c>
      <c r="M1077" s="5">
        <v>45026</v>
      </c>
      <c r="N1077" s="26">
        <f t="shared" si="200"/>
        <v>1.3257870122782629</v>
      </c>
      <c r="O1077" s="26">
        <f t="shared" si="201"/>
        <v>1.1087822627317476</v>
      </c>
      <c r="P1077" s="26">
        <f t="shared" si="202"/>
        <v>1.7879831865532874</v>
      </c>
      <c r="Q1077" s="22"/>
      <c r="AD1077" s="59">
        <v>1073</v>
      </c>
      <c r="AE1077" s="61">
        <f t="shared" ca="1" si="204"/>
        <v>-0.31101232514111871</v>
      </c>
      <c r="AF1077" s="61">
        <f t="shared" ca="1" si="204"/>
        <v>-0.82721441803550255</v>
      </c>
      <c r="AG1077" s="61">
        <f t="shared" ca="1" si="204"/>
        <v>-7.3243046445573987E-2</v>
      </c>
      <c r="AH1077" s="19"/>
      <c r="AI1077" s="61">
        <f ca="1"/>
        <v>-6.7440798411239917E-3</v>
      </c>
      <c r="AJ1077" s="61">
        <f ca="1"/>
        <v>-2.2848417169265427E-2</v>
      </c>
      <c r="AK1077" s="61">
        <f ca="1"/>
        <v>-1.2297485510157876E-2</v>
      </c>
      <c r="AL1077" s="19"/>
      <c r="AM1077" s="61">
        <f t="shared" ca="1" si="208"/>
        <v>-6.3928635186137478E-3</v>
      </c>
      <c r="AN1077" s="61">
        <f t="shared" ca="1" si="209"/>
        <v>-2.2599364572348898E-2</v>
      </c>
      <c r="AO1077" s="61">
        <f t="shared" ca="1" si="210"/>
        <v>-1.1865816906903057E-2</v>
      </c>
      <c r="AP1077" s="19"/>
      <c r="AQ1077" s="62">
        <f t="shared" ca="1" si="205"/>
        <v>1.3586846072185723</v>
      </c>
      <c r="AR1077" s="62">
        <f t="shared" ca="1" si="206"/>
        <v>1.3649608108131628</v>
      </c>
      <c r="AS1077" s="62">
        <f t="shared" ca="1" si="207"/>
        <v>0.91651588503932002</v>
      </c>
      <c r="AT1077" s="49"/>
    </row>
    <row r="1078" spans="1:46" x14ac:dyDescent="0.3">
      <c r="A1078" s="5">
        <v>45027</v>
      </c>
      <c r="B1078" s="6">
        <v>75.510002</v>
      </c>
      <c r="C1078" s="6">
        <v>120.41999800000001</v>
      </c>
      <c r="D1078" s="6">
        <v>136.71000699999999</v>
      </c>
      <c r="F1078" s="13">
        <v>1075</v>
      </c>
      <c r="G1078" s="5">
        <v>45027</v>
      </c>
      <c r="H1078" s="15">
        <f t="shared" si="203"/>
        <v>7.3104997121734979E-3</v>
      </c>
      <c r="I1078" s="15">
        <f t="shared" si="203"/>
        <v>2.9581173194684993E-2</v>
      </c>
      <c r="J1078" s="15">
        <f t="shared" si="203"/>
        <v>1.1846655769477287E-2</v>
      </c>
      <c r="K1078" s="22"/>
      <c r="L1078" s="13">
        <v>1075</v>
      </c>
      <c r="M1078" s="5">
        <v>45027</v>
      </c>
      <c r="N1078" s="26">
        <f t="shared" si="200"/>
        <v>1.3355146916251381</v>
      </c>
      <c r="O1078" s="26">
        <f t="shared" si="201"/>
        <v>1.142071279551</v>
      </c>
      <c r="P1078" s="26">
        <f t="shared" si="202"/>
        <v>1.8092907704947265</v>
      </c>
      <c r="Q1078" s="22"/>
      <c r="AD1078" s="59">
        <v>1074</v>
      </c>
      <c r="AE1078" s="61">
        <f t="shared" ca="1" si="204"/>
        <v>-1.0533658285927767</v>
      </c>
      <c r="AF1078" s="61">
        <f t="shared" ca="1" si="204"/>
        <v>-0.95539999039675516</v>
      </c>
      <c r="AG1078" s="61">
        <f t="shared" ca="1" si="204"/>
        <v>1.2350609991387662</v>
      </c>
      <c r="AH1078" s="19"/>
      <c r="AI1078" s="61">
        <f ca="1"/>
        <v>-2.2841484647652E-2</v>
      </c>
      <c r="AJ1078" s="61">
        <f ca="1"/>
        <v>-3.725422891832747E-2</v>
      </c>
      <c r="AK1078" s="61">
        <f ca="1"/>
        <v>9.3497851777066959E-3</v>
      </c>
      <c r="AL1078" s="19"/>
      <c r="AM1078" s="61">
        <f t="shared" ca="1" si="208"/>
        <v>-2.2490268325141755E-2</v>
      </c>
      <c r="AN1078" s="61">
        <f t="shared" ca="1" si="209"/>
        <v>-3.700517632141094E-2</v>
      </c>
      <c r="AO1078" s="61">
        <f t="shared" ca="1" si="210"/>
        <v>9.7814537809615149E-3</v>
      </c>
      <c r="AP1078" s="19"/>
      <c r="AQ1078" s="62">
        <f t="shared" ca="1" si="205"/>
        <v>1.3284684838239389</v>
      </c>
      <c r="AR1078" s="62">
        <f t="shared" ca="1" si="206"/>
        <v>1.3153733502544807</v>
      </c>
      <c r="AS1078" s="62">
        <f t="shared" ca="1" si="207"/>
        <v>0.9255247307844453</v>
      </c>
      <c r="AT1078" s="49"/>
    </row>
    <row r="1079" spans="1:46" x14ac:dyDescent="0.3">
      <c r="A1079" s="5">
        <v>45028</v>
      </c>
      <c r="B1079" s="6">
        <v>73.940002000000007</v>
      </c>
      <c r="C1079" s="6">
        <v>118.25</v>
      </c>
      <c r="D1079" s="6">
        <v>133.720001</v>
      </c>
      <c r="F1079" s="13">
        <v>1076</v>
      </c>
      <c r="G1079" s="5">
        <v>45028</v>
      </c>
      <c r="H1079" s="15">
        <f t="shared" si="203"/>
        <v>-2.1011143744447708E-2</v>
      </c>
      <c r="I1079" s="15">
        <f t="shared" si="203"/>
        <v>-1.8184588055722584E-2</v>
      </c>
      <c r="J1079" s="15">
        <f t="shared" si="203"/>
        <v>-2.2113876116965813E-2</v>
      </c>
      <c r="K1079" s="22"/>
      <c r="L1079" s="13">
        <v>1076</v>
      </c>
      <c r="M1079" s="5">
        <v>45028</v>
      </c>
      <c r="N1079" s="26">
        <f t="shared" si="200"/>
        <v>1.3077467402237932</v>
      </c>
      <c r="O1079" s="26">
        <f t="shared" si="201"/>
        <v>1.121490874023314</v>
      </c>
      <c r="P1079" s="26">
        <f t="shared" si="202"/>
        <v>1.7697194883462015</v>
      </c>
      <c r="Q1079" s="22"/>
      <c r="AD1079" s="59">
        <v>1075</v>
      </c>
      <c r="AE1079" s="61">
        <f t="shared" ca="1" si="204"/>
        <v>-0.13001934143322466</v>
      </c>
      <c r="AF1079" s="61">
        <f t="shared" ca="1" si="204"/>
        <v>0.80388883145795564</v>
      </c>
      <c r="AG1079" s="61">
        <f t="shared" ca="1" si="204"/>
        <v>-1.5942519521513043</v>
      </c>
      <c r="AH1079" s="19"/>
      <c r="AI1079" s="61">
        <f ca="1"/>
        <v>-2.819376431844497E-3</v>
      </c>
      <c r="AJ1079" s="61">
        <f ca="1"/>
        <v>1.5438235130871482E-2</v>
      </c>
      <c r="AK1079" s="61">
        <f ca="1"/>
        <v>-3.7104414731695054E-2</v>
      </c>
      <c r="AL1079" s="19"/>
      <c r="AM1079" s="61">
        <f t="shared" ca="1" si="208"/>
        <v>-2.4681601093342526E-3</v>
      </c>
      <c r="AN1079" s="61">
        <f t="shared" ca="1" si="209"/>
        <v>1.5687287727788012E-2</v>
      </c>
      <c r="AO1079" s="61">
        <f t="shared" ca="1" si="210"/>
        <v>-3.6672746128440237E-2</v>
      </c>
      <c r="AP1079" s="19"/>
      <c r="AQ1079" s="62">
        <f t="shared" ca="1" si="205"/>
        <v>1.3251936539703328</v>
      </c>
      <c r="AR1079" s="62">
        <f t="shared" ca="1" si="206"/>
        <v>1.3361706909012963</v>
      </c>
      <c r="AS1079" s="62">
        <f t="shared" ca="1" si="207"/>
        <v>0.89219802321981845</v>
      </c>
      <c r="AT1079" s="49"/>
    </row>
    <row r="1080" spans="1:46" x14ac:dyDescent="0.3">
      <c r="A1080" s="5">
        <v>45029</v>
      </c>
      <c r="B1080" s="6">
        <v>75.550003000000004</v>
      </c>
      <c r="C1080" s="6">
        <v>119.980003</v>
      </c>
      <c r="D1080" s="6">
        <v>133.13000500000001</v>
      </c>
      <c r="F1080" s="13">
        <v>1077</v>
      </c>
      <c r="G1080" s="5">
        <v>45029</v>
      </c>
      <c r="H1080" s="15">
        <f t="shared" si="203"/>
        <v>2.1540747870105813E-2</v>
      </c>
      <c r="I1080" s="15">
        <f t="shared" si="203"/>
        <v>1.4524059857071633E-2</v>
      </c>
      <c r="J1080" s="15">
        <f t="shared" si="203"/>
        <v>-4.4219370291106877E-3</v>
      </c>
      <c r="K1080" s="22"/>
      <c r="L1080" s="13">
        <v>1077</v>
      </c>
      <c r="M1080" s="5">
        <v>45029</v>
      </c>
      <c r="N1080" s="26">
        <f t="shared" si="200"/>
        <v>1.3362221730417021</v>
      </c>
      <c r="O1080" s="26">
        <f t="shared" si="201"/>
        <v>1.1378983376726415</v>
      </c>
      <c r="P1080" s="26">
        <f t="shared" si="202"/>
        <v>1.7619111768637159</v>
      </c>
      <c r="Q1080" s="22"/>
      <c r="AD1080" s="59">
        <v>1076</v>
      </c>
      <c r="AE1080" s="61">
        <f t="shared" ca="1" si="204"/>
        <v>-0.22926797344761035</v>
      </c>
      <c r="AF1080" s="61">
        <f t="shared" ca="1" si="204"/>
        <v>2.068332094124405</v>
      </c>
      <c r="AG1080" s="61">
        <f t="shared" ca="1" si="204"/>
        <v>-0.87058942010531126</v>
      </c>
      <c r="AH1080" s="19"/>
      <c r="AI1080" s="61">
        <f ca="1"/>
        <v>-4.9715120365143289E-3</v>
      </c>
      <c r="AJ1080" s="61">
        <f ca="1"/>
        <v>4.1368723031682639E-2</v>
      </c>
      <c r="AK1080" s="61">
        <f ca="1"/>
        <v>-1.1125873916699041E-2</v>
      </c>
      <c r="AL1080" s="19"/>
      <c r="AM1080" s="61">
        <f t="shared" ca="1" si="208"/>
        <v>-4.620295714004085E-3</v>
      </c>
      <c r="AN1080" s="61">
        <f t="shared" ca="1" si="209"/>
        <v>4.1617775628599168E-2</v>
      </c>
      <c r="AO1080" s="61">
        <f t="shared" ca="1" si="210"/>
        <v>-1.0694205313444222E-2</v>
      </c>
      <c r="AP1080" s="19"/>
      <c r="AQ1080" s="62">
        <f t="shared" ca="1" si="205"/>
        <v>1.3190849901940676</v>
      </c>
      <c r="AR1080" s="62">
        <f t="shared" ca="1" si="206"/>
        <v>1.392952514045491</v>
      </c>
      <c r="AS1080" s="62">
        <f t="shared" ca="1" si="207"/>
        <v>0.88270751156849159</v>
      </c>
      <c r="AT1080" s="49"/>
    </row>
    <row r="1081" spans="1:46" x14ac:dyDescent="0.3">
      <c r="A1081" s="5">
        <v>45030</v>
      </c>
      <c r="B1081" s="6">
        <v>75.319999999999993</v>
      </c>
      <c r="C1081" s="6">
        <v>120.07</v>
      </c>
      <c r="D1081" s="6">
        <v>131.86000100000001</v>
      </c>
      <c r="F1081" s="13">
        <v>1078</v>
      </c>
      <c r="G1081" s="5">
        <v>45030</v>
      </c>
      <c r="H1081" s="15">
        <f t="shared" si="203"/>
        <v>-3.0490246385983522E-3</v>
      </c>
      <c r="I1081" s="15">
        <f t="shared" si="203"/>
        <v>7.4981881351248066E-4</v>
      </c>
      <c r="J1081" s="15">
        <f t="shared" si="203"/>
        <v>-9.5853707321453593E-3</v>
      </c>
      <c r="K1081" s="22"/>
      <c r="L1081" s="13">
        <v>1078</v>
      </c>
      <c r="M1081" s="5">
        <v>45030</v>
      </c>
      <c r="N1081" s="26">
        <f t="shared" si="200"/>
        <v>1.3321542035345912</v>
      </c>
      <c r="O1081" s="26">
        <f t="shared" si="201"/>
        <v>1.1387518752133559</v>
      </c>
      <c r="P1081" s="26">
        <f t="shared" si="202"/>
        <v>1.74510328864752</v>
      </c>
      <c r="Q1081" s="22"/>
      <c r="AD1081" s="59">
        <v>1077</v>
      </c>
      <c r="AE1081" s="61">
        <f t="shared" ca="1" si="204"/>
        <v>-1.2788462176013025</v>
      </c>
      <c r="AF1081" s="61">
        <f t="shared" ca="1" si="204"/>
        <v>1.361799240926016</v>
      </c>
      <c r="AG1081" s="61">
        <f t="shared" ca="1" si="204"/>
        <v>0.49236752557979002</v>
      </c>
      <c r="AH1081" s="19"/>
      <c r="AI1081" s="61">
        <f ca="1"/>
        <v>-2.7730865624406575E-2</v>
      </c>
      <c r="AJ1081" s="61">
        <f ca="1"/>
        <v>9.5831591421391069E-3</v>
      </c>
      <c r="AK1081" s="61">
        <f ca="1"/>
        <v>3.3092003274318195E-3</v>
      </c>
      <c r="AL1081" s="19"/>
      <c r="AM1081" s="61">
        <f t="shared" ca="1" si="208"/>
        <v>-2.737964930189633E-2</v>
      </c>
      <c r="AN1081" s="61">
        <f t="shared" ca="1" si="209"/>
        <v>9.8322117390556383E-3</v>
      </c>
      <c r="AO1081" s="61">
        <f t="shared" ca="1" si="210"/>
        <v>3.7408689306866376E-3</v>
      </c>
      <c r="AP1081" s="19"/>
      <c r="AQ1081" s="62">
        <f t="shared" ca="1" si="205"/>
        <v>1.283458846969677</v>
      </c>
      <c r="AR1081" s="62">
        <f t="shared" ca="1" si="206"/>
        <v>1.4067158693399273</v>
      </c>
      <c r="AS1081" s="62">
        <f t="shared" ca="1" si="207"/>
        <v>0.88601578873099818</v>
      </c>
      <c r="AT1081" s="49"/>
    </row>
    <row r="1082" spans="1:46" x14ac:dyDescent="0.3">
      <c r="A1082" s="5">
        <v>45033</v>
      </c>
      <c r="B1082" s="6">
        <v>76.180000000000007</v>
      </c>
      <c r="C1082" s="6">
        <v>118.040001</v>
      </c>
      <c r="D1082" s="6">
        <v>128.300003</v>
      </c>
      <c r="F1082" s="13">
        <v>1079</v>
      </c>
      <c r="G1082" s="5">
        <v>45033</v>
      </c>
      <c r="H1082" s="15">
        <f t="shared" si="203"/>
        <v>1.135325726150649E-2</v>
      </c>
      <c r="I1082" s="15">
        <f t="shared" si="203"/>
        <v>-1.7051347496183443E-2</v>
      </c>
      <c r="J1082" s="15">
        <f t="shared" si="203"/>
        <v>-2.7369466264667394E-2</v>
      </c>
      <c r="K1082" s="22"/>
      <c r="L1082" s="13">
        <v>1079</v>
      </c>
      <c r="M1082" s="5">
        <v>45033</v>
      </c>
      <c r="N1082" s="26">
        <f t="shared" si="200"/>
        <v>1.3473646737289589</v>
      </c>
      <c r="O1082" s="26">
        <f t="shared" si="201"/>
        <v>1.1194992295239143</v>
      </c>
      <c r="P1082" s="26">
        <f t="shared" si="202"/>
        <v>1.6979884382739134</v>
      </c>
      <c r="Q1082" s="22"/>
      <c r="AD1082" s="59">
        <v>1078</v>
      </c>
      <c r="AE1082" s="61">
        <f t="shared" ca="1" si="204"/>
        <v>-2.1067936797282369</v>
      </c>
      <c r="AF1082" s="61">
        <f t="shared" ca="1" si="204"/>
        <v>-0.84757372169253364</v>
      </c>
      <c r="AG1082" s="61">
        <f t="shared" ca="1" si="204"/>
        <v>-6.6060629187863432E-3</v>
      </c>
      <c r="AH1082" s="19"/>
      <c r="AI1082" s="61">
        <f ca="1"/>
        <v>-4.568431420978486E-2</v>
      </c>
      <c r="AJ1082" s="61">
        <f ca="1"/>
        <v>-5.1399123940839814E-2</v>
      </c>
      <c r="AK1082" s="61">
        <f ca="1"/>
        <v>-3.7267278689775016E-2</v>
      </c>
      <c r="AL1082" s="19"/>
      <c r="AM1082" s="61">
        <f t="shared" ca="1" si="208"/>
        <v>-4.5333097887274618E-2</v>
      </c>
      <c r="AN1082" s="61">
        <f t="shared" ca="1" si="209"/>
        <v>-5.1150071343923284E-2</v>
      </c>
      <c r="AO1082" s="61">
        <f t="shared" ca="1" si="210"/>
        <v>-3.6835610086520199E-2</v>
      </c>
      <c r="AP1082" s="19"/>
      <c r="AQ1082" s="62">
        <f t="shared" ca="1" si="205"/>
        <v>1.2265747882145168</v>
      </c>
      <c r="AR1082" s="62">
        <f t="shared" ca="1" si="206"/>
        <v>1.3365714900019701</v>
      </c>
      <c r="AS1082" s="62">
        <f t="shared" ca="1" si="207"/>
        <v>0.85397264409334361</v>
      </c>
      <c r="AT1082" s="49"/>
    </row>
    <row r="1083" spans="1:46" x14ac:dyDescent="0.3">
      <c r="A1083" s="5">
        <v>45034</v>
      </c>
      <c r="B1083" s="6">
        <v>75.660004000000001</v>
      </c>
      <c r="C1083" s="6">
        <v>117.360001</v>
      </c>
      <c r="D1083" s="6">
        <v>127.110001</v>
      </c>
      <c r="F1083" s="13">
        <v>1080</v>
      </c>
      <c r="G1083" s="5">
        <v>45034</v>
      </c>
      <c r="H1083" s="15">
        <f t="shared" si="203"/>
        <v>-6.8492889774821354E-3</v>
      </c>
      <c r="I1083" s="15">
        <f t="shared" si="203"/>
        <v>-5.777416190926225E-3</v>
      </c>
      <c r="J1083" s="15">
        <f t="shared" si="203"/>
        <v>-9.3184338305081511E-3</v>
      </c>
      <c r="K1083" s="22"/>
      <c r="L1083" s="13">
        <v>1080</v>
      </c>
      <c r="M1083" s="5">
        <v>45034</v>
      </c>
      <c r="N1083" s="26">
        <f t="shared" si="200"/>
        <v>1.3381677159857144</v>
      </c>
      <c r="O1083" s="26">
        <f t="shared" si="201"/>
        <v>1.1130500642441186</v>
      </c>
      <c r="P1083" s="26">
        <f t="shared" si="202"/>
        <v>1.6822393378041118</v>
      </c>
      <c r="Q1083" s="22"/>
      <c r="AD1083" s="59">
        <v>1079</v>
      </c>
      <c r="AE1083" s="61">
        <f t="shared" ca="1" si="204"/>
        <v>9.9224784462175086E-2</v>
      </c>
      <c r="AF1083" s="61">
        <f t="shared" ca="1" si="204"/>
        <v>-0.46361132842937564</v>
      </c>
      <c r="AG1083" s="61">
        <f t="shared" ca="1" si="204"/>
        <v>-1.4133775782965103</v>
      </c>
      <c r="AH1083" s="19"/>
      <c r="AI1083" s="61">
        <f ca="1"/>
        <v>2.1516184875554193E-3</v>
      </c>
      <c r="AJ1083" s="61">
        <f ca="1"/>
        <v>-8.5239641437379766E-3</v>
      </c>
      <c r="AK1083" s="61">
        <f ca="1"/>
        <v>-3.8009534291726078E-2</v>
      </c>
      <c r="AL1083" s="19"/>
      <c r="AM1083" s="61">
        <f t="shared" ca="1" si="208"/>
        <v>2.5028348100656636E-3</v>
      </c>
      <c r="AN1083" s="61">
        <f t="shared" ca="1" si="209"/>
        <v>-8.2749115468214451E-3</v>
      </c>
      <c r="AO1083" s="61">
        <f t="shared" ca="1" si="210"/>
        <v>-3.7577865688471261E-2</v>
      </c>
      <c r="AP1083" s="19"/>
      <c r="AQ1083" s="62">
        <f t="shared" ca="1" si="205"/>
        <v>1.2296485472426071</v>
      </c>
      <c r="AR1083" s="62">
        <f t="shared" ca="1" si="206"/>
        <v>1.3255571134918271</v>
      </c>
      <c r="AS1083" s="62">
        <f t="shared" ca="1" si="207"/>
        <v>0.82247763839600019</v>
      </c>
      <c r="AT1083" s="49"/>
    </row>
    <row r="1084" spans="1:46" x14ac:dyDescent="0.3">
      <c r="A1084" s="5">
        <v>45035</v>
      </c>
      <c r="B1084" s="6">
        <v>75.550003000000004</v>
      </c>
      <c r="C1084" s="6">
        <v>116.91999800000001</v>
      </c>
      <c r="D1084" s="6">
        <v>124.400002</v>
      </c>
      <c r="F1084" s="13">
        <v>1081</v>
      </c>
      <c r="G1084" s="5">
        <v>45035</v>
      </c>
      <c r="H1084" s="15">
        <f t="shared" si="203"/>
        <v>-1.4549436454259234E-3</v>
      </c>
      <c r="I1084" s="15">
        <f t="shared" si="203"/>
        <v>-3.7562192181851898E-3</v>
      </c>
      <c r="J1084" s="15">
        <f t="shared" si="203"/>
        <v>-2.1550664791529724E-2</v>
      </c>
      <c r="K1084" s="22"/>
      <c r="L1084" s="13">
        <v>1081</v>
      </c>
      <c r="M1084" s="5">
        <v>45035</v>
      </c>
      <c r="N1084" s="26">
        <f t="shared" si="200"/>
        <v>1.3362221730417021</v>
      </c>
      <c r="O1084" s="26">
        <f t="shared" si="201"/>
        <v>1.1088770464932274</v>
      </c>
      <c r="P1084" s="26">
        <f t="shared" si="202"/>
        <v>1.6463738127679677</v>
      </c>
      <c r="Q1084" s="22"/>
      <c r="AD1084" s="59">
        <v>1080</v>
      </c>
      <c r="AE1084" s="61">
        <f t="shared" ca="1" si="204"/>
        <v>-0.28803622304787796</v>
      </c>
      <c r="AF1084" s="61">
        <f t="shared" ca="1" si="204"/>
        <v>-0.40065562964033491</v>
      </c>
      <c r="AG1084" s="61">
        <f t="shared" ca="1" si="204"/>
        <v>-1.9929183975229645</v>
      </c>
      <c r="AH1084" s="19"/>
      <c r="AI1084" s="61">
        <f ca="1"/>
        <v>-6.2458594992635093E-3</v>
      </c>
      <c r="AJ1084" s="61">
        <f ca="1"/>
        <v>-1.3217098118053348E-2</v>
      </c>
      <c r="AK1084" s="61">
        <f ca="1"/>
        <v>-5.8135973884744105E-2</v>
      </c>
      <c r="AL1084" s="19"/>
      <c r="AM1084" s="61">
        <f t="shared" ca="1" si="208"/>
        <v>-5.8946431767532654E-3</v>
      </c>
      <c r="AN1084" s="61">
        <f t="shared" ca="1" si="209"/>
        <v>-1.2968045521136817E-2</v>
      </c>
      <c r="AO1084" s="61">
        <f t="shared" ca="1" si="210"/>
        <v>-5.7704305281489288E-2</v>
      </c>
      <c r="AP1084" s="19"/>
      <c r="AQ1084" s="62">
        <f t="shared" ca="1" si="205"/>
        <v>1.2224215290967115</v>
      </c>
      <c r="AR1084" s="62">
        <f t="shared" ca="1" si="206"/>
        <v>1.3084782078622765</v>
      </c>
      <c r="AS1084" s="62">
        <f t="shared" ca="1" si="207"/>
        <v>0.77636051200605039</v>
      </c>
      <c r="AT1084" s="49"/>
    </row>
    <row r="1085" spans="1:46" x14ac:dyDescent="0.3">
      <c r="A1085" s="5">
        <v>45036</v>
      </c>
      <c r="B1085" s="6">
        <v>74.660004000000001</v>
      </c>
      <c r="C1085" s="6">
        <v>115.769997</v>
      </c>
      <c r="D1085" s="6">
        <v>122.949997</v>
      </c>
      <c r="F1085" s="13">
        <v>1082</v>
      </c>
      <c r="G1085" s="5">
        <v>45036</v>
      </c>
      <c r="H1085" s="15">
        <f t="shared" si="203"/>
        <v>-1.1850201364901412E-2</v>
      </c>
      <c r="I1085" s="15">
        <f t="shared" si="203"/>
        <v>-9.8844848331440648E-3</v>
      </c>
      <c r="J1085" s="15">
        <f t="shared" si="203"/>
        <v>-1.1724452120210765E-2</v>
      </c>
      <c r="K1085" s="22"/>
      <c r="L1085" s="13">
        <v>1082</v>
      </c>
      <c r="M1085" s="5">
        <v>45036</v>
      </c>
      <c r="N1085" s="26">
        <f t="shared" si="200"/>
        <v>1.3204811227364499</v>
      </c>
      <c r="O1085" s="26">
        <f t="shared" si="201"/>
        <v>1.0979703604330355</v>
      </c>
      <c r="P1085" s="26">
        <f t="shared" si="202"/>
        <v>1.6271836984431896</v>
      </c>
      <c r="Q1085" s="22"/>
      <c r="AD1085" s="59">
        <v>1081</v>
      </c>
      <c r="AE1085" s="61">
        <f t="shared" ca="1" si="204"/>
        <v>-0.67285022145506179</v>
      </c>
      <c r="AF1085" s="61">
        <f t="shared" ca="1" si="204"/>
        <v>0.26312905701826023</v>
      </c>
      <c r="AG1085" s="61">
        <f t="shared" ca="1" si="204"/>
        <v>-1.3950855823917403</v>
      </c>
      <c r="AH1085" s="19"/>
      <c r="AI1085" s="61">
        <f ca="1"/>
        <v>-1.4590275843736853E-2</v>
      </c>
      <c r="AJ1085" s="61">
        <f ca="1"/>
        <v>-4.8123012167271646E-3</v>
      </c>
      <c r="AK1085" s="61">
        <f ca="1"/>
        <v>-4.3830683396301577E-2</v>
      </c>
      <c r="AL1085" s="19"/>
      <c r="AM1085" s="61">
        <f t="shared" ca="1" si="208"/>
        <v>-1.4239059521226609E-2</v>
      </c>
      <c r="AN1085" s="61">
        <f t="shared" ca="1" si="209"/>
        <v>-4.563248619810634E-3</v>
      </c>
      <c r="AO1085" s="61">
        <f t="shared" ca="1" si="210"/>
        <v>-4.339901479304676E-2</v>
      </c>
      <c r="AP1085" s="19"/>
      <c r="AQ1085" s="62">
        <f t="shared" ca="1" si="205"/>
        <v>1.2051387335684063</v>
      </c>
      <c r="AR1085" s="62">
        <f t="shared" ca="1" si="206"/>
        <v>1.3025208991640784</v>
      </c>
      <c r="AS1085" s="62">
        <f t="shared" ca="1" si="207"/>
        <v>0.74338789529536475</v>
      </c>
      <c r="AT1085" s="49"/>
    </row>
    <row r="1086" spans="1:46" x14ac:dyDescent="0.3">
      <c r="A1086" s="5">
        <v>45037</v>
      </c>
      <c r="B1086" s="6">
        <v>73.300003000000004</v>
      </c>
      <c r="C1086" s="6">
        <v>115.110001</v>
      </c>
      <c r="D1086" s="6">
        <v>119.629997</v>
      </c>
      <c r="F1086" s="13">
        <v>1083</v>
      </c>
      <c r="G1086" s="5">
        <v>45037</v>
      </c>
      <c r="H1086" s="15">
        <f t="shared" si="203"/>
        <v>-1.8383877242349092E-2</v>
      </c>
      <c r="I1086" s="15">
        <f t="shared" si="203"/>
        <v>-5.7172366898745261E-3</v>
      </c>
      <c r="J1086" s="15">
        <f t="shared" si="203"/>
        <v>-2.7374123156547806E-2</v>
      </c>
      <c r="K1086" s="22"/>
      <c r="L1086" s="13">
        <v>1083</v>
      </c>
      <c r="M1086" s="5">
        <v>45037</v>
      </c>
      <c r="N1086" s="26">
        <f t="shared" si="200"/>
        <v>1.2964273382308573</v>
      </c>
      <c r="O1086" s="26">
        <f t="shared" si="201"/>
        <v>1.0917109144212649</v>
      </c>
      <c r="P1086" s="26">
        <f t="shared" si="202"/>
        <v>1.5832451054326393</v>
      </c>
      <c r="Q1086" s="22"/>
      <c r="AD1086" s="59">
        <v>1082</v>
      </c>
      <c r="AE1086" s="61">
        <f t="shared" ca="1" si="204"/>
        <v>-1.0087383160515173</v>
      </c>
      <c r="AF1086" s="61">
        <f t="shared" ca="1" si="204"/>
        <v>-1.4089665210520528</v>
      </c>
      <c r="AG1086" s="61">
        <f t="shared" ca="1" si="204"/>
        <v>0.91586566128066804</v>
      </c>
      <c r="AH1086" s="19"/>
      <c r="AI1086" s="61">
        <f ca="1"/>
        <v>-2.1873768954865702E-2</v>
      </c>
      <c r="AJ1086" s="61">
        <f ca="1"/>
        <v>-4.6414434110239919E-2</v>
      </c>
      <c r="AK1086" s="61">
        <f ca="1"/>
        <v>-1.3628136417707035E-3</v>
      </c>
      <c r="AL1086" s="19"/>
      <c r="AM1086" s="61">
        <f t="shared" ca="1" si="208"/>
        <v>-2.1522552632355457E-2</v>
      </c>
      <c r="AN1086" s="61">
        <f t="shared" ca="1" si="209"/>
        <v>-4.6165381513323389E-2</v>
      </c>
      <c r="AO1086" s="61">
        <f t="shared" ca="1" si="210"/>
        <v>-9.3114503851588523E-4</v>
      </c>
      <c r="AP1086" s="19"/>
      <c r="AQ1086" s="62">
        <f t="shared" ca="1" si="205"/>
        <v>1.1794782023450117</v>
      </c>
      <c r="AR1086" s="62">
        <f t="shared" ca="1" si="206"/>
        <v>1.2437564040058189</v>
      </c>
      <c r="AS1086" s="62">
        <f t="shared" ca="1" si="207"/>
        <v>0.74269601551517006</v>
      </c>
      <c r="AT1086" s="49"/>
    </row>
    <row r="1087" spans="1:46" x14ac:dyDescent="0.3">
      <c r="A1087" s="5">
        <v>45040</v>
      </c>
      <c r="B1087" s="6">
        <v>72.860000999999997</v>
      </c>
      <c r="C1087" s="6">
        <v>116.129997</v>
      </c>
      <c r="D1087" s="6">
        <v>120</v>
      </c>
      <c r="F1087" s="13">
        <v>1084</v>
      </c>
      <c r="G1087" s="5">
        <v>45040</v>
      </c>
      <c r="H1087" s="15">
        <f t="shared" si="203"/>
        <v>-6.0208445149298184E-3</v>
      </c>
      <c r="I1087" s="15">
        <f t="shared" si="203"/>
        <v>8.8220258102348782E-3</v>
      </c>
      <c r="J1087" s="15">
        <f t="shared" si="203"/>
        <v>3.0881216765552433E-3</v>
      </c>
      <c r="K1087" s="22"/>
      <c r="L1087" s="13">
        <v>1084</v>
      </c>
      <c r="M1087" s="5">
        <v>45040</v>
      </c>
      <c r="N1087" s="26">
        <f t="shared" si="200"/>
        <v>1.2886452018279944</v>
      </c>
      <c r="O1087" s="26">
        <f t="shared" si="201"/>
        <v>1.1013846244046923</v>
      </c>
      <c r="P1087" s="26">
        <f t="shared" si="202"/>
        <v>1.5881419160439894</v>
      </c>
      <c r="Q1087" s="22"/>
      <c r="AD1087" s="59">
        <v>1083</v>
      </c>
      <c r="AE1087" s="61">
        <f t="shared" ca="1" si="204"/>
        <v>1.2005243965170391</v>
      </c>
      <c r="AF1087" s="61">
        <f t="shared" ca="1" si="204"/>
        <v>2.4736843877073662</v>
      </c>
      <c r="AG1087" s="61">
        <f t="shared" ca="1" si="204"/>
        <v>0.47706196445074195</v>
      </c>
      <c r="AH1087" s="19"/>
      <c r="AI1087" s="61">
        <f ca="1"/>
        <v>2.6032512948335518E-2</v>
      </c>
      <c r="AJ1087" s="61">
        <f ca="1"/>
        <v>7.2559060951324569E-2</v>
      </c>
      <c r="AK1087" s="61">
        <f ca="1"/>
        <v>4.7381534664846556E-2</v>
      </c>
      <c r="AL1087" s="19"/>
      <c r="AM1087" s="61">
        <f t="shared" ca="1" si="208"/>
        <v>2.6383729270845764E-2</v>
      </c>
      <c r="AN1087" s="61">
        <f t="shared" ca="1" si="209"/>
        <v>7.2808113548241099E-2</v>
      </c>
      <c r="AO1087" s="61">
        <f t="shared" ca="1" si="210"/>
        <v>4.7813203268101373E-2</v>
      </c>
      <c r="AP1087" s="19"/>
      <c r="AQ1087" s="62">
        <f t="shared" ca="1" si="205"/>
        <v>1.2110113882673434</v>
      </c>
      <c r="AR1087" s="62">
        <f t="shared" ca="1" si="206"/>
        <v>1.3376900350491783</v>
      </c>
      <c r="AS1087" s="62">
        <f t="shared" ca="1" si="207"/>
        <v>0.77906932410837137</v>
      </c>
      <c r="AT1087" s="49"/>
    </row>
    <row r="1088" spans="1:46" x14ac:dyDescent="0.3">
      <c r="A1088" s="5">
        <v>45041</v>
      </c>
      <c r="B1088" s="6">
        <v>71.699996999999996</v>
      </c>
      <c r="C1088" s="6">
        <v>112.43</v>
      </c>
      <c r="D1088" s="6">
        <v>117.849998</v>
      </c>
      <c r="F1088" s="13">
        <v>1085</v>
      </c>
      <c r="G1088" s="5">
        <v>45041</v>
      </c>
      <c r="H1088" s="15">
        <f t="shared" si="203"/>
        <v>-1.6049099540799985E-2</v>
      </c>
      <c r="I1088" s="15">
        <f t="shared" si="203"/>
        <v>-3.2379421662879729E-2</v>
      </c>
      <c r="J1088" s="15">
        <f t="shared" si="203"/>
        <v>-1.8079130370631476E-2</v>
      </c>
      <c r="K1088" s="22"/>
      <c r="L1088" s="13">
        <v>1085</v>
      </c>
      <c r="M1088" s="5">
        <v>45041</v>
      </c>
      <c r="N1088" s="26">
        <f t="shared" si="200"/>
        <v>1.2681286829124747</v>
      </c>
      <c r="O1088" s="26">
        <f t="shared" si="201"/>
        <v>1.0662936064815325</v>
      </c>
      <c r="P1088" s="26">
        <f t="shared" si="202"/>
        <v>1.5596876802458359</v>
      </c>
      <c r="Q1088" s="22"/>
      <c r="AD1088" s="59">
        <v>1084</v>
      </c>
      <c r="AE1088" s="61">
        <f t="shared" ca="1" si="204"/>
        <v>-0.56718203323427774</v>
      </c>
      <c r="AF1088" s="61">
        <f t="shared" ca="1" si="204"/>
        <v>-0.75925084402825094</v>
      </c>
      <c r="AG1088" s="61">
        <f t="shared" ca="1" si="204"/>
        <v>-1.7916279575901504</v>
      </c>
      <c r="AH1088" s="19"/>
      <c r="AI1088" s="61">
        <f ca="1"/>
        <v>-1.229893675386466E-2</v>
      </c>
      <c r="AJ1088" s="61">
        <f ca="1"/>
        <v>-2.5380814563064361E-2</v>
      </c>
      <c r="AK1088" s="61">
        <f ca="1"/>
        <v>-5.9628846321608753E-2</v>
      </c>
      <c r="AL1088" s="19"/>
      <c r="AM1088" s="61">
        <f t="shared" ca="1" si="208"/>
        <v>-1.1947720431354416E-2</v>
      </c>
      <c r="AN1088" s="61">
        <f t="shared" ca="1" si="209"/>
        <v>-2.5131761966147831E-2</v>
      </c>
      <c r="AO1088" s="61">
        <f t="shared" ca="1" si="210"/>
        <v>-5.9197177718353935E-2</v>
      </c>
      <c r="AP1088" s="19"/>
      <c r="AQ1088" s="62">
        <f t="shared" ca="1" si="205"/>
        <v>1.1966286542952378</v>
      </c>
      <c r="AR1088" s="62">
        <f t="shared" ca="1" si="206"/>
        <v>1.3044904568533078</v>
      </c>
      <c r="AS1088" s="62">
        <f t="shared" ca="1" si="207"/>
        <v>0.73428912575000971</v>
      </c>
      <c r="AT1088" s="49"/>
    </row>
    <row r="1089" spans="1:46" x14ac:dyDescent="0.3">
      <c r="A1089" s="5">
        <v>45042</v>
      </c>
      <c r="B1089" s="6">
        <v>70.629997000000003</v>
      </c>
      <c r="C1089" s="6">
        <v>111.989998</v>
      </c>
      <c r="D1089" s="6">
        <v>116.639999</v>
      </c>
      <c r="F1089" s="13">
        <v>1086</v>
      </c>
      <c r="G1089" s="5">
        <v>45042</v>
      </c>
      <c r="H1089" s="15">
        <f t="shared" si="203"/>
        <v>-1.503576481860858E-2</v>
      </c>
      <c r="I1089" s="15">
        <f t="shared" si="203"/>
        <v>-3.921242025803736E-3</v>
      </c>
      <c r="J1089" s="15">
        <f t="shared" si="203"/>
        <v>-1.0320352724454624E-2</v>
      </c>
      <c r="K1089" s="22"/>
      <c r="L1089" s="13">
        <v>1086</v>
      </c>
      <c r="M1089" s="5">
        <v>45042</v>
      </c>
      <c r="N1089" s="26">
        <f t="shared" si="200"/>
        <v>1.2492040281357619</v>
      </c>
      <c r="O1089" s="26">
        <f t="shared" si="201"/>
        <v>1.0621205982147079</v>
      </c>
      <c r="P1089" s="26">
        <f t="shared" si="202"/>
        <v>1.5436739291602419</v>
      </c>
      <c r="Q1089" s="22"/>
      <c r="AD1089" s="59">
        <v>1085</v>
      </c>
      <c r="AE1089" s="61">
        <f t="shared" ca="1" si="204"/>
        <v>-0.26298571295888135</v>
      </c>
      <c r="AF1089" s="61">
        <f t="shared" ca="1" si="204"/>
        <v>-0.88109173279937747</v>
      </c>
      <c r="AG1089" s="61">
        <f t="shared" ca="1" si="204"/>
        <v>-0.78117333645820242</v>
      </c>
      <c r="AH1089" s="19"/>
      <c r="AI1089" s="61">
        <f ca="1"/>
        <v>-5.7026571035886141E-3</v>
      </c>
      <c r="AJ1089" s="61">
        <f ca="1"/>
        <v>-2.3267766668943389E-2</v>
      </c>
      <c r="AK1089" s="61">
        <f ca="1"/>
        <v>-3.0104437213516952E-2</v>
      </c>
      <c r="AL1089" s="19"/>
      <c r="AM1089" s="61">
        <f t="shared" ca="1" si="208"/>
        <v>-5.3514407810783702E-3</v>
      </c>
      <c r="AN1089" s="61">
        <f t="shared" ca="1" si="209"/>
        <v>-2.3018714072026859E-2</v>
      </c>
      <c r="AO1089" s="61">
        <f t="shared" ca="1" si="210"/>
        <v>-2.9672768610262135E-2</v>
      </c>
      <c r="AP1089" s="19"/>
      <c r="AQ1089" s="62">
        <f t="shared" ca="1" si="205"/>
        <v>1.1902420708678685</v>
      </c>
      <c r="AR1089" s="62">
        <f t="shared" ca="1" si="206"/>
        <v>1.2748057268935769</v>
      </c>
      <c r="AS1089" s="62">
        <f t="shared" ca="1" si="207"/>
        <v>0.71282082160502314</v>
      </c>
      <c r="AT1089" s="49"/>
    </row>
    <row r="1090" spans="1:46" x14ac:dyDescent="0.3">
      <c r="A1090" s="5">
        <v>45043</v>
      </c>
      <c r="B1090" s="6">
        <v>73.129997000000003</v>
      </c>
      <c r="C1090" s="6">
        <v>114.739998</v>
      </c>
      <c r="D1090" s="6">
        <v>114.639999</v>
      </c>
      <c r="F1090" s="13">
        <v>1087</v>
      </c>
      <c r="G1090" s="5">
        <v>45043</v>
      </c>
      <c r="H1090" s="15">
        <f t="shared" si="203"/>
        <v>3.4783697314062084E-2</v>
      </c>
      <c r="I1090" s="15">
        <f t="shared" si="203"/>
        <v>2.425911800714721E-2</v>
      </c>
      <c r="J1090" s="15">
        <f t="shared" si="203"/>
        <v>-1.7295484890002238E-2</v>
      </c>
      <c r="K1090" s="22"/>
      <c r="L1090" s="13">
        <v>1087</v>
      </c>
      <c r="M1090" s="5">
        <v>45043</v>
      </c>
      <c r="N1090" s="26">
        <f t="shared" si="200"/>
        <v>1.2934205112589228</v>
      </c>
      <c r="O1090" s="26">
        <f t="shared" si="201"/>
        <v>1.088201781331529</v>
      </c>
      <c r="P1090" s="26">
        <f t="shared" si="202"/>
        <v>1.5172048972261754</v>
      </c>
      <c r="Q1090" s="22"/>
      <c r="AD1090" s="59">
        <v>1086</v>
      </c>
      <c r="AE1090" s="61">
        <f t="shared" ca="1" si="204"/>
        <v>1.3184283072454843</v>
      </c>
      <c r="AF1090" s="61">
        <f t="shared" ca="1" si="204"/>
        <v>0.24009994256889342</v>
      </c>
      <c r="AG1090" s="61">
        <f t="shared" ca="1" si="204"/>
        <v>-0.26011553299732926</v>
      </c>
      <c r="AH1090" s="19"/>
      <c r="AI1090" s="61">
        <f ca="1"/>
        <v>2.858917493005151E-2</v>
      </c>
      <c r="AJ1090" s="61">
        <f ca="1"/>
        <v>2.5855301965942854E-2</v>
      </c>
      <c r="AK1090" s="61">
        <f ca="1"/>
        <v>1.4507244300698E-2</v>
      </c>
      <c r="AL1090" s="19"/>
      <c r="AM1090" s="61">
        <f t="shared" ca="1" si="208"/>
        <v>2.8940391252561756E-2</v>
      </c>
      <c r="AN1090" s="61">
        <f t="shared" ca="1" si="209"/>
        <v>2.6104354562859384E-2</v>
      </c>
      <c r="AO1090" s="61">
        <f t="shared" ca="1" si="210"/>
        <v>1.4938912903952819E-2</v>
      </c>
      <c r="AP1090" s="19"/>
      <c r="AQ1090" s="62">
        <f t="shared" ca="1" si="205"/>
        <v>1.2251914268273503</v>
      </c>
      <c r="AR1090" s="62">
        <f t="shared" ca="1" si="206"/>
        <v>1.3085218619616545</v>
      </c>
      <c r="AS1090" s="62">
        <f t="shared" ca="1" si="207"/>
        <v>0.72354952785182869</v>
      </c>
      <c r="AT1090" s="49"/>
    </row>
    <row r="1091" spans="1:46" x14ac:dyDescent="0.3">
      <c r="A1091" s="5">
        <v>45044</v>
      </c>
      <c r="B1091" s="6">
        <v>73</v>
      </c>
      <c r="C1091" s="6">
        <v>114.790001</v>
      </c>
      <c r="D1091" s="6">
        <v>114.66999800000001</v>
      </c>
      <c r="F1091" s="13">
        <v>1088</v>
      </c>
      <c r="G1091" s="5">
        <v>45044</v>
      </c>
      <c r="H1091" s="15">
        <f t="shared" si="203"/>
        <v>-1.7791971116318727E-3</v>
      </c>
      <c r="I1091" s="15">
        <f t="shared" si="203"/>
        <v>4.3569904595368362E-4</v>
      </c>
      <c r="J1091" s="15">
        <f t="shared" si="203"/>
        <v>2.6164581190188157E-4</v>
      </c>
      <c r="K1091" s="22"/>
      <c r="L1091" s="13">
        <v>1088</v>
      </c>
      <c r="M1091" s="5">
        <v>45044</v>
      </c>
      <c r="N1091" s="26">
        <f t="shared" si="200"/>
        <v>1.2911213071962981</v>
      </c>
      <c r="O1091" s="26">
        <f t="shared" si="201"/>
        <v>1.0886760131131257</v>
      </c>
      <c r="P1091" s="26">
        <f t="shared" si="202"/>
        <v>1.5176019194706705</v>
      </c>
      <c r="Q1091" s="22"/>
      <c r="AD1091" s="59">
        <v>1087</v>
      </c>
      <c r="AE1091" s="61">
        <f t="shared" ca="1" si="204"/>
        <v>-1.1588914791743372</v>
      </c>
      <c r="AF1091" s="61">
        <f t="shared" ca="1" si="204"/>
        <v>0.72738379206058335</v>
      </c>
      <c r="AG1091" s="61">
        <f t="shared" ca="1" si="204"/>
        <v>1.6987857731056559</v>
      </c>
      <c r="AH1091" s="19"/>
      <c r="AI1091" s="61">
        <f ca="1"/>
        <v>-2.5129732910757593E-2</v>
      </c>
      <c r="AJ1091" s="61">
        <f ca="1"/>
        <v>-2.3289341271596729E-3</v>
      </c>
      <c r="AK1091" s="61">
        <f ca="1"/>
        <v>3.1522132583756364E-2</v>
      </c>
      <c r="AL1091" s="19"/>
      <c r="AM1091" s="61">
        <f t="shared" ca="1" si="208"/>
        <v>-2.4778516588247347E-2</v>
      </c>
      <c r="AN1091" s="61">
        <f t="shared" ca="1" si="209"/>
        <v>-2.0798815302431424E-3</v>
      </c>
      <c r="AO1091" s="61">
        <f t="shared" ca="1" si="210"/>
        <v>3.1953801187011181E-2</v>
      </c>
      <c r="AP1091" s="19"/>
      <c r="AQ1091" s="62">
        <f t="shared" ca="1" si="205"/>
        <v>1.1952060317133086</v>
      </c>
      <c r="AR1091" s="62">
        <f t="shared" ca="1" si="206"/>
        <v>1.3058031198199096</v>
      </c>
      <c r="AS1091" s="62">
        <f t="shared" ca="1" si="207"/>
        <v>0.74704304016332868</v>
      </c>
      <c r="AT1091" s="49"/>
    </row>
    <row r="1092" spans="1:46" x14ac:dyDescent="0.3">
      <c r="A1092" s="5">
        <v>45047</v>
      </c>
      <c r="B1092" s="6">
        <v>73.160004000000001</v>
      </c>
      <c r="C1092" s="6">
        <v>113.699997</v>
      </c>
      <c r="D1092" s="6">
        <v>115.410004</v>
      </c>
      <c r="F1092" s="13">
        <v>1089</v>
      </c>
      <c r="G1092" s="5">
        <v>45047</v>
      </c>
      <c r="H1092" s="15">
        <f t="shared" si="203"/>
        <v>2.1894370489579083E-3</v>
      </c>
      <c r="I1092" s="15">
        <f t="shared" si="203"/>
        <v>-9.5410064176999487E-3</v>
      </c>
      <c r="J1092" s="15">
        <f t="shared" si="203"/>
        <v>6.432619482495067E-3</v>
      </c>
      <c r="K1092" s="22"/>
      <c r="L1092" s="13">
        <v>1089</v>
      </c>
      <c r="M1092" s="5">
        <v>45047</v>
      </c>
      <c r="N1092" s="26">
        <f t="shared" ref="N1092:N1155" si="211">B1092/B$3</f>
        <v>1.2939512328625535</v>
      </c>
      <c r="O1092" s="26">
        <f t="shared" ref="O1092:O1155" si="212">C1092/C$3</f>
        <v>1.07833834259601</v>
      </c>
      <c r="P1092" s="26">
        <f t="shared" ref="P1092:P1155" si="213">D1092/D$3</f>
        <v>1.5273955406933708</v>
      </c>
      <c r="Q1092" s="22"/>
      <c r="AD1092" s="59">
        <v>1088</v>
      </c>
      <c r="AE1092" s="61">
        <f t="shared" ca="1" si="204"/>
        <v>0.26575321689405368</v>
      </c>
      <c r="AF1092" s="61">
        <f t="shared" ca="1" si="204"/>
        <v>-0.41937758519180079</v>
      </c>
      <c r="AG1092" s="61">
        <f t="shared" ca="1" si="204"/>
        <v>-0.53013848585771794</v>
      </c>
      <c r="AH1092" s="19"/>
      <c r="AI1092" s="61">
        <f ca="1"/>
        <v>5.7626684471614393E-3</v>
      </c>
      <c r="AJ1092" s="61">
        <f ca="1"/>
        <v>-4.9559394243042544E-3</v>
      </c>
      <c r="AK1092" s="61">
        <f ca="1"/>
        <v>-1.2608925469519298E-2</v>
      </c>
      <c r="AL1092" s="19"/>
      <c r="AM1092" s="61">
        <f t="shared" ca="1" si="208"/>
        <v>6.1138847696716831E-3</v>
      </c>
      <c r="AN1092" s="61">
        <f t="shared" ca="1" si="209"/>
        <v>-4.7068868273877238E-3</v>
      </c>
      <c r="AO1092" s="61">
        <f t="shared" ca="1" si="210"/>
        <v>-1.2177256866264479E-2</v>
      </c>
      <c r="AP1092" s="19"/>
      <c r="AQ1092" s="62">
        <f t="shared" ca="1" si="205"/>
        <v>1.2025357674150965</v>
      </c>
      <c r="AR1092" s="62">
        <f t="shared" ca="1" si="206"/>
        <v>1.2996712945406526</v>
      </c>
      <c r="AS1092" s="62">
        <f t="shared" ca="1" si="207"/>
        <v>0.73800126888885798</v>
      </c>
      <c r="AT1092" s="49"/>
    </row>
    <row r="1093" spans="1:46" x14ac:dyDescent="0.3">
      <c r="A1093" s="5">
        <v>45048</v>
      </c>
      <c r="B1093" s="6">
        <v>70.970000999999996</v>
      </c>
      <c r="C1093" s="6">
        <v>112.5</v>
      </c>
      <c r="D1093" s="6">
        <v>110.779999</v>
      </c>
      <c r="F1093" s="13">
        <v>1090</v>
      </c>
      <c r="G1093" s="5">
        <v>45048</v>
      </c>
      <c r="H1093" s="15">
        <f t="shared" ref="H1093:J1156" si="214">LN(B1093/B1092)</f>
        <v>-3.0391611569996948E-2</v>
      </c>
      <c r="I1093" s="15">
        <f t="shared" si="214"/>
        <v>-1.0610152726790905E-2</v>
      </c>
      <c r="J1093" s="15">
        <f t="shared" si="214"/>
        <v>-4.094479651329689E-2</v>
      </c>
      <c r="K1093" s="22"/>
      <c r="L1093" s="13">
        <v>1090</v>
      </c>
      <c r="M1093" s="5">
        <v>45048</v>
      </c>
      <c r="N1093" s="26">
        <f t="shared" si="211"/>
        <v>1.2552175405868846</v>
      </c>
      <c r="O1093" s="26">
        <f t="shared" si="212"/>
        <v>1.0669574911426878</v>
      </c>
      <c r="P1093" s="26">
        <f t="shared" si="213"/>
        <v>1.466119665593427</v>
      </c>
      <c r="Q1093" s="22"/>
      <c r="AD1093" s="59">
        <v>1089</v>
      </c>
      <c r="AE1093" s="61">
        <f t="shared" ref="AE1093:AG1124" ca="1" si="215">_xlfn.NORM.S.INV(RAND())</f>
        <v>-1.0270450434247371</v>
      </c>
      <c r="AF1093" s="61">
        <f t="shared" ca="1" si="215"/>
        <v>7.9962752044704904E-2</v>
      </c>
      <c r="AG1093" s="61">
        <f t="shared" ca="1" si="215"/>
        <v>0.95800284490313736</v>
      </c>
      <c r="AH1093" s="19"/>
      <c r="AI1093" s="61">
        <f ca="1"/>
        <v>-2.2270737245362437E-2</v>
      </c>
      <c r="AJ1093" s="61">
        <f ca="1"/>
        <v>-1.4337584289850496E-2</v>
      </c>
      <c r="AK1093" s="61">
        <f ca="1"/>
        <v>9.9319730805397469E-3</v>
      </c>
      <c r="AL1093" s="19"/>
      <c r="AM1093" s="61">
        <f t="shared" ca="1" si="208"/>
        <v>-2.1919520922852192E-2</v>
      </c>
      <c r="AN1093" s="61">
        <f t="shared" ca="1" si="209"/>
        <v>-1.4088531692933965E-2</v>
      </c>
      <c r="AO1093" s="61">
        <f t="shared" ca="1" si="210"/>
        <v>1.0363641683794566E-2</v>
      </c>
      <c r="AP1093" s="19"/>
      <c r="AQ1093" s="62">
        <f t="shared" ca="1" si="205"/>
        <v>1.1764635486645203</v>
      </c>
      <c r="AR1093" s="62">
        <f t="shared" ca="1" si="206"/>
        <v>1.2814892144636238</v>
      </c>
      <c r="AS1093" s="62">
        <f t="shared" ca="1" si="207"/>
        <v>0.74568941940833366</v>
      </c>
      <c r="AT1093" s="49"/>
    </row>
    <row r="1094" spans="1:46" x14ac:dyDescent="0.3">
      <c r="A1094" s="5">
        <v>45049</v>
      </c>
      <c r="B1094" s="6">
        <v>68.900002000000001</v>
      </c>
      <c r="C1094" s="6">
        <v>112.349998</v>
      </c>
      <c r="D1094" s="6">
        <v>107.05999799999999</v>
      </c>
      <c r="F1094" s="13">
        <v>1091</v>
      </c>
      <c r="G1094" s="5">
        <v>45049</v>
      </c>
      <c r="H1094" s="15">
        <f t="shared" si="214"/>
        <v>-2.9601059580163437E-2</v>
      </c>
      <c r="I1094" s="15">
        <f t="shared" si="214"/>
        <v>-1.334240814649925E-3</v>
      </c>
      <c r="J1094" s="15">
        <f t="shared" si="214"/>
        <v>-3.4156837293936065E-2</v>
      </c>
      <c r="K1094" s="22"/>
      <c r="L1094" s="13">
        <v>1091</v>
      </c>
      <c r="M1094" s="5">
        <v>45049</v>
      </c>
      <c r="N1094" s="26">
        <f t="shared" si="211"/>
        <v>1.2186063102475009</v>
      </c>
      <c r="O1094" s="26">
        <f t="shared" si="212"/>
        <v>1.0655348621863645</v>
      </c>
      <c r="P1094" s="26">
        <f t="shared" si="213"/>
        <v>1.4168872529615473</v>
      </c>
      <c r="Q1094" s="22"/>
      <c r="AD1094" s="59">
        <v>1090</v>
      </c>
      <c r="AE1094" s="61">
        <f t="shared" ca="1" si="215"/>
        <v>-0.41727261770040686</v>
      </c>
      <c r="AF1094" s="61">
        <f t="shared" ca="1" si="215"/>
        <v>-0.38056879014878159</v>
      </c>
      <c r="AG1094" s="61">
        <f t="shared" ca="1" si="215"/>
        <v>-0.13684172970891403</v>
      </c>
      <c r="AH1094" s="19"/>
      <c r="AI1094" s="61">
        <f ca="1"/>
        <v>-9.0482582901159087E-3</v>
      </c>
      <c r="AJ1094" s="61">
        <f ca="1"/>
        <v>-1.4803341941486865E-2</v>
      </c>
      <c r="AK1094" s="61">
        <f ca="1"/>
        <v>-1.2351450494383806E-2</v>
      </c>
      <c r="AL1094" s="19"/>
      <c r="AM1094" s="61">
        <f t="shared" ca="1" si="208"/>
        <v>-8.6970419676056648E-3</v>
      </c>
      <c r="AN1094" s="61">
        <f t="shared" ca="1" si="209"/>
        <v>-1.4554289344570334E-2</v>
      </c>
      <c r="AO1094" s="61">
        <f t="shared" ca="1" si="210"/>
        <v>-1.1919781891128987E-2</v>
      </c>
      <c r="AP1094" s="19"/>
      <c r="AQ1094" s="62">
        <f t="shared" ref="AQ1094:AQ1157" ca="1" si="216">AQ1093*EXP(AM1094)</f>
        <v>1.1662761600945779</v>
      </c>
      <c r="AR1094" s="62">
        <f t="shared" ref="AR1094:AR1157" ca="1" si="217">AR1093*EXP(AN1094)</f>
        <v>1.2629731207869079</v>
      </c>
      <c r="AS1094" s="62">
        <f t="shared" ref="AS1094:AS1157" ca="1" si="218">AS1093*EXP(AO1094)</f>
        <v>0.73685372853968556</v>
      </c>
      <c r="AT1094" s="49"/>
    </row>
    <row r="1095" spans="1:46" x14ac:dyDescent="0.3">
      <c r="A1095" s="5">
        <v>45050</v>
      </c>
      <c r="B1095" s="6">
        <v>67.419998000000007</v>
      </c>
      <c r="C1095" s="6">
        <v>109.839996</v>
      </c>
      <c r="D1095" s="6">
        <v>104.30999799999999</v>
      </c>
      <c r="F1095" s="13">
        <v>1092</v>
      </c>
      <c r="G1095" s="5">
        <v>45050</v>
      </c>
      <c r="H1095" s="15">
        <f t="shared" si="214"/>
        <v>-2.1714526906062279E-2</v>
      </c>
      <c r="I1095" s="15">
        <f t="shared" si="214"/>
        <v>-2.2594255786715912E-2</v>
      </c>
      <c r="J1095" s="15">
        <f t="shared" si="214"/>
        <v>-2.6022190769859194E-2</v>
      </c>
      <c r="K1095" s="22"/>
      <c r="L1095" s="13">
        <v>1092</v>
      </c>
      <c r="M1095" s="5">
        <v>45050</v>
      </c>
      <c r="N1095" s="26">
        <f t="shared" si="211"/>
        <v>1.1924300814922166</v>
      </c>
      <c r="O1095" s="26">
        <f t="shared" si="212"/>
        <v>1.0417298360825145</v>
      </c>
      <c r="P1095" s="26">
        <f t="shared" si="213"/>
        <v>1.3804923340522057</v>
      </c>
      <c r="Q1095" s="22"/>
      <c r="AD1095" s="59">
        <v>1091</v>
      </c>
      <c r="AE1095" s="61">
        <f t="shared" ca="1" si="215"/>
        <v>-1.4856155844317942</v>
      </c>
      <c r="AF1095" s="61">
        <f t="shared" ca="1" si="215"/>
        <v>-0.12493174217555804</v>
      </c>
      <c r="AG1095" s="61">
        <f t="shared" ca="1" si="215"/>
        <v>-2.4975082895402902</v>
      </c>
      <c r="AH1095" s="19"/>
      <c r="AI1095" s="61">
        <f ca="1"/>
        <v>-3.2214511466965273E-2</v>
      </c>
      <c r="AJ1095" s="61">
        <f ca="1"/>
        <v>-2.5968875691922109E-2</v>
      </c>
      <c r="AK1095" s="61">
        <f ca="1"/>
        <v>-8.6816658641637845E-2</v>
      </c>
      <c r="AL1095" s="19"/>
      <c r="AM1095" s="61">
        <f t="shared" ref="AM1095:AM1158" ca="1" si="219">AI1095+T$3</f>
        <v>-3.1863295144455031E-2</v>
      </c>
      <c r="AN1095" s="61">
        <f t="shared" ref="AN1095:AN1158" ca="1" si="220">AJ1095+U$3</f>
        <v>-2.5719823095005579E-2</v>
      </c>
      <c r="AO1095" s="61">
        <f t="shared" ref="AO1095:AO1158" ca="1" si="221">AK1095+V$3</f>
        <v>-8.6384990038383028E-2</v>
      </c>
      <c r="AP1095" s="19"/>
      <c r="AQ1095" s="62">
        <f t="shared" ca="1" si="216"/>
        <v>1.129700562570302</v>
      </c>
      <c r="AR1095" s="62">
        <f t="shared" ca="1" si="217"/>
        <v>1.2309038513388582</v>
      </c>
      <c r="AS1095" s="62">
        <f t="shared" ca="1" si="218"/>
        <v>0.67587247629604807</v>
      </c>
      <c r="AT1095" s="49"/>
    </row>
    <row r="1096" spans="1:46" x14ac:dyDescent="0.3">
      <c r="A1096" s="5">
        <v>45051</v>
      </c>
      <c r="B1096" s="6">
        <v>69</v>
      </c>
      <c r="C1096" s="6">
        <v>113.839996</v>
      </c>
      <c r="D1096" s="6">
        <v>107.040001</v>
      </c>
      <c r="F1096" s="13">
        <v>1093</v>
      </c>
      <c r="G1096" s="5">
        <v>45051</v>
      </c>
      <c r="H1096" s="15">
        <f t="shared" si="214"/>
        <v>2.3164824456133052E-2</v>
      </c>
      <c r="I1096" s="15">
        <f t="shared" si="214"/>
        <v>3.5769193601452892E-2</v>
      </c>
      <c r="J1096" s="15">
        <f t="shared" si="214"/>
        <v>2.5835390207957862E-2</v>
      </c>
      <c r="K1096" s="22"/>
      <c r="L1096" s="13">
        <v>1093</v>
      </c>
      <c r="M1096" s="5">
        <v>45051</v>
      </c>
      <c r="N1096" s="26">
        <f t="shared" si="211"/>
        <v>1.2203749341992407</v>
      </c>
      <c r="O1096" s="26">
        <f t="shared" si="212"/>
        <v>1.0796661024342544</v>
      </c>
      <c r="P1096" s="26">
        <f t="shared" si="213"/>
        <v>1.4166226023457547</v>
      </c>
      <c r="Q1096" s="22"/>
      <c r="AD1096" s="59">
        <v>1092</v>
      </c>
      <c r="AE1096" s="61">
        <f t="shared" ca="1" si="215"/>
        <v>-1.452862183766052</v>
      </c>
      <c r="AF1096" s="61">
        <f t="shared" ca="1" si="215"/>
        <v>1.3590633796755416</v>
      </c>
      <c r="AG1096" s="61">
        <f t="shared" ca="1" si="215"/>
        <v>1.1055537444668793</v>
      </c>
      <c r="AH1096" s="19"/>
      <c r="AI1096" s="61">
        <f ca="1"/>
        <v>-3.1504277398081149E-2</v>
      </c>
      <c r="AJ1096" s="61">
        <f ca="1"/>
        <v>6.799935708288754E-3</v>
      </c>
      <c r="AK1096" s="61">
        <f ca="1"/>
        <v>1.6428555612974381E-2</v>
      </c>
      <c r="AL1096" s="19"/>
      <c r="AM1096" s="61">
        <f t="shared" ca="1" si="219"/>
        <v>-3.1153061075570903E-2</v>
      </c>
      <c r="AN1096" s="61">
        <f t="shared" ca="1" si="220"/>
        <v>7.0489883052052846E-3</v>
      </c>
      <c r="AO1096" s="61">
        <f t="shared" ca="1" si="221"/>
        <v>1.6860224216229198E-2</v>
      </c>
      <c r="AP1096" s="19"/>
      <c r="AQ1096" s="62">
        <f t="shared" ca="1" si="216"/>
        <v>1.0950494780233471</v>
      </c>
      <c r="AR1096" s="62">
        <f t="shared" ca="1" si="217"/>
        <v>1.2396111308935698</v>
      </c>
      <c r="AS1096" s="62">
        <f t="shared" ca="1" si="218"/>
        <v>0.68736444413406239</v>
      </c>
      <c r="AT1096" s="49"/>
    </row>
    <row r="1097" spans="1:46" x14ac:dyDescent="0.3">
      <c r="A1097" s="5">
        <v>45054</v>
      </c>
      <c r="B1097" s="6">
        <v>67.169998000000007</v>
      </c>
      <c r="C1097" s="6">
        <v>111.739998</v>
      </c>
      <c r="D1097" s="6">
        <v>107.379997</v>
      </c>
      <c r="F1097" s="13">
        <v>1094</v>
      </c>
      <c r="G1097" s="5">
        <v>45054</v>
      </c>
      <c r="H1097" s="15">
        <f t="shared" si="214"/>
        <v>-2.6879815093683885E-2</v>
      </c>
      <c r="I1097" s="15">
        <f t="shared" si="214"/>
        <v>-1.8619192512252747E-2</v>
      </c>
      <c r="J1097" s="15">
        <f t="shared" si="214"/>
        <v>3.1713113340392837E-3</v>
      </c>
      <c r="K1097" s="22"/>
      <c r="L1097" s="13">
        <v>1094</v>
      </c>
      <c r="M1097" s="5">
        <v>45054</v>
      </c>
      <c r="N1097" s="26">
        <f t="shared" si="211"/>
        <v>1.1880084331799006</v>
      </c>
      <c r="O1097" s="26">
        <f t="shared" si="212"/>
        <v>1.059749581567724</v>
      </c>
      <c r="P1097" s="26">
        <f t="shared" si="213"/>
        <v>1.421122284836482</v>
      </c>
      <c r="Q1097" s="22"/>
      <c r="AD1097" s="59">
        <v>1093</v>
      </c>
      <c r="AE1097" s="61">
        <f t="shared" ca="1" si="215"/>
        <v>-1.1386243013445481</v>
      </c>
      <c r="AF1097" s="61">
        <f t="shared" ca="1" si="215"/>
        <v>0.4549435525982059</v>
      </c>
      <c r="AG1097" s="61">
        <f t="shared" ca="1" si="215"/>
        <v>-0.81785895581094359</v>
      </c>
      <c r="AH1097" s="19"/>
      <c r="AI1097" s="61">
        <f ca="1"/>
        <v>-2.4690253654183637E-2</v>
      </c>
      <c r="AJ1097" s="61">
        <f ca="1"/>
        <v>-7.9334712543613871E-3</v>
      </c>
      <c r="AK1097" s="61">
        <f ca="1"/>
        <v>-3.4573383459521552E-2</v>
      </c>
      <c r="AL1097" s="19"/>
      <c r="AM1097" s="61">
        <f t="shared" ca="1" si="219"/>
        <v>-2.4339037331673391E-2</v>
      </c>
      <c r="AN1097" s="61">
        <f t="shared" ca="1" si="220"/>
        <v>-7.6844186574448565E-3</v>
      </c>
      <c r="AO1097" s="61">
        <f t="shared" ca="1" si="221"/>
        <v>-3.4141714856266735E-2</v>
      </c>
      <c r="AP1097" s="19"/>
      <c r="AQ1097" s="62">
        <f t="shared" ca="1" si="216"/>
        <v>1.0687187598858083</v>
      </c>
      <c r="AR1097" s="62">
        <f t="shared" ca="1" si="217"/>
        <v>1.2301219461204922</v>
      </c>
      <c r="AS1097" s="62">
        <f t="shared" ca="1" si="218"/>
        <v>0.66429273818022982</v>
      </c>
      <c r="AT1097" s="49"/>
    </row>
    <row r="1098" spans="1:46" x14ac:dyDescent="0.3">
      <c r="A1098" s="5">
        <v>45055</v>
      </c>
      <c r="B1098" s="6">
        <v>66.870002999999997</v>
      </c>
      <c r="C1098" s="6">
        <v>110.720001</v>
      </c>
      <c r="D1098" s="6">
        <v>108.400002</v>
      </c>
      <c r="F1098" s="13">
        <v>1095</v>
      </c>
      <c r="G1098" s="5">
        <v>45055</v>
      </c>
      <c r="H1098" s="15">
        <f t="shared" si="214"/>
        <v>-4.4762085745220269E-3</v>
      </c>
      <c r="I1098" s="15">
        <f t="shared" si="214"/>
        <v>-9.1702252311579215E-3</v>
      </c>
      <c r="J1098" s="15">
        <f t="shared" si="214"/>
        <v>9.4541903994706192E-3</v>
      </c>
      <c r="K1098" s="22"/>
      <c r="L1098" s="13">
        <v>1095</v>
      </c>
      <c r="M1098" s="5">
        <v>45055</v>
      </c>
      <c r="N1098" s="26">
        <f t="shared" si="211"/>
        <v>1.1827025436380874</v>
      </c>
      <c r="O1098" s="26">
        <f t="shared" si="212"/>
        <v>1.0500758621002302</v>
      </c>
      <c r="P1098" s="26">
        <f t="shared" si="213"/>
        <v>1.4346215572954357</v>
      </c>
      <c r="Q1098" s="22"/>
      <c r="AD1098" s="59">
        <v>1094</v>
      </c>
      <c r="AE1098" s="61">
        <f t="shared" ca="1" si="215"/>
        <v>0.69845112637481788</v>
      </c>
      <c r="AF1098" s="61">
        <f t="shared" ca="1" si="215"/>
        <v>-2.558061967036986</v>
      </c>
      <c r="AG1098" s="61">
        <f t="shared" ca="1" si="215"/>
        <v>-1.224980381718499</v>
      </c>
      <c r="AH1098" s="19"/>
      <c r="AI1098" s="61">
        <f ca="1"/>
        <v>1.5145413157685805E-2</v>
      </c>
      <c r="AJ1098" s="61">
        <f ca="1"/>
        <v>-4.4669686919533519E-2</v>
      </c>
      <c r="AK1098" s="61">
        <f ca="1"/>
        <v>-3.9078996430308884E-2</v>
      </c>
      <c r="AL1098" s="19"/>
      <c r="AM1098" s="61">
        <f t="shared" ca="1" si="219"/>
        <v>1.5496629480196049E-2</v>
      </c>
      <c r="AN1098" s="61">
        <f t="shared" ca="1" si="220"/>
        <v>-4.4420634322616989E-2</v>
      </c>
      <c r="AO1098" s="61">
        <f t="shared" ca="1" si="221"/>
        <v>-3.8647327827054066E-2</v>
      </c>
      <c r="AP1098" s="19"/>
      <c r="AQ1098" s="62">
        <f t="shared" ca="1" si="216"/>
        <v>1.085409287979509</v>
      </c>
      <c r="AR1098" s="62">
        <f t="shared" ca="1" si="217"/>
        <v>1.1766750105074115</v>
      </c>
      <c r="AS1098" s="62">
        <f t="shared" ca="1" si="218"/>
        <v>0.63910936837452015</v>
      </c>
      <c r="AT1098" s="49"/>
    </row>
    <row r="1099" spans="1:46" x14ac:dyDescent="0.3">
      <c r="A1099" s="5">
        <v>45056</v>
      </c>
      <c r="B1099" s="6">
        <v>67.540001000000004</v>
      </c>
      <c r="C1099" s="6">
        <v>109.760002</v>
      </c>
      <c r="D1099" s="6">
        <v>111.010002</v>
      </c>
      <c r="F1099" s="13">
        <v>1096</v>
      </c>
      <c r="G1099" s="5">
        <v>45056</v>
      </c>
      <c r="H1099" s="15">
        <f t="shared" si="214"/>
        <v>9.9695488344090158E-3</v>
      </c>
      <c r="I1099" s="15">
        <f t="shared" si="214"/>
        <v>-8.7083187020020412E-3</v>
      </c>
      <c r="J1099" s="15">
        <f t="shared" si="214"/>
        <v>2.3792197905220278E-2</v>
      </c>
      <c r="K1099" s="22"/>
      <c r="L1099" s="13">
        <v>1096</v>
      </c>
      <c r="M1099" s="5">
        <v>45056</v>
      </c>
      <c r="N1099" s="26">
        <f t="shared" si="211"/>
        <v>1.1945525257419081</v>
      </c>
      <c r="O1099" s="26">
        <f t="shared" si="212"/>
        <v>1.0409711676598792</v>
      </c>
      <c r="P1099" s="26">
        <f t="shared" si="213"/>
        <v>1.4691636439693925</v>
      </c>
      <c r="Q1099" s="22"/>
      <c r="AD1099" s="59">
        <v>1095</v>
      </c>
      <c r="AE1099" s="61">
        <f t="shared" ca="1" si="215"/>
        <v>0.70887846404204402</v>
      </c>
      <c r="AF1099" s="61">
        <f t="shared" ca="1" si="215"/>
        <v>1.0575263828940598</v>
      </c>
      <c r="AG1099" s="61">
        <f t="shared" ca="1" si="215"/>
        <v>-2.7160083963953263</v>
      </c>
      <c r="AH1099" s="19"/>
      <c r="AI1099" s="61">
        <f ca="1"/>
        <v>1.537152251758408E-2</v>
      </c>
      <c r="AJ1099" s="61">
        <f ca="1"/>
        <v>3.4082017345918564E-2</v>
      </c>
      <c r="AK1099" s="61">
        <f ca="1"/>
        <v>-5.166235883593806E-2</v>
      </c>
      <c r="AL1099" s="19"/>
      <c r="AM1099" s="61">
        <f t="shared" ca="1" si="219"/>
        <v>1.5722738840094324E-2</v>
      </c>
      <c r="AN1099" s="61">
        <f t="shared" ca="1" si="220"/>
        <v>3.4331069942835094E-2</v>
      </c>
      <c r="AO1099" s="61">
        <f t="shared" ca="1" si="221"/>
        <v>-5.1230690232683243E-2</v>
      </c>
      <c r="AP1099" s="19"/>
      <c r="AQ1099" s="62">
        <f t="shared" ca="1" si="216"/>
        <v>1.1026097596765014</v>
      </c>
      <c r="AR1099" s="62">
        <f t="shared" ca="1" si="217"/>
        <v>1.2177729542839326</v>
      </c>
      <c r="AS1099" s="62">
        <f t="shared" ca="1" si="218"/>
        <v>0.60719191150240326</v>
      </c>
      <c r="AT1099" s="49"/>
    </row>
    <row r="1100" spans="1:46" x14ac:dyDescent="0.3">
      <c r="A1100" s="5">
        <v>45057</v>
      </c>
      <c r="B1100" s="6">
        <v>67.150002000000001</v>
      </c>
      <c r="C1100" s="6">
        <v>110.970001</v>
      </c>
      <c r="D1100" s="6">
        <v>110.660004</v>
      </c>
      <c r="F1100" s="13">
        <v>1097</v>
      </c>
      <c r="G1100" s="5">
        <v>45057</v>
      </c>
      <c r="H1100" s="15">
        <f t="shared" si="214"/>
        <v>-5.7910770101507547E-3</v>
      </c>
      <c r="I1100" s="15">
        <f t="shared" si="214"/>
        <v>1.096372132476745E-2</v>
      </c>
      <c r="J1100" s="15">
        <f t="shared" si="214"/>
        <v>-3.1578317442317091E-3</v>
      </c>
      <c r="K1100" s="22"/>
      <c r="L1100" s="13">
        <v>1097</v>
      </c>
      <c r="M1100" s="5">
        <v>45057</v>
      </c>
      <c r="N1100" s="26">
        <f t="shared" si="211"/>
        <v>1.1876547720612882</v>
      </c>
      <c r="O1100" s="26">
        <f t="shared" si="212"/>
        <v>1.0524468787472139</v>
      </c>
      <c r="P1100" s="26">
        <f t="shared" si="213"/>
        <v>1.4645315898499629</v>
      </c>
      <c r="Q1100" s="22"/>
      <c r="AD1100" s="59">
        <v>1096</v>
      </c>
      <c r="AE1100" s="61">
        <f t="shared" ca="1" si="215"/>
        <v>-0.98089045986042112</v>
      </c>
      <c r="AF1100" s="61">
        <f t="shared" ca="1" si="215"/>
        <v>-2.365204258140293</v>
      </c>
      <c r="AG1100" s="61">
        <f t="shared" ca="1" si="215"/>
        <v>0.21540905102505981</v>
      </c>
      <c r="AH1100" s="19"/>
      <c r="AI1100" s="61">
        <f ca="1"/>
        <v>-2.1269908109570662E-2</v>
      </c>
      <c r="AJ1100" s="61">
        <f ca="1"/>
        <v>-6.6763350349682699E-2</v>
      </c>
      <c r="AK1100" s="61">
        <f ca="1"/>
        <v>-2.5631279938162749E-2</v>
      </c>
      <c r="AL1100" s="19"/>
      <c r="AM1100" s="61">
        <f t="shared" ca="1" si="219"/>
        <v>-2.0918691787060417E-2</v>
      </c>
      <c r="AN1100" s="61">
        <f t="shared" ca="1" si="220"/>
        <v>-6.6514297752766169E-2</v>
      </c>
      <c r="AO1100" s="61">
        <f t="shared" ca="1" si="221"/>
        <v>-2.5199611334907931E-2</v>
      </c>
      <c r="AP1100" s="19"/>
      <c r="AQ1100" s="62">
        <f t="shared" ca="1" si="216"/>
        <v>1.0797841789474114</v>
      </c>
      <c r="AR1100" s="62">
        <f t="shared" ca="1" si="217"/>
        <v>1.1394087021558967</v>
      </c>
      <c r="AS1100" s="62">
        <f t="shared" ca="1" si="218"/>
        <v>0.59208209169857795</v>
      </c>
      <c r="AT1100" s="49"/>
    </row>
    <row r="1101" spans="1:46" x14ac:dyDescent="0.3">
      <c r="A1101" s="5">
        <v>45058</v>
      </c>
      <c r="B1101" s="6">
        <v>67.080001999999993</v>
      </c>
      <c r="C1101" s="6">
        <v>112.360001</v>
      </c>
      <c r="D1101" s="6">
        <v>110.519997</v>
      </c>
      <c r="F1101" s="13">
        <v>1098</v>
      </c>
      <c r="G1101" s="5">
        <v>45058</v>
      </c>
      <c r="H1101" s="15">
        <f t="shared" si="214"/>
        <v>-1.0429859831580061E-3</v>
      </c>
      <c r="I1101" s="15">
        <f t="shared" si="214"/>
        <v>1.2448107612090413E-2</v>
      </c>
      <c r="J1101" s="15">
        <f t="shared" si="214"/>
        <v>-1.2660007059116967E-3</v>
      </c>
      <c r="K1101" s="22"/>
      <c r="L1101" s="13">
        <v>1098</v>
      </c>
      <c r="M1101" s="5">
        <v>45058</v>
      </c>
      <c r="N1101" s="26">
        <f t="shared" si="211"/>
        <v>1.1864167105338395</v>
      </c>
      <c r="O1101" s="26">
        <f t="shared" si="212"/>
        <v>1.0656297313044436</v>
      </c>
      <c r="P1101" s="26">
        <f t="shared" si="213"/>
        <v>1.4626786649729664</v>
      </c>
      <c r="Q1101" s="22"/>
      <c r="AD1101" s="59">
        <v>1097</v>
      </c>
      <c r="AE1101" s="61">
        <f t="shared" ca="1" si="215"/>
        <v>0.22917156918669995</v>
      </c>
      <c r="AF1101" s="61">
        <f t="shared" ca="1" si="215"/>
        <v>-1.1348460125719957</v>
      </c>
      <c r="AG1101" s="61">
        <f t="shared" ca="1" si="215"/>
        <v>0.7188723089861776</v>
      </c>
      <c r="AH1101" s="19"/>
      <c r="AI1101" s="61">
        <f ca="1"/>
        <v>4.9694215790628132E-3</v>
      </c>
      <c r="AJ1101" s="61">
        <f ca="1"/>
        <v>-2.1079962074349819E-2</v>
      </c>
      <c r="AK1101" s="61">
        <f ca="1"/>
        <v>1.3811502940190909E-2</v>
      </c>
      <c r="AL1101" s="19"/>
      <c r="AM1101" s="61">
        <f t="shared" ca="1" si="219"/>
        <v>5.3206379015730571E-3</v>
      </c>
      <c r="AN1101" s="61">
        <f t="shared" ca="1" si="220"/>
        <v>-2.0830909477433289E-2</v>
      </c>
      <c r="AO1101" s="61">
        <f t="shared" ca="1" si="221"/>
        <v>1.4243171543445728E-2</v>
      </c>
      <c r="AP1101" s="19"/>
      <c r="AQ1101" s="62">
        <f t="shared" ca="1" si="216"/>
        <v>1.0855446306247309</v>
      </c>
      <c r="AR1101" s="62">
        <f t="shared" ca="1" si="217"/>
        <v>1.1159192849695043</v>
      </c>
      <c r="AS1101" s="62">
        <f t="shared" ca="1" si="218"/>
        <v>0.60057556188764927</v>
      </c>
      <c r="AT1101" s="49"/>
    </row>
    <row r="1102" spans="1:46" x14ac:dyDescent="0.3">
      <c r="A1102" s="5">
        <v>45061</v>
      </c>
      <c r="B1102" s="6">
        <v>67.639999000000003</v>
      </c>
      <c r="C1102" s="6">
        <v>113.25</v>
      </c>
      <c r="D1102" s="6">
        <v>112.910004</v>
      </c>
      <c r="F1102" s="13">
        <v>1099</v>
      </c>
      <c r="G1102" s="5">
        <v>45061</v>
      </c>
      <c r="H1102" s="15">
        <f t="shared" si="214"/>
        <v>8.3135424760743416E-3</v>
      </c>
      <c r="I1102" s="15">
        <f t="shared" si="214"/>
        <v>7.8897532271362102E-3</v>
      </c>
      <c r="J1102" s="15">
        <f t="shared" si="214"/>
        <v>2.1394603708068831E-2</v>
      </c>
      <c r="K1102" s="22"/>
      <c r="L1102" s="13">
        <v>1099</v>
      </c>
      <c r="M1102" s="5">
        <v>45061</v>
      </c>
      <c r="N1102" s="26">
        <f t="shared" si="211"/>
        <v>1.1963211496936479</v>
      </c>
      <c r="O1102" s="26">
        <f t="shared" si="212"/>
        <v>1.0740705410836391</v>
      </c>
      <c r="P1102" s="26">
        <f t="shared" si="213"/>
        <v>1.4943092507757876</v>
      </c>
      <c r="Q1102" s="22"/>
      <c r="AD1102" s="59">
        <v>1098</v>
      </c>
      <c r="AE1102" s="61">
        <f t="shared" ca="1" si="215"/>
        <v>1.250345158454206</v>
      </c>
      <c r="AF1102" s="61">
        <f t="shared" ca="1" si="215"/>
        <v>-1.3250732006987846</v>
      </c>
      <c r="AG1102" s="61">
        <f t="shared" ca="1" si="215"/>
        <v>-0.27256238648437414</v>
      </c>
      <c r="AH1102" s="19"/>
      <c r="AI1102" s="61">
        <f ca="1"/>
        <v>2.7112840540167871E-2</v>
      </c>
      <c r="AJ1102" s="61">
        <f ca="1"/>
        <v>-9.2309894937214927E-3</v>
      </c>
      <c r="AK1102" s="61">
        <f ca="1"/>
        <v>2.1597204518433999E-3</v>
      </c>
      <c r="AL1102" s="19"/>
      <c r="AM1102" s="61">
        <f t="shared" ca="1" si="219"/>
        <v>2.7464056862678117E-2</v>
      </c>
      <c r="AN1102" s="61">
        <f t="shared" ca="1" si="220"/>
        <v>-8.9819368968049613E-3</v>
      </c>
      <c r="AO1102" s="61">
        <f t="shared" ca="1" si="221"/>
        <v>2.591389055098218E-3</v>
      </c>
      <c r="AP1102" s="19"/>
      <c r="AQ1102" s="62">
        <f t="shared" ca="1" si="216"/>
        <v>1.1157712631570766</v>
      </c>
      <c r="AR1102" s="62">
        <f t="shared" ca="1" si="217"/>
        <v>1.1059410474029903</v>
      </c>
      <c r="AS1102" s="62">
        <f t="shared" ca="1" si="218"/>
        <v>0.60213390509018261</v>
      </c>
      <c r="AT1102" s="49"/>
    </row>
    <row r="1103" spans="1:46" x14ac:dyDescent="0.3">
      <c r="A1103" s="5">
        <v>45062</v>
      </c>
      <c r="B1103" s="6">
        <v>66.199996999999996</v>
      </c>
      <c r="C1103" s="6">
        <v>109.480003</v>
      </c>
      <c r="D1103" s="6">
        <v>109.639999</v>
      </c>
      <c r="F1103" s="13">
        <v>1100</v>
      </c>
      <c r="G1103" s="5">
        <v>45062</v>
      </c>
      <c r="H1103" s="15">
        <f t="shared" si="214"/>
        <v>-2.1519091620487214E-2</v>
      </c>
      <c r="I1103" s="15">
        <f t="shared" si="214"/>
        <v>-3.3855852788400267E-2</v>
      </c>
      <c r="J1103" s="15">
        <f t="shared" si="214"/>
        <v>-2.938881430504986E-2</v>
      </c>
      <c r="K1103" s="22"/>
      <c r="L1103" s="13">
        <v>1100</v>
      </c>
      <c r="M1103" s="5">
        <v>45062</v>
      </c>
      <c r="N1103" s="26">
        <f t="shared" si="211"/>
        <v>1.1708524200415207</v>
      </c>
      <c r="O1103" s="26">
        <f t="shared" si="212"/>
        <v>1.038315638499324</v>
      </c>
      <c r="P1103" s="26">
        <f t="shared" si="213"/>
        <v>1.4510323173910091</v>
      </c>
      <c r="Q1103" s="22"/>
      <c r="AD1103" s="59">
        <v>1099</v>
      </c>
      <c r="AE1103" s="61">
        <f t="shared" ca="1" si="215"/>
        <v>0.58823945719845139</v>
      </c>
      <c r="AF1103" s="61">
        <f t="shared" ca="1" si="215"/>
        <v>2.4111777346611678</v>
      </c>
      <c r="AG1103" s="61">
        <f t="shared" ca="1" si="215"/>
        <v>0.94738821145923258</v>
      </c>
      <c r="AH1103" s="19"/>
      <c r="AI1103" s="61">
        <f ca="1"/>
        <v>1.2755551932695106E-2</v>
      </c>
      <c r="AJ1103" s="61">
        <f ca="1"/>
        <v>6.1616724467557761E-2</v>
      </c>
      <c r="AK1103" s="61">
        <f ca="1"/>
        <v>4.9944227034746033E-2</v>
      </c>
      <c r="AL1103" s="19"/>
      <c r="AM1103" s="61">
        <f t="shared" ca="1" si="219"/>
        <v>1.3106768255205349E-2</v>
      </c>
      <c r="AN1103" s="61">
        <f t="shared" ca="1" si="220"/>
        <v>6.1865777064474291E-2</v>
      </c>
      <c r="AO1103" s="61">
        <f t="shared" ca="1" si="221"/>
        <v>5.037589563800085E-2</v>
      </c>
      <c r="AP1103" s="19"/>
      <c r="AQ1103" s="62">
        <f t="shared" ca="1" si="216"/>
        <v>1.1304916763199102</v>
      </c>
      <c r="AR1103" s="62">
        <f t="shared" ca="1" si="217"/>
        <v>1.1765217031306969</v>
      </c>
      <c r="AS1103" s="62">
        <f t="shared" ca="1" si="218"/>
        <v>0.63324395947919287</v>
      </c>
      <c r="AT1103" s="49"/>
    </row>
    <row r="1104" spans="1:46" x14ac:dyDescent="0.3">
      <c r="A1104" s="5">
        <v>45063</v>
      </c>
      <c r="B1104" s="6">
        <v>67.279999000000004</v>
      </c>
      <c r="C1104" s="6">
        <v>112</v>
      </c>
      <c r="D1104" s="6">
        <v>112.099998</v>
      </c>
      <c r="F1104" s="13">
        <v>1101</v>
      </c>
      <c r="G1104" s="5">
        <v>45063</v>
      </c>
      <c r="H1104" s="15">
        <f t="shared" si="214"/>
        <v>1.618258317569362E-2</v>
      </c>
      <c r="I1104" s="15">
        <f t="shared" si="214"/>
        <v>2.2756959720351317E-2</v>
      </c>
      <c r="J1104" s="15">
        <f t="shared" si="214"/>
        <v>2.2189049923074588E-2</v>
      </c>
      <c r="K1104" s="22"/>
      <c r="L1104" s="13">
        <v>1101</v>
      </c>
      <c r="M1104" s="5">
        <v>45063</v>
      </c>
      <c r="N1104" s="26">
        <f t="shared" si="211"/>
        <v>1.1899539761239128</v>
      </c>
      <c r="O1104" s="26">
        <f t="shared" si="212"/>
        <v>1.0622154578487204</v>
      </c>
      <c r="P1104" s="26">
        <f t="shared" si="213"/>
        <v>1.483589213435395</v>
      </c>
      <c r="Q1104" s="22"/>
      <c r="AD1104" s="59">
        <v>1100</v>
      </c>
      <c r="AE1104" s="61">
        <f t="shared" ca="1" si="215"/>
        <v>0.63686256536217634</v>
      </c>
      <c r="AF1104" s="61">
        <f t="shared" ca="1" si="215"/>
        <v>1.3028783818739671</v>
      </c>
      <c r="AG1104" s="61">
        <f t="shared" ca="1" si="215"/>
        <v>1.4552546039304468</v>
      </c>
      <c r="AH1104" s="19"/>
      <c r="AI1104" s="61">
        <f ca="1"/>
        <v>1.3809909258987493E-2</v>
      </c>
      <c r="AJ1104" s="61">
        <f ca="1"/>
        <v>3.8287775535342829E-2</v>
      </c>
      <c r="AK1104" s="61">
        <f ca="1"/>
        <v>5.5869019571999315E-2</v>
      </c>
      <c r="AL1104" s="19"/>
      <c r="AM1104" s="61">
        <f t="shared" ca="1" si="219"/>
        <v>1.4161125581497737E-2</v>
      </c>
      <c r="AN1104" s="61">
        <f t="shared" ca="1" si="220"/>
        <v>3.8536828132259358E-2</v>
      </c>
      <c r="AO1104" s="61">
        <f t="shared" ca="1" si="221"/>
        <v>5.6300688175254132E-2</v>
      </c>
      <c r="AP1104" s="19"/>
      <c r="AQ1104" s="62">
        <f t="shared" ca="1" si="216"/>
        <v>1.1466146008600402</v>
      </c>
      <c r="AR1104" s="62">
        <f t="shared" ca="1" si="217"/>
        <v>1.2227460675322455</v>
      </c>
      <c r="AS1104" s="62">
        <f t="shared" ca="1" si="218"/>
        <v>0.66991875115047328</v>
      </c>
      <c r="AT1104" s="49"/>
    </row>
    <row r="1105" spans="1:46" x14ac:dyDescent="0.3">
      <c r="A1105" s="5">
        <v>45064</v>
      </c>
      <c r="B1105" s="6">
        <v>68.580001999999993</v>
      </c>
      <c r="C1105" s="6">
        <v>112.779999</v>
      </c>
      <c r="D1105" s="6">
        <v>111.550003</v>
      </c>
      <c r="F1105" s="13">
        <v>1102</v>
      </c>
      <c r="G1105" s="5">
        <v>45064</v>
      </c>
      <c r="H1105" s="15">
        <f t="shared" si="214"/>
        <v>1.9137975396360585E-2</v>
      </c>
      <c r="I1105" s="15">
        <f t="shared" si="214"/>
        <v>6.9401382171211537E-3</v>
      </c>
      <c r="J1105" s="15">
        <f t="shared" si="214"/>
        <v>-4.918364464590045E-3</v>
      </c>
      <c r="K1105" s="22"/>
      <c r="L1105" s="13">
        <v>1102</v>
      </c>
      <c r="M1105" s="5">
        <v>45064</v>
      </c>
      <c r="N1105" s="26">
        <f t="shared" si="211"/>
        <v>1.2129466004077361</v>
      </c>
      <c r="O1105" s="26">
        <f t="shared" si="212"/>
        <v>1.0696130203032432</v>
      </c>
      <c r="P1105" s="26">
        <f t="shared" si="213"/>
        <v>1.4763102958261065</v>
      </c>
      <c r="Q1105" s="22"/>
      <c r="AD1105" s="59">
        <v>1101</v>
      </c>
      <c r="AE1105" s="61">
        <f t="shared" ca="1" si="215"/>
        <v>0.32359605550276621</v>
      </c>
      <c r="AF1105" s="61">
        <f t="shared" ca="1" si="215"/>
        <v>6.8973169477903523E-2</v>
      </c>
      <c r="AG1105" s="61">
        <f t="shared" ca="1" si="215"/>
        <v>1.3476818501180515E-2</v>
      </c>
      <c r="AH1105" s="19"/>
      <c r="AI1105" s="61">
        <f ca="1"/>
        <v>7.0169490343934869E-3</v>
      </c>
      <c r="AJ1105" s="61">
        <f ca="1"/>
        <v>6.5642368361814429E-3</v>
      </c>
      <c r="AK1105" s="61">
        <f ca="1"/>
        <v>5.6123247407216864E-3</v>
      </c>
      <c r="AL1105" s="19"/>
      <c r="AM1105" s="61">
        <f t="shared" ca="1" si="219"/>
        <v>7.3681653569037308E-3</v>
      </c>
      <c r="AN1105" s="61">
        <f t="shared" ca="1" si="220"/>
        <v>6.8132894330979734E-3</v>
      </c>
      <c r="AO1105" s="61">
        <f t="shared" ca="1" si="221"/>
        <v>6.0439933439765045E-3</v>
      </c>
      <c r="AP1105" s="19"/>
      <c r="AQ1105" s="62">
        <f t="shared" ca="1" si="216"/>
        <v>1.1550942481984914</v>
      </c>
      <c r="AR1105" s="62">
        <f t="shared" ca="1" si="217"/>
        <v>1.2311054354526523</v>
      </c>
      <c r="AS1105" s="62">
        <f t="shared" ca="1" si="218"/>
        <v>0.67397999632979699</v>
      </c>
      <c r="AT1105" s="49"/>
    </row>
    <row r="1106" spans="1:46" x14ac:dyDescent="0.3">
      <c r="A1106" s="5">
        <v>45065</v>
      </c>
      <c r="B1106" s="6">
        <v>68.360000999999997</v>
      </c>
      <c r="C1106" s="6">
        <v>109.120003</v>
      </c>
      <c r="D1106" s="6">
        <v>111.269997</v>
      </c>
      <c r="F1106" s="13">
        <v>1103</v>
      </c>
      <c r="G1106" s="5">
        <v>45065</v>
      </c>
      <c r="H1106" s="15">
        <f t="shared" si="214"/>
        <v>-3.2131033219673913E-3</v>
      </c>
      <c r="I1106" s="15">
        <f t="shared" si="214"/>
        <v>-3.2990787924395533E-2</v>
      </c>
      <c r="J1106" s="15">
        <f t="shared" si="214"/>
        <v>-2.5132945641471874E-3</v>
      </c>
      <c r="K1106" s="22"/>
      <c r="L1106" s="13">
        <v>1103</v>
      </c>
      <c r="M1106" s="5">
        <v>45065</v>
      </c>
      <c r="N1106" s="26">
        <f t="shared" si="211"/>
        <v>1.2090555322063048</v>
      </c>
      <c r="O1106" s="26">
        <f t="shared" si="212"/>
        <v>1.0349013745276674</v>
      </c>
      <c r="P1106" s="26">
        <f t="shared" si="213"/>
        <v>1.4726045519482414</v>
      </c>
      <c r="Q1106" s="22"/>
      <c r="AD1106" s="59">
        <v>1102</v>
      </c>
      <c r="AE1106" s="61">
        <f t="shared" ca="1" si="215"/>
        <v>-1.9568324682913507</v>
      </c>
      <c r="AF1106" s="61">
        <f t="shared" ca="1" si="215"/>
        <v>1.6857773889290408</v>
      </c>
      <c r="AG1106" s="61">
        <f t="shared" ca="1" si="215"/>
        <v>-6.6349071920545871E-2</v>
      </c>
      <c r="AH1106" s="19"/>
      <c r="AI1106" s="61">
        <f ca="1"/>
        <v>-4.2432512588922576E-2</v>
      </c>
      <c r="AJ1106" s="61">
        <f ca="1"/>
        <v>6.0130839736030409E-3</v>
      </c>
      <c r="AK1106" s="61">
        <f ca="1"/>
        <v>-1.8741107524427644E-2</v>
      </c>
      <c r="AL1106" s="19"/>
      <c r="AM1106" s="61">
        <f t="shared" ca="1" si="219"/>
        <v>-4.2081296266412334E-2</v>
      </c>
      <c r="AN1106" s="61">
        <f t="shared" ca="1" si="220"/>
        <v>6.2621365705195714E-3</v>
      </c>
      <c r="AO1106" s="61">
        <f t="shared" ca="1" si="221"/>
        <v>-1.8309438921172826E-2</v>
      </c>
      <c r="AP1106" s="19"/>
      <c r="AQ1106" s="62">
        <f t="shared" ca="1" si="216"/>
        <v>1.1074949294479297</v>
      </c>
      <c r="AR1106" s="62">
        <f t="shared" ca="1" si="217"/>
        <v>1.2388389747897874</v>
      </c>
      <c r="AS1106" s="62">
        <f t="shared" ca="1" si="218"/>
        <v>0.66175208544725395</v>
      </c>
      <c r="AT1106" s="49"/>
    </row>
    <row r="1107" spans="1:46" x14ac:dyDescent="0.3">
      <c r="A1107" s="5">
        <v>45068</v>
      </c>
      <c r="B1107" s="6">
        <v>68.510002</v>
      </c>
      <c r="C1107" s="6">
        <v>108.82</v>
      </c>
      <c r="D1107" s="6">
        <v>112.790001</v>
      </c>
      <c r="F1107" s="13">
        <v>1104</v>
      </c>
      <c r="G1107" s="5">
        <v>45068</v>
      </c>
      <c r="H1107" s="15">
        <f t="shared" si="214"/>
        <v>2.1918763317981178E-3</v>
      </c>
      <c r="I1107" s="15">
        <f t="shared" si="214"/>
        <v>-2.7530805300409584E-3</v>
      </c>
      <c r="J1107" s="15">
        <f t="shared" si="214"/>
        <v>1.3568038309696041E-2</v>
      </c>
      <c r="K1107" s="22"/>
      <c r="L1107" s="13">
        <v>1104</v>
      </c>
      <c r="M1107" s="5">
        <v>45068</v>
      </c>
      <c r="N1107" s="26">
        <f t="shared" si="211"/>
        <v>1.2117085388802877</v>
      </c>
      <c r="O1107" s="26">
        <f t="shared" si="212"/>
        <v>1.032056126099087</v>
      </c>
      <c r="P1107" s="26">
        <f t="shared" si="213"/>
        <v>1.4927210691561958</v>
      </c>
      <c r="Q1107" s="22"/>
      <c r="AD1107" s="59">
        <v>1103</v>
      </c>
      <c r="AE1107" s="61">
        <f t="shared" ca="1" si="215"/>
        <v>-1.7528381902581278</v>
      </c>
      <c r="AF1107" s="61">
        <f t="shared" ca="1" si="215"/>
        <v>-6.2554919983251633E-2</v>
      </c>
      <c r="AG1107" s="61">
        <f t="shared" ca="1" si="215"/>
        <v>-0.46930415033577139</v>
      </c>
      <c r="AH1107" s="19"/>
      <c r="AI1107" s="61">
        <f ca="1"/>
        <v>-3.8009042562246728E-2</v>
      </c>
      <c r="AJ1107" s="61">
        <f ca="1"/>
        <v>-2.8795710511857836E-2</v>
      </c>
      <c r="AK1107" s="61">
        <f ca="1"/>
        <v>-3.836323323855783E-2</v>
      </c>
      <c r="AL1107" s="19"/>
      <c r="AM1107" s="61">
        <f t="shared" ca="1" si="219"/>
        <v>-3.7657826239736486E-2</v>
      </c>
      <c r="AN1107" s="61">
        <f t="shared" ca="1" si="220"/>
        <v>-2.8546657914941306E-2</v>
      </c>
      <c r="AO1107" s="61">
        <f t="shared" ca="1" si="221"/>
        <v>-3.7931564635303013E-2</v>
      </c>
      <c r="AP1107" s="19"/>
      <c r="AQ1107" s="62">
        <f t="shared" ca="1" si="216"/>
        <v>1.0665645885356241</v>
      </c>
      <c r="AR1107" s="62">
        <f t="shared" ca="1" si="217"/>
        <v>1.2039742654364511</v>
      </c>
      <c r="AS1107" s="62">
        <f t="shared" ca="1" si="218"/>
        <v>0.63712089643080183</v>
      </c>
      <c r="AT1107" s="49"/>
    </row>
    <row r="1108" spans="1:46" x14ac:dyDescent="0.3">
      <c r="A1108" s="5">
        <v>45069</v>
      </c>
      <c r="B1108" s="6">
        <v>68.519997000000004</v>
      </c>
      <c r="C1108" s="6">
        <v>107.959999</v>
      </c>
      <c r="D1108" s="6">
        <v>112.5</v>
      </c>
      <c r="F1108" s="13">
        <v>1105</v>
      </c>
      <c r="G1108" s="5">
        <v>45069</v>
      </c>
      <c r="H1108" s="15">
        <f t="shared" si="214"/>
        <v>1.4588046545520422E-4</v>
      </c>
      <c r="I1108" s="15">
        <f t="shared" si="214"/>
        <v>-7.9343621706653034E-3</v>
      </c>
      <c r="J1108" s="15">
        <f t="shared" si="214"/>
        <v>-2.5744698733848066E-3</v>
      </c>
      <c r="K1108" s="22"/>
      <c r="L1108" s="13">
        <v>1105</v>
      </c>
      <c r="M1108" s="5">
        <v>45069</v>
      </c>
      <c r="N1108" s="26">
        <f t="shared" si="211"/>
        <v>1.2118853163798142</v>
      </c>
      <c r="O1108" s="26">
        <f t="shared" si="212"/>
        <v>1.0238998193493964</v>
      </c>
      <c r="P1108" s="26">
        <f t="shared" si="213"/>
        <v>1.4888830462912401</v>
      </c>
      <c r="Q1108" s="22"/>
      <c r="AD1108" s="59">
        <v>1104</v>
      </c>
      <c r="AE1108" s="61">
        <f t="shared" ca="1" si="215"/>
        <v>-2.3021451658515768</v>
      </c>
      <c r="AF1108" s="61">
        <f t="shared" ca="1" si="215"/>
        <v>-1.3349687369495327</v>
      </c>
      <c r="AG1108" s="61">
        <f t="shared" ca="1" si="215"/>
        <v>-0.28185648603235913</v>
      </c>
      <c r="AH1108" s="19"/>
      <c r="AI1108" s="61">
        <f ca="1"/>
        <v>-4.9920371475040318E-2</v>
      </c>
      <c r="AJ1108" s="61">
        <f ca="1"/>
        <v>-6.5050858050154453E-2</v>
      </c>
      <c r="AK1108" s="61">
        <f ca="1"/>
        <v>-5.0638067285994577E-2</v>
      </c>
      <c r="AL1108" s="19"/>
      <c r="AM1108" s="61">
        <f t="shared" ca="1" si="219"/>
        <v>-4.9569155152530076E-2</v>
      </c>
      <c r="AN1108" s="61">
        <f t="shared" ca="1" si="220"/>
        <v>-6.4801805453237923E-2</v>
      </c>
      <c r="AO1108" s="61">
        <f t="shared" ca="1" si="221"/>
        <v>-5.020639868273976E-2</v>
      </c>
      <c r="AP1108" s="19"/>
      <c r="AQ1108" s="62">
        <f t="shared" ca="1" si="216"/>
        <v>1.0149848265374464</v>
      </c>
      <c r="AR1108" s="62">
        <f t="shared" ca="1" si="217"/>
        <v>1.1284287371448349</v>
      </c>
      <c r="AS1108" s="62">
        <f t="shared" ca="1" si="218"/>
        <v>0.60592306901878812</v>
      </c>
      <c r="AT1108" s="49"/>
    </row>
    <row r="1109" spans="1:46" x14ac:dyDescent="0.3">
      <c r="A1109" s="5">
        <v>45070</v>
      </c>
      <c r="B1109" s="6">
        <v>67.629997000000003</v>
      </c>
      <c r="C1109" s="6">
        <v>108.220001</v>
      </c>
      <c r="D1109" s="6">
        <v>114.790001</v>
      </c>
      <c r="F1109" s="13">
        <v>1106</v>
      </c>
      <c r="G1109" s="5">
        <v>45070</v>
      </c>
      <c r="H1109" s="15">
        <f t="shared" si="214"/>
        <v>-1.3074002445245708E-2</v>
      </c>
      <c r="I1109" s="15">
        <f t="shared" si="214"/>
        <v>2.4054225679112314E-3</v>
      </c>
      <c r="J1109" s="15">
        <f t="shared" si="214"/>
        <v>2.0151159144490737E-2</v>
      </c>
      <c r="K1109" s="22"/>
      <c r="L1109" s="13">
        <v>1106</v>
      </c>
      <c r="M1109" s="5">
        <v>45070</v>
      </c>
      <c r="N1109" s="26">
        <f t="shared" si="211"/>
        <v>1.196144248387969</v>
      </c>
      <c r="O1109" s="26">
        <f t="shared" si="212"/>
        <v>1.0263656956303926</v>
      </c>
      <c r="P1109" s="26">
        <f t="shared" si="213"/>
        <v>1.5191901010902622</v>
      </c>
      <c r="Q1109" s="22"/>
      <c r="AD1109" s="59">
        <v>1105</v>
      </c>
      <c r="AE1109" s="61">
        <f t="shared" ca="1" si="215"/>
        <v>1.4494864843147537</v>
      </c>
      <c r="AF1109" s="61">
        <f t="shared" ca="1" si="215"/>
        <v>0.18538647209880144</v>
      </c>
      <c r="AG1109" s="61">
        <f t="shared" ca="1" si="215"/>
        <v>1.8631758933337792</v>
      </c>
      <c r="AH1109" s="19"/>
      <c r="AI1109" s="61">
        <f ca="1"/>
        <v>3.1431077769709943E-2</v>
      </c>
      <c r="AJ1109" s="61">
        <f ca="1"/>
        <v>2.6717415882574185E-2</v>
      </c>
      <c r="AK1109" s="61">
        <f ca="1"/>
        <v>7.045701400031304E-2</v>
      </c>
      <c r="AL1109" s="19"/>
      <c r="AM1109" s="61">
        <f t="shared" ca="1" si="219"/>
        <v>3.1782294092220185E-2</v>
      </c>
      <c r="AN1109" s="61">
        <f t="shared" ca="1" si="220"/>
        <v>2.6966468479490715E-2</v>
      </c>
      <c r="AO1109" s="61">
        <f t="shared" ca="1" si="221"/>
        <v>7.0888682603567857E-2</v>
      </c>
      <c r="AP1109" s="19"/>
      <c r="AQ1109" s="62">
        <f t="shared" ca="1" si="216"/>
        <v>1.047761472324942</v>
      </c>
      <c r="AR1109" s="62">
        <f t="shared" ca="1" si="217"/>
        <v>1.1592724794350193</v>
      </c>
      <c r="AS1109" s="62">
        <f t="shared" ca="1" si="218"/>
        <v>0.65043522243349483</v>
      </c>
      <c r="AT1109" s="49"/>
    </row>
    <row r="1110" spans="1:46" x14ac:dyDescent="0.3">
      <c r="A1110" s="5">
        <v>45071</v>
      </c>
      <c r="B1110" s="6">
        <v>67.160004000000001</v>
      </c>
      <c r="C1110" s="6">
        <v>114</v>
      </c>
      <c r="D1110" s="6">
        <v>113.18</v>
      </c>
      <c r="F1110" s="13">
        <v>1107</v>
      </c>
      <c r="G1110" s="5">
        <v>45071</v>
      </c>
      <c r="H1110" s="15">
        <f t="shared" si="214"/>
        <v>-6.97373545923564E-3</v>
      </c>
      <c r="I1110" s="15">
        <f t="shared" si="214"/>
        <v>5.203224693947027E-2</v>
      </c>
      <c r="J1110" s="15">
        <f t="shared" si="214"/>
        <v>-1.4124909074587761E-2</v>
      </c>
      <c r="K1110" s="22"/>
      <c r="L1110" s="13">
        <v>1107</v>
      </c>
      <c r="M1110" s="5">
        <v>45071</v>
      </c>
      <c r="N1110" s="26">
        <f t="shared" si="211"/>
        <v>1.1878316733669674</v>
      </c>
      <c r="O1110" s="26">
        <f t="shared" si="212"/>
        <v>1.0811835910245904</v>
      </c>
      <c r="P1110" s="26">
        <f t="shared" si="213"/>
        <v>1.4978825171488228</v>
      </c>
      <c r="Q1110" s="22"/>
      <c r="AD1110" s="59">
        <v>1106</v>
      </c>
      <c r="AE1110" s="61">
        <f t="shared" ca="1" si="215"/>
        <v>-0.38814824257452674</v>
      </c>
      <c r="AF1110" s="61">
        <f t="shared" ca="1" si="215"/>
        <v>0.87596641398507924</v>
      </c>
      <c r="AG1110" s="61">
        <f t="shared" ca="1" si="215"/>
        <v>-0.86935756711528533</v>
      </c>
      <c r="AH1110" s="19"/>
      <c r="AI1110" s="61">
        <f ca="1"/>
        <v>-8.4167170446599326E-3</v>
      </c>
      <c r="AJ1110" s="61">
        <f ca="1"/>
        <v>1.2964593947081389E-2</v>
      </c>
      <c r="AK1110" s="61">
        <f ca="1"/>
        <v>-2.1839045052156177E-2</v>
      </c>
      <c r="AL1110" s="19"/>
      <c r="AM1110" s="61">
        <f t="shared" ca="1" si="219"/>
        <v>-8.0655007221496888E-3</v>
      </c>
      <c r="AN1110" s="61">
        <f t="shared" ca="1" si="220"/>
        <v>1.321364654399792E-2</v>
      </c>
      <c r="AO1110" s="61">
        <f t="shared" ca="1" si="221"/>
        <v>-2.1407376448901359E-2</v>
      </c>
      <c r="AP1110" s="19"/>
      <c r="AQ1110" s="62">
        <f t="shared" ca="1" si="216"/>
        <v>1.0393447396223801</v>
      </c>
      <c r="AR1110" s="62">
        <f t="shared" ca="1" si="217"/>
        <v>1.1746923482153442</v>
      </c>
      <c r="AS1110" s="62">
        <f t="shared" ca="1" si="218"/>
        <v>0.63665909227492512</v>
      </c>
      <c r="AT1110" s="49"/>
    </row>
    <row r="1111" spans="1:46" x14ac:dyDescent="0.3">
      <c r="A1111" s="5">
        <v>45072</v>
      </c>
      <c r="B1111" s="6">
        <v>67.5</v>
      </c>
      <c r="C1111" s="6">
        <v>112.760002</v>
      </c>
      <c r="D1111" s="6">
        <v>113.82</v>
      </c>
      <c r="F1111" s="13">
        <v>1108</v>
      </c>
      <c r="G1111" s="5">
        <v>45072</v>
      </c>
      <c r="H1111" s="15">
        <f t="shared" si="214"/>
        <v>5.0497061098843717E-3</v>
      </c>
      <c r="I1111" s="15">
        <f t="shared" si="214"/>
        <v>-1.0936764411797686E-2</v>
      </c>
      <c r="J1111" s="15">
        <f t="shared" si="214"/>
        <v>5.6387814606000354E-3</v>
      </c>
      <c r="K1111" s="22"/>
      <c r="L1111" s="13">
        <v>1108</v>
      </c>
      <c r="M1111" s="5">
        <v>45072</v>
      </c>
      <c r="N1111" s="26">
        <f t="shared" si="211"/>
        <v>1.1938450443253441</v>
      </c>
      <c r="O1111" s="26">
        <f t="shared" si="212"/>
        <v>1.0694233674236842</v>
      </c>
      <c r="P1111" s="26">
        <f t="shared" si="213"/>
        <v>1.5063526073677238</v>
      </c>
      <c r="Q1111" s="22"/>
      <c r="AD1111" s="59">
        <v>1107</v>
      </c>
      <c r="AE1111" s="61">
        <f t="shared" ca="1" si="215"/>
        <v>-2.3617068009361604</v>
      </c>
      <c r="AF1111" s="61">
        <f t="shared" ca="1" si="215"/>
        <v>0.43433826457176511</v>
      </c>
      <c r="AG1111" s="61">
        <f t="shared" ca="1" si="215"/>
        <v>-0.39056311078621608</v>
      </c>
      <c r="AH1111" s="19"/>
      <c r="AI1111" s="61">
        <f ca="1"/>
        <v>-5.1211922934604061E-2</v>
      </c>
      <c r="AJ1111" s="61">
        <f ca="1"/>
        <v>-2.752544874292142E-2</v>
      </c>
      <c r="AK1111" s="61">
        <f ca="1"/>
        <v>-4.1842906823869222E-2</v>
      </c>
      <c r="AL1111" s="19"/>
      <c r="AM1111" s="61">
        <f t="shared" ca="1" si="219"/>
        <v>-5.0860706612093819E-2</v>
      </c>
      <c r="AN1111" s="61">
        <f t="shared" ca="1" si="220"/>
        <v>-2.727639614600489E-2</v>
      </c>
      <c r="AO1111" s="61">
        <f t="shared" ca="1" si="221"/>
        <v>-4.1411238220614405E-2</v>
      </c>
      <c r="AP1111" s="19"/>
      <c r="AQ1111" s="62">
        <f t="shared" ca="1" si="216"/>
        <v>0.98780472247704154</v>
      </c>
      <c r="AR1111" s="62">
        <f t="shared" ca="1" si="217"/>
        <v>1.1430840147849024</v>
      </c>
      <c r="AS1111" s="62">
        <f t="shared" ca="1" si="218"/>
        <v>0.61083269320361178</v>
      </c>
      <c r="AT1111" s="49"/>
    </row>
    <row r="1112" spans="1:46" x14ac:dyDescent="0.3">
      <c r="A1112" s="5">
        <v>45076</v>
      </c>
      <c r="B1112" s="6">
        <v>66.769997000000004</v>
      </c>
      <c r="C1112" s="6">
        <v>109.32</v>
      </c>
      <c r="D1112" s="6">
        <v>111.660004</v>
      </c>
      <c r="F1112" s="13">
        <v>1109</v>
      </c>
      <c r="G1112" s="5">
        <v>45076</v>
      </c>
      <c r="H1112" s="15">
        <f t="shared" si="214"/>
        <v>-1.0873764939065575E-2</v>
      </c>
      <c r="I1112" s="15">
        <f t="shared" si="214"/>
        <v>-3.0982322922830589E-2</v>
      </c>
      <c r="J1112" s="15">
        <f t="shared" si="214"/>
        <v>-1.9159677469729804E-2</v>
      </c>
      <c r="K1112" s="22"/>
      <c r="L1112" s="13">
        <v>1109</v>
      </c>
      <c r="M1112" s="5">
        <v>45076</v>
      </c>
      <c r="N1112" s="26">
        <f t="shared" si="211"/>
        <v>1.1809337781936016</v>
      </c>
      <c r="O1112" s="26">
        <f t="shared" si="212"/>
        <v>1.0367981593930544</v>
      </c>
      <c r="P1112" s="26">
        <f t="shared" si="213"/>
        <v>1.477766105816996</v>
      </c>
      <c r="Q1112" s="22"/>
      <c r="AD1112" s="59">
        <v>1108</v>
      </c>
      <c r="AE1112" s="61">
        <f t="shared" ca="1" si="215"/>
        <v>1.4738079759975826</v>
      </c>
      <c r="AF1112" s="61">
        <f t="shared" ca="1" si="215"/>
        <v>-1.2358748688343133</v>
      </c>
      <c r="AG1112" s="61">
        <f t="shared" ca="1" si="215"/>
        <v>0.46659312087113131</v>
      </c>
      <c r="AH1112" s="19"/>
      <c r="AI1112" s="61">
        <f ca="1"/>
        <v>3.1958471922625929E-2</v>
      </c>
      <c r="AJ1112" s="61">
        <f ca="1"/>
        <v>-3.7944574490519287E-3</v>
      </c>
      <c r="AK1112" s="61">
        <f ca="1"/>
        <v>2.5026812268626214E-2</v>
      </c>
      <c r="AL1112" s="19"/>
      <c r="AM1112" s="61">
        <f t="shared" ca="1" si="219"/>
        <v>3.2309688245136171E-2</v>
      </c>
      <c r="AN1112" s="61">
        <f t="shared" ca="1" si="220"/>
        <v>-3.5454048521353981E-3</v>
      </c>
      <c r="AO1112" s="61">
        <f t="shared" ca="1" si="221"/>
        <v>2.5458480871881031E-2</v>
      </c>
      <c r="AP1112" s="19"/>
      <c r="AQ1112" s="62">
        <f t="shared" ca="1" si="216"/>
        <v>1.0202415756847916</v>
      </c>
      <c r="AR1112" s="62">
        <f t="shared" ca="1" si="217"/>
        <v>1.1390384949130232</v>
      </c>
      <c r="AS1112" s="62">
        <f t="shared" ca="1" si="218"/>
        <v>0.62658320702207682</v>
      </c>
      <c r="AT1112" s="49"/>
    </row>
    <row r="1113" spans="1:46" x14ac:dyDescent="0.3">
      <c r="A1113" s="5">
        <v>45077</v>
      </c>
      <c r="B1113" s="6">
        <v>65.019997000000004</v>
      </c>
      <c r="C1113" s="6">
        <v>106.30999799999999</v>
      </c>
      <c r="D1113" s="6">
        <v>107.040001</v>
      </c>
      <c r="F1113" s="13">
        <v>1110</v>
      </c>
      <c r="G1113" s="5">
        <v>45077</v>
      </c>
      <c r="H1113" s="15">
        <f t="shared" si="214"/>
        <v>-2.6558964203309655E-2</v>
      </c>
      <c r="I1113" s="15">
        <f t="shared" si="214"/>
        <v>-2.7920025572259314E-2</v>
      </c>
      <c r="J1113" s="15">
        <f t="shared" si="214"/>
        <v>-4.2255969983027671E-2</v>
      </c>
      <c r="K1113" s="22"/>
      <c r="L1113" s="13">
        <v>1110</v>
      </c>
      <c r="M1113" s="5">
        <v>45077</v>
      </c>
      <c r="N1113" s="26">
        <f t="shared" si="211"/>
        <v>1.1499822400073889</v>
      </c>
      <c r="O1113" s="26">
        <f t="shared" si="212"/>
        <v>1.008251099995237</v>
      </c>
      <c r="P1113" s="26">
        <f t="shared" si="213"/>
        <v>1.4166226023457547</v>
      </c>
      <c r="Q1113" s="22"/>
      <c r="AD1113" s="59">
        <v>1109</v>
      </c>
      <c r="AE1113" s="61">
        <f t="shared" ca="1" si="215"/>
        <v>-1.5319318095274552</v>
      </c>
      <c r="AF1113" s="61">
        <f t="shared" ca="1" si="215"/>
        <v>1.5006337075476031</v>
      </c>
      <c r="AG1113" s="61">
        <f t="shared" ca="1" si="215"/>
        <v>0.322268796116147</v>
      </c>
      <c r="AH1113" s="19"/>
      <c r="AI1113" s="61">
        <f ca="1"/>
        <v>-3.32188456837616E-2</v>
      </c>
      <c r="AJ1113" s="61">
        <f ca="1"/>
        <v>8.6394863468244598E-3</v>
      </c>
      <c r="AK1113" s="61">
        <f ca="1"/>
        <v>-3.8104630332799032E-3</v>
      </c>
      <c r="AL1113" s="19"/>
      <c r="AM1113" s="61">
        <f t="shared" ca="1" si="219"/>
        <v>-3.2867629361251358E-2</v>
      </c>
      <c r="AN1113" s="61">
        <f t="shared" ca="1" si="220"/>
        <v>8.8885389437409913E-3</v>
      </c>
      <c r="AO1113" s="61">
        <f t="shared" ca="1" si="221"/>
        <v>-3.3787944300250851E-3</v>
      </c>
      <c r="AP1113" s="19"/>
      <c r="AQ1113" s="62">
        <f t="shared" ca="1" si="216"/>
        <v>0.98725373933004823</v>
      </c>
      <c r="AR1113" s="62">
        <f t="shared" ca="1" si="217"/>
        <v>1.1492080120536261</v>
      </c>
      <c r="AS1113" s="62">
        <f t="shared" ca="1" si="218"/>
        <v>0.62446968376325973</v>
      </c>
      <c r="AT1113" s="49"/>
    </row>
    <row r="1114" spans="1:46" x14ac:dyDescent="0.3">
      <c r="A1114" s="5">
        <v>45078</v>
      </c>
      <c r="B1114" s="6">
        <v>66.360000999999997</v>
      </c>
      <c r="C1114" s="6">
        <v>106.089996</v>
      </c>
      <c r="D1114" s="6">
        <v>105.93</v>
      </c>
      <c r="F1114" s="13">
        <v>1111</v>
      </c>
      <c r="G1114" s="5">
        <v>45078</v>
      </c>
      <c r="H1114" s="15">
        <f t="shared" si="214"/>
        <v>2.0399611655453596E-2</v>
      </c>
      <c r="I1114" s="15">
        <f t="shared" si="214"/>
        <v>-2.071582720264835E-3</v>
      </c>
      <c r="J1114" s="15">
        <f t="shared" si="214"/>
        <v>-1.0424107113815464E-2</v>
      </c>
      <c r="K1114" s="22"/>
      <c r="L1114" s="13">
        <v>1111</v>
      </c>
      <c r="M1114" s="5">
        <v>45078</v>
      </c>
      <c r="N1114" s="26">
        <f t="shared" si="211"/>
        <v>1.1736823457077761</v>
      </c>
      <c r="O1114" s="26">
        <f t="shared" si="212"/>
        <v>1.0061645863777582</v>
      </c>
      <c r="P1114" s="26">
        <f t="shared" si="213"/>
        <v>1.4019322763878317</v>
      </c>
      <c r="Q1114" s="22"/>
      <c r="AD1114" s="59">
        <v>1110</v>
      </c>
      <c r="AE1114" s="61">
        <f t="shared" ca="1" si="215"/>
        <v>-1.3970636524057025</v>
      </c>
      <c r="AF1114" s="61">
        <f t="shared" ca="1" si="215"/>
        <v>-0.42364509984879584</v>
      </c>
      <c r="AG1114" s="61">
        <f t="shared" ca="1" si="215"/>
        <v>0.492140893778785</v>
      </c>
      <c r="AH1114" s="19"/>
      <c r="AI1114" s="61">
        <f ca="1"/>
        <v>-3.0294326151483732E-2</v>
      </c>
      <c r="AJ1114" s="61">
        <f ca="1"/>
        <v>-3.1075669731960281E-2</v>
      </c>
      <c r="AK1114" s="61">
        <f ca="1"/>
        <v>-1.1017254689958535E-2</v>
      </c>
      <c r="AL1114" s="19"/>
      <c r="AM1114" s="61">
        <f t="shared" ca="1" si="219"/>
        <v>-2.9943109828973486E-2</v>
      </c>
      <c r="AN1114" s="61">
        <f t="shared" ca="1" si="220"/>
        <v>-3.0826617135043751E-2</v>
      </c>
      <c r="AO1114" s="61">
        <f t="shared" ca="1" si="221"/>
        <v>-1.0585586086703716E-2</v>
      </c>
      <c r="AP1114" s="19"/>
      <c r="AQ1114" s="62">
        <f t="shared" ca="1" si="216"/>
        <v>0.95813048846880189</v>
      </c>
      <c r="AR1114" s="62">
        <f t="shared" ca="1" si="217"/>
        <v>1.1143222837110869</v>
      </c>
      <c r="AS1114" s="62">
        <f t="shared" ca="1" si="218"/>
        <v>0.61789417039991301</v>
      </c>
      <c r="AT1114" s="49"/>
    </row>
    <row r="1115" spans="1:46" x14ac:dyDescent="0.3">
      <c r="A1115" s="5">
        <v>45079</v>
      </c>
      <c r="B1115" s="6">
        <v>69.879997000000003</v>
      </c>
      <c r="C1115" s="6">
        <v>112.58000199999999</v>
      </c>
      <c r="D1115" s="6">
        <v>109.269997</v>
      </c>
      <c r="F1115" s="13">
        <v>1112</v>
      </c>
      <c r="G1115" s="5">
        <v>45079</v>
      </c>
      <c r="H1115" s="15">
        <f t="shared" si="214"/>
        <v>5.1684961943554146E-2</v>
      </c>
      <c r="I1115" s="15">
        <f t="shared" si="214"/>
        <v>5.9376345033681999E-2</v>
      </c>
      <c r="J1115" s="15">
        <f t="shared" si="214"/>
        <v>3.1043357519320684E-2</v>
      </c>
      <c r="K1115" s="22"/>
      <c r="L1115" s="13">
        <v>1112</v>
      </c>
      <c r="M1115" s="5">
        <v>45079</v>
      </c>
      <c r="N1115" s="26">
        <f t="shared" si="211"/>
        <v>1.2359390831988137</v>
      </c>
      <c r="O1115" s="26">
        <f t="shared" si="212"/>
        <v>1.0677162354378558</v>
      </c>
      <c r="P1115" s="26">
        <f t="shared" si="213"/>
        <v>1.4461355200141748</v>
      </c>
      <c r="Q1115" s="22"/>
      <c r="AD1115" s="59">
        <v>1111</v>
      </c>
      <c r="AE1115" s="61">
        <f t="shared" ca="1" si="215"/>
        <v>0.70089946431961281</v>
      </c>
      <c r="AF1115" s="61">
        <f t="shared" ca="1" si="215"/>
        <v>0.44737097876428328</v>
      </c>
      <c r="AG1115" s="61">
        <f t="shared" ca="1" si="215"/>
        <v>-1.6545423424593511</v>
      </c>
      <c r="AH1115" s="19"/>
      <c r="AI1115" s="61">
        <f ca="1"/>
        <v>1.519850361501819E-2</v>
      </c>
      <c r="AJ1115" s="61">
        <f ca="1"/>
        <v>2.0694778735649573E-2</v>
      </c>
      <c r="AK1115" s="61">
        <f ca="1"/>
        <v>-2.8882535701756647E-2</v>
      </c>
      <c r="AL1115" s="19"/>
      <c r="AM1115" s="61">
        <f t="shared" ca="1" si="219"/>
        <v>1.5549719937528433E-2</v>
      </c>
      <c r="AN1115" s="61">
        <f t="shared" ca="1" si="220"/>
        <v>2.0943831332566103E-2</v>
      </c>
      <c r="AO1115" s="61">
        <f t="shared" ca="1" si="221"/>
        <v>-2.8450867098501829E-2</v>
      </c>
      <c r="AP1115" s="19"/>
      <c r="AQ1115" s="62">
        <f t="shared" ca="1" si="216"/>
        <v>0.97314558697112641</v>
      </c>
      <c r="AR1115" s="62">
        <f t="shared" ca="1" si="217"/>
        <v>1.1379065722659887</v>
      </c>
      <c r="AS1115" s="62">
        <f t="shared" ca="1" si="218"/>
        <v>0.60056226839309634</v>
      </c>
      <c r="AT1115" s="49"/>
    </row>
    <row r="1116" spans="1:46" x14ac:dyDescent="0.3">
      <c r="A1116" s="5">
        <v>45082</v>
      </c>
      <c r="B1116" s="6">
        <v>69.610000999999997</v>
      </c>
      <c r="C1116" s="6">
        <v>113.18</v>
      </c>
      <c r="D1116" s="6">
        <v>107.389999</v>
      </c>
      <c r="F1116" s="13">
        <v>1113</v>
      </c>
      <c r="G1116" s="5">
        <v>45082</v>
      </c>
      <c r="H1116" s="15">
        <f t="shared" si="214"/>
        <v>-3.8711927887894958E-3</v>
      </c>
      <c r="I1116" s="15">
        <f t="shared" si="214"/>
        <v>5.3153739133526522E-3</v>
      </c>
      <c r="J1116" s="15">
        <f t="shared" si="214"/>
        <v>-1.7354797569454395E-2</v>
      </c>
      <c r="K1116" s="22"/>
      <c r="L1116" s="13">
        <v>1113</v>
      </c>
      <c r="M1116" s="5">
        <v>45082</v>
      </c>
      <c r="N1116" s="26">
        <f t="shared" si="211"/>
        <v>1.2311637737678851</v>
      </c>
      <c r="O1116" s="26">
        <f t="shared" si="212"/>
        <v>1.0734066564224838</v>
      </c>
      <c r="P1116" s="26">
        <f t="shared" si="213"/>
        <v>1.4212546564651842</v>
      </c>
      <c r="Q1116" s="22"/>
      <c r="AD1116" s="59">
        <v>1112</v>
      </c>
      <c r="AE1116" s="61">
        <f t="shared" ca="1" si="215"/>
        <v>1.3724109475932436</v>
      </c>
      <c r="AF1116" s="61">
        <f t="shared" ca="1" si="215"/>
        <v>-0.14585498773082539</v>
      </c>
      <c r="AG1116" s="61">
        <f t="shared" ca="1" si="215"/>
        <v>0.85236809828027815</v>
      </c>
      <c r="AH1116" s="19"/>
      <c r="AI1116" s="61">
        <f ca="1"/>
        <v>2.9759749878728477E-2</v>
      </c>
      <c r="AJ1116" s="61">
        <f ca="1"/>
        <v>1.8311133331843549E-2</v>
      </c>
      <c r="AK1116" s="61">
        <f ca="1"/>
        <v>4.1088575564500525E-2</v>
      </c>
      <c r="AL1116" s="19"/>
      <c r="AM1116" s="61">
        <f t="shared" ca="1" si="219"/>
        <v>3.0110966201238723E-2</v>
      </c>
      <c r="AN1116" s="61">
        <f t="shared" ca="1" si="220"/>
        <v>1.8560185928760079E-2</v>
      </c>
      <c r="AO1116" s="61">
        <f t="shared" ca="1" si="221"/>
        <v>4.1520244167755342E-2</v>
      </c>
      <c r="AP1116" s="19"/>
      <c r="AQ1116" s="62">
        <f t="shared" ca="1" si="216"/>
        <v>1.0028935634058962</v>
      </c>
      <c r="AR1116" s="62">
        <f t="shared" ca="1" si="217"/>
        <v>1.1592235413349792</v>
      </c>
      <c r="AS1116" s="62">
        <f t="shared" ca="1" si="218"/>
        <v>0.62602266377314963</v>
      </c>
      <c r="AT1116" s="49"/>
    </row>
    <row r="1117" spans="1:46" x14ac:dyDescent="0.3">
      <c r="A1117" s="5">
        <v>45083</v>
      </c>
      <c r="B1117" s="6">
        <v>71.5</v>
      </c>
      <c r="C1117" s="6">
        <v>115.489998</v>
      </c>
      <c r="D1117" s="6">
        <v>109.269997</v>
      </c>
      <c r="F1117" s="13">
        <v>1114</v>
      </c>
      <c r="G1117" s="5">
        <v>45083</v>
      </c>
      <c r="H1117" s="15">
        <f t="shared" si="214"/>
        <v>2.6789200153634923E-2</v>
      </c>
      <c r="I1117" s="15">
        <f t="shared" si="214"/>
        <v>2.0204457095101533E-2</v>
      </c>
      <c r="J1117" s="15">
        <f t="shared" si="214"/>
        <v>1.7354797569454301E-2</v>
      </c>
      <c r="K1117" s="22"/>
      <c r="L1117" s="13">
        <v>1114</v>
      </c>
      <c r="M1117" s="5">
        <v>45083</v>
      </c>
      <c r="N1117" s="26">
        <f t="shared" si="211"/>
        <v>1.2645914173224015</v>
      </c>
      <c r="O1117" s="26">
        <f t="shared" si="212"/>
        <v>1.0953148312724803</v>
      </c>
      <c r="P1117" s="26">
        <f t="shared" si="213"/>
        <v>1.4461355200141748</v>
      </c>
      <c r="Q1117" s="22"/>
      <c r="AD1117" s="59">
        <v>1113</v>
      </c>
      <c r="AE1117" s="61">
        <f t="shared" ca="1" si="215"/>
        <v>-1.2039921538382603</v>
      </c>
      <c r="AF1117" s="61">
        <f t="shared" ca="1" si="215"/>
        <v>-1.1159113542914523</v>
      </c>
      <c r="AG1117" s="61">
        <f t="shared" ca="1" si="215"/>
        <v>-1.1382592630586348</v>
      </c>
      <c r="AH1117" s="19"/>
      <c r="AI1117" s="61">
        <f ca="1"/>
        <v>-2.6107708785778123E-2</v>
      </c>
      <c r="AJ1117" s="61">
        <f ca="1"/>
        <v>-4.3100760892984855E-2</v>
      </c>
      <c r="AK1117" s="61">
        <f ca="1"/>
        <v>-5.4810554581796858E-2</v>
      </c>
      <c r="AL1117" s="19"/>
      <c r="AM1117" s="61">
        <f t="shared" ca="1" si="219"/>
        <v>-2.5756492463267878E-2</v>
      </c>
      <c r="AN1117" s="61">
        <f t="shared" ca="1" si="220"/>
        <v>-4.2851708296068325E-2</v>
      </c>
      <c r="AO1117" s="61">
        <f t="shared" ca="1" si="221"/>
        <v>-5.4378885978542041E-2</v>
      </c>
      <c r="AP1117" s="19"/>
      <c r="AQ1117" s="62">
        <f t="shared" ca="1" si="216"/>
        <v>0.9773923634006163</v>
      </c>
      <c r="AR1117" s="62">
        <f t="shared" ca="1" si="217"/>
        <v>1.1105981141546861</v>
      </c>
      <c r="AS1117" s="62">
        <f t="shared" ca="1" si="218"/>
        <v>0.59288929105589028</v>
      </c>
      <c r="AT1117" s="49"/>
    </row>
    <row r="1118" spans="1:46" x14ac:dyDescent="0.3">
      <c r="A1118" s="5">
        <v>45084</v>
      </c>
      <c r="B1118" s="6">
        <v>72.709998999999996</v>
      </c>
      <c r="C1118" s="6">
        <v>119.029999</v>
      </c>
      <c r="D1118" s="6">
        <v>113.519997</v>
      </c>
      <c r="F1118" s="13">
        <v>1115</v>
      </c>
      <c r="G1118" s="5">
        <v>45084</v>
      </c>
      <c r="H1118" s="15">
        <f t="shared" si="214"/>
        <v>1.6781463208736976E-2</v>
      </c>
      <c r="I1118" s="15">
        <f t="shared" si="214"/>
        <v>3.0191624969065831E-2</v>
      </c>
      <c r="J1118" s="15">
        <f t="shared" si="214"/>
        <v>3.8157150297000175E-2</v>
      </c>
      <c r="K1118" s="22"/>
      <c r="L1118" s="13">
        <v>1115</v>
      </c>
      <c r="M1118" s="5">
        <v>45084</v>
      </c>
      <c r="N1118" s="26">
        <f t="shared" si="211"/>
        <v>1.2859921774674181</v>
      </c>
      <c r="O1118" s="26">
        <f t="shared" si="212"/>
        <v>1.1288884364778369</v>
      </c>
      <c r="P1118" s="26">
        <f t="shared" si="213"/>
        <v>1.5023822128740663</v>
      </c>
      <c r="Q1118" s="22"/>
      <c r="AD1118" s="59">
        <v>1114</v>
      </c>
      <c r="AE1118" s="61">
        <f t="shared" ca="1" si="215"/>
        <v>-0.72879894777593612</v>
      </c>
      <c r="AF1118" s="61">
        <f t="shared" ca="1" si="215"/>
        <v>1.5974878345368229</v>
      </c>
      <c r="AG1118" s="61">
        <f t="shared" ca="1" si="215"/>
        <v>0.98486123343334664</v>
      </c>
      <c r="AH1118" s="19"/>
      <c r="AI1118" s="61">
        <f ca="1"/>
        <v>-1.5803483960636931E-2</v>
      </c>
      <c r="AJ1118" s="61">
        <f ca="1"/>
        <v>2.3315616302007409E-2</v>
      </c>
      <c r="AK1118" s="61">
        <f ca="1"/>
        <v>2.5713943437391827E-2</v>
      </c>
      <c r="AL1118" s="19"/>
      <c r="AM1118" s="61">
        <f t="shared" ca="1" si="219"/>
        <v>-1.5452267638126687E-2</v>
      </c>
      <c r="AN1118" s="61">
        <f t="shared" ca="1" si="220"/>
        <v>2.3564668898923939E-2</v>
      </c>
      <c r="AO1118" s="61">
        <f t="shared" ca="1" si="221"/>
        <v>2.6145612040646644E-2</v>
      </c>
      <c r="AP1118" s="19"/>
      <c r="AQ1118" s="62">
        <f t="shared" ca="1" si="216"/>
        <v>0.96240552354679965</v>
      </c>
      <c r="AR1118" s="62">
        <f t="shared" ca="1" si="217"/>
        <v>1.1370797814415297</v>
      </c>
      <c r="AS1118" s="62">
        <f t="shared" ca="1" si="218"/>
        <v>0.60859516965496241</v>
      </c>
      <c r="AT1118" s="49"/>
    </row>
    <row r="1119" spans="1:46" x14ac:dyDescent="0.3">
      <c r="A1119" s="5">
        <v>45085</v>
      </c>
      <c r="B1119" s="6">
        <v>72.889999000000003</v>
      </c>
      <c r="C1119" s="6">
        <v>117.730003</v>
      </c>
      <c r="D1119" s="6">
        <v>112.44000200000001</v>
      </c>
      <c r="F1119" s="13">
        <v>1116</v>
      </c>
      <c r="G1119" s="5">
        <v>45085</v>
      </c>
      <c r="H1119" s="15">
        <f t="shared" si="214"/>
        <v>2.4725287661195982E-3</v>
      </c>
      <c r="I1119" s="15">
        <f t="shared" si="214"/>
        <v>-1.0981661206404817E-2</v>
      </c>
      <c r="J1119" s="15">
        <f t="shared" si="214"/>
        <v>-9.5592425991302375E-3</v>
      </c>
      <c r="K1119" s="22"/>
      <c r="L1119" s="13">
        <v>1116</v>
      </c>
      <c r="M1119" s="5">
        <v>45085</v>
      </c>
      <c r="N1119" s="26">
        <f t="shared" si="211"/>
        <v>1.2891757642522859</v>
      </c>
      <c r="O1119" s="26">
        <f t="shared" si="212"/>
        <v>1.1165591878497876</v>
      </c>
      <c r="P1119" s="26">
        <f t="shared" si="213"/>
        <v>1.4880890018022501</v>
      </c>
      <c r="Q1119" s="22"/>
      <c r="AD1119" s="59">
        <v>1115</v>
      </c>
      <c r="AE1119" s="61">
        <f t="shared" ca="1" si="215"/>
        <v>0.12002203312132749</v>
      </c>
      <c r="AF1119" s="61">
        <f t="shared" ca="1" si="215"/>
        <v>-0.30725535962084149</v>
      </c>
      <c r="AG1119" s="61">
        <f t="shared" ca="1" si="215"/>
        <v>-3.7607267150607574E-3</v>
      </c>
      <c r="AH1119" s="19"/>
      <c r="AI1119" s="61">
        <f ca="1"/>
        <v>2.6025919509684589E-3</v>
      </c>
      <c r="AJ1119" s="61">
        <f ca="1"/>
        <v>-4.7998824881610612E-3</v>
      </c>
      <c r="AK1119" s="61">
        <f ca="1"/>
        <v>-4.867923607305291E-4</v>
      </c>
      <c r="AL1119" s="19"/>
      <c r="AM1119" s="61">
        <f t="shared" ca="1" si="219"/>
        <v>2.9538082734787033E-3</v>
      </c>
      <c r="AN1119" s="61">
        <f t="shared" ca="1" si="220"/>
        <v>-4.5508298912445306E-3</v>
      </c>
      <c r="AO1119" s="61">
        <f t="shared" ca="1" si="221"/>
        <v>-5.5123757475710865E-5</v>
      </c>
      <c r="AP1119" s="19"/>
      <c r="AQ1119" s="62">
        <f t="shared" ca="1" si="216"/>
        <v>0.96525248756765758</v>
      </c>
      <c r="AR1119" s="62">
        <f t="shared" ca="1" si="217"/>
        <v>1.1319168814335812</v>
      </c>
      <c r="AS1119" s="62">
        <f t="shared" ca="1" si="218"/>
        <v>0.60856162252705981</v>
      </c>
      <c r="AT1119" s="49"/>
    </row>
    <row r="1120" spans="1:46" x14ac:dyDescent="0.3">
      <c r="A1120" s="5">
        <v>45086</v>
      </c>
      <c r="B1120" s="6">
        <v>72.720000999999996</v>
      </c>
      <c r="C1120" s="6">
        <v>117.33000199999999</v>
      </c>
      <c r="D1120" s="6">
        <v>113.389999</v>
      </c>
      <c r="F1120" s="13">
        <v>1117</v>
      </c>
      <c r="G1120" s="5">
        <v>45086</v>
      </c>
      <c r="H1120" s="15">
        <f t="shared" si="214"/>
        <v>-2.3349780542201277E-3</v>
      </c>
      <c r="I1120" s="15">
        <f t="shared" si="214"/>
        <v>-3.4033980906691464E-3</v>
      </c>
      <c r="J1120" s="15">
        <f t="shared" si="214"/>
        <v>8.413431339033205E-3</v>
      </c>
      <c r="K1120" s="22"/>
      <c r="L1120" s="13">
        <v>1117</v>
      </c>
      <c r="M1120" s="5">
        <v>45086</v>
      </c>
      <c r="N1120" s="26">
        <f t="shared" si="211"/>
        <v>1.2861690787730973</v>
      </c>
      <c r="O1120" s="26">
        <f t="shared" si="212"/>
        <v>1.112765551730547</v>
      </c>
      <c r="P1120" s="26">
        <f t="shared" si="213"/>
        <v>1.5006617522673837</v>
      </c>
      <c r="Q1120" s="22"/>
      <c r="AD1120" s="59">
        <v>1116</v>
      </c>
      <c r="AE1120" s="61">
        <f t="shared" ca="1" si="215"/>
        <v>-5.6518186562605724E-2</v>
      </c>
      <c r="AF1120" s="61">
        <f t="shared" ca="1" si="215"/>
        <v>-0.56942207714986415</v>
      </c>
      <c r="AG1120" s="61">
        <f t="shared" ca="1" si="215"/>
        <v>1.8368678184505076</v>
      </c>
      <c r="AH1120" s="19"/>
      <c r="AI1120" s="61">
        <f ca="1"/>
        <v>-1.2255564549758767E-3</v>
      </c>
      <c r="AJ1120" s="61">
        <f ca="1"/>
        <v>-1.3261610052312462E-2</v>
      </c>
      <c r="AK1120" s="61">
        <f ca="1"/>
        <v>4.2215251398009968E-2</v>
      </c>
      <c r="AL1120" s="19"/>
      <c r="AM1120" s="61">
        <f t="shared" ca="1" si="219"/>
        <v>-8.7434013246563246E-4</v>
      </c>
      <c r="AN1120" s="61">
        <f t="shared" ca="1" si="220"/>
        <v>-1.301255745539593E-2</v>
      </c>
      <c r="AO1120" s="61">
        <f t="shared" ca="1" si="221"/>
        <v>4.2646920001264785E-2</v>
      </c>
      <c r="AP1120" s="19"/>
      <c r="AQ1120" s="62">
        <f t="shared" ca="1" si="216"/>
        <v>0.96440889742591474</v>
      </c>
      <c r="AR1120" s="62">
        <f t="shared" ca="1" si="217"/>
        <v>1.1172831655031201</v>
      </c>
      <c r="AS1120" s="62">
        <f t="shared" ca="1" si="218"/>
        <v>0.63507626678959206</v>
      </c>
      <c r="AT1120" s="49"/>
    </row>
    <row r="1121" spans="1:46" x14ac:dyDescent="0.3">
      <c r="A1121" s="5">
        <v>45089</v>
      </c>
      <c r="B1121" s="6">
        <v>73.430000000000007</v>
      </c>
      <c r="C1121" s="6">
        <v>118.30999799999999</v>
      </c>
      <c r="D1121" s="6">
        <v>113.08000199999999</v>
      </c>
      <c r="F1121" s="13">
        <v>1118</v>
      </c>
      <c r="G1121" s="5">
        <v>45089</v>
      </c>
      <c r="H1121" s="15">
        <f t="shared" si="214"/>
        <v>9.7161078429207452E-3</v>
      </c>
      <c r="I1121" s="15">
        <f t="shared" si="214"/>
        <v>8.3177868793583194E-3</v>
      </c>
      <c r="J1121" s="15">
        <f t="shared" si="214"/>
        <v>-2.7376446526456107E-3</v>
      </c>
      <c r="K1121" s="22"/>
      <c r="L1121" s="13">
        <v>1118</v>
      </c>
      <c r="M1121" s="5">
        <v>45089</v>
      </c>
      <c r="N1121" s="26">
        <f t="shared" si="211"/>
        <v>1.2987265422934819</v>
      </c>
      <c r="O1121" s="26">
        <f t="shared" si="212"/>
        <v>1.1220598990504571</v>
      </c>
      <c r="P1121" s="26">
        <f t="shared" si="213"/>
        <v>1.4965590920211513</v>
      </c>
      <c r="Q1121" s="22"/>
      <c r="AD1121" s="59">
        <v>1117</v>
      </c>
      <c r="AE1121" s="61">
        <f t="shared" ca="1" si="215"/>
        <v>0.12702520276366017</v>
      </c>
      <c r="AF1121" s="61">
        <f t="shared" ca="1" si="215"/>
        <v>0.48610939005891562</v>
      </c>
      <c r="AG1121" s="61">
        <f t="shared" ca="1" si="215"/>
        <v>-1.064152529175149</v>
      </c>
      <c r="AH1121" s="19"/>
      <c r="AI1121" s="61">
        <f ca="1"/>
        <v>2.7544506761408363E-3</v>
      </c>
      <c r="AJ1121" s="61">
        <f ca="1"/>
        <v>1.2554323661544547E-2</v>
      </c>
      <c r="AK1121" s="61">
        <f ca="1"/>
        <v>-2.1963267030158728E-2</v>
      </c>
      <c r="AL1121" s="19"/>
      <c r="AM1121" s="61">
        <f t="shared" ca="1" si="219"/>
        <v>3.1056669986510806E-3</v>
      </c>
      <c r="AN1121" s="61">
        <f t="shared" ca="1" si="220"/>
        <v>1.2803376258461079E-2</v>
      </c>
      <c r="AO1121" s="61">
        <f t="shared" ca="1" si="221"/>
        <v>-2.1531598426903911E-2</v>
      </c>
      <c r="AP1121" s="19"/>
      <c r="AQ1121" s="62">
        <f t="shared" ca="1" si="216"/>
        <v>0.96740868607303654</v>
      </c>
      <c r="AR1121" s="62">
        <f t="shared" ca="1" si="217"/>
        <v>1.1316801304682806</v>
      </c>
      <c r="AS1121" s="62">
        <f t="shared" ca="1" si="218"/>
        <v>0.62154822249165975</v>
      </c>
      <c r="AT1121" s="49"/>
    </row>
    <row r="1122" spans="1:46" x14ac:dyDescent="0.3">
      <c r="A1122" s="5">
        <v>45090</v>
      </c>
      <c r="B1122" s="6">
        <v>74.919998000000007</v>
      </c>
      <c r="C1122" s="6">
        <v>120.620003</v>
      </c>
      <c r="D1122" s="6">
        <v>113.08000199999999</v>
      </c>
      <c r="F1122" s="13">
        <v>1119</v>
      </c>
      <c r="G1122" s="5">
        <v>45090</v>
      </c>
      <c r="H1122" s="15">
        <f t="shared" si="214"/>
        <v>2.0088279417226868E-2</v>
      </c>
      <c r="I1122" s="15">
        <f t="shared" si="214"/>
        <v>1.9336851533508226E-2</v>
      </c>
      <c r="J1122" s="15">
        <f t="shared" si="214"/>
        <v>0</v>
      </c>
      <c r="K1122" s="22"/>
      <c r="L1122" s="13">
        <v>1119</v>
      </c>
      <c r="M1122" s="5">
        <v>45090</v>
      </c>
      <c r="N1122" s="26">
        <f t="shared" si="211"/>
        <v>1.3250795308616994</v>
      </c>
      <c r="O1122" s="26">
        <f t="shared" si="212"/>
        <v>1.1439681402889199</v>
      </c>
      <c r="P1122" s="26">
        <f t="shared" si="213"/>
        <v>1.4965590920211513</v>
      </c>
      <c r="Q1122" s="22"/>
      <c r="AD1122" s="59">
        <v>1118</v>
      </c>
      <c r="AE1122" s="61">
        <f t="shared" ca="1" si="215"/>
        <v>-3.641860975669718E-3</v>
      </c>
      <c r="AF1122" s="61">
        <f t="shared" ca="1" si="215"/>
        <v>-0.575753246380868</v>
      </c>
      <c r="AG1122" s="61">
        <f t="shared" ca="1" si="215"/>
        <v>-0.23992700791801452</v>
      </c>
      <c r="AH1122" s="19"/>
      <c r="AI1122" s="61">
        <f ca="1"/>
        <v>-7.8971150673999793E-5</v>
      </c>
      <c r="AJ1122" s="61">
        <f ca="1"/>
        <v>-1.2571586342278503E-2</v>
      </c>
      <c r="AK1122" s="61">
        <f ca="1"/>
        <v>-1.0255449257328502E-2</v>
      </c>
      <c r="AL1122" s="19"/>
      <c r="AM1122" s="61">
        <f t="shared" ca="1" si="219"/>
        <v>2.722451718362444E-4</v>
      </c>
      <c r="AN1122" s="61">
        <f t="shared" ca="1" si="220"/>
        <v>-1.2322533745361972E-2</v>
      </c>
      <c r="AO1122" s="61">
        <f t="shared" ca="1" si="221"/>
        <v>-9.8237806540736831E-3</v>
      </c>
      <c r="AP1122" s="19"/>
      <c r="AQ1122" s="62">
        <f t="shared" ca="1" si="216"/>
        <v>0.9676720942711905</v>
      </c>
      <c r="AR1122" s="62">
        <f t="shared" ca="1" si="217"/>
        <v>1.1178205319322223</v>
      </c>
      <c r="AS1122" s="62">
        <f t="shared" ca="1" si="218"/>
        <v>0.6154721628912927</v>
      </c>
      <c r="AT1122" s="49"/>
    </row>
    <row r="1123" spans="1:46" x14ac:dyDescent="0.3">
      <c r="A1123" s="5">
        <v>45091</v>
      </c>
      <c r="B1123" s="6">
        <v>71.370002999999997</v>
      </c>
      <c r="C1123" s="6">
        <v>121.739998</v>
      </c>
      <c r="D1123" s="6">
        <v>111.83000199999999</v>
      </c>
      <c r="F1123" s="13">
        <v>1120</v>
      </c>
      <c r="G1123" s="5">
        <v>45091</v>
      </c>
      <c r="H1123" s="15">
        <f t="shared" si="214"/>
        <v>-4.8543195863302677E-2</v>
      </c>
      <c r="I1123" s="15">
        <f t="shared" si="214"/>
        <v>9.2424737429866091E-3</v>
      </c>
      <c r="J1123" s="15">
        <f t="shared" si="214"/>
        <v>-1.1115671587597587E-2</v>
      </c>
      <c r="K1123" s="22"/>
      <c r="L1123" s="13">
        <v>1120</v>
      </c>
      <c r="M1123" s="5">
        <v>45091</v>
      </c>
      <c r="N1123" s="26">
        <f t="shared" si="211"/>
        <v>1.2622922132597769</v>
      </c>
      <c r="O1123" s="26">
        <f t="shared" si="212"/>
        <v>1.1545902474470742</v>
      </c>
      <c r="P1123" s="26">
        <f t="shared" si="213"/>
        <v>1.4800159470623597</v>
      </c>
      <c r="Q1123" s="22"/>
      <c r="AD1123" s="59">
        <v>1119</v>
      </c>
      <c r="AE1123" s="61">
        <f t="shared" ca="1" si="215"/>
        <v>-0.66484344606440038</v>
      </c>
      <c r="AF1123" s="61">
        <f t="shared" ca="1" si="215"/>
        <v>0.31849363660264091</v>
      </c>
      <c r="AG1123" s="61">
        <f t="shared" ca="1" si="215"/>
        <v>1.9968797593972649</v>
      </c>
      <c r="AH1123" s="19"/>
      <c r="AI1123" s="61">
        <f ca="1"/>
        <v>-1.4416654645669972E-2</v>
      </c>
      <c r="AJ1123" s="61">
        <f ca="1"/>
        <v>-3.4835709857393834E-3</v>
      </c>
      <c r="AK1123" s="61">
        <f ca="1"/>
        <v>4.357952375606948E-2</v>
      </c>
      <c r="AL1123" s="19"/>
      <c r="AM1123" s="61">
        <f t="shared" ca="1" si="219"/>
        <v>-1.4065438323159728E-2</v>
      </c>
      <c r="AN1123" s="61">
        <f t="shared" ca="1" si="220"/>
        <v>-3.2345183888228528E-3</v>
      </c>
      <c r="AO1123" s="61">
        <f t="shared" ca="1" si="221"/>
        <v>4.4011192359324297E-2</v>
      </c>
      <c r="AP1123" s="19"/>
      <c r="AQ1123" s="62">
        <f t="shared" ca="1" si="216"/>
        <v>0.95415663535929485</v>
      </c>
      <c r="AR1123" s="62">
        <f t="shared" ca="1" si="217"/>
        <v>1.114210761947132</v>
      </c>
      <c r="AS1123" s="62">
        <f t="shared" ca="1" si="218"/>
        <v>0.64316474863711426</v>
      </c>
      <c r="AT1123" s="49"/>
    </row>
    <row r="1124" spans="1:46" x14ac:dyDescent="0.3">
      <c r="A1124" s="5">
        <v>45092</v>
      </c>
      <c r="B1124" s="6">
        <v>73.279999000000004</v>
      </c>
      <c r="C1124" s="6">
        <v>121.470001</v>
      </c>
      <c r="D1124" s="6">
        <v>114.029999</v>
      </c>
      <c r="F1124" s="13">
        <v>1121</v>
      </c>
      <c r="G1124" s="5">
        <v>45092</v>
      </c>
      <c r="H1124" s="15">
        <f t="shared" si="214"/>
        <v>2.6410051702143316E-2</v>
      </c>
      <c r="I1124" s="15">
        <f t="shared" si="214"/>
        <v>-2.2202796926593621E-3</v>
      </c>
      <c r="J1124" s="15">
        <f t="shared" si="214"/>
        <v>1.948168397525964E-2</v>
      </c>
      <c r="K1124" s="22"/>
      <c r="L1124" s="13">
        <v>1121</v>
      </c>
      <c r="M1124" s="5">
        <v>45092</v>
      </c>
      <c r="N1124" s="26">
        <f t="shared" si="211"/>
        <v>1.296073535619499</v>
      </c>
      <c r="O1124" s="26">
        <f t="shared" si="212"/>
        <v>1.1520295779205314</v>
      </c>
      <c r="P1124" s="26">
        <f t="shared" si="213"/>
        <v>1.509131842486285</v>
      </c>
      <c r="Q1124" s="22"/>
      <c r="AD1124" s="59">
        <v>1120</v>
      </c>
      <c r="AE1124" s="61">
        <f t="shared" ca="1" si="215"/>
        <v>0.59956487408891934</v>
      </c>
      <c r="AF1124" s="61">
        <f t="shared" ca="1" si="215"/>
        <v>-0.36709208873396432</v>
      </c>
      <c r="AG1124" s="61">
        <f t="shared" ca="1" si="215"/>
        <v>1.6124306290905503</v>
      </c>
      <c r="AH1124" s="19"/>
      <c r="AI1124" s="61">
        <f ca="1"/>
        <v>1.3001135498261755E-2</v>
      </c>
      <c r="AJ1124" s="61">
        <f ca="1"/>
        <v>1.4054719069254568E-3</v>
      </c>
      <c r="AK1124" s="61">
        <f ca="1"/>
        <v>4.7584067148221998E-2</v>
      </c>
      <c r="AL1124" s="19"/>
      <c r="AM1124" s="61">
        <f t="shared" ca="1" si="219"/>
        <v>1.3352351820771999E-2</v>
      </c>
      <c r="AN1124" s="61">
        <f t="shared" ca="1" si="220"/>
        <v>1.6545245038419873E-3</v>
      </c>
      <c r="AO1124" s="61">
        <f t="shared" ca="1" si="221"/>
        <v>4.8015735751476815E-2</v>
      </c>
      <c r="AP1124" s="19"/>
      <c r="AQ1124" s="62">
        <f t="shared" ca="1" si="216"/>
        <v>0.96698230633049276</v>
      </c>
      <c r="AR1124" s="62">
        <f t="shared" ca="1" si="217"/>
        <v>1.1160557768455113</v>
      </c>
      <c r="AS1124" s="62">
        <f t="shared" ca="1" si="218"/>
        <v>0.67480019921388645</v>
      </c>
      <c r="AT1124" s="49"/>
    </row>
    <row r="1125" spans="1:46" x14ac:dyDescent="0.3">
      <c r="A1125" s="5">
        <v>45093</v>
      </c>
      <c r="B1125" s="6">
        <v>73.419998000000007</v>
      </c>
      <c r="C1125" s="6">
        <v>123.18</v>
      </c>
      <c r="D1125" s="6">
        <v>114.209999</v>
      </c>
      <c r="F1125" s="13">
        <v>1122</v>
      </c>
      <c r="G1125" s="5">
        <v>45093</v>
      </c>
      <c r="H1125" s="15">
        <f t="shared" si="214"/>
        <v>1.9086441085675225E-3</v>
      </c>
      <c r="I1125" s="15">
        <f t="shared" si="214"/>
        <v>1.3979373314232459E-2</v>
      </c>
      <c r="J1125" s="15">
        <f t="shared" si="214"/>
        <v>1.5772874070697782E-3</v>
      </c>
      <c r="K1125" s="22"/>
      <c r="L1125" s="13">
        <v>1122</v>
      </c>
      <c r="M1125" s="5">
        <v>45093</v>
      </c>
      <c r="N1125" s="26">
        <f t="shared" si="211"/>
        <v>1.2985496409878028</v>
      </c>
      <c r="O1125" s="26">
        <f t="shared" si="212"/>
        <v>1.1682473223018337</v>
      </c>
      <c r="P1125" s="26">
        <f t="shared" si="213"/>
        <v>1.511514055360351</v>
      </c>
      <c r="Q1125" s="22"/>
      <c r="AD1125" s="59">
        <v>1121</v>
      </c>
      <c r="AE1125" s="61">
        <f t="shared" ref="AE1125:AG1156" ca="1" si="222">_xlfn.NORM.S.INV(RAND())</f>
        <v>0.44367070010738779</v>
      </c>
      <c r="AF1125" s="61">
        <f t="shared" ca="1" si="222"/>
        <v>-1.6561219205859821</v>
      </c>
      <c r="AG1125" s="61">
        <f t="shared" ca="1" si="222"/>
        <v>3.1638698025178151E-2</v>
      </c>
      <c r="AH1125" s="19"/>
      <c r="AI1125" s="61">
        <f ca="1"/>
        <v>9.6206818277505372E-3</v>
      </c>
      <c r="AJ1125" s="61">
        <f ca="1"/>
        <v>-2.9053011511504179E-2</v>
      </c>
      <c r="AK1125" s="61">
        <f ca="1"/>
        <v>-4.2971146226271507E-3</v>
      </c>
      <c r="AL1125" s="19"/>
      <c r="AM1125" s="61">
        <f t="shared" ca="1" si="219"/>
        <v>9.9718981502607811E-3</v>
      </c>
      <c r="AN1125" s="61">
        <f t="shared" ca="1" si="220"/>
        <v>-2.880395891458765E-2</v>
      </c>
      <c r="AO1125" s="61">
        <f t="shared" ca="1" si="221"/>
        <v>-3.8654460193723325E-3</v>
      </c>
      <c r="AP1125" s="19"/>
      <c r="AQ1125" s="62">
        <f t="shared" ca="1" si="216"/>
        <v>0.97667319336757419</v>
      </c>
      <c r="AR1125" s="62">
        <f t="shared" ca="1" si="217"/>
        <v>1.0843675166398419</v>
      </c>
      <c r="AS1125" s="62">
        <f t="shared" ca="1" si="218"/>
        <v>0.67219683030251764</v>
      </c>
      <c r="AT1125" s="49"/>
    </row>
    <row r="1126" spans="1:46" x14ac:dyDescent="0.3">
      <c r="A1126" s="5">
        <v>45097</v>
      </c>
      <c r="B1126" s="6">
        <v>71.559997999999993</v>
      </c>
      <c r="C1126" s="6">
        <v>123.379997</v>
      </c>
      <c r="D1126" s="6">
        <v>110.959999</v>
      </c>
      <c r="F1126" s="13">
        <v>1123</v>
      </c>
      <c r="G1126" s="5">
        <v>45097</v>
      </c>
      <c r="H1126" s="15">
        <f t="shared" si="214"/>
        <v>-2.5660120136210707E-2</v>
      </c>
      <c r="I1126" s="15">
        <f t="shared" si="214"/>
        <v>1.6222992074711431E-3</v>
      </c>
      <c r="J1126" s="15">
        <f t="shared" si="214"/>
        <v>-2.8869083312395495E-2</v>
      </c>
      <c r="K1126" s="22"/>
      <c r="L1126" s="13">
        <v>1123</v>
      </c>
      <c r="M1126" s="5">
        <v>45097</v>
      </c>
      <c r="N1126" s="26">
        <f t="shared" si="211"/>
        <v>1.2656525775441709</v>
      </c>
      <c r="O1126" s="26">
        <f t="shared" si="212"/>
        <v>1.1701441071672209</v>
      </c>
      <c r="P1126" s="26">
        <f t="shared" si="213"/>
        <v>1.4685018784674928</v>
      </c>
      <c r="Q1126" s="22"/>
      <c r="AD1126" s="59">
        <v>1122</v>
      </c>
      <c r="AE1126" s="61">
        <f t="shared" ca="1" si="222"/>
        <v>1.1733464747903248</v>
      </c>
      <c r="AF1126" s="61">
        <f t="shared" ca="1" si="222"/>
        <v>-0.26010409787096483</v>
      </c>
      <c r="AG1126" s="61">
        <f t="shared" ca="1" si="222"/>
        <v>-0.68848757842621011</v>
      </c>
      <c r="AH1126" s="19"/>
      <c r="AI1126" s="61">
        <f ca="1"/>
        <v>2.5443179152777374E-2</v>
      </c>
      <c r="AJ1126" s="61">
        <f ca="1"/>
        <v>1.2711988265889571E-2</v>
      </c>
      <c r="AK1126" s="61">
        <f ca="1"/>
        <v>-2.1339588591857746E-3</v>
      </c>
      <c r="AL1126" s="19"/>
      <c r="AM1126" s="61">
        <f t="shared" ca="1" si="219"/>
        <v>2.579439547528762E-2</v>
      </c>
      <c r="AN1126" s="61">
        <f t="shared" ca="1" si="220"/>
        <v>1.2961040862806103E-2</v>
      </c>
      <c r="AO1126" s="61">
        <f t="shared" ca="1" si="221"/>
        <v>-1.7022902559309565E-3</v>
      </c>
      <c r="AP1126" s="19"/>
      <c r="AQ1126" s="62">
        <f t="shared" ca="1" si="216"/>
        <v>1.002193614903172</v>
      </c>
      <c r="AR1126" s="62">
        <f t="shared" ca="1" si="217"/>
        <v>1.0985135237915964</v>
      </c>
      <c r="AS1126" s="62">
        <f t="shared" ca="1" si="218"/>
        <v>0.67105352957915376</v>
      </c>
      <c r="AT1126" s="49"/>
    </row>
    <row r="1127" spans="1:46" x14ac:dyDescent="0.3">
      <c r="A1127" s="5">
        <v>45098</v>
      </c>
      <c r="B1127" s="6">
        <v>71.739998</v>
      </c>
      <c r="C1127" s="6">
        <v>123.650002</v>
      </c>
      <c r="D1127" s="6">
        <v>111.620003</v>
      </c>
      <c r="F1127" s="13">
        <v>1124</v>
      </c>
      <c r="G1127" s="5">
        <v>45098</v>
      </c>
      <c r="H1127" s="15">
        <f t="shared" si="214"/>
        <v>2.5122135337427697E-3</v>
      </c>
      <c r="I1127" s="15">
        <f t="shared" si="214"/>
        <v>2.1860106757434338E-3</v>
      </c>
      <c r="J1127" s="15">
        <f t="shared" si="214"/>
        <v>5.9305052428714851E-3</v>
      </c>
      <c r="K1127" s="22"/>
      <c r="L1127" s="13">
        <v>1124</v>
      </c>
      <c r="M1127" s="5">
        <v>45098</v>
      </c>
      <c r="N1127" s="26">
        <f t="shared" si="211"/>
        <v>1.2688361643290385</v>
      </c>
      <c r="O1127" s="26">
        <f t="shared" si="212"/>
        <v>1.1727048525662964</v>
      </c>
      <c r="P1127" s="26">
        <f t="shared" si="213"/>
        <v>1.4772367119437988</v>
      </c>
      <c r="Q1127" s="22"/>
      <c r="AD1127" s="59">
        <v>1123</v>
      </c>
      <c r="AE1127" s="61">
        <f t="shared" ca="1" si="222"/>
        <v>-0.94667228524009672</v>
      </c>
      <c r="AF1127" s="61">
        <f t="shared" ca="1" si="222"/>
        <v>-1.4664181453073191</v>
      </c>
      <c r="AG1127" s="61">
        <f t="shared" ca="1" si="222"/>
        <v>-2.958327284713516E-3</v>
      </c>
      <c r="AH1127" s="19"/>
      <c r="AI1127" s="61">
        <f ca="1"/>
        <v>-2.052791146505736E-2</v>
      </c>
      <c r="AJ1127" s="61">
        <f ca="1"/>
        <v>-4.6691725139419119E-2</v>
      </c>
      <c r="AK1127" s="61">
        <f ca="1"/>
        <v>-2.4390584293012739E-2</v>
      </c>
      <c r="AL1127" s="19"/>
      <c r="AM1127" s="61">
        <f t="shared" ca="1" si="219"/>
        <v>-2.0176695142547114E-2</v>
      </c>
      <c r="AN1127" s="61">
        <f t="shared" ca="1" si="220"/>
        <v>-4.6442672542502589E-2</v>
      </c>
      <c r="AO1127" s="61">
        <f t="shared" ca="1" si="221"/>
        <v>-2.3958915689757922E-2</v>
      </c>
      <c r="AP1127" s="19"/>
      <c r="AQ1127" s="62">
        <f t="shared" ca="1" si="216"/>
        <v>0.98217529078834276</v>
      </c>
      <c r="AR1127" s="62">
        <f t="shared" ca="1" si="217"/>
        <v>1.0486621945325327</v>
      </c>
      <c r="AS1127" s="62">
        <f t="shared" ca="1" si="218"/>
        <v>0.65516688793749145</v>
      </c>
      <c r="AT1127" s="49"/>
    </row>
    <row r="1128" spans="1:46" x14ac:dyDescent="0.3">
      <c r="A1128" s="5">
        <v>45099</v>
      </c>
      <c r="B1128" s="6">
        <v>70.910004000000001</v>
      </c>
      <c r="C1128" s="6">
        <v>122.779999</v>
      </c>
      <c r="D1128" s="6">
        <v>110.389999</v>
      </c>
      <c r="F1128" s="13">
        <v>1125</v>
      </c>
      <c r="G1128" s="5">
        <v>45099</v>
      </c>
      <c r="H1128" s="15">
        <f t="shared" si="214"/>
        <v>-1.1636920500249176E-2</v>
      </c>
      <c r="I1128" s="15">
        <f t="shared" si="214"/>
        <v>-7.0608822874104341E-3</v>
      </c>
      <c r="J1128" s="15">
        <f t="shared" si="214"/>
        <v>-1.1080731265722185E-2</v>
      </c>
      <c r="K1128" s="22"/>
      <c r="L1128" s="13">
        <v>1125</v>
      </c>
      <c r="M1128" s="5">
        <v>45099</v>
      </c>
      <c r="N1128" s="26">
        <f t="shared" si="211"/>
        <v>1.2541563980517088</v>
      </c>
      <c r="O1128" s="26">
        <f t="shared" si="212"/>
        <v>1.1644536861825932</v>
      </c>
      <c r="P1128" s="26">
        <f t="shared" si="213"/>
        <v>1.4609582043662841</v>
      </c>
      <c r="Q1128" s="22"/>
      <c r="AD1128" s="59">
        <v>1124</v>
      </c>
      <c r="AE1128" s="61">
        <f t="shared" ca="1" si="222"/>
        <v>0.29706817212687581</v>
      </c>
      <c r="AF1128" s="61">
        <f t="shared" ca="1" si="222"/>
        <v>1.8101959458481483E-2</v>
      </c>
      <c r="AG1128" s="61">
        <f t="shared" ca="1" si="222"/>
        <v>0.69647682185001369</v>
      </c>
      <c r="AH1128" s="19"/>
      <c r="AI1128" s="61">
        <f ca="1"/>
        <v>6.4417108555790172E-3</v>
      </c>
      <c r="AJ1128" s="61">
        <f ca="1"/>
        <v>5.0432759243966502E-3</v>
      </c>
      <c r="AK1128" s="61">
        <f ca="1"/>
        <v>2.2360531709244735E-2</v>
      </c>
      <c r="AL1128" s="19"/>
      <c r="AM1128" s="61">
        <f t="shared" ca="1" si="219"/>
        <v>6.792927178089261E-3</v>
      </c>
      <c r="AN1128" s="61">
        <f t="shared" ca="1" si="220"/>
        <v>5.2923285213131808E-3</v>
      </c>
      <c r="AO1128" s="61">
        <f t="shared" ca="1" si="221"/>
        <v>2.2792200312499553E-2</v>
      </c>
      <c r="AP1128" s="19"/>
      <c r="AQ1128" s="62">
        <f t="shared" ca="1" si="216"/>
        <v>0.98886984809220779</v>
      </c>
      <c r="AR1128" s="62">
        <f t="shared" ca="1" si="217"/>
        <v>1.0542267711696434</v>
      </c>
      <c r="AS1128" s="62">
        <f t="shared" ca="1" si="218"/>
        <v>0.67027105765700223</v>
      </c>
      <c r="AT1128" s="49"/>
    </row>
    <row r="1129" spans="1:46" x14ac:dyDescent="0.3">
      <c r="A1129" s="5">
        <v>45100</v>
      </c>
      <c r="B1129" s="6">
        <v>70.529999000000004</v>
      </c>
      <c r="C1129" s="6">
        <v>119.620003</v>
      </c>
      <c r="D1129" s="6">
        <v>111.300003</v>
      </c>
      <c r="F1129" s="13">
        <v>1126</v>
      </c>
      <c r="G1129" s="5">
        <v>45100</v>
      </c>
      <c r="H1129" s="15">
        <f t="shared" si="214"/>
        <v>-5.3733866837129491E-3</v>
      </c>
      <c r="I1129" s="15">
        <f t="shared" si="214"/>
        <v>-2.607405115887259E-2</v>
      </c>
      <c r="J1129" s="15">
        <f t="shared" si="214"/>
        <v>8.2097442642080163E-3</v>
      </c>
      <c r="K1129" s="22"/>
      <c r="L1129" s="13">
        <v>1126</v>
      </c>
      <c r="M1129" s="5">
        <v>45100</v>
      </c>
      <c r="N1129" s="26">
        <f t="shared" si="211"/>
        <v>1.2474354041840221</v>
      </c>
      <c r="O1129" s="26">
        <f t="shared" si="212"/>
        <v>1.1344840737009849</v>
      </c>
      <c r="P1129" s="26">
        <f t="shared" si="213"/>
        <v>1.4730016668343482</v>
      </c>
      <c r="Q1129" s="22"/>
      <c r="AD1129" s="59">
        <v>1125</v>
      </c>
      <c r="AE1129" s="61">
        <f t="shared" ca="1" si="222"/>
        <v>0.70963470400221884</v>
      </c>
      <c r="AF1129" s="61">
        <f t="shared" ca="1" si="222"/>
        <v>1.2238488570585009</v>
      </c>
      <c r="AG1129" s="61">
        <f t="shared" ca="1" si="222"/>
        <v>-0.48559360643436933</v>
      </c>
      <c r="AH1129" s="19"/>
      <c r="AI1129" s="61">
        <f ca="1"/>
        <v>1.5387921040273344E-2</v>
      </c>
      <c r="AJ1129" s="61">
        <f ca="1"/>
        <v>3.7709042497071389E-2</v>
      </c>
      <c r="AK1129" s="61">
        <f ca="1"/>
        <v>6.6632613076366976E-3</v>
      </c>
      <c r="AL1129" s="19"/>
      <c r="AM1129" s="61">
        <f t="shared" ca="1" si="219"/>
        <v>1.5739137362783588E-2</v>
      </c>
      <c r="AN1129" s="61">
        <f t="shared" ca="1" si="220"/>
        <v>3.7958095093987919E-2</v>
      </c>
      <c r="AO1129" s="61">
        <f t="shared" ca="1" si="221"/>
        <v>7.0949299108915157E-3</v>
      </c>
      <c r="AP1129" s="19"/>
      <c r="AQ1129" s="62">
        <f t="shared" ca="1" si="216"/>
        <v>1.0045569332261464</v>
      </c>
      <c r="AR1129" s="62">
        <f t="shared" ca="1" si="217"/>
        <v>1.0950123863979815</v>
      </c>
      <c r="AS1129" s="62">
        <f t="shared" ca="1" si="218"/>
        <v>0.67504349386300089</v>
      </c>
      <c r="AT1129" s="49"/>
    </row>
    <row r="1130" spans="1:46" x14ac:dyDescent="0.3">
      <c r="A1130" s="5">
        <v>45103</v>
      </c>
      <c r="B1130" s="6">
        <v>71.870002999999997</v>
      </c>
      <c r="C1130" s="6">
        <v>118.709999</v>
      </c>
      <c r="D1130" s="6">
        <v>112.989998</v>
      </c>
      <c r="F1130" s="13">
        <v>1127</v>
      </c>
      <c r="G1130" s="5">
        <v>45103</v>
      </c>
      <c r="H1130" s="15">
        <f t="shared" si="214"/>
        <v>1.8820836180660612E-2</v>
      </c>
      <c r="I1130" s="15">
        <f t="shared" si="214"/>
        <v>-7.6365410542763561E-3</v>
      </c>
      <c r="J1130" s="15">
        <f t="shared" si="214"/>
        <v>1.5070016284796432E-2</v>
      </c>
      <c r="K1130" s="22"/>
      <c r="L1130" s="13">
        <v>1127</v>
      </c>
      <c r="M1130" s="5">
        <v>45103</v>
      </c>
      <c r="N1130" s="26">
        <f t="shared" si="211"/>
        <v>1.271135509884409</v>
      </c>
      <c r="O1130" s="26">
        <f t="shared" si="212"/>
        <v>1.1258535351696977</v>
      </c>
      <c r="P1130" s="26">
        <f t="shared" si="213"/>
        <v>1.4953679326460545</v>
      </c>
      <c r="Q1130" s="22"/>
      <c r="AD1130" s="59">
        <v>1126</v>
      </c>
      <c r="AE1130" s="61">
        <f t="shared" ca="1" si="222"/>
        <v>1.8973596487996347</v>
      </c>
      <c r="AF1130" s="61">
        <f t="shared" ca="1" si="222"/>
        <v>0.2878850486971003</v>
      </c>
      <c r="AG1130" s="61">
        <f t="shared" ca="1" si="222"/>
        <v>0.91842287683660728</v>
      </c>
      <c r="AH1130" s="19"/>
      <c r="AI1130" s="61">
        <f ca="1"/>
        <v>4.1142887031971102E-2</v>
      </c>
      <c r="AJ1130" s="61">
        <f ca="1"/>
        <v>3.5955588863633203E-2</v>
      </c>
      <c r="AK1130" s="61">
        <f ca="1"/>
        <v>5.3591896890062649E-2</v>
      </c>
      <c r="AL1130" s="19"/>
      <c r="AM1130" s="61">
        <f t="shared" ca="1" si="219"/>
        <v>4.1494103354481345E-2</v>
      </c>
      <c r="AN1130" s="61">
        <f t="shared" ca="1" si="220"/>
        <v>3.6204641460549733E-2</v>
      </c>
      <c r="AO1130" s="61">
        <f t="shared" ca="1" si="221"/>
        <v>5.4023565493317466E-2</v>
      </c>
      <c r="AP1130" s="19"/>
      <c r="AQ1130" s="62">
        <f t="shared" ca="1" si="216"/>
        <v>1.0471170122507154</v>
      </c>
      <c r="AR1130" s="62">
        <f t="shared" ca="1" si="217"/>
        <v>1.1353833150670831</v>
      </c>
      <c r="AS1130" s="62">
        <f t="shared" ca="1" si="218"/>
        <v>0.71251480412238011</v>
      </c>
      <c r="AT1130" s="49"/>
    </row>
    <row r="1131" spans="1:46" x14ac:dyDescent="0.3">
      <c r="A1131" s="5">
        <v>45104</v>
      </c>
      <c r="B1131" s="6">
        <v>72.059997999999993</v>
      </c>
      <c r="C1131" s="6">
        <v>121.5</v>
      </c>
      <c r="D1131" s="6">
        <v>115.349998</v>
      </c>
      <c r="F1131" s="13">
        <v>1128</v>
      </c>
      <c r="G1131" s="5">
        <v>45104</v>
      </c>
      <c r="H1131" s="15">
        <f t="shared" si="214"/>
        <v>2.6401043429131487E-3</v>
      </c>
      <c r="I1131" s="15">
        <f t="shared" si="214"/>
        <v>2.3230727139050732E-2</v>
      </c>
      <c r="J1131" s="15">
        <f t="shared" si="214"/>
        <v>2.0671665760754375E-2</v>
      </c>
      <c r="K1131" s="22"/>
      <c r="L1131" s="13">
        <v>1128</v>
      </c>
      <c r="M1131" s="5">
        <v>45104</v>
      </c>
      <c r="N1131" s="26">
        <f t="shared" si="211"/>
        <v>1.2744958741688031</v>
      </c>
      <c r="O1131" s="26">
        <f t="shared" si="212"/>
        <v>1.1523140904341029</v>
      </c>
      <c r="P1131" s="26">
        <f t="shared" si="213"/>
        <v>1.5266013903282529</v>
      </c>
      <c r="Q1131" s="22"/>
      <c r="AD1131" s="59">
        <v>1127</v>
      </c>
      <c r="AE1131" s="61">
        <f t="shared" ca="1" si="222"/>
        <v>1.0700796532341235</v>
      </c>
      <c r="AF1131" s="61">
        <f t="shared" ca="1" si="222"/>
        <v>0.17214274187723427</v>
      </c>
      <c r="AG1131" s="61">
        <f t="shared" ca="1" si="222"/>
        <v>0.33384105839903261</v>
      </c>
      <c r="AH1131" s="19"/>
      <c r="AI1131" s="61">
        <f ca="1"/>
        <v>2.3203911981619047E-2</v>
      </c>
      <c r="AJ1131" s="61">
        <f ca="1"/>
        <v>2.049094600078219E-2</v>
      </c>
      <c r="AK1131" s="61">
        <f ca="1"/>
        <v>2.5576312621786196E-2</v>
      </c>
      <c r="AL1131" s="19"/>
      <c r="AM1131" s="61">
        <f t="shared" ca="1" si="219"/>
        <v>2.3555128304129293E-2</v>
      </c>
      <c r="AN1131" s="61">
        <f t="shared" ca="1" si="220"/>
        <v>2.0739998597698719E-2</v>
      </c>
      <c r="AO1131" s="61">
        <f t="shared" ca="1" si="221"/>
        <v>2.6007981225041013E-2</v>
      </c>
      <c r="AP1131" s="19"/>
      <c r="AQ1131" s="62">
        <f t="shared" ca="1" si="216"/>
        <v>1.0720747755201416</v>
      </c>
      <c r="AR1131" s="62">
        <f t="shared" ca="1" si="217"/>
        <v>1.1591770515649</v>
      </c>
      <c r="AS1131" s="62">
        <f t="shared" ca="1" si="218"/>
        <v>0.73128895642277214</v>
      </c>
      <c r="AT1131" s="49"/>
    </row>
    <row r="1132" spans="1:46" x14ac:dyDescent="0.3">
      <c r="A1132" s="5">
        <v>45105</v>
      </c>
      <c r="B1132" s="6">
        <v>72.349997999999999</v>
      </c>
      <c r="C1132" s="6">
        <v>122.05999799999999</v>
      </c>
      <c r="D1132" s="6">
        <v>115.69000200000001</v>
      </c>
      <c r="F1132" s="13">
        <v>1129</v>
      </c>
      <c r="G1132" s="5">
        <v>45105</v>
      </c>
      <c r="H1132" s="15">
        <f t="shared" si="214"/>
        <v>4.0163478687945909E-3</v>
      </c>
      <c r="I1132" s="15">
        <f t="shared" si="214"/>
        <v>4.5984479503614166E-3</v>
      </c>
      <c r="J1132" s="15">
        <f t="shared" si="214"/>
        <v>2.9432500471486467E-3</v>
      </c>
      <c r="K1132" s="22"/>
      <c r="L1132" s="13">
        <v>1129</v>
      </c>
      <c r="M1132" s="5">
        <v>45105</v>
      </c>
      <c r="N1132" s="26">
        <f t="shared" si="211"/>
        <v>1.2796249862110898</v>
      </c>
      <c r="O1132" s="26">
        <f t="shared" si="212"/>
        <v>1.1576251487552134</v>
      </c>
      <c r="P1132" s="26">
        <f t="shared" si="213"/>
        <v>1.5311011786951081</v>
      </c>
      <c r="Q1132" s="22"/>
      <c r="AD1132" s="59">
        <v>1128</v>
      </c>
      <c r="AE1132" s="61">
        <f t="shared" ca="1" si="222"/>
        <v>-0.62763449066650256</v>
      </c>
      <c r="AF1132" s="61">
        <f t="shared" ca="1" si="222"/>
        <v>-2.2277048692348721E-2</v>
      </c>
      <c r="AG1132" s="61">
        <f t="shared" ca="1" si="222"/>
        <v>1.2456218369223779</v>
      </c>
      <c r="AH1132" s="19"/>
      <c r="AI1132" s="61">
        <f ca="1"/>
        <v>-1.360980505893934E-2</v>
      </c>
      <c r="AJ1132" s="61">
        <f ca="1"/>
        <v>-1.0308161459584356E-2</v>
      </c>
      <c r="AK1132" s="61">
        <f ca="1"/>
        <v>2.2482247986229047E-2</v>
      </c>
      <c r="AL1132" s="19"/>
      <c r="AM1132" s="61">
        <f t="shared" ca="1" si="219"/>
        <v>-1.3258588736429096E-2</v>
      </c>
      <c r="AN1132" s="61">
        <f t="shared" ca="1" si="220"/>
        <v>-1.0059108862667825E-2</v>
      </c>
      <c r="AO1132" s="61">
        <f t="shared" ca="1" si="221"/>
        <v>2.2913916589483864E-2</v>
      </c>
      <c r="AP1132" s="19"/>
      <c r="AQ1132" s="62">
        <f t="shared" ca="1" si="216"/>
        <v>1.0579543920071719</v>
      </c>
      <c r="AR1132" s="62">
        <f t="shared" ca="1" si="217"/>
        <v>1.1475752133172232</v>
      </c>
      <c r="AS1132" s="62">
        <f t="shared" ca="1" si="218"/>
        <v>0.74823910610125344</v>
      </c>
      <c r="AT1132" s="49"/>
    </row>
    <row r="1133" spans="1:46" x14ac:dyDescent="0.3">
      <c r="A1133" s="5">
        <v>45106</v>
      </c>
      <c r="B1133" s="6">
        <v>74.069999999999993</v>
      </c>
      <c r="C1133" s="6">
        <v>123.110001</v>
      </c>
      <c r="D1133" s="6">
        <v>116.610001</v>
      </c>
      <c r="F1133" s="13">
        <v>1130</v>
      </c>
      <c r="G1133" s="5">
        <v>45106</v>
      </c>
      <c r="H1133" s="15">
        <f t="shared" si="214"/>
        <v>2.3495166591105433E-2</v>
      </c>
      <c r="I1133" s="15">
        <f t="shared" si="214"/>
        <v>8.5655620513760619E-3</v>
      </c>
      <c r="J1133" s="15">
        <f t="shared" si="214"/>
        <v>7.9208247794589487E-3</v>
      </c>
      <c r="K1133" s="22"/>
      <c r="L1133" s="13">
        <v>1130</v>
      </c>
      <c r="M1133" s="5">
        <v>45106</v>
      </c>
      <c r="N1133" s="26">
        <f t="shared" si="211"/>
        <v>1.3100459619730109</v>
      </c>
      <c r="O1133" s="26">
        <f t="shared" si="212"/>
        <v>1.1675834471247448</v>
      </c>
      <c r="P1133" s="26">
        <f t="shared" si="213"/>
        <v>1.5432769201502627</v>
      </c>
      <c r="Q1133" s="22"/>
      <c r="AD1133" s="59">
        <v>1129</v>
      </c>
      <c r="AE1133" s="61">
        <f t="shared" ca="1" si="222"/>
        <v>-1.5381272541315947</v>
      </c>
      <c r="AF1133" s="61">
        <f t="shared" ca="1" si="222"/>
        <v>-1.0560959117339357</v>
      </c>
      <c r="AG1133" s="61">
        <f t="shared" ca="1" si="222"/>
        <v>2.0122414500974291</v>
      </c>
      <c r="AH1133" s="19"/>
      <c r="AI1133" s="61">
        <f ca="1"/>
        <v>-3.335318946914894E-2</v>
      </c>
      <c r="AJ1133" s="61">
        <f ca="1"/>
        <v>-4.7030606880102993E-2</v>
      </c>
      <c r="AK1133" s="61">
        <f ca="1"/>
        <v>2.1389351609490605E-2</v>
      </c>
      <c r="AL1133" s="19"/>
      <c r="AM1133" s="61">
        <f t="shared" ca="1" si="219"/>
        <v>-3.3001973146638698E-2</v>
      </c>
      <c r="AN1133" s="61">
        <f t="shared" ca="1" si="220"/>
        <v>-4.6781554283186463E-2</v>
      </c>
      <c r="AO1133" s="61">
        <f t="shared" ca="1" si="221"/>
        <v>2.1821020212745422E-2</v>
      </c>
      <c r="AP1133" s="19"/>
      <c r="AQ1133" s="62">
        <f t="shared" ca="1" si="216"/>
        <v>1.0236096488195787</v>
      </c>
      <c r="AR1133" s="62">
        <f t="shared" ca="1" si="217"/>
        <v>1.0951262483243556</v>
      </c>
      <c r="AS1133" s="62">
        <f t="shared" ca="1" si="218"/>
        <v>0.7647458892035941</v>
      </c>
      <c r="AT1133" s="49"/>
    </row>
    <row r="1134" spans="1:46" x14ac:dyDescent="0.3">
      <c r="A1134" s="5">
        <v>45107</v>
      </c>
      <c r="B1134" s="6">
        <v>75.220000999999996</v>
      </c>
      <c r="C1134" s="6">
        <v>123.300003</v>
      </c>
      <c r="D1134" s="6">
        <v>117.300003</v>
      </c>
      <c r="F1134" s="13">
        <v>1131</v>
      </c>
      <c r="G1134" s="5">
        <v>45107</v>
      </c>
      <c r="H1134" s="15">
        <f t="shared" si="214"/>
        <v>1.540657431132912E-2</v>
      </c>
      <c r="I1134" s="15">
        <f t="shared" si="214"/>
        <v>1.5421617188579495E-3</v>
      </c>
      <c r="J1134" s="15">
        <f t="shared" si="214"/>
        <v>5.899739127041722E-3</v>
      </c>
      <c r="K1134" s="22"/>
      <c r="L1134" s="13">
        <v>1131</v>
      </c>
      <c r="M1134" s="5">
        <v>45107</v>
      </c>
      <c r="N1134" s="26">
        <f t="shared" si="211"/>
        <v>1.3303855618962581</v>
      </c>
      <c r="O1134" s="26">
        <f t="shared" si="212"/>
        <v>1.1693854387445857</v>
      </c>
      <c r="P1134" s="26">
        <f t="shared" si="213"/>
        <v>1.5524087626365477</v>
      </c>
      <c r="Q1134" s="22"/>
      <c r="AD1134" s="59">
        <v>1130</v>
      </c>
      <c r="AE1134" s="61">
        <f t="shared" ca="1" si="222"/>
        <v>1.349741208745995</v>
      </c>
      <c r="AF1134" s="61">
        <f t="shared" ca="1" si="222"/>
        <v>-0.37338283519976961</v>
      </c>
      <c r="AG1134" s="61">
        <f t="shared" ca="1" si="222"/>
        <v>0.74400091566532001</v>
      </c>
      <c r="AH1134" s="19"/>
      <c r="AI1134" s="61">
        <f ca="1"/>
        <v>2.9268172804752701E-2</v>
      </c>
      <c r="AJ1134" s="61">
        <f ca="1"/>
        <v>1.3010749619035877E-2</v>
      </c>
      <c r="AK1134" s="61">
        <f ca="1"/>
        <v>3.6374899520188061E-2</v>
      </c>
      <c r="AL1134" s="19"/>
      <c r="AM1134" s="61">
        <f t="shared" ca="1" si="219"/>
        <v>2.9619389127262946E-2</v>
      </c>
      <c r="AN1134" s="61">
        <f t="shared" ca="1" si="220"/>
        <v>1.3259802215952408E-2</v>
      </c>
      <c r="AO1134" s="61">
        <f t="shared" ca="1" si="221"/>
        <v>3.6806568123442879E-2</v>
      </c>
      <c r="AP1134" s="19"/>
      <c r="AQ1134" s="62">
        <f t="shared" ca="1" si="216"/>
        <v>1.0543818180597226</v>
      </c>
      <c r="AR1134" s="62">
        <f t="shared" ca="1" si="217"/>
        <v>1.1097441065548863</v>
      </c>
      <c r="AS1134" s="62">
        <f t="shared" ca="1" si="218"/>
        <v>0.79341798476737491</v>
      </c>
      <c r="AT1134" s="49"/>
    </row>
    <row r="1135" spans="1:46" x14ac:dyDescent="0.3">
      <c r="A1135" s="5">
        <v>45110</v>
      </c>
      <c r="B1135" s="6">
        <v>75.540001000000004</v>
      </c>
      <c r="C1135" s="6">
        <v>123.69000200000001</v>
      </c>
      <c r="D1135" s="6">
        <v>117.43</v>
      </c>
      <c r="F1135" s="13">
        <v>1132</v>
      </c>
      <c r="G1135" s="5">
        <v>45110</v>
      </c>
      <c r="H1135" s="15">
        <f t="shared" si="214"/>
        <v>4.2451641858034629E-3</v>
      </c>
      <c r="I1135" s="15">
        <f t="shared" si="214"/>
        <v>3.1580170551755659E-3</v>
      </c>
      <c r="J1135" s="15">
        <f t="shared" si="214"/>
        <v>1.1076301421128628E-3</v>
      </c>
      <c r="K1135" s="22"/>
      <c r="L1135" s="13">
        <v>1132</v>
      </c>
      <c r="M1135" s="5">
        <v>45110</v>
      </c>
      <c r="N1135" s="26">
        <f t="shared" si="211"/>
        <v>1.3360452717360229</v>
      </c>
      <c r="O1135" s="26">
        <f t="shared" si="212"/>
        <v>1.1730842152298138</v>
      </c>
      <c r="P1135" s="26">
        <f t="shared" si="213"/>
        <v>1.5541292100087141</v>
      </c>
      <c r="Q1135" s="22"/>
      <c r="AD1135" s="59">
        <v>1131</v>
      </c>
      <c r="AE1135" s="61">
        <f t="shared" ca="1" si="222"/>
        <v>0.84406754082763669</v>
      </c>
      <c r="AF1135" s="61">
        <f t="shared" ca="1" si="222"/>
        <v>0.48837911111310134</v>
      </c>
      <c r="AG1135" s="61">
        <f t="shared" ca="1" si="222"/>
        <v>-0.24125561558197839</v>
      </c>
      <c r="AH1135" s="19"/>
      <c r="AI1135" s="61">
        <f ca="1"/>
        <v>1.8303000963257231E-2</v>
      </c>
      <c r="AJ1135" s="61">
        <f ca="1"/>
        <v>2.3827047335191809E-2</v>
      </c>
      <c r="AK1135" s="61">
        <f ca="1"/>
        <v>9.7299914694362576E-3</v>
      </c>
      <c r="AL1135" s="19"/>
      <c r="AM1135" s="61">
        <f t="shared" ca="1" si="219"/>
        <v>1.8654217285767476E-2</v>
      </c>
      <c r="AN1135" s="61">
        <f t="shared" ca="1" si="220"/>
        <v>2.4076099932108339E-2</v>
      </c>
      <c r="AO1135" s="61">
        <f t="shared" ca="1" si="221"/>
        <v>1.0161660072691077E-2</v>
      </c>
      <c r="AP1135" s="19"/>
      <c r="AQ1135" s="62">
        <f t="shared" ca="1" si="216"/>
        <v>1.0742350834512187</v>
      </c>
      <c r="AR1135" s="62">
        <f t="shared" ca="1" si="217"/>
        <v>1.136786649775622</v>
      </c>
      <c r="AS1135" s="62">
        <f t="shared" ca="1" si="218"/>
        <v>0.80152153163802997</v>
      </c>
      <c r="AT1135" s="49"/>
    </row>
    <row r="1136" spans="1:46" x14ac:dyDescent="0.3">
      <c r="A1136" s="5">
        <v>45112</v>
      </c>
      <c r="B1136" s="6">
        <v>77.330001999999993</v>
      </c>
      <c r="C1136" s="6">
        <v>124.550003</v>
      </c>
      <c r="D1136" s="6">
        <v>116.75</v>
      </c>
      <c r="F1136" s="13">
        <v>1133</v>
      </c>
      <c r="G1136" s="5">
        <v>45112</v>
      </c>
      <c r="H1136" s="15">
        <f t="shared" si="214"/>
        <v>2.3419673961797095E-2</v>
      </c>
      <c r="I1136" s="15">
        <f t="shared" si="214"/>
        <v>6.9288142385270863E-3</v>
      </c>
      <c r="J1136" s="15">
        <f t="shared" si="214"/>
        <v>-5.8075148279831254E-3</v>
      </c>
      <c r="K1136" s="22"/>
      <c r="L1136" s="13">
        <v>1133</v>
      </c>
      <c r="M1136" s="5">
        <v>45112</v>
      </c>
      <c r="N1136" s="26">
        <f t="shared" si="211"/>
        <v>1.3677042913387991</v>
      </c>
      <c r="O1136" s="26">
        <f t="shared" si="212"/>
        <v>1.1812405219795046</v>
      </c>
      <c r="P1136" s="26">
        <f t="shared" si="213"/>
        <v>1.5451297391511314</v>
      </c>
      <c r="Q1136" s="22"/>
      <c r="AD1136" s="59">
        <v>1132</v>
      </c>
      <c r="AE1136" s="61">
        <f t="shared" ca="1" si="222"/>
        <v>0.57773324568692275</v>
      </c>
      <c r="AF1136" s="61">
        <f t="shared" ca="1" si="222"/>
        <v>0.48359230240713874</v>
      </c>
      <c r="AG1136" s="61">
        <f t="shared" ca="1" si="222"/>
        <v>-0.22764695096295814</v>
      </c>
      <c r="AH1136" s="19"/>
      <c r="AI1136" s="61">
        <f ca="1"/>
        <v>1.2527732249892067E-2</v>
      </c>
      <c r="AJ1136" s="61">
        <f ca="1"/>
        <v>1.9554246790176939E-2</v>
      </c>
      <c r="AK1136" s="61">
        <f ca="1"/>
        <v>6.1096992899167613E-3</v>
      </c>
      <c r="AL1136" s="19"/>
      <c r="AM1136" s="61">
        <f t="shared" ca="1" si="219"/>
        <v>1.2878948572402311E-2</v>
      </c>
      <c r="AN1136" s="61">
        <f t="shared" ca="1" si="220"/>
        <v>1.9803299387093468E-2</v>
      </c>
      <c r="AO1136" s="61">
        <f t="shared" ca="1" si="221"/>
        <v>6.5413678931715794E-3</v>
      </c>
      <c r="AP1136" s="19"/>
      <c r="AQ1136" s="62">
        <f t="shared" ca="1" si="216"/>
        <v>1.0881595757883615</v>
      </c>
      <c r="AR1136" s="62">
        <f t="shared" ca="1" si="217"/>
        <v>1.1595231620758542</v>
      </c>
      <c r="AS1136" s="62">
        <f t="shared" ca="1" si="218"/>
        <v>0.80678176465357299</v>
      </c>
      <c r="AT1136" s="49"/>
    </row>
    <row r="1137" spans="1:46" x14ac:dyDescent="0.3">
      <c r="A1137" s="5">
        <v>45113</v>
      </c>
      <c r="B1137" s="6">
        <v>76.870002999999997</v>
      </c>
      <c r="C1137" s="6">
        <v>123.69000200000001</v>
      </c>
      <c r="D1137" s="6">
        <v>113.459999</v>
      </c>
      <c r="F1137" s="13">
        <v>1134</v>
      </c>
      <c r="G1137" s="5">
        <v>45113</v>
      </c>
      <c r="H1137" s="15">
        <f t="shared" si="214"/>
        <v>-5.966282096159025E-3</v>
      </c>
      <c r="I1137" s="15">
        <f t="shared" si="214"/>
        <v>-6.928814238527219E-3</v>
      </c>
      <c r="J1137" s="15">
        <f t="shared" si="214"/>
        <v>-2.8584553464264414E-2</v>
      </c>
      <c r="K1137" s="22"/>
      <c r="L1137" s="13">
        <v>1134</v>
      </c>
      <c r="M1137" s="5">
        <v>45113</v>
      </c>
      <c r="N1137" s="26">
        <f t="shared" si="211"/>
        <v>1.359568476130731</v>
      </c>
      <c r="O1137" s="26">
        <f t="shared" si="212"/>
        <v>1.1730842152298138</v>
      </c>
      <c r="P1137" s="26">
        <f t="shared" si="213"/>
        <v>1.501588168385076</v>
      </c>
      <c r="Q1137" s="22"/>
      <c r="AD1137" s="59">
        <v>1133</v>
      </c>
      <c r="AE1137" s="61">
        <f t="shared" ca="1" si="222"/>
        <v>1.1726915769056911</v>
      </c>
      <c r="AF1137" s="61">
        <f t="shared" ca="1" si="222"/>
        <v>6.6582985411812012E-2</v>
      </c>
      <c r="AG1137" s="61">
        <f t="shared" ca="1" si="222"/>
        <v>-5.0491536441508854E-2</v>
      </c>
      <c r="AH1137" s="19"/>
      <c r="AI1137" s="61">
        <f ca="1"/>
        <v>2.5428978160518471E-2</v>
      </c>
      <c r="AJ1137" s="61">
        <f ca="1"/>
        <v>1.980261377882234E-2</v>
      </c>
      <c r="AK1137" s="61">
        <f ca="1"/>
        <v>1.6502475563460527E-2</v>
      </c>
      <c r="AL1137" s="19"/>
      <c r="AM1137" s="61">
        <f t="shared" ca="1" si="219"/>
        <v>2.5780194483028717E-2</v>
      </c>
      <c r="AN1137" s="61">
        <f t="shared" ca="1" si="220"/>
        <v>2.005166637573887E-2</v>
      </c>
      <c r="AO1137" s="61">
        <f t="shared" ca="1" si="221"/>
        <v>1.6934144166715345E-2</v>
      </c>
      <c r="AP1137" s="19"/>
      <c r="AQ1137" s="62">
        <f t="shared" ca="1" si="216"/>
        <v>1.1165772742846796</v>
      </c>
      <c r="AR1137" s="62">
        <f t="shared" ca="1" si="217"/>
        <v>1.1830082039092706</v>
      </c>
      <c r="AS1137" s="62">
        <f t="shared" ca="1" si="218"/>
        <v>0.82056025759574058</v>
      </c>
      <c r="AT1137" s="49"/>
    </row>
    <row r="1138" spans="1:46" x14ac:dyDescent="0.3">
      <c r="A1138" s="5">
        <v>45114</v>
      </c>
      <c r="B1138" s="6">
        <v>77.529999000000004</v>
      </c>
      <c r="C1138" s="6">
        <v>122.550003</v>
      </c>
      <c r="D1138" s="6">
        <v>114.879997</v>
      </c>
      <c r="F1138" s="13">
        <v>1135</v>
      </c>
      <c r="G1138" s="5">
        <v>45114</v>
      </c>
      <c r="H1138" s="15">
        <f t="shared" si="214"/>
        <v>8.5492229446663542E-3</v>
      </c>
      <c r="I1138" s="15">
        <f t="shared" si="214"/>
        <v>-9.2593171024486654E-3</v>
      </c>
      <c r="J1138" s="15">
        <f t="shared" si="214"/>
        <v>1.2437736100965276E-2</v>
      </c>
      <c r="K1138" s="22"/>
      <c r="L1138" s="13">
        <v>1135</v>
      </c>
      <c r="M1138" s="5">
        <v>45114</v>
      </c>
      <c r="N1138" s="26">
        <f t="shared" si="211"/>
        <v>1.3712415569288725</v>
      </c>
      <c r="O1138" s="26">
        <f t="shared" si="212"/>
        <v>1.1622723888036344</v>
      </c>
      <c r="P1138" s="26">
        <f t="shared" si="213"/>
        <v>1.5203811545892314</v>
      </c>
      <c r="Q1138" s="22"/>
      <c r="AD1138" s="59">
        <v>1134</v>
      </c>
      <c r="AE1138" s="61">
        <f t="shared" ca="1" si="222"/>
        <v>-0.18270784621324312</v>
      </c>
      <c r="AF1138" s="61">
        <f t="shared" ca="1" si="222"/>
        <v>0.24552006156286016</v>
      </c>
      <c r="AG1138" s="61">
        <f t="shared" ca="1" si="222"/>
        <v>-0.68524783345445262</v>
      </c>
      <c r="AH1138" s="19"/>
      <c r="AI1138" s="61">
        <f ca="1"/>
        <v>-3.9618889762739109E-3</v>
      </c>
      <c r="AJ1138" s="61">
        <f ca="1"/>
        <v>2.4768234331013282E-3</v>
      </c>
      <c r="AK1138" s="61">
        <f ca="1"/>
        <v>-1.8526561550373501E-2</v>
      </c>
      <c r="AL1138" s="19"/>
      <c r="AM1138" s="61">
        <f t="shared" ca="1" si="219"/>
        <v>-3.6106726537636666E-3</v>
      </c>
      <c r="AN1138" s="61">
        <f t="shared" ca="1" si="220"/>
        <v>2.7258760300178588E-3</v>
      </c>
      <c r="AO1138" s="61">
        <f t="shared" ca="1" si="221"/>
        <v>-1.8094892947118683E-2</v>
      </c>
      <c r="AP1138" s="19"/>
      <c r="AQ1138" s="62">
        <f t="shared" ca="1" si="216"/>
        <v>1.1125529488875154</v>
      </c>
      <c r="AR1138" s="62">
        <f t="shared" ca="1" si="217"/>
        <v>1.1862373367240113</v>
      </c>
      <c r="AS1138" s="62">
        <f t="shared" ca="1" si="218"/>
        <v>0.80584583699772649</v>
      </c>
      <c r="AT1138" s="49"/>
    </row>
    <row r="1139" spans="1:46" x14ac:dyDescent="0.3">
      <c r="A1139" s="5">
        <v>45117</v>
      </c>
      <c r="B1139" s="6">
        <v>79.040001000000004</v>
      </c>
      <c r="C1139" s="6">
        <v>128.75</v>
      </c>
      <c r="D1139" s="6">
        <v>112.610001</v>
      </c>
      <c r="F1139" s="13">
        <v>1136</v>
      </c>
      <c r="G1139" s="5">
        <v>45117</v>
      </c>
      <c r="H1139" s="15">
        <f t="shared" si="214"/>
        <v>1.9289120758799495E-2</v>
      </c>
      <c r="I1139" s="15">
        <f t="shared" si="214"/>
        <v>4.9353405089920137E-2</v>
      </c>
      <c r="J1139" s="15">
        <f t="shared" si="214"/>
        <v>-1.9957548596567433E-2</v>
      </c>
      <c r="K1139" s="22"/>
      <c r="L1139" s="13">
        <v>1136</v>
      </c>
      <c r="M1139" s="5">
        <v>45117</v>
      </c>
      <c r="N1139" s="26">
        <f t="shared" si="211"/>
        <v>1.3979483481084483</v>
      </c>
      <c r="O1139" s="26">
        <f t="shared" si="212"/>
        <v>1.2210735731966318</v>
      </c>
      <c r="P1139" s="26">
        <f t="shared" si="213"/>
        <v>1.4903388562821296</v>
      </c>
      <c r="Q1139" s="22"/>
      <c r="AD1139" s="59">
        <v>1135</v>
      </c>
      <c r="AE1139" s="61">
        <f t="shared" ca="1" si="222"/>
        <v>-0.92985955093180417</v>
      </c>
      <c r="AF1139" s="61">
        <f t="shared" ca="1" si="222"/>
        <v>1.3164363496520133</v>
      </c>
      <c r="AG1139" s="61">
        <f t="shared" ca="1" si="222"/>
        <v>-8.9873704723622772E-2</v>
      </c>
      <c r="AH1139" s="19"/>
      <c r="AI1139" s="61">
        <f ca="1"/>
        <v>-2.0163339345700734E-2</v>
      </c>
      <c r="AJ1139" s="61">
        <f ca="1"/>
        <v>1.4059607774027724E-2</v>
      </c>
      <c r="AK1139" s="61">
        <f ca="1"/>
        <v>-6.7707916693854897E-3</v>
      </c>
      <c r="AL1139" s="19"/>
      <c r="AM1139" s="61">
        <f t="shared" ca="1" si="219"/>
        <v>-1.9812123023190489E-2</v>
      </c>
      <c r="AN1139" s="61">
        <f t="shared" ca="1" si="220"/>
        <v>1.4308660370944255E-2</v>
      </c>
      <c r="AO1139" s="61">
        <f t="shared" ca="1" si="221"/>
        <v>-6.3391230661306716E-3</v>
      </c>
      <c r="AP1139" s="19"/>
      <c r="AQ1139" s="62">
        <f t="shared" ca="1" si="216"/>
        <v>1.0907278278809671</v>
      </c>
      <c r="AR1139" s="62">
        <f t="shared" ca="1" si="217"/>
        <v>1.2033328189457881</v>
      </c>
      <c r="AS1139" s="62">
        <f t="shared" ca="1" si="218"/>
        <v>0.80075363815451028</v>
      </c>
      <c r="AT1139" s="49"/>
    </row>
    <row r="1140" spans="1:46" x14ac:dyDescent="0.3">
      <c r="A1140" s="5">
        <v>45118</v>
      </c>
      <c r="B1140" s="6">
        <v>80.819999999999993</v>
      </c>
      <c r="C1140" s="6">
        <v>130.85000600000001</v>
      </c>
      <c r="D1140" s="6">
        <v>115.949997</v>
      </c>
      <c r="F1140" s="13">
        <v>1137</v>
      </c>
      <c r="G1140" s="5">
        <v>45118</v>
      </c>
      <c r="H1140" s="15">
        <f t="shared" si="214"/>
        <v>2.2270393558893389E-2</v>
      </c>
      <c r="I1140" s="15">
        <f t="shared" si="214"/>
        <v>1.6179135286339585E-2</v>
      </c>
      <c r="J1140" s="15">
        <f t="shared" si="214"/>
        <v>2.9228507239179E-2</v>
      </c>
      <c r="K1140" s="22"/>
      <c r="L1140" s="13">
        <v>1137</v>
      </c>
      <c r="M1140" s="5">
        <v>45118</v>
      </c>
      <c r="N1140" s="26">
        <f t="shared" si="211"/>
        <v>1.4294304664055453</v>
      </c>
      <c r="O1140" s="26">
        <f t="shared" si="212"/>
        <v>1.2409901699356949</v>
      </c>
      <c r="P1140" s="26">
        <f t="shared" si="213"/>
        <v>1.5345420866739568</v>
      </c>
      <c r="Q1140" s="22"/>
      <c r="AD1140" s="59">
        <v>1136</v>
      </c>
      <c r="AE1140" s="61">
        <f t="shared" ca="1" si="222"/>
        <v>-0.58107311310254128</v>
      </c>
      <c r="AF1140" s="61">
        <f t="shared" ca="1" si="222"/>
        <v>-0.38369217419686186</v>
      </c>
      <c r="AG1140" s="61">
        <f t="shared" ca="1" si="222"/>
        <v>1.2503880150702749</v>
      </c>
      <c r="AH1140" s="19"/>
      <c r="AI1140" s="61">
        <f ca="1"/>
        <v>-1.2600154886195885E-2</v>
      </c>
      <c r="AJ1140" s="61">
        <f ca="1"/>
        <v>-1.7435092577323959E-2</v>
      </c>
      <c r="AK1140" s="61">
        <f ca="1"/>
        <v>2.0747075224119782E-2</v>
      </c>
      <c r="AL1140" s="19"/>
      <c r="AM1140" s="61">
        <f t="shared" ca="1" si="219"/>
        <v>-1.2248938563685641E-2</v>
      </c>
      <c r="AN1140" s="61">
        <f t="shared" ca="1" si="220"/>
        <v>-1.7186039980407429E-2</v>
      </c>
      <c r="AO1140" s="61">
        <f t="shared" ca="1" si="221"/>
        <v>2.1178743827374599E-2</v>
      </c>
      <c r="AP1140" s="19"/>
      <c r="AQ1140" s="62">
        <f t="shared" ca="1" si="216"/>
        <v>1.0774490611510432</v>
      </c>
      <c r="AR1140" s="62">
        <f t="shared" ca="1" si="217"/>
        <v>1.1828289875081712</v>
      </c>
      <c r="AS1140" s="62">
        <f t="shared" ca="1" si="218"/>
        <v>0.81789345355383114</v>
      </c>
      <c r="AT1140" s="49"/>
    </row>
    <row r="1141" spans="1:46" x14ac:dyDescent="0.3">
      <c r="A1141" s="5">
        <v>45119</v>
      </c>
      <c r="B1141" s="6">
        <v>81.080001999999993</v>
      </c>
      <c r="C1141" s="6">
        <v>129.39999399999999</v>
      </c>
      <c r="D1141" s="6">
        <v>115.040001</v>
      </c>
      <c r="F1141" s="13">
        <v>1138</v>
      </c>
      <c r="G1141" s="5">
        <v>45119</v>
      </c>
      <c r="H1141" s="15">
        <f t="shared" si="214"/>
        <v>3.2118866004669359E-3</v>
      </c>
      <c r="I1141" s="15">
        <f t="shared" si="214"/>
        <v>-1.1143339131237764E-2</v>
      </c>
      <c r="J1141" s="15">
        <f t="shared" si="214"/>
        <v>-7.8791351629538525E-3</v>
      </c>
      <c r="K1141" s="22"/>
      <c r="L1141" s="13">
        <v>1138</v>
      </c>
      <c r="M1141" s="5">
        <v>45119</v>
      </c>
      <c r="N1141" s="26">
        <f t="shared" si="211"/>
        <v>1.4340290160235405</v>
      </c>
      <c r="O1141" s="26">
        <f t="shared" si="212"/>
        <v>1.2272381595743898</v>
      </c>
      <c r="P1141" s="26">
        <f t="shared" si="213"/>
        <v>1.5224987300820205</v>
      </c>
      <c r="Q1141" s="22"/>
      <c r="AD1141" s="59">
        <v>1137</v>
      </c>
      <c r="AE1141" s="61">
        <f t="shared" ca="1" si="222"/>
        <v>-0.67298224295007436</v>
      </c>
      <c r="AF1141" s="61">
        <f t="shared" ca="1" si="222"/>
        <v>-0.54000011083871258</v>
      </c>
      <c r="AG1141" s="61">
        <f t="shared" ca="1" si="222"/>
        <v>0.31358580409695574</v>
      </c>
      <c r="AH1141" s="19"/>
      <c r="AI1141" s="61">
        <f ca="1"/>
        <v>-1.4593138635437165E-2</v>
      </c>
      <c r="AJ1141" s="61">
        <f ca="1"/>
        <v>-2.227119739921998E-2</v>
      </c>
      <c r="AK1141" s="61">
        <f ca="1"/>
        <v>-5.7125554490458051E-3</v>
      </c>
      <c r="AL1141" s="19"/>
      <c r="AM1141" s="61">
        <f t="shared" ca="1" si="219"/>
        <v>-1.4241922312926921E-2</v>
      </c>
      <c r="AN1141" s="61">
        <f t="shared" ca="1" si="220"/>
        <v>-2.202214480230345E-2</v>
      </c>
      <c r="AO1141" s="61">
        <f t="shared" ca="1" si="221"/>
        <v>-5.280886845790987E-3</v>
      </c>
      <c r="AP1141" s="19"/>
      <c r="AQ1141" s="62">
        <f t="shared" ca="1" si="216"/>
        <v>1.0622128691889776</v>
      </c>
      <c r="AR1141" s="62">
        <f t="shared" ca="1" si="217"/>
        <v>1.1570652834997128</v>
      </c>
      <c r="AS1141" s="62">
        <f t="shared" ca="1" si="218"/>
        <v>0.81358563533526318</v>
      </c>
      <c r="AT1141" s="49"/>
    </row>
    <row r="1142" spans="1:46" x14ac:dyDescent="0.3">
      <c r="A1142" s="5">
        <v>45120</v>
      </c>
      <c r="B1142" s="6">
        <v>82.230002999999996</v>
      </c>
      <c r="C1142" s="6">
        <v>126.68</v>
      </c>
      <c r="D1142" s="6">
        <v>115.510002</v>
      </c>
      <c r="F1142" s="13">
        <v>1139</v>
      </c>
      <c r="G1142" s="5">
        <v>45120</v>
      </c>
      <c r="H1142" s="15">
        <f t="shared" si="214"/>
        <v>1.4083889215044236E-2</v>
      </c>
      <c r="I1142" s="15">
        <f t="shared" si="214"/>
        <v>-2.1244114028508339E-2</v>
      </c>
      <c r="J1142" s="15">
        <f t="shared" si="214"/>
        <v>4.077220949741828E-3</v>
      </c>
      <c r="K1142" s="22"/>
      <c r="L1142" s="13">
        <v>1139</v>
      </c>
      <c r="M1142" s="5">
        <v>45120</v>
      </c>
      <c r="N1142" s="26">
        <f t="shared" si="211"/>
        <v>1.4543686159467879</v>
      </c>
      <c r="O1142" s="26">
        <f t="shared" si="212"/>
        <v>1.2014415553596063</v>
      </c>
      <c r="P1142" s="26">
        <f t="shared" si="213"/>
        <v>1.5287189658210421</v>
      </c>
      <c r="Q1142" s="22"/>
      <c r="AD1142" s="59">
        <v>1138</v>
      </c>
      <c r="AE1142" s="61">
        <f t="shared" ca="1" si="222"/>
        <v>-1.4422210892560381</v>
      </c>
      <c r="AF1142" s="61">
        <f t="shared" ca="1" si="222"/>
        <v>0.48062793458459796</v>
      </c>
      <c r="AG1142" s="61">
        <f t="shared" ca="1" si="222"/>
        <v>2.0891509870452807</v>
      </c>
      <c r="AH1142" s="19"/>
      <c r="AI1142" s="61">
        <f ca="1"/>
        <v>-3.1273532873921477E-2</v>
      </c>
      <c r="AJ1142" s="61">
        <f ca="1"/>
        <v>-1.2127194590333944E-2</v>
      </c>
      <c r="AK1142" s="61">
        <f ca="1"/>
        <v>3.5599153715421689E-2</v>
      </c>
      <c r="AL1142" s="19"/>
      <c r="AM1142" s="61">
        <f t="shared" ca="1" si="219"/>
        <v>-3.0922316551411231E-2</v>
      </c>
      <c r="AN1142" s="61">
        <f t="shared" ca="1" si="220"/>
        <v>-1.1878141993417413E-2</v>
      </c>
      <c r="AO1142" s="61">
        <f t="shared" ca="1" si="221"/>
        <v>3.6030822318676506E-2</v>
      </c>
      <c r="AP1142" s="19"/>
      <c r="AQ1142" s="62">
        <f t="shared" ca="1" si="216"/>
        <v>1.029869430787288</v>
      </c>
      <c r="AR1142" s="62">
        <f t="shared" ca="1" si="217"/>
        <v>1.1434028008576069</v>
      </c>
      <c r="AS1142" s="62">
        <f t="shared" ca="1" si="218"/>
        <v>0.843434301691529</v>
      </c>
      <c r="AT1142" s="49"/>
    </row>
    <row r="1143" spans="1:46" x14ac:dyDescent="0.3">
      <c r="A1143" s="5">
        <v>45121</v>
      </c>
      <c r="B1143" s="6">
        <v>82.68</v>
      </c>
      <c r="C1143" s="6">
        <v>125.379997</v>
      </c>
      <c r="D1143" s="6">
        <v>113.480003</v>
      </c>
      <c r="F1143" s="13">
        <v>1140</v>
      </c>
      <c r="G1143" s="5">
        <v>45121</v>
      </c>
      <c r="H1143" s="15">
        <f t="shared" si="214"/>
        <v>5.4574993477287436E-3</v>
      </c>
      <c r="I1143" s="15">
        <f t="shared" si="214"/>
        <v>-1.0315119751878035E-2</v>
      </c>
      <c r="J1143" s="15">
        <f t="shared" si="214"/>
        <v>-1.7730487238080381E-2</v>
      </c>
      <c r="K1143" s="22"/>
      <c r="L1143" s="13">
        <v>1140</v>
      </c>
      <c r="M1143" s="5">
        <v>45121</v>
      </c>
      <c r="N1143" s="26">
        <f t="shared" si="211"/>
        <v>1.4623275298491774</v>
      </c>
      <c r="O1143" s="26">
        <f t="shared" si="212"/>
        <v>1.1891122403430909</v>
      </c>
      <c r="P1143" s="26">
        <f t="shared" si="213"/>
        <v>1.5018529116424806</v>
      </c>
      <c r="Q1143" s="22"/>
      <c r="AD1143" s="59">
        <v>1139</v>
      </c>
      <c r="AE1143" s="61">
        <f t="shared" ca="1" si="222"/>
        <v>1.1852030768723714</v>
      </c>
      <c r="AF1143" s="61">
        <f t="shared" ca="1" si="222"/>
        <v>0.454789377072776</v>
      </c>
      <c r="AG1143" s="61">
        <f t="shared" ca="1" si="222"/>
        <v>-1.6890346575354624</v>
      </c>
      <c r="AH1143" s="19"/>
      <c r="AI1143" s="61">
        <f ca="1"/>
        <v>2.5700281089330777E-2</v>
      </c>
      <c r="AJ1143" s="61">
        <f ca="1"/>
        <v>2.8436508970486676E-2</v>
      </c>
      <c r="AK1143" s="61">
        <f ca="1"/>
        <v>-2.2558133155045321E-2</v>
      </c>
      <c r="AL1143" s="19"/>
      <c r="AM1143" s="61">
        <f t="shared" ca="1" si="219"/>
        <v>2.6051497411841023E-2</v>
      </c>
      <c r="AN1143" s="61">
        <f t="shared" ca="1" si="220"/>
        <v>2.8685561567403206E-2</v>
      </c>
      <c r="AO1143" s="61">
        <f t="shared" ca="1" si="221"/>
        <v>-2.2126464551790504E-2</v>
      </c>
      <c r="AP1143" s="19"/>
      <c r="AQ1143" s="62">
        <f t="shared" ca="1" si="216"/>
        <v>1.0570516024181182</v>
      </c>
      <c r="AR1143" s="62">
        <f t="shared" ca="1" si="217"/>
        <v>1.1766769139740483</v>
      </c>
      <c r="AS1143" s="62">
        <f t="shared" ca="1" si="218"/>
        <v>0.82497703258898702</v>
      </c>
      <c r="AT1143" s="49"/>
    </row>
    <row r="1144" spans="1:46" x14ac:dyDescent="0.3">
      <c r="A1144" s="5">
        <v>45124</v>
      </c>
      <c r="B1144" s="6">
        <v>83.379997000000003</v>
      </c>
      <c r="C1144" s="6">
        <v>125.989998</v>
      </c>
      <c r="D1144" s="6">
        <v>113.709999</v>
      </c>
      <c r="F1144" s="13">
        <v>1141</v>
      </c>
      <c r="G1144" s="5">
        <v>45124</v>
      </c>
      <c r="H1144" s="15">
        <f t="shared" si="214"/>
        <v>8.4307016592313783E-3</v>
      </c>
      <c r="I1144" s="15">
        <f t="shared" si="214"/>
        <v>4.8534209297013235E-3</v>
      </c>
      <c r="J1144" s="15">
        <f t="shared" si="214"/>
        <v>2.0247024653034214E-3</v>
      </c>
      <c r="K1144" s="22"/>
      <c r="L1144" s="13">
        <v>1141</v>
      </c>
      <c r="M1144" s="5">
        <v>45124</v>
      </c>
      <c r="N1144" s="26">
        <f t="shared" si="211"/>
        <v>1.4747080920638824</v>
      </c>
      <c r="O1144" s="26">
        <f t="shared" si="212"/>
        <v>1.1948975304457978</v>
      </c>
      <c r="P1144" s="26">
        <f t="shared" si="213"/>
        <v>1.5048967973768343</v>
      </c>
      <c r="Q1144" s="22"/>
      <c r="AD1144" s="59">
        <v>1140</v>
      </c>
      <c r="AE1144" s="61">
        <f t="shared" ca="1" si="222"/>
        <v>-0.31480548827360288</v>
      </c>
      <c r="AF1144" s="61">
        <f t="shared" ca="1" si="222"/>
        <v>0.73375756086307953</v>
      </c>
      <c r="AG1144" s="61">
        <f t="shared" ca="1" si="222"/>
        <v>0.61085424483431017</v>
      </c>
      <c r="AH1144" s="19"/>
      <c r="AI1144" s="61">
        <f ca="1"/>
        <v>-6.8263318708603506E-3</v>
      </c>
      <c r="AJ1144" s="61">
        <f ca="1"/>
        <v>1.1021525385155205E-2</v>
      </c>
      <c r="AK1144" s="61">
        <f ca="1"/>
        <v>1.6166094114042635E-2</v>
      </c>
      <c r="AL1144" s="19"/>
      <c r="AM1144" s="61">
        <f t="shared" ca="1" si="219"/>
        <v>-6.4751155483501067E-3</v>
      </c>
      <c r="AN1144" s="61">
        <f t="shared" ca="1" si="220"/>
        <v>1.1270577982071737E-2</v>
      </c>
      <c r="AO1144" s="61">
        <f t="shared" ca="1" si="221"/>
        <v>1.6597762717297453E-2</v>
      </c>
      <c r="AP1144" s="19"/>
      <c r="AQ1144" s="62">
        <f t="shared" ca="1" si="216"/>
        <v>1.0502291829660453</v>
      </c>
      <c r="AR1144" s="62">
        <f t="shared" ca="1" si="217"/>
        <v>1.1900137586901089</v>
      </c>
      <c r="AS1144" s="62">
        <f t="shared" ca="1" si="218"/>
        <v>0.83878407163333513</v>
      </c>
      <c r="AT1144" s="49"/>
    </row>
    <row r="1145" spans="1:46" x14ac:dyDescent="0.3">
      <c r="A1145" s="5">
        <v>45125</v>
      </c>
      <c r="B1145" s="6">
        <v>84.419998000000007</v>
      </c>
      <c r="C1145" s="6">
        <v>128.33999600000001</v>
      </c>
      <c r="D1145" s="6">
        <v>115.41999800000001</v>
      </c>
      <c r="F1145" s="13">
        <v>1142</v>
      </c>
      <c r="G1145" s="5">
        <v>45125</v>
      </c>
      <c r="H1145" s="15">
        <f t="shared" si="214"/>
        <v>1.2395880190484976E-2</v>
      </c>
      <c r="I1145" s="15">
        <f t="shared" si="214"/>
        <v>1.8480438306894342E-2</v>
      </c>
      <c r="J1145" s="15">
        <f t="shared" si="214"/>
        <v>1.4926293112470792E-2</v>
      </c>
      <c r="K1145" s="22"/>
      <c r="L1145" s="13">
        <v>1142</v>
      </c>
      <c r="M1145" s="5">
        <v>45125</v>
      </c>
      <c r="N1145" s="26">
        <f t="shared" si="211"/>
        <v>1.4931021667297106</v>
      </c>
      <c r="O1145" s="26">
        <f t="shared" si="212"/>
        <v>1.2171850679593121</v>
      </c>
      <c r="P1145" s="26">
        <f t="shared" si="213"/>
        <v>1.5275278064459454</v>
      </c>
      <c r="Q1145" s="22"/>
      <c r="AD1145" s="59">
        <v>1141</v>
      </c>
      <c r="AE1145" s="61">
        <f t="shared" ca="1" si="222"/>
        <v>-0.38004208981782561</v>
      </c>
      <c r="AF1145" s="61">
        <f t="shared" ca="1" si="222"/>
        <v>0.10897646447435108</v>
      </c>
      <c r="AG1145" s="61">
        <f t="shared" ca="1" si="222"/>
        <v>-1.0634762423716368</v>
      </c>
      <c r="AH1145" s="19"/>
      <c r="AI1145" s="61">
        <f ca="1"/>
        <v>-8.2409409194831116E-3</v>
      </c>
      <c r="AJ1145" s="61">
        <f ca="1"/>
        <v>-3.5798328617303765E-3</v>
      </c>
      <c r="AK1145" s="61">
        <f ca="1"/>
        <v>-3.2094080527540911E-2</v>
      </c>
      <c r="AL1145" s="19"/>
      <c r="AM1145" s="61">
        <f t="shared" ca="1" si="219"/>
        <v>-7.8897245969728677E-3</v>
      </c>
      <c r="AN1145" s="61">
        <f t="shared" ca="1" si="220"/>
        <v>-3.330780264813846E-3</v>
      </c>
      <c r="AO1145" s="61">
        <f t="shared" ca="1" si="221"/>
        <v>-3.1662411924286094E-2</v>
      </c>
      <c r="AP1145" s="19"/>
      <c r="AQ1145" s="62">
        <f t="shared" ca="1" si="216"/>
        <v>1.0419757653577109</v>
      </c>
      <c r="AR1145" s="62">
        <f t="shared" ca="1" si="217"/>
        <v>1.1860566780891453</v>
      </c>
      <c r="AS1145" s="62">
        <f t="shared" ca="1" si="218"/>
        <v>0.81264218633054053</v>
      </c>
      <c r="AT1145" s="49"/>
    </row>
    <row r="1146" spans="1:46" x14ac:dyDescent="0.3">
      <c r="A1146" s="5">
        <v>45126</v>
      </c>
      <c r="B1146" s="6">
        <v>84.559997999999993</v>
      </c>
      <c r="C1146" s="6">
        <v>128.60000600000001</v>
      </c>
      <c r="D1146" s="6">
        <v>118.019997</v>
      </c>
      <c r="F1146" s="13">
        <v>1143</v>
      </c>
      <c r="G1146" s="5">
        <v>45126</v>
      </c>
      <c r="H1146" s="15">
        <f t="shared" si="214"/>
        <v>1.657001246852912E-3</v>
      </c>
      <c r="I1146" s="15">
        <f t="shared" si="214"/>
        <v>2.0238973046597603E-3</v>
      </c>
      <c r="J1146" s="15">
        <f t="shared" si="214"/>
        <v>2.2276444254801114E-2</v>
      </c>
      <c r="K1146" s="22"/>
      <c r="L1146" s="13">
        <v>1143</v>
      </c>
      <c r="M1146" s="5">
        <v>45126</v>
      </c>
      <c r="N1146" s="26">
        <f t="shared" si="211"/>
        <v>1.4955782897846075</v>
      </c>
      <c r="O1146" s="26">
        <f t="shared" si="212"/>
        <v>1.219651020112841</v>
      </c>
      <c r="P1146" s="26">
        <f t="shared" si="213"/>
        <v>1.5619375347257158</v>
      </c>
      <c r="Q1146" s="22"/>
      <c r="AD1146" s="59">
        <v>1142</v>
      </c>
      <c r="AE1146" s="61">
        <f t="shared" ca="1" si="222"/>
        <v>-0.26087405241970979</v>
      </c>
      <c r="AF1146" s="61">
        <f t="shared" ca="1" si="222"/>
        <v>-0.4999078811617309</v>
      </c>
      <c r="AG1146" s="61">
        <f t="shared" ca="1" si="222"/>
        <v>-8.9022807121263009E-2</v>
      </c>
      <c r="AH1146" s="19"/>
      <c r="AI1146" s="61">
        <f ca="1"/>
        <v>-5.6568672550124776E-3</v>
      </c>
      <c r="AJ1146" s="61">
        <f ca="1"/>
        <v>-1.4949295331920083E-2</v>
      </c>
      <c r="AK1146" s="61">
        <f ca="1"/>
        <v>-9.6558984959834969E-3</v>
      </c>
      <c r="AL1146" s="19"/>
      <c r="AM1146" s="61">
        <f t="shared" ca="1" si="219"/>
        <v>-5.3056509325022337E-3</v>
      </c>
      <c r="AN1146" s="61">
        <f t="shared" ca="1" si="220"/>
        <v>-1.4700242735003552E-2</v>
      </c>
      <c r="AO1146" s="61">
        <f t="shared" ca="1" si="221"/>
        <v>-9.2242298927286779E-3</v>
      </c>
      <c r="AP1146" s="19"/>
      <c r="AQ1146" s="62">
        <f t="shared" ca="1" si="216"/>
        <v>1.03646204553718</v>
      </c>
      <c r="AR1146" s="62">
        <f t="shared" ca="1" si="217"/>
        <v>1.1687488830968489</v>
      </c>
      <c r="AS1146" s="62">
        <f t="shared" ca="1" si="218"/>
        <v>0.80518065433272479</v>
      </c>
      <c r="AT1146" s="49"/>
    </row>
    <row r="1147" spans="1:46" x14ac:dyDescent="0.3">
      <c r="A1147" s="5">
        <v>45127</v>
      </c>
      <c r="B1147" s="6">
        <v>81.639999000000003</v>
      </c>
      <c r="C1147" s="6">
        <v>127.209999</v>
      </c>
      <c r="D1147" s="6">
        <v>120.730003</v>
      </c>
      <c r="F1147" s="13">
        <v>1144</v>
      </c>
      <c r="G1147" s="5">
        <v>45127</v>
      </c>
      <c r="H1147" s="15">
        <f t="shared" si="214"/>
        <v>-3.5141992217390575E-2</v>
      </c>
      <c r="I1147" s="15">
        <f t="shared" si="214"/>
        <v>-1.0867602152714304E-2</v>
      </c>
      <c r="J1147" s="15">
        <f t="shared" si="214"/>
        <v>2.270259598353001E-2</v>
      </c>
      <c r="K1147" s="22"/>
      <c r="L1147" s="13">
        <v>1144</v>
      </c>
      <c r="M1147" s="5">
        <v>45127</v>
      </c>
      <c r="N1147" s="26">
        <f t="shared" si="211"/>
        <v>1.4439334551833489</v>
      </c>
      <c r="O1147" s="26">
        <f t="shared" si="212"/>
        <v>1.2064681011671452</v>
      </c>
      <c r="P1147" s="26">
        <f t="shared" si="213"/>
        <v>1.5978031524034715</v>
      </c>
      <c r="Q1147" s="22"/>
      <c r="AD1147" s="59">
        <v>1143</v>
      </c>
      <c r="AE1147" s="61">
        <f t="shared" ca="1" si="222"/>
        <v>-0.3807307510860608</v>
      </c>
      <c r="AF1147" s="61">
        <f t="shared" ca="1" si="222"/>
        <v>-0.38171163940221292</v>
      </c>
      <c r="AG1147" s="61">
        <f t="shared" ca="1" si="222"/>
        <v>-1.0444306588716878</v>
      </c>
      <c r="AH1147" s="19"/>
      <c r="AI1147" s="61">
        <f ca="1"/>
        <v>-8.2558740465685423E-3</v>
      </c>
      <c r="AJ1147" s="61">
        <f ca="1"/>
        <v>-1.4256217288587981E-2</v>
      </c>
      <c r="AK1147" s="61">
        <f ca="1"/>
        <v>-3.5071960557724213E-2</v>
      </c>
      <c r="AL1147" s="19"/>
      <c r="AM1147" s="61">
        <f t="shared" ca="1" si="219"/>
        <v>-7.9046577240582984E-3</v>
      </c>
      <c r="AN1147" s="61">
        <f t="shared" ca="1" si="220"/>
        <v>-1.400716469167145E-2</v>
      </c>
      <c r="AO1147" s="61">
        <f t="shared" ca="1" si="221"/>
        <v>-3.4640291954469396E-2</v>
      </c>
      <c r="AP1147" s="19"/>
      <c r="AQ1147" s="62">
        <f t="shared" ca="1" si="216"/>
        <v>1.0283014636185224</v>
      </c>
      <c r="AR1147" s="62">
        <f t="shared" ca="1" si="217"/>
        <v>1.1524921462013036</v>
      </c>
      <c r="AS1147" s="62">
        <f t="shared" ca="1" si="218"/>
        <v>0.77776651945255704</v>
      </c>
      <c r="AT1147" s="49"/>
    </row>
    <row r="1148" spans="1:46" x14ac:dyDescent="0.3">
      <c r="A1148" s="5">
        <v>45128</v>
      </c>
      <c r="B1148" s="6">
        <v>78.639999000000003</v>
      </c>
      <c r="C1148" s="6">
        <v>126.160004</v>
      </c>
      <c r="D1148" s="6">
        <v>122.989998</v>
      </c>
      <c r="F1148" s="13">
        <v>1145</v>
      </c>
      <c r="G1148" s="5">
        <v>45128</v>
      </c>
      <c r="H1148" s="15">
        <f t="shared" si="214"/>
        <v>-3.743886257001032E-2</v>
      </c>
      <c r="I1148" s="15">
        <f t="shared" si="214"/>
        <v>-8.2882819465494272E-3</v>
      </c>
      <c r="J1148" s="15">
        <f t="shared" si="214"/>
        <v>1.8546362799702402E-2</v>
      </c>
      <c r="K1148" s="22"/>
      <c r="L1148" s="13">
        <v>1145</v>
      </c>
      <c r="M1148" s="5">
        <v>45128</v>
      </c>
      <c r="N1148" s="26">
        <f t="shared" si="211"/>
        <v>1.390873675435556</v>
      </c>
      <c r="O1148" s="26">
        <f t="shared" si="212"/>
        <v>1.1965098786701465</v>
      </c>
      <c r="P1148" s="26">
        <f t="shared" si="213"/>
        <v>1.6277130923163869</v>
      </c>
      <c r="Q1148" s="22"/>
      <c r="AD1148" s="59">
        <v>1144</v>
      </c>
      <c r="AE1148" s="61">
        <f t="shared" ca="1" si="222"/>
        <v>0.21575557730208283</v>
      </c>
      <c r="AF1148" s="61">
        <f t="shared" ca="1" si="222"/>
        <v>0.48825532738483041</v>
      </c>
      <c r="AG1148" s="61">
        <f t="shared" ca="1" si="222"/>
        <v>-0.93683363153918109</v>
      </c>
      <c r="AH1148" s="19"/>
      <c r="AI1148" s="61">
        <f ca="1"/>
        <v>4.6785053898838937E-3</v>
      </c>
      <c r="AJ1148" s="61">
        <f ca="1"/>
        <v>1.3989805598915104E-2</v>
      </c>
      <c r="AK1148" s="61">
        <f ca="1"/>
        <v>-1.7375210172997951E-2</v>
      </c>
      <c r="AL1148" s="19"/>
      <c r="AM1148" s="61">
        <f t="shared" ca="1" si="219"/>
        <v>5.0297217123941376E-3</v>
      </c>
      <c r="AN1148" s="61">
        <f t="shared" ca="1" si="220"/>
        <v>1.4238858195831636E-2</v>
      </c>
      <c r="AO1148" s="61">
        <f t="shared" ca="1" si="221"/>
        <v>-1.6943541569743134E-2</v>
      </c>
      <c r="AP1148" s="19"/>
      <c r="AQ1148" s="62">
        <f t="shared" ca="1" si="216"/>
        <v>1.0334865626885661</v>
      </c>
      <c r="AR1148" s="62">
        <f t="shared" ca="1" si="217"/>
        <v>1.1690197059937983</v>
      </c>
      <c r="AS1148" s="62">
        <f t="shared" ca="1" si="218"/>
        <v>0.76469941423006427</v>
      </c>
      <c r="AT1148" s="49"/>
    </row>
    <row r="1149" spans="1:46" x14ac:dyDescent="0.3">
      <c r="A1149" s="5">
        <v>45131</v>
      </c>
      <c r="B1149" s="6">
        <v>80.089995999999999</v>
      </c>
      <c r="C1149" s="6">
        <v>128.520004</v>
      </c>
      <c r="D1149" s="6">
        <v>125.709999</v>
      </c>
      <c r="F1149" s="13">
        <v>1146</v>
      </c>
      <c r="G1149" s="5">
        <v>45131</v>
      </c>
      <c r="H1149" s="15">
        <f t="shared" si="214"/>
        <v>1.8270489269040336E-2</v>
      </c>
      <c r="I1149" s="15">
        <f t="shared" si="214"/>
        <v>1.853359101066486E-2</v>
      </c>
      <c r="J1149" s="15">
        <f t="shared" si="214"/>
        <v>2.1874623979088764E-2</v>
      </c>
      <c r="K1149" s="22"/>
      <c r="L1149" s="13">
        <v>1146</v>
      </c>
      <c r="M1149" s="5">
        <v>45131</v>
      </c>
      <c r="N1149" s="26">
        <f t="shared" si="211"/>
        <v>1.4165191825872094</v>
      </c>
      <c r="O1149" s="26">
        <f t="shared" si="212"/>
        <v>1.218892275817673</v>
      </c>
      <c r="P1149" s="26">
        <f t="shared" si="213"/>
        <v>1.6637109889812334</v>
      </c>
      <c r="Q1149" s="22"/>
      <c r="AD1149" s="59">
        <v>1145</v>
      </c>
      <c r="AE1149" s="61">
        <f t="shared" ca="1" si="222"/>
        <v>-0.71262061557540701</v>
      </c>
      <c r="AF1149" s="61">
        <f t="shared" ca="1" si="222"/>
        <v>1.4758880305507742</v>
      </c>
      <c r="AG1149" s="61">
        <f t="shared" ca="1" si="222"/>
        <v>2.1864204588019742</v>
      </c>
      <c r="AH1149" s="19"/>
      <c r="AI1149" s="61">
        <f ca="1"/>
        <v>-1.5452668397275934E-2</v>
      </c>
      <c r="AJ1149" s="61">
        <f ca="1"/>
        <v>2.0925749543473267E-2</v>
      </c>
      <c r="AK1149" s="61">
        <f ca="1"/>
        <v>5.5880518710187732E-2</v>
      </c>
      <c r="AL1149" s="19"/>
      <c r="AM1149" s="61">
        <f t="shared" ca="1" si="219"/>
        <v>-1.510145207476569E-2</v>
      </c>
      <c r="AN1149" s="61">
        <f t="shared" ca="1" si="220"/>
        <v>2.1174802140389797E-2</v>
      </c>
      <c r="AO1149" s="61">
        <f t="shared" ca="1" si="221"/>
        <v>5.6312187313442549E-2</v>
      </c>
      <c r="AP1149" s="19"/>
      <c r="AQ1149" s="62">
        <f t="shared" ca="1" si="216"/>
        <v>1.0179966692105851</v>
      </c>
      <c r="AR1149" s="62">
        <f t="shared" ca="1" si="217"/>
        <v>1.1940374046124049</v>
      </c>
      <c r="AS1149" s="62">
        <f t="shared" ca="1" si="218"/>
        <v>0.80899684837845232</v>
      </c>
      <c r="AT1149" s="49"/>
    </row>
    <row r="1150" spans="1:46" x14ac:dyDescent="0.3">
      <c r="A1150" s="5">
        <v>45132</v>
      </c>
      <c r="B1150" s="6">
        <v>80.209998999999996</v>
      </c>
      <c r="C1150" s="6">
        <v>128.14999399999999</v>
      </c>
      <c r="D1150" s="6">
        <v>124.540001</v>
      </c>
      <c r="F1150" s="13">
        <v>1147</v>
      </c>
      <c r="G1150" s="5">
        <v>45132</v>
      </c>
      <c r="H1150" s="15">
        <f t="shared" si="214"/>
        <v>1.4972305197832833E-3</v>
      </c>
      <c r="I1150" s="15">
        <f t="shared" si="214"/>
        <v>-2.8831593812714811E-3</v>
      </c>
      <c r="J1150" s="15">
        <f t="shared" si="214"/>
        <v>-9.3507014980683204E-3</v>
      </c>
      <c r="K1150" s="22"/>
      <c r="L1150" s="13">
        <v>1147</v>
      </c>
      <c r="M1150" s="5">
        <v>45132</v>
      </c>
      <c r="N1150" s="26">
        <f t="shared" si="211"/>
        <v>1.4186416268369009</v>
      </c>
      <c r="O1150" s="26">
        <f t="shared" si="212"/>
        <v>1.2153830763394711</v>
      </c>
      <c r="P1150" s="26">
        <f t="shared" si="213"/>
        <v>1.6482266317688363</v>
      </c>
      <c r="Q1150" s="22"/>
      <c r="AD1150" s="59">
        <v>1146</v>
      </c>
      <c r="AE1150" s="61">
        <f t="shared" ca="1" si="222"/>
        <v>-0.49421426608668373</v>
      </c>
      <c r="AF1150" s="61">
        <f t="shared" ca="1" si="222"/>
        <v>-0.41734142602157265</v>
      </c>
      <c r="AG1150" s="61">
        <f t="shared" ca="1" si="222"/>
        <v>-6.2426396261464047E-2</v>
      </c>
      <c r="AH1150" s="19"/>
      <c r="AI1150" s="61">
        <f ca="1"/>
        <v>-1.0716682908302003E-2</v>
      </c>
      <c r="AJ1150" s="61">
        <f ca="1"/>
        <v>-1.6806949282970648E-2</v>
      </c>
      <c r="AK1150" s="61">
        <f ca="1"/>
        <v>-1.1840757703414573E-2</v>
      </c>
      <c r="AL1150" s="19"/>
      <c r="AM1150" s="61">
        <f t="shared" ca="1" si="219"/>
        <v>-1.0365466585791759E-2</v>
      </c>
      <c r="AN1150" s="61">
        <f t="shared" ca="1" si="220"/>
        <v>-1.6557896686054119E-2</v>
      </c>
      <c r="AO1150" s="61">
        <f t="shared" ca="1" si="221"/>
        <v>-1.1409089100159754E-2</v>
      </c>
      <c r="AP1150" s="19"/>
      <c r="AQ1150" s="62">
        <f t="shared" ca="1" si="216"/>
        <v>1.0074991585395614</v>
      </c>
      <c r="AR1150" s="62">
        <f t="shared" ca="1" si="217"/>
        <v>1.1744294379517177</v>
      </c>
      <c r="AS1150" s="62">
        <f t="shared" ca="1" si="218"/>
        <v>0.79981938405790154</v>
      </c>
      <c r="AT1150" s="49"/>
    </row>
    <row r="1151" spans="1:46" x14ac:dyDescent="0.3">
      <c r="A1151" s="5">
        <v>45133</v>
      </c>
      <c r="B1151" s="6">
        <v>75.430000000000007</v>
      </c>
      <c r="C1151" s="6">
        <v>128.270004</v>
      </c>
      <c r="D1151" s="6">
        <v>126.18</v>
      </c>
      <c r="F1151" s="13">
        <v>1148</v>
      </c>
      <c r="G1151" s="5">
        <v>45133</v>
      </c>
      <c r="H1151" s="15">
        <f t="shared" si="214"/>
        <v>-6.1443109046020059E-2</v>
      </c>
      <c r="I1151" s="15">
        <f t="shared" si="214"/>
        <v>9.3604250603328254E-4</v>
      </c>
      <c r="J1151" s="15">
        <f t="shared" si="214"/>
        <v>1.3082501468808802E-2</v>
      </c>
      <c r="K1151" s="22"/>
      <c r="L1151" s="13">
        <v>1148</v>
      </c>
      <c r="M1151" s="5">
        <v>45133</v>
      </c>
      <c r="N1151" s="26">
        <f t="shared" si="211"/>
        <v>1.3340997287920107</v>
      </c>
      <c r="O1151" s="26">
        <f t="shared" si="212"/>
        <v>1.2165212591706893</v>
      </c>
      <c r="P1151" s="26">
        <f t="shared" si="213"/>
        <v>1.6699312247202549</v>
      </c>
      <c r="Q1151" s="22"/>
      <c r="AD1151" s="59">
        <v>1147</v>
      </c>
      <c r="AE1151" s="61">
        <f t="shared" ca="1" si="222"/>
        <v>-6.3011295275794382E-2</v>
      </c>
      <c r="AF1151" s="61">
        <f t="shared" ca="1" si="222"/>
        <v>-0.63953635450966917</v>
      </c>
      <c r="AG1151" s="61">
        <f t="shared" ca="1" si="222"/>
        <v>-1.3132603768902742</v>
      </c>
      <c r="AH1151" s="19"/>
      <c r="AI1151" s="61">
        <f ca="1"/>
        <v>-1.3663548736847586E-3</v>
      </c>
      <c r="AJ1151" s="61">
        <f ca="1"/>
        <v>-1.488724755159113E-2</v>
      </c>
      <c r="AK1151" s="61">
        <f ca="1"/>
        <v>-3.9080607832816437E-2</v>
      </c>
      <c r="AL1151" s="19"/>
      <c r="AM1151" s="61">
        <f t="shared" ca="1" si="219"/>
        <v>-1.0151385511745145E-3</v>
      </c>
      <c r="AN1151" s="61">
        <f t="shared" ca="1" si="220"/>
        <v>-1.4638194954674598E-2</v>
      </c>
      <c r="AO1151" s="61">
        <f t="shared" ca="1" si="221"/>
        <v>-3.864893922956162E-2</v>
      </c>
      <c r="AP1151" s="19"/>
      <c r="AQ1151" s="62">
        <f t="shared" ca="1" si="216"/>
        <v>1.006476926244942</v>
      </c>
      <c r="AR1151" s="62">
        <f t="shared" ca="1" si="217"/>
        <v>1.1573631256237211</v>
      </c>
      <c r="AS1151" s="62">
        <f t="shared" ca="1" si="218"/>
        <v>0.76949695258745854</v>
      </c>
      <c r="AT1151" s="49"/>
    </row>
    <row r="1152" spans="1:46" x14ac:dyDescent="0.3">
      <c r="A1152" s="5">
        <v>45134</v>
      </c>
      <c r="B1152" s="6">
        <v>73.150002000000001</v>
      </c>
      <c r="C1152" s="6">
        <v>126.470001</v>
      </c>
      <c r="D1152" s="6">
        <v>125.470001</v>
      </c>
      <c r="F1152" s="13">
        <v>1149</v>
      </c>
      <c r="G1152" s="5">
        <v>45134</v>
      </c>
      <c r="H1152" s="15">
        <f t="shared" si="214"/>
        <v>-3.0692919058326627E-2</v>
      </c>
      <c r="I1152" s="15">
        <f t="shared" si="214"/>
        <v>-1.4132314697081186E-2</v>
      </c>
      <c r="J1152" s="15">
        <f t="shared" si="214"/>
        <v>-5.6427648010225007E-3</v>
      </c>
      <c r="K1152" s="22"/>
      <c r="L1152" s="13">
        <v>1149</v>
      </c>
      <c r="M1152" s="5">
        <v>45134</v>
      </c>
      <c r="N1152" s="26">
        <f t="shared" si="211"/>
        <v>1.2937743315568744</v>
      </c>
      <c r="O1152" s="26">
        <f t="shared" si="212"/>
        <v>1.1994499108602064</v>
      </c>
      <c r="P1152" s="26">
        <f t="shared" si="213"/>
        <v>1.6605347316181773</v>
      </c>
      <c r="Q1152" s="22"/>
      <c r="AD1152" s="59">
        <v>1148</v>
      </c>
      <c r="AE1152" s="61">
        <f t="shared" ca="1" si="222"/>
        <v>-1.9114173216188528</v>
      </c>
      <c r="AF1152" s="61">
        <f t="shared" ca="1" si="222"/>
        <v>-1.4465844996670558</v>
      </c>
      <c r="AG1152" s="61">
        <f t="shared" ca="1" si="222"/>
        <v>0.96797413592629478</v>
      </c>
      <c r="AH1152" s="19"/>
      <c r="AI1152" s="61">
        <f ca="1"/>
        <v>-4.1447717613299954E-2</v>
      </c>
      <c r="AJ1152" s="61">
        <f ca="1"/>
        <v>-6.1361135982511625E-2</v>
      </c>
      <c r="AK1152" s="61">
        <f ca="1"/>
        <v>-1.3630295216065971E-2</v>
      </c>
      <c r="AL1152" s="19"/>
      <c r="AM1152" s="61">
        <f t="shared" ca="1" si="219"/>
        <v>-4.1096501290789712E-2</v>
      </c>
      <c r="AN1152" s="61">
        <f t="shared" ca="1" si="220"/>
        <v>-6.1112083385595095E-2</v>
      </c>
      <c r="AO1152" s="61">
        <f t="shared" ca="1" si="221"/>
        <v>-1.3198626612811152E-2</v>
      </c>
      <c r="AP1152" s="19"/>
      <c r="AQ1152" s="62">
        <f t="shared" ca="1" si="216"/>
        <v>0.96595265225457205</v>
      </c>
      <c r="AR1152" s="62">
        <f t="shared" ca="1" si="217"/>
        <v>1.0887520875874672</v>
      </c>
      <c r="AS1152" s="62">
        <f t="shared" ca="1" si="218"/>
        <v>0.75940738034857269</v>
      </c>
      <c r="AT1152" s="49"/>
    </row>
    <row r="1153" spans="1:46" x14ac:dyDescent="0.3">
      <c r="A1153" s="5">
        <v>45135</v>
      </c>
      <c r="B1153" s="6">
        <v>74.559997999999993</v>
      </c>
      <c r="C1153" s="6">
        <v>127.68</v>
      </c>
      <c r="D1153" s="6">
        <v>129.070007</v>
      </c>
      <c r="F1153" s="13">
        <v>1150</v>
      </c>
      <c r="G1153" s="5">
        <v>45135</v>
      </c>
      <c r="H1153" s="15">
        <f t="shared" si="214"/>
        <v>1.9091988746088064E-2</v>
      </c>
      <c r="I1153" s="15">
        <f t="shared" si="214"/>
        <v>9.5219999026001281E-3</v>
      </c>
      <c r="J1153" s="15">
        <f t="shared" si="214"/>
        <v>2.8288252939590416E-2</v>
      </c>
      <c r="K1153" s="22"/>
      <c r="L1153" s="13">
        <v>1150</v>
      </c>
      <c r="M1153" s="5">
        <v>45135</v>
      </c>
      <c r="N1153" s="26">
        <f t="shared" si="211"/>
        <v>1.3187123572919639</v>
      </c>
      <c r="O1153" s="26">
        <f t="shared" si="212"/>
        <v>1.2109256219475413</v>
      </c>
      <c r="P1153" s="26">
        <f t="shared" si="213"/>
        <v>1.7081790685065927</v>
      </c>
      <c r="Q1153" s="22"/>
      <c r="AD1153" s="59">
        <v>1149</v>
      </c>
      <c r="AE1153" s="61">
        <f t="shared" ca="1" si="222"/>
        <v>1.0060036979006315</v>
      </c>
      <c r="AF1153" s="61">
        <f t="shared" ca="1" si="222"/>
        <v>-0.91414142232328677</v>
      </c>
      <c r="AG1153" s="61">
        <f t="shared" ca="1" si="222"/>
        <v>-0.87734405783088765</v>
      </c>
      <c r="AH1153" s="19"/>
      <c r="AI1153" s="61">
        <f ca="1"/>
        <v>2.1814470716005899E-2</v>
      </c>
      <c r="AJ1153" s="61">
        <f ca="1"/>
        <v>-4.1234842294684305E-3</v>
      </c>
      <c r="AK1153" s="61">
        <f ca="1"/>
        <v>-1.4051066432688605E-2</v>
      </c>
      <c r="AL1153" s="19"/>
      <c r="AM1153" s="61">
        <f t="shared" ca="1" si="219"/>
        <v>2.2165687038516145E-2</v>
      </c>
      <c r="AN1153" s="61">
        <f t="shared" ca="1" si="220"/>
        <v>-3.8744316325519E-3</v>
      </c>
      <c r="AO1153" s="61">
        <f t="shared" ca="1" si="221"/>
        <v>-1.3619397829433786E-2</v>
      </c>
      <c r="AP1153" s="19"/>
      <c r="AQ1153" s="62">
        <f t="shared" ca="1" si="216"/>
        <v>0.98760271427374713</v>
      </c>
      <c r="AR1153" s="62">
        <f t="shared" ca="1" si="217"/>
        <v>1.0845419532647134</v>
      </c>
      <c r="AS1153" s="62">
        <f t="shared" ca="1" si="218"/>
        <v>0.74913482094351103</v>
      </c>
      <c r="AT1153" s="49"/>
    </row>
    <row r="1154" spans="1:46" x14ac:dyDescent="0.3">
      <c r="A1154" s="5">
        <v>45138</v>
      </c>
      <c r="B1154" s="6">
        <v>74.150002000000001</v>
      </c>
      <c r="C1154" s="6">
        <v>131.33000200000001</v>
      </c>
      <c r="D1154" s="6">
        <v>128.91000399999999</v>
      </c>
      <c r="F1154" s="13">
        <v>1151</v>
      </c>
      <c r="G1154" s="5">
        <v>45138</v>
      </c>
      <c r="H1154" s="15">
        <f t="shared" si="214"/>
        <v>-5.5140479970068393E-3</v>
      </c>
      <c r="I1154" s="15">
        <f t="shared" si="214"/>
        <v>2.818612112438261E-2</v>
      </c>
      <c r="J1154" s="15">
        <f t="shared" si="214"/>
        <v>-1.2404295968181875E-3</v>
      </c>
      <c r="K1154" s="22"/>
      <c r="L1154" s="13">
        <v>1151</v>
      </c>
      <c r="M1154" s="5">
        <v>45138</v>
      </c>
      <c r="N1154" s="26">
        <f t="shared" si="211"/>
        <v>1.3114609248061386</v>
      </c>
      <c r="O1154" s="26">
        <f t="shared" si="212"/>
        <v>1.2455424839616371</v>
      </c>
      <c r="P1154" s="26">
        <f t="shared" si="213"/>
        <v>1.7060615062483193</v>
      </c>
      <c r="Q1154" s="22"/>
      <c r="AD1154" s="59">
        <v>1150</v>
      </c>
      <c r="AE1154" s="61">
        <f t="shared" ca="1" si="222"/>
        <v>-2.8212536028111188</v>
      </c>
      <c r="AF1154" s="61">
        <f t="shared" ca="1" si="222"/>
        <v>1.705408606374353</v>
      </c>
      <c r="AG1154" s="61">
        <f t="shared" ca="1" si="222"/>
        <v>-5.6728532940276633E-2</v>
      </c>
      <c r="AH1154" s="19"/>
      <c r="AI1154" s="61">
        <f ca="1"/>
        <v>-6.117686667492582E-2</v>
      </c>
      <c r="AJ1154" s="61">
        <f ca="1"/>
        <v>-7.0904232391582125E-3</v>
      </c>
      <c r="AK1154" s="61">
        <f ca="1"/>
        <v>-3.1128671955339356E-2</v>
      </c>
      <c r="AL1154" s="19"/>
      <c r="AM1154" s="61">
        <f t="shared" ca="1" si="219"/>
        <v>-6.0825650352415578E-2</v>
      </c>
      <c r="AN1154" s="61">
        <f t="shared" ca="1" si="220"/>
        <v>-6.841370642241682E-3</v>
      </c>
      <c r="AO1154" s="61">
        <f t="shared" ca="1" si="221"/>
        <v>-3.0697003352084539E-2</v>
      </c>
      <c r="AP1154" s="19"/>
      <c r="AQ1154" s="62">
        <f t="shared" ca="1" si="216"/>
        <v>0.9293215980238706</v>
      </c>
      <c r="AR1154" s="62">
        <f t="shared" ca="1" si="217"/>
        <v>1.077147522646581</v>
      </c>
      <c r="AS1154" s="62">
        <f t="shared" ca="1" si="218"/>
        <v>0.72648799992918311</v>
      </c>
      <c r="AT1154" s="49"/>
    </row>
    <row r="1155" spans="1:46" x14ac:dyDescent="0.3">
      <c r="A1155" s="5">
        <v>45139</v>
      </c>
      <c r="B1155" s="6">
        <v>73.919998000000007</v>
      </c>
      <c r="C1155" s="6">
        <v>131.800003</v>
      </c>
      <c r="D1155" s="6">
        <v>128.770004</v>
      </c>
      <c r="F1155" s="13">
        <v>1152</v>
      </c>
      <c r="G1155" s="5">
        <v>45139</v>
      </c>
      <c r="H1155" s="15">
        <f t="shared" si="214"/>
        <v>-3.1066952791427307E-3</v>
      </c>
      <c r="I1155" s="15">
        <f t="shared" si="214"/>
        <v>3.5723900042854261E-3</v>
      </c>
      <c r="J1155" s="15">
        <f t="shared" si="214"/>
        <v>-1.0866191355853986E-3</v>
      </c>
      <c r="K1155" s="22"/>
      <c r="L1155" s="13">
        <v>1152</v>
      </c>
      <c r="M1155" s="5">
        <v>45139</v>
      </c>
      <c r="N1155" s="26">
        <f t="shared" si="211"/>
        <v>1.3073929376124349</v>
      </c>
      <c r="O1155" s="26">
        <f t="shared" si="212"/>
        <v>1.2500000047420332</v>
      </c>
      <c r="P1155" s="26">
        <f t="shared" si="213"/>
        <v>1.704208674012935</v>
      </c>
      <c r="Q1155" s="22"/>
      <c r="AD1155" s="59">
        <v>1151</v>
      </c>
      <c r="AE1155" s="61">
        <f t="shared" ca="1" si="222"/>
        <v>0.14411551237891418</v>
      </c>
      <c r="AF1155" s="61">
        <f t="shared" ca="1" si="222"/>
        <v>1.2221850473469613</v>
      </c>
      <c r="AG1155" s="61">
        <f t="shared" ca="1" si="222"/>
        <v>0.55177778847239101</v>
      </c>
      <c r="AH1155" s="19"/>
      <c r="AI1155" s="61">
        <f ca="1"/>
        <v>3.1250418175128216E-3</v>
      </c>
      <c r="AJ1155" s="61">
        <f ca="1"/>
        <v>2.8821180413516445E-2</v>
      </c>
      <c r="AK1155" s="61">
        <f ca="1"/>
        <v>2.4873097704134494E-2</v>
      </c>
      <c r="AL1155" s="19"/>
      <c r="AM1155" s="61">
        <f t="shared" ca="1" si="219"/>
        <v>3.4762581400230659E-3</v>
      </c>
      <c r="AN1155" s="61">
        <f t="shared" ca="1" si="220"/>
        <v>2.9070233010432975E-2</v>
      </c>
      <c r="AO1155" s="61">
        <f t="shared" ca="1" si="221"/>
        <v>2.5304766307389311E-2</v>
      </c>
      <c r="AP1155" s="19"/>
      <c r="AQ1155" s="62">
        <f t="shared" ca="1" si="216"/>
        <v>0.93255778143923451</v>
      </c>
      <c r="AR1155" s="62">
        <f t="shared" ca="1" si="217"/>
        <v>1.1089200317476002</v>
      </c>
      <c r="AS1155" s="62">
        <f t="shared" ca="1" si="218"/>
        <v>0.74510617986584426</v>
      </c>
      <c r="AT1155" s="49"/>
    </row>
    <row r="1156" spans="1:46" x14ac:dyDescent="0.3">
      <c r="A1156" s="5">
        <v>45140</v>
      </c>
      <c r="B1156" s="6">
        <v>74.300003000000004</v>
      </c>
      <c r="C1156" s="6">
        <v>131.479996</v>
      </c>
      <c r="D1156" s="6">
        <v>126.30999799999999</v>
      </c>
      <c r="F1156" s="13">
        <v>1153</v>
      </c>
      <c r="G1156" s="5">
        <v>45140</v>
      </c>
      <c r="H1156" s="15">
        <f t="shared" si="214"/>
        <v>5.1275918234120312E-3</v>
      </c>
      <c r="I1156" s="15">
        <f t="shared" si="214"/>
        <v>-2.4309264570267089E-3</v>
      </c>
      <c r="J1156" s="15">
        <f t="shared" si="214"/>
        <v>-1.9288711397003111E-2</v>
      </c>
      <c r="K1156" s="22"/>
      <c r="L1156" s="13">
        <v>1153</v>
      </c>
      <c r="M1156" s="5">
        <v>45140</v>
      </c>
      <c r="N1156" s="26">
        <f t="shared" ref="N1156:N1219" si="223">B1156/B$3</f>
        <v>1.3141139314801216</v>
      </c>
      <c r="O1156" s="26">
        <f t="shared" ref="O1156:O1219" si="224">C1156/C$3</f>
        <v>1.2469650370454279</v>
      </c>
      <c r="P1156" s="26">
        <f t="shared" ref="P1156:P1219" si="225">D1156/D$3</f>
        <v>1.6716516853269372</v>
      </c>
      <c r="Q1156" s="22"/>
      <c r="AD1156" s="59">
        <v>1152</v>
      </c>
      <c r="AE1156" s="61">
        <f t="shared" ca="1" si="222"/>
        <v>0.70275066810949771</v>
      </c>
      <c r="AF1156" s="61">
        <f t="shared" ca="1" si="222"/>
        <v>0.68959986455368938</v>
      </c>
      <c r="AG1156" s="61">
        <f t="shared" ca="1" si="222"/>
        <v>0.66839936318257753</v>
      </c>
      <c r="AH1156" s="19"/>
      <c r="AI1156" s="61">
        <f ca="1"/>
        <v>1.5238645645259308E-2</v>
      </c>
      <c r="AJ1156" s="61">
        <f ca="1"/>
        <v>2.5988845730634889E-2</v>
      </c>
      <c r="AK1156" s="61">
        <f ca="1"/>
        <v>3.2364366476050968E-2</v>
      </c>
      <c r="AL1156" s="19"/>
      <c r="AM1156" s="61">
        <f t="shared" ca="1" si="219"/>
        <v>1.5589861967769552E-2</v>
      </c>
      <c r="AN1156" s="61">
        <f t="shared" ca="1" si="220"/>
        <v>2.6237898327551419E-2</v>
      </c>
      <c r="AO1156" s="61">
        <f t="shared" ca="1" si="221"/>
        <v>3.2796035079305785E-2</v>
      </c>
      <c r="AP1156" s="19"/>
      <c r="AQ1156" s="62">
        <f t="shared" ca="1" si="216"/>
        <v>0.94721014593619057</v>
      </c>
      <c r="AR1156" s="62">
        <f t="shared" ca="1" si="217"/>
        <v>1.1384008286065477</v>
      </c>
      <c r="AS1156" s="62">
        <f t="shared" ca="1" si="218"/>
        <v>0.76994783562648617</v>
      </c>
      <c r="AT1156" s="49"/>
    </row>
    <row r="1157" spans="1:46" x14ac:dyDescent="0.3">
      <c r="A1157" s="5">
        <v>45141</v>
      </c>
      <c r="B1157" s="6">
        <v>75.720000999999996</v>
      </c>
      <c r="C1157" s="6">
        <v>132.21000699999999</v>
      </c>
      <c r="D1157" s="6">
        <v>125.599998</v>
      </c>
      <c r="F1157" s="13">
        <v>1154</v>
      </c>
      <c r="G1157" s="5">
        <v>45141</v>
      </c>
      <c r="H1157" s="15">
        <f t="shared" ref="H1157:J1220" si="226">LN(B1157/B1156)</f>
        <v>1.8931347447108993E-2</v>
      </c>
      <c r="I1157" s="15">
        <f t="shared" si="226"/>
        <v>5.5369020949342243E-3</v>
      </c>
      <c r="J1157" s="15">
        <f t="shared" si="226"/>
        <v>-5.6369488412933893E-3</v>
      </c>
      <c r="K1157" s="22"/>
      <c r="L1157" s="13">
        <v>1154</v>
      </c>
      <c r="M1157" s="5">
        <v>45141</v>
      </c>
      <c r="N1157" s="26">
        <f t="shared" si="223"/>
        <v>1.3392288585208905</v>
      </c>
      <c r="O1157" s="26">
        <f t="shared" si="224"/>
        <v>1.2538885099793529</v>
      </c>
      <c r="P1157" s="26">
        <f t="shared" si="225"/>
        <v>1.6622551789903437</v>
      </c>
      <c r="Q1157" s="22"/>
      <c r="AD1157" s="59">
        <v>1153</v>
      </c>
      <c r="AE1157" s="61">
        <f t="shared" ref="AE1157:AG1188" ca="1" si="227">_xlfn.NORM.S.INV(RAND())</f>
        <v>-0.23927519200692787</v>
      </c>
      <c r="AF1157" s="61">
        <f t="shared" ca="1" si="227"/>
        <v>-2.3930240624145558</v>
      </c>
      <c r="AG1157" s="61">
        <f t="shared" ca="1" si="227"/>
        <v>-0.82440921761395136</v>
      </c>
      <c r="AH1157" s="19"/>
      <c r="AI1157" s="61">
        <f ca="1"/>
        <v>-5.188511414018074E-3</v>
      </c>
      <c r="AJ1157" s="61">
        <f ca="1"/>
        <v>-5.5760029327819413E-2</v>
      </c>
      <c r="AK1157" s="61">
        <f ca="1"/>
        <v>-4.1509526637490225E-2</v>
      </c>
      <c r="AL1157" s="19"/>
      <c r="AM1157" s="61">
        <f t="shared" ca="1" si="219"/>
        <v>-4.8372950915078301E-3</v>
      </c>
      <c r="AN1157" s="61">
        <f t="shared" ca="1" si="220"/>
        <v>-5.5510976730902883E-2</v>
      </c>
      <c r="AO1157" s="61">
        <f t="shared" ca="1" si="221"/>
        <v>-4.1077858034235408E-2</v>
      </c>
      <c r="AP1157" s="19"/>
      <c r="AQ1157" s="62">
        <f t="shared" ca="1" si="216"/>
        <v>0.94263927518492652</v>
      </c>
      <c r="AR1157" s="62">
        <f t="shared" ca="1" si="217"/>
        <v>1.076929050392913</v>
      </c>
      <c r="AS1157" s="62">
        <f t="shared" ca="1" si="218"/>
        <v>0.73896082489755599</v>
      </c>
      <c r="AT1157" s="49"/>
    </row>
    <row r="1158" spans="1:46" x14ac:dyDescent="0.3">
      <c r="A1158" s="5">
        <v>45142</v>
      </c>
      <c r="B1158" s="6">
        <v>75.110000999999997</v>
      </c>
      <c r="C1158" s="6">
        <v>131.740005</v>
      </c>
      <c r="D1158" s="6">
        <v>126.889999</v>
      </c>
      <c r="F1158" s="13">
        <v>1155</v>
      </c>
      <c r="G1158" s="5">
        <v>45142</v>
      </c>
      <c r="H1158" s="15">
        <f t="shared" si="226"/>
        <v>-8.088620535945697E-3</v>
      </c>
      <c r="I1158" s="15">
        <f t="shared" si="226"/>
        <v>-3.5612993019834413E-3</v>
      </c>
      <c r="J1158" s="15">
        <f t="shared" si="226"/>
        <v>1.0218323417450196E-2</v>
      </c>
      <c r="K1158" s="22"/>
      <c r="L1158" s="13">
        <v>1155</v>
      </c>
      <c r="M1158" s="5">
        <v>45142</v>
      </c>
      <c r="N1158" s="26">
        <f t="shared" si="223"/>
        <v>1.3284400366388391</v>
      </c>
      <c r="O1158" s="26">
        <f t="shared" si="224"/>
        <v>1.2494309797148901</v>
      </c>
      <c r="P1158" s="26">
        <f t="shared" si="225"/>
        <v>1.6793277178223325</v>
      </c>
      <c r="Q1158" s="22"/>
      <c r="AD1158" s="59">
        <v>1154</v>
      </c>
      <c r="AE1158" s="61">
        <f t="shared" ca="1" si="227"/>
        <v>-1.3894254147767671</v>
      </c>
      <c r="AF1158" s="61">
        <f t="shared" ca="1" si="227"/>
        <v>2.9582091249153366E-2</v>
      </c>
      <c r="AG1158" s="61">
        <f t="shared" ca="1" si="227"/>
        <v>0.7296740869358771</v>
      </c>
      <c r="AH1158" s="19"/>
      <c r="AI1158" s="61">
        <f ca="1"/>
        <v>-3.0128696431209318E-2</v>
      </c>
      <c r="AJ1158" s="61">
        <f ca="1"/>
        <v>-2.1104759247444999E-2</v>
      </c>
      <c r="AK1158" s="61">
        <f ca="1"/>
        <v>-1.6269711388001498E-3</v>
      </c>
      <c r="AL1158" s="19"/>
      <c r="AM1158" s="61">
        <f t="shared" ca="1" si="219"/>
        <v>-2.9777480108699073E-2</v>
      </c>
      <c r="AN1158" s="61">
        <f t="shared" ca="1" si="220"/>
        <v>-2.085570665052847E-2</v>
      </c>
      <c r="AO1158" s="61">
        <f t="shared" ca="1" si="221"/>
        <v>-1.1953025355453317E-3</v>
      </c>
      <c r="AP1158" s="19"/>
      <c r="AQ1158" s="62">
        <f t="shared" ref="AQ1158:AQ1221" ca="1" si="228">AQ1157*EXP(AM1158)</f>
        <v>0.91498365376271806</v>
      </c>
      <c r="AR1158" s="62">
        <f t="shared" ref="AR1158:AR1221" ca="1" si="229">AR1157*EXP(AN1158)</f>
        <v>1.05470152507705</v>
      </c>
      <c r="AS1158" s="62">
        <f t="shared" ref="AS1158:AS1221" ca="1" si="230">AS1157*EXP(AO1158)</f>
        <v>0.73807807083407517</v>
      </c>
      <c r="AT1158" s="49"/>
    </row>
    <row r="1159" spans="1:46" x14ac:dyDescent="0.3">
      <c r="A1159" s="5">
        <v>45145</v>
      </c>
      <c r="B1159" s="6">
        <v>75.540001000000004</v>
      </c>
      <c r="C1159" s="6">
        <v>131.61999499999999</v>
      </c>
      <c r="D1159" s="6">
        <v>129.28999300000001</v>
      </c>
      <c r="F1159" s="13">
        <v>1156</v>
      </c>
      <c r="G1159" s="5">
        <v>45145</v>
      </c>
      <c r="H1159" s="15">
        <f t="shared" si="226"/>
        <v>5.7086115106035921E-3</v>
      </c>
      <c r="I1159" s="15">
        <f t="shared" si="226"/>
        <v>-9.1137612626644065E-4</v>
      </c>
      <c r="J1159" s="15">
        <f t="shared" si="226"/>
        <v>1.8737327596627339E-2</v>
      </c>
      <c r="K1159" s="22"/>
      <c r="L1159" s="13">
        <v>1156</v>
      </c>
      <c r="M1159" s="5">
        <v>45145</v>
      </c>
      <c r="N1159" s="26">
        <f t="shared" si="223"/>
        <v>1.3360452717360229</v>
      </c>
      <c r="O1159" s="26">
        <f t="shared" si="224"/>
        <v>1.2482927968836721</v>
      </c>
      <c r="P1159" s="26">
        <f t="shared" si="225"/>
        <v>1.7110904767361166</v>
      </c>
      <c r="Q1159" s="22"/>
      <c r="AD1159" s="59">
        <v>1155</v>
      </c>
      <c r="AE1159" s="61">
        <f t="shared" ca="1" si="227"/>
        <v>-0.4574859467846028</v>
      </c>
      <c r="AF1159" s="61">
        <f t="shared" ca="1" si="227"/>
        <v>0.73462210820318119</v>
      </c>
      <c r="AG1159" s="61">
        <f t="shared" ca="1" si="227"/>
        <v>1.2161045600569718</v>
      </c>
      <c r="AH1159" s="19"/>
      <c r="AI1159" s="61">
        <f ca="1"/>
        <v>-9.9202555715681984E-3</v>
      </c>
      <c r="AJ1159" s="61">
        <f ca="1"/>
        <v>8.8070344504671758E-3</v>
      </c>
      <c r="AK1159" s="61">
        <f ca="1"/>
        <v>2.957048687638307E-2</v>
      </c>
      <c r="AL1159" s="19"/>
      <c r="AM1159" s="61">
        <f t="shared" ref="AM1159:AM1222" ca="1" si="231">AI1159+T$3</f>
        <v>-9.5690392490579545E-3</v>
      </c>
      <c r="AN1159" s="61">
        <f t="shared" ref="AN1159:AN1222" ca="1" si="232">AJ1159+U$3</f>
        <v>9.0560870473837072E-3</v>
      </c>
      <c r="AO1159" s="61">
        <f t="shared" ref="AO1159:AO1222" ca="1" si="233">AK1159+V$3</f>
        <v>3.0002155479637888E-2</v>
      </c>
      <c r="AP1159" s="19"/>
      <c r="AQ1159" s="62">
        <f t="shared" ca="1" si="228"/>
        <v>0.90626989689892645</v>
      </c>
      <c r="AR1159" s="62">
        <f t="shared" ca="1" si="229"/>
        <v>1.0642963742167868</v>
      </c>
      <c r="AS1159" s="62">
        <f t="shared" ca="1" si="230"/>
        <v>0.76055753386714864</v>
      </c>
      <c r="AT1159" s="49"/>
    </row>
    <row r="1160" spans="1:46" x14ac:dyDescent="0.3">
      <c r="A1160" s="5">
        <v>45146</v>
      </c>
      <c r="B1160" s="6">
        <v>75.819999999999993</v>
      </c>
      <c r="C1160" s="6">
        <v>130.14999399999999</v>
      </c>
      <c r="D1160" s="6">
        <v>131.33999600000001</v>
      </c>
      <c r="F1160" s="13">
        <v>1157</v>
      </c>
      <c r="G1160" s="5">
        <v>45146</v>
      </c>
      <c r="H1160" s="15">
        <f t="shared" si="226"/>
        <v>3.699779565858337E-3</v>
      </c>
      <c r="I1160" s="15">
        <f t="shared" si="226"/>
        <v>-1.1231359699904402E-2</v>
      </c>
      <c r="J1160" s="15">
        <f t="shared" si="226"/>
        <v>1.5731461182910439E-2</v>
      </c>
      <c r="K1160" s="22"/>
      <c r="L1160" s="13">
        <v>1157</v>
      </c>
      <c r="M1160" s="5">
        <v>45146</v>
      </c>
      <c r="N1160" s="26">
        <f t="shared" si="223"/>
        <v>1.3409975001592236</v>
      </c>
      <c r="O1160" s="26">
        <f t="shared" si="224"/>
        <v>1.2343512095153411</v>
      </c>
      <c r="P1160" s="26">
        <f t="shared" si="225"/>
        <v>1.7382212741720828</v>
      </c>
      <c r="Q1160" s="22"/>
      <c r="AD1160" s="59">
        <v>1156</v>
      </c>
      <c r="AE1160" s="61">
        <f t="shared" ca="1" si="227"/>
        <v>0.49830290815372813</v>
      </c>
      <c r="AF1160" s="61">
        <f t="shared" ca="1" si="227"/>
        <v>0.98545193063995329</v>
      </c>
      <c r="AG1160" s="61">
        <f t="shared" ca="1" si="227"/>
        <v>0.60699617352908553</v>
      </c>
      <c r="AH1160" s="19"/>
      <c r="AI1160" s="61">
        <f ca="1"/>
        <v>1.0805342187413898E-2</v>
      </c>
      <c r="AJ1160" s="61">
        <f ca="1"/>
        <v>2.9219406024311487E-2</v>
      </c>
      <c r="AK1160" s="61">
        <f ca="1"/>
        <v>2.9853918762988735E-2</v>
      </c>
      <c r="AL1160" s="19"/>
      <c r="AM1160" s="61">
        <f t="shared" ca="1" si="231"/>
        <v>1.1156558509924142E-2</v>
      </c>
      <c r="AN1160" s="61">
        <f t="shared" ca="1" si="232"/>
        <v>2.9468458621228016E-2</v>
      </c>
      <c r="AO1160" s="61">
        <f t="shared" ca="1" si="233"/>
        <v>3.0285587366243552E-2</v>
      </c>
      <c r="AP1160" s="19"/>
      <c r="AQ1160" s="62">
        <f t="shared" ca="1" si="228"/>
        <v>0.91643736152567579</v>
      </c>
      <c r="AR1160" s="62">
        <f t="shared" ca="1" si="229"/>
        <v>1.0961262329576718</v>
      </c>
      <c r="AS1160" s="62">
        <f t="shared" ca="1" si="230"/>
        <v>0.78394381158810134</v>
      </c>
      <c r="AT1160" s="49"/>
    </row>
    <row r="1161" spans="1:46" x14ac:dyDescent="0.3">
      <c r="A1161" s="5">
        <v>45147</v>
      </c>
      <c r="B1161" s="6">
        <v>76.279999000000004</v>
      </c>
      <c r="C1161" s="6">
        <v>128.490005</v>
      </c>
      <c r="D1161" s="6">
        <v>133.949997</v>
      </c>
      <c r="F1161" s="13">
        <v>1158</v>
      </c>
      <c r="G1161" s="5">
        <v>45147</v>
      </c>
      <c r="H1161" s="15">
        <f t="shared" si="226"/>
        <v>6.0486575344333637E-3</v>
      </c>
      <c r="I1161" s="15">
        <f t="shared" si="226"/>
        <v>-1.283646613099753E-2</v>
      </c>
      <c r="J1161" s="15">
        <f t="shared" si="226"/>
        <v>1.9677223286681603E-2</v>
      </c>
      <c r="K1161" s="22"/>
      <c r="L1161" s="13">
        <v>1158</v>
      </c>
      <c r="M1161" s="5">
        <v>45147</v>
      </c>
      <c r="N1161" s="26">
        <f t="shared" si="223"/>
        <v>1.349133315367292</v>
      </c>
      <c r="O1161" s="26">
        <f t="shared" si="224"/>
        <v>1.2186077633041015</v>
      </c>
      <c r="P1161" s="26">
        <f t="shared" si="225"/>
        <v>1.7727633740805553</v>
      </c>
      <c r="Q1161" s="22"/>
      <c r="AD1161" s="59">
        <v>1157</v>
      </c>
      <c r="AE1161" s="61">
        <f t="shared" ca="1" si="227"/>
        <v>1.6783695807946053</v>
      </c>
      <c r="AF1161" s="61">
        <f t="shared" ca="1" si="227"/>
        <v>-0.7450229641389664</v>
      </c>
      <c r="AG1161" s="61">
        <f t="shared" ca="1" si="227"/>
        <v>-0.7047593036495241</v>
      </c>
      <c r="AH1161" s="19"/>
      <c r="AI1161" s="61">
        <f ca="1"/>
        <v>3.6394244024434447E-2</v>
      </c>
      <c r="AJ1161" s="61">
        <f ca="1"/>
        <v>1.0076575559722901E-2</v>
      </c>
      <c r="AK1161" s="61">
        <f ca="1"/>
        <v>1.4961303837801414E-3</v>
      </c>
      <c r="AL1161" s="19"/>
      <c r="AM1161" s="61">
        <f t="shared" ca="1" si="231"/>
        <v>3.6745460346944689E-2</v>
      </c>
      <c r="AN1161" s="61">
        <f t="shared" ca="1" si="232"/>
        <v>1.0325628156639432E-2</v>
      </c>
      <c r="AO1161" s="61">
        <f t="shared" ca="1" si="233"/>
        <v>1.9277989870349595E-3</v>
      </c>
      <c r="AP1161" s="19"/>
      <c r="AQ1161" s="62">
        <f t="shared" ca="1" si="228"/>
        <v>0.95073862260938569</v>
      </c>
      <c r="AR1161" s="62">
        <f t="shared" ca="1" si="229"/>
        <v>1.1075030602142573</v>
      </c>
      <c r="AS1161" s="62">
        <f t="shared" ca="1" si="230"/>
        <v>0.78545655533841008</v>
      </c>
      <c r="AT1161" s="49"/>
    </row>
    <row r="1162" spans="1:46" x14ac:dyDescent="0.3">
      <c r="A1162" s="5">
        <v>45148</v>
      </c>
      <c r="B1162" s="6">
        <v>76.260002</v>
      </c>
      <c r="C1162" s="6">
        <v>122.300003</v>
      </c>
      <c r="D1162" s="6">
        <v>134.86000100000001</v>
      </c>
      <c r="F1162" s="13">
        <v>1159</v>
      </c>
      <c r="G1162" s="5">
        <v>45148</v>
      </c>
      <c r="H1162" s="15">
        <f t="shared" si="226"/>
        <v>-2.621869671360553E-4</v>
      </c>
      <c r="I1162" s="15">
        <f t="shared" si="226"/>
        <v>-4.9374051985951566E-2</v>
      </c>
      <c r="J1162" s="15">
        <f t="shared" si="226"/>
        <v>6.7706371273322163E-3</v>
      </c>
      <c r="K1162" s="22"/>
      <c r="L1162" s="13">
        <v>1159</v>
      </c>
      <c r="M1162" s="5">
        <v>45148</v>
      </c>
      <c r="N1162" s="26">
        <f t="shared" si="223"/>
        <v>1.3487796365620865</v>
      </c>
      <c r="O1162" s="26">
        <f t="shared" si="224"/>
        <v>1.1599013721566507</v>
      </c>
      <c r="P1162" s="26">
        <f t="shared" si="225"/>
        <v>1.7848068365486196</v>
      </c>
      <c r="Q1162" s="22"/>
      <c r="AD1162" s="59">
        <v>1158</v>
      </c>
      <c r="AE1162" s="61">
        <f t="shared" ca="1" si="227"/>
        <v>1.2750324127737616</v>
      </c>
      <c r="AF1162" s="61">
        <f t="shared" ca="1" si="227"/>
        <v>0.54376443237749239</v>
      </c>
      <c r="AG1162" s="61">
        <f t="shared" ca="1" si="227"/>
        <v>-0.16732239680084574</v>
      </c>
      <c r="AH1162" s="19"/>
      <c r="AI1162" s="61">
        <f ca="1"/>
        <v>2.7648165994275425E-2</v>
      </c>
      <c r="AJ1162" s="61">
        <f ca="1"/>
        <v>3.1776511460111387E-2</v>
      </c>
      <c r="AK1162" s="61">
        <f ca="1"/>
        <v>1.8381947477112248E-2</v>
      </c>
      <c r="AL1162" s="19"/>
      <c r="AM1162" s="61">
        <f t="shared" ca="1" si="231"/>
        <v>2.799938231678567E-2</v>
      </c>
      <c r="AN1162" s="61">
        <f t="shared" ca="1" si="232"/>
        <v>3.2025564057027917E-2</v>
      </c>
      <c r="AO1162" s="61">
        <f t="shared" ca="1" si="233"/>
        <v>1.8813616080367065E-2</v>
      </c>
      <c r="AP1162" s="19"/>
      <c r="AQ1162" s="62">
        <f t="shared" ca="1" si="228"/>
        <v>0.97773489257364454</v>
      </c>
      <c r="AR1162" s="62">
        <f t="shared" ca="1" si="229"/>
        <v>1.1435455301396935</v>
      </c>
      <c r="AS1162" s="62">
        <f t="shared" ca="1" si="230"/>
        <v>0.80037371629379594</v>
      </c>
      <c r="AT1162" s="49"/>
    </row>
    <row r="1163" spans="1:46" x14ac:dyDescent="0.3">
      <c r="A1163" s="5">
        <v>45149</v>
      </c>
      <c r="B1163" s="6">
        <v>76.190002000000007</v>
      </c>
      <c r="C1163" s="6">
        <v>121.459999</v>
      </c>
      <c r="D1163" s="6">
        <v>139.05999800000001</v>
      </c>
      <c r="F1163" s="13">
        <v>1160</v>
      </c>
      <c r="G1163" s="5">
        <v>45149</v>
      </c>
      <c r="H1163" s="15">
        <f t="shared" si="226"/>
        <v>-9.1833392040393061E-4</v>
      </c>
      <c r="I1163" s="15">
        <f t="shared" si="226"/>
        <v>-6.8920849867050394E-3</v>
      </c>
      <c r="J1163" s="15">
        <f t="shared" si="226"/>
        <v>3.0668269567057666E-2</v>
      </c>
      <c r="K1163" s="22"/>
      <c r="L1163" s="13">
        <v>1160</v>
      </c>
      <c r="M1163" s="5">
        <v>45149</v>
      </c>
      <c r="N1163" s="26">
        <f t="shared" si="223"/>
        <v>1.347541575034638</v>
      </c>
      <c r="O1163" s="26">
        <f t="shared" si="224"/>
        <v>1.1519347182865189</v>
      </c>
      <c r="P1163" s="26">
        <f t="shared" si="225"/>
        <v>1.8403917639066112</v>
      </c>
      <c r="Q1163" s="22"/>
      <c r="AD1163" s="59">
        <v>1159</v>
      </c>
      <c r="AE1163" s="61">
        <f t="shared" ca="1" si="227"/>
        <v>2.20760687346122</v>
      </c>
      <c r="AF1163" s="61">
        <f t="shared" ca="1" si="227"/>
        <v>0.73155675124819175</v>
      </c>
      <c r="AG1163" s="61">
        <f t="shared" ca="1" si="227"/>
        <v>1.0613395757320643</v>
      </c>
      <c r="AH1163" s="19"/>
      <c r="AI1163" s="61">
        <f ca="1"/>
        <v>4.7870376216380399E-2</v>
      </c>
      <c r="AJ1163" s="61">
        <f ca="1"/>
        <v>5.0455339202837415E-2</v>
      </c>
      <c r="AK1163" s="61">
        <f ca="1"/>
        <v>6.4962028977784997E-2</v>
      </c>
      <c r="AL1163" s="19"/>
      <c r="AM1163" s="61">
        <f t="shared" ca="1" si="231"/>
        <v>4.8221592538890641E-2</v>
      </c>
      <c r="AN1163" s="61">
        <f t="shared" ca="1" si="232"/>
        <v>5.0704391799753945E-2</v>
      </c>
      <c r="AO1163" s="61">
        <f t="shared" ca="1" si="233"/>
        <v>6.5393697581039814E-2</v>
      </c>
      <c r="AP1163" s="19"/>
      <c r="AQ1163" s="62">
        <f t="shared" ca="1" si="228"/>
        <v>1.0260380951725556</v>
      </c>
      <c r="AR1163" s="62">
        <f t="shared" ca="1" si="229"/>
        <v>1.2030234647086153</v>
      </c>
      <c r="AS1163" s="62">
        <f t="shared" ca="1" si="230"/>
        <v>0.85446236777892404</v>
      </c>
      <c r="AT1163" s="49"/>
    </row>
    <row r="1164" spans="1:46" x14ac:dyDescent="0.3">
      <c r="A1164" s="5">
        <v>45152</v>
      </c>
      <c r="B1164" s="6">
        <v>76.019997000000004</v>
      </c>
      <c r="C1164" s="6">
        <v>121.07</v>
      </c>
      <c r="D1164" s="6">
        <v>136.5</v>
      </c>
      <c r="F1164" s="13">
        <v>1161</v>
      </c>
      <c r="G1164" s="5">
        <v>45152</v>
      </c>
      <c r="H1164" s="15">
        <f t="shared" si="226"/>
        <v>-2.2338226372793169E-3</v>
      </c>
      <c r="I1164" s="15">
        <f t="shared" si="226"/>
        <v>-3.2160915166172021E-3</v>
      </c>
      <c r="J1164" s="15">
        <f t="shared" si="226"/>
        <v>-1.8580865663576317E-2</v>
      </c>
      <c r="K1164" s="22"/>
      <c r="L1164" s="13">
        <v>1161</v>
      </c>
      <c r="M1164" s="5">
        <v>45152</v>
      </c>
      <c r="N1164" s="26">
        <f t="shared" si="223"/>
        <v>1.3445347657492968</v>
      </c>
      <c r="O1164" s="26">
        <f t="shared" si="224"/>
        <v>1.1482359418012908</v>
      </c>
      <c r="P1164" s="26">
        <f t="shared" si="225"/>
        <v>1.806511429500038</v>
      </c>
      <c r="Q1164" s="22"/>
      <c r="AD1164" s="59">
        <v>1160</v>
      </c>
      <c r="AE1164" s="61">
        <f t="shared" ca="1" si="227"/>
        <v>-2.2367818712533274</v>
      </c>
      <c r="AF1164" s="61">
        <f t="shared" ca="1" si="227"/>
        <v>-0.62394197480695179</v>
      </c>
      <c r="AG1164" s="61">
        <f t="shared" ca="1" si="227"/>
        <v>-0.51974704676659478</v>
      </c>
      <c r="AH1164" s="19"/>
      <c r="AI1164" s="61">
        <f ca="1"/>
        <v>-4.8503015178149235E-2</v>
      </c>
      <c r="AJ1164" s="61">
        <f ca="1"/>
        <v>-4.8572879450970538E-2</v>
      </c>
      <c r="AK1164" s="61">
        <f ca="1"/>
        <v>-5.0759656388313007E-2</v>
      </c>
      <c r="AL1164" s="19"/>
      <c r="AM1164" s="61">
        <f t="shared" ca="1" si="231"/>
        <v>-4.8151798855638993E-2</v>
      </c>
      <c r="AN1164" s="61">
        <f t="shared" ca="1" si="232"/>
        <v>-4.8323826854054008E-2</v>
      </c>
      <c r="AO1164" s="61">
        <f t="shared" ca="1" si="233"/>
        <v>-5.032798778505819E-2</v>
      </c>
      <c r="AP1164" s="19"/>
      <c r="AQ1164" s="62">
        <f t="shared" ca="1" si="228"/>
        <v>0.97780313467444702</v>
      </c>
      <c r="AR1164" s="62">
        <f t="shared" ca="1" si="229"/>
        <v>1.1462710574027359</v>
      </c>
      <c r="AS1164" s="62">
        <f t="shared" ca="1" si="230"/>
        <v>0.81252320496478714</v>
      </c>
      <c r="AT1164" s="49"/>
    </row>
    <row r="1165" spans="1:46" x14ac:dyDescent="0.3">
      <c r="A1165" s="5">
        <v>45153</v>
      </c>
      <c r="B1165" s="6">
        <v>74.860000999999997</v>
      </c>
      <c r="C1165" s="6">
        <v>119.629997</v>
      </c>
      <c r="D1165" s="6">
        <v>131.13999899999999</v>
      </c>
      <c r="F1165" s="13">
        <v>1162</v>
      </c>
      <c r="G1165" s="5">
        <v>45153</v>
      </c>
      <c r="H1165" s="15">
        <f t="shared" si="226"/>
        <v>-1.5376708263251292E-2</v>
      </c>
      <c r="I1165" s="15">
        <f t="shared" si="226"/>
        <v>-1.1965269614158072E-2</v>
      </c>
      <c r="J1165" s="15">
        <f t="shared" si="226"/>
        <v>-4.0059167414979627E-2</v>
      </c>
      <c r="K1165" s="22"/>
      <c r="L1165" s="13">
        <v>1162</v>
      </c>
      <c r="M1165" s="5">
        <v>45153</v>
      </c>
      <c r="N1165" s="26">
        <f t="shared" si="223"/>
        <v>1.3240183883265231</v>
      </c>
      <c r="O1165" s="26">
        <f t="shared" si="224"/>
        <v>1.1345788574624647</v>
      </c>
      <c r="P1165" s="26">
        <f t="shared" si="225"/>
        <v>1.7355744106822237</v>
      </c>
      <c r="Q1165" s="22"/>
      <c r="AD1165" s="59">
        <v>1161</v>
      </c>
      <c r="AE1165" s="61">
        <f t="shared" ca="1" si="227"/>
        <v>-0.54796372087835221</v>
      </c>
      <c r="AF1165" s="61">
        <f t="shared" ca="1" si="227"/>
        <v>1.5893165763669481</v>
      </c>
      <c r="AG1165" s="61">
        <f t="shared" ca="1" si="227"/>
        <v>-1.2999133750321086</v>
      </c>
      <c r="AH1165" s="19"/>
      <c r="AI1165" s="61">
        <f ca="1"/>
        <v>-1.1882201394964615E-2</v>
      </c>
      <c r="AJ1165" s="61">
        <f ca="1"/>
        <v>2.5968499769379066E-2</v>
      </c>
      <c r="AK1165" s="61">
        <f ca="1"/>
        <v>-3.0207486013961567E-2</v>
      </c>
      <c r="AL1165" s="19"/>
      <c r="AM1165" s="61">
        <f t="shared" ca="1" si="231"/>
        <v>-1.1530985072454371E-2</v>
      </c>
      <c r="AN1165" s="61">
        <f t="shared" ca="1" si="232"/>
        <v>2.6217552366295596E-2</v>
      </c>
      <c r="AO1165" s="61">
        <f t="shared" ca="1" si="233"/>
        <v>-2.9775817410706749E-2</v>
      </c>
      <c r="AP1165" s="19"/>
      <c r="AQ1165" s="62">
        <f t="shared" ca="1" si="228"/>
        <v>0.96659285830243447</v>
      </c>
      <c r="AR1165" s="62">
        <f t="shared" ca="1" si="229"/>
        <v>1.1767208948330086</v>
      </c>
      <c r="AS1165" s="62">
        <f t="shared" ca="1" si="230"/>
        <v>0.78868630508325888</v>
      </c>
      <c r="AT1165" s="49"/>
    </row>
    <row r="1166" spans="1:46" x14ac:dyDescent="0.3">
      <c r="A1166" s="5">
        <v>45154</v>
      </c>
      <c r="B1166" s="6">
        <v>74.099997999999999</v>
      </c>
      <c r="C1166" s="6">
        <v>117.75</v>
      </c>
      <c r="D1166" s="6">
        <v>130.94000199999999</v>
      </c>
      <c r="F1166" s="13">
        <v>1163</v>
      </c>
      <c r="G1166" s="5">
        <v>45154</v>
      </c>
      <c r="H1166" s="15">
        <f t="shared" si="226"/>
        <v>-1.0204210523063988E-2</v>
      </c>
      <c r="I1166" s="15">
        <f t="shared" si="226"/>
        <v>-1.5839888208963697E-2</v>
      </c>
      <c r="J1166" s="15">
        <f t="shared" si="226"/>
        <v>-1.5262289229182699E-3</v>
      </c>
      <c r="K1166" s="22"/>
      <c r="L1166" s="13">
        <v>1163</v>
      </c>
      <c r="M1166" s="5">
        <v>45154</v>
      </c>
      <c r="N1166" s="26">
        <f t="shared" si="223"/>
        <v>1.3105765243973024</v>
      </c>
      <c r="O1166" s="26">
        <f t="shared" si="224"/>
        <v>1.1167488407293467</v>
      </c>
      <c r="P1166" s="26">
        <f t="shared" si="225"/>
        <v>1.7329275471923651</v>
      </c>
      <c r="Q1166" s="22"/>
      <c r="AD1166" s="59">
        <v>1162</v>
      </c>
      <c r="AE1166" s="61">
        <f t="shared" ca="1" si="227"/>
        <v>-1.0866652230267562</v>
      </c>
      <c r="AF1166" s="61">
        <f t="shared" ca="1" si="227"/>
        <v>-0.74169313118268143</v>
      </c>
      <c r="AG1166" s="61">
        <f t="shared" ca="1" si="227"/>
        <v>0.12611835642097732</v>
      </c>
      <c r="AH1166" s="19"/>
      <c r="AI1166" s="61">
        <f ca="1"/>
        <v>-2.3563558200916938E-2</v>
      </c>
      <c r="AJ1166" s="61">
        <f ca="1"/>
        <v>-3.3130306236737524E-2</v>
      </c>
      <c r="AK1166" s="61">
        <f ca="1"/>
        <v>-1.8048270133579902E-2</v>
      </c>
      <c r="AL1166" s="19"/>
      <c r="AM1166" s="61">
        <f t="shared" ca="1" si="231"/>
        <v>-2.3212341878406692E-2</v>
      </c>
      <c r="AN1166" s="61">
        <f t="shared" ca="1" si="232"/>
        <v>-3.2881253639820994E-2</v>
      </c>
      <c r="AO1166" s="61">
        <f t="shared" ca="1" si="233"/>
        <v>-1.7616601530325085E-2</v>
      </c>
      <c r="AP1166" s="19"/>
      <c r="AQ1166" s="62">
        <f t="shared" ca="1" si="228"/>
        <v>0.94441437748634705</v>
      </c>
      <c r="AR1166" s="62">
        <f t="shared" ca="1" si="229"/>
        <v>1.1386580430955331</v>
      </c>
      <c r="AS1166" s="62">
        <f t="shared" ca="1" si="230"/>
        <v>0.77491399950224005</v>
      </c>
      <c r="AT1166" s="49"/>
    </row>
    <row r="1167" spans="1:46" x14ac:dyDescent="0.3">
      <c r="A1167" s="5">
        <v>45155</v>
      </c>
      <c r="B1167" s="6">
        <v>73.959998999999996</v>
      </c>
      <c r="C1167" s="6">
        <v>116.720001</v>
      </c>
      <c r="D1167" s="6">
        <v>132.020004</v>
      </c>
      <c r="F1167" s="13">
        <v>1164</v>
      </c>
      <c r="G1167" s="5">
        <v>45155</v>
      </c>
      <c r="H1167" s="15">
        <f t="shared" si="226"/>
        <v>-1.8911123133856639E-3</v>
      </c>
      <c r="I1167" s="15">
        <f t="shared" si="226"/>
        <v>-8.785820114485008E-3</v>
      </c>
      <c r="J1167" s="15">
        <f t="shared" si="226"/>
        <v>8.2142382719473991E-3</v>
      </c>
      <c r="K1167" s="22"/>
      <c r="L1167" s="13">
        <v>1164</v>
      </c>
      <c r="M1167" s="5">
        <v>45155</v>
      </c>
      <c r="N1167" s="26">
        <f t="shared" si="223"/>
        <v>1.3081004190289987</v>
      </c>
      <c r="O1167" s="26">
        <f t="shared" si="224"/>
        <v>1.1069802616278401</v>
      </c>
      <c r="P1167" s="26">
        <f t="shared" si="225"/>
        <v>1.7472208509057929</v>
      </c>
      <c r="Q1167" s="22"/>
      <c r="AD1167" s="59">
        <v>1163</v>
      </c>
      <c r="AE1167" s="61">
        <f t="shared" ca="1" si="227"/>
        <v>0.11382925705781911</v>
      </c>
      <c r="AF1167" s="61">
        <f t="shared" ca="1" si="227"/>
        <v>0.44239783009769185</v>
      </c>
      <c r="AG1167" s="61">
        <f t="shared" ca="1" si="227"/>
        <v>4.5527034417868146E-3</v>
      </c>
      <c r="AH1167" s="19"/>
      <c r="AI1167" s="61">
        <f ca="1"/>
        <v>2.4683060309762151E-3</v>
      </c>
      <c r="AJ1167" s="61">
        <f ca="1"/>
        <v>1.1397661023034574E-2</v>
      </c>
      <c r="AK1167" s="61">
        <f ca="1"/>
        <v>4.91409881185992E-3</v>
      </c>
      <c r="AL1167" s="19"/>
      <c r="AM1167" s="61">
        <f t="shared" ca="1" si="231"/>
        <v>2.8195223534864594E-3</v>
      </c>
      <c r="AN1167" s="61">
        <f t="shared" ca="1" si="232"/>
        <v>1.1646713619951106E-2</v>
      </c>
      <c r="AO1167" s="61">
        <f t="shared" ca="1" si="233"/>
        <v>5.3457674151147381E-3</v>
      </c>
      <c r="AP1167" s="19"/>
      <c r="AQ1167" s="62">
        <f t="shared" ca="1" si="228"/>
        <v>0.94708093237365254</v>
      </c>
      <c r="AR1167" s="62">
        <f t="shared" ca="1" si="229"/>
        <v>1.151997195093003</v>
      </c>
      <c r="AS1167" s="62">
        <f t="shared" ca="1" si="230"/>
        <v>0.77906760171444389</v>
      </c>
      <c r="AT1167" s="49"/>
    </row>
    <row r="1168" spans="1:46" x14ac:dyDescent="0.3">
      <c r="A1168" s="5">
        <v>45156</v>
      </c>
      <c r="B1168" s="6">
        <v>74.650002000000001</v>
      </c>
      <c r="C1168" s="6">
        <v>115.43</v>
      </c>
      <c r="D1168" s="6">
        <v>133.58000200000001</v>
      </c>
      <c r="F1168" s="13">
        <v>1165</v>
      </c>
      <c r="G1168" s="5">
        <v>45156</v>
      </c>
      <c r="H1168" s="15">
        <f t="shared" si="226"/>
        <v>9.286157778791727E-3</v>
      </c>
      <c r="I1168" s="15">
        <f t="shared" si="226"/>
        <v>-1.1113627155221201E-2</v>
      </c>
      <c r="J1168" s="15">
        <f t="shared" si="226"/>
        <v>1.1747107710727194E-2</v>
      </c>
      <c r="K1168" s="22"/>
      <c r="L1168" s="13">
        <v>1165</v>
      </c>
      <c r="M1168" s="5">
        <v>45156</v>
      </c>
      <c r="N1168" s="26">
        <f t="shared" si="223"/>
        <v>1.3203042214307708</v>
      </c>
      <c r="O1168" s="26">
        <f t="shared" si="224"/>
        <v>1.0947458062453375</v>
      </c>
      <c r="P1168" s="26">
        <f t="shared" si="225"/>
        <v>1.7678666693453329</v>
      </c>
      <c r="Q1168" s="22"/>
      <c r="AD1168" s="59">
        <v>1164</v>
      </c>
      <c r="AE1168" s="61">
        <f t="shared" ca="1" si="227"/>
        <v>0.50505351583106473</v>
      </c>
      <c r="AF1168" s="61">
        <f t="shared" ca="1" si="227"/>
        <v>0.76396607970502395</v>
      </c>
      <c r="AG1168" s="61">
        <f t="shared" ca="1" si="227"/>
        <v>0.9847161204446061</v>
      </c>
      <c r="AH1168" s="19"/>
      <c r="AI1168" s="61">
        <f ca="1"/>
        <v>1.0951724287002411E-2</v>
      </c>
      <c r="AJ1168" s="61">
        <f ca="1"/>
        <v>2.451084846004558E-2</v>
      </c>
      <c r="AK1168" s="61">
        <f ca="1"/>
        <v>3.8071025365973232E-2</v>
      </c>
      <c r="AL1168" s="19"/>
      <c r="AM1168" s="61">
        <f t="shared" ca="1" si="231"/>
        <v>1.1302940609512655E-2</v>
      </c>
      <c r="AN1168" s="61">
        <f t="shared" ca="1" si="232"/>
        <v>2.4759901056962109E-2</v>
      </c>
      <c r="AO1168" s="61">
        <f t="shared" ca="1" si="233"/>
        <v>3.850269396922805E-2</v>
      </c>
      <c r="AP1168" s="19"/>
      <c r="AQ1168" s="62">
        <f t="shared" ca="1" si="228"/>
        <v>0.95784645834144355</v>
      </c>
      <c r="AR1168" s="62">
        <f t="shared" ca="1" si="229"/>
        <v>1.1808765816714517</v>
      </c>
      <c r="AS1168" s="62">
        <f t="shared" ca="1" si="230"/>
        <v>0.80964875368773359</v>
      </c>
      <c r="AT1168" s="49"/>
    </row>
    <row r="1169" spans="1:46" x14ac:dyDescent="0.3">
      <c r="A1169" s="5">
        <v>45159</v>
      </c>
      <c r="B1169" s="6">
        <v>75.069999999999993</v>
      </c>
      <c r="C1169" s="6">
        <v>115.050003</v>
      </c>
      <c r="D1169" s="6">
        <v>131.16000399999999</v>
      </c>
      <c r="F1169" s="13">
        <v>1166</v>
      </c>
      <c r="G1169" s="5">
        <v>45159</v>
      </c>
      <c r="H1169" s="15">
        <f t="shared" si="226"/>
        <v>5.6104608080172463E-3</v>
      </c>
      <c r="I1169" s="15">
        <f t="shared" si="226"/>
        <v>-3.2974430698270111E-3</v>
      </c>
      <c r="J1169" s="15">
        <f t="shared" si="226"/>
        <v>-1.8282581796241391E-2</v>
      </c>
      <c r="K1169" s="22"/>
      <c r="L1169" s="13">
        <v>1166</v>
      </c>
      <c r="M1169" s="5">
        <v>45159</v>
      </c>
      <c r="N1169" s="26">
        <f t="shared" si="223"/>
        <v>1.3277325552222752</v>
      </c>
      <c r="O1169" s="26">
        <f t="shared" si="224"/>
        <v>1.091141889394122</v>
      </c>
      <c r="P1169" s="26">
        <f t="shared" si="225"/>
        <v>1.7358391671741442</v>
      </c>
      <c r="Q1169" s="22"/>
      <c r="AD1169" s="59">
        <v>1165</v>
      </c>
      <c r="AE1169" s="61">
        <f t="shared" ca="1" si="227"/>
        <v>1.0760542105041087</v>
      </c>
      <c r="AF1169" s="61">
        <f t="shared" ca="1" si="227"/>
        <v>-0.2861197142618831</v>
      </c>
      <c r="AG1169" s="61">
        <f t="shared" ca="1" si="227"/>
        <v>0.10888401806386319</v>
      </c>
      <c r="AH1169" s="19"/>
      <c r="AI1169" s="61">
        <f ca="1"/>
        <v>2.3333465983139297E-2</v>
      </c>
      <c r="AJ1169" s="61">
        <f ca="1"/>
        <v>1.0623660972415145E-2</v>
      </c>
      <c r="AK1169" s="61">
        <f ca="1"/>
        <v>1.6673905363316331E-2</v>
      </c>
      <c r="AL1169" s="19"/>
      <c r="AM1169" s="61">
        <f t="shared" ca="1" si="231"/>
        <v>2.3684682305649542E-2</v>
      </c>
      <c r="AN1169" s="61">
        <f t="shared" ca="1" si="232"/>
        <v>1.0872713569331676E-2</v>
      </c>
      <c r="AO1169" s="61">
        <f t="shared" ca="1" si="233"/>
        <v>1.7105573966571148E-2</v>
      </c>
      <c r="AP1169" s="19"/>
      <c r="AQ1169" s="62">
        <f t="shared" ca="1" si="228"/>
        <v>0.9808035398307301</v>
      </c>
      <c r="AR1169" s="62">
        <f t="shared" ca="1" si="229"/>
        <v>1.1937859673568498</v>
      </c>
      <c r="AS1169" s="62">
        <f t="shared" ca="1" si="230"/>
        <v>0.82361739050499017</v>
      </c>
      <c r="AT1169" s="49"/>
    </row>
    <row r="1170" spans="1:46" x14ac:dyDescent="0.3">
      <c r="A1170" s="5">
        <v>45160</v>
      </c>
      <c r="B1170" s="6">
        <v>75.220000999999996</v>
      </c>
      <c r="C1170" s="6">
        <v>113.099998</v>
      </c>
      <c r="D1170" s="6">
        <v>130.88999899999999</v>
      </c>
      <c r="F1170" s="13">
        <v>1167</v>
      </c>
      <c r="G1170" s="5">
        <v>45160</v>
      </c>
      <c r="H1170" s="15">
        <f t="shared" si="226"/>
        <v>1.9961547516158472E-3</v>
      </c>
      <c r="I1170" s="15">
        <f t="shared" si="226"/>
        <v>-1.7094477118385281E-2</v>
      </c>
      <c r="J1170" s="15">
        <f t="shared" si="226"/>
        <v>-2.0607143099249246E-3</v>
      </c>
      <c r="K1170" s="22"/>
      <c r="L1170" s="13">
        <v>1167</v>
      </c>
      <c r="M1170" s="5">
        <v>45160</v>
      </c>
      <c r="N1170" s="26">
        <f t="shared" si="223"/>
        <v>1.3303855618962581</v>
      </c>
      <c r="O1170" s="26">
        <f t="shared" si="224"/>
        <v>1.0726479121273158</v>
      </c>
      <c r="P1170" s="26">
        <f t="shared" si="225"/>
        <v>1.7322657816904654</v>
      </c>
      <c r="Q1170" s="22"/>
      <c r="AD1170" s="59">
        <v>1166</v>
      </c>
      <c r="AE1170" s="61">
        <f t="shared" ca="1" si="227"/>
        <v>0.82355797851511015</v>
      </c>
      <c r="AF1170" s="61">
        <f t="shared" ca="1" si="227"/>
        <v>0.89504278844038909</v>
      </c>
      <c r="AG1170" s="61">
        <f t="shared" ca="1" si="227"/>
        <v>-2.2740504582484973</v>
      </c>
      <c r="AH1170" s="19"/>
      <c r="AI1170" s="61">
        <f ca="1"/>
        <v>1.7858265772523467E-2</v>
      </c>
      <c r="AJ1170" s="61">
        <f ca="1"/>
        <v>3.2345273587970354E-2</v>
      </c>
      <c r="AK1170" s="61">
        <f ca="1"/>
        <v>-3.9789248176623042E-2</v>
      </c>
      <c r="AL1170" s="19"/>
      <c r="AM1170" s="61">
        <f t="shared" ca="1" si="231"/>
        <v>1.8209482095033713E-2</v>
      </c>
      <c r="AN1170" s="61">
        <f t="shared" ca="1" si="232"/>
        <v>3.2594326184886883E-2</v>
      </c>
      <c r="AO1170" s="61">
        <f t="shared" ca="1" si="233"/>
        <v>-3.9357579573368225E-2</v>
      </c>
      <c r="AP1170" s="19"/>
      <c r="AQ1170" s="62">
        <f t="shared" ca="1" si="228"/>
        <v>0.9988270658399222</v>
      </c>
      <c r="AR1170" s="62">
        <f t="shared" ca="1" si="229"/>
        <v>1.2333376959922351</v>
      </c>
      <c r="AS1170" s="62">
        <f t="shared" ca="1" si="230"/>
        <v>0.79183141601447182</v>
      </c>
      <c r="AT1170" s="49"/>
    </row>
    <row r="1171" spans="1:46" x14ac:dyDescent="0.3">
      <c r="A1171" s="5">
        <v>45161</v>
      </c>
      <c r="B1171" s="6">
        <v>75.269997000000004</v>
      </c>
      <c r="C1171" s="6">
        <v>113.699997</v>
      </c>
      <c r="D1171" s="6">
        <v>129.36999499999999</v>
      </c>
      <c r="F1171" s="13">
        <v>1168</v>
      </c>
      <c r="G1171" s="5">
        <v>45161</v>
      </c>
      <c r="H1171" s="15">
        <f t="shared" si="226"/>
        <v>6.644428533965971E-4</v>
      </c>
      <c r="I1171" s="15">
        <f t="shared" si="226"/>
        <v>5.2910089326570972E-3</v>
      </c>
      <c r="J1171" s="15">
        <f t="shared" si="226"/>
        <v>-1.1680790882651681E-2</v>
      </c>
      <c r="K1171" s="22"/>
      <c r="L1171" s="13">
        <v>1168</v>
      </c>
      <c r="M1171" s="5">
        <v>45161</v>
      </c>
      <c r="N1171" s="26">
        <f t="shared" si="223"/>
        <v>1.3312698208123486</v>
      </c>
      <c r="O1171" s="26">
        <f t="shared" si="224"/>
        <v>1.07833834259601</v>
      </c>
      <c r="P1171" s="26">
        <f t="shared" si="225"/>
        <v>1.7121492644825109</v>
      </c>
      <c r="Q1171" s="22"/>
      <c r="AD1171" s="59">
        <v>1167</v>
      </c>
      <c r="AE1171" s="61">
        <f t="shared" ca="1" si="227"/>
        <v>0.48271391786015377</v>
      </c>
      <c r="AF1171" s="61">
        <f t="shared" ca="1" si="227"/>
        <v>-0.95368990262018483</v>
      </c>
      <c r="AG1171" s="61">
        <f t="shared" ca="1" si="227"/>
        <v>-1.0683908097661476</v>
      </c>
      <c r="AH1171" s="19"/>
      <c r="AI1171" s="61">
        <f ca="1"/>
        <v>1.0467306081820111E-2</v>
      </c>
      <c r="AJ1171" s="61">
        <f ca="1"/>
        <v>-1.317381915993085E-2</v>
      </c>
      <c r="AK1171" s="61">
        <f ca="1"/>
        <v>-2.695608650463225E-2</v>
      </c>
      <c r="AL1171" s="19"/>
      <c r="AM1171" s="61">
        <f t="shared" ca="1" si="231"/>
        <v>1.0818522404330354E-2</v>
      </c>
      <c r="AN1171" s="61">
        <f t="shared" ca="1" si="232"/>
        <v>-1.2924766563014318E-2</v>
      </c>
      <c r="AO1171" s="61">
        <f t="shared" ca="1" si="233"/>
        <v>-2.6524417901377433E-2</v>
      </c>
      <c r="AP1171" s="19"/>
      <c r="AQ1171" s="62">
        <f t="shared" ca="1" si="228"/>
        <v>1.0096915617607987</v>
      </c>
      <c r="AR1171" s="62">
        <f t="shared" ca="1" si="229"/>
        <v>1.2174996660753372</v>
      </c>
      <c r="AS1171" s="62">
        <f t="shared" ca="1" si="230"/>
        <v>0.77110464654612287</v>
      </c>
      <c r="AT1171" s="49"/>
    </row>
    <row r="1172" spans="1:46" x14ac:dyDescent="0.3">
      <c r="A1172" s="5">
        <v>45162</v>
      </c>
      <c r="B1172" s="6">
        <v>74.220000999999996</v>
      </c>
      <c r="C1172" s="6">
        <v>112.489998</v>
      </c>
      <c r="D1172" s="6">
        <v>129.46000699999999</v>
      </c>
      <c r="F1172" s="13">
        <v>1169</v>
      </c>
      <c r="G1172" s="5">
        <v>45162</v>
      </c>
      <c r="H1172" s="15">
        <f t="shared" si="226"/>
        <v>-1.4047940084014679E-2</v>
      </c>
      <c r="I1172" s="15">
        <f t="shared" si="226"/>
        <v>-1.0699063345889461E-2</v>
      </c>
      <c r="J1172" s="15">
        <f t="shared" si="226"/>
        <v>6.9552990714505153E-4</v>
      </c>
      <c r="K1172" s="22"/>
      <c r="L1172" s="13">
        <v>1169</v>
      </c>
      <c r="M1172" s="5">
        <v>45162</v>
      </c>
      <c r="N1172" s="26">
        <f t="shared" si="223"/>
        <v>1.3126989686469939</v>
      </c>
      <c r="O1172" s="26">
        <f t="shared" si="224"/>
        <v>1.0668626315086753</v>
      </c>
      <c r="P1172" s="26">
        <f t="shared" si="225"/>
        <v>1.7133405297337356</v>
      </c>
      <c r="Q1172" s="22"/>
      <c r="AD1172" s="59">
        <v>1168</v>
      </c>
      <c r="AE1172" s="61">
        <f t="shared" ca="1" si="227"/>
        <v>0.80420260889300532</v>
      </c>
      <c r="AF1172" s="61">
        <f t="shared" ca="1" si="227"/>
        <v>0.347037060655907</v>
      </c>
      <c r="AG1172" s="61">
        <f t="shared" ca="1" si="227"/>
        <v>-0.13040932227327248</v>
      </c>
      <c r="AH1172" s="19"/>
      <c r="AI1172" s="61">
        <f ca="1"/>
        <v>1.7438558424826837E-2</v>
      </c>
      <c r="AJ1172" s="61">
        <f ca="1"/>
        <v>2.0130854651388481E-2</v>
      </c>
      <c r="AK1172" s="61">
        <f ca="1"/>
        <v>1.098544655761706E-2</v>
      </c>
      <c r="AL1172" s="19"/>
      <c r="AM1172" s="61">
        <f t="shared" ca="1" si="231"/>
        <v>1.7789774747337082E-2</v>
      </c>
      <c r="AN1172" s="61">
        <f t="shared" ca="1" si="232"/>
        <v>2.0379907248305011E-2</v>
      </c>
      <c r="AO1172" s="61">
        <f t="shared" ca="1" si="233"/>
        <v>1.1417115160871879E-2</v>
      </c>
      <c r="AP1172" s="19"/>
      <c r="AQ1172" s="62">
        <f t="shared" ca="1" si="228"/>
        <v>1.0278144704877394</v>
      </c>
      <c r="AR1172" s="62">
        <f t="shared" ca="1" si="229"/>
        <v>1.242566761273121</v>
      </c>
      <c r="AS1172" s="62">
        <f t="shared" ca="1" si="230"/>
        <v>0.77995888585238593</v>
      </c>
      <c r="AT1172" s="49"/>
    </row>
    <row r="1173" spans="1:46" x14ac:dyDescent="0.3">
      <c r="A1173" s="5">
        <v>45163</v>
      </c>
      <c r="B1173" s="6">
        <v>74.959998999999996</v>
      </c>
      <c r="C1173" s="6">
        <v>111.849998</v>
      </c>
      <c r="D1173" s="6">
        <v>133.11999499999999</v>
      </c>
      <c r="F1173" s="13">
        <v>1170</v>
      </c>
      <c r="G1173" s="5">
        <v>45163</v>
      </c>
      <c r="H1173" s="15">
        <f t="shared" si="226"/>
        <v>9.9209554838096195E-3</v>
      </c>
      <c r="I1173" s="15">
        <f t="shared" si="226"/>
        <v>-5.7056409703285411E-3</v>
      </c>
      <c r="J1173" s="15">
        <f t="shared" si="226"/>
        <v>2.7878932324683501E-2</v>
      </c>
      <c r="K1173" s="22"/>
      <c r="L1173" s="13">
        <v>1170</v>
      </c>
      <c r="M1173" s="5">
        <v>45163</v>
      </c>
      <c r="N1173" s="26">
        <f t="shared" si="223"/>
        <v>1.3257870122782629</v>
      </c>
      <c r="O1173" s="26">
        <f t="shared" si="224"/>
        <v>1.0607928288923969</v>
      </c>
      <c r="P1173" s="26">
        <f t="shared" si="225"/>
        <v>1.7617786993588858</v>
      </c>
      <c r="Q1173" s="22"/>
      <c r="AD1173" s="59">
        <v>1169</v>
      </c>
      <c r="AE1173" s="61">
        <f t="shared" ca="1" si="227"/>
        <v>-0.46779540519764506</v>
      </c>
      <c r="AF1173" s="61">
        <f t="shared" ca="1" si="227"/>
        <v>-1.3722824766073689</v>
      </c>
      <c r="AG1173" s="61">
        <f t="shared" ca="1" si="227"/>
        <v>-2.7477586518286641</v>
      </c>
      <c r="AH1173" s="19"/>
      <c r="AI1173" s="61">
        <f ca="1"/>
        <v>-1.0143808804144294E-2</v>
      </c>
      <c r="AJ1173" s="61">
        <f ca="1"/>
        <v>-3.7150047839109704E-2</v>
      </c>
      <c r="AK1173" s="61">
        <f ca="1"/>
        <v>-8.6973631258298156E-2</v>
      </c>
      <c r="AL1173" s="19"/>
      <c r="AM1173" s="61">
        <f t="shared" ca="1" si="231"/>
        <v>-9.7925924816340496E-3</v>
      </c>
      <c r="AN1173" s="61">
        <f t="shared" ca="1" si="232"/>
        <v>-3.6900995242193174E-2</v>
      </c>
      <c r="AO1173" s="61">
        <f t="shared" ca="1" si="233"/>
        <v>-8.6541962655043339E-2</v>
      </c>
      <c r="AP1173" s="19"/>
      <c r="AQ1173" s="62">
        <f t="shared" ca="1" si="228"/>
        <v>1.0177986228276772</v>
      </c>
      <c r="AR1173" s="62">
        <f t="shared" ca="1" si="229"/>
        <v>1.1975504917443012</v>
      </c>
      <c r="AS1173" s="62">
        <f t="shared" ca="1" si="230"/>
        <v>0.71529800437254465</v>
      </c>
      <c r="AT1173" s="49"/>
    </row>
    <row r="1174" spans="1:46" x14ac:dyDescent="0.3">
      <c r="A1174" s="5">
        <v>45166</v>
      </c>
      <c r="B1174" s="6">
        <v>74.669998000000007</v>
      </c>
      <c r="C1174" s="6">
        <v>113.790001</v>
      </c>
      <c r="D1174" s="6">
        <v>131.60000600000001</v>
      </c>
      <c r="F1174" s="13">
        <v>1171</v>
      </c>
      <c r="G1174" s="5">
        <v>45166</v>
      </c>
      <c r="H1174" s="15">
        <f t="shared" si="226"/>
        <v>-3.876246326626889E-3</v>
      </c>
      <c r="I1174" s="15">
        <f t="shared" si="226"/>
        <v>1.7195983101988076E-2</v>
      </c>
      <c r="J1174" s="15">
        <f t="shared" si="226"/>
        <v>-1.148387502888056E-2</v>
      </c>
      <c r="K1174" s="22"/>
      <c r="L1174" s="13">
        <v>1171</v>
      </c>
      <c r="M1174" s="5">
        <v>45166</v>
      </c>
      <c r="N1174" s="26">
        <f t="shared" si="223"/>
        <v>1.3206578825493833</v>
      </c>
      <c r="O1174" s="26">
        <f t="shared" si="224"/>
        <v>1.0791919465251907</v>
      </c>
      <c r="P1174" s="26">
        <f t="shared" si="225"/>
        <v>1.7416623806686711</v>
      </c>
      <c r="Q1174" s="22"/>
      <c r="AD1174" s="59">
        <v>1170</v>
      </c>
      <c r="AE1174" s="61">
        <f t="shared" ca="1" si="227"/>
        <v>6.4826061253846406E-2</v>
      </c>
      <c r="AF1174" s="61">
        <f t="shared" ca="1" si="227"/>
        <v>-0.9586742508606052</v>
      </c>
      <c r="AG1174" s="61">
        <f t="shared" ca="1" si="227"/>
        <v>0.66831608587327929</v>
      </c>
      <c r="AH1174" s="19"/>
      <c r="AI1174" s="61">
        <f ca="1"/>
        <v>1.4057067760358472E-3</v>
      </c>
      <c r="AJ1174" s="61">
        <f ca="1"/>
        <v>-1.9823080984470769E-2</v>
      </c>
      <c r="AK1174" s="61">
        <f ca="1"/>
        <v>1.1328642856842944E-2</v>
      </c>
      <c r="AL1174" s="19"/>
      <c r="AM1174" s="61">
        <f t="shared" ca="1" si="231"/>
        <v>1.7569230985460915E-3</v>
      </c>
      <c r="AN1174" s="61">
        <f t="shared" ca="1" si="232"/>
        <v>-1.9574028387554239E-2</v>
      </c>
      <c r="AO1174" s="61">
        <f t="shared" ca="1" si="233"/>
        <v>1.1760311460097763E-2</v>
      </c>
      <c r="AP1174" s="19"/>
      <c r="AQ1174" s="62">
        <f t="shared" ca="1" si="228"/>
        <v>1.0195883885177481</v>
      </c>
      <c r="AR1174" s="62">
        <f t="shared" ca="1" si="229"/>
        <v>1.1743375311496043</v>
      </c>
      <c r="AS1174" s="62">
        <f t="shared" ca="1" si="230"/>
        <v>0.72375979078728836</v>
      </c>
      <c r="AT1174" s="49"/>
    </row>
    <row r="1175" spans="1:46" x14ac:dyDescent="0.3">
      <c r="A1175" s="5">
        <v>45167</v>
      </c>
      <c r="B1175" s="6">
        <v>75.400002000000001</v>
      </c>
      <c r="C1175" s="6">
        <v>115.870003</v>
      </c>
      <c r="D1175" s="6">
        <v>131.38999899999999</v>
      </c>
      <c r="F1175" s="13">
        <v>1172</v>
      </c>
      <c r="G1175" s="5">
        <v>45167</v>
      </c>
      <c r="H1175" s="15">
        <f t="shared" si="226"/>
        <v>9.728923276017579E-3</v>
      </c>
      <c r="I1175" s="15">
        <f t="shared" si="226"/>
        <v>1.8114245743019806E-2</v>
      </c>
      <c r="J1175" s="15">
        <f t="shared" si="226"/>
        <v>-1.5970724411196889E-3</v>
      </c>
      <c r="K1175" s="22"/>
      <c r="L1175" s="13">
        <v>1172</v>
      </c>
      <c r="M1175" s="5">
        <v>45167</v>
      </c>
      <c r="N1175" s="26">
        <f t="shared" si="223"/>
        <v>1.3335691663677192</v>
      </c>
      <c r="O1175" s="26">
        <f t="shared" si="224"/>
        <v>1.0989188239962286</v>
      </c>
      <c r="P1175" s="26">
        <f t="shared" si="225"/>
        <v>1.7388830396739821</v>
      </c>
      <c r="Q1175" s="22"/>
      <c r="AD1175" s="59">
        <v>1171</v>
      </c>
      <c r="AE1175" s="61">
        <f t="shared" ca="1" si="227"/>
        <v>1.9135267175087349</v>
      </c>
      <c r="AF1175" s="61">
        <f t="shared" ca="1" si="227"/>
        <v>-1.8233875070881034</v>
      </c>
      <c r="AG1175" s="61">
        <f t="shared" ca="1" si="227"/>
        <v>0.54289143340599322</v>
      </c>
      <c r="AH1175" s="19"/>
      <c r="AI1175" s="61">
        <f ca="1"/>
        <v>4.1493458354575879E-2</v>
      </c>
      <c r="AJ1175" s="61">
        <f ca="1"/>
        <v>-9.6820161705695254E-3</v>
      </c>
      <c r="AK1175" s="61">
        <f ca="1"/>
        <v>2.9341121473142769E-2</v>
      </c>
      <c r="AL1175" s="19"/>
      <c r="AM1175" s="61">
        <f t="shared" ca="1" si="231"/>
        <v>4.1844674677086122E-2</v>
      </c>
      <c r="AN1175" s="61">
        <f t="shared" ca="1" si="232"/>
        <v>-9.432963573652994E-3</v>
      </c>
      <c r="AO1175" s="61">
        <f t="shared" ca="1" si="233"/>
        <v>2.9772790076397587E-2</v>
      </c>
      <c r="AP1175" s="19"/>
      <c r="AQ1175" s="62">
        <f t="shared" ca="1" si="228"/>
        <v>1.0631579528057047</v>
      </c>
      <c r="AR1175" s="62">
        <f t="shared" ca="1" si="229"/>
        <v>1.1633121308487664</v>
      </c>
      <c r="AS1175" s="62">
        <f t="shared" ca="1" si="230"/>
        <v>0.74563212364431697</v>
      </c>
      <c r="AT1175" s="49"/>
    </row>
    <row r="1176" spans="1:46" x14ac:dyDescent="0.3">
      <c r="A1176" s="5">
        <v>45168</v>
      </c>
      <c r="B1176" s="6">
        <v>75.589995999999999</v>
      </c>
      <c r="C1176" s="6">
        <v>116.19000200000001</v>
      </c>
      <c r="D1176" s="6">
        <v>131.449997</v>
      </c>
      <c r="F1176" s="13">
        <v>1173</v>
      </c>
      <c r="G1176" s="5">
        <v>45168</v>
      </c>
      <c r="H1176" s="15">
        <f t="shared" si="226"/>
        <v>2.5166448479224252E-3</v>
      </c>
      <c r="I1176" s="15">
        <f t="shared" si="226"/>
        <v>2.7579005079002581E-3</v>
      </c>
      <c r="J1176" s="15">
        <f t="shared" si="226"/>
        <v>4.5653631072268305E-4</v>
      </c>
      <c r="K1176" s="22"/>
      <c r="L1176" s="13">
        <v>1173</v>
      </c>
      <c r="M1176" s="5">
        <v>45168</v>
      </c>
      <c r="N1176" s="26">
        <f t="shared" si="223"/>
        <v>1.3369295129655199</v>
      </c>
      <c r="O1176" s="26">
        <f t="shared" si="224"/>
        <v>1.1019537158203012</v>
      </c>
      <c r="P1176" s="26">
        <f t="shared" si="225"/>
        <v>1.7396770841629721</v>
      </c>
      <c r="Q1176" s="22"/>
      <c r="AD1176" s="59">
        <v>1172</v>
      </c>
      <c r="AE1176" s="61">
        <f t="shared" ca="1" si="227"/>
        <v>0.5298479224114494</v>
      </c>
      <c r="AF1176" s="61">
        <f t="shared" ca="1" si="227"/>
        <v>0.25568399859615792</v>
      </c>
      <c r="AG1176" s="61">
        <f t="shared" ca="1" si="227"/>
        <v>-3.0964188600601834</v>
      </c>
      <c r="AH1176" s="19"/>
      <c r="AI1176" s="61">
        <f ca="1"/>
        <v>1.1489373261252973E-2</v>
      </c>
      <c r="AJ1176" s="61">
        <f ca="1"/>
        <v>1.3850910623349449E-2</v>
      </c>
      <c r="AK1176" s="61">
        <f ca="1"/>
        <v>-6.9700675316415939E-2</v>
      </c>
      <c r="AL1176" s="19"/>
      <c r="AM1176" s="61">
        <f t="shared" ca="1" si="231"/>
        <v>1.1840589583763217E-2</v>
      </c>
      <c r="AN1176" s="61">
        <f t="shared" ca="1" si="232"/>
        <v>1.4099963220265981E-2</v>
      </c>
      <c r="AO1176" s="61">
        <f t="shared" ca="1" si="233"/>
        <v>-6.9269006713161121E-2</v>
      </c>
      <c r="AP1176" s="19"/>
      <c r="AQ1176" s="62">
        <f t="shared" ca="1" si="228"/>
        <v>1.0758211919482994</v>
      </c>
      <c r="AR1176" s="62">
        <f t="shared" ca="1" si="229"/>
        <v>1.1798309729669954</v>
      </c>
      <c r="AS1176" s="62">
        <f t="shared" ca="1" si="230"/>
        <v>0.6957311729891047</v>
      </c>
      <c r="AT1176" s="49"/>
    </row>
    <row r="1177" spans="1:46" x14ac:dyDescent="0.3">
      <c r="A1177" s="5">
        <v>45169</v>
      </c>
      <c r="B1177" s="6">
        <v>73.959998999999996</v>
      </c>
      <c r="C1177" s="6">
        <v>116.629997</v>
      </c>
      <c r="D1177" s="6">
        <v>129.89999399999999</v>
      </c>
      <c r="F1177" s="13">
        <v>1174</v>
      </c>
      <c r="G1177" s="5">
        <v>45169</v>
      </c>
      <c r="H1177" s="15">
        <f t="shared" si="226"/>
        <v>-2.1799553388929492E-2</v>
      </c>
      <c r="I1177" s="15">
        <f t="shared" si="226"/>
        <v>3.7797055726324909E-3</v>
      </c>
      <c r="J1177" s="15">
        <f t="shared" si="226"/>
        <v>-1.1861650866347766E-2</v>
      </c>
      <c r="K1177" s="22"/>
      <c r="L1177" s="13">
        <v>1174</v>
      </c>
      <c r="M1177" s="5">
        <v>45169</v>
      </c>
      <c r="N1177" s="26">
        <f t="shared" si="223"/>
        <v>1.3081004190289987</v>
      </c>
      <c r="O1177" s="26">
        <f t="shared" si="224"/>
        <v>1.1061266576986597</v>
      </c>
      <c r="P1177" s="26">
        <f t="shared" si="225"/>
        <v>1.7191635447105227</v>
      </c>
      <c r="Q1177" s="22"/>
      <c r="AD1177" s="59">
        <v>1173</v>
      </c>
      <c r="AE1177" s="61">
        <f t="shared" ca="1" si="227"/>
        <v>-0.40512612408654775</v>
      </c>
      <c r="AF1177" s="61">
        <f t="shared" ca="1" si="227"/>
        <v>0.99703270896943463</v>
      </c>
      <c r="AG1177" s="61">
        <f t="shared" ca="1" si="227"/>
        <v>-0.35780526682419128</v>
      </c>
      <c r="AH1177" s="19"/>
      <c r="AI1177" s="61">
        <f ca="1"/>
        <v>-8.7848702630195577E-3</v>
      </c>
      <c r="AJ1177" s="61">
        <f ca="1"/>
        <v>1.5330349528552924E-2</v>
      </c>
      <c r="AK1177" s="61">
        <f ca="1"/>
        <v>-8.1313509290975791E-3</v>
      </c>
      <c r="AL1177" s="19"/>
      <c r="AM1177" s="61">
        <f t="shared" ca="1" si="231"/>
        <v>-8.4336539405093138E-3</v>
      </c>
      <c r="AN1177" s="61">
        <f t="shared" ca="1" si="232"/>
        <v>1.5579402125469455E-2</v>
      </c>
      <c r="AO1177" s="61">
        <f t="shared" ca="1" si="233"/>
        <v>-7.699682325842761E-3</v>
      </c>
      <c r="AP1177" s="19"/>
      <c r="AQ1177" s="62">
        <f t="shared" ca="1" si="228"/>
        <v>1.0667862406916642</v>
      </c>
      <c r="AR1177" s="62">
        <f t="shared" ca="1" si="229"/>
        <v>1.1983559635801457</v>
      </c>
      <c r="AS1177" s="62">
        <f t="shared" ca="1" si="230"/>
        <v>0.69039483439264859</v>
      </c>
      <c r="AT1177" s="49"/>
    </row>
    <row r="1178" spans="1:46" x14ac:dyDescent="0.3">
      <c r="A1178" s="5">
        <v>45170</v>
      </c>
      <c r="B1178" s="6">
        <v>74.980002999999996</v>
      </c>
      <c r="C1178" s="6">
        <v>118.33000199999999</v>
      </c>
      <c r="D1178" s="6">
        <v>133.58000200000001</v>
      </c>
      <c r="F1178" s="13">
        <v>1175</v>
      </c>
      <c r="G1178" s="5">
        <v>45170</v>
      </c>
      <c r="H1178" s="15">
        <f t="shared" si="226"/>
        <v>1.3697058320332764E-2</v>
      </c>
      <c r="I1178" s="15">
        <f t="shared" si="226"/>
        <v>1.447084331776341E-2</v>
      </c>
      <c r="J1178" s="15">
        <f t="shared" si="226"/>
        <v>2.793568678261479E-2</v>
      </c>
      <c r="K1178" s="22"/>
      <c r="L1178" s="13">
        <v>1175</v>
      </c>
      <c r="M1178" s="5">
        <v>45170</v>
      </c>
      <c r="N1178" s="26">
        <f t="shared" si="223"/>
        <v>1.3261408148896212</v>
      </c>
      <c r="O1178" s="26">
        <f t="shared" si="224"/>
        <v>1.122249618318482</v>
      </c>
      <c r="P1178" s="26">
        <f t="shared" si="225"/>
        <v>1.7678666693453329</v>
      </c>
      <c r="Q1178" s="22"/>
      <c r="AD1178" s="59">
        <v>1174</v>
      </c>
      <c r="AE1178" s="61">
        <f t="shared" ca="1" si="227"/>
        <v>0.36317046663677305</v>
      </c>
      <c r="AF1178" s="61">
        <f t="shared" ca="1" si="227"/>
        <v>0.15565626511232536</v>
      </c>
      <c r="AG1178" s="61">
        <f t="shared" ca="1" si="227"/>
        <v>0.53349789188706132</v>
      </c>
      <c r="AH1178" s="19"/>
      <c r="AI1178" s="61">
        <f ca="1"/>
        <v>7.8750918370367844E-3</v>
      </c>
      <c r="AJ1178" s="61">
        <f ca="1"/>
        <v>9.0678141855469567E-3</v>
      </c>
      <c r="AK1178" s="61">
        <f ca="1"/>
        <v>2.013043712536474E-2</v>
      </c>
      <c r="AL1178" s="19"/>
      <c r="AM1178" s="61">
        <f t="shared" ca="1" si="231"/>
        <v>8.2263081595470283E-3</v>
      </c>
      <c r="AN1178" s="61">
        <f t="shared" ca="1" si="232"/>
        <v>9.3168667824634881E-3</v>
      </c>
      <c r="AO1178" s="61">
        <f t="shared" ca="1" si="233"/>
        <v>2.0562105728619558E-2</v>
      </c>
      <c r="AP1178" s="19"/>
      <c r="AQ1178" s="62">
        <f t="shared" ca="1" si="228"/>
        <v>1.0755981480874801</v>
      </c>
      <c r="AR1178" s="62">
        <f t="shared" ca="1" si="229"/>
        <v>1.2095730594039098</v>
      </c>
      <c r="AS1178" s="62">
        <f t="shared" ca="1" si="230"/>
        <v>0.70473776101295216</v>
      </c>
      <c r="AT1178" s="49"/>
    </row>
    <row r="1179" spans="1:46" x14ac:dyDescent="0.3">
      <c r="A1179" s="5">
        <v>45174</v>
      </c>
      <c r="B1179" s="6">
        <v>73.650002000000001</v>
      </c>
      <c r="C1179" s="6">
        <v>117.339996</v>
      </c>
      <c r="D1179" s="6">
        <v>133.11999499999999</v>
      </c>
      <c r="F1179" s="13">
        <v>1176</v>
      </c>
      <c r="G1179" s="5">
        <v>45174</v>
      </c>
      <c r="H1179" s="15">
        <f t="shared" si="226"/>
        <v>-1.7897281254330731E-2</v>
      </c>
      <c r="I1179" s="15">
        <f t="shared" si="226"/>
        <v>-8.4016788896108478E-3</v>
      </c>
      <c r="J1179" s="15">
        <f t="shared" si="226"/>
        <v>-3.4496247569895983E-3</v>
      </c>
      <c r="K1179" s="22"/>
      <c r="L1179" s="13">
        <v>1176</v>
      </c>
      <c r="M1179" s="5">
        <v>45174</v>
      </c>
      <c r="N1179" s="26">
        <f t="shared" si="223"/>
        <v>1.3026176281815065</v>
      </c>
      <c r="O1179" s="26">
        <f t="shared" si="224"/>
        <v>1.112860335492027</v>
      </c>
      <c r="P1179" s="26">
        <f t="shared" si="225"/>
        <v>1.7617786993588858</v>
      </c>
      <c r="Q1179" s="22"/>
      <c r="AD1179" s="59">
        <v>1175</v>
      </c>
      <c r="AE1179" s="61">
        <f t="shared" ca="1" si="227"/>
        <v>1.0082452445008416</v>
      </c>
      <c r="AF1179" s="61">
        <f t="shared" ca="1" si="227"/>
        <v>0.50083830223823678</v>
      </c>
      <c r="AG1179" s="61">
        <f t="shared" ca="1" si="227"/>
        <v>0.47252352333147696</v>
      </c>
      <c r="AH1179" s="19"/>
      <c r="AI1179" s="61">
        <f ca="1"/>
        <v>2.186307705092384E-2</v>
      </c>
      <c r="AJ1179" s="61">
        <f ca="1"/>
        <v>2.666762542940445E-2</v>
      </c>
      <c r="AK1179" s="61">
        <f ca="1"/>
        <v>3.0530539554047012E-2</v>
      </c>
      <c r="AL1179" s="19"/>
      <c r="AM1179" s="61">
        <f t="shared" ca="1" si="231"/>
        <v>2.2214293373434085E-2</v>
      </c>
      <c r="AN1179" s="61">
        <f t="shared" ca="1" si="232"/>
        <v>2.691667802632098E-2</v>
      </c>
      <c r="AO1179" s="61">
        <f t="shared" ca="1" si="233"/>
        <v>3.0962208157301829E-2</v>
      </c>
      <c r="AP1179" s="19"/>
      <c r="AQ1179" s="62">
        <f t="shared" ca="1" si="228"/>
        <v>1.099759167322697</v>
      </c>
      <c r="AR1179" s="62">
        <f t="shared" ca="1" si="229"/>
        <v>1.2425728783836067</v>
      </c>
      <c r="AS1179" s="62">
        <f t="shared" ca="1" si="230"/>
        <v>0.72689931314271128</v>
      </c>
      <c r="AT1179" s="49"/>
    </row>
    <row r="1180" spans="1:46" x14ac:dyDescent="0.3">
      <c r="A1180" s="5">
        <v>45175</v>
      </c>
      <c r="B1180" s="6">
        <v>72.260002</v>
      </c>
      <c r="C1180" s="6">
        <v>117.66999800000001</v>
      </c>
      <c r="D1180" s="6">
        <v>134.029999</v>
      </c>
      <c r="F1180" s="13">
        <v>1177</v>
      </c>
      <c r="G1180" s="5">
        <v>45175</v>
      </c>
      <c r="H1180" s="15">
        <f t="shared" si="226"/>
        <v>-1.9053416666780162E-2</v>
      </c>
      <c r="I1180" s="15">
        <f t="shared" si="226"/>
        <v>2.8084100704107236E-3</v>
      </c>
      <c r="J1180" s="15">
        <f t="shared" si="226"/>
        <v>6.8127085165875807E-3</v>
      </c>
      <c r="K1180" s="22"/>
      <c r="L1180" s="13">
        <v>1177</v>
      </c>
      <c r="M1180" s="5">
        <v>45175</v>
      </c>
      <c r="N1180" s="26">
        <f t="shared" si="223"/>
        <v>1.2780332635650291</v>
      </c>
      <c r="O1180" s="26">
        <f t="shared" si="224"/>
        <v>1.1159900964341787</v>
      </c>
      <c r="P1180" s="26">
        <f t="shared" si="225"/>
        <v>1.7738221618269501</v>
      </c>
      <c r="Q1180" s="22"/>
      <c r="AD1180" s="59">
        <v>1176</v>
      </c>
      <c r="AE1180" s="61">
        <f t="shared" ca="1" si="227"/>
        <v>0.11823667812746214</v>
      </c>
      <c r="AF1180" s="61">
        <f t="shared" ca="1" si="227"/>
        <v>-1.6186973272398071</v>
      </c>
      <c r="AG1180" s="61">
        <f t="shared" ca="1" si="227"/>
        <v>1.3716291088042663</v>
      </c>
      <c r="AH1180" s="19"/>
      <c r="AI1180" s="61">
        <f ca="1"/>
        <v>2.5638778047753327E-3</v>
      </c>
      <c r="AJ1180" s="61">
        <f ca="1"/>
        <v>-3.3333353173421156E-2</v>
      </c>
      <c r="AK1180" s="61">
        <f ca="1"/>
        <v>2.54884753996443E-2</v>
      </c>
      <c r="AL1180" s="19"/>
      <c r="AM1180" s="61">
        <f t="shared" ca="1" si="231"/>
        <v>2.9150941272855771E-3</v>
      </c>
      <c r="AN1180" s="61">
        <f t="shared" ca="1" si="232"/>
        <v>-3.3084300576504626E-2</v>
      </c>
      <c r="AO1180" s="61">
        <f t="shared" ca="1" si="233"/>
        <v>2.5920144002899118E-2</v>
      </c>
      <c r="AP1180" s="19"/>
      <c r="AQ1180" s="62">
        <f t="shared" ca="1" si="228"/>
        <v>1.1029697461089061</v>
      </c>
      <c r="AR1180" s="62">
        <f t="shared" ca="1" si="229"/>
        <v>1.2021358279206802</v>
      </c>
      <c r="AS1180" s="62">
        <f t="shared" ca="1" si="230"/>
        <v>0.74598695658470626</v>
      </c>
      <c r="AT1180" s="49"/>
    </row>
    <row r="1181" spans="1:46" x14ac:dyDescent="0.3">
      <c r="A1181" s="5">
        <v>45176</v>
      </c>
      <c r="B1181" s="6">
        <v>73.269997000000004</v>
      </c>
      <c r="C1181" s="6">
        <v>116.290001</v>
      </c>
      <c r="D1181" s="6">
        <v>136.25</v>
      </c>
      <c r="F1181" s="13">
        <v>1178</v>
      </c>
      <c r="G1181" s="5">
        <v>45176</v>
      </c>
      <c r="H1181" s="15">
        <f t="shared" si="226"/>
        <v>1.388045383009579E-2</v>
      </c>
      <c r="I1181" s="15">
        <f t="shared" si="226"/>
        <v>-1.1796999575008313E-2</v>
      </c>
      <c r="J1181" s="15">
        <f t="shared" si="226"/>
        <v>1.6427785513964292E-2</v>
      </c>
      <c r="K1181" s="22"/>
      <c r="L1181" s="13">
        <v>1178</v>
      </c>
      <c r="M1181" s="5">
        <v>45176</v>
      </c>
      <c r="N1181" s="26">
        <f t="shared" si="223"/>
        <v>1.2958966343138199</v>
      </c>
      <c r="O1181" s="26">
        <f t="shared" si="224"/>
        <v>1.1029021129950283</v>
      </c>
      <c r="P1181" s="26">
        <f t="shared" si="225"/>
        <v>1.8032028005082796</v>
      </c>
      <c r="Q1181" s="22"/>
      <c r="AD1181" s="59">
        <v>1177</v>
      </c>
      <c r="AE1181" s="61">
        <f t="shared" ca="1" si="227"/>
        <v>-0.43314012467887519</v>
      </c>
      <c r="AF1181" s="61">
        <f t="shared" ca="1" si="227"/>
        <v>-1.6743108321370854</v>
      </c>
      <c r="AG1181" s="61">
        <f t="shared" ca="1" si="227"/>
        <v>-1.4931555234347109</v>
      </c>
      <c r="AH1181" s="19"/>
      <c r="AI1181" s="61">
        <f ca="1"/>
        <v>-9.3923338308322685E-3</v>
      </c>
      <c r="AJ1181" s="61">
        <f ca="1"/>
        <v>-4.3172505332978235E-2</v>
      </c>
      <c r="AK1181" s="61">
        <f ca="1"/>
        <v>-5.6445727550168162E-2</v>
      </c>
      <c r="AL1181" s="19"/>
      <c r="AM1181" s="61">
        <f t="shared" ca="1" si="231"/>
        <v>-9.0411175083220247E-3</v>
      </c>
      <c r="AN1181" s="61">
        <f t="shared" ca="1" si="232"/>
        <v>-4.2923452736061705E-2</v>
      </c>
      <c r="AO1181" s="61">
        <f t="shared" ca="1" si="233"/>
        <v>-5.6014058946913345E-2</v>
      </c>
      <c r="AP1181" s="19"/>
      <c r="AQ1181" s="62">
        <f t="shared" ca="1" si="228"/>
        <v>1.0930426108461653</v>
      </c>
      <c r="AR1181" s="62">
        <f t="shared" ca="1" si="229"/>
        <v>1.1516277525525269</v>
      </c>
      <c r="AS1181" s="62">
        <f t="shared" ca="1" si="230"/>
        <v>0.70534994576745891</v>
      </c>
      <c r="AT1181" s="49"/>
    </row>
    <row r="1182" spans="1:46" x14ac:dyDescent="0.3">
      <c r="A1182" s="5">
        <v>45177</v>
      </c>
      <c r="B1182" s="6">
        <v>73.199996999999996</v>
      </c>
      <c r="C1182" s="6">
        <v>116.949997</v>
      </c>
      <c r="D1182" s="6">
        <v>142.05999800000001</v>
      </c>
      <c r="F1182" s="13">
        <v>1179</v>
      </c>
      <c r="G1182" s="5">
        <v>45177</v>
      </c>
      <c r="H1182" s="15">
        <f t="shared" si="226"/>
        <v>-9.558272437612342E-4</v>
      </c>
      <c r="I1182" s="15">
        <f t="shared" si="226"/>
        <v>5.6593874740562345E-3</v>
      </c>
      <c r="J1182" s="15">
        <f t="shared" si="226"/>
        <v>4.175805594775215E-2</v>
      </c>
      <c r="K1182" s="22"/>
      <c r="L1182" s="13">
        <v>1179</v>
      </c>
      <c r="M1182" s="5">
        <v>45177</v>
      </c>
      <c r="N1182" s="26">
        <f t="shared" si="223"/>
        <v>1.2946585727863713</v>
      </c>
      <c r="O1182" s="26">
        <f t="shared" si="224"/>
        <v>1.1091615590067989</v>
      </c>
      <c r="P1182" s="26">
        <f t="shared" si="225"/>
        <v>1.8800953118077111</v>
      </c>
      <c r="Q1182" s="22"/>
      <c r="AD1182" s="59">
        <v>1178</v>
      </c>
      <c r="AE1182" s="61">
        <f t="shared" ca="1" si="227"/>
        <v>-0.28181857106244518</v>
      </c>
      <c r="AF1182" s="61">
        <f t="shared" ca="1" si="227"/>
        <v>1.9598677965516365</v>
      </c>
      <c r="AG1182" s="61">
        <f t="shared" ca="1" si="227"/>
        <v>0.82095817039281738</v>
      </c>
      <c r="AH1182" s="19"/>
      <c r="AI1182" s="61">
        <f ca="1"/>
        <v>-6.1110341626950775E-3</v>
      </c>
      <c r="AJ1182" s="61">
        <f ca="1"/>
        <v>3.8188601437685564E-2</v>
      </c>
      <c r="AK1182" s="61">
        <f ca="1"/>
        <v>3.0671180095832525E-2</v>
      </c>
      <c r="AL1182" s="19"/>
      <c r="AM1182" s="61">
        <f t="shared" ca="1" si="231"/>
        <v>-5.7598178401848336E-3</v>
      </c>
      <c r="AN1182" s="61">
        <f t="shared" ca="1" si="232"/>
        <v>3.8437654034602094E-2</v>
      </c>
      <c r="AO1182" s="61">
        <f t="shared" ca="1" si="233"/>
        <v>3.1102848699087342E-2</v>
      </c>
      <c r="AP1182" s="19"/>
      <c r="AQ1182" s="62">
        <f t="shared" ca="1" si="228"/>
        <v>1.0867649808739692</v>
      </c>
      <c r="AR1182" s="62">
        <f t="shared" ca="1" si="229"/>
        <v>1.1967553654429242</v>
      </c>
      <c r="AS1182" s="62">
        <f t="shared" ca="1" si="230"/>
        <v>0.72763307649334252</v>
      </c>
      <c r="AT1182" s="49"/>
    </row>
    <row r="1183" spans="1:46" x14ac:dyDescent="0.3">
      <c r="A1183" s="5">
        <v>45180</v>
      </c>
      <c r="B1183" s="6">
        <v>72.349997999999999</v>
      </c>
      <c r="C1183" s="6">
        <v>116.489998</v>
      </c>
      <c r="D1183" s="6">
        <v>143.740005</v>
      </c>
      <c r="F1183" s="13">
        <v>1180</v>
      </c>
      <c r="G1183" s="5">
        <v>45180</v>
      </c>
      <c r="H1183" s="15">
        <f t="shared" si="226"/>
        <v>-1.1679954549566066E-2</v>
      </c>
      <c r="I1183" s="15">
        <f t="shared" si="226"/>
        <v>-3.9410521353698052E-3</v>
      </c>
      <c r="J1183" s="15">
        <f t="shared" si="226"/>
        <v>1.1756657334219E-2</v>
      </c>
      <c r="K1183" s="22"/>
      <c r="L1183" s="13">
        <v>1180</v>
      </c>
      <c r="M1183" s="5">
        <v>45180</v>
      </c>
      <c r="N1183" s="26">
        <f t="shared" si="223"/>
        <v>1.2796249862110898</v>
      </c>
      <c r="O1183" s="26">
        <f t="shared" si="224"/>
        <v>1.1047988978604153</v>
      </c>
      <c r="P1183" s="26">
        <f t="shared" si="225"/>
        <v>1.9023293912739385</v>
      </c>
      <c r="Q1183" s="22"/>
      <c r="AD1183" s="59">
        <v>1179</v>
      </c>
      <c r="AE1183" s="61">
        <f t="shared" ca="1" si="227"/>
        <v>-0.74493082234948294</v>
      </c>
      <c r="AF1183" s="61">
        <f t="shared" ca="1" si="227"/>
        <v>1.1484070584830215</v>
      </c>
      <c r="AG1183" s="61">
        <f t="shared" ca="1" si="227"/>
        <v>-1.8109044258603704</v>
      </c>
      <c r="AH1183" s="19"/>
      <c r="AI1183" s="61">
        <f ca="1"/>
        <v>-1.6153292123582349E-2</v>
      </c>
      <c r="AJ1183" s="61">
        <f ca="1"/>
        <v>1.3301887092310113E-2</v>
      </c>
      <c r="AK1183" s="61">
        <f ca="1"/>
        <v>-4.9314438221854287E-2</v>
      </c>
      <c r="AL1183" s="19"/>
      <c r="AM1183" s="61">
        <f t="shared" ca="1" si="231"/>
        <v>-1.5802075801072103E-2</v>
      </c>
      <c r="AN1183" s="61">
        <f t="shared" ca="1" si="232"/>
        <v>1.3550939689226644E-2</v>
      </c>
      <c r="AO1183" s="61">
        <f t="shared" ca="1" si="233"/>
        <v>-4.888276961859947E-2</v>
      </c>
      <c r="AP1183" s="19"/>
      <c r="AQ1183" s="62">
        <f t="shared" ca="1" si="228"/>
        <v>1.0697268120284242</v>
      </c>
      <c r="AR1183" s="62">
        <f t="shared" ca="1" si="229"/>
        <v>1.2130829021065022</v>
      </c>
      <c r="AS1183" s="62">
        <f t="shared" ca="1" si="230"/>
        <v>0.69291971126226204</v>
      </c>
      <c r="AT1183" s="49"/>
    </row>
    <row r="1184" spans="1:46" x14ac:dyDescent="0.3">
      <c r="A1184" s="5">
        <v>45181</v>
      </c>
      <c r="B1184" s="6">
        <v>72.339995999999999</v>
      </c>
      <c r="C1184" s="6">
        <v>117.410004</v>
      </c>
      <c r="D1184" s="6">
        <v>146.259995</v>
      </c>
      <c r="F1184" s="13">
        <v>1181</v>
      </c>
      <c r="G1184" s="5">
        <v>45181</v>
      </c>
      <c r="H1184" s="15">
        <f t="shared" si="226"/>
        <v>-1.3825420458490949E-4</v>
      </c>
      <c r="I1184" s="15">
        <f t="shared" si="226"/>
        <v>7.866701467938433E-3</v>
      </c>
      <c r="J1184" s="15">
        <f t="shared" si="226"/>
        <v>1.7379678831783523E-2</v>
      </c>
      <c r="K1184" s="22"/>
      <c r="L1184" s="13">
        <v>1181</v>
      </c>
      <c r="M1184" s="5">
        <v>45181</v>
      </c>
      <c r="N1184" s="26">
        <f t="shared" si="223"/>
        <v>1.2794480849054106</v>
      </c>
      <c r="O1184" s="26">
        <f t="shared" si="224"/>
        <v>1.113524296025715</v>
      </c>
      <c r="P1184" s="26">
        <f t="shared" si="225"/>
        <v>1.9356802391657026</v>
      </c>
      <c r="Q1184" s="22"/>
      <c r="AD1184" s="59">
        <v>1180</v>
      </c>
      <c r="AE1184" s="61">
        <f t="shared" ca="1" si="227"/>
        <v>0.25984637748077877</v>
      </c>
      <c r="AF1184" s="61">
        <f t="shared" ca="1" si="227"/>
        <v>0.56564863728749593</v>
      </c>
      <c r="AG1184" s="61">
        <f t="shared" ca="1" si="227"/>
        <v>1.2823650794181305</v>
      </c>
      <c r="AH1184" s="19"/>
      <c r="AI1184" s="61">
        <f ca="1"/>
        <v>5.6345828589335492E-3</v>
      </c>
      <c r="AJ1184" s="61">
        <f ca="1"/>
        <v>1.6362152049497557E-2</v>
      </c>
      <c r="AK1184" s="61">
        <f ca="1"/>
        <v>4.0677066177565363E-2</v>
      </c>
      <c r="AL1184" s="19"/>
      <c r="AM1184" s="61">
        <f t="shared" ca="1" si="231"/>
        <v>5.9857991814437931E-3</v>
      </c>
      <c r="AN1184" s="61">
        <f t="shared" ca="1" si="232"/>
        <v>1.6611204646414086E-2</v>
      </c>
      <c r="AO1184" s="61">
        <f t="shared" ca="1" si="233"/>
        <v>4.110873478082018E-2</v>
      </c>
      <c r="AP1184" s="19"/>
      <c r="AQ1184" s="62">
        <f t="shared" ca="1" si="228"/>
        <v>1.0761491842433959</v>
      </c>
      <c r="AR1184" s="62">
        <f t="shared" ca="1" si="229"/>
        <v>1.2334019652834207</v>
      </c>
      <c r="AS1184" s="62">
        <f t="shared" ca="1" si="230"/>
        <v>0.72199836221819202</v>
      </c>
      <c r="AT1184" s="49"/>
    </row>
    <row r="1185" spans="1:46" x14ac:dyDescent="0.3">
      <c r="A1185" s="5">
        <v>45182</v>
      </c>
      <c r="B1185" s="6">
        <v>72.629997000000003</v>
      </c>
      <c r="C1185" s="6">
        <v>114.209999</v>
      </c>
      <c r="D1185" s="6">
        <v>145.479996</v>
      </c>
      <c r="F1185" s="13">
        <v>1182</v>
      </c>
      <c r="G1185" s="5">
        <v>45182</v>
      </c>
      <c r="H1185" s="15">
        <f t="shared" si="226"/>
        <v>4.000847083322873E-3</v>
      </c>
      <c r="I1185" s="15">
        <f t="shared" si="226"/>
        <v>-2.7633266404053371E-2</v>
      </c>
      <c r="J1185" s="15">
        <f t="shared" si="226"/>
        <v>-5.3472330335082524E-3</v>
      </c>
      <c r="K1185" s="22"/>
      <c r="L1185" s="13">
        <v>1182</v>
      </c>
      <c r="M1185" s="5">
        <v>45182</v>
      </c>
      <c r="N1185" s="26">
        <f t="shared" si="223"/>
        <v>1.2845772146342906</v>
      </c>
      <c r="O1185" s="26">
        <f t="shared" si="224"/>
        <v>1.0831752355239901</v>
      </c>
      <c r="P1185" s="26">
        <f t="shared" si="225"/>
        <v>1.9253573299459328</v>
      </c>
      <c r="Q1185" s="22"/>
      <c r="AD1185" s="59">
        <v>1181</v>
      </c>
      <c r="AE1185" s="61">
        <f t="shared" ca="1" si="227"/>
        <v>0.37316532195264124</v>
      </c>
      <c r="AF1185" s="61">
        <f t="shared" ca="1" si="227"/>
        <v>1.1734084338335684</v>
      </c>
      <c r="AG1185" s="61">
        <f t="shared" ca="1" si="227"/>
        <v>-1.5378634149209072</v>
      </c>
      <c r="AH1185" s="19"/>
      <c r="AI1185" s="61">
        <f ca="1"/>
        <v>8.0918231264482665E-3</v>
      </c>
      <c r="AJ1185" s="61">
        <f ca="1"/>
        <v>3.1346136102609119E-2</v>
      </c>
      <c r="AK1185" s="61">
        <f ca="1"/>
        <v>-2.5622587499924493E-2</v>
      </c>
      <c r="AL1185" s="19"/>
      <c r="AM1185" s="61">
        <f t="shared" ca="1" si="231"/>
        <v>8.4430394489585104E-3</v>
      </c>
      <c r="AN1185" s="61">
        <f t="shared" ca="1" si="232"/>
        <v>3.1595188699525649E-2</v>
      </c>
      <c r="AO1185" s="61">
        <f t="shared" ca="1" si="233"/>
        <v>-2.5190918896669676E-2</v>
      </c>
      <c r="AP1185" s="19"/>
      <c r="AQ1185" s="62">
        <f t="shared" ca="1" si="228"/>
        <v>1.0852736190375702</v>
      </c>
      <c r="AR1185" s="62">
        <f t="shared" ca="1" si="229"/>
        <v>1.2729936936820252</v>
      </c>
      <c r="AS1185" s="62">
        <f t="shared" ca="1" si="230"/>
        <v>0.70403773220066646</v>
      </c>
      <c r="AT1185" s="49"/>
    </row>
    <row r="1186" spans="1:46" x14ac:dyDescent="0.3">
      <c r="A1186" s="5">
        <v>45183</v>
      </c>
      <c r="B1186" s="6">
        <v>74.650002000000001</v>
      </c>
      <c r="C1186" s="6">
        <v>115.040001</v>
      </c>
      <c r="D1186" s="6">
        <v>145.949997</v>
      </c>
      <c r="F1186" s="13">
        <v>1183</v>
      </c>
      <c r="G1186" s="5">
        <v>45183</v>
      </c>
      <c r="H1186" s="15">
        <f t="shared" si="226"/>
        <v>2.7432532464063474E-2</v>
      </c>
      <c r="I1186" s="15">
        <f t="shared" si="226"/>
        <v>7.241052358650424E-3</v>
      </c>
      <c r="J1186" s="15">
        <f t="shared" si="226"/>
        <v>3.2254841215394281E-3</v>
      </c>
      <c r="K1186" s="22"/>
      <c r="L1186" s="13">
        <v>1183</v>
      </c>
      <c r="M1186" s="5">
        <v>45183</v>
      </c>
      <c r="N1186" s="26">
        <f t="shared" si="223"/>
        <v>1.3203042214307708</v>
      </c>
      <c r="O1186" s="26">
        <f t="shared" si="224"/>
        <v>1.0910470297601094</v>
      </c>
      <c r="P1186" s="26">
        <f t="shared" si="225"/>
        <v>1.9315775656849543</v>
      </c>
      <c r="Q1186" s="22"/>
      <c r="AD1186" s="59">
        <v>1182</v>
      </c>
      <c r="AE1186" s="61">
        <f t="shared" ca="1" si="227"/>
        <v>-1.3491660299393511</v>
      </c>
      <c r="AF1186" s="61">
        <f t="shared" ca="1" si="227"/>
        <v>-1.033206056334762</v>
      </c>
      <c r="AG1186" s="61">
        <f t="shared" ca="1" si="227"/>
        <v>-1.2213341732517216</v>
      </c>
      <c r="AH1186" s="19"/>
      <c r="AI1186" s="61">
        <f ca="1"/>
        <v>-2.9255700463686574E-2</v>
      </c>
      <c r="AJ1186" s="61">
        <f ca="1"/>
        <v>-4.3575387645562624E-2</v>
      </c>
      <c r="AK1186" s="61">
        <f ca="1"/>
        <v>-5.850150453535094E-2</v>
      </c>
      <c r="AL1186" s="19"/>
      <c r="AM1186" s="61">
        <f t="shared" ca="1" si="231"/>
        <v>-2.8904484141176329E-2</v>
      </c>
      <c r="AN1186" s="61">
        <f t="shared" ca="1" si="232"/>
        <v>-4.3326335048646095E-2</v>
      </c>
      <c r="AO1186" s="61">
        <f t="shared" ca="1" si="233"/>
        <v>-5.8069835932096123E-2</v>
      </c>
      <c r="AP1186" s="19"/>
      <c r="AQ1186" s="62">
        <f t="shared" ca="1" si="228"/>
        <v>1.054353364642054</v>
      </c>
      <c r="AR1186" s="62">
        <f t="shared" ca="1" si="229"/>
        <v>1.2190172856798713</v>
      </c>
      <c r="AS1186" s="62">
        <f t="shared" ca="1" si="230"/>
        <v>0.66431877404388928</v>
      </c>
      <c r="AT1186" s="49"/>
    </row>
    <row r="1187" spans="1:46" x14ac:dyDescent="0.3">
      <c r="A1187" s="5">
        <v>45184</v>
      </c>
      <c r="B1187" s="6">
        <v>75.099997999999999</v>
      </c>
      <c r="C1187" s="6">
        <v>113.860001</v>
      </c>
      <c r="D1187" s="6">
        <v>143.679993</v>
      </c>
      <c r="F1187" s="13">
        <v>1184</v>
      </c>
      <c r="G1187" s="5">
        <v>45184</v>
      </c>
      <c r="H1187" s="15">
        <f t="shared" si="226"/>
        <v>6.0099813620367116E-3</v>
      </c>
      <c r="I1187" s="15">
        <f t="shared" si="226"/>
        <v>-1.0310270359713859E-2</v>
      </c>
      <c r="J1187" s="15">
        <f t="shared" si="226"/>
        <v>-1.5675520910627044E-2</v>
      </c>
      <c r="K1187" s="22"/>
      <c r="L1187" s="13">
        <v>1184</v>
      </c>
      <c r="M1187" s="5">
        <v>45184</v>
      </c>
      <c r="N1187" s="26">
        <f t="shared" si="223"/>
        <v>1.3282631176465667</v>
      </c>
      <c r="O1187" s="26">
        <f t="shared" si="224"/>
        <v>1.079855831186346</v>
      </c>
      <c r="P1187" s="26">
        <f t="shared" si="225"/>
        <v>1.9015351615017249</v>
      </c>
      <c r="Q1187" s="22"/>
      <c r="AD1187" s="59">
        <v>1183</v>
      </c>
      <c r="AE1187" s="61">
        <f t="shared" ca="1" si="227"/>
        <v>0.25006820375959249</v>
      </c>
      <c r="AF1187" s="61">
        <f t="shared" ca="1" si="227"/>
        <v>1.3318534797006885</v>
      </c>
      <c r="AG1187" s="61">
        <f t="shared" ca="1" si="227"/>
        <v>7.9099062152167471E-2</v>
      </c>
      <c r="AH1187" s="19"/>
      <c r="AI1187" s="61">
        <f ca="1"/>
        <v>5.4225501549365653E-3</v>
      </c>
      <c r="AJ1187" s="61">
        <f ca="1"/>
        <v>3.2863342719467815E-2</v>
      </c>
      <c r="AK1187" s="61">
        <f ca="1"/>
        <v>1.510093444733682E-2</v>
      </c>
      <c r="AL1187" s="19"/>
      <c r="AM1187" s="61">
        <f t="shared" ca="1" si="231"/>
        <v>5.7737664774468091E-3</v>
      </c>
      <c r="AN1187" s="61">
        <f t="shared" ca="1" si="232"/>
        <v>3.3112395316384345E-2</v>
      </c>
      <c r="AO1187" s="61">
        <f t="shared" ca="1" si="233"/>
        <v>1.5532603050591639E-2</v>
      </c>
      <c r="AP1187" s="19"/>
      <c r="AQ1187" s="62">
        <f t="shared" ca="1" si="228"/>
        <v>1.0604585627879801</v>
      </c>
      <c r="AR1187" s="62">
        <f t="shared" ca="1" si="229"/>
        <v>1.2600575895716748</v>
      </c>
      <c r="AS1187" s="62">
        <f t="shared" ca="1" si="230"/>
        <v>0.67471792774777339</v>
      </c>
      <c r="AT1187" s="49"/>
    </row>
    <row r="1188" spans="1:46" x14ac:dyDescent="0.3">
      <c r="A1188" s="5">
        <v>45187</v>
      </c>
      <c r="B1188" s="6">
        <v>74.150002000000001</v>
      </c>
      <c r="C1188" s="6">
        <v>114.720001</v>
      </c>
      <c r="D1188" s="6">
        <v>146.279999</v>
      </c>
      <c r="F1188" s="13">
        <v>1185</v>
      </c>
      <c r="G1188" s="5">
        <v>45187</v>
      </c>
      <c r="H1188" s="15">
        <f t="shared" si="226"/>
        <v>-1.2730436582636171E-2</v>
      </c>
      <c r="I1188" s="15">
        <f t="shared" si="226"/>
        <v>7.5247532625346385E-3</v>
      </c>
      <c r="J1188" s="15">
        <f t="shared" si="226"/>
        <v>1.7934030610464027E-2</v>
      </c>
      <c r="K1188" s="22"/>
      <c r="L1188" s="13">
        <v>1185</v>
      </c>
      <c r="M1188" s="5">
        <v>45187</v>
      </c>
      <c r="N1188" s="26">
        <f t="shared" si="223"/>
        <v>1.3114609248061386</v>
      </c>
      <c r="O1188" s="26">
        <f t="shared" si="224"/>
        <v>1.0880121284519702</v>
      </c>
      <c r="P1188" s="26">
        <f t="shared" si="225"/>
        <v>1.9359449824231072</v>
      </c>
      <c r="Q1188" s="22"/>
      <c r="AD1188" s="59">
        <v>1184</v>
      </c>
      <c r="AE1188" s="61">
        <f t="shared" ca="1" si="227"/>
        <v>-1.6764601800679233</v>
      </c>
      <c r="AF1188" s="61">
        <f t="shared" ca="1" si="227"/>
        <v>0.49353664692452004</v>
      </c>
      <c r="AG1188" s="61">
        <f t="shared" ca="1" si="227"/>
        <v>-0.39304917344855705</v>
      </c>
      <c r="AH1188" s="19"/>
      <c r="AI1188" s="61">
        <f ca="1"/>
        <v>-3.6352840035240128E-2</v>
      </c>
      <c r="AJ1188" s="61">
        <f ca="1"/>
        <v>-1.5512999994537972E-2</v>
      </c>
      <c r="AK1188" s="61">
        <f ca="1"/>
        <v>-3.1364804351342777E-2</v>
      </c>
      <c r="AL1188" s="19"/>
      <c r="AM1188" s="61">
        <f t="shared" ca="1" si="231"/>
        <v>-3.6001623712729885E-2</v>
      </c>
      <c r="AN1188" s="61">
        <f t="shared" ca="1" si="232"/>
        <v>-1.5263947397621441E-2</v>
      </c>
      <c r="AO1188" s="61">
        <f t="shared" ca="1" si="233"/>
        <v>-3.093313574808796E-2</v>
      </c>
      <c r="AP1188" s="19"/>
      <c r="AQ1188" s="62">
        <f t="shared" ca="1" si="228"/>
        <v>1.0229593982409424</v>
      </c>
      <c r="AR1188" s="62">
        <f t="shared" ca="1" si="229"/>
        <v>1.2409701819925489</v>
      </c>
      <c r="AS1188" s="62">
        <f t="shared" ca="1" si="230"/>
        <v>0.65416628854515102</v>
      </c>
      <c r="AT1188" s="49"/>
    </row>
    <row r="1189" spans="1:46" x14ac:dyDescent="0.3">
      <c r="A1189" s="5">
        <v>45188</v>
      </c>
      <c r="B1189" s="6">
        <v>74.900002000000001</v>
      </c>
      <c r="C1189" s="6">
        <v>114.230003</v>
      </c>
      <c r="D1189" s="6">
        <v>142.66000399999999</v>
      </c>
      <c r="F1189" s="13">
        <v>1186</v>
      </c>
      <c r="G1189" s="5">
        <v>45188</v>
      </c>
      <c r="H1189" s="15">
        <f t="shared" si="226"/>
        <v>1.0063821669149041E-2</v>
      </c>
      <c r="I1189" s="15">
        <f t="shared" si="226"/>
        <v>-4.280399559527537E-3</v>
      </c>
      <c r="J1189" s="15">
        <f t="shared" si="226"/>
        <v>-2.5058381556391004E-2</v>
      </c>
      <c r="K1189" s="22"/>
      <c r="L1189" s="13">
        <v>1186</v>
      </c>
      <c r="M1189" s="5">
        <v>45188</v>
      </c>
      <c r="N1189" s="26">
        <f t="shared" si="223"/>
        <v>1.324725869743087</v>
      </c>
      <c r="O1189" s="26">
        <f t="shared" si="224"/>
        <v>1.0833649547920152</v>
      </c>
      <c r="P1189" s="26">
        <f t="shared" si="225"/>
        <v>1.8880361007950264</v>
      </c>
      <c r="Q1189" s="22"/>
      <c r="AD1189" s="59">
        <v>1185</v>
      </c>
      <c r="AE1189" s="61">
        <f t="shared" ref="AE1189:AG1220" ca="1" si="234">_xlfn.NORM.S.INV(RAND())</f>
        <v>-0.13421540971197471</v>
      </c>
      <c r="AF1189" s="61">
        <f t="shared" ca="1" si="234"/>
        <v>-0.54418680046871104</v>
      </c>
      <c r="AG1189" s="61">
        <f t="shared" ca="1" si="234"/>
        <v>-0.75225147761201339</v>
      </c>
      <c r="AH1189" s="19"/>
      <c r="AI1189" s="61">
        <f ca="1"/>
        <v>-2.9103651715282311E-3</v>
      </c>
      <c r="AJ1189" s="61">
        <f ca="1"/>
        <v>-1.3929238825939834E-2</v>
      </c>
      <c r="AK1189" s="61">
        <f ca="1"/>
        <v>-2.508816920264716E-2</v>
      </c>
      <c r="AL1189" s="19"/>
      <c r="AM1189" s="61">
        <f t="shared" ca="1" si="231"/>
        <v>-2.5591488490179868E-3</v>
      </c>
      <c r="AN1189" s="61">
        <f t="shared" ca="1" si="232"/>
        <v>-1.3680186229023302E-2</v>
      </c>
      <c r="AO1189" s="61">
        <f t="shared" ca="1" si="233"/>
        <v>-2.4656500599392343E-2</v>
      </c>
      <c r="AP1189" s="19"/>
      <c r="AQ1189" s="62">
        <f t="shared" ca="1" si="228"/>
        <v>1.0203448398233725</v>
      </c>
      <c r="AR1189" s="62">
        <f t="shared" ca="1" si="229"/>
        <v>1.2241090733103275</v>
      </c>
      <c r="AS1189" s="62">
        <f t="shared" ca="1" si="230"/>
        <v>0.63823406070127631</v>
      </c>
      <c r="AT1189" s="49"/>
    </row>
    <row r="1190" spans="1:46" x14ac:dyDescent="0.3">
      <c r="A1190" s="5">
        <v>45189</v>
      </c>
      <c r="B1190" s="6">
        <v>74.330001999999993</v>
      </c>
      <c r="C1190" s="6">
        <v>115.07</v>
      </c>
      <c r="D1190" s="6">
        <v>142.970001</v>
      </c>
      <c r="F1190" s="13">
        <v>1187</v>
      </c>
      <c r="G1190" s="5">
        <v>45189</v>
      </c>
      <c r="H1190" s="15">
        <f t="shared" si="226"/>
        <v>-7.6392515812052381E-3</v>
      </c>
      <c r="I1190" s="15">
        <f t="shared" si="226"/>
        <v>7.3266528267087521E-3</v>
      </c>
      <c r="J1190" s="15">
        <f t="shared" si="226"/>
        <v>2.1706201469620066E-3</v>
      </c>
      <c r="K1190" s="22"/>
      <c r="L1190" s="13">
        <v>1187</v>
      </c>
      <c r="M1190" s="5">
        <v>45189</v>
      </c>
      <c r="N1190" s="26">
        <f t="shared" si="223"/>
        <v>1.3146445115910061</v>
      </c>
      <c r="O1190" s="26">
        <f t="shared" si="224"/>
        <v>1.0913315422736807</v>
      </c>
      <c r="P1190" s="26">
        <f t="shared" si="225"/>
        <v>1.892138761041259</v>
      </c>
      <c r="Q1190" s="22"/>
      <c r="AD1190" s="59">
        <v>1186</v>
      </c>
      <c r="AE1190" s="61">
        <f t="shared" ca="1" si="234"/>
        <v>-0.70133562254495507</v>
      </c>
      <c r="AF1190" s="61">
        <f t="shared" ca="1" si="234"/>
        <v>0.62822199457836769</v>
      </c>
      <c r="AG1190" s="61">
        <f t="shared" ca="1" si="234"/>
        <v>-3.428046354442358E-2</v>
      </c>
      <c r="AH1190" s="19"/>
      <c r="AI1190" s="61">
        <f ca="1"/>
        <v>-1.5207961394203424E-2</v>
      </c>
      <c r="AJ1190" s="61">
        <f ca="1"/>
        <v>2.6775021805959653E-3</v>
      </c>
      <c r="AK1190" s="61">
        <f ca="1"/>
        <v>-6.8166520328931729E-3</v>
      </c>
      <c r="AL1190" s="19"/>
      <c r="AM1190" s="61">
        <f t="shared" ca="1" si="231"/>
        <v>-1.485674507169318E-2</v>
      </c>
      <c r="AN1190" s="61">
        <f t="shared" ca="1" si="232"/>
        <v>2.9265547775124958E-3</v>
      </c>
      <c r="AO1190" s="61">
        <f t="shared" ca="1" si="233"/>
        <v>-6.3849834296383547E-3</v>
      </c>
      <c r="AP1190" s="19"/>
      <c r="AQ1190" s="62">
        <f t="shared" ca="1" si="228"/>
        <v>1.0052978877843641</v>
      </c>
      <c r="AR1190" s="62">
        <f t="shared" ca="1" si="229"/>
        <v>1.2276967427619914</v>
      </c>
      <c r="AS1190" s="62">
        <f t="shared" ca="1" si="230"/>
        <v>0.63417192892192875</v>
      </c>
      <c r="AT1190" s="49"/>
    </row>
    <row r="1191" spans="1:46" x14ac:dyDescent="0.3">
      <c r="A1191" s="5">
        <v>45190</v>
      </c>
      <c r="B1191" s="6">
        <v>73.550003000000004</v>
      </c>
      <c r="C1191" s="6">
        <v>112.239998</v>
      </c>
      <c r="D1191" s="6">
        <v>146.300003</v>
      </c>
      <c r="F1191" s="13">
        <v>1188</v>
      </c>
      <c r="G1191" s="5">
        <v>45190</v>
      </c>
      <c r="H1191" s="15">
        <f t="shared" si="226"/>
        <v>-1.0549177808212937E-2</v>
      </c>
      <c r="I1191" s="15">
        <f t="shared" si="226"/>
        <v>-2.4901220860121136E-2</v>
      </c>
      <c r="J1191" s="15">
        <f t="shared" si="226"/>
        <v>2.3024503496341372E-2</v>
      </c>
      <c r="K1191" s="22"/>
      <c r="L1191" s="13">
        <v>1188</v>
      </c>
      <c r="M1191" s="5">
        <v>45190</v>
      </c>
      <c r="N1191" s="26">
        <f t="shared" si="223"/>
        <v>1.3008489865431734</v>
      </c>
      <c r="O1191" s="26">
        <f t="shared" si="224"/>
        <v>1.0644916148616916</v>
      </c>
      <c r="P1191" s="26">
        <f t="shared" si="225"/>
        <v>1.9362097256805118</v>
      </c>
      <c r="Q1191" s="22"/>
      <c r="AD1191" s="59">
        <v>1187</v>
      </c>
      <c r="AE1191" s="61">
        <f t="shared" ca="1" si="234"/>
        <v>0.56581223326367258</v>
      </c>
      <c r="AF1191" s="61">
        <f t="shared" ca="1" si="234"/>
        <v>1.200455191781693</v>
      </c>
      <c r="AG1191" s="61">
        <f t="shared" ca="1" si="234"/>
        <v>0.76290441271374165</v>
      </c>
      <c r="AH1191" s="19"/>
      <c r="AI1191" s="61">
        <f ca="1"/>
        <v>1.2269233621154601E-2</v>
      </c>
      <c r="AJ1191" s="61">
        <f ca="1"/>
        <v>3.4949399464408865E-2</v>
      </c>
      <c r="AK1191" s="61">
        <f ca="1"/>
        <v>3.6359920007797933E-2</v>
      </c>
      <c r="AL1191" s="19"/>
      <c r="AM1191" s="61">
        <f t="shared" ca="1" si="231"/>
        <v>1.2620449943664845E-2</v>
      </c>
      <c r="AN1191" s="61">
        <f t="shared" ca="1" si="232"/>
        <v>3.5198452061325394E-2</v>
      </c>
      <c r="AO1191" s="61">
        <f t="shared" ca="1" si="233"/>
        <v>3.679158861105275E-2</v>
      </c>
      <c r="AP1191" s="19"/>
      <c r="AQ1191" s="62">
        <f t="shared" ca="1" si="228"/>
        <v>1.0180655971087333</v>
      </c>
      <c r="AR1191" s="62">
        <f t="shared" ca="1" si="229"/>
        <v>1.2716792855692289</v>
      </c>
      <c r="AS1191" s="62">
        <f t="shared" ca="1" si="230"/>
        <v>0.65793864845631411</v>
      </c>
      <c r="AT1191" s="49"/>
    </row>
    <row r="1192" spans="1:46" x14ac:dyDescent="0.3">
      <c r="A1192" s="5">
        <v>45191</v>
      </c>
      <c r="B1192" s="6">
        <v>72.919998000000007</v>
      </c>
      <c r="C1192" s="6">
        <v>112.139999</v>
      </c>
      <c r="D1192" s="6">
        <v>145.270004</v>
      </c>
      <c r="F1192" s="13">
        <v>1189</v>
      </c>
      <c r="G1192" s="5">
        <v>45191</v>
      </c>
      <c r="H1192" s="15">
        <f t="shared" si="226"/>
        <v>-8.6025654528805295E-3</v>
      </c>
      <c r="I1192" s="15">
        <f t="shared" si="226"/>
        <v>-8.9133619714420499E-4</v>
      </c>
      <c r="J1192" s="15">
        <f t="shared" si="226"/>
        <v>-7.0652211121616775E-3</v>
      </c>
      <c r="K1192" s="22"/>
      <c r="L1192" s="13">
        <v>1189</v>
      </c>
      <c r="M1192" s="5">
        <v>45191</v>
      </c>
      <c r="N1192" s="26">
        <f t="shared" si="223"/>
        <v>1.2897063443631707</v>
      </c>
      <c r="O1192" s="26">
        <f t="shared" si="224"/>
        <v>1.0635432176869648</v>
      </c>
      <c r="P1192" s="26">
        <f t="shared" si="225"/>
        <v>1.9225781874689833</v>
      </c>
      <c r="Q1192" s="22"/>
      <c r="AD1192" s="59">
        <v>1188</v>
      </c>
      <c r="AE1192" s="61">
        <f t="shared" ca="1" si="234"/>
        <v>-0.67965329105417716</v>
      </c>
      <c r="AF1192" s="61">
        <f t="shared" ca="1" si="234"/>
        <v>1.1572167318482074</v>
      </c>
      <c r="AG1192" s="61">
        <f t="shared" ca="1" si="234"/>
        <v>0.86161134766533887</v>
      </c>
      <c r="AH1192" s="19"/>
      <c r="AI1192" s="61">
        <f ca="1"/>
        <v>-1.473779554257946E-2</v>
      </c>
      <c r="AJ1192" s="61">
        <f ca="1"/>
        <v>1.4515120286016103E-2</v>
      </c>
      <c r="AK1192" s="61">
        <f ca="1"/>
        <v>2.0181848881034182E-2</v>
      </c>
      <c r="AL1192" s="19"/>
      <c r="AM1192" s="61">
        <f t="shared" ca="1" si="231"/>
        <v>-1.4386579220069216E-2</v>
      </c>
      <c r="AN1192" s="61">
        <f t="shared" ca="1" si="232"/>
        <v>1.4764172882932634E-2</v>
      </c>
      <c r="AO1192" s="61">
        <f t="shared" ca="1" si="233"/>
        <v>2.0613517484288999E-2</v>
      </c>
      <c r="AP1192" s="19"/>
      <c r="AQ1192" s="62">
        <f t="shared" ca="1" si="228"/>
        <v>1.0035239686995581</v>
      </c>
      <c r="AR1192" s="62">
        <f t="shared" ca="1" si="229"/>
        <v>1.290593863861647</v>
      </c>
      <c r="AS1192" s="62">
        <f t="shared" ca="1" si="230"/>
        <v>0.67164182843706088</v>
      </c>
      <c r="AT1192" s="49"/>
    </row>
    <row r="1193" spans="1:46" x14ac:dyDescent="0.3">
      <c r="A1193" s="5">
        <v>45194</v>
      </c>
      <c r="B1193" s="6">
        <v>73.849997999999999</v>
      </c>
      <c r="C1193" s="6">
        <v>113.18</v>
      </c>
      <c r="D1193" s="6">
        <v>146.53999300000001</v>
      </c>
      <c r="F1193" s="13">
        <v>1190</v>
      </c>
      <c r="G1193" s="5">
        <v>45194</v>
      </c>
      <c r="H1193" s="15">
        <f t="shared" si="226"/>
        <v>1.2673059512321309E-2</v>
      </c>
      <c r="I1193" s="15">
        <f t="shared" si="226"/>
        <v>9.2313899362760164E-3</v>
      </c>
      <c r="J1193" s="15">
        <f t="shared" si="226"/>
        <v>8.7042735435627436E-3</v>
      </c>
      <c r="K1193" s="22"/>
      <c r="L1193" s="13">
        <v>1190</v>
      </c>
      <c r="M1193" s="5">
        <v>45194</v>
      </c>
      <c r="N1193" s="26">
        <f t="shared" si="223"/>
        <v>1.3061548760849864</v>
      </c>
      <c r="O1193" s="26">
        <f t="shared" si="224"/>
        <v>1.0734066564224838</v>
      </c>
      <c r="P1193" s="26">
        <f t="shared" si="225"/>
        <v>1.9393858771674402</v>
      </c>
      <c r="Q1193" s="22"/>
      <c r="AD1193" s="59">
        <v>1189</v>
      </c>
      <c r="AE1193" s="61">
        <f t="shared" ca="1" si="234"/>
        <v>1.6866432725440559</v>
      </c>
      <c r="AF1193" s="61">
        <f t="shared" ca="1" si="234"/>
        <v>0.34295164711541432</v>
      </c>
      <c r="AG1193" s="61">
        <f t="shared" ca="1" si="234"/>
        <v>0.1558809055975427</v>
      </c>
      <c r="AH1193" s="19"/>
      <c r="AI1193" s="61">
        <f ca="1"/>
        <v>3.6573653112848631E-2</v>
      </c>
      <c r="AJ1193" s="61">
        <f ca="1"/>
        <v>3.3854313490706056E-2</v>
      </c>
      <c r="AK1193" s="61">
        <f ca="1"/>
        <v>3.1329960647827962E-2</v>
      </c>
      <c r="AL1193" s="19"/>
      <c r="AM1193" s="61">
        <f t="shared" ca="1" si="231"/>
        <v>3.6924869435358873E-2</v>
      </c>
      <c r="AN1193" s="61">
        <f t="shared" ca="1" si="232"/>
        <v>3.4103366087622586E-2</v>
      </c>
      <c r="AO1193" s="61">
        <f t="shared" ca="1" si="233"/>
        <v>3.1761629251082779E-2</v>
      </c>
      <c r="AP1193" s="19"/>
      <c r="AQ1193" s="62">
        <f t="shared" ca="1" si="228"/>
        <v>1.0412715843024118</v>
      </c>
      <c r="AR1193" s="62">
        <f t="shared" ca="1" si="229"/>
        <v>1.3353665695732146</v>
      </c>
      <c r="AS1193" s="62">
        <f t="shared" ca="1" si="230"/>
        <v>0.69331665904624451</v>
      </c>
      <c r="AT1193" s="49"/>
    </row>
    <row r="1194" spans="1:46" x14ac:dyDescent="0.3">
      <c r="A1194" s="5">
        <v>45195</v>
      </c>
      <c r="B1194" s="6">
        <v>71.589995999999999</v>
      </c>
      <c r="C1194" s="6">
        <v>113.43</v>
      </c>
      <c r="D1194" s="6">
        <v>141.58000200000001</v>
      </c>
      <c r="F1194" s="13">
        <v>1191</v>
      </c>
      <c r="G1194" s="5">
        <v>45195</v>
      </c>
      <c r="H1194" s="15">
        <f t="shared" si="226"/>
        <v>-3.1080638361098884E-2</v>
      </c>
      <c r="I1194" s="15">
        <f t="shared" si="226"/>
        <v>2.206434856573397E-3</v>
      </c>
      <c r="J1194" s="15">
        <f t="shared" si="226"/>
        <v>-3.443343849095723E-2</v>
      </c>
      <c r="K1194" s="22"/>
      <c r="L1194" s="13">
        <v>1191</v>
      </c>
      <c r="M1194" s="5">
        <v>45195</v>
      </c>
      <c r="N1194" s="26">
        <f t="shared" si="223"/>
        <v>1.2661831399684624</v>
      </c>
      <c r="O1194" s="26">
        <f t="shared" si="224"/>
        <v>1.0757776730694675</v>
      </c>
      <c r="P1194" s="26">
        <f t="shared" si="225"/>
        <v>1.873742797081599</v>
      </c>
      <c r="Q1194" s="22"/>
      <c r="AD1194" s="59">
        <v>1190</v>
      </c>
      <c r="AE1194" s="61">
        <f t="shared" ca="1" si="234"/>
        <v>0.10810227402622304</v>
      </c>
      <c r="AF1194" s="61">
        <f t="shared" ca="1" si="234"/>
        <v>7.3822932393577317E-2</v>
      </c>
      <c r="AG1194" s="61">
        <f t="shared" ca="1" si="234"/>
        <v>-0.33409671913018252</v>
      </c>
      <c r="AH1194" s="19"/>
      <c r="AI1194" s="61">
        <f ca="1"/>
        <v>2.3441204997554782E-3</v>
      </c>
      <c r="AJ1194" s="61">
        <f ca="1"/>
        <v>3.2966698814486887E-3</v>
      </c>
      <c r="AK1194" s="61">
        <f ca="1"/>
        <v>-6.4423777199069544E-3</v>
      </c>
      <c r="AL1194" s="19"/>
      <c r="AM1194" s="61">
        <f t="shared" ca="1" si="231"/>
        <v>2.6953368222657225E-3</v>
      </c>
      <c r="AN1194" s="61">
        <f t="shared" ca="1" si="232"/>
        <v>3.5457224783652192E-3</v>
      </c>
      <c r="AO1194" s="61">
        <f t="shared" ca="1" si="233"/>
        <v>-6.0107091166521362E-3</v>
      </c>
      <c r="AP1194" s="19"/>
      <c r="AQ1194" s="62">
        <f t="shared" ca="1" si="228"/>
        <v>1.0440819476821086</v>
      </c>
      <c r="AR1194" s="62">
        <f t="shared" ca="1" si="229"/>
        <v>1.3401098129787941</v>
      </c>
      <c r="AS1194" s="62">
        <f t="shared" ca="1" si="230"/>
        <v>0.6891618335158386</v>
      </c>
      <c r="AT1194" s="49"/>
    </row>
    <row r="1195" spans="1:46" x14ac:dyDescent="0.3">
      <c r="A1195" s="5">
        <v>45196</v>
      </c>
      <c r="B1195" s="6">
        <v>73.139999000000003</v>
      </c>
      <c r="C1195" s="6">
        <v>115.260002</v>
      </c>
      <c r="D1195" s="6">
        <v>143.949997</v>
      </c>
      <c r="F1195" s="13">
        <v>1192</v>
      </c>
      <c r="G1195" s="5">
        <v>45196</v>
      </c>
      <c r="H1195" s="15">
        <f t="shared" si="226"/>
        <v>2.1420055514459281E-2</v>
      </c>
      <c r="I1195" s="15">
        <f t="shared" si="226"/>
        <v>1.6004556789642431E-2</v>
      </c>
      <c r="J1195" s="15">
        <f t="shared" si="226"/>
        <v>1.6601053745282833E-2</v>
      </c>
      <c r="K1195" s="22"/>
      <c r="L1195" s="13">
        <v>1192</v>
      </c>
      <c r="M1195" s="5">
        <v>45196</v>
      </c>
      <c r="N1195" s="26">
        <f t="shared" si="223"/>
        <v>1.2935974125646019</v>
      </c>
      <c r="O1195" s="26">
        <f t="shared" si="224"/>
        <v>1.0931335338935217</v>
      </c>
      <c r="P1195" s="26">
        <f t="shared" si="225"/>
        <v>1.9051085337508877</v>
      </c>
      <c r="Q1195" s="22"/>
      <c r="AD1195" s="59">
        <v>1191</v>
      </c>
      <c r="AE1195" s="61">
        <f t="shared" ca="1" si="234"/>
        <v>1.1009885517714535</v>
      </c>
      <c r="AF1195" s="61">
        <f t="shared" ca="1" si="234"/>
        <v>0.67099309062220847</v>
      </c>
      <c r="AG1195" s="61">
        <f t="shared" ca="1" si="234"/>
        <v>0.17542871656164219</v>
      </c>
      <c r="AH1195" s="19"/>
      <c r="AI1195" s="61">
        <f ca="1"/>
        <v>2.3874149340998203E-2</v>
      </c>
      <c r="AJ1195" s="61">
        <f ca="1"/>
        <v>3.1817762491550786E-2</v>
      </c>
      <c r="AK1195" s="61">
        <f ca="1"/>
        <v>2.5487625355366028E-2</v>
      </c>
      <c r="AL1195" s="19"/>
      <c r="AM1195" s="61">
        <f t="shared" ca="1" si="231"/>
        <v>2.4225365663508448E-2</v>
      </c>
      <c r="AN1195" s="61">
        <f t="shared" ca="1" si="232"/>
        <v>3.2066815088467315E-2</v>
      </c>
      <c r="AO1195" s="61">
        <f t="shared" ca="1" si="233"/>
        <v>2.5919293958620845E-2</v>
      </c>
      <c r="AP1195" s="19"/>
      <c r="AQ1195" s="62">
        <f t="shared" ca="1" si="228"/>
        <v>1.0696840729936044</v>
      </c>
      <c r="AR1195" s="62">
        <f t="shared" ca="1" si="229"/>
        <v>1.3837792951790964</v>
      </c>
      <c r="AS1195" s="62">
        <f t="shared" ca="1" si="230"/>
        <v>0.70725792757136208</v>
      </c>
      <c r="AT1195" s="49"/>
    </row>
    <row r="1196" spans="1:46" x14ac:dyDescent="0.3">
      <c r="A1196" s="5">
        <v>45197</v>
      </c>
      <c r="B1196" s="6">
        <v>73.199996999999996</v>
      </c>
      <c r="C1196" s="6">
        <v>115.389999</v>
      </c>
      <c r="D1196" s="6">
        <v>147.179993</v>
      </c>
      <c r="F1196" s="13">
        <v>1193</v>
      </c>
      <c r="G1196" s="5">
        <v>45197</v>
      </c>
      <c r="H1196" s="15">
        <f t="shared" si="226"/>
        <v>8.1998093483247271E-4</v>
      </c>
      <c r="I1196" s="15">
        <f t="shared" si="226"/>
        <v>1.1272231797203964E-3</v>
      </c>
      <c r="J1196" s="15">
        <f t="shared" si="226"/>
        <v>2.2190283720026849E-2</v>
      </c>
      <c r="K1196" s="22"/>
      <c r="L1196" s="13">
        <v>1193</v>
      </c>
      <c r="M1196" s="5">
        <v>45197</v>
      </c>
      <c r="N1196" s="26">
        <f t="shared" si="223"/>
        <v>1.2946585727863713</v>
      </c>
      <c r="O1196" s="26">
        <f t="shared" si="224"/>
        <v>1.0943664340977535</v>
      </c>
      <c r="P1196" s="26">
        <f t="shared" si="225"/>
        <v>1.9478559673863411</v>
      </c>
      <c r="Q1196" s="22"/>
      <c r="AD1196" s="59">
        <v>1192</v>
      </c>
      <c r="AE1196" s="61">
        <f t="shared" ca="1" si="234"/>
        <v>-0.91706553094379972</v>
      </c>
      <c r="AF1196" s="61">
        <f t="shared" ca="1" si="234"/>
        <v>-1.4262705994333276</v>
      </c>
      <c r="AG1196" s="61">
        <f t="shared" ca="1" si="234"/>
        <v>0.64910445544880968</v>
      </c>
      <c r="AH1196" s="19"/>
      <c r="AI1196" s="61">
        <f ca="1"/>
        <v>-1.9885910172278465E-2</v>
      </c>
      <c r="AJ1196" s="61">
        <f ca="1"/>
        <v>-4.5355662452315232E-2</v>
      </c>
      <c r="AK1196" s="61">
        <f ca="1"/>
        <v>-6.9645715940741815E-3</v>
      </c>
      <c r="AL1196" s="19"/>
      <c r="AM1196" s="61">
        <f t="shared" ca="1" si="231"/>
        <v>-1.953469384976822E-2</v>
      </c>
      <c r="AN1196" s="61">
        <f t="shared" ca="1" si="232"/>
        <v>-4.5106609855398702E-2</v>
      </c>
      <c r="AO1196" s="61">
        <f t="shared" ca="1" si="233"/>
        <v>-6.5329029908193633E-3</v>
      </c>
      <c r="AP1196" s="19"/>
      <c r="AQ1196" s="62">
        <f t="shared" ca="1" si="228"/>
        <v>1.0489908975810784</v>
      </c>
      <c r="AR1196" s="62">
        <f t="shared" ca="1" si="229"/>
        <v>1.3227484960608813</v>
      </c>
      <c r="AS1196" s="62">
        <f t="shared" ca="1" si="230"/>
        <v>0.70265253979620079</v>
      </c>
      <c r="AT1196" s="49"/>
    </row>
    <row r="1197" spans="1:46" x14ac:dyDescent="0.3">
      <c r="A1197" s="5">
        <v>45198</v>
      </c>
      <c r="B1197" s="6">
        <v>73.279999000000004</v>
      </c>
      <c r="C1197" s="6">
        <v>116.089996</v>
      </c>
      <c r="D1197" s="6">
        <v>141.71000699999999</v>
      </c>
      <c r="F1197" s="13">
        <v>1194</v>
      </c>
      <c r="G1197" s="5">
        <v>45198</v>
      </c>
      <c r="H1197" s="15">
        <f t="shared" si="226"/>
        <v>1.0923267359281483E-3</v>
      </c>
      <c r="I1197" s="15">
        <f t="shared" si="226"/>
        <v>6.0480313536041257E-3</v>
      </c>
      <c r="J1197" s="15">
        <f t="shared" si="226"/>
        <v>-3.7873514704209015E-2</v>
      </c>
      <c r="K1197" s="22"/>
      <c r="L1197" s="13">
        <v>1194</v>
      </c>
      <c r="M1197" s="5">
        <v>45198</v>
      </c>
      <c r="N1197" s="26">
        <f t="shared" si="223"/>
        <v>1.296073535619499</v>
      </c>
      <c r="O1197" s="26">
        <f t="shared" si="224"/>
        <v>1.1010052522571081</v>
      </c>
      <c r="P1197" s="26">
        <f t="shared" si="225"/>
        <v>1.8754633503298928</v>
      </c>
      <c r="Q1197" s="22"/>
      <c r="AD1197" s="59">
        <v>1193</v>
      </c>
      <c r="AE1197" s="61">
        <f t="shared" ca="1" si="234"/>
        <v>0.40569721718613422</v>
      </c>
      <c r="AF1197" s="61">
        <f t="shared" ca="1" si="234"/>
        <v>-1.2231445625788366</v>
      </c>
      <c r="AG1197" s="61">
        <f t="shared" ca="1" si="234"/>
        <v>-2.5038839203363783</v>
      </c>
      <c r="AH1197" s="19"/>
      <c r="AI1197" s="61">
        <f ca="1"/>
        <v>8.7972540084501564E-3</v>
      </c>
      <c r="AJ1197" s="61">
        <f ca="1"/>
        <v>-2.0236181818765131E-2</v>
      </c>
      <c r="AK1197" s="61">
        <f ca="1"/>
        <v>-6.6768943217385315E-2</v>
      </c>
      <c r="AL1197" s="19"/>
      <c r="AM1197" s="61">
        <f t="shared" ca="1" si="231"/>
        <v>9.1484703309604003E-3</v>
      </c>
      <c r="AN1197" s="61">
        <f t="shared" ca="1" si="232"/>
        <v>-1.9987129221848601E-2</v>
      </c>
      <c r="AO1197" s="61">
        <f t="shared" ca="1" si="233"/>
        <v>-6.6337274614130498E-2</v>
      </c>
      <c r="AP1197" s="19"/>
      <c r="AQ1197" s="62">
        <f t="shared" ca="1" si="228"/>
        <v>1.0586315912456934</v>
      </c>
      <c r="AR1197" s="62">
        <f t="shared" ca="1" si="229"/>
        <v>1.2965730087535419</v>
      </c>
      <c r="AS1197" s="62">
        <f t="shared" ca="1" si="230"/>
        <v>0.65755291606618538</v>
      </c>
      <c r="AT1197" s="49"/>
    </row>
    <row r="1198" spans="1:46" x14ac:dyDescent="0.3">
      <c r="A1198" s="5">
        <v>45201</v>
      </c>
      <c r="B1198" s="6">
        <v>72.029999000000004</v>
      </c>
      <c r="C1198" s="6">
        <v>115.94000200000001</v>
      </c>
      <c r="D1198" s="6">
        <v>138.08999600000001</v>
      </c>
      <c r="F1198" s="13">
        <v>1195</v>
      </c>
      <c r="G1198" s="5">
        <v>45201</v>
      </c>
      <c r="H1198" s="15">
        <f t="shared" si="226"/>
        <v>-1.7205021701419319E-2</v>
      </c>
      <c r="I1198" s="15">
        <f t="shared" si="226"/>
        <v>-1.2928847320297259E-3</v>
      </c>
      <c r="J1198" s="15">
        <f t="shared" si="226"/>
        <v>-2.5877147702789451E-2</v>
      </c>
      <c r="K1198" s="22"/>
      <c r="L1198" s="13">
        <v>1195</v>
      </c>
      <c r="M1198" s="5">
        <v>45201</v>
      </c>
      <c r="N1198" s="26">
        <f t="shared" si="223"/>
        <v>1.2739652940579185</v>
      </c>
      <c r="O1198" s="26">
        <f t="shared" si="224"/>
        <v>1.0995826991733175</v>
      </c>
      <c r="P1198" s="26">
        <f t="shared" si="225"/>
        <v>1.8275542569495571</v>
      </c>
      <c r="Q1198" s="22"/>
      <c r="AD1198" s="59">
        <v>1194</v>
      </c>
      <c r="AE1198" s="61">
        <f t="shared" ca="1" si="234"/>
        <v>-0.71847986639572003</v>
      </c>
      <c r="AF1198" s="61">
        <f t="shared" ca="1" si="234"/>
        <v>-0.23823129001405299</v>
      </c>
      <c r="AG1198" s="61">
        <f t="shared" ca="1" si="234"/>
        <v>-0.57688277422537082</v>
      </c>
      <c r="AH1198" s="19"/>
      <c r="AI1198" s="61">
        <f ca="1"/>
        <v>-1.5579722060899819E-2</v>
      </c>
      <c r="AJ1198" s="61">
        <f ca="1"/>
        <v>-1.6424089171585068E-2</v>
      </c>
      <c r="AK1198" s="61">
        <f ca="1"/>
        <v>-2.7073377629742462E-2</v>
      </c>
      <c r="AL1198" s="19"/>
      <c r="AM1198" s="61">
        <f t="shared" ca="1" si="231"/>
        <v>-1.5228505738389575E-2</v>
      </c>
      <c r="AN1198" s="61">
        <f t="shared" ca="1" si="232"/>
        <v>-1.6175036574668539E-2</v>
      </c>
      <c r="AO1198" s="61">
        <f t="shared" ca="1" si="233"/>
        <v>-2.6641709026487645E-2</v>
      </c>
      <c r="AP1198" s="19"/>
      <c r="AQ1198" s="62">
        <f t="shared" ca="1" si="228"/>
        <v>1.0426323454806177</v>
      </c>
      <c r="AR1198" s="62">
        <f t="shared" ca="1" si="229"/>
        <v>1.2757695944762288</v>
      </c>
      <c r="AS1198" s="62">
        <f t="shared" ca="1" si="230"/>
        <v>0.6402658831453758</v>
      </c>
      <c r="AT1198" s="49"/>
    </row>
    <row r="1199" spans="1:46" x14ac:dyDescent="0.3">
      <c r="A1199" s="5">
        <v>45202</v>
      </c>
      <c r="B1199" s="6">
        <v>73.819999999999993</v>
      </c>
      <c r="C1199" s="6">
        <v>112.33000199999999</v>
      </c>
      <c r="D1199" s="6">
        <v>133.58000200000001</v>
      </c>
      <c r="F1199" s="13">
        <v>1196</v>
      </c>
      <c r="G1199" s="5">
        <v>45202</v>
      </c>
      <c r="H1199" s="15">
        <f t="shared" si="226"/>
        <v>2.4547012583685201E-2</v>
      </c>
      <c r="I1199" s="15">
        <f t="shared" si="226"/>
        <v>-3.1631847703728268E-2</v>
      </c>
      <c r="J1199" s="15">
        <f t="shared" si="226"/>
        <v>-3.3205053260852387E-2</v>
      </c>
      <c r="K1199" s="22"/>
      <c r="L1199" s="13">
        <v>1196</v>
      </c>
      <c r="M1199" s="5">
        <v>45202</v>
      </c>
      <c r="N1199" s="26">
        <f t="shared" si="223"/>
        <v>1.3056243136606949</v>
      </c>
      <c r="O1199" s="26">
        <f t="shared" si="224"/>
        <v>1.0653452187908721</v>
      </c>
      <c r="P1199" s="26">
        <f t="shared" si="225"/>
        <v>1.7678666693453329</v>
      </c>
      <c r="Q1199" s="22"/>
      <c r="AD1199" s="59">
        <v>1195</v>
      </c>
      <c r="AE1199" s="61">
        <f t="shared" ca="1" si="234"/>
        <v>0.17200547706067751</v>
      </c>
      <c r="AF1199" s="61">
        <f t="shared" ca="1" si="234"/>
        <v>-0.83843902445794261</v>
      </c>
      <c r="AG1199" s="61">
        <f t="shared" ca="1" si="234"/>
        <v>-1.2473574827424001</v>
      </c>
      <c r="AH1199" s="19"/>
      <c r="AI1199" s="61">
        <f ca="1"/>
        <v>3.7298157553128596E-3</v>
      </c>
      <c r="AJ1199" s="61">
        <f ca="1"/>
        <v>-1.5532037551716534E-2</v>
      </c>
      <c r="AK1199" s="61">
        <f ca="1"/>
        <v>-3.5320441731915689E-2</v>
      </c>
      <c r="AL1199" s="19"/>
      <c r="AM1199" s="61">
        <f t="shared" ca="1" si="231"/>
        <v>4.0810320778231039E-3</v>
      </c>
      <c r="AN1199" s="61">
        <f t="shared" ca="1" si="232"/>
        <v>-1.5282984954800002E-2</v>
      </c>
      <c r="AO1199" s="61">
        <f t="shared" ca="1" si="233"/>
        <v>-3.4888773128660872E-2</v>
      </c>
      <c r="AP1199" s="19"/>
      <c r="AQ1199" s="62">
        <f t="shared" ca="1" si="228"/>
        <v>1.0468960557795404</v>
      </c>
      <c r="AR1199" s="62">
        <f t="shared" ca="1" si="229"/>
        <v>1.2564202613581028</v>
      </c>
      <c r="AS1199" s="62">
        <f t="shared" ca="1" si="230"/>
        <v>0.61831297380313155</v>
      </c>
      <c r="AT1199" s="49"/>
    </row>
    <row r="1200" spans="1:46" x14ac:dyDescent="0.3">
      <c r="A1200" s="5">
        <v>45203</v>
      </c>
      <c r="B1200" s="6">
        <v>73.589995999999999</v>
      </c>
      <c r="C1200" s="6">
        <v>113.699997</v>
      </c>
      <c r="D1200" s="6">
        <v>128.66999799999999</v>
      </c>
      <c r="F1200" s="13">
        <v>1197</v>
      </c>
      <c r="G1200" s="5">
        <v>45203</v>
      </c>
      <c r="H1200" s="15">
        <f t="shared" si="226"/>
        <v>-3.1206050185575342E-3</v>
      </c>
      <c r="I1200" s="15">
        <f t="shared" si="226"/>
        <v>1.2122388913105421E-2</v>
      </c>
      <c r="J1200" s="15">
        <f t="shared" si="226"/>
        <v>-3.744959261653126E-2</v>
      </c>
      <c r="K1200" s="22"/>
      <c r="L1200" s="13">
        <v>1197</v>
      </c>
      <c r="M1200" s="5">
        <v>45203</v>
      </c>
      <c r="N1200" s="26">
        <f t="shared" si="223"/>
        <v>1.3015563264669912</v>
      </c>
      <c r="O1200" s="26">
        <f t="shared" si="224"/>
        <v>1.07833834259601</v>
      </c>
      <c r="P1200" s="26">
        <f t="shared" si="225"/>
        <v>1.7028851430091356</v>
      </c>
      <c r="Q1200" s="22"/>
      <c r="AD1200" s="59">
        <v>1196</v>
      </c>
      <c r="AE1200" s="61">
        <f t="shared" ca="1" si="234"/>
        <v>-0.63164718365241601</v>
      </c>
      <c r="AF1200" s="61">
        <f t="shared" ca="1" si="234"/>
        <v>-0.46468625761996424</v>
      </c>
      <c r="AG1200" s="61">
        <f t="shared" ca="1" si="234"/>
        <v>-0.79140612215430328</v>
      </c>
      <c r="AH1200" s="19"/>
      <c r="AI1200" s="61">
        <f ca="1"/>
        <v>-1.3696817436544117E-2</v>
      </c>
      <c r="AJ1200" s="61">
        <f ca="1"/>
        <v>-1.9987183843227285E-2</v>
      </c>
      <c r="AK1200" s="61">
        <f ca="1"/>
        <v>-3.2881256076602305E-2</v>
      </c>
      <c r="AL1200" s="19"/>
      <c r="AM1200" s="61">
        <f t="shared" ca="1" si="231"/>
        <v>-1.3345601114033873E-2</v>
      </c>
      <c r="AN1200" s="61">
        <f t="shared" ca="1" si="232"/>
        <v>-1.9738131246310756E-2</v>
      </c>
      <c r="AO1200" s="61">
        <f t="shared" ca="1" si="233"/>
        <v>-3.2449587473347488E-2</v>
      </c>
      <c r="AP1200" s="19"/>
      <c r="AQ1200" s="62">
        <f t="shared" ca="1" si="228"/>
        <v>1.0330174140072264</v>
      </c>
      <c r="AR1200" s="62">
        <f t="shared" ca="1" si="229"/>
        <v>1.2318640177599833</v>
      </c>
      <c r="AS1200" s="62">
        <f t="shared" ca="1" si="230"/>
        <v>0.59857101438000515</v>
      </c>
      <c r="AT1200" s="49"/>
    </row>
    <row r="1201" spans="1:46" x14ac:dyDescent="0.3">
      <c r="A1201" s="5">
        <v>45204</v>
      </c>
      <c r="B1201" s="6">
        <v>73.769997000000004</v>
      </c>
      <c r="C1201" s="6">
        <v>112.19000200000001</v>
      </c>
      <c r="D1201" s="6">
        <v>127.480003</v>
      </c>
      <c r="F1201" s="13">
        <v>1198</v>
      </c>
      <c r="G1201" s="5">
        <v>45204</v>
      </c>
      <c r="H1201" s="15">
        <f t="shared" si="226"/>
        <v>2.4430116459775806E-3</v>
      </c>
      <c r="I1201" s="15">
        <f t="shared" si="226"/>
        <v>-1.3369493987491675E-2</v>
      </c>
      <c r="J1201" s="15">
        <f t="shared" si="226"/>
        <v>-9.2914585710211946E-3</v>
      </c>
      <c r="K1201" s="22"/>
      <c r="L1201" s="13">
        <v>1198</v>
      </c>
      <c r="M1201" s="5">
        <v>45204</v>
      </c>
      <c r="N1201" s="26">
        <f t="shared" si="223"/>
        <v>1.304739930938452</v>
      </c>
      <c r="O1201" s="26">
        <f t="shared" si="224"/>
        <v>1.0640174494685612</v>
      </c>
      <c r="P1201" s="26">
        <f t="shared" si="225"/>
        <v>1.687136135180946</v>
      </c>
      <c r="Q1201" s="22"/>
      <c r="AD1201" s="59">
        <v>1197</v>
      </c>
      <c r="AE1201" s="61">
        <f t="shared" ca="1" si="234"/>
        <v>0.28620032636137815</v>
      </c>
      <c r="AF1201" s="61">
        <f t="shared" ca="1" si="234"/>
        <v>-1.9690296971329735</v>
      </c>
      <c r="AG1201" s="61">
        <f t="shared" ca="1" si="234"/>
        <v>8.1081471313121531E-2</v>
      </c>
      <c r="AH1201" s="19"/>
      <c r="AI1201" s="61">
        <f ca="1"/>
        <v>6.206049392611975E-3</v>
      </c>
      <c r="AJ1201" s="61">
        <f ca="1"/>
        <v>-3.83191599554705E-2</v>
      </c>
      <c r="AK1201" s="61">
        <f ca="1"/>
        <v>-7.5607444632308516E-3</v>
      </c>
      <c r="AL1201" s="19"/>
      <c r="AM1201" s="61">
        <f t="shared" ca="1" si="231"/>
        <v>6.5572657151222189E-3</v>
      </c>
      <c r="AN1201" s="61">
        <f t="shared" ca="1" si="232"/>
        <v>-3.807010735855397E-2</v>
      </c>
      <c r="AO1201" s="61">
        <f t="shared" ca="1" si="233"/>
        <v>-7.1290758599760334E-3</v>
      </c>
      <c r="AP1201" s="19"/>
      <c r="AQ1201" s="62">
        <f t="shared" ca="1" si="228"/>
        <v>1.0398134410055087</v>
      </c>
      <c r="AR1201" s="62">
        <f t="shared" ca="1" si="229"/>
        <v>1.1858482917100699</v>
      </c>
      <c r="AS1201" s="62">
        <f t="shared" ca="1" si="230"/>
        <v>0.59431893093251464</v>
      </c>
      <c r="AT1201" s="49"/>
    </row>
    <row r="1202" spans="1:46" x14ac:dyDescent="0.3">
      <c r="A1202" s="5">
        <v>45205</v>
      </c>
      <c r="B1202" s="6">
        <v>74.699996999999996</v>
      </c>
      <c r="C1202" s="6">
        <v>113.660004</v>
      </c>
      <c r="D1202" s="6">
        <v>126.529999</v>
      </c>
      <c r="F1202" s="13">
        <v>1199</v>
      </c>
      <c r="G1202" s="5">
        <v>45205</v>
      </c>
      <c r="H1202" s="15">
        <f t="shared" si="226"/>
        <v>1.2527947748855874E-2</v>
      </c>
      <c r="I1202" s="15">
        <f t="shared" si="226"/>
        <v>1.3017690677880771E-2</v>
      </c>
      <c r="J1202" s="15">
        <f t="shared" si="226"/>
        <v>-7.4800867843303875E-3</v>
      </c>
      <c r="K1202" s="22"/>
      <c r="L1202" s="13">
        <v>1199</v>
      </c>
      <c r="M1202" s="5">
        <v>45205</v>
      </c>
      <c r="N1202" s="26">
        <f t="shared" si="223"/>
        <v>1.3211884626602677</v>
      </c>
      <c r="O1202" s="26">
        <f t="shared" si="224"/>
        <v>1.0779590463209587</v>
      </c>
      <c r="P1202" s="26">
        <f t="shared" si="225"/>
        <v>1.6745632920742006</v>
      </c>
      <c r="Q1202" s="22"/>
      <c r="AD1202" s="59">
        <v>1198</v>
      </c>
      <c r="AE1202" s="61">
        <f t="shared" ca="1" si="234"/>
        <v>1.4739308939907254</v>
      </c>
      <c r="AF1202" s="61">
        <f t="shared" ca="1" si="234"/>
        <v>1.1172084735085261</v>
      </c>
      <c r="AG1202" s="61">
        <f t="shared" ca="1" si="234"/>
        <v>-0.25593609608488416</v>
      </c>
      <c r="AH1202" s="19"/>
      <c r="AI1202" s="61">
        <f ca="1"/>
        <v>3.1961137311398831E-2</v>
      </c>
      <c r="AJ1202" s="61">
        <f ca="1"/>
        <v>4.7354127477138519E-2</v>
      </c>
      <c r="AK1202" s="61">
        <f ca="1"/>
        <v>2.3088959261276815E-2</v>
      </c>
      <c r="AL1202" s="19"/>
      <c r="AM1202" s="61">
        <f t="shared" ca="1" si="231"/>
        <v>3.2312353633909073E-2</v>
      </c>
      <c r="AN1202" s="61">
        <f t="shared" ca="1" si="232"/>
        <v>4.7603180074055049E-2</v>
      </c>
      <c r="AO1202" s="61">
        <f t="shared" ca="1" si="233"/>
        <v>2.3520627864531633E-2</v>
      </c>
      <c r="AP1202" s="19"/>
      <c r="AQ1202" s="62">
        <f t="shared" ca="1" si="228"/>
        <v>1.0739609833206196</v>
      </c>
      <c r="AR1202" s="62">
        <f t="shared" ca="1" si="229"/>
        <v>1.2436636208925604</v>
      </c>
      <c r="AS1202" s="62">
        <f t="shared" ca="1" si="230"/>
        <v>0.60846337638229131</v>
      </c>
      <c r="AT1202" s="49"/>
    </row>
    <row r="1203" spans="1:46" x14ac:dyDescent="0.3">
      <c r="A1203" s="5">
        <v>45208</v>
      </c>
      <c r="B1203" s="6">
        <v>76.400002000000001</v>
      </c>
      <c r="C1203" s="6">
        <v>114.220001</v>
      </c>
      <c r="D1203" s="6">
        <v>126.949997</v>
      </c>
      <c r="F1203" s="13">
        <v>1200</v>
      </c>
      <c r="G1203" s="5">
        <v>45208</v>
      </c>
      <c r="H1203" s="15">
        <f t="shared" si="226"/>
        <v>2.250267037235669E-2</v>
      </c>
      <c r="I1203" s="15">
        <f t="shared" si="226"/>
        <v>4.9148509300962397E-3</v>
      </c>
      <c r="J1203" s="15">
        <f t="shared" si="226"/>
        <v>3.3138582214279431E-3</v>
      </c>
      <c r="K1203" s="22"/>
      <c r="L1203" s="13">
        <v>1200</v>
      </c>
      <c r="M1203" s="5">
        <v>45208</v>
      </c>
      <c r="N1203" s="26">
        <f t="shared" si="223"/>
        <v>1.3512557596169834</v>
      </c>
      <c r="O1203" s="26">
        <f t="shared" si="224"/>
        <v>1.0832700951580025</v>
      </c>
      <c r="P1203" s="26">
        <f t="shared" si="225"/>
        <v>1.6801217623113225</v>
      </c>
      <c r="Q1203" s="22"/>
      <c r="AD1203" s="59">
        <v>1199</v>
      </c>
      <c r="AE1203" s="61">
        <f t="shared" ca="1" si="234"/>
        <v>-0.44349590878436534</v>
      </c>
      <c r="AF1203" s="61">
        <f t="shared" ca="1" si="234"/>
        <v>2.9345612800788904E-2</v>
      </c>
      <c r="AG1203" s="61">
        <f t="shared" ca="1" si="234"/>
        <v>-0.3250983027073826</v>
      </c>
      <c r="AH1203" s="19"/>
      <c r="AI1203" s="61">
        <f ca="1"/>
        <v>-9.6168916029179211E-3</v>
      </c>
      <c r="AJ1203" s="61">
        <f ca="1"/>
        <v>-6.3038910728316763E-3</v>
      </c>
      <c r="AK1203" s="61">
        <f ca="1"/>
        <v>-1.4675232823934067E-2</v>
      </c>
      <c r="AL1203" s="19"/>
      <c r="AM1203" s="61">
        <f t="shared" ca="1" si="231"/>
        <v>-9.2656752804076772E-3</v>
      </c>
      <c r="AN1203" s="61">
        <f t="shared" ca="1" si="232"/>
        <v>-6.0548384759151457E-3</v>
      </c>
      <c r="AO1203" s="61">
        <f t="shared" ca="1" si="233"/>
        <v>-1.4243564220679248E-2</v>
      </c>
      <c r="AP1203" s="19"/>
      <c r="AQ1203" s="62">
        <f t="shared" ca="1" si="228"/>
        <v>1.0640559687738465</v>
      </c>
      <c r="AR1203" s="62">
        <f t="shared" ca="1" si="229"/>
        <v>1.2361561896273814</v>
      </c>
      <c r="AS1203" s="62">
        <f t="shared" ca="1" si="230"/>
        <v>0.59985811945478862</v>
      </c>
      <c r="AT1203" s="49"/>
    </row>
    <row r="1204" spans="1:46" x14ac:dyDescent="0.3">
      <c r="A1204" s="5">
        <v>45209</v>
      </c>
      <c r="B1204" s="6">
        <v>76.650002000000001</v>
      </c>
      <c r="C1204" s="6">
        <v>112.230003</v>
      </c>
      <c r="D1204" s="6">
        <v>130.21000699999999</v>
      </c>
      <c r="F1204" s="13">
        <v>1201</v>
      </c>
      <c r="G1204" s="5">
        <v>45209</v>
      </c>
      <c r="H1204" s="15">
        <f t="shared" si="226"/>
        <v>3.2669090599666776E-3</v>
      </c>
      <c r="I1204" s="15">
        <f t="shared" si="226"/>
        <v>-1.7576058232766176E-2</v>
      </c>
      <c r="J1204" s="15">
        <f t="shared" si="226"/>
        <v>2.5355300980611038E-2</v>
      </c>
      <c r="K1204" s="22"/>
      <c r="L1204" s="13">
        <v>1201</v>
      </c>
      <c r="M1204" s="5">
        <v>45209</v>
      </c>
      <c r="N1204" s="26">
        <f t="shared" si="223"/>
        <v>1.3556774079292995</v>
      </c>
      <c r="O1204" s="26">
        <f t="shared" si="224"/>
        <v>1.0643968216161452</v>
      </c>
      <c r="P1204" s="26">
        <f t="shared" si="225"/>
        <v>1.7232664167090106</v>
      </c>
      <c r="Q1204" s="22"/>
      <c r="AD1204" s="59">
        <v>1200</v>
      </c>
      <c r="AE1204" s="61">
        <f t="shared" ca="1" si="234"/>
        <v>1.055920337725001</v>
      </c>
      <c r="AF1204" s="61">
        <f t="shared" ca="1" si="234"/>
        <v>-0.62026271628036933</v>
      </c>
      <c r="AG1204" s="61">
        <f t="shared" ca="1" si="234"/>
        <v>-0.74360799587274684</v>
      </c>
      <c r="AH1204" s="19"/>
      <c r="AI1204" s="61">
        <f ca="1"/>
        <v>2.2896877351252364E-2</v>
      </c>
      <c r="AJ1204" s="61">
        <f ca="1"/>
        <v>3.0455806152004002E-3</v>
      </c>
      <c r="AK1204" s="61">
        <f ca="1"/>
        <v>-7.817579685422564E-3</v>
      </c>
      <c r="AL1204" s="19"/>
      <c r="AM1204" s="61">
        <f t="shared" ca="1" si="231"/>
        <v>2.3248093673762609E-2</v>
      </c>
      <c r="AN1204" s="61">
        <f t="shared" ca="1" si="232"/>
        <v>3.2946332121169307E-3</v>
      </c>
      <c r="AO1204" s="61">
        <f t="shared" ca="1" si="233"/>
        <v>-7.3859110821677459E-3</v>
      </c>
      <c r="AP1204" s="19"/>
      <c r="AQ1204" s="62">
        <f t="shared" ca="1" si="228"/>
        <v>1.0890830301477428</v>
      </c>
      <c r="AR1204" s="62">
        <f t="shared" ca="1" si="229"/>
        <v>1.2402355872344915</v>
      </c>
      <c r="AS1204" s="62">
        <f t="shared" ca="1" si="230"/>
        <v>0.59544394214983187</v>
      </c>
      <c r="AT1204" s="49"/>
    </row>
    <row r="1205" spans="1:46" x14ac:dyDescent="0.3">
      <c r="A1205" s="5">
        <v>45210</v>
      </c>
      <c r="B1205" s="6">
        <v>77</v>
      </c>
      <c r="C1205" s="6">
        <v>111.82</v>
      </c>
      <c r="D1205" s="6">
        <v>129.60000600000001</v>
      </c>
      <c r="F1205" s="13">
        <v>1202</v>
      </c>
      <c r="G1205" s="5">
        <v>45210</v>
      </c>
      <c r="H1205" s="15">
        <f t="shared" si="226"/>
        <v>4.555790443232211E-3</v>
      </c>
      <c r="I1205" s="15">
        <f t="shared" si="226"/>
        <v>-3.6599281604855127E-3</v>
      </c>
      <c r="J1205" s="15">
        <f t="shared" si="226"/>
        <v>-4.6957552854777216E-3</v>
      </c>
      <c r="K1205" s="22"/>
      <c r="L1205" s="13">
        <v>1202</v>
      </c>
      <c r="M1205" s="5">
        <v>45210</v>
      </c>
      <c r="N1205" s="26">
        <f t="shared" si="223"/>
        <v>1.3618676801933556</v>
      </c>
      <c r="O1205" s="26">
        <f t="shared" si="224"/>
        <v>1.060508325862892</v>
      </c>
      <c r="P1205" s="26">
        <f t="shared" si="225"/>
        <v>1.7151933487346045</v>
      </c>
      <c r="Q1205" s="22"/>
      <c r="AD1205" s="59">
        <v>1201</v>
      </c>
      <c r="AE1205" s="61">
        <f t="shared" ca="1" si="234"/>
        <v>0.49325766431853652</v>
      </c>
      <c r="AF1205" s="61">
        <f t="shared" ca="1" si="234"/>
        <v>-0.76590098034537324</v>
      </c>
      <c r="AG1205" s="61">
        <f t="shared" ca="1" si="234"/>
        <v>1.7983134885752379E-2</v>
      </c>
      <c r="AH1205" s="19"/>
      <c r="AI1205" s="61">
        <f ca="1"/>
        <v>1.0695939683101466E-2</v>
      </c>
      <c r="AJ1205" s="61">
        <f ca="1"/>
        <v>-8.9270015554949681E-3</v>
      </c>
      <c r="AK1205" s="61">
        <f ca="1"/>
        <v>2.3550509053490692E-3</v>
      </c>
      <c r="AL1205" s="19"/>
      <c r="AM1205" s="61">
        <f t="shared" ca="1" si="231"/>
        <v>1.104715600561171E-2</v>
      </c>
      <c r="AN1205" s="61">
        <f t="shared" ca="1" si="232"/>
        <v>-8.6779489585784367E-3</v>
      </c>
      <c r="AO1205" s="61">
        <f t="shared" ca="1" si="233"/>
        <v>2.7867195086038873E-3</v>
      </c>
      <c r="AP1205" s="19"/>
      <c r="AQ1205" s="62">
        <f t="shared" ca="1" si="228"/>
        <v>1.1011810013366168</v>
      </c>
      <c r="AR1205" s="62">
        <f t="shared" ca="1" si="229"/>
        <v>1.2295194504058191</v>
      </c>
      <c r="AS1205" s="62">
        <f t="shared" ca="1" si="230"/>
        <v>0.59710559159983312</v>
      </c>
      <c r="AT1205" s="49"/>
    </row>
    <row r="1206" spans="1:46" x14ac:dyDescent="0.3">
      <c r="A1206" s="5">
        <v>45211</v>
      </c>
      <c r="B1206" s="6">
        <v>77.099997999999999</v>
      </c>
      <c r="C1206" s="6">
        <v>109.80999799999999</v>
      </c>
      <c r="D1206" s="6">
        <v>126.230003</v>
      </c>
      <c r="F1206" s="13">
        <v>1203</v>
      </c>
      <c r="G1206" s="5">
        <v>45211</v>
      </c>
      <c r="H1206" s="15">
        <f t="shared" si="226"/>
        <v>1.2978327752623845E-3</v>
      </c>
      <c r="I1206" s="15">
        <f t="shared" si="226"/>
        <v>-1.8138854202155004E-2</v>
      </c>
      <c r="J1206" s="15">
        <f t="shared" si="226"/>
        <v>-2.6347166683558482E-2</v>
      </c>
      <c r="K1206" s="22"/>
      <c r="L1206" s="13">
        <v>1203</v>
      </c>
      <c r="M1206" s="5">
        <v>45211</v>
      </c>
      <c r="N1206" s="26">
        <f t="shared" si="223"/>
        <v>1.3636363041450954</v>
      </c>
      <c r="O1206" s="26">
        <f t="shared" si="224"/>
        <v>1.0414453330530096</v>
      </c>
      <c r="P1206" s="26">
        <f t="shared" si="225"/>
        <v>1.6705929902221544</v>
      </c>
      <c r="Q1206" s="22"/>
      <c r="AD1206" s="59">
        <v>1202</v>
      </c>
      <c r="AE1206" s="61">
        <f t="shared" ca="1" si="234"/>
        <v>-0.1988011823913414</v>
      </c>
      <c r="AF1206" s="61">
        <f t="shared" ca="1" si="234"/>
        <v>0.81088648157987664</v>
      </c>
      <c r="AG1206" s="61">
        <f t="shared" ca="1" si="234"/>
        <v>0.92279586071671571</v>
      </c>
      <c r="AH1206" s="19"/>
      <c r="AI1206" s="61">
        <f ca="1"/>
        <v>-4.3108614616758877E-3</v>
      </c>
      <c r="AJ1206" s="61">
        <f ca="1"/>
        <v>1.4513739559872198E-2</v>
      </c>
      <c r="AK1206" s="61">
        <f ca="1"/>
        <v>2.6415228666359619E-2</v>
      </c>
      <c r="AL1206" s="19"/>
      <c r="AM1206" s="61">
        <f t="shared" ca="1" si="231"/>
        <v>-3.9596451391656438E-3</v>
      </c>
      <c r="AN1206" s="61">
        <f t="shared" ca="1" si="232"/>
        <v>1.476279215678873E-2</v>
      </c>
      <c r="AO1206" s="61">
        <f t="shared" ca="1" si="233"/>
        <v>2.6846897269614436E-2</v>
      </c>
      <c r="AP1206" s="19"/>
      <c r="AQ1206" s="62">
        <f t="shared" ca="1" si="228"/>
        <v>1.0968293365472328</v>
      </c>
      <c r="AR1206" s="62">
        <f t="shared" ca="1" si="229"/>
        <v>1.2478052330097611</v>
      </c>
      <c r="AS1206" s="62">
        <f t="shared" ca="1" si="230"/>
        <v>0.6133531464293025</v>
      </c>
      <c r="AT1206" s="49"/>
    </row>
    <row r="1207" spans="1:46" x14ac:dyDescent="0.3">
      <c r="A1207" s="5">
        <v>45212</v>
      </c>
      <c r="B1207" s="6">
        <v>75.699996999999996</v>
      </c>
      <c r="C1207" s="6">
        <v>109.57</v>
      </c>
      <c r="D1207" s="6">
        <v>126.050003</v>
      </c>
      <c r="F1207" s="13">
        <v>1204</v>
      </c>
      <c r="G1207" s="5">
        <v>45212</v>
      </c>
      <c r="H1207" s="15">
        <f t="shared" si="226"/>
        <v>-1.8325133815662857E-2</v>
      </c>
      <c r="I1207" s="15">
        <f t="shared" si="226"/>
        <v>-2.187966979042358E-3</v>
      </c>
      <c r="J1207" s="15">
        <f t="shared" si="226"/>
        <v>-1.4269860969032297E-3</v>
      </c>
      <c r="K1207" s="22"/>
      <c r="L1207" s="13">
        <v>1204</v>
      </c>
      <c r="M1207" s="5">
        <v>45212</v>
      </c>
      <c r="N1207" s="26">
        <f t="shared" si="223"/>
        <v>1.3388750559095322</v>
      </c>
      <c r="O1207" s="26">
        <f t="shared" si="224"/>
        <v>1.0391691760400383</v>
      </c>
      <c r="P1207" s="26">
        <f t="shared" si="225"/>
        <v>1.6682107773480885</v>
      </c>
      <c r="Q1207" s="22"/>
      <c r="AD1207" s="59">
        <v>1203</v>
      </c>
      <c r="AE1207" s="61">
        <f t="shared" ca="1" si="234"/>
        <v>-0.62652312253482301</v>
      </c>
      <c r="AF1207" s="61">
        <f t="shared" ca="1" si="234"/>
        <v>-0.28178598029472912</v>
      </c>
      <c r="AG1207" s="61">
        <f t="shared" ca="1" si="234"/>
        <v>-1.0106863951692131</v>
      </c>
      <c r="AH1207" s="19"/>
      <c r="AI1207" s="61">
        <f ca="1"/>
        <v>-1.3585705835831295E-2</v>
      </c>
      <c r="AJ1207" s="61">
        <f ca="1"/>
        <v>-1.5931456657878252E-2</v>
      </c>
      <c r="AK1207" s="61">
        <f ca="1"/>
        <v>-3.713542801558032E-2</v>
      </c>
      <c r="AL1207" s="19"/>
      <c r="AM1207" s="61">
        <f t="shared" ca="1" si="231"/>
        <v>-1.3234489513321051E-2</v>
      </c>
      <c r="AN1207" s="61">
        <f t="shared" ca="1" si="232"/>
        <v>-1.5682404060961722E-2</v>
      </c>
      <c r="AO1207" s="61">
        <f t="shared" ca="1" si="233"/>
        <v>-3.6703759412325503E-2</v>
      </c>
      <c r="AP1207" s="19"/>
      <c r="AQ1207" s="62">
        <f t="shared" ca="1" si="228"/>
        <v>1.0824089936118397</v>
      </c>
      <c r="AR1207" s="62">
        <f t="shared" ca="1" si="229"/>
        <v>1.2283892894172097</v>
      </c>
      <c r="AS1207" s="62">
        <f t="shared" ca="1" si="230"/>
        <v>0.59124891574044003</v>
      </c>
      <c r="AT1207" s="49"/>
    </row>
    <row r="1208" spans="1:46" x14ac:dyDescent="0.3">
      <c r="A1208" s="5">
        <v>45215</v>
      </c>
      <c r="B1208" s="6">
        <v>76.370002999999997</v>
      </c>
      <c r="C1208" s="6">
        <v>111.83000199999999</v>
      </c>
      <c r="D1208" s="6">
        <v>129.199997</v>
      </c>
      <c r="F1208" s="13">
        <v>1205</v>
      </c>
      <c r="G1208" s="5">
        <v>45215</v>
      </c>
      <c r="H1208" s="15">
        <f t="shared" si="226"/>
        <v>8.8118673694493957E-3</v>
      </c>
      <c r="I1208" s="15">
        <f t="shared" si="226"/>
        <v>2.0416264507083434E-2</v>
      </c>
      <c r="J1208" s="15">
        <f t="shared" si="226"/>
        <v>2.4682890694678928E-2</v>
      </c>
      <c r="K1208" s="22"/>
      <c r="L1208" s="13">
        <v>1205</v>
      </c>
      <c r="M1208" s="5">
        <v>45215</v>
      </c>
      <c r="N1208" s="26">
        <f t="shared" si="223"/>
        <v>1.3507251795060988</v>
      </c>
      <c r="O1208" s="26">
        <f t="shared" si="224"/>
        <v>1.0606031854969045</v>
      </c>
      <c r="P1208" s="26">
        <f t="shared" si="225"/>
        <v>1.7098994232371474</v>
      </c>
      <c r="Q1208" s="22"/>
      <c r="AD1208" s="59">
        <v>1204</v>
      </c>
      <c r="AE1208" s="61">
        <f t="shared" ca="1" si="234"/>
        <v>0.15641323765195672</v>
      </c>
      <c r="AF1208" s="61">
        <f t="shared" ca="1" si="234"/>
        <v>0.26283822141958035</v>
      </c>
      <c r="AG1208" s="61">
        <f t="shared" ca="1" si="234"/>
        <v>-5.7868593443305512E-3</v>
      </c>
      <c r="AH1208" s="19"/>
      <c r="AI1208" s="61">
        <f ca="1"/>
        <v>3.3917091949808224E-3</v>
      </c>
      <c r="AJ1208" s="61">
        <f ca="1"/>
        <v>8.1612890605106854E-3</v>
      </c>
      <c r="AK1208" s="61">
        <f ca="1"/>
        <v>4.013859759871917E-3</v>
      </c>
      <c r="AL1208" s="19"/>
      <c r="AM1208" s="61">
        <f t="shared" ca="1" si="231"/>
        <v>3.7429255174910667E-3</v>
      </c>
      <c r="AN1208" s="61">
        <f t="shared" ca="1" si="232"/>
        <v>8.4103416574272168E-3</v>
      </c>
      <c r="AO1208" s="61">
        <f t="shared" ca="1" si="233"/>
        <v>4.4455283631267351E-3</v>
      </c>
      <c r="AP1208" s="19"/>
      <c r="AQ1208" s="62">
        <f t="shared" ca="1" si="228"/>
        <v>1.0864679613226293</v>
      </c>
      <c r="AR1208" s="62">
        <f t="shared" ca="1" si="229"/>
        <v>1.2387640294298892</v>
      </c>
      <c r="AS1208" s="62">
        <f t="shared" ca="1" si="230"/>
        <v>0.59388318057620137</v>
      </c>
      <c r="AT1208" s="49"/>
    </row>
    <row r="1209" spans="1:46" x14ac:dyDescent="0.3">
      <c r="A1209" s="5">
        <v>45216</v>
      </c>
      <c r="B1209" s="6">
        <v>76.970000999999996</v>
      </c>
      <c r="C1209" s="6">
        <v>116.07</v>
      </c>
      <c r="D1209" s="6">
        <v>130.720001</v>
      </c>
      <c r="F1209" s="13">
        <v>1206</v>
      </c>
      <c r="G1209" s="5">
        <v>45216</v>
      </c>
      <c r="H1209" s="15">
        <f t="shared" si="226"/>
        <v>7.8257603555680795E-3</v>
      </c>
      <c r="I1209" s="15">
        <f t="shared" si="226"/>
        <v>3.721357845614575E-2</v>
      </c>
      <c r="J1209" s="15">
        <f t="shared" si="226"/>
        <v>1.1696070632944542E-2</v>
      </c>
      <c r="K1209" s="22"/>
      <c r="L1209" s="13">
        <v>1206</v>
      </c>
      <c r="M1209" s="5">
        <v>45216</v>
      </c>
      <c r="N1209" s="26">
        <f t="shared" si="223"/>
        <v>1.3613371000824708</v>
      </c>
      <c r="O1209" s="26">
        <f t="shared" si="224"/>
        <v>1.1008156088616159</v>
      </c>
      <c r="P1209" s="26">
        <f t="shared" si="225"/>
        <v>1.7300159404451017</v>
      </c>
      <c r="Q1209" s="22"/>
      <c r="AD1209" s="59">
        <v>1205</v>
      </c>
      <c r="AE1209" s="61">
        <f t="shared" ca="1" si="234"/>
        <v>1.1316726627707068</v>
      </c>
      <c r="AF1209" s="61">
        <f t="shared" ca="1" si="234"/>
        <v>0.1133188785568276</v>
      </c>
      <c r="AG1209" s="61">
        <f t="shared" ca="1" si="234"/>
        <v>1.9471727567339711E-2</v>
      </c>
      <c r="AH1209" s="19"/>
      <c r="AI1209" s="61">
        <f ca="1"/>
        <v>2.4539512343377545E-2</v>
      </c>
      <c r="AJ1209" s="61">
        <f ca="1"/>
        <v>2.0176424070278771E-2</v>
      </c>
      <c r="AK1209" s="61">
        <f ca="1"/>
        <v>1.8017990081784806E-2</v>
      </c>
      <c r="AL1209" s="19"/>
      <c r="AM1209" s="61">
        <f t="shared" ca="1" si="231"/>
        <v>2.489072866588779E-2</v>
      </c>
      <c r="AN1209" s="61">
        <f t="shared" ca="1" si="232"/>
        <v>2.04254766671953E-2</v>
      </c>
      <c r="AO1209" s="61">
        <f t="shared" ca="1" si="233"/>
        <v>1.8449658685039623E-2</v>
      </c>
      <c r="AP1209" s="19"/>
      <c r="AQ1209" s="62">
        <f t="shared" ca="1" si="228"/>
        <v>1.1138503101499972</v>
      </c>
      <c r="AR1209" s="62">
        <f t="shared" ca="1" si="229"/>
        <v>1.2643265498234437</v>
      </c>
      <c r="AS1209" s="62">
        <f t="shared" ca="1" si="230"/>
        <v>0.60494182295962495</v>
      </c>
      <c r="AT1209" s="49"/>
    </row>
    <row r="1210" spans="1:46" x14ac:dyDescent="0.3">
      <c r="A1210" s="5">
        <v>45217</v>
      </c>
      <c r="B1210" s="6">
        <v>75.550003000000004</v>
      </c>
      <c r="C1210" s="6">
        <v>116.30999799999999</v>
      </c>
      <c r="D1210" s="6">
        <v>134.029999</v>
      </c>
      <c r="F1210" s="13">
        <v>1207</v>
      </c>
      <c r="G1210" s="5">
        <v>45217</v>
      </c>
      <c r="H1210" s="15">
        <f t="shared" si="226"/>
        <v>-1.8621020110750786E-2</v>
      </c>
      <c r="I1210" s="15">
        <f t="shared" si="226"/>
        <v>2.0655657749900163E-3</v>
      </c>
      <c r="J1210" s="15">
        <f t="shared" si="226"/>
        <v>2.5006009267757513E-2</v>
      </c>
      <c r="K1210" s="22"/>
      <c r="L1210" s="13">
        <v>1207</v>
      </c>
      <c r="M1210" s="5">
        <v>45217</v>
      </c>
      <c r="N1210" s="26">
        <f t="shared" si="223"/>
        <v>1.3362221730417021</v>
      </c>
      <c r="O1210" s="26">
        <f t="shared" si="224"/>
        <v>1.1030917658745869</v>
      </c>
      <c r="P1210" s="26">
        <f t="shared" si="225"/>
        <v>1.7738221618269501</v>
      </c>
      <c r="Q1210" s="22"/>
      <c r="AD1210" s="59">
        <v>1206</v>
      </c>
      <c r="AE1210" s="61">
        <f t="shared" ca="1" si="234"/>
        <v>-8.2234745084108385E-2</v>
      </c>
      <c r="AF1210" s="61">
        <f t="shared" ca="1" si="234"/>
        <v>1.0618634733202683</v>
      </c>
      <c r="AG1210" s="61">
        <f t="shared" ca="1" si="234"/>
        <v>-1.1938778642201209</v>
      </c>
      <c r="AH1210" s="19"/>
      <c r="AI1210" s="61">
        <f ca="1"/>
        <v>-1.783201634565648E-3</v>
      </c>
      <c r="AJ1210" s="61">
        <f ca="1"/>
        <v>2.1793517139229418E-2</v>
      </c>
      <c r="AK1210" s="61">
        <f ca="1"/>
        <v>-2.4324028794624572E-2</v>
      </c>
      <c r="AL1210" s="19"/>
      <c r="AM1210" s="61">
        <f t="shared" ca="1" si="231"/>
        <v>-1.4319853120554039E-3</v>
      </c>
      <c r="AN1210" s="61">
        <f t="shared" ca="1" si="232"/>
        <v>2.2042569736145948E-2</v>
      </c>
      <c r="AO1210" s="61">
        <f t="shared" ca="1" si="233"/>
        <v>-2.3892360191369755E-2</v>
      </c>
      <c r="AP1210" s="19"/>
      <c r="AQ1210" s="62">
        <f t="shared" ca="1" si="228"/>
        <v>1.1122564343417718</v>
      </c>
      <c r="AR1210" s="62">
        <f t="shared" ca="1" si="229"/>
        <v>1.2925049775227189</v>
      </c>
      <c r="AS1210" s="62">
        <f t="shared" ca="1" si="230"/>
        <v>0.59065963205847583</v>
      </c>
      <c r="AT1210" s="49"/>
    </row>
    <row r="1211" spans="1:46" x14ac:dyDescent="0.3">
      <c r="A1211" s="5">
        <v>45218</v>
      </c>
      <c r="B1211" s="6">
        <v>74.470000999999996</v>
      </c>
      <c r="C1211" s="6">
        <v>117.050003</v>
      </c>
      <c r="D1211" s="6">
        <v>132.41999799999999</v>
      </c>
      <c r="F1211" s="13">
        <v>1208</v>
      </c>
      <c r="G1211" s="5">
        <v>45218</v>
      </c>
      <c r="H1211" s="15">
        <f t="shared" si="226"/>
        <v>-1.4398355276769789E-2</v>
      </c>
      <c r="I1211" s="15">
        <f t="shared" si="226"/>
        <v>6.342196411470896E-3</v>
      </c>
      <c r="J1211" s="15">
        <f t="shared" si="226"/>
        <v>-1.208497363614796E-2</v>
      </c>
      <c r="K1211" s="22"/>
      <c r="L1211" s="13">
        <v>1208</v>
      </c>
      <c r="M1211" s="5">
        <v>45218</v>
      </c>
      <c r="N1211" s="26">
        <f t="shared" si="223"/>
        <v>1.3171206169593099</v>
      </c>
      <c r="O1211" s="26">
        <f t="shared" si="224"/>
        <v>1.110110022569992</v>
      </c>
      <c r="P1211" s="26">
        <f t="shared" si="225"/>
        <v>1.7525145778855102</v>
      </c>
      <c r="Q1211" s="22"/>
      <c r="AD1211" s="59">
        <v>1207</v>
      </c>
      <c r="AE1211" s="61">
        <f t="shared" ca="1" si="234"/>
        <v>-0.41920103897453193</v>
      </c>
      <c r="AF1211" s="61">
        <f t="shared" ca="1" si="234"/>
        <v>-1.0617530864735818</v>
      </c>
      <c r="AG1211" s="61">
        <f t="shared" ca="1" si="234"/>
        <v>1.1437071047111689</v>
      </c>
      <c r="AH1211" s="19"/>
      <c r="AI1211" s="61">
        <f ca="1"/>
        <v>-9.0900747262784333E-3</v>
      </c>
      <c r="AJ1211" s="61">
        <f ca="1"/>
        <v>-2.9639760105012757E-2</v>
      </c>
      <c r="AK1211" s="61">
        <f ca="1"/>
        <v>1.5630446061688653E-2</v>
      </c>
      <c r="AL1211" s="19"/>
      <c r="AM1211" s="61">
        <f t="shared" ca="1" si="231"/>
        <v>-8.7388584037681894E-3</v>
      </c>
      <c r="AN1211" s="61">
        <f t="shared" ca="1" si="232"/>
        <v>-2.9390707508096227E-2</v>
      </c>
      <c r="AO1211" s="61">
        <f t="shared" ca="1" si="233"/>
        <v>1.6062114664943471E-2</v>
      </c>
      <c r="AP1211" s="19"/>
      <c r="AQ1211" s="62">
        <f t="shared" ca="1" si="228"/>
        <v>1.1025789296124211</v>
      </c>
      <c r="AR1211" s="62">
        <f t="shared" ca="1" si="229"/>
        <v>1.2550701544308986</v>
      </c>
      <c r="AS1211" s="62">
        <f t="shared" ca="1" si="230"/>
        <v>0.60022347696831324</v>
      </c>
      <c r="AT1211" s="49"/>
    </row>
    <row r="1212" spans="1:46" x14ac:dyDescent="0.3">
      <c r="A1212" s="5">
        <v>45219</v>
      </c>
      <c r="B1212" s="6">
        <v>73.660004000000001</v>
      </c>
      <c r="C1212" s="6">
        <v>115.790001</v>
      </c>
      <c r="D1212" s="6">
        <v>131.179993</v>
      </c>
      <c r="F1212" s="13">
        <v>1209</v>
      </c>
      <c r="G1212" s="5">
        <v>45219</v>
      </c>
      <c r="H1212" s="15">
        <f t="shared" si="226"/>
        <v>-1.0936407830305502E-2</v>
      </c>
      <c r="I1212" s="15">
        <f t="shared" si="226"/>
        <v>-1.0823005306486029E-2</v>
      </c>
      <c r="J1212" s="15">
        <f t="shared" si="226"/>
        <v>-9.4083018894461808E-3</v>
      </c>
      <c r="K1212" s="22"/>
      <c r="L1212" s="13">
        <v>1209</v>
      </c>
      <c r="M1212" s="5">
        <v>45219</v>
      </c>
      <c r="N1212" s="26">
        <f t="shared" si="223"/>
        <v>1.3027945294871857</v>
      </c>
      <c r="O1212" s="26">
        <f t="shared" si="224"/>
        <v>1.0981600797010607</v>
      </c>
      <c r="P1212" s="26">
        <f t="shared" si="225"/>
        <v>1.7361037119138094</v>
      </c>
      <c r="Q1212" s="22"/>
      <c r="AD1212" s="59">
        <v>1208</v>
      </c>
      <c r="AE1212" s="61">
        <f t="shared" ca="1" si="234"/>
        <v>-0.40067210345784193</v>
      </c>
      <c r="AF1212" s="61">
        <f t="shared" ca="1" si="234"/>
        <v>1.6701797221438393</v>
      </c>
      <c r="AG1212" s="61">
        <f t="shared" ca="1" si="234"/>
        <v>1.3717234636614202</v>
      </c>
      <c r="AH1212" s="19"/>
      <c r="AI1212" s="61">
        <f ca="1"/>
        <v>-8.688288011109201E-3</v>
      </c>
      <c r="AJ1212" s="61">
        <f ca="1"/>
        <v>3.0031600698510477E-2</v>
      </c>
      <c r="AK1212" s="61">
        <f ca="1"/>
        <v>4.0985519471147938E-2</v>
      </c>
      <c r="AL1212" s="19"/>
      <c r="AM1212" s="61">
        <f t="shared" ca="1" si="231"/>
        <v>-8.3370716885989571E-3</v>
      </c>
      <c r="AN1212" s="61">
        <f t="shared" ca="1" si="232"/>
        <v>3.0280653295427007E-2</v>
      </c>
      <c r="AO1212" s="61">
        <f t="shared" ca="1" si="233"/>
        <v>4.1417188074402755E-2</v>
      </c>
      <c r="AP1212" s="19"/>
      <c r="AQ1212" s="62">
        <f t="shared" ca="1" si="228"/>
        <v>1.0934248621147948</v>
      </c>
      <c r="AR1212" s="62">
        <f t="shared" ca="1" si="229"/>
        <v>1.2936557488686735</v>
      </c>
      <c r="AS1212" s="62">
        <f t="shared" ca="1" si="230"/>
        <v>0.6256050338022322</v>
      </c>
      <c r="AT1212" s="49"/>
    </row>
    <row r="1213" spans="1:46" x14ac:dyDescent="0.3">
      <c r="A1213" s="5">
        <v>45222</v>
      </c>
      <c r="B1213" s="6">
        <v>72.459998999999996</v>
      </c>
      <c r="C1213" s="6">
        <v>116.05999799999999</v>
      </c>
      <c r="D1213" s="6">
        <v>130.729996</v>
      </c>
      <c r="F1213" s="13">
        <v>1210</v>
      </c>
      <c r="G1213" s="5">
        <v>45222</v>
      </c>
      <c r="H1213" s="15">
        <f t="shared" si="226"/>
        <v>-1.6425293654261302E-2</v>
      </c>
      <c r="I1213" s="15">
        <f t="shared" si="226"/>
        <v>2.3290672694899523E-3</v>
      </c>
      <c r="J1213" s="15">
        <f t="shared" si="226"/>
        <v>-3.4362755274413501E-3</v>
      </c>
      <c r="K1213" s="22"/>
      <c r="L1213" s="13">
        <v>1210</v>
      </c>
      <c r="M1213" s="5">
        <v>45222</v>
      </c>
      <c r="N1213" s="26">
        <f t="shared" si="223"/>
        <v>1.2815705291551021</v>
      </c>
      <c r="O1213" s="26">
        <f t="shared" si="224"/>
        <v>1.1007207492276032</v>
      </c>
      <c r="P1213" s="26">
        <f t="shared" si="225"/>
        <v>1.7301482194321922</v>
      </c>
      <c r="Q1213" s="22"/>
      <c r="AD1213" s="59">
        <v>1209</v>
      </c>
      <c r="AE1213" s="61">
        <f t="shared" ca="1" si="234"/>
        <v>-0.45413009335166765</v>
      </c>
      <c r="AF1213" s="61">
        <f t="shared" ca="1" si="234"/>
        <v>-1.7091758383493323</v>
      </c>
      <c r="AG1213" s="61">
        <f t="shared" ca="1" si="234"/>
        <v>0.74867099454270236</v>
      </c>
      <c r="AH1213" s="19"/>
      <c r="AI1213" s="61">
        <f ca="1"/>
        <v>-9.8474862899117378E-3</v>
      </c>
      <c r="AJ1213" s="61">
        <f ca="1"/>
        <v>-4.4258873804611659E-2</v>
      </c>
      <c r="AK1213" s="61">
        <f ca="1"/>
        <v>4.3409352565542889E-4</v>
      </c>
      <c r="AL1213" s="19"/>
      <c r="AM1213" s="61">
        <f t="shared" ca="1" si="231"/>
        <v>-9.4962699674014939E-3</v>
      </c>
      <c r="AN1213" s="61">
        <f t="shared" ca="1" si="232"/>
        <v>-4.400982120769513E-2</v>
      </c>
      <c r="AO1213" s="61">
        <f t="shared" ca="1" si="233"/>
        <v>8.6576212891024712E-4</v>
      </c>
      <c r="AP1213" s="19"/>
      <c r="AQ1213" s="62">
        <f t="shared" ca="1" si="228"/>
        <v>1.0830905508016573</v>
      </c>
      <c r="AR1213" s="62">
        <f t="shared" ca="1" si="229"/>
        <v>1.2379568301967836</v>
      </c>
      <c r="AS1213" s="62">
        <f t="shared" ca="1" si="230"/>
        <v>0.62614689347510011</v>
      </c>
      <c r="AT1213" s="49"/>
    </row>
    <row r="1214" spans="1:46" x14ac:dyDescent="0.3">
      <c r="A1214" s="5">
        <v>45223</v>
      </c>
      <c r="B1214" s="6">
        <v>72.129997000000003</v>
      </c>
      <c r="C1214" s="6">
        <v>116.68</v>
      </c>
      <c r="D1214" s="6">
        <v>128.800003</v>
      </c>
      <c r="F1214" s="13">
        <v>1211</v>
      </c>
      <c r="G1214" s="5">
        <v>45223</v>
      </c>
      <c r="H1214" s="15">
        <f t="shared" si="226"/>
        <v>-4.5646667422037128E-3</v>
      </c>
      <c r="I1214" s="15">
        <f t="shared" si="226"/>
        <v>5.3278634695246583E-3</v>
      </c>
      <c r="J1214" s="15">
        <f t="shared" si="226"/>
        <v>-1.4873260014175209E-2</v>
      </c>
      <c r="K1214" s="22"/>
      <c r="L1214" s="13">
        <v>1211</v>
      </c>
      <c r="M1214" s="5">
        <v>45223</v>
      </c>
      <c r="N1214" s="26">
        <f t="shared" si="223"/>
        <v>1.2757339180096585</v>
      </c>
      <c r="O1214" s="26">
        <f t="shared" si="224"/>
        <v>1.1066008894802564</v>
      </c>
      <c r="P1214" s="26">
        <f t="shared" si="225"/>
        <v>1.7046056962574299</v>
      </c>
      <c r="Q1214" s="22"/>
      <c r="AD1214" s="59">
        <v>1210</v>
      </c>
      <c r="AE1214" s="61">
        <f t="shared" ca="1" si="234"/>
        <v>-0.44625011599769487</v>
      </c>
      <c r="AF1214" s="61">
        <f t="shared" ca="1" si="234"/>
        <v>-1.8733455247214097</v>
      </c>
      <c r="AG1214" s="61">
        <f t="shared" ca="1" si="234"/>
        <v>-0.91605918070734405</v>
      </c>
      <c r="AH1214" s="19"/>
      <c r="AI1214" s="61">
        <f ca="1"/>
        <v>-9.6766146165871252E-3</v>
      </c>
      <c r="AJ1214" s="61">
        <f ca="1"/>
        <v>-4.7703928930660562E-2</v>
      </c>
      <c r="AK1214" s="61">
        <f ca="1"/>
        <v>-4.3255946431273701E-2</v>
      </c>
      <c r="AL1214" s="19"/>
      <c r="AM1214" s="61">
        <f t="shared" ca="1" si="231"/>
        <v>-9.3253982940768813E-3</v>
      </c>
      <c r="AN1214" s="61">
        <f t="shared" ca="1" si="232"/>
        <v>-4.7454876333744032E-2</v>
      </c>
      <c r="AO1214" s="61">
        <f t="shared" ca="1" si="233"/>
        <v>-4.2824277828018883E-2</v>
      </c>
      <c r="AP1214" s="19"/>
      <c r="AQ1214" s="62">
        <f t="shared" ca="1" si="228"/>
        <v>1.0730372484067661</v>
      </c>
      <c r="AR1214" s="62">
        <f t="shared" ca="1" si="229"/>
        <v>1.1805818695420902</v>
      </c>
      <c r="AS1214" s="62">
        <f t="shared" ca="1" si="230"/>
        <v>0.59989864734678922</v>
      </c>
      <c r="AT1214" s="49"/>
    </row>
    <row r="1215" spans="1:46" x14ac:dyDescent="0.3">
      <c r="A1215" s="5">
        <v>45224</v>
      </c>
      <c r="B1215" s="6">
        <v>73.559997999999993</v>
      </c>
      <c r="C1215" s="6">
        <v>114.150002</v>
      </c>
      <c r="D1215" s="6">
        <v>126.860001</v>
      </c>
      <c r="F1215" s="13">
        <v>1212</v>
      </c>
      <c r="G1215" s="5">
        <v>45224</v>
      </c>
      <c r="H1215" s="15">
        <f t="shared" si="226"/>
        <v>1.9631367623420642E-2</v>
      </c>
      <c r="I1215" s="15">
        <f t="shared" si="226"/>
        <v>-2.1921754502910378E-2</v>
      </c>
      <c r="J1215" s="15">
        <f t="shared" si="226"/>
        <v>-1.5176712873722053E-2</v>
      </c>
      <c r="K1215" s="22"/>
      <c r="L1215" s="13">
        <v>1212</v>
      </c>
      <c r="M1215" s="5">
        <v>45224</v>
      </c>
      <c r="N1215" s="26">
        <f t="shared" si="223"/>
        <v>1.3010257640426997</v>
      </c>
      <c r="O1215" s="26">
        <f t="shared" si="224"/>
        <v>1.0826062199809139</v>
      </c>
      <c r="P1215" s="26">
        <f t="shared" si="225"/>
        <v>1.6789307088123535</v>
      </c>
      <c r="Q1215" s="22"/>
      <c r="AD1215" s="59">
        <v>1211</v>
      </c>
      <c r="AE1215" s="61">
        <f t="shared" ca="1" si="234"/>
        <v>-0.45804162400543585</v>
      </c>
      <c r="AF1215" s="61">
        <f t="shared" ca="1" si="234"/>
        <v>1.499313611279816</v>
      </c>
      <c r="AG1215" s="61">
        <f t="shared" ca="1" si="234"/>
        <v>0.35463394330576703</v>
      </c>
      <c r="AH1215" s="19"/>
      <c r="AI1215" s="61">
        <f ca="1"/>
        <v>-9.9323050346931466E-3</v>
      </c>
      <c r="AJ1215" s="61">
        <f ca="1"/>
        <v>2.5419684781635161E-2</v>
      </c>
      <c r="AK1215" s="61">
        <f ca="1"/>
        <v>1.2876747753935365E-2</v>
      </c>
      <c r="AL1215" s="19"/>
      <c r="AM1215" s="61">
        <f t="shared" ca="1" si="231"/>
        <v>-9.5810887121829027E-3</v>
      </c>
      <c r="AN1215" s="61">
        <f t="shared" ca="1" si="232"/>
        <v>2.566873737855169E-2</v>
      </c>
      <c r="AO1215" s="61">
        <f t="shared" ca="1" si="233"/>
        <v>1.3308416357190184E-2</v>
      </c>
      <c r="AP1215" s="19"/>
      <c r="AQ1215" s="62">
        <f t="shared" ca="1" si="228"/>
        <v>1.0628054773619291</v>
      </c>
      <c r="AR1215" s="62">
        <f t="shared" ca="1" si="229"/>
        <v>1.21127819807808</v>
      </c>
      <c r="AS1215" s="62">
        <f t="shared" ca="1" si="230"/>
        <v>0.60793570998308222</v>
      </c>
      <c r="AT1215" s="49"/>
    </row>
    <row r="1216" spans="1:46" x14ac:dyDescent="0.3">
      <c r="A1216" s="5">
        <v>45225</v>
      </c>
      <c r="B1216" s="6">
        <v>73.300003000000004</v>
      </c>
      <c r="C1216" s="6">
        <v>113.269997</v>
      </c>
      <c r="D1216" s="6">
        <v>125.360001</v>
      </c>
      <c r="F1216" s="13">
        <v>1213</v>
      </c>
      <c r="G1216" s="5">
        <v>45225</v>
      </c>
      <c r="H1216" s="15">
        <f t="shared" si="226"/>
        <v>-3.5407227271309237E-3</v>
      </c>
      <c r="I1216" s="15">
        <f t="shared" si="226"/>
        <v>-7.7390677693773228E-3</v>
      </c>
      <c r="J1216" s="15">
        <f t="shared" si="226"/>
        <v>-1.1894518063664927E-2</v>
      </c>
      <c r="K1216" s="22"/>
      <c r="L1216" s="13">
        <v>1213</v>
      </c>
      <c r="M1216" s="5">
        <v>45225</v>
      </c>
      <c r="N1216" s="26">
        <f t="shared" si="223"/>
        <v>1.2964273382308573</v>
      </c>
      <c r="O1216" s="26">
        <f t="shared" si="224"/>
        <v>1.0742601939631982</v>
      </c>
      <c r="P1216" s="26">
        <f t="shared" si="225"/>
        <v>1.6590789348618036</v>
      </c>
      <c r="Q1216" s="22"/>
      <c r="AD1216" s="59">
        <v>1212</v>
      </c>
      <c r="AE1216" s="61">
        <f t="shared" ca="1" si="234"/>
        <v>-1.7674090190195246</v>
      </c>
      <c r="AF1216" s="61">
        <f t="shared" ca="1" si="234"/>
        <v>-1.5455192283713728</v>
      </c>
      <c r="AG1216" s="61">
        <f t="shared" ca="1" si="234"/>
        <v>0.51996322900380498</v>
      </c>
      <c r="AH1216" s="19"/>
      <c r="AI1216" s="61">
        <f ca="1"/>
        <v>-3.8325000563183248E-2</v>
      </c>
      <c r="AJ1216" s="61">
        <f ca="1"/>
        <v>-6.1257516372818621E-2</v>
      </c>
      <c r="AK1216" s="61">
        <f ca="1"/>
        <v>-2.3677257170645206E-2</v>
      </c>
      <c r="AL1216" s="19"/>
      <c r="AM1216" s="61">
        <f t="shared" ca="1" si="231"/>
        <v>-3.7973784240673006E-2</v>
      </c>
      <c r="AN1216" s="61">
        <f t="shared" ca="1" si="232"/>
        <v>-6.1008463775902091E-2</v>
      </c>
      <c r="AO1216" s="61">
        <f t="shared" ca="1" si="233"/>
        <v>-2.3245588567390389E-2</v>
      </c>
      <c r="AP1216" s="19"/>
      <c r="AQ1216" s="62">
        <f t="shared" ca="1" si="228"/>
        <v>1.0232034104091243</v>
      </c>
      <c r="AR1216" s="62">
        <f t="shared" ca="1" si="229"/>
        <v>1.1395890333188503</v>
      </c>
      <c r="AS1216" s="62">
        <f t="shared" ca="1" si="230"/>
        <v>0.59396687252558711</v>
      </c>
      <c r="AT1216" s="49"/>
    </row>
    <row r="1217" spans="1:46" x14ac:dyDescent="0.3">
      <c r="A1217" s="5">
        <v>45226</v>
      </c>
      <c r="B1217" s="6">
        <v>72.989998</v>
      </c>
      <c r="C1217" s="6">
        <v>109.82</v>
      </c>
      <c r="D1217" s="6">
        <v>123.55999799999999</v>
      </c>
      <c r="F1217" s="13">
        <v>1214</v>
      </c>
      <c r="G1217" s="5">
        <v>45226</v>
      </c>
      <c r="H1217" s="15">
        <f t="shared" si="226"/>
        <v>-4.2382317577727294E-3</v>
      </c>
      <c r="I1217" s="15">
        <f t="shared" si="226"/>
        <v>-3.0931660876506454E-2</v>
      </c>
      <c r="J1217" s="15">
        <f t="shared" si="226"/>
        <v>-1.4462754160878883E-2</v>
      </c>
      <c r="K1217" s="22"/>
      <c r="L1217" s="13">
        <v>1214</v>
      </c>
      <c r="M1217" s="5">
        <v>45226</v>
      </c>
      <c r="N1217" s="26">
        <f t="shared" si="223"/>
        <v>1.290944405890619</v>
      </c>
      <c r="O1217" s="26">
        <f t="shared" si="224"/>
        <v>1.041540192687022</v>
      </c>
      <c r="P1217" s="26">
        <f t="shared" si="225"/>
        <v>1.6352567664175959</v>
      </c>
      <c r="Q1217" s="22"/>
      <c r="AD1217" s="59">
        <v>1213</v>
      </c>
      <c r="AE1217" s="61">
        <f t="shared" ca="1" si="234"/>
        <v>-0.66897869327121617</v>
      </c>
      <c r="AF1217" s="61">
        <f t="shared" ca="1" si="234"/>
        <v>2.6062737094100665</v>
      </c>
      <c r="AG1217" s="61">
        <f t="shared" ca="1" si="234"/>
        <v>-1.1599359621221976</v>
      </c>
      <c r="AH1217" s="19"/>
      <c r="AI1217" s="61">
        <f ca="1"/>
        <v>-1.4506324523906778E-2</v>
      </c>
      <c r="AJ1217" s="61">
        <f ca="1"/>
        <v>4.6178930683072536E-2</v>
      </c>
      <c r="AK1217" s="61">
        <f ca="1"/>
        <v>-2.1247452652654673E-2</v>
      </c>
      <c r="AL1217" s="19"/>
      <c r="AM1217" s="61">
        <f t="shared" ca="1" si="231"/>
        <v>-1.4155108201396534E-2</v>
      </c>
      <c r="AN1217" s="61">
        <f t="shared" ca="1" si="232"/>
        <v>4.6427983279989066E-2</v>
      </c>
      <c r="AO1217" s="61">
        <f t="shared" ca="1" si="233"/>
        <v>-2.0815784049399856E-2</v>
      </c>
      <c r="AP1217" s="19"/>
      <c r="AQ1217" s="62">
        <f t="shared" ca="1" si="228"/>
        <v>1.0088218816022125</v>
      </c>
      <c r="AR1217" s="62">
        <f t="shared" ca="1" si="229"/>
        <v>1.1937453095149759</v>
      </c>
      <c r="AS1217" s="62">
        <f t="shared" ca="1" si="230"/>
        <v>0.58173078012165791</v>
      </c>
      <c r="AT1217" s="49"/>
    </row>
    <row r="1218" spans="1:46" x14ac:dyDescent="0.3">
      <c r="A1218" s="5">
        <v>45229</v>
      </c>
      <c r="B1218" s="6">
        <v>74.050003000000004</v>
      </c>
      <c r="C1218" s="6">
        <v>112.05999799999999</v>
      </c>
      <c r="D1218" s="6">
        <v>124.239998</v>
      </c>
      <c r="F1218" s="13">
        <v>1215</v>
      </c>
      <c r="G1218" s="5">
        <v>45229</v>
      </c>
      <c r="H1218" s="15">
        <f t="shared" si="226"/>
        <v>1.4418163164447141E-2</v>
      </c>
      <c r="I1218" s="15">
        <f t="shared" si="226"/>
        <v>2.0191762438830082E-2</v>
      </c>
      <c r="J1218" s="15">
        <f t="shared" si="226"/>
        <v>5.4883108786437512E-3</v>
      </c>
      <c r="K1218" s="22"/>
      <c r="L1218" s="13">
        <v>1215</v>
      </c>
      <c r="M1218" s="5">
        <v>45229</v>
      </c>
      <c r="N1218" s="26">
        <f t="shared" si="223"/>
        <v>1.3096922831678055</v>
      </c>
      <c r="O1218" s="26">
        <f t="shared" si="224"/>
        <v>1.0627844828758632</v>
      </c>
      <c r="P1218" s="26">
        <f t="shared" si="225"/>
        <v>1.6442562372751786</v>
      </c>
      <c r="Q1218" s="22"/>
      <c r="AD1218" s="59">
        <v>1214</v>
      </c>
      <c r="AE1218" s="61">
        <f t="shared" ca="1" si="234"/>
        <v>-0.71482024727987115</v>
      </c>
      <c r="AF1218" s="61">
        <f t="shared" ca="1" si="234"/>
        <v>-7.0282206658028243E-2</v>
      </c>
      <c r="AG1218" s="61">
        <f t="shared" ca="1" si="234"/>
        <v>-1.0056508583547243</v>
      </c>
      <c r="AH1218" s="19"/>
      <c r="AI1218" s="61">
        <f ca="1"/>
        <v>-1.5500365837656287E-2</v>
      </c>
      <c r="AJ1218" s="61">
        <f ca="1"/>
        <v>-1.2716263342747268E-2</v>
      </c>
      <c r="AK1218" s="61">
        <f ca="1"/>
        <v>-3.6821549011945287E-2</v>
      </c>
      <c r="AL1218" s="19"/>
      <c r="AM1218" s="61">
        <f t="shared" ca="1" si="231"/>
        <v>-1.5149149515146043E-2</v>
      </c>
      <c r="AN1218" s="61">
        <f t="shared" ca="1" si="232"/>
        <v>-1.2467210745830737E-2</v>
      </c>
      <c r="AO1218" s="61">
        <f ca="1">AK1218+V$3</f>
        <v>-3.638988040869047E-2</v>
      </c>
      <c r="AP1218" s="19"/>
      <c r="AQ1218" s="62">
        <f t="shared" ca="1" si="228"/>
        <v>0.99365426639435517</v>
      </c>
      <c r="AR1218" s="62">
        <f t="shared" ca="1" si="229"/>
        <v>1.1789550235428476</v>
      </c>
      <c r="AS1218" s="62">
        <f t="shared" ca="1" si="230"/>
        <v>0.56094220744859302</v>
      </c>
      <c r="AT1218" s="49"/>
    </row>
    <row r="1219" spans="1:46" x14ac:dyDescent="0.3">
      <c r="A1219" s="5">
        <v>45230</v>
      </c>
      <c r="B1219" s="6">
        <v>74.769997000000004</v>
      </c>
      <c r="C1219" s="6">
        <v>112.529999</v>
      </c>
      <c r="D1219" s="6">
        <v>127</v>
      </c>
      <c r="F1219" s="13">
        <v>1216</v>
      </c>
      <c r="G1219" s="5">
        <v>45230</v>
      </c>
      <c r="H1219" s="15">
        <f t="shared" si="226"/>
        <v>9.6761136618056867E-3</v>
      </c>
      <c r="I1219" s="15">
        <f t="shared" si="226"/>
        <v>4.1854195858298015E-3</v>
      </c>
      <c r="J1219" s="15">
        <f t="shared" si="226"/>
        <v>2.1971923716034816E-2</v>
      </c>
      <c r="K1219" s="22"/>
      <c r="L1219" s="13">
        <v>1216</v>
      </c>
      <c r="M1219" s="5">
        <v>45230</v>
      </c>
      <c r="N1219" s="26">
        <f t="shared" si="223"/>
        <v>1.3224265241877164</v>
      </c>
      <c r="O1219" s="26">
        <f t="shared" si="224"/>
        <v>1.0672420036562593</v>
      </c>
      <c r="P1219" s="26">
        <f t="shared" si="225"/>
        <v>1.6807835278132222</v>
      </c>
      <c r="Q1219" s="22"/>
      <c r="AD1219" s="59">
        <v>1215</v>
      </c>
      <c r="AE1219" s="61">
        <f t="shared" ca="1" si="234"/>
        <v>0.95303576575337212</v>
      </c>
      <c r="AF1219" s="61">
        <f t="shared" ca="1" si="234"/>
        <v>-2.7946372239547126E-2</v>
      </c>
      <c r="AG1219" s="61">
        <f t="shared" ca="1" si="234"/>
        <v>1.5157848718206233</v>
      </c>
      <c r="AH1219" s="19"/>
      <c r="AI1219" s="61">
        <f ca="1"/>
        <v>2.0665898988958521E-2</v>
      </c>
      <c r="AJ1219" s="61">
        <f ca="1"/>
        <v>1.430979501424624E-2</v>
      </c>
      <c r="AK1219" s="61">
        <f ca="1"/>
        <v>5.271915299794544E-2</v>
      </c>
      <c r="AL1219" s="19"/>
      <c r="AM1219" s="61">
        <f t="shared" ca="1" si="231"/>
        <v>2.1017115311468767E-2</v>
      </c>
      <c r="AN1219" s="61">
        <f t="shared" ca="1" si="232"/>
        <v>1.4558847611162771E-2</v>
      </c>
      <c r="AO1219" s="61">
        <f t="shared" ca="1" si="233"/>
        <v>5.3150821601200257E-2</v>
      </c>
      <c r="AP1219" s="19"/>
      <c r="AQ1219" s="62">
        <f t="shared" ca="1" si="228"/>
        <v>1.0147590163136289</v>
      </c>
      <c r="AR1219" s="62">
        <f t="shared" ca="1" si="229"/>
        <v>1.19624480431865</v>
      </c>
      <c r="AS1219" s="62">
        <f t="shared" ca="1" si="230"/>
        <v>0.59156330652973721</v>
      </c>
      <c r="AT1219" s="49"/>
    </row>
    <row r="1220" spans="1:46" x14ac:dyDescent="0.3">
      <c r="A1220" s="5">
        <v>45231</v>
      </c>
      <c r="B1220" s="6">
        <v>73.980002999999996</v>
      </c>
      <c r="C1220" s="6">
        <v>111.449997</v>
      </c>
      <c r="D1220" s="6">
        <v>127.730003</v>
      </c>
      <c r="F1220" s="13">
        <v>1217</v>
      </c>
      <c r="G1220" s="5">
        <v>45231</v>
      </c>
      <c r="H1220" s="15">
        <f t="shared" si="226"/>
        <v>-1.0621867932972002E-2</v>
      </c>
      <c r="I1220" s="15">
        <f t="shared" si="226"/>
        <v>-9.6438109614094669E-3</v>
      </c>
      <c r="J1220" s="15">
        <f t="shared" si="226"/>
        <v>5.7315980831368204E-3</v>
      </c>
      <c r="K1220" s="22"/>
      <c r="L1220" s="13">
        <v>1217</v>
      </c>
      <c r="M1220" s="5">
        <v>45231</v>
      </c>
      <c r="N1220" s="26">
        <f t="shared" ref="N1220:N1260" si="235">B1220/B$3</f>
        <v>1.308454221640357</v>
      </c>
      <c r="O1220" s="26">
        <f t="shared" ref="O1220:O1260" si="236">C1220/C$3</f>
        <v>1.0569991927731563</v>
      </c>
      <c r="P1220" s="26">
        <f t="shared" ref="P1220:P1260" si="237">D1220/D$3</f>
        <v>1.6904447641727043</v>
      </c>
      <c r="Q1220" s="22"/>
      <c r="AD1220" s="59">
        <v>1216</v>
      </c>
      <c r="AE1220" s="61">
        <f t="shared" ca="1" si="234"/>
        <v>0.33335173403014112</v>
      </c>
      <c r="AF1220" s="61">
        <f t="shared" ca="1" si="234"/>
        <v>-1.7251394534840605</v>
      </c>
      <c r="AG1220" s="61">
        <f t="shared" ca="1" si="234"/>
        <v>-3.0228002492558852E-2</v>
      </c>
      <c r="AH1220" s="19"/>
      <c r="AI1220" s="61">
        <f ca="1"/>
        <v>7.2284939462007678E-3</v>
      </c>
      <c r="AJ1220" s="61">
        <f ca="1"/>
        <v>-3.2279927557927475E-2</v>
      </c>
      <c r="AK1220" s="61">
        <f ca="1"/>
        <v>-7.9982129386842425E-3</v>
      </c>
      <c r="AL1220" s="19"/>
      <c r="AM1220" s="61">
        <f t="shared" ca="1" si="231"/>
        <v>7.5797102687110117E-3</v>
      </c>
      <c r="AN1220" s="61">
        <f t="shared" ca="1" si="232"/>
        <v>-3.2030874961010945E-2</v>
      </c>
      <c r="AO1220" s="61">
        <f t="shared" ca="1" si="233"/>
        <v>-7.5665443354294244E-3</v>
      </c>
      <c r="AP1220" s="19"/>
      <c r="AQ1220" s="62">
        <f t="shared" ca="1" si="228"/>
        <v>1.0224798194105051</v>
      </c>
      <c r="AR1220" s="62">
        <f t="shared" ca="1" si="229"/>
        <v>1.158535196479433</v>
      </c>
      <c r="AS1220" s="62">
        <f t="shared" ca="1" si="230"/>
        <v>0.58710410817971015</v>
      </c>
      <c r="AT1220" s="49"/>
    </row>
    <row r="1221" spans="1:46" x14ac:dyDescent="0.3">
      <c r="A1221" s="5">
        <v>45232</v>
      </c>
      <c r="B1221" s="6">
        <v>75.830001999999993</v>
      </c>
      <c r="C1221" s="6">
        <v>112.519997</v>
      </c>
      <c r="D1221" s="6">
        <v>128.96000699999999</v>
      </c>
      <c r="F1221" s="13">
        <v>1218</v>
      </c>
      <c r="G1221" s="5">
        <v>45232</v>
      </c>
      <c r="H1221" s="15">
        <f t="shared" ref="H1221:J1260" si="238">LN(B1221/B1220)</f>
        <v>2.4699192131821947E-2</v>
      </c>
      <c r="I1221" s="15">
        <f t="shared" si="238"/>
        <v>9.5549240457519433E-3</v>
      </c>
      <c r="J1221" s="15">
        <f t="shared" si="238"/>
        <v>9.5836484969855796E-3</v>
      </c>
      <c r="K1221" s="22"/>
      <c r="L1221" s="13">
        <v>1218</v>
      </c>
      <c r="M1221" s="5">
        <v>45232</v>
      </c>
      <c r="N1221" s="26">
        <f t="shared" si="235"/>
        <v>1.3411744014649027</v>
      </c>
      <c r="O1221" s="26">
        <f t="shared" si="236"/>
        <v>1.0671471440222469</v>
      </c>
      <c r="P1221" s="26">
        <f t="shared" si="237"/>
        <v>1.706723271750219</v>
      </c>
      <c r="Q1221" s="22"/>
      <c r="AD1221" s="59">
        <v>1217</v>
      </c>
      <c r="AE1221" s="61">
        <f t="shared" ref="AE1221:AG1255" ca="1" si="239">_xlfn.NORM.S.INV(RAND())</f>
        <v>0.58876143501032474</v>
      </c>
      <c r="AF1221" s="61">
        <f t="shared" ca="1" si="239"/>
        <v>0.98568462060168549</v>
      </c>
      <c r="AG1221" s="61">
        <f t="shared" ca="1" si="239"/>
        <v>0.17522711252997683</v>
      </c>
      <c r="AH1221" s="19"/>
      <c r="AI1221" s="61">
        <f ca="1"/>
        <v>1.276687064823788E-2</v>
      </c>
      <c r="AJ1221" s="61">
        <f ca="1"/>
        <v>3.0640351207335312E-2</v>
      </c>
      <c r="AK1221" s="61">
        <f ca="1"/>
        <v>2.013022764094672E-2</v>
      </c>
      <c r="AL1221" s="19"/>
      <c r="AM1221" s="61">
        <f t="shared" ca="1" si="231"/>
        <v>1.3118086970748124E-2</v>
      </c>
      <c r="AN1221" s="61">
        <f t="shared" ca="1" si="232"/>
        <v>3.0889403804251842E-2</v>
      </c>
      <c r="AO1221" s="61">
        <f t="shared" ca="1" si="233"/>
        <v>2.0561896244201537E-2</v>
      </c>
      <c r="AP1221" s="19"/>
      <c r="AQ1221" s="62">
        <f t="shared" ca="1" si="228"/>
        <v>1.0359811608797613</v>
      </c>
      <c r="AR1221" s="62">
        <f t="shared" ca="1" si="229"/>
        <v>1.1948801044090684</v>
      </c>
      <c r="AS1221" s="62">
        <f t="shared" ca="1" si="230"/>
        <v>0.59930104831818942</v>
      </c>
      <c r="AT1221" s="49"/>
    </row>
    <row r="1222" spans="1:46" x14ac:dyDescent="0.3">
      <c r="A1222" s="5">
        <v>45233</v>
      </c>
      <c r="B1222" s="6">
        <v>76.349997999999999</v>
      </c>
      <c r="C1222" s="6">
        <v>115.16999800000001</v>
      </c>
      <c r="D1222" s="6">
        <v>126.43</v>
      </c>
      <c r="F1222" s="13">
        <v>1219</v>
      </c>
      <c r="G1222" s="5">
        <v>45233</v>
      </c>
      <c r="H1222" s="15">
        <f t="shared" si="238"/>
        <v>6.8339863818577097E-3</v>
      </c>
      <c r="I1222" s="15">
        <f t="shared" si="238"/>
        <v>2.3278323355453431E-2</v>
      </c>
      <c r="J1222" s="15">
        <f t="shared" si="238"/>
        <v>-1.9813537714907247E-2</v>
      </c>
      <c r="K1222" s="22"/>
      <c r="L1222" s="13">
        <v>1219</v>
      </c>
      <c r="M1222" s="5">
        <v>45233</v>
      </c>
      <c r="N1222" s="26">
        <f t="shared" si="235"/>
        <v>1.3503713592081472</v>
      </c>
      <c r="O1222" s="26">
        <f t="shared" si="236"/>
        <v>1.0922799299643413</v>
      </c>
      <c r="P1222" s="26">
        <f t="shared" si="237"/>
        <v>1.6732398537120132</v>
      </c>
      <c r="Q1222" s="22"/>
      <c r="AD1222" s="59">
        <v>1218</v>
      </c>
      <c r="AE1222" s="61">
        <f t="shared" ca="1" si="239"/>
        <v>0.27453618886023512</v>
      </c>
      <c r="AF1222" s="61">
        <f t="shared" ca="1" si="239"/>
        <v>-0.92294592383652685</v>
      </c>
      <c r="AG1222" s="61">
        <f t="shared" ca="1" si="239"/>
        <v>-0.37487680350387942</v>
      </c>
      <c r="AH1222" s="19"/>
      <c r="AI1222" s="61">
        <f ca="1"/>
        <v>5.953120912848788E-3</v>
      </c>
      <c r="AJ1222" s="61">
        <f ca="1"/>
        <v>-1.576403565691261E-2</v>
      </c>
      <c r="AK1222" s="61">
        <f ca="1"/>
        <v>-1.2047715155338371E-2</v>
      </c>
      <c r="AL1222" s="19"/>
      <c r="AM1222" s="61">
        <f t="shared" ca="1" si="231"/>
        <v>6.3043372353590319E-3</v>
      </c>
      <c r="AN1222" s="61">
        <f t="shared" ca="1" si="232"/>
        <v>-1.5514983059996079E-2</v>
      </c>
      <c r="AO1222" s="61">
        <f t="shared" ca="1" si="233"/>
        <v>-1.1616046552083552E-2</v>
      </c>
      <c r="AP1222" s="19"/>
      <c r="AQ1222" s="62">
        <f t="shared" ref="AQ1222:AQ1254" ca="1" si="240">AQ1221*EXP(AM1222)</f>
        <v>1.0425329661825611</v>
      </c>
      <c r="AR1222" s="62">
        <f t="shared" ref="AR1222:AR1254" ca="1" si="241">AR1221*EXP(AN1222)</f>
        <v>1.1764846315588406</v>
      </c>
      <c r="AS1222" s="62">
        <f t="shared" ref="AS1222:AS1254" ca="1" si="242">AS1221*EXP(AO1222)</f>
        <v>0.59237981594570999</v>
      </c>
      <c r="AT1222" s="49"/>
    </row>
    <row r="1223" spans="1:46" x14ac:dyDescent="0.3">
      <c r="A1223" s="5">
        <v>45236</v>
      </c>
      <c r="B1223" s="6">
        <v>76.559997999999993</v>
      </c>
      <c r="C1223" s="6">
        <v>113.220001</v>
      </c>
      <c r="D1223" s="6">
        <v>125.82</v>
      </c>
      <c r="F1223" s="13">
        <v>1220</v>
      </c>
      <c r="G1223" s="5">
        <v>45236</v>
      </c>
      <c r="H1223" s="15">
        <f t="shared" si="238"/>
        <v>2.7467155519092868E-3</v>
      </c>
      <c r="I1223" s="15">
        <f t="shared" si="238"/>
        <v>-1.7076442874307023E-2</v>
      </c>
      <c r="J1223" s="15">
        <f t="shared" si="238"/>
        <v>-4.8364811819228953E-3</v>
      </c>
      <c r="K1223" s="22"/>
      <c r="L1223" s="13">
        <v>1220</v>
      </c>
      <c r="M1223" s="5">
        <v>45236</v>
      </c>
      <c r="N1223" s="26">
        <f t="shared" si="235"/>
        <v>1.3540855437904926</v>
      </c>
      <c r="O1223" s="26">
        <f t="shared" si="236"/>
        <v>1.0737860285700676</v>
      </c>
      <c r="P1223" s="26">
        <f t="shared" si="237"/>
        <v>1.6651667989721228</v>
      </c>
      <c r="Q1223" s="22"/>
      <c r="AD1223" s="59">
        <v>1219</v>
      </c>
      <c r="AE1223" s="61">
        <f t="shared" ca="1" si="239"/>
        <v>0.48437540068490215</v>
      </c>
      <c r="AF1223" s="61">
        <f t="shared" ca="1" si="239"/>
        <v>-0.80850083738653244</v>
      </c>
      <c r="AG1223" s="61">
        <f t="shared" ca="1" si="239"/>
        <v>0.17489841164396203</v>
      </c>
      <c r="AH1223" s="19"/>
      <c r="AI1223" s="61">
        <f ca="1"/>
        <v>1.050333414861674E-2</v>
      </c>
      <c r="AJ1223" s="61">
        <f ca="1"/>
        <v>-9.9919809902901547E-3</v>
      </c>
      <c r="AK1223" s="61">
        <f ca="1"/>
        <v>5.9439651386890887E-3</v>
      </c>
      <c r="AL1223" s="19"/>
      <c r="AM1223" s="61">
        <f t="shared" ref="AM1223:AM1253" ca="1" si="243">AI1223+T$3</f>
        <v>1.0854550471126984E-2</v>
      </c>
      <c r="AN1223" s="61">
        <f t="shared" ref="AN1223:AN1254" ca="1" si="244">AJ1223+U$3</f>
        <v>-9.7429283933736233E-3</v>
      </c>
      <c r="AO1223" s="61">
        <f t="shared" ref="AO1223:AO1253" ca="1" si="245">AK1223+V$3</f>
        <v>6.3756337419439068E-3</v>
      </c>
      <c r="AP1223" s="19"/>
      <c r="AQ1223" s="62">
        <f t="shared" ca="1" si="240"/>
        <v>1.053910831978411</v>
      </c>
      <c r="AR1223" s="62">
        <f t="shared" ca="1" si="241"/>
        <v>1.1650778838324634</v>
      </c>
      <c r="AS1223" s="62">
        <f t="shared" ca="1" si="242"/>
        <v>0.59616867805249285</v>
      </c>
      <c r="AT1223" s="49"/>
    </row>
    <row r="1224" spans="1:46" x14ac:dyDescent="0.3">
      <c r="A1224" s="5">
        <v>45237</v>
      </c>
      <c r="B1224" s="6">
        <v>74.599997999999999</v>
      </c>
      <c r="C1224" s="6">
        <v>112.860001</v>
      </c>
      <c r="D1224" s="6">
        <v>123.050003</v>
      </c>
      <c r="F1224" s="13">
        <v>1221</v>
      </c>
      <c r="G1224" s="5">
        <v>45237</v>
      </c>
      <c r="H1224" s="15">
        <f t="shared" si="238"/>
        <v>-2.5934240621333034E-2</v>
      </c>
      <c r="I1224" s="15">
        <f t="shared" si="238"/>
        <v>-3.1847160393463857E-3</v>
      </c>
      <c r="J1224" s="15">
        <f t="shared" si="238"/>
        <v>-2.2261512924485749E-2</v>
      </c>
      <c r="K1224" s="22"/>
      <c r="L1224" s="13">
        <v>1221</v>
      </c>
      <c r="M1224" s="5">
        <v>45237</v>
      </c>
      <c r="N1224" s="26">
        <f t="shared" si="235"/>
        <v>1.3194198210219346</v>
      </c>
      <c r="O1224" s="26">
        <f t="shared" si="236"/>
        <v>1.070371764598411</v>
      </c>
      <c r="P1224" s="26">
        <f t="shared" si="237"/>
        <v>1.6285072294469889</v>
      </c>
      <c r="Q1224" s="22"/>
      <c r="AD1224" s="59">
        <v>1220</v>
      </c>
      <c r="AE1224" s="61">
        <f t="shared" ca="1" si="239"/>
        <v>-1.1920306930085425</v>
      </c>
      <c r="AF1224" s="61">
        <f t="shared" ca="1" si="239"/>
        <v>-0.59860807767207036</v>
      </c>
      <c r="AG1224" s="61">
        <f t="shared" ca="1" si="239"/>
        <v>7.0011136169100874E-2</v>
      </c>
      <c r="AH1224" s="19"/>
      <c r="AI1224" s="61">
        <f ca="1"/>
        <v>-2.5848333062274267E-2</v>
      </c>
      <c r="AJ1224" s="61">
        <f ca="1"/>
        <v>-3.1669422934619232E-2</v>
      </c>
      <c r="AK1224" s="61">
        <f ca="1"/>
        <v>-2.0034896088908898E-2</v>
      </c>
      <c r="AL1224" s="19"/>
      <c r="AM1224" s="61">
        <f t="shared" ca="1" si="243"/>
        <v>-2.5497116739764021E-2</v>
      </c>
      <c r="AN1224" s="61">
        <f t="shared" ca="1" si="244"/>
        <v>-3.1420370337702702E-2</v>
      </c>
      <c r="AO1224" s="61">
        <f t="shared" ca="1" si="245"/>
        <v>-1.960322748565408E-2</v>
      </c>
      <c r="AP1224" s="19"/>
      <c r="AQ1224" s="62">
        <f t="shared" ca="1" si="240"/>
        <v>1.0273788266432058</v>
      </c>
      <c r="AR1224" s="62">
        <f t="shared" ca="1" si="241"/>
        <v>1.1290398344791976</v>
      </c>
      <c r="AS1224" s="62">
        <f t="shared" ca="1" si="242"/>
        <v>0.58459565277121939</v>
      </c>
      <c r="AT1224" s="49"/>
    </row>
    <row r="1225" spans="1:46" x14ac:dyDescent="0.3">
      <c r="A1225" s="5">
        <v>45238</v>
      </c>
      <c r="B1225" s="6">
        <v>75.650002000000001</v>
      </c>
      <c r="C1225" s="6">
        <v>116.470001</v>
      </c>
      <c r="D1225" s="6">
        <v>121.58000199999999</v>
      </c>
      <c r="F1225" s="13">
        <v>1222</v>
      </c>
      <c r="G1225" s="5">
        <v>45238</v>
      </c>
      <c r="H1225" s="15">
        <f t="shared" si="238"/>
        <v>1.3976986271842616E-2</v>
      </c>
      <c r="I1225" s="15">
        <f t="shared" si="238"/>
        <v>3.1485616298933324E-2</v>
      </c>
      <c r="J1225" s="15">
        <f t="shared" si="238"/>
        <v>-1.2018302446747552E-2</v>
      </c>
      <c r="K1225" s="22"/>
      <c r="L1225" s="13">
        <v>1222</v>
      </c>
      <c r="M1225" s="5">
        <v>45238</v>
      </c>
      <c r="N1225" s="26">
        <f t="shared" si="235"/>
        <v>1.3379908146800352</v>
      </c>
      <c r="O1225" s="26">
        <f t="shared" si="236"/>
        <v>1.1046092449808564</v>
      </c>
      <c r="P1225" s="26">
        <f t="shared" si="237"/>
        <v>1.6090524777409339</v>
      </c>
      <c r="Q1225" s="22"/>
      <c r="AD1225" s="59">
        <v>1221</v>
      </c>
      <c r="AE1225" s="61">
        <f t="shared" ca="1" si="239"/>
        <v>1.6437532535887418</v>
      </c>
      <c r="AF1225" s="61">
        <f t="shared" ca="1" si="239"/>
        <v>-1.1603849983302901</v>
      </c>
      <c r="AG1225" s="61">
        <f t="shared" ca="1" si="239"/>
        <v>-2.385656259030803</v>
      </c>
      <c r="AH1225" s="19"/>
      <c r="AI1225" s="61">
        <f ca="1"/>
        <v>3.5643613725854194E-2</v>
      </c>
      <c r="AJ1225" s="61">
        <f ca="1"/>
        <v>5.0643261818193383E-4</v>
      </c>
      <c r="AK1225" s="61">
        <f ca="1"/>
        <v>-4.5005020092567002E-2</v>
      </c>
      <c r="AL1225" s="19"/>
      <c r="AM1225" s="61">
        <f t="shared" ca="1" si="243"/>
        <v>3.5994830048364436E-2</v>
      </c>
      <c r="AN1225" s="61">
        <f t="shared" ca="1" si="244"/>
        <v>7.5548521509846451E-4</v>
      </c>
      <c r="AO1225" s="61">
        <f t="shared" ca="1" si="245"/>
        <v>-4.4573351489312185E-2</v>
      </c>
      <c r="AP1225" s="19"/>
      <c r="AQ1225" s="62">
        <f t="shared" ca="1" si="240"/>
        <v>1.0650327610185664</v>
      </c>
      <c r="AR1225" s="62">
        <f t="shared" ca="1" si="241"/>
        <v>1.1298931296667676</v>
      </c>
      <c r="AS1225" s="62">
        <f t="shared" ca="1" si="242"/>
        <v>0.55911046470703052</v>
      </c>
      <c r="AT1225" s="49"/>
    </row>
    <row r="1226" spans="1:46" x14ac:dyDescent="0.3">
      <c r="A1226" s="5">
        <v>45239</v>
      </c>
      <c r="B1226" s="6">
        <v>76.120002999999997</v>
      </c>
      <c r="C1226" s="6">
        <v>116.589996</v>
      </c>
      <c r="D1226" s="6">
        <v>119.91999800000001</v>
      </c>
      <c r="F1226" s="13">
        <v>1223</v>
      </c>
      <c r="G1226" s="5">
        <v>45239</v>
      </c>
      <c r="H1226" s="15">
        <f t="shared" si="238"/>
        <v>6.1936151674975978E-3</v>
      </c>
      <c r="I1226" s="15">
        <f t="shared" si="238"/>
        <v>1.0297349364773655E-3</v>
      </c>
      <c r="J1226" s="15">
        <f t="shared" si="238"/>
        <v>-1.3747661654093227E-2</v>
      </c>
      <c r="K1226" s="22"/>
      <c r="L1226" s="13">
        <v>1223</v>
      </c>
      <c r="M1226" s="5">
        <v>45239</v>
      </c>
      <c r="N1226" s="26">
        <f t="shared" si="235"/>
        <v>1.3463035311937825</v>
      </c>
      <c r="O1226" s="26">
        <f t="shared" si="236"/>
        <v>1.1057472855510757</v>
      </c>
      <c r="P1226" s="26">
        <f t="shared" si="237"/>
        <v>1.587083128297595</v>
      </c>
      <c r="Q1226" s="22"/>
      <c r="AD1226" s="59">
        <v>1222</v>
      </c>
      <c r="AE1226" s="61">
        <f t="shared" ca="1" si="239"/>
        <v>-0.10783862467003699</v>
      </c>
      <c r="AF1226" s="61">
        <f t="shared" ca="1" si="239"/>
        <v>0.94349196270401292</v>
      </c>
      <c r="AG1226" s="61">
        <f t="shared" ca="1" si="239"/>
        <v>-0.76835749243037155</v>
      </c>
      <c r="AH1226" s="19"/>
      <c r="AI1226" s="61">
        <f ca="1"/>
        <v>-2.3384034520231326E-3</v>
      </c>
      <c r="AJ1226" s="61">
        <f ca="1"/>
        <v>1.8819831324398489E-2</v>
      </c>
      <c r="AK1226" s="61">
        <f ca="1"/>
        <v>-1.4634153981330469E-2</v>
      </c>
      <c r="AL1226" s="19"/>
      <c r="AM1226" s="61">
        <f t="shared" ca="1" si="243"/>
        <v>-1.9871871295128883E-3</v>
      </c>
      <c r="AN1226" s="61">
        <f t="shared" ca="1" si="244"/>
        <v>1.9068883921315019E-2</v>
      </c>
      <c r="AO1226" s="61">
        <f t="shared" ca="1" si="245"/>
        <v>-1.420248537807565E-2</v>
      </c>
      <c r="AP1226" s="19"/>
      <c r="AQ1226" s="62">
        <f t="shared" ca="1" si="240"/>
        <v>1.0629184430918179</v>
      </c>
      <c r="AR1226" s="62">
        <f t="shared" ca="1" si="241"/>
        <v>1.1516456697927462</v>
      </c>
      <c r="AS1226" s="62">
        <f t="shared" ca="1" si="242"/>
        <v>0.55122582974774603</v>
      </c>
      <c r="AT1226" s="49"/>
    </row>
    <row r="1227" spans="1:46" x14ac:dyDescent="0.3">
      <c r="A1227" s="5">
        <v>45240</v>
      </c>
      <c r="B1227" s="6">
        <v>76.989998</v>
      </c>
      <c r="C1227" s="6">
        <v>115.620003</v>
      </c>
      <c r="D1227" s="6">
        <v>122.66999800000001</v>
      </c>
      <c r="F1227" s="13">
        <v>1224</v>
      </c>
      <c r="G1227" s="5">
        <v>45240</v>
      </c>
      <c r="H1227" s="15">
        <f t="shared" si="238"/>
        <v>1.1364435473154641E-2</v>
      </c>
      <c r="I1227" s="15">
        <f t="shared" si="238"/>
        <v>-8.3544950355421126E-3</v>
      </c>
      <c r="J1227" s="15">
        <f t="shared" si="238"/>
        <v>2.2672969624198732E-2</v>
      </c>
      <c r="K1227" s="22"/>
      <c r="L1227" s="13">
        <v>1224</v>
      </c>
      <c r="M1227" s="5">
        <v>45240</v>
      </c>
      <c r="N1227" s="26">
        <f t="shared" si="235"/>
        <v>1.3616907788876764</v>
      </c>
      <c r="O1227" s="26">
        <f t="shared" si="236"/>
        <v>1.0965478073492447</v>
      </c>
      <c r="P1227" s="26">
        <f t="shared" si="237"/>
        <v>1.6234780472069363</v>
      </c>
      <c r="Q1227" s="22"/>
      <c r="AD1227" s="59">
        <v>1223</v>
      </c>
      <c r="AE1227" s="61">
        <f t="shared" ca="1" si="239"/>
        <v>0.20833330479098613</v>
      </c>
      <c r="AF1227" s="61">
        <f t="shared" ca="1" si="239"/>
        <v>-0.22690620103453371</v>
      </c>
      <c r="AG1227" s="61">
        <f t="shared" ca="1" si="239"/>
        <v>0.21900685642483897</v>
      </c>
      <c r="AH1227" s="19"/>
      <c r="AI1227" s="61">
        <f ca="1"/>
        <v>4.5175587187360434E-3</v>
      </c>
      <c r="AJ1227" s="61">
        <f ca="1"/>
        <v>-1.6711338958651976E-3</v>
      </c>
      <c r="AK1227" s="61">
        <f ca="1"/>
        <v>7.0912061716903755E-3</v>
      </c>
      <c r="AL1227" s="19"/>
      <c r="AM1227" s="61">
        <f t="shared" ca="1" si="243"/>
        <v>4.8687750412462873E-3</v>
      </c>
      <c r="AN1227" s="61">
        <f t="shared" ca="1" si="244"/>
        <v>-1.422081298948667E-3</v>
      </c>
      <c r="AO1227" s="61">
        <f t="shared" ca="1" si="245"/>
        <v>7.5228747749451937E-3</v>
      </c>
      <c r="AP1227" s="19"/>
      <c r="AQ1227" s="62">
        <f t="shared" ca="1" si="240"/>
        <v>1.0681061725744261</v>
      </c>
      <c r="AR1227" s="62">
        <f t="shared" ca="1" si="241"/>
        <v>1.150009099966196</v>
      </c>
      <c r="AS1227" s="62">
        <f t="shared" ca="1" si="242"/>
        <v>0.5553882697645367</v>
      </c>
      <c r="AT1227" s="49"/>
    </row>
    <row r="1228" spans="1:46" x14ac:dyDescent="0.3">
      <c r="A1228" s="5">
        <v>45243</v>
      </c>
      <c r="B1228" s="6">
        <v>76.589995999999999</v>
      </c>
      <c r="C1228" s="6">
        <v>115.360001</v>
      </c>
      <c r="D1228" s="6">
        <v>124.269997</v>
      </c>
      <c r="F1228" s="13">
        <v>1225</v>
      </c>
      <c r="G1228" s="5">
        <v>45243</v>
      </c>
      <c r="H1228" s="15">
        <f t="shared" si="238"/>
        <v>-5.2090496171966448E-3</v>
      </c>
      <c r="I1228" s="15">
        <f t="shared" si="238"/>
        <v>-2.2512953962428211E-3</v>
      </c>
      <c r="J1228" s="15">
        <f t="shared" si="238"/>
        <v>1.2958786936163903E-2</v>
      </c>
      <c r="K1228" s="22"/>
      <c r="L1228" s="13">
        <v>1225</v>
      </c>
      <c r="M1228" s="5">
        <v>45243</v>
      </c>
      <c r="N1228" s="26">
        <f t="shared" si="235"/>
        <v>1.3546161062147841</v>
      </c>
      <c r="O1228" s="26">
        <f t="shared" si="236"/>
        <v>1.0940819310682486</v>
      </c>
      <c r="P1228" s="26">
        <f t="shared" si="237"/>
        <v>1.6446532595196734</v>
      </c>
      <c r="Q1228" s="22"/>
      <c r="AD1228" s="59">
        <v>1224</v>
      </c>
      <c r="AE1228" s="61">
        <f t="shared" ca="1" si="239"/>
        <v>0.52259385723503571</v>
      </c>
      <c r="AF1228" s="61">
        <f t="shared" ca="1" si="239"/>
        <v>0.8673724145320868</v>
      </c>
      <c r="AG1228" s="61">
        <f t="shared" ca="1" si="239"/>
        <v>0.99496103873120267</v>
      </c>
      <c r="AH1228" s="19"/>
      <c r="AI1228" s="61">
        <f ca="1"/>
        <v>1.1332074045859328E-2</v>
      </c>
      <c r="AJ1228" s="61">
        <f ca="1"/>
        <v>2.7033037725914279E-2</v>
      </c>
      <c r="AK1228" s="61">
        <f ca="1"/>
        <v>3.9320902882054087E-2</v>
      </c>
      <c r="AL1228" s="19"/>
      <c r="AM1228" s="61">
        <f t="shared" ca="1" si="243"/>
        <v>1.1683290368369572E-2</v>
      </c>
      <c r="AN1228" s="61">
        <f t="shared" ca="1" si="244"/>
        <v>2.7282090322830809E-2</v>
      </c>
      <c r="AO1228" s="61">
        <f t="shared" ca="1" si="245"/>
        <v>3.9752571485308905E-2</v>
      </c>
      <c r="AP1228" s="19"/>
      <c r="AQ1228" s="62">
        <f t="shared" ca="1" si="240"/>
        <v>1.0806583497180926</v>
      </c>
      <c r="AR1228" s="62">
        <f t="shared" ca="1" si="241"/>
        <v>1.1818156539325935</v>
      </c>
      <c r="AS1228" s="62">
        <f t="shared" ca="1" si="242"/>
        <v>0.57791108565788185</v>
      </c>
      <c r="AT1228" s="49"/>
    </row>
    <row r="1229" spans="1:46" x14ac:dyDescent="0.3">
      <c r="A1229" s="5">
        <v>45244</v>
      </c>
      <c r="B1229" s="6">
        <v>80.480002999999996</v>
      </c>
      <c r="C1229" s="6">
        <v>120.44000200000001</v>
      </c>
      <c r="D1229" s="6">
        <v>126.08000199999999</v>
      </c>
      <c r="F1229" s="13">
        <v>1226</v>
      </c>
      <c r="G1229" s="5">
        <v>45244</v>
      </c>
      <c r="H1229" s="15">
        <f t="shared" si="238"/>
        <v>4.9542275932408709E-2</v>
      </c>
      <c r="I1229" s="15">
        <f t="shared" si="238"/>
        <v>4.3094038014156989E-2</v>
      </c>
      <c r="J1229" s="15">
        <f t="shared" si="238"/>
        <v>1.4460048295593414E-2</v>
      </c>
      <c r="K1229" s="22"/>
      <c r="L1229" s="13">
        <v>1226</v>
      </c>
      <c r="M1229" s="5">
        <v>45244</v>
      </c>
      <c r="N1229" s="26">
        <f t="shared" si="235"/>
        <v>1.4234170777605752</v>
      </c>
      <c r="O1229" s="26">
        <f t="shared" si="236"/>
        <v>1.1422609988190251</v>
      </c>
      <c r="P1229" s="26">
        <f t="shared" si="237"/>
        <v>1.6686077995925834</v>
      </c>
      <c r="Q1229" s="22"/>
      <c r="AD1229" s="59">
        <v>1225</v>
      </c>
      <c r="AE1229" s="61">
        <f t="shared" ca="1" si="239"/>
        <v>1.0911422472465993</v>
      </c>
      <c r="AF1229" s="61">
        <f t="shared" ca="1" si="239"/>
        <v>0.388128746004964</v>
      </c>
      <c r="AG1229" s="61">
        <f t="shared" ca="1" si="239"/>
        <v>0.43053549431727839</v>
      </c>
      <c r="AH1229" s="19"/>
      <c r="AI1229" s="61">
        <f ca="1"/>
        <v>2.3660639269249415E-2</v>
      </c>
      <c r="AJ1229" s="61">
        <f ca="1"/>
        <v>2.5515300429410623E-2</v>
      </c>
      <c r="AK1229" s="61">
        <f ca="1"/>
        <v>2.9885903999249182E-2</v>
      </c>
      <c r="AL1229" s="19"/>
      <c r="AM1229" s="61">
        <f t="shared" ca="1" si="243"/>
        <v>2.4011855591759661E-2</v>
      </c>
      <c r="AN1229" s="61">
        <f t="shared" ca="1" si="244"/>
        <v>2.5764353026327153E-2</v>
      </c>
      <c r="AO1229" s="61">
        <f t="shared" ca="1" si="245"/>
        <v>3.0317572602503999E-2</v>
      </c>
      <c r="AP1229" s="19"/>
      <c r="AQ1229" s="62">
        <f t="shared" ca="1" si="240"/>
        <v>1.1069210076896856</v>
      </c>
      <c r="AR1229" s="62">
        <f t="shared" ca="1" si="241"/>
        <v>1.2126600058456229</v>
      </c>
      <c r="AS1229" s="62">
        <f t="shared" ca="1" si="242"/>
        <v>0.59570024648004283</v>
      </c>
      <c r="AT1229" s="49"/>
    </row>
    <row r="1230" spans="1:46" x14ac:dyDescent="0.3">
      <c r="A1230" s="5">
        <v>45245</v>
      </c>
      <c r="B1230" s="6">
        <v>80.080001999999993</v>
      </c>
      <c r="C1230" s="6">
        <v>123.91999800000001</v>
      </c>
      <c r="D1230" s="6">
        <v>126.699997</v>
      </c>
      <c r="F1230" s="13">
        <v>1227</v>
      </c>
      <c r="G1230" s="5">
        <v>45245</v>
      </c>
      <c r="H1230" s="15">
        <f t="shared" si="238"/>
        <v>-4.982583645780519E-3</v>
      </c>
      <c r="I1230" s="15">
        <f t="shared" si="238"/>
        <v>2.8484459749856542E-2</v>
      </c>
      <c r="J1230" s="15">
        <f t="shared" si="238"/>
        <v>4.9054216766007061E-3</v>
      </c>
      <c r="K1230" s="22"/>
      <c r="L1230" s="13">
        <v>1227</v>
      </c>
      <c r="M1230" s="5">
        <v>45245</v>
      </c>
      <c r="N1230" s="26">
        <f t="shared" si="235"/>
        <v>1.4163424227742762</v>
      </c>
      <c r="O1230" s="26">
        <f t="shared" si="236"/>
        <v>1.1752655126087725</v>
      </c>
      <c r="P1230" s="26">
        <f t="shared" si="237"/>
        <v>1.6768131333195642</v>
      </c>
      <c r="Q1230" s="22"/>
      <c r="AD1230" s="59">
        <v>1226</v>
      </c>
      <c r="AE1230" s="61">
        <f t="shared" ca="1" si="239"/>
        <v>0.5831364854675597</v>
      </c>
      <c r="AF1230" s="61">
        <f t="shared" ca="1" si="239"/>
        <v>-3.3796687646373358E-3</v>
      </c>
      <c r="AG1230" s="61">
        <f t="shared" ca="1" si="239"/>
        <v>-0.98602424884329509</v>
      </c>
      <c r="AH1230" s="19"/>
      <c r="AI1230" s="61">
        <f ca="1"/>
        <v>1.2644897640250209E-2</v>
      </c>
      <c r="AJ1230" s="61">
        <f ca="1"/>
        <v>9.0539887830195405E-3</v>
      </c>
      <c r="AK1230" s="61">
        <f ca="1"/>
        <v>-1.6669538181499036E-2</v>
      </c>
      <c r="AL1230" s="19"/>
      <c r="AM1230" s="61">
        <f t="shared" ca="1" si="243"/>
        <v>1.2996113962760453E-2</v>
      </c>
      <c r="AN1230" s="61">
        <f t="shared" ca="1" si="244"/>
        <v>9.3030413799360719E-3</v>
      </c>
      <c r="AO1230" s="61">
        <f t="shared" ca="1" si="245"/>
        <v>-1.6237869578244218E-2</v>
      </c>
      <c r="AP1230" s="19"/>
      <c r="AQ1230" s="62">
        <f t="shared" ca="1" si="240"/>
        <v>1.1214005644402703</v>
      </c>
      <c r="AR1230" s="62">
        <f t="shared" ca="1" si="241"/>
        <v>1.2239940709545585</v>
      </c>
      <c r="AS1230" s="62">
        <f t="shared" ca="1" si="242"/>
        <v>0.58610545388474966</v>
      </c>
      <c r="AT1230" s="49"/>
    </row>
    <row r="1231" spans="1:46" x14ac:dyDescent="0.3">
      <c r="A1231" s="5">
        <v>45246</v>
      </c>
      <c r="B1231" s="6">
        <v>79.779999000000004</v>
      </c>
      <c r="C1231" s="6">
        <v>120.699997</v>
      </c>
      <c r="D1231" s="6">
        <v>121.91999800000001</v>
      </c>
      <c r="F1231" s="13">
        <v>1228</v>
      </c>
      <c r="G1231" s="5">
        <v>45246</v>
      </c>
      <c r="H1231" s="15">
        <f t="shared" si="238"/>
        <v>-3.7533260391990134E-3</v>
      </c>
      <c r="I1231" s="15">
        <f t="shared" si="238"/>
        <v>-2.6328076720695287E-2</v>
      </c>
      <c r="J1231" s="15">
        <f t="shared" si="238"/>
        <v>-3.8456988114977032E-2</v>
      </c>
      <c r="K1231" s="22"/>
      <c r="L1231" s="13">
        <v>1228</v>
      </c>
      <c r="M1231" s="5">
        <v>45246</v>
      </c>
      <c r="N1231" s="26">
        <f t="shared" si="235"/>
        <v>1.4110363917397173</v>
      </c>
      <c r="O1231" s="26">
        <f t="shared" si="236"/>
        <v>1.1447268087115552</v>
      </c>
      <c r="P1231" s="26">
        <f t="shared" si="237"/>
        <v>1.6135521602316614</v>
      </c>
      <c r="Q1231" s="22"/>
      <c r="AD1231" s="59">
        <v>1227</v>
      </c>
      <c r="AE1231" s="61">
        <f t="shared" ca="1" si="239"/>
        <v>-0.98805877852923008</v>
      </c>
      <c r="AF1231" s="61">
        <f t="shared" ca="1" si="239"/>
        <v>-0.84004512643054985</v>
      </c>
      <c r="AG1231" s="61">
        <f t="shared" ca="1" si="239"/>
        <v>-2.2345306232055124</v>
      </c>
      <c r="AH1231" s="19"/>
      <c r="AI1231" s="61">
        <f ca="1"/>
        <v>-2.142534797327102E-2</v>
      </c>
      <c r="AJ1231" s="61">
        <f ca="1"/>
        <v>-3.3724665547483143E-2</v>
      </c>
      <c r="AK1231" s="61">
        <f ca="1"/>
        <v>-7.7763667024784128E-2</v>
      </c>
      <c r="AL1231" s="19"/>
      <c r="AM1231" s="61">
        <f t="shared" ca="1" si="243"/>
        <v>-2.1074131650760775E-2</v>
      </c>
      <c r="AN1231" s="61">
        <f t="shared" ca="1" si="244"/>
        <v>-3.3475612950566613E-2</v>
      </c>
      <c r="AO1231" s="61">
        <f t="shared" ca="1" si="245"/>
        <v>-7.733199842152931E-2</v>
      </c>
      <c r="AP1231" s="19"/>
      <c r="AQ1231" s="62">
        <f t="shared" ca="1" si="240"/>
        <v>1.0980152988749958</v>
      </c>
      <c r="AR1231" s="62">
        <f t="shared" ca="1" si="241"/>
        <v>1.1836983441927715</v>
      </c>
      <c r="AS1231" s="62">
        <f t="shared" ca="1" si="242"/>
        <v>0.54248895751705062</v>
      </c>
      <c r="AT1231" s="49"/>
    </row>
    <row r="1232" spans="1:46" x14ac:dyDescent="0.3">
      <c r="A1232" s="5">
        <v>45247</v>
      </c>
      <c r="B1232" s="6">
        <v>80.849997999999999</v>
      </c>
      <c r="C1232" s="6">
        <v>121.75</v>
      </c>
      <c r="D1232" s="6">
        <v>124.110001</v>
      </c>
      <c r="F1232" s="13">
        <v>1229</v>
      </c>
      <c r="G1232" s="5">
        <v>45247</v>
      </c>
      <c r="H1232" s="15">
        <f t="shared" si="238"/>
        <v>1.3322727343157167E-2</v>
      </c>
      <c r="I1232" s="15">
        <f t="shared" si="238"/>
        <v>8.6616587142260299E-3</v>
      </c>
      <c r="J1232" s="15">
        <f t="shared" si="238"/>
        <v>1.7803201664661705E-2</v>
      </c>
      <c r="K1232" s="22"/>
      <c r="L1232" s="13">
        <v>1229</v>
      </c>
      <c r="M1232" s="5">
        <v>45247</v>
      </c>
      <c r="N1232" s="26">
        <f t="shared" si="235"/>
        <v>1.4299610288298368</v>
      </c>
      <c r="O1232" s="26">
        <f t="shared" si="236"/>
        <v>1.1546851070810866</v>
      </c>
      <c r="P1232" s="26">
        <f t="shared" si="237"/>
        <v>1.642535789903012</v>
      </c>
      <c r="Q1232" s="22"/>
      <c r="AD1232" s="59">
        <v>1228</v>
      </c>
      <c r="AE1232" s="61">
        <f t="shared" ca="1" si="239"/>
        <v>-0.30734201609888567</v>
      </c>
      <c r="AF1232" s="61">
        <f t="shared" ca="1" si="239"/>
        <v>-1.6042625102632706</v>
      </c>
      <c r="AG1232" s="61">
        <f t="shared" ca="1" si="239"/>
        <v>-4.0540071890676295</v>
      </c>
      <c r="AH1232" s="19"/>
      <c r="AI1232" s="61">
        <f ca="1"/>
        <v>-6.664491814472033E-3</v>
      </c>
      <c r="AJ1232" s="61">
        <f ca="1"/>
        <v>-3.9680899270091136E-2</v>
      </c>
      <c r="AK1232" s="61">
        <f ca="1"/>
        <v>-0.11970258397320542</v>
      </c>
      <c r="AL1232" s="19"/>
      <c r="AM1232" s="61">
        <f t="shared" ca="1" si="243"/>
        <v>-6.3132754919617892E-3</v>
      </c>
      <c r="AN1232" s="61">
        <f t="shared" ca="1" si="244"/>
        <v>-3.9431846673174606E-2</v>
      </c>
      <c r="AO1232" s="61">
        <f t="shared" ca="1" si="245"/>
        <v>-0.1192709153699506</v>
      </c>
      <c r="AP1232" s="19"/>
      <c r="AQ1232" s="62">
        <f t="shared" ca="1" si="240"/>
        <v>1.0911050618658049</v>
      </c>
      <c r="AR1232" s="62">
        <f t="shared" ca="1" si="241"/>
        <v>1.1379312040154703</v>
      </c>
      <c r="AS1232" s="62">
        <f t="shared" ca="1" si="242"/>
        <v>0.48149546611721417</v>
      </c>
      <c r="AT1232" s="49"/>
    </row>
    <row r="1233" spans="1:46" x14ac:dyDescent="0.3">
      <c r="A1233" s="5">
        <v>45250</v>
      </c>
      <c r="B1233" s="6">
        <v>82.419998000000007</v>
      </c>
      <c r="C1233" s="6">
        <v>122.57</v>
      </c>
      <c r="D1233" s="6">
        <v>124.730003</v>
      </c>
      <c r="F1233" s="13">
        <v>1230</v>
      </c>
      <c r="G1233" s="5">
        <v>45250</v>
      </c>
      <c r="H1233" s="15">
        <f t="shared" si="238"/>
        <v>1.923254035876833E-2</v>
      </c>
      <c r="I1233" s="15">
        <f t="shared" si="238"/>
        <v>6.7125333903745258E-3</v>
      </c>
      <c r="J1233" s="15">
        <f t="shared" si="238"/>
        <v>4.9831479907714565E-3</v>
      </c>
      <c r="K1233" s="22"/>
      <c r="L1233" s="13">
        <v>1230</v>
      </c>
      <c r="M1233" s="5">
        <v>45250</v>
      </c>
      <c r="N1233" s="26">
        <f t="shared" si="235"/>
        <v>1.4577289802311819</v>
      </c>
      <c r="O1233" s="26">
        <f t="shared" si="236"/>
        <v>1.1624620416831932</v>
      </c>
      <c r="P1233" s="26">
        <f t="shared" si="237"/>
        <v>1.6507412162716046</v>
      </c>
      <c r="Q1233" s="22"/>
      <c r="AD1233" s="59">
        <v>1229</v>
      </c>
      <c r="AE1233" s="61">
        <f t="shared" ca="1" si="239"/>
        <v>-1.2047236810724451</v>
      </c>
      <c r="AF1233" s="61">
        <f t="shared" ca="1" si="239"/>
        <v>0.4731077730661733</v>
      </c>
      <c r="AG1233" s="61">
        <f t="shared" ca="1" si="239"/>
        <v>-3.8030865387416603E-2</v>
      </c>
      <c r="AH1233" s="19"/>
      <c r="AI1233" s="61">
        <f ca="1"/>
        <v>-2.6123571430678325E-2</v>
      </c>
      <c r="AJ1233" s="61">
        <f ca="1"/>
        <v>-8.5732632660235845E-3</v>
      </c>
      <c r="AK1233" s="61">
        <f ca="1"/>
        <v>-1.5442956408572803E-2</v>
      </c>
      <c r="AL1233" s="19"/>
      <c r="AM1233" s="61">
        <f t="shared" ca="1" si="243"/>
        <v>-2.5772355108168079E-2</v>
      </c>
      <c r="AN1233" s="61">
        <f t="shared" ca="1" si="244"/>
        <v>-8.324210669107053E-3</v>
      </c>
      <c r="AO1233" s="61">
        <f t="shared" ca="1" si="245"/>
        <v>-1.5011287805317984E-2</v>
      </c>
      <c r="AP1233" s="19"/>
      <c r="AQ1233" s="62">
        <f t="shared" ca="1" si="240"/>
        <v>1.0633439855018187</v>
      </c>
      <c r="AR1233" s="62">
        <f t="shared" ca="1" si="241"/>
        <v>1.1284981408189148</v>
      </c>
      <c r="AS1233" s="62">
        <f t="shared" ca="1" si="242"/>
        <v>0.47432157845695599</v>
      </c>
      <c r="AT1233" s="49"/>
    </row>
    <row r="1234" spans="1:46" x14ac:dyDescent="0.3">
      <c r="A1234" s="5">
        <v>45251</v>
      </c>
      <c r="B1234" s="6">
        <v>81.610000999999997</v>
      </c>
      <c r="C1234" s="6">
        <v>121.800003</v>
      </c>
      <c r="D1234" s="6">
        <v>123.16999800000001</v>
      </c>
      <c r="F1234" s="13">
        <v>1231</v>
      </c>
      <c r="G1234" s="5">
        <v>45251</v>
      </c>
      <c r="H1234" s="15">
        <f t="shared" si="238"/>
        <v>-9.8762859101645256E-3</v>
      </c>
      <c r="I1234" s="15">
        <f t="shared" si="238"/>
        <v>-6.3019154467354723E-3</v>
      </c>
      <c r="J1234" s="15">
        <f t="shared" si="238"/>
        <v>-1.2585926473897089E-2</v>
      </c>
      <c r="K1234" s="22"/>
      <c r="L1234" s="13">
        <v>1231</v>
      </c>
      <c r="M1234" s="5">
        <v>45251</v>
      </c>
      <c r="N1234" s="26">
        <f t="shared" si="235"/>
        <v>1.4434028927590574</v>
      </c>
      <c r="O1234" s="26">
        <f t="shared" si="236"/>
        <v>1.1551593388626833</v>
      </c>
      <c r="P1234" s="26">
        <f t="shared" si="237"/>
        <v>1.630095305190453</v>
      </c>
      <c r="Q1234" s="22"/>
      <c r="AD1234" s="59">
        <v>1230</v>
      </c>
      <c r="AE1234" s="61">
        <f t="shared" ca="1" si="239"/>
        <v>-0.94047346901814599</v>
      </c>
      <c r="AF1234" s="61">
        <f t="shared" ca="1" si="239"/>
        <v>4.1175007620589003E-2</v>
      </c>
      <c r="AG1234" s="61">
        <f t="shared" ca="1" si="239"/>
        <v>-1.8279925197711442</v>
      </c>
      <c r="AH1234" s="19"/>
      <c r="AI1234" s="61">
        <f ca="1"/>
        <v>-2.0393494568549088E-2</v>
      </c>
      <c r="AJ1234" s="61">
        <f ca="1"/>
        <v>-1.3825627849093008E-2</v>
      </c>
      <c r="AK1234" s="61">
        <f ca="1"/>
        <v>-6.04391219856278E-2</v>
      </c>
      <c r="AL1234" s="19"/>
      <c r="AM1234" s="61">
        <f t="shared" ca="1" si="243"/>
        <v>-2.0042278246038842E-2</v>
      </c>
      <c r="AN1234" s="61">
        <f t="shared" ca="1" si="244"/>
        <v>-1.3576575252176476E-2</v>
      </c>
      <c r="AO1234" s="61">
        <f t="shared" ca="1" si="245"/>
        <v>-6.0007453382372983E-2</v>
      </c>
      <c r="AP1234" s="19"/>
      <c r="AQ1234" s="62">
        <f t="shared" ca="1" si="240"/>
        <v>1.0422442986652158</v>
      </c>
      <c r="AR1234" s="62">
        <f t="shared" ca="1" si="241"/>
        <v>1.1132805361118734</v>
      </c>
      <c r="AS1234" s="62">
        <f t="shared" ca="1" si="242"/>
        <v>0.44669591069662523</v>
      </c>
      <c r="AT1234" s="49"/>
    </row>
    <row r="1235" spans="1:46" x14ac:dyDescent="0.3">
      <c r="A1235" s="5">
        <v>45252</v>
      </c>
      <c r="B1235" s="6">
        <v>81.529999000000004</v>
      </c>
      <c r="C1235" s="6">
        <v>122.66999800000001</v>
      </c>
      <c r="D1235" s="6">
        <v>125.360001</v>
      </c>
      <c r="F1235" s="13">
        <v>1232</v>
      </c>
      <c r="G1235" s="5">
        <v>45252</v>
      </c>
      <c r="H1235" s="15">
        <f t="shared" si="238"/>
        <v>-9.8077732515606305E-4</v>
      </c>
      <c r="I1235" s="15">
        <f t="shared" si="238"/>
        <v>7.1174268344176223E-3</v>
      </c>
      <c r="J1235" s="15">
        <f t="shared" si="238"/>
        <v>1.7624107309118796E-2</v>
      </c>
      <c r="K1235" s="22"/>
      <c r="L1235" s="13">
        <v>1232</v>
      </c>
      <c r="M1235" s="5">
        <v>45252</v>
      </c>
      <c r="N1235" s="26">
        <f t="shared" si="235"/>
        <v>1.4419879299259299</v>
      </c>
      <c r="O1235" s="26">
        <f t="shared" si="236"/>
        <v>1.1634104293738539</v>
      </c>
      <c r="P1235" s="26">
        <f t="shared" si="237"/>
        <v>1.6590789348618036</v>
      </c>
      <c r="Q1235" s="22"/>
      <c r="AD1235" s="59">
        <v>1231</v>
      </c>
      <c r="AE1235" s="61">
        <f t="shared" ca="1" si="239"/>
        <v>-0.44546944361155311</v>
      </c>
      <c r="AF1235" s="61">
        <f t="shared" ca="1" si="239"/>
        <v>1.1627363187215216</v>
      </c>
      <c r="AG1235" s="61">
        <f t="shared" ca="1" si="239"/>
        <v>-1.2812976653240533</v>
      </c>
      <c r="AH1235" s="19"/>
      <c r="AI1235" s="61">
        <f ca="1"/>
        <v>-9.6596862942143324E-3</v>
      </c>
      <c r="AJ1235" s="61">
        <f ca="1"/>
        <v>1.8300618838599212E-2</v>
      </c>
      <c r="AK1235" s="61">
        <f ca="1"/>
        <v>-3.1220318144462335E-2</v>
      </c>
      <c r="AL1235" s="19"/>
      <c r="AM1235" s="61">
        <f t="shared" ca="1" si="243"/>
        <v>-9.3084699717040885E-3</v>
      </c>
      <c r="AN1235" s="61">
        <f t="shared" ca="1" si="244"/>
        <v>1.8549671435515742E-2</v>
      </c>
      <c r="AO1235" s="61">
        <f t="shared" ca="1" si="245"/>
        <v>-3.0788649541207518E-2</v>
      </c>
      <c r="AP1235" s="19"/>
      <c r="AQ1235" s="62">
        <f t="shared" ca="1" si="240"/>
        <v>1.0325876131189233</v>
      </c>
      <c r="AR1235" s="62">
        <f t="shared" ca="1" si="241"/>
        <v>1.1341242486082579</v>
      </c>
      <c r="AS1235" s="62">
        <f t="shared" ca="1" si="242"/>
        <v>0.43315231127948167</v>
      </c>
      <c r="AT1235" s="49"/>
    </row>
    <row r="1236" spans="1:46" x14ac:dyDescent="0.3">
      <c r="A1236" s="5">
        <v>45254</v>
      </c>
      <c r="B1236" s="6">
        <v>81.260002</v>
      </c>
      <c r="C1236" s="6">
        <v>124.540001</v>
      </c>
      <c r="D1236" s="6">
        <v>124.959999</v>
      </c>
      <c r="F1236" s="13">
        <v>1233</v>
      </c>
      <c r="G1236" s="5">
        <v>45254</v>
      </c>
      <c r="H1236" s="15">
        <f t="shared" si="238"/>
        <v>-3.317123237459882E-3</v>
      </c>
      <c r="I1236" s="15">
        <f t="shared" si="238"/>
        <v>1.5129150733098904E-2</v>
      </c>
      <c r="J1236" s="15">
        <f t="shared" si="238"/>
        <v>-3.1959279359765214E-3</v>
      </c>
      <c r="K1236" s="22"/>
      <c r="L1236" s="13">
        <v>1233</v>
      </c>
      <c r="M1236" s="5">
        <v>45254</v>
      </c>
      <c r="N1236" s="26">
        <f t="shared" si="235"/>
        <v>1.4372126028084082</v>
      </c>
      <c r="O1236" s="26">
        <f t="shared" si="236"/>
        <v>1.1811456623454919</v>
      </c>
      <c r="P1236" s="26">
        <f t="shared" si="237"/>
        <v>1.6537851020059584</v>
      </c>
      <c r="Q1236" s="22"/>
      <c r="AD1236" s="59">
        <v>1232</v>
      </c>
      <c r="AE1236" s="61">
        <f t="shared" ca="1" si="239"/>
        <v>-0.33870108686926281</v>
      </c>
      <c r="AF1236" s="61">
        <f t="shared" ca="1" si="239"/>
        <v>8.814878437888278E-2</v>
      </c>
      <c r="AG1236" s="61">
        <f t="shared" ca="1" si="239"/>
        <v>-5.9253666007536003E-2</v>
      </c>
      <c r="AH1236" s="19"/>
      <c r="AI1236" s="61">
        <f ca="1"/>
        <v>-7.3444908367709741E-3</v>
      </c>
      <c r="AJ1236" s="61">
        <f ca="1"/>
        <v>-3.3854603350905463E-3</v>
      </c>
      <c r="AK1236" s="61">
        <f ca="1"/>
        <v>-5.901785423465534E-3</v>
      </c>
      <c r="AL1236" s="19"/>
      <c r="AM1236" s="61">
        <f t="shared" ca="1" si="243"/>
        <v>-6.9932745142607302E-3</v>
      </c>
      <c r="AN1236" s="61">
        <f t="shared" ca="1" si="244"/>
        <v>-3.1364077381740157E-3</v>
      </c>
      <c r="AO1236" s="61">
        <f t="shared" ca="1" si="245"/>
        <v>-5.4701168202107159E-3</v>
      </c>
      <c r="AP1236" s="19"/>
      <c r="AQ1236" s="62">
        <f t="shared" ca="1" si="240"/>
        <v>1.0253916355308093</v>
      </c>
      <c r="AR1236" s="62">
        <f t="shared" ca="1" si="241"/>
        <v>1.1305727449320389</v>
      </c>
      <c r="AS1236" s="62">
        <f t="shared" ca="1" si="242"/>
        <v>0.43078938616602852</v>
      </c>
      <c r="AT1236" s="49"/>
    </row>
    <row r="1237" spans="1:46" x14ac:dyDescent="0.3">
      <c r="A1237" s="5">
        <v>45257</v>
      </c>
      <c r="B1237" s="6">
        <v>81.440002000000007</v>
      </c>
      <c r="C1237" s="6">
        <v>125.75</v>
      </c>
      <c r="D1237" s="6">
        <v>125.610001</v>
      </c>
      <c r="F1237" s="13">
        <v>1234</v>
      </c>
      <c r="G1237" s="5">
        <v>45257</v>
      </c>
      <c r="H1237" s="15">
        <f t="shared" si="238"/>
        <v>2.2126621882333302E-3</v>
      </c>
      <c r="I1237" s="15">
        <f t="shared" si="238"/>
        <v>9.6688515059938328E-3</v>
      </c>
      <c r="J1237" s="15">
        <f t="shared" si="238"/>
        <v>5.1881985714962225E-3</v>
      </c>
      <c r="K1237" s="22"/>
      <c r="L1237" s="13">
        <v>1234</v>
      </c>
      <c r="M1237" s="5">
        <v>45257</v>
      </c>
      <c r="N1237" s="26">
        <f t="shared" si="235"/>
        <v>1.440396189593276</v>
      </c>
      <c r="O1237" s="26">
        <f t="shared" si="236"/>
        <v>1.1926213734328266</v>
      </c>
      <c r="P1237" s="26">
        <f t="shared" si="237"/>
        <v>1.6623875638535619</v>
      </c>
      <c r="Q1237" s="22"/>
      <c r="AD1237" s="59">
        <v>1233</v>
      </c>
      <c r="AE1237" s="61">
        <f t="shared" ca="1" si="239"/>
        <v>-0.61543872594159077</v>
      </c>
      <c r="AF1237" s="61">
        <f t="shared" ca="1" si="239"/>
        <v>1.3991138218282861</v>
      </c>
      <c r="AG1237" s="61">
        <f t="shared" ca="1" si="239"/>
        <v>-0.3264371573516861</v>
      </c>
      <c r="AH1237" s="19"/>
      <c r="AI1237" s="61">
        <f ca="1"/>
        <v>-1.3345348623037486E-2</v>
      </c>
      <c r="AJ1237" s="61">
        <f ca="1"/>
        <v>2.0778107766566987E-2</v>
      </c>
      <c r="AK1237" s="61">
        <f ca="1"/>
        <v>-7.603544479347751E-3</v>
      </c>
      <c r="AL1237" s="19"/>
      <c r="AM1237" s="61">
        <f t="shared" ca="1" si="243"/>
        <v>-1.2994132300527242E-2</v>
      </c>
      <c r="AN1237" s="61">
        <f t="shared" ca="1" si="244"/>
        <v>2.1027160363483517E-2</v>
      </c>
      <c r="AO1237" s="61">
        <f t="shared" ca="1" si="245"/>
        <v>-7.1718758760929329E-3</v>
      </c>
      <c r="AP1237" s="19"/>
      <c r="AQ1237" s="62">
        <f t="shared" ca="1" si="240"/>
        <v>1.0121537546115948</v>
      </c>
      <c r="AR1237" s="62">
        <f t="shared" ca="1" si="241"/>
        <v>1.1545971769581114</v>
      </c>
      <c r="AS1237" s="62">
        <f t="shared" ca="1" si="242"/>
        <v>0.42771087072051805</v>
      </c>
      <c r="AT1237" s="49"/>
    </row>
    <row r="1238" spans="1:46" x14ac:dyDescent="0.3">
      <c r="A1238" s="5">
        <v>45258</v>
      </c>
      <c r="B1238" s="6">
        <v>80.370002999999997</v>
      </c>
      <c r="C1238" s="6">
        <v>126.629997</v>
      </c>
      <c r="D1238" s="6">
        <v>125.239998</v>
      </c>
      <c r="F1238" s="13">
        <v>1235</v>
      </c>
      <c r="G1238" s="5">
        <v>45258</v>
      </c>
      <c r="H1238" s="15">
        <f t="shared" si="238"/>
        <v>-1.3225567808181848E-2</v>
      </c>
      <c r="I1238" s="15">
        <f t="shared" si="238"/>
        <v>6.9736157915998628E-3</v>
      </c>
      <c r="J1238" s="15">
        <f t="shared" si="238"/>
        <v>-2.9499961714452663E-3</v>
      </c>
      <c r="K1238" s="22"/>
      <c r="L1238" s="13">
        <v>1235</v>
      </c>
      <c r="M1238" s="5">
        <v>45258</v>
      </c>
      <c r="N1238" s="26">
        <f t="shared" si="235"/>
        <v>1.4214715525031563</v>
      </c>
      <c r="O1238" s="26">
        <f t="shared" si="236"/>
        <v>1.2009673235780098</v>
      </c>
      <c r="P1238" s="26">
        <f t="shared" si="237"/>
        <v>1.6574907532422116</v>
      </c>
      <c r="Q1238" s="22"/>
      <c r="AD1238" s="59">
        <v>1234</v>
      </c>
      <c r="AE1238" s="61">
        <f t="shared" ca="1" si="239"/>
        <v>-8.3299202076109732E-2</v>
      </c>
      <c r="AF1238" s="61">
        <f t="shared" ca="1" si="239"/>
        <v>-0.13227731182875793</v>
      </c>
      <c r="AG1238" s="61">
        <f t="shared" ca="1" si="239"/>
        <v>-1.7701394292925379</v>
      </c>
      <c r="AH1238" s="19"/>
      <c r="AI1238" s="61">
        <f ca="1"/>
        <v>-1.8062836231596449E-3</v>
      </c>
      <c r="AJ1238" s="61">
        <f ca="1"/>
        <v>-4.1790092387983041E-3</v>
      </c>
      <c r="AK1238" s="61">
        <f ca="1"/>
        <v>-4.7513241685166456E-2</v>
      </c>
      <c r="AL1238" s="19"/>
      <c r="AM1238" s="61">
        <f t="shared" ca="1" si="243"/>
        <v>-1.4550673006494008E-3</v>
      </c>
      <c r="AN1238" s="61">
        <f t="shared" ca="1" si="244"/>
        <v>-3.9299566418817735E-3</v>
      </c>
      <c r="AO1238" s="61">
        <f t="shared" ca="1" si="245"/>
        <v>-4.7081573081911639E-2</v>
      </c>
      <c r="AP1238" s="19"/>
      <c r="AQ1238" s="62">
        <f t="shared" ca="1" si="240"/>
        <v>1.0106820737370448</v>
      </c>
      <c r="AR1238" s="62">
        <f t="shared" ca="1" si="241"/>
        <v>1.1500685645675319</v>
      </c>
      <c r="AS1238" s="62">
        <f t="shared" ca="1" si="242"/>
        <v>0.40804026510726082</v>
      </c>
      <c r="AT1238" s="49"/>
    </row>
    <row r="1239" spans="1:46" x14ac:dyDescent="0.3">
      <c r="A1239" s="5">
        <v>45259</v>
      </c>
      <c r="B1239" s="6">
        <v>80.5</v>
      </c>
      <c r="C1239" s="6">
        <v>129.449997</v>
      </c>
      <c r="D1239" s="6">
        <v>124.08000199999999</v>
      </c>
      <c r="F1239" s="13">
        <v>1236</v>
      </c>
      <c r="G1239" s="5">
        <v>45259</v>
      </c>
      <c r="H1239" s="15">
        <f t="shared" si="238"/>
        <v>1.6161748725302984E-3</v>
      </c>
      <c r="I1239" s="15">
        <f t="shared" si="238"/>
        <v>2.202525825112692E-2</v>
      </c>
      <c r="J1239" s="15">
        <f t="shared" si="238"/>
        <v>-9.3053455019496672E-3</v>
      </c>
      <c r="K1239" s="22"/>
      <c r="L1239" s="13">
        <v>1236</v>
      </c>
      <c r="M1239" s="5">
        <v>45259</v>
      </c>
      <c r="N1239" s="26">
        <f t="shared" si="235"/>
        <v>1.4237707565657809</v>
      </c>
      <c r="O1239" s="26">
        <f t="shared" si="236"/>
        <v>1.2277123913559864</v>
      </c>
      <c r="P1239" s="26">
        <f t="shared" si="237"/>
        <v>1.6421387676585169</v>
      </c>
      <c r="Q1239" s="22"/>
      <c r="AD1239" s="59">
        <v>1235</v>
      </c>
      <c r="AE1239" s="61">
        <f t="shared" ca="1" si="239"/>
        <v>-0.69159319710308476</v>
      </c>
      <c r="AF1239" s="61">
        <f t="shared" ca="1" si="239"/>
        <v>0.88071526204697659</v>
      </c>
      <c r="AG1239" s="61">
        <f t="shared" ca="1" si="239"/>
        <v>0.88737503822971908</v>
      </c>
      <c r="AH1239" s="19"/>
      <c r="AI1239" s="61">
        <f ca="1"/>
        <v>-1.4996703866076979E-2</v>
      </c>
      <c r="AJ1239" s="61">
        <f ca="1"/>
        <v>8.3181920244213038E-3</v>
      </c>
      <c r="AK1239" s="61">
        <f ca="1"/>
        <v>1.871824411573975E-2</v>
      </c>
      <c r="AL1239" s="19"/>
      <c r="AM1239" s="61">
        <f t="shared" ca="1" si="243"/>
        <v>-1.4645487543566735E-2</v>
      </c>
      <c r="AN1239" s="61">
        <f t="shared" ca="1" si="244"/>
        <v>8.5672446213378353E-3</v>
      </c>
      <c r="AO1239" s="61">
        <f t="shared" ca="1" si="245"/>
        <v>1.9149912718994567E-2</v>
      </c>
      <c r="AP1239" s="19"/>
      <c r="AQ1239" s="62">
        <f t="shared" ca="1" si="240"/>
        <v>0.99598800555553968</v>
      </c>
      <c r="AR1239" s="62">
        <f t="shared" ca="1" si="241"/>
        <v>1.1599638102627898</v>
      </c>
      <c r="AS1239" s="62">
        <f t="shared" ca="1" si="242"/>
        <v>0.41592949854280947</v>
      </c>
      <c r="AT1239" s="49"/>
    </row>
    <row r="1240" spans="1:46" x14ac:dyDescent="0.3">
      <c r="A1240" s="5">
        <v>45260</v>
      </c>
      <c r="B1240" s="6">
        <v>81.980002999999996</v>
      </c>
      <c r="C1240" s="6">
        <v>129.38000500000001</v>
      </c>
      <c r="D1240" s="6">
        <v>125.360001</v>
      </c>
      <c r="F1240" s="13">
        <v>1237</v>
      </c>
      <c r="G1240" s="5">
        <v>45260</v>
      </c>
      <c r="H1240" s="15">
        <f t="shared" si="238"/>
        <v>1.8218167245964454E-2</v>
      </c>
      <c r="I1240" s="15">
        <f t="shared" si="238"/>
        <v>-5.4083376088718616E-4</v>
      </c>
      <c r="J1240" s="15">
        <f t="shared" si="238"/>
        <v>1.0263071037875241E-2</v>
      </c>
      <c r="K1240" s="22"/>
      <c r="L1240" s="13">
        <v>1237</v>
      </c>
      <c r="M1240" s="5">
        <v>45260</v>
      </c>
      <c r="N1240" s="26">
        <f t="shared" si="235"/>
        <v>1.4499469676344718</v>
      </c>
      <c r="O1240" s="26">
        <f t="shared" si="236"/>
        <v>1.2270485825673638</v>
      </c>
      <c r="P1240" s="26">
        <f t="shared" si="237"/>
        <v>1.6590789348618036</v>
      </c>
      <c r="Q1240" s="22"/>
      <c r="AD1240" s="59">
        <v>1236</v>
      </c>
      <c r="AE1240" s="61">
        <f t="shared" ca="1" si="239"/>
        <v>-0.31447396271142691</v>
      </c>
      <c r="AF1240" s="61">
        <f t="shared" ca="1" si="239"/>
        <v>0.98986359505951393</v>
      </c>
      <c r="AG1240" s="61">
        <f t="shared" ca="1" si="239"/>
        <v>-2.7727749746384633</v>
      </c>
      <c r="AH1240" s="19"/>
      <c r="AI1240" s="61">
        <f ca="1"/>
        <v>-6.8191429761447668E-3</v>
      </c>
      <c r="AJ1240" s="61">
        <f ca="1"/>
        <v>1.6593439805176698E-2</v>
      </c>
      <c r="AK1240" s="61">
        <f ca="1"/>
        <v>-6.8713819458138814E-2</v>
      </c>
      <c r="AL1240" s="19"/>
      <c r="AM1240" s="61">
        <f t="shared" ca="1" si="243"/>
        <v>-6.467926653634523E-3</v>
      </c>
      <c r="AN1240" s="61">
        <f t="shared" ca="1" si="244"/>
        <v>1.6842492402093227E-2</v>
      </c>
      <c r="AO1240" s="61">
        <f t="shared" ca="1" si="245"/>
        <v>-6.8282150854883997E-2</v>
      </c>
      <c r="AP1240" s="19"/>
      <c r="AQ1240" s="62">
        <f t="shared" ca="1" si="240"/>
        <v>0.98956681646310618</v>
      </c>
      <c r="AR1240" s="62">
        <f t="shared" ca="1" si="241"/>
        <v>1.1796659426926697</v>
      </c>
      <c r="AS1240" s="62">
        <f t="shared" ca="1" si="242"/>
        <v>0.38847686573896506</v>
      </c>
      <c r="AT1240" s="49"/>
    </row>
    <row r="1241" spans="1:46" x14ac:dyDescent="0.3">
      <c r="A1241" s="5">
        <v>45261</v>
      </c>
      <c r="B1241" s="6">
        <v>83.370002999999997</v>
      </c>
      <c r="C1241" s="6">
        <v>133.63000500000001</v>
      </c>
      <c r="D1241" s="6">
        <v>126.379997</v>
      </c>
      <c r="F1241" s="13">
        <v>1238</v>
      </c>
      <c r="G1241" s="5">
        <v>45261</v>
      </c>
      <c r="H1241" s="15">
        <f t="shared" si="238"/>
        <v>1.6813216736206189E-2</v>
      </c>
      <c r="I1241" s="15">
        <f t="shared" si="238"/>
        <v>3.2320974948028422E-2</v>
      </c>
      <c r="J1241" s="15">
        <f t="shared" si="238"/>
        <v>8.1036115825841547E-3</v>
      </c>
      <c r="K1241" s="22"/>
      <c r="L1241" s="13">
        <v>1238</v>
      </c>
      <c r="M1241" s="5">
        <v>45261</v>
      </c>
      <c r="N1241" s="26">
        <f t="shared" si="235"/>
        <v>1.4745313322509492</v>
      </c>
      <c r="O1241" s="26">
        <f t="shared" si="236"/>
        <v>1.2673558655660875</v>
      </c>
      <c r="P1241" s="26">
        <f t="shared" si="237"/>
        <v>1.6725780882101138</v>
      </c>
      <c r="Q1241" s="22"/>
      <c r="AD1241" s="59">
        <v>1237</v>
      </c>
      <c r="AE1241" s="61">
        <f t="shared" ca="1" si="239"/>
        <v>-1.0017377129948291</v>
      </c>
      <c r="AF1241" s="61">
        <f t="shared" ca="1" si="239"/>
        <v>0.70319357434620711</v>
      </c>
      <c r="AG1241" s="61">
        <f t="shared" ca="1" si="239"/>
        <v>1.2675657690921449</v>
      </c>
      <c r="AH1241" s="19"/>
      <c r="AI1241" s="61">
        <f ca="1"/>
        <v>-2.1721965884267454E-2</v>
      </c>
      <c r="AJ1241" s="61">
        <f ca="1"/>
        <v>-3.9490927212647818E-4</v>
      </c>
      <c r="AK1241" s="61">
        <f ca="1"/>
        <v>2.262596949033116E-2</v>
      </c>
      <c r="AL1241" s="19"/>
      <c r="AM1241" s="61">
        <f t="shared" ca="1" si="243"/>
        <v>-2.1370749561757208E-2</v>
      </c>
      <c r="AN1241" s="61">
        <f t="shared" ca="1" si="244"/>
        <v>-1.458566752099475E-4</v>
      </c>
      <c r="AO1241" s="61">
        <f t="shared" ca="1" si="245"/>
        <v>2.3057638093585978E-2</v>
      </c>
      <c r="AP1241" s="19"/>
      <c r="AQ1241" s="62">
        <f t="shared" ca="1" si="240"/>
        <v>0.96864340269146987</v>
      </c>
      <c r="AR1241" s="62">
        <f t="shared" ca="1" si="241"/>
        <v>1.1794938930880068</v>
      </c>
      <c r="AS1241" s="62">
        <f t="shared" ca="1" si="242"/>
        <v>0.39753829078774006</v>
      </c>
      <c r="AT1241" s="49"/>
    </row>
    <row r="1242" spans="1:46" x14ac:dyDescent="0.3">
      <c r="A1242" s="5">
        <v>45264</v>
      </c>
      <c r="B1242" s="6">
        <v>84.800003000000004</v>
      </c>
      <c r="C1242" s="6">
        <v>129.16999799999999</v>
      </c>
      <c r="D1242" s="6">
        <v>126.459999</v>
      </c>
      <c r="F1242" s="13">
        <v>1239</v>
      </c>
      <c r="G1242" s="5">
        <v>45264</v>
      </c>
      <c r="H1242" s="15">
        <f t="shared" si="238"/>
        <v>1.7007009768526978E-2</v>
      </c>
      <c r="I1242" s="15">
        <f t="shared" si="238"/>
        <v>-3.3945473449264109E-2</v>
      </c>
      <c r="J1242" s="15">
        <f t="shared" si="238"/>
        <v>6.3282711545260351E-4</v>
      </c>
      <c r="K1242" s="22"/>
      <c r="L1242" s="13">
        <v>1239</v>
      </c>
      <c r="M1242" s="5">
        <v>45264</v>
      </c>
      <c r="N1242" s="26">
        <f t="shared" si="235"/>
        <v>1.4998231605973973</v>
      </c>
      <c r="O1242" s="26">
        <f t="shared" si="236"/>
        <v>1.2250568621954312</v>
      </c>
      <c r="P1242" s="26">
        <f t="shared" si="237"/>
        <v>1.6736368759565081</v>
      </c>
      <c r="Q1242" s="22"/>
      <c r="AD1242" s="59">
        <v>1238</v>
      </c>
      <c r="AE1242" s="61">
        <f t="shared" ca="1" si="239"/>
        <v>0.16367594258446211</v>
      </c>
      <c r="AF1242" s="61">
        <f t="shared" ca="1" si="239"/>
        <v>0.63219296596107499</v>
      </c>
      <c r="AG1242" s="61">
        <f t="shared" ca="1" si="239"/>
        <v>-1.1309665565959384</v>
      </c>
      <c r="AH1242" s="19"/>
      <c r="AI1242" s="61">
        <f ca="1"/>
        <v>3.5491957573063411E-3</v>
      </c>
      <c r="AJ1242" s="61">
        <f ca="1"/>
        <v>1.630326860482971E-2</v>
      </c>
      <c r="AK1242" s="61">
        <f ca="1"/>
        <v>-2.2104716879895365E-2</v>
      </c>
      <c r="AL1242" s="19"/>
      <c r="AM1242" s="61">
        <f t="shared" ca="1" si="243"/>
        <v>3.9004120798165854E-3</v>
      </c>
      <c r="AN1242" s="61">
        <f t="shared" ca="1" si="244"/>
        <v>1.655232120174624E-2</v>
      </c>
      <c r="AO1242" s="61">
        <f t="shared" ca="1" si="245"/>
        <v>-2.1673048276640548E-2</v>
      </c>
      <c r="AP1242" s="19"/>
      <c r="AQ1242" s="62">
        <f t="shared" ca="1" si="240"/>
        <v>0.97242888879911715</v>
      </c>
      <c r="AR1242" s="62">
        <f t="shared" ca="1" si="241"/>
        <v>1.1991797285403702</v>
      </c>
      <c r="AS1242" s="62">
        <f t="shared" ca="1" si="242"/>
        <v>0.38901511939566213</v>
      </c>
      <c r="AT1242" s="49"/>
    </row>
    <row r="1243" spans="1:46" x14ac:dyDescent="0.3">
      <c r="A1243" s="5">
        <v>45265</v>
      </c>
      <c r="B1243" s="6">
        <v>82.370002999999997</v>
      </c>
      <c r="C1243" s="6">
        <v>129.10000600000001</v>
      </c>
      <c r="D1243" s="6">
        <v>125.650002</v>
      </c>
      <c r="F1243" s="13">
        <v>1240</v>
      </c>
      <c r="G1243" s="5">
        <v>45265</v>
      </c>
      <c r="H1243" s="15">
        <f t="shared" si="238"/>
        <v>-2.9074248801031558E-2</v>
      </c>
      <c r="I1243" s="15">
        <f t="shared" si="238"/>
        <v>-5.4200643225648835E-4</v>
      </c>
      <c r="J1243" s="15">
        <f t="shared" si="238"/>
        <v>-6.4257648159968522E-3</v>
      </c>
      <c r="K1243" s="22"/>
      <c r="L1243" s="13">
        <v>1240</v>
      </c>
      <c r="M1243" s="5">
        <v>45265</v>
      </c>
      <c r="N1243" s="26">
        <f t="shared" si="235"/>
        <v>1.456844739001685</v>
      </c>
      <c r="O1243" s="26">
        <f t="shared" si="236"/>
        <v>1.2243930534068086</v>
      </c>
      <c r="P1243" s="26">
        <f t="shared" si="237"/>
        <v>1.6629169577267593</v>
      </c>
      <c r="Q1243" s="22"/>
      <c r="AD1243" s="59">
        <v>1239</v>
      </c>
      <c r="AE1243" s="61">
        <f t="shared" ca="1" si="239"/>
        <v>-0.4779237678578131</v>
      </c>
      <c r="AF1243" s="61">
        <f t="shared" ca="1" si="239"/>
        <v>-0.83050100749205735</v>
      </c>
      <c r="AG1243" s="61">
        <f t="shared" ca="1" si="239"/>
        <v>0.88842345522274935</v>
      </c>
      <c r="AH1243" s="19"/>
      <c r="AI1243" s="61">
        <f ca="1"/>
        <v>-1.0363435104835235E-2</v>
      </c>
      <c r="AJ1243" s="61">
        <f ca="1"/>
        <v>-2.5532408839347903E-2</v>
      </c>
      <c r="AK1243" s="61">
        <f ca="1"/>
        <v>9.8510137094217683E-3</v>
      </c>
      <c r="AL1243" s="19"/>
      <c r="AM1243" s="61">
        <f t="shared" ca="1" si="243"/>
        <v>-1.0012218782324991E-2</v>
      </c>
      <c r="AN1243" s="61">
        <f t="shared" ca="1" si="244"/>
        <v>-2.5283356242431373E-2</v>
      </c>
      <c r="AO1243" s="61">
        <f t="shared" ca="1" si="245"/>
        <v>1.0282682312676587E-2</v>
      </c>
      <c r="AP1243" s="19"/>
      <c r="AQ1243" s="62">
        <f t="shared" ca="1" si="240"/>
        <v>0.96274129609025372</v>
      </c>
      <c r="AR1243" s="62">
        <f t="shared" ca="1" si="241"/>
        <v>1.1692405170054323</v>
      </c>
      <c r="AS1243" s="62">
        <f t="shared" ca="1" si="242"/>
        <v>0.39303587493181746</v>
      </c>
      <c r="AT1243" s="49"/>
    </row>
    <row r="1244" spans="1:46" x14ac:dyDescent="0.3">
      <c r="A1244" s="5">
        <v>45266</v>
      </c>
      <c r="B1244" s="6">
        <v>82.529999000000004</v>
      </c>
      <c r="C1244" s="6">
        <v>129.479996</v>
      </c>
      <c r="D1244" s="6">
        <v>122.730003</v>
      </c>
      <c r="F1244" s="13">
        <v>1241</v>
      </c>
      <c r="G1244" s="5">
        <v>45266</v>
      </c>
      <c r="H1244" s="15">
        <f t="shared" si="238"/>
        <v>1.9405221136031237E-3</v>
      </c>
      <c r="I1244" s="15">
        <f t="shared" si="238"/>
        <v>2.9390538370450414E-3</v>
      </c>
      <c r="J1244" s="15">
        <f t="shared" si="238"/>
        <v>-2.3513434853513655E-2</v>
      </c>
      <c r="K1244" s="22"/>
      <c r="L1244" s="13">
        <v>1241</v>
      </c>
      <c r="M1244" s="5">
        <v>45266</v>
      </c>
      <c r="N1244" s="26">
        <f t="shared" si="235"/>
        <v>1.4596745231751942</v>
      </c>
      <c r="O1244" s="26">
        <f t="shared" si="236"/>
        <v>1.227996903869558</v>
      </c>
      <c r="P1244" s="26">
        <f t="shared" si="237"/>
        <v>1.6242721843375381</v>
      </c>
      <c r="Q1244" s="22"/>
      <c r="AD1244" s="59">
        <v>1240</v>
      </c>
      <c r="AE1244" s="61">
        <f t="shared" ca="1" si="239"/>
        <v>1.448306109551051</v>
      </c>
      <c r="AF1244" s="61">
        <f t="shared" ca="1" si="239"/>
        <v>-0.71724567860536703</v>
      </c>
      <c r="AG1244" s="61">
        <f t="shared" ca="1" si="239"/>
        <v>0.75821619845872101</v>
      </c>
      <c r="AH1244" s="19"/>
      <c r="AI1244" s="61">
        <f ca="1"/>
        <v>3.1405482187138588E-2</v>
      </c>
      <c r="AJ1244" s="61">
        <f ca="1"/>
        <v>7.0793119328257017E-3</v>
      </c>
      <c r="AK1244" s="61">
        <f ca="1"/>
        <v>3.5773804104207371E-2</v>
      </c>
      <c r="AL1244" s="19"/>
      <c r="AM1244" s="61">
        <f t="shared" ca="1" si="243"/>
        <v>3.175669850964883E-2</v>
      </c>
      <c r="AN1244" s="61">
        <f t="shared" ca="1" si="244"/>
        <v>7.3283645297422323E-3</v>
      </c>
      <c r="AO1244" s="61">
        <f t="shared" ca="1" si="245"/>
        <v>3.6205472707462188E-2</v>
      </c>
      <c r="AP1244" s="19"/>
      <c r="AQ1244" s="62">
        <f t="shared" ca="1" si="240"/>
        <v>0.99380541753727203</v>
      </c>
      <c r="AR1244" s="62">
        <f t="shared" ca="1" si="241"/>
        <v>1.1778406115620235</v>
      </c>
      <c r="AS1244" s="62">
        <f t="shared" ca="1" si="242"/>
        <v>0.40752666463378756</v>
      </c>
      <c r="AT1244" s="49"/>
    </row>
    <row r="1245" spans="1:46" x14ac:dyDescent="0.3">
      <c r="A1245" s="5">
        <v>45267</v>
      </c>
      <c r="B1245" s="6">
        <v>83.089995999999999</v>
      </c>
      <c r="C1245" s="6">
        <v>131.16999799999999</v>
      </c>
      <c r="D1245" s="6">
        <v>122.07</v>
      </c>
      <c r="F1245" s="13">
        <v>1242</v>
      </c>
      <c r="G1245" s="5">
        <v>45267</v>
      </c>
      <c r="H1245" s="15">
        <f t="shared" si="238"/>
        <v>6.7624580485314773E-3</v>
      </c>
      <c r="I1245" s="15">
        <f t="shared" si="238"/>
        <v>1.2967778414424064E-2</v>
      </c>
      <c r="J1245" s="15">
        <f t="shared" si="238"/>
        <v>-5.3921943716096262E-3</v>
      </c>
      <c r="K1245" s="22"/>
      <c r="L1245" s="13">
        <v>1242</v>
      </c>
      <c r="M1245" s="5">
        <v>45267</v>
      </c>
      <c r="N1245" s="26">
        <f t="shared" si="235"/>
        <v>1.4695789623350024</v>
      </c>
      <c r="O1245" s="26">
        <f t="shared" si="236"/>
        <v>1.2440249953713012</v>
      </c>
      <c r="P1245" s="26">
        <f t="shared" si="237"/>
        <v>1.6155373640957482</v>
      </c>
      <c r="Q1245" s="22"/>
      <c r="AD1245" s="59">
        <v>1241</v>
      </c>
      <c r="AE1245" s="61">
        <f t="shared" ca="1" si="239"/>
        <v>0.87865005012415565</v>
      </c>
      <c r="AF1245" s="61">
        <f t="shared" ca="1" si="239"/>
        <v>2.0289341842296418</v>
      </c>
      <c r="AG1245" s="61">
        <f t="shared" ca="1" si="239"/>
        <v>-0.46277526367917826</v>
      </c>
      <c r="AH1245" s="19"/>
      <c r="AI1245" s="61">
        <f ca="1"/>
        <v>1.9052897944659211E-2</v>
      </c>
      <c r="AJ1245" s="61">
        <f ca="1"/>
        <v>5.7853876658633077E-2</v>
      </c>
      <c r="AK1245" s="61">
        <f ca="1"/>
        <v>1.5414942017090698E-2</v>
      </c>
      <c r="AL1245" s="19"/>
      <c r="AM1245" s="61">
        <f t="shared" ca="1" si="243"/>
        <v>1.9404114267169457E-2</v>
      </c>
      <c r="AN1245" s="61">
        <f t="shared" ca="1" si="244"/>
        <v>5.8102929255549607E-2</v>
      </c>
      <c r="AO1245" s="61">
        <f t="shared" ca="1" si="245"/>
        <v>1.5846610620345515E-2</v>
      </c>
      <c r="AP1245" s="19"/>
      <c r="AQ1245" s="62">
        <f t="shared" ca="1" si="240"/>
        <v>1.0132776410747095</v>
      </c>
      <c r="AR1245" s="62">
        <f t="shared" ca="1" si="241"/>
        <v>1.2483038390013923</v>
      </c>
      <c r="AS1245" s="62">
        <f t="shared" ca="1" si="242"/>
        <v>0.41403602040290555</v>
      </c>
      <c r="AT1245" s="49"/>
    </row>
    <row r="1246" spans="1:46" x14ac:dyDescent="0.3">
      <c r="A1246" s="5">
        <v>45268</v>
      </c>
      <c r="B1246" s="6">
        <v>83.089995999999999</v>
      </c>
      <c r="C1246" s="6">
        <v>131.759995</v>
      </c>
      <c r="D1246" s="6">
        <v>122.739998</v>
      </c>
      <c r="F1246" s="13">
        <v>1243</v>
      </c>
      <c r="G1246" s="5">
        <v>45268</v>
      </c>
      <c r="H1246" s="15">
        <f t="shared" si="238"/>
        <v>0</v>
      </c>
      <c r="I1246" s="15">
        <f t="shared" si="238"/>
        <v>4.4878713419349812E-3</v>
      </c>
      <c r="J1246" s="15">
        <f t="shared" si="238"/>
        <v>5.4736299846361632E-3</v>
      </c>
      <c r="K1246" s="22"/>
      <c r="L1246" s="13">
        <v>1243</v>
      </c>
      <c r="M1246" s="5">
        <v>45268</v>
      </c>
      <c r="N1246" s="26">
        <f t="shared" si="235"/>
        <v>1.4695789623350024</v>
      </c>
      <c r="O1246" s="26">
        <f t="shared" si="236"/>
        <v>1.2496205662059832</v>
      </c>
      <c r="P1246" s="26">
        <f t="shared" si="237"/>
        <v>1.6244044633246286</v>
      </c>
      <c r="Q1246" s="22"/>
      <c r="AD1246" s="59">
        <v>1242</v>
      </c>
      <c r="AE1246" s="61">
        <f t="shared" ca="1" si="239"/>
        <v>-1.4336125739161889</v>
      </c>
      <c r="AF1246" s="61">
        <f t="shared" ca="1" si="239"/>
        <v>-1.809635056923796</v>
      </c>
      <c r="AG1246" s="61">
        <f t="shared" ca="1" si="239"/>
        <v>1.1010423787067234</v>
      </c>
      <c r="AH1246" s="19"/>
      <c r="AI1246" s="61">
        <f ca="1"/>
        <v>-3.1086863375408388E-2</v>
      </c>
      <c r="AJ1246" s="61">
        <f ca="1"/>
        <v>-6.177364791934413E-2</v>
      </c>
      <c r="AK1246" s="61">
        <f ca="1"/>
        <v>-5.7180360285385562E-3</v>
      </c>
      <c r="AL1246" s="19"/>
      <c r="AM1246" s="61">
        <f t="shared" ca="1" si="243"/>
        <v>-3.0735647052898142E-2</v>
      </c>
      <c r="AN1246" s="61">
        <f t="shared" ca="1" si="244"/>
        <v>-6.15245953224276E-2</v>
      </c>
      <c r="AO1246" s="61">
        <f t="shared" ca="1" si="245"/>
        <v>-5.2863674252837381E-3</v>
      </c>
      <c r="AP1246" s="19"/>
      <c r="AQ1246" s="62">
        <f t="shared" ca="1" si="240"/>
        <v>0.98260764266170564</v>
      </c>
      <c r="AR1246" s="62">
        <f t="shared" ca="1" si="241"/>
        <v>1.173817321412264</v>
      </c>
      <c r="AS1246" s="62">
        <f t="shared" ca="1" si="242"/>
        <v>0.41185304895005903</v>
      </c>
      <c r="AT1246" s="49"/>
    </row>
    <row r="1247" spans="1:46" x14ac:dyDescent="0.3">
      <c r="A1247" s="5">
        <v>45271</v>
      </c>
      <c r="B1247" s="6">
        <v>83.879997000000003</v>
      </c>
      <c r="C1247" s="6">
        <v>134.25</v>
      </c>
      <c r="D1247" s="6">
        <v>123.480003</v>
      </c>
      <c r="F1247" s="13">
        <v>1244</v>
      </c>
      <c r="G1247" s="5">
        <v>45271</v>
      </c>
      <c r="H1247" s="15">
        <f t="shared" si="238"/>
        <v>9.4628607320211815E-3</v>
      </c>
      <c r="I1247" s="15">
        <f t="shared" si="238"/>
        <v>1.8721685467373819E-2</v>
      </c>
      <c r="J1247" s="15">
        <f t="shared" si="238"/>
        <v>6.0109432630463169E-3</v>
      </c>
      <c r="K1247" s="22"/>
      <c r="L1247" s="13">
        <v>1244</v>
      </c>
      <c r="M1247" s="5">
        <v>45271</v>
      </c>
      <c r="N1247" s="26">
        <f t="shared" si="235"/>
        <v>1.4835513886885148</v>
      </c>
      <c r="O1247" s="26">
        <f t="shared" si="236"/>
        <v>1.2732359394302741</v>
      </c>
      <c r="P1247" s="26">
        <f t="shared" si="237"/>
        <v>1.634198071312813</v>
      </c>
      <c r="Q1247" s="22"/>
      <c r="AD1247" s="59">
        <v>1243</v>
      </c>
      <c r="AE1247" s="61">
        <f t="shared" ca="1" si="239"/>
        <v>0.79177764812274543</v>
      </c>
      <c r="AF1247" s="61">
        <f t="shared" ca="1" si="239"/>
        <v>0.1971767324194251</v>
      </c>
      <c r="AG1247" s="61">
        <f t="shared" ca="1" si="239"/>
        <v>-0.14161971770943382</v>
      </c>
      <c r="AH1247" s="19"/>
      <c r="AI1247" s="61">
        <f ca="1"/>
        <v>1.7169132036597864E-2</v>
      </c>
      <c r="AJ1247" s="61">
        <f ca="1"/>
        <v>1.6679008232871575E-2</v>
      </c>
      <c r="AK1247" s="61">
        <f ca="1"/>
        <v>9.4592656803812146E-3</v>
      </c>
      <c r="AL1247" s="19"/>
      <c r="AM1247" s="61">
        <f t="shared" ca="1" si="243"/>
        <v>1.7520348359108109E-2</v>
      </c>
      <c r="AN1247" s="61">
        <f t="shared" ca="1" si="244"/>
        <v>1.6928060829788105E-2</v>
      </c>
      <c r="AO1247" s="61">
        <f t="shared" ca="1" si="245"/>
        <v>9.8909342836360336E-3</v>
      </c>
      <c r="AP1247" s="19"/>
      <c r="AQ1247" s="62">
        <f t="shared" ca="1" si="240"/>
        <v>0.99997496739347769</v>
      </c>
      <c r="AR1247" s="62">
        <f t="shared" ca="1" si="241"/>
        <v>1.193856909574077</v>
      </c>
      <c r="AS1247" s="62">
        <f t="shared" ca="1" si="242"/>
        <v>0.4159468728884676</v>
      </c>
      <c r="AT1247" s="49"/>
    </row>
    <row r="1248" spans="1:46" x14ac:dyDescent="0.3">
      <c r="A1248" s="5">
        <v>45272</v>
      </c>
      <c r="B1248" s="6">
        <v>83.720000999999996</v>
      </c>
      <c r="C1248" s="6">
        <v>135.33999600000001</v>
      </c>
      <c r="D1248" s="6">
        <v>120.900002</v>
      </c>
      <c r="F1248" s="13">
        <v>1245</v>
      </c>
      <c r="G1248" s="5">
        <v>45272</v>
      </c>
      <c r="H1248" s="15">
        <f t="shared" si="238"/>
        <v>-1.9092607459635044E-3</v>
      </c>
      <c r="I1248" s="15">
        <f t="shared" si="238"/>
        <v>8.0863678599107681E-3</v>
      </c>
      <c r="J1248" s="15">
        <f t="shared" si="238"/>
        <v>-2.1115449766046651E-2</v>
      </c>
      <c r="K1248" s="22"/>
      <c r="L1248" s="13">
        <v>1245</v>
      </c>
      <c r="M1248" s="5">
        <v>45272</v>
      </c>
      <c r="N1248" s="26">
        <f t="shared" si="235"/>
        <v>1.4807216045150053</v>
      </c>
      <c r="O1248" s="26">
        <f t="shared" si="236"/>
        <v>1.2835735340748571</v>
      </c>
      <c r="P1248" s="26">
        <f t="shared" si="237"/>
        <v>1.6000530068833514</v>
      </c>
      <c r="Q1248" s="22"/>
      <c r="AD1248" s="59">
        <v>1244</v>
      </c>
      <c r="AE1248" s="61">
        <f t="shared" ca="1" si="239"/>
        <v>-0.28196353053144202</v>
      </c>
      <c r="AF1248" s="61">
        <f t="shared" ca="1" si="239"/>
        <v>0.66755405391717693</v>
      </c>
      <c r="AG1248" s="61">
        <f t="shared" ca="1" si="239"/>
        <v>-0.33154358726071131</v>
      </c>
      <c r="AH1248" s="19"/>
      <c r="AI1248" s="61">
        <f ca="1"/>
        <v>-6.1141775051082705E-3</v>
      </c>
      <c r="AJ1248" s="61">
        <f ca="1"/>
        <v>1.0096578212653827E-2</v>
      </c>
      <c r="AK1248" s="61">
        <f ca="1"/>
        <v>-7.9590737775605425E-3</v>
      </c>
      <c r="AL1248" s="19"/>
      <c r="AM1248" s="61">
        <f t="shared" ca="1" si="243"/>
        <v>-5.7629611825980266E-3</v>
      </c>
      <c r="AN1248" s="61">
        <f t="shared" ca="1" si="244"/>
        <v>1.0345630809570358E-2</v>
      </c>
      <c r="AO1248" s="61">
        <f t="shared" ca="1" si="245"/>
        <v>-7.5274051743057244E-3</v>
      </c>
      <c r="AP1248" s="19"/>
      <c r="AQ1248" s="62">
        <f t="shared" ca="1" si="240"/>
        <v>0.99422872406498719</v>
      </c>
      <c r="AR1248" s="62">
        <f t="shared" ca="1" si="241"/>
        <v>1.206272223792421</v>
      </c>
      <c r="AS1248" s="62">
        <f t="shared" ca="1" si="242"/>
        <v>0.4128276268879939</v>
      </c>
      <c r="AT1248" s="49"/>
    </row>
    <row r="1249" spans="1:46" x14ac:dyDescent="0.3">
      <c r="A1249" s="5">
        <v>45273</v>
      </c>
      <c r="B1249" s="6">
        <v>84.120002999999997</v>
      </c>
      <c r="C1249" s="6">
        <v>138.38999899999999</v>
      </c>
      <c r="D1249" s="6">
        <v>124.800003</v>
      </c>
      <c r="F1249" s="13">
        <v>1246</v>
      </c>
      <c r="G1249" s="5">
        <v>45273</v>
      </c>
      <c r="H1249" s="15">
        <f t="shared" si="238"/>
        <v>4.7664769754603526E-3</v>
      </c>
      <c r="I1249" s="15">
        <f t="shared" si="238"/>
        <v>2.2285677762998359E-2</v>
      </c>
      <c r="J1249" s="15">
        <f t="shared" si="238"/>
        <v>3.1748705810444457E-2</v>
      </c>
      <c r="K1249" s="22"/>
      <c r="L1249" s="13">
        <v>1246</v>
      </c>
      <c r="M1249" s="5">
        <v>45273</v>
      </c>
      <c r="N1249" s="26">
        <f t="shared" si="235"/>
        <v>1.4877962771878974</v>
      </c>
      <c r="O1249" s="26">
        <f t="shared" si="236"/>
        <v>1.3124999656202585</v>
      </c>
      <c r="P1249" s="26">
        <f t="shared" si="237"/>
        <v>1.6516676323892969</v>
      </c>
      <c r="Q1249" s="22"/>
      <c r="AD1249" s="59">
        <v>1245</v>
      </c>
      <c r="AE1249" s="61">
        <f t="shared" ca="1" si="239"/>
        <v>-2.272445936656319</v>
      </c>
      <c r="AF1249" s="61">
        <f t="shared" ca="1" si="239"/>
        <v>-0.57706719878533652</v>
      </c>
      <c r="AG1249" s="61">
        <f t="shared" ca="1" si="239"/>
        <v>-0.86385145348314796</v>
      </c>
      <c r="AH1249" s="19"/>
      <c r="AI1249" s="61">
        <f ca="1"/>
        <v>-4.927636493021359E-2</v>
      </c>
      <c r="AJ1249" s="61">
        <f ca="1"/>
        <v>-4.8112234497009757E-2</v>
      </c>
      <c r="AK1249" s="61">
        <f ca="1"/>
        <v>-5.9772438116152432E-2</v>
      </c>
      <c r="AL1249" s="19"/>
      <c r="AM1249" s="61">
        <f t="shared" ca="1" si="243"/>
        <v>-4.8925148607703348E-2</v>
      </c>
      <c r="AN1249" s="61">
        <f t="shared" ca="1" si="244"/>
        <v>-4.7863181900093227E-2</v>
      </c>
      <c r="AO1249" s="61">
        <f t="shared" ca="1" si="245"/>
        <v>-5.9340769512897615E-2</v>
      </c>
      <c r="AP1249" s="19"/>
      <c r="AQ1249" s="62">
        <f t="shared" ca="1" si="240"/>
        <v>0.94675669306339927</v>
      </c>
      <c r="AR1249" s="62">
        <f t="shared" ca="1" si="241"/>
        <v>1.1498961287510268</v>
      </c>
      <c r="AS1249" s="62">
        <f t="shared" ca="1" si="242"/>
        <v>0.38904280184515011</v>
      </c>
      <c r="AT1249" s="49"/>
    </row>
    <row r="1250" spans="1:46" x14ac:dyDescent="0.3">
      <c r="A1250" s="5">
        <v>45274</v>
      </c>
      <c r="B1250" s="6">
        <v>86.620002999999997</v>
      </c>
      <c r="C1250" s="6">
        <v>141.85000600000001</v>
      </c>
      <c r="D1250" s="6">
        <v>129.179993</v>
      </c>
      <c r="F1250" s="13">
        <v>1247</v>
      </c>
      <c r="G1250" s="5">
        <v>45274</v>
      </c>
      <c r="H1250" s="15">
        <f t="shared" si="238"/>
        <v>2.9286383922677305E-2</v>
      </c>
      <c r="I1250" s="15">
        <f t="shared" si="238"/>
        <v>2.4694424541178726E-2</v>
      </c>
      <c r="J1250" s="15">
        <f t="shared" si="238"/>
        <v>3.4494246442581804E-2</v>
      </c>
      <c r="K1250" s="22"/>
      <c r="L1250" s="13">
        <v>1247</v>
      </c>
      <c r="M1250" s="5">
        <v>45274</v>
      </c>
      <c r="N1250" s="26">
        <f t="shared" si="235"/>
        <v>1.5320127603110585</v>
      </c>
      <c r="O1250" s="26">
        <f t="shared" si="236"/>
        <v>1.3453149024029798</v>
      </c>
      <c r="P1250" s="26">
        <f t="shared" si="237"/>
        <v>1.7096346799797428</v>
      </c>
      <c r="Q1250" s="22"/>
      <c r="AD1250" s="59">
        <v>1246</v>
      </c>
      <c r="AE1250" s="61">
        <f t="shared" ca="1" si="239"/>
        <v>-0.47517304136082394</v>
      </c>
      <c r="AF1250" s="61">
        <f t="shared" ca="1" si="239"/>
        <v>0.77368109148393704</v>
      </c>
      <c r="AG1250" s="61">
        <f t="shared" ca="1" si="239"/>
        <v>0.36112771053756015</v>
      </c>
      <c r="AH1250" s="19"/>
      <c r="AI1250" s="61">
        <f ca="1"/>
        <v>-1.0303787568010536E-2</v>
      </c>
      <c r="AJ1250" s="61">
        <f ca="1"/>
        <v>9.3791768178803879E-3</v>
      </c>
      <c r="AK1250" s="61">
        <f ca="1"/>
        <v>7.679753243169345E-3</v>
      </c>
      <c r="AL1250" s="19"/>
      <c r="AM1250" s="61">
        <f t="shared" ca="1" si="243"/>
        <v>-9.9525712455002923E-3</v>
      </c>
      <c r="AN1250" s="61">
        <f t="shared" ca="1" si="244"/>
        <v>9.6282294147969193E-3</v>
      </c>
      <c r="AO1250" s="61">
        <f t="shared" ca="1" si="245"/>
        <v>8.111421846424164E-3</v>
      </c>
      <c r="AP1250" s="19"/>
      <c r="AQ1250" s="62">
        <f t="shared" ca="1" si="240"/>
        <v>0.93738076431617801</v>
      </c>
      <c r="AR1250" s="62">
        <f t="shared" ca="1" si="241"/>
        <v>1.1610210632500355</v>
      </c>
      <c r="AS1250" s="62">
        <f t="shared" ca="1" si="242"/>
        <v>0.39221132536992603</v>
      </c>
      <c r="AT1250" s="49"/>
    </row>
    <row r="1251" spans="1:46" x14ac:dyDescent="0.3">
      <c r="A1251" s="5">
        <v>45275</v>
      </c>
      <c r="B1251" s="6">
        <v>87.010002</v>
      </c>
      <c r="C1251" s="6">
        <v>141.050003</v>
      </c>
      <c r="D1251" s="6">
        <v>128.570007</v>
      </c>
      <c r="F1251" s="13">
        <v>1248</v>
      </c>
      <c r="G1251" s="5">
        <v>45275</v>
      </c>
      <c r="H1251" s="15">
        <f t="shared" si="238"/>
        <v>4.4923071432828674E-3</v>
      </c>
      <c r="I1251" s="15">
        <f t="shared" si="238"/>
        <v>-5.655744836003204E-3</v>
      </c>
      <c r="J1251" s="15">
        <f t="shared" si="238"/>
        <v>-4.7331688751649226E-3</v>
      </c>
      <c r="K1251" s="22"/>
      <c r="L1251" s="13">
        <v>1248</v>
      </c>
      <c r="M1251" s="5">
        <v>45275</v>
      </c>
      <c r="N1251" s="26">
        <f t="shared" si="235"/>
        <v>1.5389105139916783</v>
      </c>
      <c r="O1251" s="26">
        <f t="shared" si="236"/>
        <v>1.3377276206804321</v>
      </c>
      <c r="P1251" s="26">
        <f t="shared" si="237"/>
        <v>1.7015618105230761</v>
      </c>
      <c r="Q1251" s="22"/>
      <c r="AD1251" s="59">
        <v>1247</v>
      </c>
      <c r="AE1251" s="61">
        <f t="shared" ca="1" si="239"/>
        <v>-1.3153797428445475</v>
      </c>
      <c r="AF1251" s="61">
        <f t="shared" ca="1" si="239"/>
        <v>0.3244453775803614</v>
      </c>
      <c r="AG1251" s="61">
        <f t="shared" ca="1" si="239"/>
        <v>-1.2053394979727912</v>
      </c>
      <c r="AH1251" s="19"/>
      <c r="AI1251" s="61">
        <f ca="1"/>
        <v>-2.8523068991287193E-2</v>
      </c>
      <c r="AJ1251" s="61">
        <f ca="1"/>
        <v>-1.3536617784104615E-2</v>
      </c>
      <c r="AK1251" s="61">
        <f ca="1"/>
        <v>-4.8031303989606408E-2</v>
      </c>
      <c r="AL1251" s="19"/>
      <c r="AM1251" s="61">
        <f t="shared" ca="1" si="243"/>
        <v>-2.8171852668776948E-2</v>
      </c>
      <c r="AN1251" s="61">
        <f t="shared" ca="1" si="244"/>
        <v>-1.3287565187188084E-2</v>
      </c>
      <c r="AO1251" s="61">
        <f t="shared" ca="1" si="245"/>
        <v>-4.7599635386351591E-2</v>
      </c>
      <c r="AP1251" s="19"/>
      <c r="AQ1251" s="62">
        <f t="shared" ca="1" si="240"/>
        <v>0.91134152055358808</v>
      </c>
      <c r="AR1251" s="62">
        <f t="shared" ca="1" si="241"/>
        <v>1.1456959623091525</v>
      </c>
      <c r="AS1251" s="62">
        <f t="shared" ca="1" si="242"/>
        <v>0.37397956409928446</v>
      </c>
      <c r="AT1251" s="49"/>
    </row>
    <row r="1252" spans="1:46" x14ac:dyDescent="0.3">
      <c r="A1252" s="5">
        <v>45278</v>
      </c>
      <c r="B1252" s="6">
        <v>87.199996999999996</v>
      </c>
      <c r="C1252" s="6">
        <v>143.58999600000001</v>
      </c>
      <c r="D1252" s="6">
        <v>131.91999799999999</v>
      </c>
      <c r="F1252" s="13">
        <v>1249</v>
      </c>
      <c r="G1252" s="5">
        <v>45278</v>
      </c>
      <c r="H1252" s="15">
        <f t="shared" si="238"/>
        <v>2.1812189474670141E-3</v>
      </c>
      <c r="I1252" s="15">
        <f t="shared" si="238"/>
        <v>1.784752973213339E-2</v>
      </c>
      <c r="J1252" s="15">
        <f t="shared" si="238"/>
        <v>2.572210554943434E-2</v>
      </c>
      <c r="K1252" s="22"/>
      <c r="L1252" s="13">
        <v>1249</v>
      </c>
      <c r="M1252" s="5">
        <v>45278</v>
      </c>
      <c r="N1252" s="26">
        <f t="shared" si="235"/>
        <v>1.5422708782760721</v>
      </c>
      <c r="O1252" s="26">
        <f t="shared" si="236"/>
        <v>1.3618170834253209</v>
      </c>
      <c r="P1252" s="26">
        <f t="shared" si="237"/>
        <v>1.7458973199019938</v>
      </c>
      <c r="Q1252" s="22"/>
      <c r="AD1252" s="59">
        <v>1248</v>
      </c>
      <c r="AE1252" s="61">
        <f t="shared" ca="1" si="239"/>
        <v>0.54489064977723389</v>
      </c>
      <c r="AF1252" s="61">
        <f t="shared" ca="1" si="239"/>
        <v>-0.50599693092271281</v>
      </c>
      <c r="AG1252" s="61">
        <f t="shared" ca="1" si="239"/>
        <v>-0.4647817616122511</v>
      </c>
      <c r="AH1252" s="19"/>
      <c r="AI1252" s="61">
        <f ca="1"/>
        <v>1.1815564045933546E-2</v>
      </c>
      <c r="AJ1252" s="61">
        <f ca="1"/>
        <v>-2.4695456236412897E-3</v>
      </c>
      <c r="AK1252" s="61">
        <f ca="1"/>
        <v>-7.4200944691323757E-3</v>
      </c>
      <c r="AL1252" s="19"/>
      <c r="AM1252" s="61">
        <f t="shared" ca="1" si="243"/>
        <v>1.216678036844379E-2</v>
      </c>
      <c r="AN1252" s="61">
        <f t="shared" ca="1" si="244"/>
        <v>-2.2204930267247592E-3</v>
      </c>
      <c r="AO1252" s="61">
        <f t="shared" ca="1" si="245"/>
        <v>-6.9884258658775575E-3</v>
      </c>
      <c r="AP1252" s="19"/>
      <c r="AQ1252" s="62">
        <f t="shared" ca="1" si="240"/>
        <v>0.92249734026242147</v>
      </c>
      <c r="AR1252" s="62">
        <f t="shared" ca="1" si="241"/>
        <v>1.1431547748027964</v>
      </c>
      <c r="AS1252" s="62">
        <f t="shared" ca="1" si="242"/>
        <v>0.37137514662898813</v>
      </c>
      <c r="AT1252" s="49"/>
    </row>
    <row r="1253" spans="1:46" x14ac:dyDescent="0.3">
      <c r="A1253" s="5">
        <v>45279</v>
      </c>
      <c r="B1253" s="6">
        <v>87.370002999999997</v>
      </c>
      <c r="C1253" s="6">
        <v>146.41000399999999</v>
      </c>
      <c r="D1253" s="6">
        <v>133.60000600000001</v>
      </c>
      <c r="F1253" s="13">
        <v>1250</v>
      </c>
      <c r="G1253" s="5">
        <v>45279</v>
      </c>
      <c r="H1253" s="15">
        <f t="shared" si="238"/>
        <v>1.9477121354677905E-3</v>
      </c>
      <c r="I1253" s="15">
        <f t="shared" si="238"/>
        <v>1.9448944076736367E-2</v>
      </c>
      <c r="J1253" s="15">
        <f t="shared" si="238"/>
        <v>1.2654642922084205E-2</v>
      </c>
      <c r="K1253" s="22"/>
      <c r="L1253" s="13">
        <v>1250</v>
      </c>
      <c r="M1253" s="5">
        <v>45279</v>
      </c>
      <c r="N1253" s="26">
        <f t="shared" si="235"/>
        <v>1.5452777052480067</v>
      </c>
      <c r="O1253" s="26">
        <f t="shared" si="236"/>
        <v>1.38856222707583</v>
      </c>
      <c r="P1253" s="26">
        <f t="shared" si="237"/>
        <v>1.7681314126027374</v>
      </c>
      <c r="Q1253" s="22"/>
      <c r="AD1253" s="59">
        <v>1249</v>
      </c>
      <c r="AE1253" s="61">
        <f t="shared" ca="1" si="239"/>
        <v>-0.56299878162277961</v>
      </c>
      <c r="AF1253" s="61">
        <f t="shared" ca="1" si="239"/>
        <v>-1.1279613900544014</v>
      </c>
      <c r="AG1253" s="61">
        <f t="shared" ca="1" si="239"/>
        <v>-1.0532466355624839</v>
      </c>
      <c r="AH1253" s="19"/>
      <c r="AI1253" s="61">
        <f ca="1"/>
        <v>-1.2208225934444069E-2</v>
      </c>
      <c r="AJ1253" s="61">
        <f ca="1"/>
        <v>-3.3329635817487421E-2</v>
      </c>
      <c r="AK1253" s="61">
        <f ca="1"/>
        <v>-4.3246369691790035E-2</v>
      </c>
      <c r="AL1253" s="19"/>
      <c r="AM1253" s="61">
        <f t="shared" ca="1" si="243"/>
        <v>-1.1857009611933825E-2</v>
      </c>
      <c r="AN1253" s="61">
        <f t="shared" ca="1" si="244"/>
        <v>-3.3080583220570892E-2</v>
      </c>
      <c r="AO1253" s="61">
        <f t="shared" ca="1" si="245"/>
        <v>-4.2814701088535217E-2</v>
      </c>
      <c r="AP1253" s="19"/>
      <c r="AQ1253" s="62">
        <f t="shared" ca="1" si="240"/>
        <v>0.91162387123558319</v>
      </c>
      <c r="AR1253" s="62">
        <f t="shared" ca="1" si="241"/>
        <v>1.1059571990161625</v>
      </c>
      <c r="AS1253" s="62">
        <f t="shared" ca="1" si="242"/>
        <v>0.35581040811691322</v>
      </c>
      <c r="AT1253" s="49"/>
    </row>
    <row r="1254" spans="1:46" x14ac:dyDescent="0.3">
      <c r="A1254" s="5">
        <v>45280</v>
      </c>
      <c r="B1254" s="6">
        <v>86.139999000000003</v>
      </c>
      <c r="C1254" s="6">
        <v>145.550003</v>
      </c>
      <c r="D1254" s="6">
        <v>132.53999300000001</v>
      </c>
      <c r="F1254" s="13">
        <v>1251</v>
      </c>
      <c r="G1254" s="5">
        <v>45280</v>
      </c>
      <c r="H1254" s="15">
        <f t="shared" si="238"/>
        <v>-1.4178140629775534E-2</v>
      </c>
      <c r="I1254" s="15">
        <f t="shared" si="238"/>
        <v>-5.8912417228227845E-3</v>
      </c>
      <c r="J1254" s="15">
        <f t="shared" si="238"/>
        <v>-7.9658721668892582E-3</v>
      </c>
      <c r="K1254" s="22"/>
      <c r="L1254" s="13">
        <v>1251</v>
      </c>
      <c r="M1254" s="5">
        <v>45280</v>
      </c>
      <c r="N1254" s="26">
        <f t="shared" si="235"/>
        <v>1.5235231248050387</v>
      </c>
      <c r="O1254" s="26">
        <f t="shared" si="236"/>
        <v>1.3804059203261396</v>
      </c>
      <c r="P1254" s="26">
        <f t="shared" si="237"/>
        <v>1.7541026536289748</v>
      </c>
      <c r="Q1254" s="22"/>
      <c r="AD1254" s="13">
        <v>1250</v>
      </c>
      <c r="AE1254" s="61">
        <f t="shared" ca="1" si="239"/>
        <v>-0.62973392766070346</v>
      </c>
      <c r="AF1254" s="61">
        <f t="shared" ca="1" si="239"/>
        <v>-0.38918253116340368</v>
      </c>
      <c r="AG1254" s="61">
        <f t="shared" ca="1" si="239"/>
        <v>0.12648979115119405</v>
      </c>
      <c r="AH1254" s="19"/>
      <c r="AI1254" s="61">
        <f ca="1"/>
        <v>-1.3655329848684812E-2</v>
      </c>
      <c r="AJ1254" s="61">
        <f ca="1"/>
        <v>-1.8316086585872172E-2</v>
      </c>
      <c r="AK1254" s="61">
        <f ca="1"/>
        <v>-8.8048025531164004E-3</v>
      </c>
      <c r="AL1254" s="19"/>
      <c r="AM1254" s="61">
        <f ca="1">AI1254+T$3</f>
        <v>-1.3304113526174569E-2</v>
      </c>
      <c r="AN1254" s="61">
        <f t="shared" ca="1" si="244"/>
        <v>-1.8067033988955643E-2</v>
      </c>
      <c r="AO1254" s="61">
        <f ca="1">AK1254+V$3</f>
        <v>-8.3731339498615814E-3</v>
      </c>
      <c r="AP1254" s="19"/>
      <c r="AQ1254" s="62">
        <f t="shared" ca="1" si="240"/>
        <v>0.89957584561707971</v>
      </c>
      <c r="AR1254" s="62">
        <f t="shared" ca="1" si="241"/>
        <v>1.0861552525701998</v>
      </c>
      <c r="AS1254" s="62">
        <f t="shared" ca="1" si="242"/>
        <v>0.35284359799169918</v>
      </c>
      <c r="AT1254" s="49"/>
    </row>
    <row r="1255" spans="1:46" x14ac:dyDescent="0.3">
      <c r="A1255" s="5">
        <v>45281</v>
      </c>
      <c r="B1255" s="6">
        <v>86.82</v>
      </c>
      <c r="C1255" s="6">
        <v>147.91999799999999</v>
      </c>
      <c r="D1255" s="6">
        <v>131.91999799999999</v>
      </c>
      <c r="F1255" s="13">
        <v>1252</v>
      </c>
      <c r="G1255" s="5">
        <v>45281</v>
      </c>
      <c r="H1255" s="15">
        <f t="shared" si="238"/>
        <v>7.8631418544915319E-3</v>
      </c>
      <c r="I1255" s="15">
        <f t="shared" si="238"/>
        <v>1.6151882754941529E-2</v>
      </c>
      <c r="J1255" s="15">
        <f t="shared" si="238"/>
        <v>-4.6887707551948642E-3</v>
      </c>
      <c r="K1255" s="22"/>
      <c r="L1255" s="13">
        <v>1252</v>
      </c>
      <c r="M1255" s="5">
        <v>45281</v>
      </c>
      <c r="N1255" s="26">
        <f t="shared" si="235"/>
        <v>1.5355500259011314</v>
      </c>
      <c r="O1255" s="26">
        <f t="shared" si="236"/>
        <v>1.4028831107192126</v>
      </c>
      <c r="P1255" s="26">
        <f t="shared" si="237"/>
        <v>1.7458973199019938</v>
      </c>
      <c r="Q1255" s="22"/>
      <c r="AD1255" s="13">
        <v>1251</v>
      </c>
      <c r="AE1255" s="61">
        <f t="shared" ca="1" si="239"/>
        <v>-1.7974363923731895</v>
      </c>
      <c r="AF1255" s="61">
        <f t="shared" ca="1" si="239"/>
        <v>1.5451384771760179</v>
      </c>
      <c r="AG1255" s="61">
        <f t="shared" ca="1" si="239"/>
        <v>-0.49330293847757473</v>
      </c>
      <c r="AH1255" s="19"/>
      <c r="AI1255" s="13">
        <f ca="1"/>
        <v>-3.897612267940314E-2</v>
      </c>
      <c r="AJ1255" s="13">
        <f ca="1"/>
        <v>5.4510753538362586E-3</v>
      </c>
      <c r="AK1255" s="13">
        <f ca="1"/>
        <v>-2.8314926366037253E-2</v>
      </c>
      <c r="AL1255" s="19"/>
      <c r="AM1255" s="61">
        <f t="shared" ref="AM1255:AM1261" ca="1" si="246">AI1255+T$3</f>
        <v>-3.8624906356892898E-2</v>
      </c>
      <c r="AN1255" s="61">
        <f t="shared" ref="AN1255:AN1261" ca="1" si="247">AJ1255+U$3</f>
        <v>5.7001279507527891E-3</v>
      </c>
      <c r="AO1255" s="61">
        <f t="shared" ref="AO1255:AO1261" ca="1" si="248">AK1255+V$3</f>
        <v>-2.7883257762782436E-2</v>
      </c>
      <c r="AP1255" s="19"/>
      <c r="AQ1255" s="62">
        <f t="shared" ref="AQ1255:AQ1261" ca="1" si="249">AQ1254*EXP(AM1255)</f>
        <v>0.86549228723055616</v>
      </c>
      <c r="AR1255" s="62">
        <f t="shared" ref="AR1255:AR1261" ca="1" si="250">AR1254*EXP(AN1255)</f>
        <v>1.0923641554432872</v>
      </c>
      <c r="AS1255" s="62">
        <f t="shared" ref="AS1255:AS1261" ca="1" si="251">AS1254*EXP(AO1255)</f>
        <v>0.34314106670503153</v>
      </c>
      <c r="AT1255" s="49"/>
    </row>
    <row r="1256" spans="1:46" x14ac:dyDescent="0.3">
      <c r="A1256" s="5">
        <v>45282</v>
      </c>
      <c r="B1256" s="6">
        <v>87.269997000000004</v>
      </c>
      <c r="C1256" s="6">
        <v>145.470001</v>
      </c>
      <c r="D1256" s="6">
        <v>132.199997</v>
      </c>
      <c r="F1256" s="13">
        <v>1253</v>
      </c>
      <c r="G1256" s="5">
        <v>45282</v>
      </c>
      <c r="H1256" s="15">
        <f t="shared" si="238"/>
        <v>5.1697169276976795E-3</v>
      </c>
      <c r="I1256" s="15">
        <f t="shared" si="238"/>
        <v>-1.6701686898407016E-2</v>
      </c>
      <c r="J1256" s="15">
        <f t="shared" si="238"/>
        <v>2.120241634056269E-3</v>
      </c>
      <c r="K1256" s="22"/>
      <c r="L1256" s="13">
        <v>1253</v>
      </c>
      <c r="M1256" s="5">
        <v>45282</v>
      </c>
      <c r="N1256" s="26">
        <f t="shared" si="235"/>
        <v>1.5435089398035209</v>
      </c>
      <c r="O1256" s="26">
        <f t="shared" si="236"/>
        <v>1.3796471760309714</v>
      </c>
      <c r="P1256" s="26">
        <f t="shared" si="237"/>
        <v>1.749602971138247</v>
      </c>
      <c r="Q1256" s="22"/>
      <c r="AD1256" s="13">
        <v>1252</v>
      </c>
      <c r="AE1256" s="61">
        <f t="shared" ref="AE1256:AG1261" ca="1" si="252">_xlfn.NORM.S.INV(RAND())</f>
        <v>1.5956485682520323</v>
      </c>
      <c r="AF1256" s="61">
        <f t="shared" ca="1" si="252"/>
        <v>-0.11547020639033334</v>
      </c>
      <c r="AG1256" s="61">
        <f t="shared" ca="1" si="252"/>
        <v>-0.1669895876813734</v>
      </c>
      <c r="AH1256" s="19"/>
      <c r="AI1256" s="13">
        <f ca="1"/>
        <v>3.4600498027800387E-2</v>
      </c>
      <c r="AJ1256" s="13">
        <f ca="1"/>
        <v>2.2465768148750068E-2</v>
      </c>
      <c r="AK1256" s="13">
        <f ca="1"/>
        <v>1.8485118780157135E-2</v>
      </c>
      <c r="AL1256" s="19"/>
      <c r="AM1256" s="61">
        <f t="shared" ca="1" si="246"/>
        <v>3.495171435031063E-2</v>
      </c>
      <c r="AN1256" s="61">
        <f t="shared" ca="1" si="247"/>
        <v>2.2714820745666598E-2</v>
      </c>
      <c r="AO1256" s="61">
        <f t="shared" ca="1" si="248"/>
        <v>1.8916787383411952E-2</v>
      </c>
      <c r="AP1256" s="19"/>
      <c r="AQ1256" s="62">
        <f t="shared" ca="1" si="249"/>
        <v>0.89627759207933855</v>
      </c>
      <c r="AR1256" s="62">
        <f t="shared" ca="1" si="250"/>
        <v>1.117460967136207</v>
      </c>
      <c r="AS1256" s="62">
        <f t="shared" ca="1" si="251"/>
        <v>0.34969397791112944</v>
      </c>
      <c r="AT1256" s="49"/>
    </row>
    <row r="1257" spans="1:46" x14ac:dyDescent="0.3">
      <c r="A1257" s="5">
        <v>45286</v>
      </c>
      <c r="B1257" s="6">
        <v>87.650002000000001</v>
      </c>
      <c r="C1257" s="6">
        <v>145.949997</v>
      </c>
      <c r="D1257" s="6">
        <v>133.19000199999999</v>
      </c>
      <c r="F1257" s="13">
        <v>1254</v>
      </c>
      <c r="G1257" s="5">
        <v>45286</v>
      </c>
      <c r="H1257" s="15">
        <f t="shared" si="238"/>
        <v>4.3449073861243845E-3</v>
      </c>
      <c r="I1257" s="15">
        <f t="shared" si="238"/>
        <v>3.2941900854987589E-3</v>
      </c>
      <c r="J1257" s="15">
        <f t="shared" si="238"/>
        <v>7.4607905043852047E-3</v>
      </c>
      <c r="K1257" s="22"/>
      <c r="L1257" s="13">
        <v>1254</v>
      </c>
      <c r="M1257" s="5">
        <v>45286</v>
      </c>
      <c r="N1257" s="26">
        <f t="shared" si="235"/>
        <v>1.5502299336712075</v>
      </c>
      <c r="O1257" s="26">
        <f t="shared" si="236"/>
        <v>1.3841994900569139</v>
      </c>
      <c r="P1257" s="26">
        <f t="shared" si="237"/>
        <v>1.7627052081181898</v>
      </c>
      <c r="Q1257" s="22"/>
      <c r="AD1257" s="13">
        <v>1253</v>
      </c>
      <c r="AE1257" s="61">
        <f t="shared" ca="1" si="252"/>
        <v>2.2643480790006163</v>
      </c>
      <c r="AF1257" s="61">
        <f t="shared" ca="1" si="252"/>
        <v>-0.14227416521398639</v>
      </c>
      <c r="AG1257" s="61">
        <f t="shared" ca="1" si="252"/>
        <v>6.9154437704884997E-2</v>
      </c>
      <c r="AH1257" s="19"/>
      <c r="AI1257" s="13">
        <f ca="1"/>
        <v>4.9100768678369433E-2</v>
      </c>
      <c r="AJ1257" s="13">
        <f ca="1"/>
        <v>3.2349867535471512E-2</v>
      </c>
      <c r="AK1257" s="13">
        <f ca="1"/>
        <v>3.4226752703038994E-2</v>
      </c>
      <c r="AL1257" s="19"/>
      <c r="AM1257" s="61">
        <f t="shared" ca="1" si="246"/>
        <v>4.9451985000879675E-2</v>
      </c>
      <c r="AN1257" s="61">
        <f t="shared" ca="1" si="247"/>
        <v>3.2598920132388041E-2</v>
      </c>
      <c r="AO1257" s="61">
        <f t="shared" ca="1" si="248"/>
        <v>3.4658421306293812E-2</v>
      </c>
      <c r="AP1257" s="19"/>
      <c r="AQ1257" s="62">
        <f t="shared" ca="1" si="249"/>
        <v>0.94171451177127652</v>
      </c>
      <c r="AR1257" s="62">
        <f t="shared" ca="1" si="250"/>
        <v>1.1544892498983217</v>
      </c>
      <c r="AS1257" s="62">
        <f t="shared" ca="1" si="251"/>
        <v>0.36202629398242442</v>
      </c>
      <c r="AT1257" s="49"/>
    </row>
    <row r="1258" spans="1:46" x14ac:dyDescent="0.3">
      <c r="A1258" s="5">
        <v>45287</v>
      </c>
      <c r="B1258" s="6">
        <v>88.010002</v>
      </c>
      <c r="C1258" s="6">
        <v>145.63000500000001</v>
      </c>
      <c r="D1258" s="6">
        <v>131.820007</v>
      </c>
      <c r="F1258" s="13">
        <v>1255</v>
      </c>
      <c r="G1258" s="5">
        <v>45287</v>
      </c>
      <c r="H1258" s="15">
        <f t="shared" si="238"/>
        <v>4.0988329251409831E-3</v>
      </c>
      <c r="I1258" s="15">
        <f t="shared" si="238"/>
        <v>-2.1948839170653389E-3</v>
      </c>
      <c r="J1258" s="15">
        <f t="shared" si="238"/>
        <v>-1.0339286501793112E-2</v>
      </c>
      <c r="K1258" s="22"/>
      <c r="L1258" s="13">
        <v>1255</v>
      </c>
      <c r="M1258" s="5">
        <v>45287</v>
      </c>
      <c r="N1258" s="26">
        <f t="shared" si="235"/>
        <v>1.5565971072409426</v>
      </c>
      <c r="O1258" s="26">
        <f t="shared" si="236"/>
        <v>1.3811646646213076</v>
      </c>
      <c r="P1258" s="26">
        <f t="shared" si="237"/>
        <v>1.7445739874159343</v>
      </c>
      <c r="Q1258" s="22"/>
      <c r="AD1258" s="13">
        <v>1254</v>
      </c>
      <c r="AE1258" s="61">
        <f t="shared" ca="1" si="252"/>
        <v>0.24947748417241086</v>
      </c>
      <c r="AF1258" s="61">
        <f t="shared" ca="1" si="252"/>
        <v>1.2653601690716363</v>
      </c>
      <c r="AG1258" s="61">
        <f t="shared" ca="1" si="252"/>
        <v>-0.29386391109020438</v>
      </c>
      <c r="AH1258" s="19"/>
      <c r="AI1258" s="13">
        <f ca="1"/>
        <v>5.4097408231589218E-3</v>
      </c>
      <c r="AJ1258" s="13">
        <f ca="1"/>
        <v>3.140879680594548E-2</v>
      </c>
      <c r="AK1258" s="13">
        <f ca="1"/>
        <v>5.0686350842018063E-3</v>
      </c>
      <c r="AL1258" s="19"/>
      <c r="AM1258" s="61">
        <f t="shared" ca="1" si="246"/>
        <v>5.7609571456691657E-3</v>
      </c>
      <c r="AN1258" s="61">
        <f t="shared" ca="1" si="247"/>
        <v>3.1657849402862009E-2</v>
      </c>
      <c r="AO1258" s="61">
        <f t="shared" ca="1" si="248"/>
        <v>5.5003036874566244E-3</v>
      </c>
      <c r="AP1258" s="19"/>
      <c r="AQ1258" s="62">
        <f t="shared" ca="1" si="249"/>
        <v>0.94715534587529093</v>
      </c>
      <c r="AR1258" s="62">
        <f t="shared" ca="1" si="250"/>
        <v>1.1916225760728119</v>
      </c>
      <c r="AS1258" s="62">
        <f t="shared" ca="1" si="251"/>
        <v>0.36402303484874288</v>
      </c>
      <c r="AT1258" s="49"/>
    </row>
    <row r="1259" spans="1:46" x14ac:dyDescent="0.3">
      <c r="A1259" s="5">
        <v>45288</v>
      </c>
      <c r="B1259" s="6">
        <v>88.160004000000001</v>
      </c>
      <c r="C1259" s="6">
        <v>145.699997</v>
      </c>
      <c r="D1259" s="6">
        <v>130.08999600000001</v>
      </c>
      <c r="F1259" s="13">
        <v>1256</v>
      </c>
      <c r="G1259" s="5">
        <v>45288</v>
      </c>
      <c r="H1259" s="15">
        <f t="shared" si="238"/>
        <v>1.7029236662436963E-3</v>
      </c>
      <c r="I1259" s="15">
        <f t="shared" si="238"/>
        <v>4.8049978283140014E-4</v>
      </c>
      <c r="J1259" s="15">
        <f t="shared" si="238"/>
        <v>-1.3210920861764749E-2</v>
      </c>
      <c r="K1259" s="22"/>
      <c r="L1259" s="13">
        <v>1256</v>
      </c>
      <c r="M1259" s="5">
        <v>45288</v>
      </c>
      <c r="N1259" s="26">
        <f t="shared" si="235"/>
        <v>1.5592501316015188</v>
      </c>
      <c r="O1259" s="26">
        <f t="shared" si="236"/>
        <v>1.3818284734099302</v>
      </c>
      <c r="P1259" s="26">
        <f t="shared" si="237"/>
        <v>1.7216781292132912</v>
      </c>
      <c r="Q1259" s="22"/>
      <c r="AD1259" s="13">
        <v>1255</v>
      </c>
      <c r="AE1259" s="61">
        <f t="shared" ca="1" si="252"/>
        <v>-2.0739677931303135</v>
      </c>
      <c r="AF1259" s="61">
        <f t="shared" ca="1" si="252"/>
        <v>-0.92010165349509165</v>
      </c>
      <c r="AG1259" s="61">
        <f t="shared" ca="1" si="252"/>
        <v>0.57398150366848799</v>
      </c>
      <c r="AH1259" s="19"/>
      <c r="AI1259" s="13">
        <f ca="1"/>
        <v>-4.4972508335301822E-2</v>
      </c>
      <c r="AJ1259" s="13">
        <f ca="1"/>
        <v>-5.2461790474393061E-2</v>
      </c>
      <c r="AK1259" s="13">
        <f ca="1"/>
        <v>-2.2418406003825591E-2</v>
      </c>
      <c r="AL1259" s="19"/>
      <c r="AM1259" s="61">
        <f t="shared" ca="1" si="246"/>
        <v>-4.462129201279158E-2</v>
      </c>
      <c r="AN1259" s="61">
        <f t="shared" ca="1" si="247"/>
        <v>-5.2212737877476531E-2</v>
      </c>
      <c r="AO1259" s="61">
        <f t="shared" ca="1" si="248"/>
        <v>-2.1986737400570774E-2</v>
      </c>
      <c r="AP1259" s="19"/>
      <c r="AQ1259" s="62">
        <f t="shared" ca="1" si="249"/>
        <v>0.90582110229984558</v>
      </c>
      <c r="AR1259" s="62">
        <f t="shared" ca="1" si="250"/>
        <v>1.1310010774840582</v>
      </c>
      <c r="AS1259" s="62">
        <f t="shared" ca="1" si="251"/>
        <v>0.35610670204371347</v>
      </c>
      <c r="AT1259" s="49"/>
    </row>
    <row r="1260" spans="1:46" x14ac:dyDescent="0.3">
      <c r="A1260" s="5">
        <v>45289</v>
      </c>
      <c r="B1260" s="6">
        <v>87.919998000000007</v>
      </c>
      <c r="C1260" s="6">
        <v>144.199997</v>
      </c>
      <c r="D1260" s="6">
        <v>130</v>
      </c>
      <c r="F1260" s="13">
        <v>1257</v>
      </c>
      <c r="G1260" s="5">
        <v>45289</v>
      </c>
      <c r="H1260" s="15">
        <f t="shared" si="238"/>
        <v>-2.7261034292411185E-3</v>
      </c>
      <c r="I1260" s="15">
        <f t="shared" si="238"/>
        <v>-1.0348488564494805E-2</v>
      </c>
      <c r="J1260" s="15">
        <f t="shared" si="238"/>
        <v>-6.9203740994113676E-4</v>
      </c>
      <c r="K1260" s="22"/>
      <c r="L1260" s="13">
        <v>1257</v>
      </c>
      <c r="M1260" s="5">
        <v>45289</v>
      </c>
      <c r="N1260" s="26">
        <f t="shared" si="235"/>
        <v>1.5550052431021359</v>
      </c>
      <c r="O1260" s="26">
        <f t="shared" si="236"/>
        <v>1.3676023735280276</v>
      </c>
      <c r="P1260" s="26">
        <f t="shared" si="237"/>
        <v>1.7204870757143218</v>
      </c>
      <c r="Q1260" s="22"/>
      <c r="AD1260" s="13">
        <v>1256</v>
      </c>
      <c r="AE1260" s="61">
        <f t="shared" ca="1" si="252"/>
        <v>0.73272209941382593</v>
      </c>
      <c r="AF1260" s="61">
        <f t="shared" ca="1" si="252"/>
        <v>1.5817687588370746</v>
      </c>
      <c r="AG1260" s="61">
        <f t="shared" ca="1" si="252"/>
        <v>1.1040286181557222</v>
      </c>
      <c r="AH1260" s="19"/>
      <c r="AI1260" s="13">
        <f ca="1"/>
        <v>1.5888554698147928E-2</v>
      </c>
      <c r="AJ1260" s="13">
        <f ca="1"/>
        <v>4.5850167500527922E-2</v>
      </c>
      <c r="AK1260" s="13">
        <f ca="1"/>
        <v>5.0251077056571961E-2</v>
      </c>
      <c r="AL1260" s="19"/>
      <c r="AM1260" s="61">
        <f t="shared" ca="1" si="246"/>
        <v>1.6239771020658173E-2</v>
      </c>
      <c r="AN1260" s="61">
        <f t="shared" ca="1" si="247"/>
        <v>4.6099220097444452E-2</v>
      </c>
      <c r="AO1260" s="61">
        <f t="shared" ca="1" si="248"/>
        <v>5.0682745659826778E-2</v>
      </c>
      <c r="AP1260" s="19"/>
      <c r="AQ1260" s="62">
        <f t="shared" ca="1" si="249"/>
        <v>0.92065152498677971</v>
      </c>
      <c r="AR1260" s="62">
        <f t="shared" ca="1" si="250"/>
        <v>1.1843597934628003</v>
      </c>
      <c r="AS1260" s="62">
        <f t="shared" ca="1" si="251"/>
        <v>0.37462036622025663</v>
      </c>
      <c r="AT1260" s="49"/>
    </row>
    <row r="1261" spans="1:46" x14ac:dyDescent="0.3">
      <c r="AD1261" s="13">
        <v>1257</v>
      </c>
      <c r="AE1261" s="61">
        <f t="shared" ca="1" si="252"/>
        <v>-1.3145867387299455</v>
      </c>
      <c r="AF1261" s="61">
        <f t="shared" ca="1" si="252"/>
        <v>1.1405757766959119</v>
      </c>
      <c r="AG1261" s="61">
        <f t="shared" ca="1" si="252"/>
        <v>-0.44697276812831815</v>
      </c>
      <c r="AH1261" s="19"/>
      <c r="AI1261" s="13">
        <f ca="1"/>
        <v>-2.8505873264202133E-2</v>
      </c>
      <c r="AJ1261" s="13">
        <f ca="1"/>
        <v>4.2152193133251047E-3</v>
      </c>
      <c r="AK1261" s="13">
        <f ca="1"/>
        <v>-2.2842699097088449E-2</v>
      </c>
      <c r="AL1261" s="19"/>
      <c r="AM1261" s="61">
        <f t="shared" ca="1" si="246"/>
        <v>-2.8154656941691888E-2</v>
      </c>
      <c r="AN1261" s="61">
        <f t="shared" ca="1" si="247"/>
        <v>4.4642719102416352E-3</v>
      </c>
      <c r="AO1261" s="61">
        <f t="shared" ca="1" si="248"/>
        <v>-2.2411030493833632E-2</v>
      </c>
      <c r="AP1261" s="19"/>
      <c r="AQ1261" s="62">
        <f t="shared" ca="1" si="249"/>
        <v>0.89509238981812489</v>
      </c>
      <c r="AR1261" s="62">
        <f t="shared" ca="1" si="250"/>
        <v>1.1896589171841285</v>
      </c>
      <c r="AS1261" s="62">
        <f t="shared" ca="1" si="251"/>
        <v>0.3663181162418126</v>
      </c>
      <c r="AT1261" s="49"/>
    </row>
  </sheetData>
  <mergeCells count="24">
    <mergeCell ref="BL1:BR1"/>
    <mergeCell ref="BL2:BN2"/>
    <mergeCell ref="BP2:BR2"/>
    <mergeCell ref="AV1:BB1"/>
    <mergeCell ref="AV2:AX2"/>
    <mergeCell ref="AZ2:BB2"/>
    <mergeCell ref="BD1:BJ1"/>
    <mergeCell ref="BD2:BF2"/>
    <mergeCell ref="BH2:BJ2"/>
    <mergeCell ref="AD2:AG2"/>
    <mergeCell ref="AD1:AS1"/>
    <mergeCell ref="AI2:AK2"/>
    <mergeCell ref="AM2:AO2"/>
    <mergeCell ref="AQ2:AS2"/>
    <mergeCell ref="X28:AA28"/>
    <mergeCell ref="A1:D1"/>
    <mergeCell ref="F1:J1"/>
    <mergeCell ref="S1:V1"/>
    <mergeCell ref="L1:P1"/>
    <mergeCell ref="X11:AA11"/>
    <mergeCell ref="X1:AA1"/>
    <mergeCell ref="S11:V11"/>
    <mergeCell ref="S21:V21"/>
    <mergeCell ref="X21:AA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E49B4-586C-4F82-8FED-BDD6CD3B3785}">
  <dimension ref="C2:S49"/>
  <sheetViews>
    <sheetView showGridLines="0" tabSelected="1" topLeftCell="A26" zoomScale="89" workbookViewId="0">
      <selection activeCell="L41" sqref="L41"/>
    </sheetView>
  </sheetViews>
  <sheetFormatPr defaultRowHeight="14.4" x14ac:dyDescent="0.3"/>
  <cols>
    <col min="2" max="2" width="2.21875" customWidth="1"/>
    <col min="12" max="12" width="6.88671875" customWidth="1"/>
    <col min="13" max="13" width="8.6640625" customWidth="1"/>
    <col min="14" max="16" width="8.109375" customWidth="1"/>
    <col min="17" max="17" width="6.33203125" customWidth="1"/>
    <col min="18" max="18" width="10.6640625" customWidth="1"/>
    <col min="19" max="19" width="1.77734375" customWidth="1"/>
  </cols>
  <sheetData>
    <row r="2" spans="3:19" ht="15" thickBot="1" x14ac:dyDescent="0.35"/>
    <row r="3" spans="3:19" x14ac:dyDescent="0.3">
      <c r="C3" s="91" t="s">
        <v>24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3"/>
    </row>
    <row r="4" spans="3:19" ht="15" thickBot="1" x14ac:dyDescent="0.35">
      <c r="C4" s="94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6"/>
    </row>
    <row r="5" spans="3:19" x14ac:dyDescent="0.3">
      <c r="C5" s="38"/>
      <c r="S5" s="39"/>
    </row>
    <row r="6" spans="3:19" x14ac:dyDescent="0.3">
      <c r="C6" s="38"/>
      <c r="S6" s="39"/>
    </row>
    <row r="7" spans="3:19" x14ac:dyDescent="0.3">
      <c r="C7" s="38"/>
      <c r="S7" s="39"/>
    </row>
    <row r="8" spans="3:19" x14ac:dyDescent="0.3">
      <c r="C8" s="38"/>
      <c r="S8" s="39"/>
    </row>
    <row r="9" spans="3:19" x14ac:dyDescent="0.3">
      <c r="C9" s="38"/>
      <c r="S9" s="39"/>
    </row>
    <row r="10" spans="3:19" x14ac:dyDescent="0.3">
      <c r="C10" s="38"/>
      <c r="S10" s="39"/>
    </row>
    <row r="11" spans="3:19" x14ac:dyDescent="0.3">
      <c r="C11" s="38"/>
      <c r="S11" s="39"/>
    </row>
    <row r="12" spans="3:19" x14ac:dyDescent="0.3">
      <c r="C12" s="38"/>
      <c r="S12" s="39"/>
    </row>
    <row r="13" spans="3:19" x14ac:dyDescent="0.3">
      <c r="C13" s="38"/>
      <c r="S13" s="39"/>
    </row>
    <row r="14" spans="3:19" x14ac:dyDescent="0.3">
      <c r="C14" s="38"/>
      <c r="S14" s="39"/>
    </row>
    <row r="15" spans="3:19" x14ac:dyDescent="0.3">
      <c r="C15" s="38"/>
      <c r="S15" s="39"/>
    </row>
    <row r="16" spans="3:19" x14ac:dyDescent="0.3">
      <c r="C16" s="38"/>
      <c r="S16" s="39"/>
    </row>
    <row r="17" spans="3:19" x14ac:dyDescent="0.3">
      <c r="C17" s="38"/>
      <c r="S17" s="39"/>
    </row>
    <row r="18" spans="3:19" x14ac:dyDescent="0.3">
      <c r="C18" s="38"/>
      <c r="S18" s="39"/>
    </row>
    <row r="19" spans="3:19" x14ac:dyDescent="0.3">
      <c r="C19" s="38"/>
      <c r="S19" s="39"/>
    </row>
    <row r="20" spans="3:19" x14ac:dyDescent="0.3">
      <c r="C20" s="38"/>
      <c r="S20" s="39"/>
    </row>
    <row r="21" spans="3:19" x14ac:dyDescent="0.3">
      <c r="C21" s="38"/>
      <c r="S21" s="39"/>
    </row>
    <row r="22" spans="3:19" x14ac:dyDescent="0.3">
      <c r="C22" s="38"/>
      <c r="S22" s="39"/>
    </row>
    <row r="23" spans="3:19" x14ac:dyDescent="0.3">
      <c r="C23" s="38"/>
      <c r="S23" s="39"/>
    </row>
    <row r="24" spans="3:19" x14ac:dyDescent="0.3">
      <c r="C24" s="38"/>
      <c r="S24" s="39"/>
    </row>
    <row r="25" spans="3:19" x14ac:dyDescent="0.3">
      <c r="C25" s="38"/>
      <c r="S25" s="39"/>
    </row>
    <row r="26" spans="3:19" ht="15" thickBot="1" x14ac:dyDescent="0.35">
      <c r="C26" s="38"/>
      <c r="S26" s="39"/>
    </row>
    <row r="27" spans="3:19" ht="29.4" customHeight="1" thickBot="1" x14ac:dyDescent="0.35">
      <c r="C27" s="38"/>
      <c r="M27" s="88" t="s">
        <v>16</v>
      </c>
      <c r="N27" s="89"/>
      <c r="O27" s="89"/>
      <c r="P27" s="90"/>
      <c r="R27" s="31" t="s">
        <v>19</v>
      </c>
      <c r="S27" s="39"/>
    </row>
    <row r="28" spans="3:19" ht="28.2" customHeight="1" x14ac:dyDescent="0.3">
      <c r="C28" s="38"/>
      <c r="M28" s="30" t="s">
        <v>10</v>
      </c>
      <c r="N28" s="29" t="s">
        <v>2</v>
      </c>
      <c r="O28" s="29" t="s">
        <v>3</v>
      </c>
      <c r="P28" s="29" t="s">
        <v>4</v>
      </c>
      <c r="R28" s="32">
        <v>-1</v>
      </c>
      <c r="S28" s="39"/>
    </row>
    <row r="29" spans="3:19" ht="28.2" customHeight="1" x14ac:dyDescent="0.3">
      <c r="C29" s="38"/>
      <c r="M29" s="70" t="s">
        <v>2</v>
      </c>
      <c r="N29" s="72">
        <f ca="1">Számolások!Y13</f>
        <v>1</v>
      </c>
      <c r="O29" s="72">
        <f ca="1">Számolások!Z13</f>
        <v>0.58436386354714376</v>
      </c>
      <c r="P29" s="72">
        <f ca="1">Számolások!AA13</f>
        <v>0.48600217336158635</v>
      </c>
      <c r="R29" s="33">
        <v>-0.8</v>
      </c>
      <c r="S29" s="39"/>
    </row>
    <row r="30" spans="3:19" ht="28.2" customHeight="1" x14ac:dyDescent="0.3">
      <c r="C30" s="38"/>
      <c r="M30" s="70" t="s">
        <v>3</v>
      </c>
      <c r="N30" s="72">
        <f ca="1">Számolások!Y14</f>
        <v>0.58436386354714376</v>
      </c>
      <c r="O30" s="72">
        <f ca="1">Számolások!Z14</f>
        <v>1</v>
      </c>
      <c r="P30" s="72">
        <f ca="1">Számolások!AA14</f>
        <v>0.47197845930557242</v>
      </c>
      <c r="R30" s="33">
        <v>-0.6</v>
      </c>
      <c r="S30" s="39"/>
    </row>
    <row r="31" spans="3:19" ht="28.2" customHeight="1" x14ac:dyDescent="0.3">
      <c r="C31" s="38"/>
      <c r="M31" s="71" t="s">
        <v>4</v>
      </c>
      <c r="N31" s="73">
        <f ca="1">Számolások!Y15</f>
        <v>0.48600217336158635</v>
      </c>
      <c r="O31" s="73">
        <f ca="1">Számolások!Z15</f>
        <v>0.47197845930557242</v>
      </c>
      <c r="P31" s="73">
        <f ca="1">Számolások!AA15</f>
        <v>1</v>
      </c>
      <c r="R31" s="33">
        <v>-0.4</v>
      </c>
      <c r="S31" s="39"/>
    </row>
    <row r="32" spans="3:19" ht="28.2" customHeight="1" x14ac:dyDescent="0.3">
      <c r="C32" s="38"/>
      <c r="M32" s="37"/>
      <c r="N32" s="37"/>
      <c r="O32" s="37"/>
      <c r="P32" s="37"/>
      <c r="R32" s="33">
        <v>-0.2</v>
      </c>
      <c r="S32" s="39"/>
    </row>
    <row r="33" spans="3:19" ht="28.2" customHeight="1" x14ac:dyDescent="0.3">
      <c r="C33" s="38"/>
      <c r="M33" s="35"/>
      <c r="N33" s="36"/>
      <c r="O33" s="36"/>
      <c r="P33" s="36"/>
      <c r="R33" s="33">
        <v>0</v>
      </c>
      <c r="S33" s="39"/>
    </row>
    <row r="34" spans="3:19" ht="28.2" customHeight="1" x14ac:dyDescent="0.3">
      <c r="C34" s="38"/>
      <c r="M34" s="88" t="s">
        <v>18</v>
      </c>
      <c r="N34" s="89"/>
      <c r="O34" s="89"/>
      <c r="P34" s="90"/>
      <c r="R34" s="33">
        <v>0.2</v>
      </c>
      <c r="S34" s="39"/>
    </row>
    <row r="35" spans="3:19" ht="28.2" customHeight="1" x14ac:dyDescent="0.3">
      <c r="C35" s="38"/>
      <c r="M35" s="30" t="s">
        <v>10</v>
      </c>
      <c r="N35" s="29" t="s">
        <v>2</v>
      </c>
      <c r="O35" s="29" t="s">
        <v>3</v>
      </c>
      <c r="P35" s="29" t="s">
        <v>4</v>
      </c>
      <c r="R35" s="33">
        <v>0.4</v>
      </c>
      <c r="S35" s="39"/>
    </row>
    <row r="36" spans="3:19" ht="28.2" customHeight="1" x14ac:dyDescent="0.3">
      <c r="C36" s="38"/>
      <c r="M36" s="70" t="s">
        <v>2</v>
      </c>
      <c r="N36" s="72">
        <f ca="1">Számolások!Y30</f>
        <v>1</v>
      </c>
      <c r="O36" s="72">
        <f ca="1">Számolások!Z30</f>
        <v>0.60154882513410013</v>
      </c>
      <c r="P36" s="72">
        <f ca="1">Számolások!AA30</f>
        <v>0.4808196214541704</v>
      </c>
      <c r="R36" s="33">
        <v>0.6</v>
      </c>
      <c r="S36" s="39"/>
    </row>
    <row r="37" spans="3:19" ht="28.2" customHeight="1" x14ac:dyDescent="0.3">
      <c r="C37" s="38"/>
      <c r="M37" s="70" t="s">
        <v>3</v>
      </c>
      <c r="N37" s="72">
        <f ca="1">Számolások!Y31</f>
        <v>0.60154882513410013</v>
      </c>
      <c r="O37" s="72">
        <f ca="1">Számolások!Z31</f>
        <v>1</v>
      </c>
      <c r="P37" s="72">
        <f ca="1">Számolások!AA31</f>
        <v>0.45467605628339203</v>
      </c>
      <c r="R37" s="33">
        <v>0.8</v>
      </c>
      <c r="S37" s="39"/>
    </row>
    <row r="38" spans="3:19" ht="28.2" customHeight="1" thickBot="1" x14ac:dyDescent="0.35">
      <c r="C38" s="38"/>
      <c r="M38" s="70" t="s">
        <v>4</v>
      </c>
      <c r="N38" s="72">
        <f ca="1">Számolások!Y32</f>
        <v>0.4808196214541704</v>
      </c>
      <c r="O38" s="72">
        <f ca="1">Számolások!Z32</f>
        <v>0.45467605628339203</v>
      </c>
      <c r="P38" s="72">
        <f ca="1">Számolások!AA32</f>
        <v>1</v>
      </c>
      <c r="R38" s="34">
        <v>1</v>
      </c>
      <c r="S38" s="39"/>
    </row>
    <row r="39" spans="3:19" ht="28.2" customHeight="1" x14ac:dyDescent="0.3">
      <c r="C39" s="10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2"/>
    </row>
    <row r="40" spans="3:19" ht="28.2" customHeight="1" x14ac:dyDescent="0.3"/>
    <row r="41" spans="3:19" ht="28.2" customHeight="1" x14ac:dyDescent="0.3"/>
    <row r="42" spans="3:19" ht="28.2" customHeight="1" x14ac:dyDescent="0.3"/>
    <row r="43" spans="3:19" ht="28.2" customHeight="1" x14ac:dyDescent="0.3"/>
    <row r="44" spans="3:19" ht="28.2" customHeight="1" x14ac:dyDescent="0.3"/>
    <row r="45" spans="3:19" ht="28.2" customHeight="1" x14ac:dyDescent="0.3"/>
    <row r="46" spans="3:19" ht="28.2" customHeight="1" x14ac:dyDescent="0.3"/>
    <row r="47" spans="3:19" ht="28.2" customHeight="1" x14ac:dyDescent="0.3"/>
    <row r="48" spans="3:19" ht="28.2" customHeight="1" x14ac:dyDescent="0.3"/>
    <row r="49" ht="28.2" customHeight="1" x14ac:dyDescent="0.3"/>
  </sheetData>
  <mergeCells count="3">
    <mergeCell ref="M34:P34"/>
    <mergeCell ref="M27:P27"/>
    <mergeCell ref="C3:S4"/>
  </mergeCells>
  <conditionalFormatting sqref="N29:P31">
    <cfRule type="colorScale" priority="3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N36:P38">
    <cfRule type="colorScale" priority="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R28:R38">
    <cfRule type="colorScale" priority="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Számolások</vt:lpstr>
      <vt:lpstr>Ábrázolás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Szabolcs Szirák</cp:lastModifiedBy>
  <dcterms:created xsi:type="dcterms:W3CDTF">2024-03-25T09:54:35Z</dcterms:created>
  <dcterms:modified xsi:type="dcterms:W3CDTF">2024-04-02T14:03:52Z</dcterms:modified>
</cp:coreProperties>
</file>