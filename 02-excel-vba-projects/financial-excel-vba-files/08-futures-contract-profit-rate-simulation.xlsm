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novo\Desktop\Egyetem\Numpü\házi feladatok\"/>
    </mc:Choice>
  </mc:AlternateContent>
  <xr:revisionPtr revIDLastSave="0" documentId="13_ncr:1_{C936E7F6-1B90-4A70-8456-7E57004F2221}" xr6:coauthVersionLast="47" xr6:coauthVersionMax="47" xr10:uidLastSave="{00000000-0000-0000-0000-000000000000}"/>
  <bookViews>
    <workbookView xWindow="-108" yWindow="-108" windowWidth="23256" windowHeight="12456" xr2:uid="{64B3AC05-2F85-49B5-A897-5AB49D3C4096}"/>
  </bookViews>
  <sheets>
    <sheet name="Futures ügyle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D4" i="1" a="1"/>
  <c r="D4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<sst xmlns="http://schemas.openxmlformats.org/spreadsheetml/2006/main" count="12" uniqueCount="12">
  <si>
    <t>Adatok</t>
  </si>
  <si>
    <r>
      <t>kezdeti árfolyam (S</t>
    </r>
    <r>
      <rPr>
        <vertAlign val="subscript"/>
        <sz val="11"/>
        <color theme="1"/>
        <rFont val="Aptos Narrow"/>
        <family val="2"/>
        <charset val="238"/>
        <scheme val="minor"/>
      </rPr>
      <t>0</t>
    </r>
    <r>
      <rPr>
        <sz val="11"/>
        <color theme="1"/>
        <rFont val="Aptos Narrow"/>
        <family val="2"/>
        <charset val="238"/>
        <scheme val="minor"/>
      </rPr>
      <t>)</t>
    </r>
  </si>
  <si>
    <r>
      <t>napi loghozam várható értéke (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Aptos Narrow"/>
        <family val="2"/>
        <charset val="238"/>
        <scheme val="minor"/>
      </rPr>
      <t>)</t>
    </r>
  </si>
  <si>
    <r>
      <t>likviditási puffer (</t>
    </r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Aptos Narrow"/>
        <family val="2"/>
        <charset val="238"/>
        <scheme val="minor"/>
      </rPr>
      <t>)</t>
    </r>
  </si>
  <si>
    <r>
      <t>napi loghozam várható szórása (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Aptos Narrow"/>
        <family val="2"/>
        <charset val="238"/>
        <scheme val="minor"/>
      </rPr>
      <t>)</t>
    </r>
  </si>
  <si>
    <r>
      <t>éves kockázatmentes loghozam (y</t>
    </r>
    <r>
      <rPr>
        <vertAlign val="subscript"/>
        <sz val="11"/>
        <color theme="1"/>
        <rFont val="Aptos Narrow"/>
        <family val="2"/>
        <charset val="238"/>
        <scheme val="minor"/>
      </rPr>
      <t>f</t>
    </r>
    <r>
      <rPr>
        <sz val="11"/>
        <color theme="1"/>
        <rFont val="Aptos Narrow"/>
        <family val="2"/>
        <charset val="238"/>
        <scheme val="minor"/>
      </rPr>
      <t>)</t>
    </r>
  </si>
  <si>
    <t>részvények száma az ügyletben (DB)</t>
  </si>
  <si>
    <t>kezdeti letét aránya (imr)</t>
  </si>
  <si>
    <t>fenntartandó letét aránya (mmr)</t>
  </si>
  <si>
    <t>az ügylet lejárata napokban (N)</t>
  </si>
  <si>
    <r>
      <t>profitráták átlaga (P(</t>
    </r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Aptos Narrow"/>
        <family val="2"/>
        <charset val="238"/>
        <scheme val="minor"/>
      </rPr>
      <t>))</t>
    </r>
  </si>
  <si>
    <t>Profitráták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</si>
</sst>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8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vertAlign val="subscript"/>
      <sz val="11"/>
      <color theme="1"/>
      <name val="Aptos Narrow"/>
      <family val="2"/>
      <charset val="238"/>
      <scheme val="minor"/>
    </font>
    <font>
      <sz val="11"/>
      <color theme="1"/>
      <name val="Symbol"/>
      <family val="1"/>
      <charset val="2"/>
    </font>
    <font>
      <b/>
      <sz val="11"/>
      <color theme="1"/>
      <name val="Symbol"/>
      <family val="1"/>
      <charset val="2"/>
    </font>
    <font>
      <sz val="11"/>
      <color theme="0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right" indent="1"/>
    </xf>
    <xf numFmtId="10" fontId="0" fillId="0" borderId="0" xfId="0" applyNumberFormat="1" applyAlignment="1">
      <alignment horizontal="right" indent="1"/>
    </xf>
    <xf numFmtId="9" fontId="0" fillId="0" borderId="0" xfId="1" applyFont="1" applyBorder="1"/>
    <xf numFmtId="2" fontId="0" fillId="0" borderId="0" xfId="0" applyNumberFormat="1"/>
    <xf numFmtId="9" fontId="0" fillId="0" borderId="0" xfId="0" applyNumberFormat="1" applyAlignment="1">
      <alignment horizontal="right" indent="1"/>
    </xf>
    <xf numFmtId="3" fontId="0" fillId="0" borderId="0" xfId="0" applyNumberFormat="1" applyAlignment="1">
      <alignment horizontal="right" indent="1"/>
    </xf>
    <xf numFmtId="4" fontId="0" fillId="0" borderId="0" xfId="0" applyNumberFormat="1" applyAlignment="1">
      <alignment horizontal="right" indent="1"/>
    </xf>
    <xf numFmtId="164" fontId="0" fillId="0" borderId="0" xfId="0" applyNumberFormat="1" applyAlignment="1">
      <alignment horizontal="right" indent="1"/>
    </xf>
    <xf numFmtId="0" fontId="2" fillId="2" borderId="2" xfId="0" applyFont="1" applyFill="1" applyBorder="1"/>
    <xf numFmtId="2" fontId="6" fillId="0" borderId="0" xfId="0" applyNumberFormat="1" applyFont="1"/>
    <xf numFmtId="0" fontId="6" fillId="0" borderId="0" xfId="0" applyFont="1"/>
    <xf numFmtId="0" fontId="2" fillId="2" borderId="0" xfId="0" applyFont="1" applyFill="1" applyAlignment="1">
      <alignment horizontal="center"/>
    </xf>
    <xf numFmtId="0" fontId="7" fillId="2" borderId="1" xfId="0" applyFont="1" applyFill="1" applyBorder="1" applyAlignment="1">
      <alignment horizontal="center"/>
    </xf>
    <xf numFmtId="3" fontId="0" fillId="0" borderId="0" xfId="0" applyNumberFormat="1"/>
  </cellXfs>
  <cellStyles count="2">
    <cellStyle name="Normál" xfId="0" builtinId="0"/>
    <cellStyle name="Százalék" xfId="1" builtinId="5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 sz="1400" b="1" i="0" u="none" strike="noStrike" baseline="0"/>
              <a:t>A futures ügylet profitrátája 1000 szimuláció</a:t>
            </a:r>
            <a:endParaRPr lang="hu-HU" b="1" i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'Futures ügylet'!$E$3</c:f>
              <c:strCache>
                <c:ptCount val="1"/>
                <c:pt idx="0">
                  <c:v>profitráták átlaga (P(l))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'Futures ügylet'!$D$4:$D$104</c:f>
              <c:numCache>
                <c:formatCode>0%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'Futures ügylet'!$E$4:$E$104</c:f>
              <c:numCache>
                <c:formatCode>0.00</c:formatCode>
                <c:ptCount val="101"/>
                <c:pt idx="0">
                  <c:v>0.12292916966868205</c:v>
                </c:pt>
                <c:pt idx="1">
                  <c:v>0.12579298271242623</c:v>
                </c:pt>
                <c:pt idx="2">
                  <c:v>0.13396145946561927</c:v>
                </c:pt>
                <c:pt idx="3">
                  <c:v>0.13395612729868714</c:v>
                </c:pt>
                <c:pt idx="4">
                  <c:v>0.13404379705475677</c:v>
                </c:pt>
                <c:pt idx="5">
                  <c:v>0.13209268003203842</c:v>
                </c:pt>
                <c:pt idx="6">
                  <c:v>0.13503994141609649</c:v>
                </c:pt>
                <c:pt idx="7">
                  <c:v>0.13461958646419375</c:v>
                </c:pt>
                <c:pt idx="8">
                  <c:v>0.13620640303687834</c:v>
                </c:pt>
                <c:pt idx="9">
                  <c:v>0.13357143919757652</c:v>
                </c:pt>
                <c:pt idx="10">
                  <c:v>0.13356706119033745</c:v>
                </c:pt>
                <c:pt idx="11">
                  <c:v>0.1333469060501371</c:v>
                </c:pt>
                <c:pt idx="12">
                  <c:v>0.13892431066785385</c:v>
                </c:pt>
                <c:pt idx="13">
                  <c:v>0.13806668742615005</c:v>
                </c:pt>
                <c:pt idx="14">
                  <c:v>0.14493117640277922</c:v>
                </c:pt>
                <c:pt idx="15">
                  <c:v>0.14433050859781027</c:v>
                </c:pt>
                <c:pt idx="16">
                  <c:v>0.142735188412593</c:v>
                </c:pt>
                <c:pt idx="17">
                  <c:v>0.14715451340342373</c:v>
                </c:pt>
                <c:pt idx="18">
                  <c:v>0.14738383668431732</c:v>
                </c:pt>
                <c:pt idx="19">
                  <c:v>0.15645313701941133</c:v>
                </c:pt>
                <c:pt idx="20">
                  <c:v>0.15612052659874126</c:v>
                </c:pt>
                <c:pt idx="21">
                  <c:v>0.15279476746907342</c:v>
                </c:pt>
                <c:pt idx="22">
                  <c:v>0.15635649407664307</c:v>
                </c:pt>
                <c:pt idx="23">
                  <c:v>0.15421704319620708</c:v>
                </c:pt>
                <c:pt idx="24">
                  <c:v>0.15380512279822262</c:v>
                </c:pt>
                <c:pt idx="25">
                  <c:v>0.14984380365819353</c:v>
                </c:pt>
                <c:pt idx="26">
                  <c:v>0.14648592722215298</c:v>
                </c:pt>
                <c:pt idx="27">
                  <c:v>0.14426963364957957</c:v>
                </c:pt>
                <c:pt idx="28">
                  <c:v>0.15049526767574981</c:v>
                </c:pt>
                <c:pt idx="29">
                  <c:v>0.1494698434013825</c:v>
                </c:pt>
                <c:pt idx="30">
                  <c:v>0.15059695315893726</c:v>
                </c:pt>
                <c:pt idx="31">
                  <c:v>0.14991172720392507</c:v>
                </c:pt>
                <c:pt idx="32">
                  <c:v>0.16131493626960974</c:v>
                </c:pt>
                <c:pt idx="33">
                  <c:v>0.16545029942499584</c:v>
                </c:pt>
                <c:pt idx="34">
                  <c:v>0.16662848363504135</c:v>
                </c:pt>
                <c:pt idx="35">
                  <c:v>0.16650494672427096</c:v>
                </c:pt>
                <c:pt idx="36">
                  <c:v>0.16576161511223464</c:v>
                </c:pt>
                <c:pt idx="37">
                  <c:v>0.1666095473866904</c:v>
                </c:pt>
                <c:pt idx="38">
                  <c:v>0.17465108056424383</c:v>
                </c:pt>
                <c:pt idx="39">
                  <c:v>0.17402541627887441</c:v>
                </c:pt>
                <c:pt idx="40">
                  <c:v>0.172153770054702</c:v>
                </c:pt>
                <c:pt idx="41">
                  <c:v>0.17182248467274358</c:v>
                </c:pt>
                <c:pt idx="42">
                  <c:v>0.16315611812400016</c:v>
                </c:pt>
                <c:pt idx="43">
                  <c:v>0.16802026838409287</c:v>
                </c:pt>
                <c:pt idx="44">
                  <c:v>0.16801604171825041</c:v>
                </c:pt>
                <c:pt idx="45">
                  <c:v>0.1700200391056732</c:v>
                </c:pt>
                <c:pt idx="46">
                  <c:v>0.16962998259076498</c:v>
                </c:pt>
                <c:pt idx="47">
                  <c:v>0.16850376183732757</c:v>
                </c:pt>
                <c:pt idx="48">
                  <c:v>0.17060145687052206</c:v>
                </c:pt>
                <c:pt idx="49">
                  <c:v>0.17515995138264576</c:v>
                </c:pt>
                <c:pt idx="50">
                  <c:v>0.18238714092829678</c:v>
                </c:pt>
                <c:pt idx="51">
                  <c:v>0.19855491529821584</c:v>
                </c:pt>
                <c:pt idx="52">
                  <c:v>0.20190736386631067</c:v>
                </c:pt>
                <c:pt idx="53">
                  <c:v>0.19937852371476442</c:v>
                </c:pt>
                <c:pt idx="54">
                  <c:v>0.20386892421448966</c:v>
                </c:pt>
                <c:pt idx="55">
                  <c:v>0.21457238339038218</c:v>
                </c:pt>
                <c:pt idx="56">
                  <c:v>0.22559410470914115</c:v>
                </c:pt>
                <c:pt idx="57">
                  <c:v>0.22133140401073201</c:v>
                </c:pt>
                <c:pt idx="58">
                  <c:v>0.22541498902136001</c:v>
                </c:pt>
                <c:pt idx="59">
                  <c:v>0.22371878149498359</c:v>
                </c:pt>
                <c:pt idx="60">
                  <c:v>0.22677319651614503</c:v>
                </c:pt>
                <c:pt idx="61">
                  <c:v>0.2248937741878192</c:v>
                </c:pt>
                <c:pt idx="62">
                  <c:v>0.2263546076900502</c:v>
                </c:pt>
                <c:pt idx="63">
                  <c:v>0.22405899196042856</c:v>
                </c:pt>
                <c:pt idx="64">
                  <c:v>0.22606477132123162</c:v>
                </c:pt>
                <c:pt idx="65">
                  <c:v>0.22409551936016225</c:v>
                </c:pt>
                <c:pt idx="66">
                  <c:v>0.22439031135907733</c:v>
                </c:pt>
                <c:pt idx="67">
                  <c:v>0.22581761004863277</c:v>
                </c:pt>
                <c:pt idx="68">
                  <c:v>0.22355108253385808</c:v>
                </c:pt>
                <c:pt idx="69">
                  <c:v>0.22346567881020027</c:v>
                </c:pt>
                <c:pt idx="70">
                  <c:v>0.22463542190957186</c:v>
                </c:pt>
                <c:pt idx="71">
                  <c:v>0.22217700169941859</c:v>
                </c:pt>
                <c:pt idx="72">
                  <c:v>0.22258216095645264</c:v>
                </c:pt>
                <c:pt idx="73">
                  <c:v>0.22546047582080669</c:v>
                </c:pt>
                <c:pt idx="74">
                  <c:v>0.22230636713789073</c:v>
                </c:pt>
                <c:pt idx="75">
                  <c:v>0.21948560496658165</c:v>
                </c:pt>
                <c:pt idx="76">
                  <c:v>0.21990105270200422</c:v>
                </c:pt>
                <c:pt idx="77">
                  <c:v>0.22410970959612908</c:v>
                </c:pt>
                <c:pt idx="78">
                  <c:v>0.22729857416920546</c:v>
                </c:pt>
                <c:pt idx="79">
                  <c:v>0.22928328971498885</c:v>
                </c:pt>
                <c:pt idx="80">
                  <c:v>0.23284987682939046</c:v>
                </c:pt>
                <c:pt idx="81">
                  <c:v>0.23378230511208195</c:v>
                </c:pt>
                <c:pt idx="82">
                  <c:v>0.23118786452852244</c:v>
                </c:pt>
                <c:pt idx="83">
                  <c:v>0.23052412151772284</c:v>
                </c:pt>
                <c:pt idx="84">
                  <c:v>0.23305652776105698</c:v>
                </c:pt>
                <c:pt idx="85">
                  <c:v>0.23255842936740159</c:v>
                </c:pt>
                <c:pt idx="86">
                  <c:v>0.23725643313668204</c:v>
                </c:pt>
                <c:pt idx="87">
                  <c:v>0.23959603446980177</c:v>
                </c:pt>
                <c:pt idx="88">
                  <c:v>0.24159876100737451</c:v>
                </c:pt>
                <c:pt idx="89">
                  <c:v>0.24491038482172442</c:v>
                </c:pt>
                <c:pt idx="90">
                  <c:v>0.24685650426225766</c:v>
                </c:pt>
                <c:pt idx="91">
                  <c:v>0.24393230360395124</c:v>
                </c:pt>
                <c:pt idx="92">
                  <c:v>0.24786009635983264</c:v>
                </c:pt>
                <c:pt idx="93">
                  <c:v>0.25360656449326235</c:v>
                </c:pt>
                <c:pt idx="94">
                  <c:v>0.25554905012076107</c:v>
                </c:pt>
                <c:pt idx="95">
                  <c:v>0.25768299984107257</c:v>
                </c:pt>
                <c:pt idx="96">
                  <c:v>0.26622952211951106</c:v>
                </c:pt>
                <c:pt idx="97">
                  <c:v>0.2745085705905051</c:v>
                </c:pt>
                <c:pt idx="98">
                  <c:v>0.27449132772223611</c:v>
                </c:pt>
                <c:pt idx="99">
                  <c:v>0.27698268177270058</c:v>
                </c:pt>
                <c:pt idx="100">
                  <c:v>0.28227472242436968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EB-4714-8EE9-A85ED7A9F6D0}"/>
            </c:ext>
          </c:extLst>
        </c:ser>
        <c:ser>
          <c:idx val="1"/>
          <c:order val="1"/>
          <c:tx>
            <c:v>szuperlikvid befektető</c:v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'Futures ügylet'!$D$4:$D$104</c:f>
              <c:numCache>
                <c:formatCode>0%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'Futures ügylet'!$F$4:$F$104</c:f>
              <c:numCache>
                <c:formatCode>0.00</c:formatCode>
                <c:ptCount val="101"/>
                <c:pt idx="0">
                  <c:v>0.35151874135061456</c:v>
                </c:pt>
                <c:pt idx="1">
                  <c:v>0.35151874135061456</c:v>
                </c:pt>
                <c:pt idx="2">
                  <c:v>0.35151874135061456</c:v>
                </c:pt>
                <c:pt idx="3">
                  <c:v>0.35151874135061456</c:v>
                </c:pt>
                <c:pt idx="4">
                  <c:v>0.35151874135061456</c:v>
                </c:pt>
                <c:pt idx="5">
                  <c:v>0.35151874135061456</c:v>
                </c:pt>
                <c:pt idx="6">
                  <c:v>0.35151874135061456</c:v>
                </c:pt>
                <c:pt idx="7">
                  <c:v>0.35151874135061456</c:v>
                </c:pt>
                <c:pt idx="8">
                  <c:v>0.35151874135061456</c:v>
                </c:pt>
                <c:pt idx="9">
                  <c:v>0.35151874135061456</c:v>
                </c:pt>
                <c:pt idx="10">
                  <c:v>0.35151874135061456</c:v>
                </c:pt>
                <c:pt idx="11">
                  <c:v>0.35151874135061456</c:v>
                </c:pt>
                <c:pt idx="12">
                  <c:v>0.35151874135061456</c:v>
                </c:pt>
                <c:pt idx="13">
                  <c:v>0.35151874135061456</c:v>
                </c:pt>
                <c:pt idx="14">
                  <c:v>0.35151874135061456</c:v>
                </c:pt>
                <c:pt idx="15">
                  <c:v>0.35151874135061456</c:v>
                </c:pt>
                <c:pt idx="16">
                  <c:v>0.35151874135061456</c:v>
                </c:pt>
                <c:pt idx="17">
                  <c:v>0.35151874135061456</c:v>
                </c:pt>
                <c:pt idx="18">
                  <c:v>0.35151874135061456</c:v>
                </c:pt>
                <c:pt idx="19">
                  <c:v>0.35151874135061456</c:v>
                </c:pt>
                <c:pt idx="20">
                  <c:v>0.35151874135061456</c:v>
                </c:pt>
                <c:pt idx="21">
                  <c:v>0.35151874135061456</c:v>
                </c:pt>
                <c:pt idx="22">
                  <c:v>0.35151874135061456</c:v>
                </c:pt>
                <c:pt idx="23">
                  <c:v>0.35151874135061456</c:v>
                </c:pt>
                <c:pt idx="24">
                  <c:v>0.35151874135061456</c:v>
                </c:pt>
                <c:pt idx="25">
                  <c:v>0.35151874135061456</c:v>
                </c:pt>
                <c:pt idx="26">
                  <c:v>0.35151874135061456</c:v>
                </c:pt>
                <c:pt idx="27">
                  <c:v>0.35151874135061456</c:v>
                </c:pt>
                <c:pt idx="28">
                  <c:v>0.35151874135061456</c:v>
                </c:pt>
                <c:pt idx="29">
                  <c:v>0.35151874135061456</c:v>
                </c:pt>
                <c:pt idx="30">
                  <c:v>0.35151874135061456</c:v>
                </c:pt>
                <c:pt idx="31">
                  <c:v>0.35151874135061456</c:v>
                </c:pt>
                <c:pt idx="32">
                  <c:v>0.35151874135061456</c:v>
                </c:pt>
                <c:pt idx="33">
                  <c:v>0.35151874135061456</c:v>
                </c:pt>
                <c:pt idx="34">
                  <c:v>0.35151874135061456</c:v>
                </c:pt>
                <c:pt idx="35">
                  <c:v>0.35151874135061456</c:v>
                </c:pt>
                <c:pt idx="36">
                  <c:v>0.35151874135061456</c:v>
                </c:pt>
                <c:pt idx="37">
                  <c:v>0.35151874135061456</c:v>
                </c:pt>
                <c:pt idx="38">
                  <c:v>0.35151874135061456</c:v>
                </c:pt>
                <c:pt idx="39">
                  <c:v>0.35151874135061456</c:v>
                </c:pt>
                <c:pt idx="40">
                  <c:v>0.35151874135061456</c:v>
                </c:pt>
                <c:pt idx="41">
                  <c:v>0.35151874135061456</c:v>
                </c:pt>
                <c:pt idx="42">
                  <c:v>0.35151874135061456</c:v>
                </c:pt>
                <c:pt idx="43">
                  <c:v>0.35151874135061456</c:v>
                </c:pt>
                <c:pt idx="44">
                  <c:v>0.35151874135061456</c:v>
                </c:pt>
                <c:pt idx="45">
                  <c:v>0.35151874135061456</c:v>
                </c:pt>
                <c:pt idx="46">
                  <c:v>0.35151874135061456</c:v>
                </c:pt>
                <c:pt idx="47">
                  <c:v>0.35151874135061456</c:v>
                </c:pt>
                <c:pt idx="48">
                  <c:v>0.35151874135061456</c:v>
                </c:pt>
                <c:pt idx="49">
                  <c:v>0.35151874135061456</c:v>
                </c:pt>
                <c:pt idx="50">
                  <c:v>0.35151874135061456</c:v>
                </c:pt>
                <c:pt idx="51">
                  <c:v>0.35151874135061456</c:v>
                </c:pt>
                <c:pt idx="52">
                  <c:v>0.35151874135061456</c:v>
                </c:pt>
                <c:pt idx="53">
                  <c:v>0.35151874135061456</c:v>
                </c:pt>
                <c:pt idx="54">
                  <c:v>0.35151874135061456</c:v>
                </c:pt>
                <c:pt idx="55">
                  <c:v>0.35151874135061456</c:v>
                </c:pt>
                <c:pt idx="56">
                  <c:v>0.35151874135061456</c:v>
                </c:pt>
                <c:pt idx="57">
                  <c:v>0.35151874135061456</c:v>
                </c:pt>
                <c:pt idx="58">
                  <c:v>0.35151874135061456</c:v>
                </c:pt>
                <c:pt idx="59">
                  <c:v>0.35151874135061456</c:v>
                </c:pt>
                <c:pt idx="60">
                  <c:v>0.35151874135061456</c:v>
                </c:pt>
                <c:pt idx="61">
                  <c:v>0.35151874135061456</c:v>
                </c:pt>
                <c:pt idx="62">
                  <c:v>0.35151874135061456</c:v>
                </c:pt>
                <c:pt idx="63">
                  <c:v>0.35151874135061456</c:v>
                </c:pt>
                <c:pt idx="64">
                  <c:v>0.35151874135061456</c:v>
                </c:pt>
                <c:pt idx="65">
                  <c:v>0.35151874135061456</c:v>
                </c:pt>
                <c:pt idx="66">
                  <c:v>0.35151874135061456</c:v>
                </c:pt>
                <c:pt idx="67">
                  <c:v>0.35151874135061456</c:v>
                </c:pt>
                <c:pt idx="68">
                  <c:v>0.35151874135061456</c:v>
                </c:pt>
                <c:pt idx="69">
                  <c:v>0.35151874135061456</c:v>
                </c:pt>
                <c:pt idx="70">
                  <c:v>0.35151874135061456</c:v>
                </c:pt>
                <c:pt idx="71">
                  <c:v>0.35151874135061456</c:v>
                </c:pt>
                <c:pt idx="72">
                  <c:v>0.35151874135061456</c:v>
                </c:pt>
                <c:pt idx="73">
                  <c:v>0.35151874135061456</c:v>
                </c:pt>
                <c:pt idx="74">
                  <c:v>0.35151874135061456</c:v>
                </c:pt>
                <c:pt idx="75">
                  <c:v>0.35151874135061456</c:v>
                </c:pt>
                <c:pt idx="76">
                  <c:v>0.35151874135061456</c:v>
                </c:pt>
                <c:pt idx="77">
                  <c:v>0.35151874135061456</c:v>
                </c:pt>
                <c:pt idx="78">
                  <c:v>0.35151874135061456</c:v>
                </c:pt>
                <c:pt idx="79">
                  <c:v>0.35151874135061456</c:v>
                </c:pt>
                <c:pt idx="80">
                  <c:v>0.35151874135061456</c:v>
                </c:pt>
                <c:pt idx="81">
                  <c:v>0.35151874135061456</c:v>
                </c:pt>
                <c:pt idx="82">
                  <c:v>0.35151874135061456</c:v>
                </c:pt>
                <c:pt idx="83">
                  <c:v>0.35151874135061456</c:v>
                </c:pt>
                <c:pt idx="84">
                  <c:v>0.35151874135061456</c:v>
                </c:pt>
                <c:pt idx="85">
                  <c:v>0.35151874135061456</c:v>
                </c:pt>
                <c:pt idx="86">
                  <c:v>0.35151874135061456</c:v>
                </c:pt>
                <c:pt idx="87">
                  <c:v>0.35151874135061456</c:v>
                </c:pt>
                <c:pt idx="88">
                  <c:v>0.35151874135061456</c:v>
                </c:pt>
                <c:pt idx="89">
                  <c:v>0.35151874135061456</c:v>
                </c:pt>
                <c:pt idx="90">
                  <c:v>0.35151874135061456</c:v>
                </c:pt>
                <c:pt idx="91">
                  <c:v>0.35151874135061456</c:v>
                </c:pt>
                <c:pt idx="92">
                  <c:v>0.35151874135061456</c:v>
                </c:pt>
                <c:pt idx="93">
                  <c:v>0.35151874135061456</c:v>
                </c:pt>
                <c:pt idx="94">
                  <c:v>0.35151874135061456</c:v>
                </c:pt>
                <c:pt idx="95">
                  <c:v>0.35151874135061456</c:v>
                </c:pt>
                <c:pt idx="96">
                  <c:v>0.35151874135061456</c:v>
                </c:pt>
                <c:pt idx="97">
                  <c:v>0.35151874135061456</c:v>
                </c:pt>
                <c:pt idx="98">
                  <c:v>0.35151874135061456</c:v>
                </c:pt>
                <c:pt idx="99">
                  <c:v>0.35151874135061456</c:v>
                </c:pt>
                <c:pt idx="100">
                  <c:v>0.35151874135061456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FB-4FC6-8C2F-14DA24A91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63984"/>
        <c:axId val="60761104"/>
      </c:scatterChart>
      <c:valAx>
        <c:axId val="6076398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hu-HU" sz="1000" b="0" i="0" u="none" strike="noStrike" kern="1200" baseline="0" smtClean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Likviditási puffer az induló letéthez viszonyítva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hu-HU" sz="1000" b="0" i="0" u="none" strike="noStrike" kern="1200" baseline="0" smtClean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60761104"/>
        <c:crosses val="autoZero"/>
        <c:crossBetween val="midCat"/>
      </c:valAx>
      <c:valAx>
        <c:axId val="6076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Profit</a:t>
                </a:r>
                <a:r>
                  <a:rPr lang="hu-HU" baseline="0"/>
                  <a:t> az induló letéthez viszonyítva</a:t>
                </a:r>
                <a:endParaRPr lang="hu-H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60763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61845467221161"/>
          <c:y val="0.64170088253338986"/>
          <c:w val="0.25298304258716064"/>
          <c:h val="0.146585492472509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41154</xdr:colOff>
      <xdr:row>1</xdr:row>
      <xdr:rowOff>3113</xdr:rowOff>
    </xdr:from>
    <xdr:to>
      <xdr:col>16</xdr:col>
      <xdr:colOff>37171</xdr:colOff>
      <xdr:row>16</xdr:row>
      <xdr:rowOff>111512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FB775048-0602-016A-0615-9C6276657B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3669-9CC1-4956-A607-EBCC131597E9}">
  <sheetPr codeName="Munka10"/>
  <dimension ref="A2:F104"/>
  <sheetViews>
    <sheetView showGridLines="0" tabSelected="1" zoomScale="82" workbookViewId="0">
      <selection activeCell="R8" sqref="R8"/>
    </sheetView>
  </sheetViews>
  <sheetFormatPr defaultRowHeight="14.4" x14ac:dyDescent="0.3"/>
  <cols>
    <col min="1" max="1" width="31.77734375" customWidth="1"/>
    <col min="2" max="2" width="16.6640625" customWidth="1"/>
    <col min="3" max="3" width="3.33203125" customWidth="1"/>
    <col min="4" max="5" width="20.21875" customWidth="1"/>
    <col min="7" max="7" width="11.44140625" bestFit="1" customWidth="1"/>
    <col min="8" max="8" width="2.109375" customWidth="1"/>
    <col min="10" max="10" width="10.44140625" bestFit="1" customWidth="1"/>
    <col min="17" max="25" width="15.6640625" customWidth="1"/>
  </cols>
  <sheetData>
    <row r="2" spans="1:6" x14ac:dyDescent="0.3">
      <c r="A2" s="12" t="s">
        <v>0</v>
      </c>
      <c r="B2" s="12"/>
      <c r="D2" s="13" t="s">
        <v>11</v>
      </c>
      <c r="E2" s="13"/>
    </row>
    <row r="3" spans="1:6" ht="16.2" thickBot="1" x14ac:dyDescent="0.4">
      <c r="A3" s="1" t="s">
        <v>1</v>
      </c>
      <c r="B3" s="1">
        <v>400</v>
      </c>
      <c r="D3" s="9" t="s">
        <v>3</v>
      </c>
      <c r="E3" s="9" t="s">
        <v>10</v>
      </c>
      <c r="F3" s="11"/>
    </row>
    <row r="4" spans="1:6" x14ac:dyDescent="0.3">
      <c r="A4" s="1" t="s">
        <v>2</v>
      </c>
      <c r="B4" s="2">
        <v>1E-4</v>
      </c>
      <c r="D4" s="3" cm="1">
        <f t="array" ref="D4:F104">egesz(B3,B4,B5,B7,B6,B8,B9,B10)</f>
        <v>0</v>
      </c>
      <c r="E4" s="4">
        <v>0.12292916966868205</v>
      </c>
      <c r="F4" s="10">
        <v>0.35151874135061456</v>
      </c>
    </row>
    <row r="5" spans="1:6" x14ac:dyDescent="0.3">
      <c r="A5" s="1" t="s">
        <v>4</v>
      </c>
      <c r="B5" s="2">
        <v>0.02</v>
      </c>
      <c r="D5" s="3">
        <v>0.01</v>
      </c>
      <c r="E5" s="4">
        <v>0.12579298271242623</v>
      </c>
      <c r="F5" s="10">
        <v>0.35151874135061456</v>
      </c>
    </row>
    <row r="6" spans="1:6" ht="15.6" x14ac:dyDescent="0.35">
      <c r="A6" s="1" t="s">
        <v>5</v>
      </c>
      <c r="B6" s="5">
        <v>0.01</v>
      </c>
      <c r="D6" s="3">
        <v>0.02</v>
      </c>
      <c r="E6" s="4">
        <v>0.13396145946561927</v>
      </c>
      <c r="F6" s="10">
        <v>0.35151874135061456</v>
      </c>
    </row>
    <row r="7" spans="1:6" x14ac:dyDescent="0.3">
      <c r="A7" s="1" t="s">
        <v>9</v>
      </c>
      <c r="B7" s="6">
        <v>250</v>
      </c>
      <c r="D7" s="3">
        <v>0.03</v>
      </c>
      <c r="E7" s="4">
        <v>0.13395612729868714</v>
      </c>
      <c r="F7" s="10">
        <v>0.35151874135061456</v>
      </c>
    </row>
    <row r="8" spans="1:6" x14ac:dyDescent="0.3">
      <c r="A8" s="1" t="s">
        <v>6</v>
      </c>
      <c r="B8" s="6">
        <f>1000*100</f>
        <v>100000</v>
      </c>
      <c r="D8" s="3">
        <v>0.04</v>
      </c>
      <c r="E8" s="4">
        <v>0.13404379705475677</v>
      </c>
      <c r="F8" s="10">
        <v>0.35151874135061456</v>
      </c>
    </row>
    <row r="9" spans="1:6" x14ac:dyDescent="0.3">
      <c r="A9" s="1" t="s">
        <v>7</v>
      </c>
      <c r="B9" s="2">
        <v>0.2</v>
      </c>
      <c r="D9" s="3">
        <v>0.05</v>
      </c>
      <c r="E9" s="4">
        <v>0.13209268003203842</v>
      </c>
      <c r="F9" s="10">
        <v>0.35151874135061456</v>
      </c>
    </row>
    <row r="10" spans="1:6" x14ac:dyDescent="0.3">
      <c r="A10" s="1" t="s">
        <v>8</v>
      </c>
      <c r="B10" s="2">
        <v>0.1</v>
      </c>
      <c r="D10" s="3">
        <v>0.06</v>
      </c>
      <c r="E10" s="4">
        <v>0.13503994141609649</v>
      </c>
      <c r="F10" s="10">
        <v>0.35151874135061456</v>
      </c>
    </row>
    <row r="11" spans="1:6" x14ac:dyDescent="0.3">
      <c r="D11" s="3">
        <v>7.0000000000000007E-2</v>
      </c>
      <c r="E11" s="4">
        <v>0.13461958646419375</v>
      </c>
      <c r="F11" s="10">
        <v>0.35151874135061456</v>
      </c>
    </row>
    <row r="12" spans="1:6" x14ac:dyDescent="0.3">
      <c r="B12" s="14"/>
      <c r="D12" s="3">
        <v>0.08</v>
      </c>
      <c r="E12" s="4">
        <v>0.13620640303687834</v>
      </c>
      <c r="F12" s="10">
        <v>0.35151874135061456</v>
      </c>
    </row>
    <row r="13" spans="1:6" x14ac:dyDescent="0.3">
      <c r="D13" s="3">
        <v>0.09</v>
      </c>
      <c r="E13" s="4">
        <v>0.13357143919757652</v>
      </c>
      <c r="F13" s="10">
        <v>0.35151874135061456</v>
      </c>
    </row>
    <row r="14" spans="1:6" x14ac:dyDescent="0.3">
      <c r="A14" s="1"/>
      <c r="B14" s="7"/>
      <c r="D14" s="3">
        <v>0.1</v>
      </c>
      <c r="E14" s="4">
        <v>0.13356706119033745</v>
      </c>
      <c r="F14" s="10">
        <v>0.35151874135061456</v>
      </c>
    </row>
    <row r="15" spans="1:6" x14ac:dyDescent="0.3">
      <c r="A15" s="1"/>
      <c r="B15" s="8"/>
      <c r="D15" s="3">
        <v>0.11</v>
      </c>
      <c r="E15" s="4">
        <v>0.1333469060501371</v>
      </c>
      <c r="F15" s="10">
        <v>0.35151874135061456</v>
      </c>
    </row>
    <row r="16" spans="1:6" x14ac:dyDescent="0.3">
      <c r="A16" s="1"/>
      <c r="B16" s="8"/>
      <c r="D16" s="3">
        <v>0.12</v>
      </c>
      <c r="E16" s="4">
        <v>0.13892431066785385</v>
      </c>
      <c r="F16" s="10">
        <v>0.35151874135061456</v>
      </c>
    </row>
    <row r="17" spans="4:6" x14ac:dyDescent="0.3">
      <c r="D17" s="3">
        <v>0.13</v>
      </c>
      <c r="E17" s="4">
        <v>0.13806668742615005</v>
      </c>
      <c r="F17" s="10">
        <v>0.35151874135061456</v>
      </c>
    </row>
    <row r="18" spans="4:6" x14ac:dyDescent="0.3">
      <c r="D18" s="3">
        <v>0.14000000000000001</v>
      </c>
      <c r="E18" s="4">
        <v>0.14493117640277922</v>
      </c>
      <c r="F18" s="10">
        <v>0.35151874135061456</v>
      </c>
    </row>
    <row r="19" spans="4:6" x14ac:dyDescent="0.3">
      <c r="D19" s="3">
        <v>0.15</v>
      </c>
      <c r="E19" s="4">
        <v>0.14433050859781027</v>
      </c>
      <c r="F19" s="10">
        <v>0.35151874135061456</v>
      </c>
    </row>
    <row r="20" spans="4:6" x14ac:dyDescent="0.3">
      <c r="D20" s="3">
        <v>0.16</v>
      </c>
      <c r="E20" s="4">
        <v>0.142735188412593</v>
      </c>
      <c r="F20" s="10">
        <v>0.35151874135061456</v>
      </c>
    </row>
    <row r="21" spans="4:6" x14ac:dyDescent="0.3">
      <c r="D21" s="3">
        <v>0.17</v>
      </c>
      <c r="E21" s="4">
        <v>0.14715451340342373</v>
      </c>
      <c r="F21" s="10">
        <v>0.35151874135061456</v>
      </c>
    </row>
    <row r="22" spans="4:6" x14ac:dyDescent="0.3">
      <c r="D22" s="3">
        <v>0.18</v>
      </c>
      <c r="E22" s="4">
        <v>0.14738383668431732</v>
      </c>
      <c r="F22" s="10">
        <v>0.35151874135061456</v>
      </c>
    </row>
    <row r="23" spans="4:6" x14ac:dyDescent="0.3">
      <c r="D23" s="3">
        <v>0.19</v>
      </c>
      <c r="E23" s="4">
        <v>0.15645313701941133</v>
      </c>
      <c r="F23" s="10">
        <v>0.35151874135061456</v>
      </c>
    </row>
    <row r="24" spans="4:6" x14ac:dyDescent="0.3">
      <c r="D24" s="3">
        <v>0.2</v>
      </c>
      <c r="E24" s="4">
        <v>0.15612052659874126</v>
      </c>
      <c r="F24" s="10">
        <v>0.35151874135061456</v>
      </c>
    </row>
    <row r="25" spans="4:6" x14ac:dyDescent="0.3">
      <c r="D25" s="3">
        <v>0.21</v>
      </c>
      <c r="E25" s="4">
        <v>0.15279476746907342</v>
      </c>
      <c r="F25" s="10">
        <v>0.35151874135061456</v>
      </c>
    </row>
    <row r="26" spans="4:6" x14ac:dyDescent="0.3">
      <c r="D26" s="3">
        <v>0.22</v>
      </c>
      <c r="E26" s="4">
        <v>0.15635649407664307</v>
      </c>
      <c r="F26" s="10">
        <v>0.35151874135061456</v>
      </c>
    </row>
    <row r="27" spans="4:6" x14ac:dyDescent="0.3">
      <c r="D27" s="3">
        <v>0.23</v>
      </c>
      <c r="E27" s="4">
        <v>0.15421704319620708</v>
      </c>
      <c r="F27" s="10">
        <v>0.35151874135061456</v>
      </c>
    </row>
    <row r="28" spans="4:6" x14ac:dyDescent="0.3">
      <c r="D28" s="3">
        <v>0.24</v>
      </c>
      <c r="E28" s="4">
        <v>0.15380512279822262</v>
      </c>
      <c r="F28" s="10">
        <v>0.35151874135061456</v>
      </c>
    </row>
    <row r="29" spans="4:6" x14ac:dyDescent="0.3">
      <c r="D29" s="3">
        <v>0.25</v>
      </c>
      <c r="E29" s="4">
        <v>0.14984380365819353</v>
      </c>
      <c r="F29" s="10">
        <v>0.35151874135061456</v>
      </c>
    </row>
    <row r="30" spans="4:6" x14ac:dyDescent="0.3">
      <c r="D30" s="3">
        <v>0.26</v>
      </c>
      <c r="E30" s="4">
        <v>0.14648592722215298</v>
      </c>
      <c r="F30" s="10">
        <v>0.35151874135061456</v>
      </c>
    </row>
    <row r="31" spans="4:6" x14ac:dyDescent="0.3">
      <c r="D31" s="3">
        <v>0.27</v>
      </c>
      <c r="E31" s="4">
        <v>0.14426963364957957</v>
      </c>
      <c r="F31" s="10">
        <v>0.35151874135061456</v>
      </c>
    </row>
    <row r="32" spans="4:6" x14ac:dyDescent="0.3">
      <c r="D32" s="3">
        <v>0.28000000000000003</v>
      </c>
      <c r="E32" s="4">
        <v>0.15049526767574981</v>
      </c>
      <c r="F32" s="10">
        <v>0.35151874135061456</v>
      </c>
    </row>
    <row r="33" spans="4:6" x14ac:dyDescent="0.3">
      <c r="D33" s="3">
        <v>0.28999999999999998</v>
      </c>
      <c r="E33" s="4">
        <v>0.1494698434013825</v>
      </c>
      <c r="F33" s="10">
        <v>0.35151874135061456</v>
      </c>
    </row>
    <row r="34" spans="4:6" x14ac:dyDescent="0.3">
      <c r="D34" s="3">
        <v>0.3</v>
      </c>
      <c r="E34" s="4">
        <v>0.15059695315893726</v>
      </c>
      <c r="F34" s="10">
        <v>0.35151874135061456</v>
      </c>
    </row>
    <row r="35" spans="4:6" x14ac:dyDescent="0.3">
      <c r="D35" s="3">
        <v>0.31</v>
      </c>
      <c r="E35" s="4">
        <v>0.14991172720392507</v>
      </c>
      <c r="F35" s="10">
        <v>0.35151874135061456</v>
      </c>
    </row>
    <row r="36" spans="4:6" x14ac:dyDescent="0.3">
      <c r="D36" s="3">
        <v>0.32</v>
      </c>
      <c r="E36" s="4">
        <v>0.16131493626960974</v>
      </c>
      <c r="F36" s="10">
        <v>0.35151874135061456</v>
      </c>
    </row>
    <row r="37" spans="4:6" x14ac:dyDescent="0.3">
      <c r="D37" s="3">
        <v>0.33</v>
      </c>
      <c r="E37" s="4">
        <v>0.16545029942499584</v>
      </c>
      <c r="F37" s="10">
        <v>0.35151874135061456</v>
      </c>
    </row>
    <row r="38" spans="4:6" x14ac:dyDescent="0.3">
      <c r="D38" s="3">
        <v>0.34</v>
      </c>
      <c r="E38" s="4">
        <v>0.16662848363504135</v>
      </c>
      <c r="F38" s="10">
        <v>0.35151874135061456</v>
      </c>
    </row>
    <row r="39" spans="4:6" x14ac:dyDescent="0.3">
      <c r="D39" s="3">
        <v>0.35</v>
      </c>
      <c r="E39" s="4">
        <v>0.16650494672427096</v>
      </c>
      <c r="F39" s="10">
        <v>0.35151874135061456</v>
      </c>
    </row>
    <row r="40" spans="4:6" x14ac:dyDescent="0.3">
      <c r="D40" s="3">
        <v>0.36</v>
      </c>
      <c r="E40" s="4">
        <v>0.16576161511223464</v>
      </c>
      <c r="F40" s="10">
        <v>0.35151874135061456</v>
      </c>
    </row>
    <row r="41" spans="4:6" x14ac:dyDescent="0.3">
      <c r="D41" s="3">
        <v>0.37</v>
      </c>
      <c r="E41" s="4">
        <v>0.1666095473866904</v>
      </c>
      <c r="F41" s="10">
        <v>0.35151874135061456</v>
      </c>
    </row>
    <row r="42" spans="4:6" x14ac:dyDescent="0.3">
      <c r="D42" s="3">
        <v>0.38</v>
      </c>
      <c r="E42" s="4">
        <v>0.17465108056424383</v>
      </c>
      <c r="F42" s="10">
        <v>0.35151874135061456</v>
      </c>
    </row>
    <row r="43" spans="4:6" x14ac:dyDescent="0.3">
      <c r="D43" s="3">
        <v>0.39</v>
      </c>
      <c r="E43" s="4">
        <v>0.17402541627887441</v>
      </c>
      <c r="F43" s="10">
        <v>0.35151874135061456</v>
      </c>
    </row>
    <row r="44" spans="4:6" x14ac:dyDescent="0.3">
      <c r="D44" s="3">
        <v>0.4</v>
      </c>
      <c r="E44" s="4">
        <v>0.172153770054702</v>
      </c>
      <c r="F44" s="10">
        <v>0.35151874135061456</v>
      </c>
    </row>
    <row r="45" spans="4:6" x14ac:dyDescent="0.3">
      <c r="D45" s="3">
        <v>0.41</v>
      </c>
      <c r="E45" s="4">
        <v>0.17182248467274358</v>
      </c>
      <c r="F45" s="10">
        <v>0.35151874135061456</v>
      </c>
    </row>
    <row r="46" spans="4:6" x14ac:dyDescent="0.3">
      <c r="D46" s="3">
        <v>0.42</v>
      </c>
      <c r="E46" s="4">
        <v>0.16315611812400016</v>
      </c>
      <c r="F46" s="10">
        <v>0.35151874135061456</v>
      </c>
    </row>
    <row r="47" spans="4:6" x14ac:dyDescent="0.3">
      <c r="D47" s="3">
        <v>0.43</v>
      </c>
      <c r="E47" s="4">
        <v>0.16802026838409287</v>
      </c>
      <c r="F47" s="10">
        <v>0.35151874135061456</v>
      </c>
    </row>
    <row r="48" spans="4:6" x14ac:dyDescent="0.3">
      <c r="D48" s="3">
        <v>0.44</v>
      </c>
      <c r="E48" s="4">
        <v>0.16801604171825041</v>
      </c>
      <c r="F48" s="10">
        <v>0.35151874135061456</v>
      </c>
    </row>
    <row r="49" spans="4:6" x14ac:dyDescent="0.3">
      <c r="D49" s="3">
        <v>0.45</v>
      </c>
      <c r="E49" s="4">
        <v>0.1700200391056732</v>
      </c>
      <c r="F49" s="10">
        <v>0.35151874135061456</v>
      </c>
    </row>
    <row r="50" spans="4:6" x14ac:dyDescent="0.3">
      <c r="D50" s="3">
        <v>0.46</v>
      </c>
      <c r="E50" s="4">
        <v>0.16962998259076498</v>
      </c>
      <c r="F50" s="10">
        <v>0.35151874135061456</v>
      </c>
    </row>
    <row r="51" spans="4:6" x14ac:dyDescent="0.3">
      <c r="D51" s="3">
        <v>0.47</v>
      </c>
      <c r="E51" s="4">
        <v>0.16850376183732757</v>
      </c>
      <c r="F51" s="10">
        <v>0.35151874135061456</v>
      </c>
    </row>
    <row r="52" spans="4:6" x14ac:dyDescent="0.3">
      <c r="D52" s="3">
        <v>0.48</v>
      </c>
      <c r="E52" s="4">
        <v>0.17060145687052206</v>
      </c>
      <c r="F52" s="10">
        <v>0.35151874135061456</v>
      </c>
    </row>
    <row r="53" spans="4:6" x14ac:dyDescent="0.3">
      <c r="D53" s="3">
        <v>0.49</v>
      </c>
      <c r="E53" s="4">
        <v>0.17515995138264576</v>
      </c>
      <c r="F53" s="10">
        <v>0.35151874135061456</v>
      </c>
    </row>
    <row r="54" spans="4:6" x14ac:dyDescent="0.3">
      <c r="D54" s="3">
        <v>0.5</v>
      </c>
      <c r="E54" s="4">
        <v>0.18238714092829678</v>
      </c>
      <c r="F54" s="10">
        <v>0.35151874135061456</v>
      </c>
    </row>
    <row r="55" spans="4:6" x14ac:dyDescent="0.3">
      <c r="D55" s="3">
        <v>0.51</v>
      </c>
      <c r="E55" s="4">
        <v>0.19855491529821584</v>
      </c>
      <c r="F55" s="10">
        <v>0.35151874135061456</v>
      </c>
    </row>
    <row r="56" spans="4:6" x14ac:dyDescent="0.3">
      <c r="D56" s="3">
        <v>0.52</v>
      </c>
      <c r="E56" s="4">
        <v>0.20190736386631067</v>
      </c>
      <c r="F56" s="10">
        <v>0.35151874135061456</v>
      </c>
    </row>
    <row r="57" spans="4:6" x14ac:dyDescent="0.3">
      <c r="D57" s="3">
        <v>0.53</v>
      </c>
      <c r="E57" s="4">
        <v>0.19937852371476442</v>
      </c>
      <c r="F57" s="10">
        <v>0.35151874135061456</v>
      </c>
    </row>
    <row r="58" spans="4:6" x14ac:dyDescent="0.3">
      <c r="D58" s="3">
        <v>0.54</v>
      </c>
      <c r="E58" s="4">
        <v>0.20386892421448966</v>
      </c>
      <c r="F58" s="10">
        <v>0.35151874135061456</v>
      </c>
    </row>
    <row r="59" spans="4:6" x14ac:dyDescent="0.3">
      <c r="D59" s="3">
        <v>0.55000000000000004</v>
      </c>
      <c r="E59" s="4">
        <v>0.21457238339038218</v>
      </c>
      <c r="F59" s="10">
        <v>0.35151874135061456</v>
      </c>
    </row>
    <row r="60" spans="4:6" x14ac:dyDescent="0.3">
      <c r="D60" s="3">
        <v>0.56000000000000005</v>
      </c>
      <c r="E60" s="4">
        <v>0.22559410470914115</v>
      </c>
      <c r="F60" s="10">
        <v>0.35151874135061456</v>
      </c>
    </row>
    <row r="61" spans="4:6" x14ac:dyDescent="0.3">
      <c r="D61" s="3">
        <v>0.56999999999999995</v>
      </c>
      <c r="E61" s="4">
        <v>0.22133140401073201</v>
      </c>
      <c r="F61" s="10">
        <v>0.35151874135061456</v>
      </c>
    </row>
    <row r="62" spans="4:6" x14ac:dyDescent="0.3">
      <c r="D62" s="3">
        <v>0.57999999999999996</v>
      </c>
      <c r="E62" s="4">
        <v>0.22541498902136001</v>
      </c>
      <c r="F62" s="10">
        <v>0.35151874135061456</v>
      </c>
    </row>
    <row r="63" spans="4:6" x14ac:dyDescent="0.3">
      <c r="D63" s="3">
        <v>0.59</v>
      </c>
      <c r="E63" s="4">
        <v>0.22371878149498359</v>
      </c>
      <c r="F63" s="10">
        <v>0.35151874135061456</v>
      </c>
    </row>
    <row r="64" spans="4:6" x14ac:dyDescent="0.3">
      <c r="D64" s="3">
        <v>0.6</v>
      </c>
      <c r="E64" s="4">
        <v>0.22677319651614503</v>
      </c>
      <c r="F64" s="10">
        <v>0.35151874135061456</v>
      </c>
    </row>
    <row r="65" spans="4:6" x14ac:dyDescent="0.3">
      <c r="D65" s="3">
        <v>0.61</v>
      </c>
      <c r="E65" s="4">
        <v>0.2248937741878192</v>
      </c>
      <c r="F65" s="10">
        <v>0.35151874135061456</v>
      </c>
    </row>
    <row r="66" spans="4:6" x14ac:dyDescent="0.3">
      <c r="D66" s="3">
        <v>0.62</v>
      </c>
      <c r="E66" s="4">
        <v>0.2263546076900502</v>
      </c>
      <c r="F66" s="10">
        <v>0.35151874135061456</v>
      </c>
    </row>
    <row r="67" spans="4:6" x14ac:dyDescent="0.3">
      <c r="D67" s="3">
        <v>0.63</v>
      </c>
      <c r="E67" s="4">
        <v>0.22405899196042856</v>
      </c>
      <c r="F67" s="10">
        <v>0.35151874135061456</v>
      </c>
    </row>
    <row r="68" spans="4:6" x14ac:dyDescent="0.3">
      <c r="D68" s="3">
        <v>0.64</v>
      </c>
      <c r="E68" s="4">
        <v>0.22606477132123162</v>
      </c>
      <c r="F68" s="10">
        <v>0.35151874135061456</v>
      </c>
    </row>
    <row r="69" spans="4:6" x14ac:dyDescent="0.3">
      <c r="D69" s="3">
        <v>0.65</v>
      </c>
      <c r="E69" s="4">
        <v>0.22409551936016225</v>
      </c>
      <c r="F69" s="10">
        <v>0.35151874135061456</v>
      </c>
    </row>
    <row r="70" spans="4:6" x14ac:dyDescent="0.3">
      <c r="D70" s="3">
        <v>0.66</v>
      </c>
      <c r="E70" s="4">
        <v>0.22439031135907733</v>
      </c>
      <c r="F70" s="10">
        <v>0.35151874135061456</v>
      </c>
    </row>
    <row r="71" spans="4:6" x14ac:dyDescent="0.3">
      <c r="D71" s="3">
        <v>0.67</v>
      </c>
      <c r="E71" s="4">
        <v>0.22581761004863277</v>
      </c>
      <c r="F71" s="10">
        <v>0.35151874135061456</v>
      </c>
    </row>
    <row r="72" spans="4:6" x14ac:dyDescent="0.3">
      <c r="D72" s="3">
        <v>0.68</v>
      </c>
      <c r="E72" s="4">
        <v>0.22355108253385808</v>
      </c>
      <c r="F72" s="10">
        <v>0.35151874135061456</v>
      </c>
    </row>
    <row r="73" spans="4:6" x14ac:dyDescent="0.3">
      <c r="D73" s="3">
        <v>0.69</v>
      </c>
      <c r="E73" s="4">
        <v>0.22346567881020027</v>
      </c>
      <c r="F73" s="10">
        <v>0.35151874135061456</v>
      </c>
    </row>
    <row r="74" spans="4:6" x14ac:dyDescent="0.3">
      <c r="D74" s="3">
        <v>0.7</v>
      </c>
      <c r="E74" s="4">
        <v>0.22463542190957186</v>
      </c>
      <c r="F74" s="10">
        <v>0.35151874135061456</v>
      </c>
    </row>
    <row r="75" spans="4:6" x14ac:dyDescent="0.3">
      <c r="D75" s="3">
        <v>0.71</v>
      </c>
      <c r="E75" s="4">
        <v>0.22217700169941859</v>
      </c>
      <c r="F75" s="10">
        <v>0.35151874135061456</v>
      </c>
    </row>
    <row r="76" spans="4:6" x14ac:dyDescent="0.3">
      <c r="D76" s="3">
        <v>0.72</v>
      </c>
      <c r="E76" s="4">
        <v>0.22258216095645264</v>
      </c>
      <c r="F76" s="10">
        <v>0.35151874135061456</v>
      </c>
    </row>
    <row r="77" spans="4:6" x14ac:dyDescent="0.3">
      <c r="D77" s="3">
        <v>0.73</v>
      </c>
      <c r="E77" s="4">
        <v>0.22546047582080669</v>
      </c>
      <c r="F77" s="10">
        <v>0.35151874135061456</v>
      </c>
    </row>
    <row r="78" spans="4:6" x14ac:dyDescent="0.3">
      <c r="D78" s="3">
        <v>0.74</v>
      </c>
      <c r="E78" s="4">
        <v>0.22230636713789073</v>
      </c>
      <c r="F78" s="10">
        <v>0.35151874135061456</v>
      </c>
    </row>
    <row r="79" spans="4:6" x14ac:dyDescent="0.3">
      <c r="D79" s="3">
        <v>0.75</v>
      </c>
      <c r="E79" s="4">
        <v>0.21948560496658165</v>
      </c>
      <c r="F79" s="10">
        <v>0.35151874135061456</v>
      </c>
    </row>
    <row r="80" spans="4:6" x14ac:dyDescent="0.3">
      <c r="D80" s="3">
        <v>0.76</v>
      </c>
      <c r="E80" s="4">
        <v>0.21990105270200422</v>
      </c>
      <c r="F80" s="10">
        <v>0.35151874135061456</v>
      </c>
    </row>
    <row r="81" spans="4:6" x14ac:dyDescent="0.3">
      <c r="D81" s="3">
        <v>0.77</v>
      </c>
      <c r="E81" s="4">
        <v>0.22410970959612908</v>
      </c>
      <c r="F81" s="10">
        <v>0.35151874135061456</v>
      </c>
    </row>
    <row r="82" spans="4:6" x14ac:dyDescent="0.3">
      <c r="D82" s="3">
        <v>0.78</v>
      </c>
      <c r="E82" s="4">
        <v>0.22729857416920546</v>
      </c>
      <c r="F82" s="10">
        <v>0.35151874135061456</v>
      </c>
    </row>
    <row r="83" spans="4:6" x14ac:dyDescent="0.3">
      <c r="D83" s="3">
        <v>0.79</v>
      </c>
      <c r="E83" s="4">
        <v>0.22928328971498885</v>
      </c>
      <c r="F83" s="10">
        <v>0.35151874135061456</v>
      </c>
    </row>
    <row r="84" spans="4:6" x14ac:dyDescent="0.3">
      <c r="D84" s="3">
        <v>0.8</v>
      </c>
      <c r="E84" s="4">
        <v>0.23284987682939046</v>
      </c>
      <c r="F84" s="10">
        <v>0.35151874135061456</v>
      </c>
    </row>
    <row r="85" spans="4:6" x14ac:dyDescent="0.3">
      <c r="D85" s="3">
        <v>0.81</v>
      </c>
      <c r="E85" s="4">
        <v>0.23378230511208195</v>
      </c>
      <c r="F85" s="10">
        <v>0.35151874135061456</v>
      </c>
    </row>
    <row r="86" spans="4:6" x14ac:dyDescent="0.3">
      <c r="D86" s="3">
        <v>0.82</v>
      </c>
      <c r="E86" s="4">
        <v>0.23118786452852244</v>
      </c>
      <c r="F86" s="10">
        <v>0.35151874135061456</v>
      </c>
    </row>
    <row r="87" spans="4:6" x14ac:dyDescent="0.3">
      <c r="D87" s="3">
        <v>0.83</v>
      </c>
      <c r="E87" s="4">
        <v>0.23052412151772284</v>
      </c>
      <c r="F87" s="10">
        <v>0.35151874135061456</v>
      </c>
    </row>
    <row r="88" spans="4:6" x14ac:dyDescent="0.3">
      <c r="D88" s="3">
        <v>0.84</v>
      </c>
      <c r="E88" s="4">
        <v>0.23305652776105698</v>
      </c>
      <c r="F88" s="10">
        <v>0.35151874135061456</v>
      </c>
    </row>
    <row r="89" spans="4:6" x14ac:dyDescent="0.3">
      <c r="D89" s="3">
        <v>0.85</v>
      </c>
      <c r="E89" s="4">
        <v>0.23255842936740159</v>
      </c>
      <c r="F89" s="10">
        <v>0.35151874135061456</v>
      </c>
    </row>
    <row r="90" spans="4:6" x14ac:dyDescent="0.3">
      <c r="D90" s="3">
        <v>0.86</v>
      </c>
      <c r="E90" s="4">
        <v>0.23725643313668204</v>
      </c>
      <c r="F90" s="10">
        <v>0.35151874135061456</v>
      </c>
    </row>
    <row r="91" spans="4:6" x14ac:dyDescent="0.3">
      <c r="D91" s="3">
        <v>0.87</v>
      </c>
      <c r="E91" s="4">
        <v>0.23959603446980177</v>
      </c>
      <c r="F91" s="10">
        <v>0.35151874135061456</v>
      </c>
    </row>
    <row r="92" spans="4:6" x14ac:dyDescent="0.3">
      <c r="D92" s="3">
        <v>0.88</v>
      </c>
      <c r="E92" s="4">
        <v>0.24159876100737451</v>
      </c>
      <c r="F92" s="10">
        <v>0.35151874135061456</v>
      </c>
    </row>
    <row r="93" spans="4:6" x14ac:dyDescent="0.3">
      <c r="D93" s="3">
        <v>0.89</v>
      </c>
      <c r="E93" s="4">
        <v>0.24491038482172442</v>
      </c>
      <c r="F93" s="10">
        <v>0.35151874135061456</v>
      </c>
    </row>
    <row r="94" spans="4:6" x14ac:dyDescent="0.3">
      <c r="D94" s="3">
        <v>0.9</v>
      </c>
      <c r="E94" s="4">
        <v>0.24685650426225766</v>
      </c>
      <c r="F94" s="10">
        <v>0.35151874135061456</v>
      </c>
    </row>
    <row r="95" spans="4:6" x14ac:dyDescent="0.3">
      <c r="D95" s="3">
        <v>0.91</v>
      </c>
      <c r="E95" s="4">
        <v>0.24393230360395124</v>
      </c>
      <c r="F95" s="10">
        <v>0.35151874135061456</v>
      </c>
    </row>
    <row r="96" spans="4:6" x14ac:dyDescent="0.3">
      <c r="D96" s="3">
        <v>0.92</v>
      </c>
      <c r="E96" s="4">
        <v>0.24786009635983264</v>
      </c>
      <c r="F96" s="10">
        <v>0.35151874135061456</v>
      </c>
    </row>
    <row r="97" spans="4:6" x14ac:dyDescent="0.3">
      <c r="D97" s="3">
        <v>0.93</v>
      </c>
      <c r="E97" s="4">
        <v>0.25360656449326235</v>
      </c>
      <c r="F97" s="10">
        <v>0.35151874135061456</v>
      </c>
    </row>
    <row r="98" spans="4:6" x14ac:dyDescent="0.3">
      <c r="D98" s="3">
        <v>0.94</v>
      </c>
      <c r="E98" s="4">
        <v>0.25554905012076107</v>
      </c>
      <c r="F98" s="10">
        <v>0.35151874135061456</v>
      </c>
    </row>
    <row r="99" spans="4:6" x14ac:dyDescent="0.3">
      <c r="D99" s="3">
        <v>0.95</v>
      </c>
      <c r="E99" s="4">
        <v>0.25768299984107257</v>
      </c>
      <c r="F99" s="10">
        <v>0.35151874135061456</v>
      </c>
    </row>
    <row r="100" spans="4:6" x14ac:dyDescent="0.3">
      <c r="D100" s="3">
        <v>0.96</v>
      </c>
      <c r="E100" s="4">
        <v>0.26622952211951106</v>
      </c>
      <c r="F100" s="10">
        <v>0.35151874135061456</v>
      </c>
    </row>
    <row r="101" spans="4:6" x14ac:dyDescent="0.3">
      <c r="D101" s="3">
        <v>0.97</v>
      </c>
      <c r="E101" s="4">
        <v>0.2745085705905051</v>
      </c>
      <c r="F101" s="10">
        <v>0.35151874135061456</v>
      </c>
    </row>
    <row r="102" spans="4:6" x14ac:dyDescent="0.3">
      <c r="D102" s="3">
        <v>0.98</v>
      </c>
      <c r="E102" s="4">
        <v>0.27449132772223611</v>
      </c>
      <c r="F102" s="10">
        <v>0.35151874135061456</v>
      </c>
    </row>
    <row r="103" spans="4:6" x14ac:dyDescent="0.3">
      <c r="D103" s="3">
        <v>0.99</v>
      </c>
      <c r="E103" s="4">
        <v>0.27698268177270058</v>
      </c>
      <c r="F103" s="10">
        <v>0.35151874135061456</v>
      </c>
    </row>
    <row r="104" spans="4:6" x14ac:dyDescent="0.3">
      <c r="D104" s="3">
        <v>1</v>
      </c>
      <c r="E104" s="4">
        <v>0.28227472242436968</v>
      </c>
      <c r="F104" s="10">
        <v>0.35151874135061456</v>
      </c>
    </row>
  </sheetData>
  <mergeCells count="2">
    <mergeCell ref="A2:B2"/>
    <mergeCell ref="D2:E2"/>
  </mergeCells>
  <conditionalFormatting sqref="A17:B254 A255:C1048576 D4:E104 C4:C254 U5:XFD5 D106:XFD1048576 F105:XFD105 C3:XFD3 K6:XFD8 K5:S5 K4:XFD4 C2:D2 F2:XFD2 G9:XFD104 C1:XFD1 A2:B10">
    <cfRule type="notContainsBlanks" dxfId="3" priority="4">
      <formula>LEN(TRIM(A1))&gt;0</formula>
    </cfRule>
  </conditionalFormatting>
  <conditionalFormatting sqref="D3:E3">
    <cfRule type="notContainsBlanks" dxfId="2" priority="3">
      <formula>LEN(TRIM(D3))&gt;0</formula>
    </cfRule>
  </conditionalFormatting>
  <conditionalFormatting sqref="A15:B16 B14">
    <cfRule type="notContainsBlanks" dxfId="1" priority="2">
      <formula>LEN(TRIM(A14))&gt;0</formula>
    </cfRule>
  </conditionalFormatting>
  <conditionalFormatting sqref="A14">
    <cfRule type="notContainsBlanks" dxfId="0" priority="1">
      <formula>LEN(TRIM(A14))&gt;0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Futures ügylet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Szabolcs Szirák</dc:creator>
  <cp:lastModifiedBy>Szirák Szabolcs</cp:lastModifiedBy>
  <dcterms:created xsi:type="dcterms:W3CDTF">2024-04-26T12:43:40Z</dcterms:created>
  <dcterms:modified xsi:type="dcterms:W3CDTF">2025-09-20T14:08:16Z</dcterms:modified>
</cp:coreProperties>
</file>