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Numpü\házi feladatok\"/>
    </mc:Choice>
  </mc:AlternateContent>
  <xr:revisionPtr revIDLastSave="0" documentId="13_ncr:1_{4D0A56D8-5A86-40EA-A364-45F5C7AB98B0}" xr6:coauthVersionLast="47" xr6:coauthVersionMax="47" xr10:uidLastSave="{00000000-0000-0000-0000-000000000000}"/>
  <bookViews>
    <workbookView xWindow="-108" yWindow="-108" windowWidth="23256" windowHeight="12456" xr2:uid="{170011AA-F3F8-4A76-8E35-542CBEFF3EED}"/>
  </bookViews>
  <sheets>
    <sheet name="RHI, RL, VLO" sheetId="1" r:id="rId1"/>
    <sheet name="Ábrázolá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H4" i="1"/>
  <c r="O2" i="1"/>
  <c r="M6" i="1"/>
  <c r="N3" i="1"/>
  <c r="N2" i="1" l="1"/>
  <c r="O3" i="1" l="1"/>
  <c r="M5" i="1"/>
  <c r="Q3" i="1" s="1"/>
  <c r="Q4" i="1" l="1"/>
  <c r="S3" i="1"/>
  <c r="R3" i="1"/>
  <c r="Q5" i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Q438" i="1" s="1"/>
  <c r="Q439" i="1" s="1"/>
  <c r="Q440" i="1" s="1"/>
  <c r="Q441" i="1" s="1"/>
  <c r="Q442" i="1" s="1"/>
  <c r="Q443" i="1" s="1"/>
  <c r="Q444" i="1" s="1"/>
  <c r="Q445" i="1" s="1"/>
  <c r="Q446" i="1" s="1"/>
  <c r="Q447" i="1" s="1"/>
  <c r="Q448" i="1" s="1"/>
  <c r="Q449" i="1" s="1"/>
  <c r="Q450" i="1" s="1"/>
  <c r="Q451" i="1" s="1"/>
  <c r="Q452" i="1" s="1"/>
  <c r="Q453" i="1" s="1"/>
  <c r="Q454" i="1" s="1"/>
  <c r="Q455" i="1" s="1"/>
  <c r="Q456" i="1" s="1"/>
  <c r="Q457" i="1" s="1"/>
  <c r="Q458" i="1" s="1"/>
  <c r="Q459" i="1" s="1"/>
  <c r="Q460" i="1" s="1"/>
  <c r="Q461" i="1" s="1"/>
  <c r="Q462" i="1" s="1"/>
  <c r="Q463" i="1" s="1"/>
  <c r="Q464" i="1" s="1"/>
  <c r="Q465" i="1" s="1"/>
  <c r="Q466" i="1" s="1"/>
  <c r="Q467" i="1" s="1"/>
  <c r="Q468" i="1" s="1"/>
  <c r="Q469" i="1" s="1"/>
  <c r="Q470" i="1" s="1"/>
  <c r="Q471" i="1" s="1"/>
  <c r="Q472" i="1" s="1"/>
  <c r="Q473" i="1" s="1"/>
  <c r="Q474" i="1" s="1"/>
  <c r="Q475" i="1" s="1"/>
  <c r="Q476" i="1" s="1"/>
  <c r="Q477" i="1" s="1"/>
  <c r="Q478" i="1" s="1"/>
  <c r="Q479" i="1" s="1"/>
  <c r="Q480" i="1" s="1"/>
  <c r="Q481" i="1" s="1"/>
  <c r="Q482" i="1" s="1"/>
  <c r="Q483" i="1" s="1"/>
  <c r="Q484" i="1" s="1"/>
  <c r="Q485" i="1" s="1"/>
  <c r="Q486" i="1" s="1"/>
  <c r="Q487" i="1" s="1"/>
  <c r="Q488" i="1" s="1"/>
  <c r="Q489" i="1" s="1"/>
  <c r="Q490" i="1" s="1"/>
  <c r="Q491" i="1" s="1"/>
  <c r="Q492" i="1" s="1"/>
  <c r="Q493" i="1" s="1"/>
  <c r="Q494" i="1" s="1"/>
  <c r="Q495" i="1" s="1"/>
  <c r="Q496" i="1" s="1"/>
  <c r="Q497" i="1" s="1"/>
  <c r="Q498" i="1" s="1"/>
  <c r="Q499" i="1" s="1"/>
  <c r="Q500" i="1" s="1"/>
  <c r="Q501" i="1" s="1"/>
  <c r="Q502" i="1" s="1"/>
  <c r="Q503" i="1" s="1"/>
  <c r="Q504" i="1" s="1"/>
  <c r="Q505" i="1" s="1"/>
  <c r="Q506" i="1" s="1"/>
  <c r="Q507" i="1" s="1"/>
  <c r="Q508" i="1" s="1"/>
  <c r="Q509" i="1" s="1"/>
  <c r="Q510" i="1" s="1"/>
  <c r="Q511" i="1" s="1"/>
  <c r="Q512" i="1" s="1"/>
  <c r="Q513" i="1" s="1"/>
  <c r="Q514" i="1" s="1"/>
  <c r="Q515" i="1" s="1"/>
  <c r="Q516" i="1" s="1"/>
  <c r="Q517" i="1" s="1"/>
  <c r="Q518" i="1" s="1"/>
  <c r="Q519" i="1" s="1"/>
  <c r="Q520" i="1" s="1"/>
  <c r="Q521" i="1" s="1"/>
  <c r="Q522" i="1" s="1"/>
  <c r="Q523" i="1" s="1"/>
  <c r="Q524" i="1" s="1"/>
  <c r="Q525" i="1" s="1"/>
  <c r="Q526" i="1" s="1"/>
  <c r="Q527" i="1" s="1"/>
  <c r="Q528" i="1" s="1"/>
  <c r="Q529" i="1" s="1"/>
  <c r="Q530" i="1" s="1"/>
  <c r="Q531" i="1" s="1"/>
  <c r="Q532" i="1" s="1"/>
  <c r="Q533" i="1" s="1"/>
  <c r="Q534" i="1" s="1"/>
  <c r="Q535" i="1" s="1"/>
  <c r="Q536" i="1" s="1"/>
  <c r="Q537" i="1" s="1"/>
  <c r="Q538" i="1" s="1"/>
  <c r="Q539" i="1" s="1"/>
  <c r="Q540" i="1" s="1"/>
  <c r="Q541" i="1" s="1"/>
  <c r="Q542" i="1" s="1"/>
  <c r="Q543" i="1" s="1"/>
  <c r="Q544" i="1" s="1"/>
  <c r="Q545" i="1" s="1"/>
  <c r="Q546" i="1" s="1"/>
  <c r="Q547" i="1" s="1"/>
  <c r="Q548" i="1" s="1"/>
  <c r="Q549" i="1" s="1"/>
  <c r="Q550" i="1" s="1"/>
  <c r="Q551" i="1" s="1"/>
  <c r="Q552" i="1" s="1"/>
  <c r="Q553" i="1" s="1"/>
  <c r="Q554" i="1" s="1"/>
  <c r="Q555" i="1" s="1"/>
  <c r="Q556" i="1" s="1"/>
  <c r="Q557" i="1" s="1"/>
  <c r="Q558" i="1" s="1"/>
  <c r="Q559" i="1" s="1"/>
  <c r="Q560" i="1" s="1"/>
  <c r="Q561" i="1" s="1"/>
  <c r="Q562" i="1" s="1"/>
  <c r="Q563" i="1" s="1"/>
  <c r="Q564" i="1" s="1"/>
  <c r="Q565" i="1" s="1"/>
  <c r="Q566" i="1" s="1"/>
  <c r="Q567" i="1" s="1"/>
  <c r="Q568" i="1" s="1"/>
  <c r="Q569" i="1" s="1"/>
  <c r="Q570" i="1" s="1"/>
  <c r="Q571" i="1" s="1"/>
  <c r="Q572" i="1" s="1"/>
  <c r="Q573" i="1" s="1"/>
  <c r="Q574" i="1" s="1"/>
  <c r="Q575" i="1" s="1"/>
  <c r="Q576" i="1" s="1"/>
  <c r="Q577" i="1" s="1"/>
  <c r="Q578" i="1" s="1"/>
  <c r="Q579" i="1" s="1"/>
  <c r="Q580" i="1" s="1"/>
  <c r="Q581" i="1" s="1"/>
  <c r="Q582" i="1" s="1"/>
  <c r="Q583" i="1" s="1"/>
  <c r="Q584" i="1" s="1"/>
  <c r="Q585" i="1" s="1"/>
  <c r="Q586" i="1" s="1"/>
  <c r="Q587" i="1" s="1"/>
  <c r="Q588" i="1" s="1"/>
  <c r="Q589" i="1" s="1"/>
  <c r="Q590" i="1" s="1"/>
  <c r="Q591" i="1" s="1"/>
  <c r="Q592" i="1" s="1"/>
  <c r="Q593" i="1" s="1"/>
  <c r="Q594" i="1" s="1"/>
  <c r="Q595" i="1" s="1"/>
  <c r="Q596" i="1" s="1"/>
  <c r="Q597" i="1" s="1"/>
  <c r="Q598" i="1" s="1"/>
  <c r="Q599" i="1" s="1"/>
  <c r="Q600" i="1" s="1"/>
  <c r="Q601" i="1" s="1"/>
  <c r="Q602" i="1" s="1"/>
  <c r="Q603" i="1" s="1"/>
  <c r="Q604" i="1" s="1"/>
  <c r="Q605" i="1" s="1"/>
  <c r="Q606" i="1" s="1"/>
  <c r="Q607" i="1" s="1"/>
  <c r="Q608" i="1" s="1"/>
  <c r="Q609" i="1" s="1"/>
  <c r="Q610" i="1" s="1"/>
  <c r="Q611" i="1" s="1"/>
  <c r="Q612" i="1" s="1"/>
  <c r="Q613" i="1" s="1"/>
  <c r="Q614" i="1" s="1"/>
  <c r="Q615" i="1" s="1"/>
  <c r="Q616" i="1" s="1"/>
  <c r="Q617" i="1" s="1"/>
  <c r="Q618" i="1" s="1"/>
  <c r="Q619" i="1" s="1"/>
  <c r="Q620" i="1" s="1"/>
  <c r="Q621" i="1" s="1"/>
  <c r="Q622" i="1" s="1"/>
  <c r="Q623" i="1" s="1"/>
  <c r="Q624" i="1" s="1"/>
  <c r="Q625" i="1" s="1"/>
  <c r="Q626" i="1" s="1"/>
  <c r="Q627" i="1" s="1"/>
  <c r="Q628" i="1" s="1"/>
  <c r="Q629" i="1" s="1"/>
  <c r="Q630" i="1" s="1"/>
  <c r="Q631" i="1" s="1"/>
  <c r="Q632" i="1" s="1"/>
  <c r="Q633" i="1" s="1"/>
  <c r="Q634" i="1" s="1"/>
  <c r="Q635" i="1" s="1"/>
  <c r="Q636" i="1" s="1"/>
  <c r="Q637" i="1" s="1"/>
  <c r="Q638" i="1" s="1"/>
  <c r="Q639" i="1" s="1"/>
  <c r="Q640" i="1" s="1"/>
  <c r="Q641" i="1" s="1"/>
  <c r="Q642" i="1" s="1"/>
  <c r="Q643" i="1" s="1"/>
  <c r="Q644" i="1" s="1"/>
  <c r="Q645" i="1" s="1"/>
  <c r="Q646" i="1" s="1"/>
  <c r="Q647" i="1" s="1"/>
  <c r="Q648" i="1" s="1"/>
  <c r="Q649" i="1" s="1"/>
  <c r="Q650" i="1" s="1"/>
  <c r="Q651" i="1" s="1"/>
  <c r="Q652" i="1" s="1"/>
  <c r="Q653" i="1" s="1"/>
  <c r="Q654" i="1" s="1"/>
  <c r="Q655" i="1" s="1"/>
  <c r="Q656" i="1" s="1"/>
  <c r="Q657" i="1" s="1"/>
  <c r="Q658" i="1" s="1"/>
  <c r="Q659" i="1" s="1"/>
  <c r="Q660" i="1" s="1"/>
  <c r="Q661" i="1" s="1"/>
  <c r="Q662" i="1" s="1"/>
  <c r="Q663" i="1" s="1"/>
  <c r="Q664" i="1" s="1"/>
  <c r="Q665" i="1" s="1"/>
  <c r="Q666" i="1" s="1"/>
  <c r="Q667" i="1" s="1"/>
  <c r="Q668" i="1" s="1"/>
  <c r="Q669" i="1" s="1"/>
  <c r="Q670" i="1" s="1"/>
  <c r="Q671" i="1" s="1"/>
  <c r="Q672" i="1" s="1"/>
  <c r="Q673" i="1" s="1"/>
  <c r="Q674" i="1" s="1"/>
  <c r="Q675" i="1" s="1"/>
  <c r="Q676" i="1" s="1"/>
  <c r="Q677" i="1" s="1"/>
  <c r="Q678" i="1" s="1"/>
  <c r="Q679" i="1" s="1"/>
  <c r="Q680" i="1" s="1"/>
  <c r="Q681" i="1" s="1"/>
  <c r="Q682" i="1" s="1"/>
  <c r="Q683" i="1" s="1"/>
  <c r="Q684" i="1" s="1"/>
  <c r="Q685" i="1" s="1"/>
  <c r="Q686" i="1" s="1"/>
  <c r="Q687" i="1" s="1"/>
  <c r="Q688" i="1" s="1"/>
  <c r="Q689" i="1" s="1"/>
  <c r="Q690" i="1" s="1"/>
  <c r="Q691" i="1" s="1"/>
  <c r="Q692" i="1" s="1"/>
  <c r="Q693" i="1" s="1"/>
  <c r="Q694" i="1" s="1"/>
  <c r="Q695" i="1" s="1"/>
  <c r="Q696" i="1" s="1"/>
  <c r="Q697" i="1" s="1"/>
  <c r="Q698" i="1" s="1"/>
  <c r="Q699" i="1" s="1"/>
  <c r="Q700" i="1" s="1"/>
  <c r="Q701" i="1" s="1"/>
  <c r="Q702" i="1" s="1"/>
  <c r="Q703" i="1" s="1"/>
  <c r="Q704" i="1" s="1"/>
  <c r="Q705" i="1" s="1"/>
  <c r="Q706" i="1" s="1"/>
  <c r="Q707" i="1" s="1"/>
  <c r="Q708" i="1" s="1"/>
  <c r="Q709" i="1" s="1"/>
  <c r="Q710" i="1" s="1"/>
  <c r="Q711" i="1" s="1"/>
  <c r="Q712" i="1" s="1"/>
  <c r="Q713" i="1" s="1"/>
  <c r="Q714" i="1" s="1"/>
  <c r="Q715" i="1" s="1"/>
  <c r="Q716" i="1" s="1"/>
  <c r="Q717" i="1" s="1"/>
  <c r="Q718" i="1" s="1"/>
  <c r="Q719" i="1" s="1"/>
  <c r="Q720" i="1" s="1"/>
  <c r="Q721" i="1" s="1"/>
  <c r="Q722" i="1" s="1"/>
  <c r="Q723" i="1" s="1"/>
  <c r="Q724" i="1" s="1"/>
  <c r="Q725" i="1" s="1"/>
  <c r="Q726" i="1" s="1"/>
  <c r="Q727" i="1" s="1"/>
  <c r="Q728" i="1" s="1"/>
  <c r="Q729" i="1" s="1"/>
  <c r="Q730" i="1" s="1"/>
  <c r="Q731" i="1" s="1"/>
  <c r="Q732" i="1" s="1"/>
  <c r="Q733" i="1" s="1"/>
  <c r="Q734" i="1" s="1"/>
  <c r="Q735" i="1" s="1"/>
  <c r="Q736" i="1" s="1"/>
  <c r="Q737" i="1" s="1"/>
  <c r="Q738" i="1" s="1"/>
  <c r="Q739" i="1" s="1"/>
  <c r="Q740" i="1" s="1"/>
  <c r="Q741" i="1" s="1"/>
  <c r="Q742" i="1" s="1"/>
  <c r="Q743" i="1" s="1"/>
  <c r="Q744" i="1" s="1"/>
  <c r="Q745" i="1" s="1"/>
  <c r="Q746" i="1" s="1"/>
  <c r="Q747" i="1" s="1"/>
  <c r="Q748" i="1" s="1"/>
  <c r="Q749" i="1" s="1"/>
  <c r="Q750" i="1" s="1"/>
  <c r="Q751" i="1" s="1"/>
  <c r="Q752" i="1" s="1"/>
  <c r="Q753" i="1" s="1"/>
  <c r="Q754" i="1" s="1"/>
  <c r="Q755" i="1" s="1"/>
  <c r="Q756" i="1" s="1"/>
  <c r="Q757" i="1" s="1"/>
  <c r="Q758" i="1" s="1"/>
  <c r="Q759" i="1" s="1"/>
  <c r="Q760" i="1" s="1"/>
  <c r="Q761" i="1" s="1"/>
  <c r="Q762" i="1" s="1"/>
  <c r="Q763" i="1" s="1"/>
  <c r="Q764" i="1" s="1"/>
  <c r="Q765" i="1" s="1"/>
  <c r="Q766" i="1" s="1"/>
  <c r="Q767" i="1" s="1"/>
  <c r="Q768" i="1" s="1"/>
  <c r="Q769" i="1" s="1"/>
  <c r="Q770" i="1" s="1"/>
  <c r="Q771" i="1" s="1"/>
  <c r="Q772" i="1" s="1"/>
  <c r="Q773" i="1" s="1"/>
  <c r="Q774" i="1" s="1"/>
  <c r="Q775" i="1" s="1"/>
  <c r="Q776" i="1" s="1"/>
  <c r="Q777" i="1" s="1"/>
  <c r="Q778" i="1" s="1"/>
  <c r="Q779" i="1" s="1"/>
  <c r="Q780" i="1" s="1"/>
  <c r="Q781" i="1" s="1"/>
  <c r="Q782" i="1" s="1"/>
  <c r="Q783" i="1" s="1"/>
  <c r="Q784" i="1" s="1"/>
  <c r="Q785" i="1" s="1"/>
  <c r="Q786" i="1" s="1"/>
  <c r="Q787" i="1" s="1"/>
  <c r="Q788" i="1" s="1"/>
  <c r="Q789" i="1" s="1"/>
  <c r="Q790" i="1" s="1"/>
  <c r="Q791" i="1" s="1"/>
  <c r="Q792" i="1" s="1"/>
  <c r="Q793" i="1" s="1"/>
  <c r="Q794" i="1" s="1"/>
  <c r="Q795" i="1" s="1"/>
  <c r="Q796" i="1" s="1"/>
  <c r="Q797" i="1" s="1"/>
  <c r="Q798" i="1" s="1"/>
  <c r="Q799" i="1" s="1"/>
  <c r="Q800" i="1" s="1"/>
  <c r="Q801" i="1" s="1"/>
  <c r="Q802" i="1" s="1"/>
  <c r="Q803" i="1" s="1"/>
  <c r="Q804" i="1" s="1"/>
  <c r="Q805" i="1" s="1"/>
  <c r="Q806" i="1" s="1"/>
  <c r="Q807" i="1" s="1"/>
  <c r="Q808" i="1" s="1"/>
  <c r="Q809" i="1" s="1"/>
  <c r="Q810" i="1" s="1"/>
  <c r="Q811" i="1" s="1"/>
  <c r="Q812" i="1" s="1"/>
  <c r="Q813" i="1" s="1"/>
  <c r="Q814" i="1" s="1"/>
  <c r="Q815" i="1" s="1"/>
  <c r="Q816" i="1" s="1"/>
  <c r="Q817" i="1" s="1"/>
  <c r="Q818" i="1" s="1"/>
  <c r="Q819" i="1" s="1"/>
  <c r="Q820" i="1" s="1"/>
  <c r="Q821" i="1" s="1"/>
  <c r="Q822" i="1" s="1"/>
  <c r="Q823" i="1" s="1"/>
  <c r="Q824" i="1" s="1"/>
  <c r="Q825" i="1" s="1"/>
  <c r="Q826" i="1" s="1"/>
  <c r="Q827" i="1" s="1"/>
  <c r="Q828" i="1" s="1"/>
  <c r="Q829" i="1" s="1"/>
  <c r="Q830" i="1" s="1"/>
  <c r="Q831" i="1" s="1"/>
  <c r="Q832" i="1" s="1"/>
  <c r="Q833" i="1" s="1"/>
  <c r="Q834" i="1" s="1"/>
  <c r="Q835" i="1" s="1"/>
  <c r="Q836" i="1" s="1"/>
  <c r="Q837" i="1" s="1"/>
  <c r="Q838" i="1" s="1"/>
  <c r="Q839" i="1" s="1"/>
  <c r="Q840" i="1" s="1"/>
  <c r="Q841" i="1" s="1"/>
  <c r="Q842" i="1" s="1"/>
  <c r="Q843" i="1" s="1"/>
  <c r="Q844" i="1" s="1"/>
  <c r="Q845" i="1" s="1"/>
  <c r="Q846" i="1" s="1"/>
  <c r="Q847" i="1" s="1"/>
  <c r="Q848" i="1" s="1"/>
  <c r="Q849" i="1" s="1"/>
  <c r="Q850" i="1" s="1"/>
  <c r="Q851" i="1" s="1"/>
  <c r="Q852" i="1" s="1"/>
  <c r="Q853" i="1" s="1"/>
  <c r="Q854" i="1" s="1"/>
  <c r="Q855" i="1" s="1"/>
  <c r="Q856" i="1" s="1"/>
  <c r="Q857" i="1" s="1"/>
  <c r="Q858" i="1" s="1"/>
  <c r="Q859" i="1" s="1"/>
  <c r="Q860" i="1" s="1"/>
  <c r="Q861" i="1" s="1"/>
  <c r="Q862" i="1" s="1"/>
  <c r="Q863" i="1" s="1"/>
  <c r="Q864" i="1" s="1"/>
  <c r="Q865" i="1" s="1"/>
  <c r="Q866" i="1" s="1"/>
  <c r="Q867" i="1" s="1"/>
  <c r="Q868" i="1" s="1"/>
  <c r="Q869" i="1" s="1"/>
  <c r="Q870" i="1" s="1"/>
  <c r="Q871" i="1" s="1"/>
  <c r="Q872" i="1" s="1"/>
  <c r="Q873" i="1" s="1"/>
  <c r="Q874" i="1" s="1"/>
  <c r="Q875" i="1" s="1"/>
  <c r="Q876" i="1" s="1"/>
  <c r="Q877" i="1" s="1"/>
  <c r="Q878" i="1" s="1"/>
  <c r="Q879" i="1" s="1"/>
  <c r="Q880" i="1" s="1"/>
  <c r="Q881" i="1" s="1"/>
  <c r="Q882" i="1" s="1"/>
  <c r="Q883" i="1" s="1"/>
  <c r="Q884" i="1" s="1"/>
  <c r="Q885" i="1" s="1"/>
  <c r="Q886" i="1" s="1"/>
  <c r="Q887" i="1" s="1"/>
  <c r="Q888" i="1" s="1"/>
  <c r="Q889" i="1" s="1"/>
  <c r="Q890" i="1" s="1"/>
  <c r="Q891" i="1" s="1"/>
  <c r="Q892" i="1" s="1"/>
  <c r="Q893" i="1" s="1"/>
  <c r="Q894" i="1" s="1"/>
  <c r="Q895" i="1" s="1"/>
  <c r="Q896" i="1" s="1"/>
  <c r="Q897" i="1" s="1"/>
  <c r="Q898" i="1" s="1"/>
  <c r="Q899" i="1" s="1"/>
  <c r="Q900" i="1" s="1"/>
  <c r="Q901" i="1" s="1"/>
  <c r="Q902" i="1" s="1"/>
  <c r="Q903" i="1" s="1"/>
  <c r="Q904" i="1" s="1"/>
  <c r="Q905" i="1" s="1"/>
  <c r="Q906" i="1" s="1"/>
  <c r="Q907" i="1" s="1"/>
  <c r="Q908" i="1" s="1"/>
  <c r="Q909" i="1" s="1"/>
  <c r="Q910" i="1" s="1"/>
  <c r="Q911" i="1" s="1"/>
  <c r="Q912" i="1" s="1"/>
  <c r="Q913" i="1" s="1"/>
  <c r="Q914" i="1" s="1"/>
  <c r="Q915" i="1" s="1"/>
  <c r="Q916" i="1" s="1"/>
  <c r="Q917" i="1" s="1"/>
  <c r="Q918" i="1" s="1"/>
  <c r="Q919" i="1" s="1"/>
  <c r="Q920" i="1" s="1"/>
  <c r="Q921" i="1" s="1"/>
  <c r="Q922" i="1" s="1"/>
  <c r="Q923" i="1" s="1"/>
  <c r="Q924" i="1" s="1"/>
  <c r="Q925" i="1" s="1"/>
  <c r="Q926" i="1" s="1"/>
  <c r="Q927" i="1" s="1"/>
  <c r="Q928" i="1" s="1"/>
  <c r="Q929" i="1" s="1"/>
  <c r="Q930" i="1" s="1"/>
  <c r="Q931" i="1" s="1"/>
  <c r="Q932" i="1" s="1"/>
  <c r="Q933" i="1" s="1"/>
  <c r="Q934" i="1" s="1"/>
  <c r="Q935" i="1" s="1"/>
  <c r="Q936" i="1" s="1"/>
  <c r="Q937" i="1" s="1"/>
  <c r="Q938" i="1" s="1"/>
  <c r="Q939" i="1" s="1"/>
  <c r="Q940" i="1" s="1"/>
  <c r="Q941" i="1" s="1"/>
  <c r="Q942" i="1" s="1"/>
  <c r="Q943" i="1" s="1"/>
  <c r="Q944" i="1" s="1"/>
  <c r="Q945" i="1" s="1"/>
  <c r="Q946" i="1" s="1"/>
  <c r="Q947" i="1" s="1"/>
  <c r="Q948" i="1" s="1"/>
  <c r="Q949" i="1" s="1"/>
  <c r="Q950" i="1" s="1"/>
  <c r="Q951" i="1" s="1"/>
  <c r="Q952" i="1" s="1"/>
  <c r="Q953" i="1" s="1"/>
  <c r="Q954" i="1" s="1"/>
  <c r="Q955" i="1" s="1"/>
  <c r="Q956" i="1" s="1"/>
  <c r="Q957" i="1" s="1"/>
  <c r="Q958" i="1" s="1"/>
  <c r="Q959" i="1" s="1"/>
  <c r="Q960" i="1" s="1"/>
  <c r="Q961" i="1" s="1"/>
  <c r="Q962" i="1" s="1"/>
  <c r="Q963" i="1" s="1"/>
  <c r="Q964" i="1" s="1"/>
  <c r="Q965" i="1" s="1"/>
  <c r="Q966" i="1" s="1"/>
  <c r="Q967" i="1" s="1"/>
  <c r="Q968" i="1" s="1"/>
  <c r="Q969" i="1" s="1"/>
  <c r="Q970" i="1" s="1"/>
  <c r="Q971" i="1" s="1"/>
  <c r="Q972" i="1" s="1"/>
  <c r="Q973" i="1" s="1"/>
  <c r="Q974" i="1" s="1"/>
  <c r="Q975" i="1" s="1"/>
  <c r="Q976" i="1" s="1"/>
  <c r="Q977" i="1" s="1"/>
  <c r="Q978" i="1" s="1"/>
  <c r="Q979" i="1" s="1"/>
  <c r="Q980" i="1" s="1"/>
  <c r="Q981" i="1" s="1"/>
  <c r="Q982" i="1" s="1"/>
  <c r="Q983" i="1" s="1"/>
  <c r="Q984" i="1" s="1"/>
  <c r="Q985" i="1" s="1"/>
  <c r="Q986" i="1" s="1"/>
  <c r="Q987" i="1" s="1"/>
  <c r="Q988" i="1" s="1"/>
  <c r="Q989" i="1" s="1"/>
  <c r="Q990" i="1" s="1"/>
  <c r="Q991" i="1" s="1"/>
  <c r="Q992" i="1" s="1"/>
  <c r="Q993" i="1" s="1"/>
  <c r="Q994" i="1" s="1"/>
  <c r="Q995" i="1" s="1"/>
  <c r="Q996" i="1" s="1"/>
  <c r="Q997" i="1" s="1"/>
  <c r="Q998" i="1" s="1"/>
  <c r="Q999" i="1" s="1"/>
  <c r="Q1000" i="1" s="1"/>
  <c r="Q1001" i="1" s="1"/>
  <c r="Q1002" i="1" s="1"/>
  <c r="Q1003" i="1" s="1"/>
  <c r="Q1004" i="1" s="1"/>
  <c r="Q1005" i="1" s="1"/>
  <c r="Q1006" i="1" s="1"/>
  <c r="Q1007" i="1" s="1"/>
  <c r="Q1008" i="1" s="1"/>
  <c r="Q1009" i="1" s="1"/>
  <c r="Q1010" i="1" s="1"/>
  <c r="Q1011" i="1" s="1"/>
  <c r="Q1012" i="1" s="1"/>
  <c r="Q1013" i="1" s="1"/>
  <c r="Q1014" i="1" s="1"/>
  <c r="Q1015" i="1" s="1"/>
  <c r="Q1016" i="1" s="1"/>
  <c r="Q1017" i="1" s="1"/>
  <c r="Q1018" i="1" s="1"/>
  <c r="Q1019" i="1" s="1"/>
  <c r="Q1020" i="1" s="1"/>
  <c r="Q1021" i="1" s="1"/>
  <c r="Q1022" i="1" s="1"/>
  <c r="Q1023" i="1" s="1"/>
  <c r="Q1024" i="1" s="1"/>
  <c r="Q1025" i="1" s="1"/>
  <c r="Q1026" i="1" s="1"/>
  <c r="Q1027" i="1" s="1"/>
  <c r="Q1028" i="1" s="1"/>
  <c r="Q1029" i="1" s="1"/>
  <c r="Q1030" i="1" s="1"/>
  <c r="Q1031" i="1" s="1"/>
  <c r="Q1032" i="1" s="1"/>
  <c r="Q1033" i="1" s="1"/>
  <c r="Q1034" i="1" s="1"/>
  <c r="Q1035" i="1" s="1"/>
  <c r="Q1036" i="1" s="1"/>
  <c r="Q1037" i="1" s="1"/>
  <c r="Q1038" i="1" s="1"/>
  <c r="Q1039" i="1" s="1"/>
  <c r="Q1040" i="1" s="1"/>
  <c r="Q1041" i="1" s="1"/>
  <c r="Q1042" i="1" s="1"/>
  <c r="Q1043" i="1" s="1"/>
  <c r="Q1044" i="1" s="1"/>
  <c r="Q1045" i="1" s="1"/>
  <c r="Q1046" i="1" s="1"/>
  <c r="Q1047" i="1" s="1"/>
  <c r="Q1048" i="1" s="1"/>
  <c r="Q1049" i="1" s="1"/>
  <c r="Q1050" i="1" s="1"/>
  <c r="Q1051" i="1" s="1"/>
  <c r="Q1052" i="1" s="1"/>
  <c r="Q1053" i="1" s="1"/>
  <c r="Q1054" i="1" s="1"/>
  <c r="Q1055" i="1" s="1"/>
  <c r="Q1056" i="1" s="1"/>
  <c r="Q1057" i="1" s="1"/>
  <c r="Q1058" i="1" s="1"/>
  <c r="Q1059" i="1" s="1"/>
  <c r="Q1060" i="1" s="1"/>
  <c r="Q1061" i="1" s="1"/>
  <c r="Q1062" i="1" s="1"/>
  <c r="Q1063" i="1" s="1"/>
  <c r="Q1064" i="1" s="1"/>
  <c r="Q1065" i="1" s="1"/>
  <c r="Q1066" i="1" s="1"/>
  <c r="Q1067" i="1" s="1"/>
  <c r="Q1068" i="1" s="1"/>
  <c r="Q1069" i="1" s="1"/>
  <c r="Q1070" i="1" s="1"/>
  <c r="Q1071" i="1" s="1"/>
  <c r="Q1072" i="1" s="1"/>
  <c r="Q1073" i="1" s="1"/>
  <c r="Q1074" i="1" s="1"/>
  <c r="Q1075" i="1" s="1"/>
  <c r="Q1076" i="1" s="1"/>
  <c r="Q1077" i="1" s="1"/>
  <c r="Q1078" i="1" s="1"/>
  <c r="Q1079" i="1" s="1"/>
  <c r="Q1080" i="1" s="1"/>
  <c r="Q1081" i="1" s="1"/>
  <c r="Q1082" i="1" s="1"/>
  <c r="Q1083" i="1" s="1"/>
  <c r="Q1084" i="1" s="1"/>
  <c r="Q1085" i="1" s="1"/>
  <c r="Q1086" i="1" s="1"/>
  <c r="Q1087" i="1" s="1"/>
  <c r="Q1088" i="1" s="1"/>
  <c r="Q1089" i="1" s="1"/>
  <c r="Q1090" i="1" s="1"/>
  <c r="Q1091" i="1" s="1"/>
  <c r="Q1092" i="1" s="1"/>
  <c r="Q1093" i="1" s="1"/>
  <c r="Q1094" i="1" s="1"/>
  <c r="Q1095" i="1" s="1"/>
  <c r="Q1096" i="1" s="1"/>
  <c r="Q1097" i="1" s="1"/>
  <c r="Q1098" i="1" s="1"/>
  <c r="Q1099" i="1" s="1"/>
  <c r="Q1100" i="1" s="1"/>
  <c r="Q1101" i="1" s="1"/>
  <c r="Q1102" i="1" s="1"/>
  <c r="Q1103" i="1" s="1"/>
  <c r="Q1104" i="1" s="1"/>
  <c r="Q1105" i="1" s="1"/>
  <c r="Q1106" i="1" s="1"/>
  <c r="Q1107" i="1" s="1"/>
  <c r="Q1108" i="1" s="1"/>
  <c r="Q1109" i="1" s="1"/>
  <c r="Q1110" i="1" s="1"/>
  <c r="Q1111" i="1" s="1"/>
  <c r="Q1112" i="1" s="1"/>
  <c r="Q1113" i="1" s="1"/>
  <c r="Q1114" i="1" s="1"/>
  <c r="Q1115" i="1" s="1"/>
  <c r="Q1116" i="1" s="1"/>
  <c r="Q1117" i="1" s="1"/>
  <c r="Q1118" i="1" s="1"/>
  <c r="Q1119" i="1" s="1"/>
  <c r="Q1120" i="1" s="1"/>
  <c r="Q1121" i="1" s="1"/>
  <c r="Q1122" i="1" s="1"/>
  <c r="Q1123" i="1" s="1"/>
  <c r="Q1124" i="1" s="1"/>
  <c r="Q1125" i="1" s="1"/>
  <c r="Q1126" i="1" s="1"/>
  <c r="Q1127" i="1" s="1"/>
  <c r="Q1128" i="1" s="1"/>
  <c r="Q1129" i="1" s="1"/>
  <c r="Q1130" i="1" s="1"/>
  <c r="Q1131" i="1" s="1"/>
  <c r="Q1132" i="1" s="1"/>
  <c r="Q1133" i="1" s="1"/>
  <c r="Q1134" i="1" s="1"/>
  <c r="Q1135" i="1" s="1"/>
  <c r="Q1136" i="1" s="1"/>
  <c r="Q1137" i="1" s="1"/>
  <c r="Q1138" i="1" s="1"/>
  <c r="Q1139" i="1" s="1"/>
  <c r="Q1140" i="1" s="1"/>
  <c r="Q1141" i="1" s="1"/>
  <c r="Q1142" i="1" s="1"/>
  <c r="Q1143" i="1" s="1"/>
  <c r="Q1144" i="1" s="1"/>
  <c r="Q1145" i="1" s="1"/>
  <c r="Q1146" i="1" s="1"/>
  <c r="Q1147" i="1" s="1"/>
  <c r="Q1148" i="1" s="1"/>
  <c r="Q1149" i="1" s="1"/>
  <c r="Q1150" i="1" s="1"/>
  <c r="Q1151" i="1" s="1"/>
  <c r="Q1152" i="1" s="1"/>
  <c r="Q1153" i="1" s="1"/>
  <c r="Q1154" i="1" s="1"/>
  <c r="Q1155" i="1" s="1"/>
  <c r="Q1156" i="1" s="1"/>
  <c r="Q1157" i="1" s="1"/>
  <c r="Q1158" i="1" s="1"/>
  <c r="Q1159" i="1" s="1"/>
  <c r="Q1160" i="1" s="1"/>
  <c r="Q1161" i="1" s="1"/>
  <c r="Q1162" i="1" s="1"/>
  <c r="Q1163" i="1" s="1"/>
  <c r="Q1164" i="1" s="1"/>
  <c r="Q1165" i="1" s="1"/>
  <c r="Q1166" i="1" s="1"/>
  <c r="Q1167" i="1" s="1"/>
  <c r="Q1168" i="1" s="1"/>
  <c r="Q1169" i="1" s="1"/>
  <c r="Q1170" i="1" s="1"/>
  <c r="Q1171" i="1" s="1"/>
  <c r="Q1172" i="1" s="1"/>
  <c r="Q1173" i="1" s="1"/>
  <c r="Q1174" i="1" s="1"/>
  <c r="Q1175" i="1" s="1"/>
  <c r="Q1176" i="1" s="1"/>
  <c r="Q1177" i="1" s="1"/>
  <c r="Q1178" i="1" s="1"/>
  <c r="Q1179" i="1" s="1"/>
  <c r="Q1180" i="1" s="1"/>
  <c r="Q1181" i="1" s="1"/>
  <c r="Q1182" i="1" s="1"/>
  <c r="Q1183" i="1" s="1"/>
  <c r="Q1184" i="1" s="1"/>
  <c r="Q1185" i="1" s="1"/>
  <c r="Q1186" i="1" s="1"/>
  <c r="Q1187" i="1" s="1"/>
  <c r="Q1188" i="1" s="1"/>
  <c r="Q1189" i="1" s="1"/>
  <c r="Q1190" i="1" s="1"/>
  <c r="Q1191" i="1" s="1"/>
  <c r="Q1192" i="1" s="1"/>
  <c r="Q1193" i="1" s="1"/>
  <c r="Q1194" i="1" s="1"/>
  <c r="Q1195" i="1" s="1"/>
  <c r="Q1196" i="1" s="1"/>
  <c r="Q1197" i="1" s="1"/>
  <c r="Q1198" i="1" s="1"/>
  <c r="Q1199" i="1" s="1"/>
  <c r="Q1200" i="1" s="1"/>
  <c r="Q1201" i="1" s="1"/>
  <c r="Q1202" i="1" s="1"/>
  <c r="Q1203" i="1" s="1"/>
  <c r="Q1204" i="1" s="1"/>
  <c r="Q1205" i="1" s="1"/>
  <c r="Q1206" i="1" s="1"/>
  <c r="Q1207" i="1" s="1"/>
  <c r="Q1208" i="1" s="1"/>
  <c r="Q1209" i="1" s="1"/>
  <c r="Q1210" i="1" s="1"/>
  <c r="Q1211" i="1" s="1"/>
  <c r="Q1212" i="1" s="1"/>
  <c r="Q1213" i="1" s="1"/>
  <c r="Q1214" i="1" s="1"/>
  <c r="Q1215" i="1" s="1"/>
  <c r="Q1216" i="1" s="1"/>
  <c r="Q1217" i="1" s="1"/>
  <c r="Q1218" i="1" s="1"/>
  <c r="Q1219" i="1" s="1"/>
  <c r="Q1220" i="1" s="1"/>
  <c r="Q1221" i="1" s="1"/>
  <c r="Q1222" i="1" s="1"/>
  <c r="Q1223" i="1" s="1"/>
  <c r="Q1224" i="1" s="1"/>
  <c r="Q1225" i="1" s="1"/>
  <c r="Q1226" i="1" s="1"/>
  <c r="Q1227" i="1" s="1"/>
  <c r="Q1228" i="1" s="1"/>
  <c r="Q1229" i="1" s="1"/>
  <c r="Q1230" i="1" s="1"/>
  <c r="Q1231" i="1" s="1"/>
  <c r="Q1232" i="1" s="1"/>
  <c r="Q1233" i="1" s="1"/>
  <c r="Q1234" i="1" s="1"/>
  <c r="Q1235" i="1" s="1"/>
  <c r="Q1236" i="1" s="1"/>
  <c r="Q1237" i="1" s="1"/>
  <c r="Q1238" i="1" s="1"/>
  <c r="Q1239" i="1" s="1"/>
  <c r="Q1240" i="1" s="1"/>
  <c r="Q1241" i="1" s="1"/>
  <c r="Q1242" i="1" s="1"/>
  <c r="Q1243" i="1" s="1"/>
  <c r="Q1244" i="1" s="1"/>
  <c r="Q1245" i="1" s="1"/>
  <c r="Q1246" i="1" s="1"/>
  <c r="Q1247" i="1" s="1"/>
  <c r="Q1248" i="1" s="1"/>
  <c r="Q1249" i="1" s="1"/>
  <c r="Q1250" i="1" s="1"/>
  <c r="Q1251" i="1" s="1"/>
  <c r="Q1252" i="1" s="1"/>
  <c r="Q1253" i="1" s="1"/>
  <c r="Q1254" i="1" s="1"/>
  <c r="Q1255" i="1" s="1"/>
  <c r="Q1256" i="1" s="1"/>
  <c r="Q1257" i="1" s="1"/>
  <c r="Q1258" i="1" s="1"/>
  <c r="Q1259" i="1" s="1"/>
  <c r="Q1260" i="1" s="1"/>
  <c r="H5" i="1"/>
  <c r="I5" i="1"/>
  <c r="J5" i="1"/>
  <c r="H6" i="1"/>
  <c r="I6" i="1"/>
  <c r="J6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14" i="1"/>
  <c r="I14" i="1"/>
  <c r="J14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1" i="1"/>
  <c r="I21" i="1"/>
  <c r="J21" i="1"/>
  <c r="H22" i="1"/>
  <c r="I22" i="1"/>
  <c r="J22" i="1"/>
  <c r="H23" i="1"/>
  <c r="I23" i="1"/>
  <c r="J23" i="1"/>
  <c r="H24" i="1"/>
  <c r="I24" i="1"/>
  <c r="J24" i="1"/>
  <c r="H25" i="1"/>
  <c r="I25" i="1"/>
  <c r="J25" i="1"/>
  <c r="H26" i="1"/>
  <c r="I26" i="1"/>
  <c r="J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H36" i="1"/>
  <c r="I36" i="1"/>
  <c r="J36" i="1"/>
  <c r="H37" i="1"/>
  <c r="I37" i="1"/>
  <c r="J37" i="1"/>
  <c r="H38" i="1"/>
  <c r="I38" i="1"/>
  <c r="J38" i="1"/>
  <c r="H39" i="1"/>
  <c r="I39" i="1"/>
  <c r="J39" i="1"/>
  <c r="H40" i="1"/>
  <c r="I40" i="1"/>
  <c r="J40" i="1"/>
  <c r="H41" i="1"/>
  <c r="I41" i="1"/>
  <c r="J41" i="1"/>
  <c r="H42" i="1"/>
  <c r="I42" i="1"/>
  <c r="J42" i="1"/>
  <c r="H43" i="1"/>
  <c r="I43" i="1"/>
  <c r="J43" i="1"/>
  <c r="H44" i="1"/>
  <c r="I44" i="1"/>
  <c r="J44" i="1"/>
  <c r="H45" i="1"/>
  <c r="I45" i="1"/>
  <c r="J45" i="1"/>
  <c r="H46" i="1"/>
  <c r="I46" i="1"/>
  <c r="J46" i="1"/>
  <c r="H47" i="1"/>
  <c r="I47" i="1"/>
  <c r="J47" i="1"/>
  <c r="H48" i="1"/>
  <c r="I48" i="1"/>
  <c r="J48" i="1"/>
  <c r="H49" i="1"/>
  <c r="I49" i="1"/>
  <c r="J49" i="1"/>
  <c r="H50" i="1"/>
  <c r="I50" i="1"/>
  <c r="J50" i="1"/>
  <c r="H51" i="1"/>
  <c r="I51" i="1"/>
  <c r="J51" i="1"/>
  <c r="H52" i="1"/>
  <c r="I52" i="1"/>
  <c r="J52" i="1"/>
  <c r="H53" i="1"/>
  <c r="I53" i="1"/>
  <c r="J53" i="1"/>
  <c r="H54" i="1"/>
  <c r="I54" i="1"/>
  <c r="J54" i="1"/>
  <c r="H55" i="1"/>
  <c r="I55" i="1"/>
  <c r="J55" i="1"/>
  <c r="H56" i="1"/>
  <c r="I56" i="1"/>
  <c r="J56" i="1"/>
  <c r="H57" i="1"/>
  <c r="I57" i="1"/>
  <c r="J57" i="1"/>
  <c r="H58" i="1"/>
  <c r="I58" i="1"/>
  <c r="J58" i="1"/>
  <c r="H59" i="1"/>
  <c r="I59" i="1"/>
  <c r="J59" i="1"/>
  <c r="H60" i="1"/>
  <c r="I60" i="1"/>
  <c r="J60" i="1"/>
  <c r="H61" i="1"/>
  <c r="I61" i="1"/>
  <c r="J61" i="1"/>
  <c r="H62" i="1"/>
  <c r="I62" i="1"/>
  <c r="J62" i="1"/>
  <c r="H63" i="1"/>
  <c r="I63" i="1"/>
  <c r="J63" i="1"/>
  <c r="H64" i="1"/>
  <c r="I64" i="1"/>
  <c r="J64" i="1"/>
  <c r="H65" i="1"/>
  <c r="I65" i="1"/>
  <c r="J65" i="1"/>
  <c r="H66" i="1"/>
  <c r="I66" i="1"/>
  <c r="J66" i="1"/>
  <c r="H67" i="1"/>
  <c r="I67" i="1"/>
  <c r="J67" i="1"/>
  <c r="H68" i="1"/>
  <c r="I68" i="1"/>
  <c r="J68" i="1"/>
  <c r="H69" i="1"/>
  <c r="I69" i="1"/>
  <c r="J69" i="1"/>
  <c r="H70" i="1"/>
  <c r="I70" i="1"/>
  <c r="J70" i="1"/>
  <c r="H71" i="1"/>
  <c r="I71" i="1"/>
  <c r="J71" i="1"/>
  <c r="H72" i="1"/>
  <c r="I72" i="1"/>
  <c r="J72" i="1"/>
  <c r="H73" i="1"/>
  <c r="I73" i="1"/>
  <c r="J73" i="1"/>
  <c r="H74" i="1"/>
  <c r="I74" i="1"/>
  <c r="J74" i="1"/>
  <c r="H75" i="1"/>
  <c r="I75" i="1"/>
  <c r="J75" i="1"/>
  <c r="H76" i="1"/>
  <c r="I76" i="1"/>
  <c r="J76" i="1"/>
  <c r="H77" i="1"/>
  <c r="I77" i="1"/>
  <c r="J77" i="1"/>
  <c r="H78" i="1"/>
  <c r="I78" i="1"/>
  <c r="J78" i="1"/>
  <c r="H79" i="1"/>
  <c r="I79" i="1"/>
  <c r="J79" i="1"/>
  <c r="H80" i="1"/>
  <c r="I80" i="1"/>
  <c r="J80" i="1"/>
  <c r="H81" i="1"/>
  <c r="I81" i="1"/>
  <c r="J81" i="1"/>
  <c r="H82" i="1"/>
  <c r="I82" i="1"/>
  <c r="J82" i="1"/>
  <c r="H83" i="1"/>
  <c r="I83" i="1"/>
  <c r="J83" i="1"/>
  <c r="H84" i="1"/>
  <c r="I84" i="1"/>
  <c r="J84" i="1"/>
  <c r="H85" i="1"/>
  <c r="I85" i="1"/>
  <c r="J85" i="1"/>
  <c r="H86" i="1"/>
  <c r="I86" i="1"/>
  <c r="J86" i="1"/>
  <c r="H87" i="1"/>
  <c r="I87" i="1"/>
  <c r="J87" i="1"/>
  <c r="H88" i="1"/>
  <c r="I88" i="1"/>
  <c r="J88" i="1"/>
  <c r="H89" i="1"/>
  <c r="I89" i="1"/>
  <c r="J89" i="1"/>
  <c r="H90" i="1"/>
  <c r="I90" i="1"/>
  <c r="J90" i="1"/>
  <c r="H91" i="1"/>
  <c r="I91" i="1"/>
  <c r="J91" i="1"/>
  <c r="H92" i="1"/>
  <c r="I92" i="1"/>
  <c r="J92" i="1"/>
  <c r="H93" i="1"/>
  <c r="I93" i="1"/>
  <c r="J93" i="1"/>
  <c r="H94" i="1"/>
  <c r="I94" i="1"/>
  <c r="J94" i="1"/>
  <c r="H95" i="1"/>
  <c r="I95" i="1"/>
  <c r="J95" i="1"/>
  <c r="H96" i="1"/>
  <c r="I96" i="1"/>
  <c r="J96" i="1"/>
  <c r="H97" i="1"/>
  <c r="I97" i="1"/>
  <c r="J97" i="1"/>
  <c r="H98" i="1"/>
  <c r="I98" i="1"/>
  <c r="J98" i="1"/>
  <c r="H99" i="1"/>
  <c r="I99" i="1"/>
  <c r="J99" i="1"/>
  <c r="H100" i="1"/>
  <c r="I100" i="1"/>
  <c r="J100" i="1"/>
  <c r="H101" i="1"/>
  <c r="I101" i="1"/>
  <c r="J101" i="1"/>
  <c r="H102" i="1"/>
  <c r="I102" i="1"/>
  <c r="J102" i="1"/>
  <c r="H103" i="1"/>
  <c r="I103" i="1"/>
  <c r="J103" i="1"/>
  <c r="H104" i="1"/>
  <c r="I104" i="1"/>
  <c r="J104" i="1"/>
  <c r="H105" i="1"/>
  <c r="I105" i="1"/>
  <c r="J105" i="1"/>
  <c r="H106" i="1"/>
  <c r="I106" i="1"/>
  <c r="J106" i="1"/>
  <c r="H107" i="1"/>
  <c r="I107" i="1"/>
  <c r="J107" i="1"/>
  <c r="H108" i="1"/>
  <c r="I108" i="1"/>
  <c r="J108" i="1"/>
  <c r="H109" i="1"/>
  <c r="I109" i="1"/>
  <c r="J109" i="1"/>
  <c r="H110" i="1"/>
  <c r="I110" i="1"/>
  <c r="J110" i="1"/>
  <c r="H111" i="1"/>
  <c r="I111" i="1"/>
  <c r="J111" i="1"/>
  <c r="H112" i="1"/>
  <c r="I112" i="1"/>
  <c r="J112" i="1"/>
  <c r="H113" i="1"/>
  <c r="I113" i="1"/>
  <c r="J113" i="1"/>
  <c r="H114" i="1"/>
  <c r="I114" i="1"/>
  <c r="J114" i="1"/>
  <c r="H115" i="1"/>
  <c r="I115" i="1"/>
  <c r="J115" i="1"/>
  <c r="H116" i="1"/>
  <c r="I116" i="1"/>
  <c r="J116" i="1"/>
  <c r="H117" i="1"/>
  <c r="I117" i="1"/>
  <c r="J117" i="1"/>
  <c r="H118" i="1"/>
  <c r="I118" i="1"/>
  <c r="J118" i="1"/>
  <c r="H119" i="1"/>
  <c r="I119" i="1"/>
  <c r="J119" i="1"/>
  <c r="H120" i="1"/>
  <c r="I120" i="1"/>
  <c r="J120" i="1"/>
  <c r="H121" i="1"/>
  <c r="I121" i="1"/>
  <c r="J121" i="1"/>
  <c r="H122" i="1"/>
  <c r="I122" i="1"/>
  <c r="J122" i="1"/>
  <c r="H123" i="1"/>
  <c r="I123" i="1"/>
  <c r="J123" i="1"/>
  <c r="H124" i="1"/>
  <c r="I124" i="1"/>
  <c r="J124" i="1"/>
  <c r="H125" i="1"/>
  <c r="I125" i="1"/>
  <c r="J125" i="1"/>
  <c r="H126" i="1"/>
  <c r="I126" i="1"/>
  <c r="J126" i="1"/>
  <c r="H127" i="1"/>
  <c r="I127" i="1"/>
  <c r="J127" i="1"/>
  <c r="H128" i="1"/>
  <c r="I128" i="1"/>
  <c r="J128" i="1"/>
  <c r="H129" i="1"/>
  <c r="I129" i="1"/>
  <c r="J129" i="1"/>
  <c r="H130" i="1"/>
  <c r="I130" i="1"/>
  <c r="J130" i="1"/>
  <c r="H131" i="1"/>
  <c r="I131" i="1"/>
  <c r="J131" i="1"/>
  <c r="H132" i="1"/>
  <c r="I132" i="1"/>
  <c r="J132" i="1"/>
  <c r="H133" i="1"/>
  <c r="I133" i="1"/>
  <c r="J133" i="1"/>
  <c r="H134" i="1"/>
  <c r="I134" i="1"/>
  <c r="J134" i="1"/>
  <c r="H135" i="1"/>
  <c r="I135" i="1"/>
  <c r="J135" i="1"/>
  <c r="H136" i="1"/>
  <c r="I136" i="1"/>
  <c r="J136" i="1"/>
  <c r="H137" i="1"/>
  <c r="I137" i="1"/>
  <c r="J137" i="1"/>
  <c r="H138" i="1"/>
  <c r="I138" i="1"/>
  <c r="J138" i="1"/>
  <c r="H139" i="1"/>
  <c r="I139" i="1"/>
  <c r="J139" i="1"/>
  <c r="H140" i="1"/>
  <c r="I140" i="1"/>
  <c r="J140" i="1"/>
  <c r="H141" i="1"/>
  <c r="I141" i="1"/>
  <c r="J141" i="1"/>
  <c r="H142" i="1"/>
  <c r="I142" i="1"/>
  <c r="J142" i="1"/>
  <c r="H143" i="1"/>
  <c r="I143" i="1"/>
  <c r="J143" i="1"/>
  <c r="H144" i="1"/>
  <c r="I144" i="1"/>
  <c r="J144" i="1"/>
  <c r="H145" i="1"/>
  <c r="I145" i="1"/>
  <c r="J145" i="1"/>
  <c r="H146" i="1"/>
  <c r="I146" i="1"/>
  <c r="J146" i="1"/>
  <c r="H147" i="1"/>
  <c r="I147" i="1"/>
  <c r="J147" i="1"/>
  <c r="H148" i="1"/>
  <c r="I148" i="1"/>
  <c r="J148" i="1"/>
  <c r="H149" i="1"/>
  <c r="I149" i="1"/>
  <c r="J149" i="1"/>
  <c r="H150" i="1"/>
  <c r="I150" i="1"/>
  <c r="J150" i="1"/>
  <c r="H151" i="1"/>
  <c r="I151" i="1"/>
  <c r="J151" i="1"/>
  <c r="H152" i="1"/>
  <c r="I152" i="1"/>
  <c r="J152" i="1"/>
  <c r="H153" i="1"/>
  <c r="I153" i="1"/>
  <c r="J153" i="1"/>
  <c r="H154" i="1"/>
  <c r="I154" i="1"/>
  <c r="J154" i="1"/>
  <c r="H155" i="1"/>
  <c r="I155" i="1"/>
  <c r="J155" i="1"/>
  <c r="H156" i="1"/>
  <c r="I156" i="1"/>
  <c r="J156" i="1"/>
  <c r="H157" i="1"/>
  <c r="I157" i="1"/>
  <c r="J157" i="1"/>
  <c r="H158" i="1"/>
  <c r="I158" i="1"/>
  <c r="J158" i="1"/>
  <c r="H159" i="1"/>
  <c r="I159" i="1"/>
  <c r="J159" i="1"/>
  <c r="H160" i="1"/>
  <c r="I160" i="1"/>
  <c r="J160" i="1"/>
  <c r="H161" i="1"/>
  <c r="I161" i="1"/>
  <c r="J161" i="1"/>
  <c r="H162" i="1"/>
  <c r="I162" i="1"/>
  <c r="J162" i="1"/>
  <c r="H163" i="1"/>
  <c r="I163" i="1"/>
  <c r="J163" i="1"/>
  <c r="H164" i="1"/>
  <c r="I164" i="1"/>
  <c r="J164" i="1"/>
  <c r="H165" i="1"/>
  <c r="I165" i="1"/>
  <c r="J165" i="1"/>
  <c r="H166" i="1"/>
  <c r="I166" i="1"/>
  <c r="J166" i="1"/>
  <c r="H167" i="1"/>
  <c r="I167" i="1"/>
  <c r="J167" i="1"/>
  <c r="H168" i="1"/>
  <c r="I168" i="1"/>
  <c r="J168" i="1"/>
  <c r="H169" i="1"/>
  <c r="I169" i="1"/>
  <c r="J169" i="1"/>
  <c r="H170" i="1"/>
  <c r="I170" i="1"/>
  <c r="J170" i="1"/>
  <c r="H171" i="1"/>
  <c r="I171" i="1"/>
  <c r="J171" i="1"/>
  <c r="H172" i="1"/>
  <c r="I172" i="1"/>
  <c r="J172" i="1"/>
  <c r="H173" i="1"/>
  <c r="I173" i="1"/>
  <c r="J173" i="1"/>
  <c r="H174" i="1"/>
  <c r="I174" i="1"/>
  <c r="J174" i="1"/>
  <c r="H175" i="1"/>
  <c r="I175" i="1"/>
  <c r="J175" i="1"/>
  <c r="H176" i="1"/>
  <c r="I176" i="1"/>
  <c r="J176" i="1"/>
  <c r="H177" i="1"/>
  <c r="I177" i="1"/>
  <c r="J177" i="1"/>
  <c r="H178" i="1"/>
  <c r="I178" i="1"/>
  <c r="J178" i="1"/>
  <c r="H179" i="1"/>
  <c r="I179" i="1"/>
  <c r="J179" i="1"/>
  <c r="H180" i="1"/>
  <c r="I180" i="1"/>
  <c r="J180" i="1"/>
  <c r="H181" i="1"/>
  <c r="I181" i="1"/>
  <c r="J181" i="1"/>
  <c r="H182" i="1"/>
  <c r="I182" i="1"/>
  <c r="J182" i="1"/>
  <c r="H183" i="1"/>
  <c r="I183" i="1"/>
  <c r="J183" i="1"/>
  <c r="H184" i="1"/>
  <c r="I184" i="1"/>
  <c r="J184" i="1"/>
  <c r="H185" i="1"/>
  <c r="I185" i="1"/>
  <c r="J185" i="1"/>
  <c r="H186" i="1"/>
  <c r="I186" i="1"/>
  <c r="J186" i="1"/>
  <c r="H187" i="1"/>
  <c r="I187" i="1"/>
  <c r="J187" i="1"/>
  <c r="H188" i="1"/>
  <c r="I188" i="1"/>
  <c r="J188" i="1"/>
  <c r="H189" i="1"/>
  <c r="I189" i="1"/>
  <c r="J189" i="1"/>
  <c r="H190" i="1"/>
  <c r="I190" i="1"/>
  <c r="J190" i="1"/>
  <c r="H191" i="1"/>
  <c r="I191" i="1"/>
  <c r="J191" i="1"/>
  <c r="H192" i="1"/>
  <c r="I192" i="1"/>
  <c r="J192" i="1"/>
  <c r="H193" i="1"/>
  <c r="I193" i="1"/>
  <c r="J193" i="1"/>
  <c r="H194" i="1"/>
  <c r="I194" i="1"/>
  <c r="J194" i="1"/>
  <c r="H195" i="1"/>
  <c r="I195" i="1"/>
  <c r="J195" i="1"/>
  <c r="H196" i="1"/>
  <c r="I196" i="1"/>
  <c r="J196" i="1"/>
  <c r="H197" i="1"/>
  <c r="I197" i="1"/>
  <c r="J197" i="1"/>
  <c r="H198" i="1"/>
  <c r="I198" i="1"/>
  <c r="J198" i="1"/>
  <c r="H199" i="1"/>
  <c r="I199" i="1"/>
  <c r="J199" i="1"/>
  <c r="H200" i="1"/>
  <c r="I200" i="1"/>
  <c r="J200" i="1"/>
  <c r="H201" i="1"/>
  <c r="I201" i="1"/>
  <c r="J201" i="1"/>
  <c r="H202" i="1"/>
  <c r="I202" i="1"/>
  <c r="J202" i="1"/>
  <c r="H203" i="1"/>
  <c r="I203" i="1"/>
  <c r="J203" i="1"/>
  <c r="H204" i="1"/>
  <c r="I204" i="1"/>
  <c r="J204" i="1"/>
  <c r="H205" i="1"/>
  <c r="I205" i="1"/>
  <c r="J205" i="1"/>
  <c r="H206" i="1"/>
  <c r="I206" i="1"/>
  <c r="J206" i="1"/>
  <c r="H207" i="1"/>
  <c r="I207" i="1"/>
  <c r="J207" i="1"/>
  <c r="H208" i="1"/>
  <c r="I208" i="1"/>
  <c r="J208" i="1"/>
  <c r="H209" i="1"/>
  <c r="I209" i="1"/>
  <c r="J209" i="1"/>
  <c r="H210" i="1"/>
  <c r="I210" i="1"/>
  <c r="J210" i="1"/>
  <c r="H211" i="1"/>
  <c r="I211" i="1"/>
  <c r="J211" i="1"/>
  <c r="H212" i="1"/>
  <c r="I212" i="1"/>
  <c r="J212" i="1"/>
  <c r="H213" i="1"/>
  <c r="I213" i="1"/>
  <c r="J213" i="1"/>
  <c r="H214" i="1"/>
  <c r="I214" i="1"/>
  <c r="J214" i="1"/>
  <c r="H215" i="1"/>
  <c r="I215" i="1"/>
  <c r="J215" i="1"/>
  <c r="H216" i="1"/>
  <c r="I216" i="1"/>
  <c r="J216" i="1"/>
  <c r="H217" i="1"/>
  <c r="I217" i="1"/>
  <c r="J217" i="1"/>
  <c r="H218" i="1"/>
  <c r="I218" i="1"/>
  <c r="J218" i="1"/>
  <c r="H219" i="1"/>
  <c r="I219" i="1"/>
  <c r="J219" i="1"/>
  <c r="H220" i="1"/>
  <c r="I220" i="1"/>
  <c r="J220" i="1"/>
  <c r="H221" i="1"/>
  <c r="I221" i="1"/>
  <c r="J221" i="1"/>
  <c r="H222" i="1"/>
  <c r="I222" i="1"/>
  <c r="J222" i="1"/>
  <c r="H223" i="1"/>
  <c r="I223" i="1"/>
  <c r="J223" i="1"/>
  <c r="H224" i="1"/>
  <c r="I224" i="1"/>
  <c r="J224" i="1"/>
  <c r="H225" i="1"/>
  <c r="I225" i="1"/>
  <c r="J225" i="1"/>
  <c r="H226" i="1"/>
  <c r="I226" i="1"/>
  <c r="J226" i="1"/>
  <c r="H227" i="1"/>
  <c r="I227" i="1"/>
  <c r="J227" i="1"/>
  <c r="H228" i="1"/>
  <c r="I228" i="1"/>
  <c r="J228" i="1"/>
  <c r="H229" i="1"/>
  <c r="I229" i="1"/>
  <c r="J229" i="1"/>
  <c r="H230" i="1"/>
  <c r="I230" i="1"/>
  <c r="J230" i="1"/>
  <c r="H231" i="1"/>
  <c r="I231" i="1"/>
  <c r="J231" i="1"/>
  <c r="H232" i="1"/>
  <c r="I232" i="1"/>
  <c r="J232" i="1"/>
  <c r="H233" i="1"/>
  <c r="I233" i="1"/>
  <c r="J233" i="1"/>
  <c r="H234" i="1"/>
  <c r="I234" i="1"/>
  <c r="J234" i="1"/>
  <c r="H235" i="1"/>
  <c r="I235" i="1"/>
  <c r="J235" i="1"/>
  <c r="H236" i="1"/>
  <c r="I236" i="1"/>
  <c r="J236" i="1"/>
  <c r="H237" i="1"/>
  <c r="I237" i="1"/>
  <c r="J237" i="1"/>
  <c r="H238" i="1"/>
  <c r="I238" i="1"/>
  <c r="J238" i="1"/>
  <c r="H239" i="1"/>
  <c r="I239" i="1"/>
  <c r="J239" i="1"/>
  <c r="H240" i="1"/>
  <c r="I240" i="1"/>
  <c r="J240" i="1"/>
  <c r="H241" i="1"/>
  <c r="I241" i="1"/>
  <c r="J241" i="1"/>
  <c r="H242" i="1"/>
  <c r="I242" i="1"/>
  <c r="J242" i="1"/>
  <c r="H243" i="1"/>
  <c r="I243" i="1"/>
  <c r="J243" i="1"/>
  <c r="H244" i="1"/>
  <c r="I244" i="1"/>
  <c r="J244" i="1"/>
  <c r="H245" i="1"/>
  <c r="I245" i="1"/>
  <c r="J245" i="1"/>
  <c r="H246" i="1"/>
  <c r="I246" i="1"/>
  <c r="J246" i="1"/>
  <c r="H247" i="1"/>
  <c r="I247" i="1"/>
  <c r="J247" i="1"/>
  <c r="H248" i="1"/>
  <c r="I248" i="1"/>
  <c r="J248" i="1"/>
  <c r="H249" i="1"/>
  <c r="I249" i="1"/>
  <c r="J249" i="1"/>
  <c r="H250" i="1"/>
  <c r="I250" i="1"/>
  <c r="J250" i="1"/>
  <c r="H251" i="1"/>
  <c r="I251" i="1"/>
  <c r="J251" i="1"/>
  <c r="H252" i="1"/>
  <c r="I252" i="1"/>
  <c r="J252" i="1"/>
  <c r="H253" i="1"/>
  <c r="I253" i="1"/>
  <c r="J253" i="1"/>
  <c r="H254" i="1"/>
  <c r="I254" i="1"/>
  <c r="J254" i="1"/>
  <c r="H255" i="1"/>
  <c r="I255" i="1"/>
  <c r="J255" i="1"/>
  <c r="H256" i="1"/>
  <c r="I256" i="1"/>
  <c r="J256" i="1"/>
  <c r="H257" i="1"/>
  <c r="I257" i="1"/>
  <c r="J257" i="1"/>
  <c r="H258" i="1"/>
  <c r="I258" i="1"/>
  <c r="J258" i="1"/>
  <c r="H259" i="1"/>
  <c r="I259" i="1"/>
  <c r="J259" i="1"/>
  <c r="H260" i="1"/>
  <c r="I260" i="1"/>
  <c r="J260" i="1"/>
  <c r="H261" i="1"/>
  <c r="I261" i="1"/>
  <c r="T3" i="1" s="1"/>
  <c r="J261" i="1"/>
  <c r="U3" i="1" s="1"/>
  <c r="H262" i="1"/>
  <c r="I262" i="1"/>
  <c r="J262" i="1"/>
  <c r="H263" i="1"/>
  <c r="I263" i="1"/>
  <c r="J263" i="1"/>
  <c r="H264" i="1"/>
  <c r="I264" i="1"/>
  <c r="J264" i="1"/>
  <c r="H265" i="1"/>
  <c r="I265" i="1"/>
  <c r="J265" i="1"/>
  <c r="H266" i="1"/>
  <c r="I266" i="1"/>
  <c r="J266" i="1"/>
  <c r="H267" i="1"/>
  <c r="I267" i="1"/>
  <c r="J267" i="1"/>
  <c r="H268" i="1"/>
  <c r="I268" i="1"/>
  <c r="J268" i="1"/>
  <c r="H269" i="1"/>
  <c r="I269" i="1"/>
  <c r="J269" i="1"/>
  <c r="H270" i="1"/>
  <c r="I270" i="1"/>
  <c r="J270" i="1"/>
  <c r="H271" i="1"/>
  <c r="I271" i="1"/>
  <c r="J271" i="1"/>
  <c r="H272" i="1"/>
  <c r="I272" i="1"/>
  <c r="J272" i="1"/>
  <c r="H273" i="1"/>
  <c r="I273" i="1"/>
  <c r="J273" i="1"/>
  <c r="H274" i="1"/>
  <c r="I274" i="1"/>
  <c r="J274" i="1"/>
  <c r="H275" i="1"/>
  <c r="I275" i="1"/>
  <c r="J275" i="1"/>
  <c r="H276" i="1"/>
  <c r="I276" i="1"/>
  <c r="J276" i="1"/>
  <c r="H277" i="1"/>
  <c r="I277" i="1"/>
  <c r="J277" i="1"/>
  <c r="H278" i="1"/>
  <c r="I278" i="1"/>
  <c r="J278" i="1"/>
  <c r="H279" i="1"/>
  <c r="I279" i="1"/>
  <c r="J279" i="1"/>
  <c r="H280" i="1"/>
  <c r="I280" i="1"/>
  <c r="J280" i="1"/>
  <c r="H281" i="1"/>
  <c r="I281" i="1"/>
  <c r="J281" i="1"/>
  <c r="H282" i="1"/>
  <c r="I282" i="1"/>
  <c r="J282" i="1"/>
  <c r="H283" i="1"/>
  <c r="I283" i="1"/>
  <c r="J283" i="1"/>
  <c r="H284" i="1"/>
  <c r="I284" i="1"/>
  <c r="J284" i="1"/>
  <c r="H285" i="1"/>
  <c r="I285" i="1"/>
  <c r="J285" i="1"/>
  <c r="H286" i="1"/>
  <c r="I286" i="1"/>
  <c r="J286" i="1"/>
  <c r="H287" i="1"/>
  <c r="I287" i="1"/>
  <c r="J287" i="1"/>
  <c r="H288" i="1"/>
  <c r="I288" i="1"/>
  <c r="J288" i="1"/>
  <c r="H289" i="1"/>
  <c r="I289" i="1"/>
  <c r="J289" i="1"/>
  <c r="H290" i="1"/>
  <c r="I290" i="1"/>
  <c r="J290" i="1"/>
  <c r="H291" i="1"/>
  <c r="I291" i="1"/>
  <c r="J291" i="1"/>
  <c r="H292" i="1"/>
  <c r="I292" i="1"/>
  <c r="J292" i="1"/>
  <c r="H293" i="1"/>
  <c r="I293" i="1"/>
  <c r="J293" i="1"/>
  <c r="H294" i="1"/>
  <c r="I294" i="1"/>
  <c r="J294" i="1"/>
  <c r="H295" i="1"/>
  <c r="I295" i="1"/>
  <c r="J295" i="1"/>
  <c r="H296" i="1"/>
  <c r="I296" i="1"/>
  <c r="J296" i="1"/>
  <c r="H297" i="1"/>
  <c r="I297" i="1"/>
  <c r="J297" i="1"/>
  <c r="H298" i="1"/>
  <c r="I298" i="1"/>
  <c r="J298" i="1"/>
  <c r="H299" i="1"/>
  <c r="I299" i="1"/>
  <c r="J299" i="1"/>
  <c r="H300" i="1"/>
  <c r="I300" i="1"/>
  <c r="J300" i="1"/>
  <c r="H301" i="1"/>
  <c r="I301" i="1"/>
  <c r="J301" i="1"/>
  <c r="H302" i="1"/>
  <c r="I302" i="1"/>
  <c r="J302" i="1"/>
  <c r="H303" i="1"/>
  <c r="I303" i="1"/>
  <c r="J303" i="1"/>
  <c r="H304" i="1"/>
  <c r="I304" i="1"/>
  <c r="J304" i="1"/>
  <c r="H305" i="1"/>
  <c r="I305" i="1"/>
  <c r="J305" i="1"/>
  <c r="H306" i="1"/>
  <c r="I306" i="1"/>
  <c r="J306" i="1"/>
  <c r="H307" i="1"/>
  <c r="I307" i="1"/>
  <c r="J307" i="1"/>
  <c r="H308" i="1"/>
  <c r="I308" i="1"/>
  <c r="J308" i="1"/>
  <c r="H309" i="1"/>
  <c r="I309" i="1"/>
  <c r="J309" i="1"/>
  <c r="H310" i="1"/>
  <c r="I310" i="1"/>
  <c r="J310" i="1"/>
  <c r="H311" i="1"/>
  <c r="I311" i="1"/>
  <c r="J311" i="1"/>
  <c r="H312" i="1"/>
  <c r="I312" i="1"/>
  <c r="J312" i="1"/>
  <c r="H313" i="1"/>
  <c r="I313" i="1"/>
  <c r="J313" i="1"/>
  <c r="H314" i="1"/>
  <c r="I314" i="1"/>
  <c r="J314" i="1"/>
  <c r="H315" i="1"/>
  <c r="I315" i="1"/>
  <c r="J315" i="1"/>
  <c r="H316" i="1"/>
  <c r="I316" i="1"/>
  <c r="J316" i="1"/>
  <c r="H317" i="1"/>
  <c r="I317" i="1"/>
  <c r="J317" i="1"/>
  <c r="H318" i="1"/>
  <c r="I318" i="1"/>
  <c r="J318" i="1"/>
  <c r="H319" i="1"/>
  <c r="I319" i="1"/>
  <c r="J319" i="1"/>
  <c r="H320" i="1"/>
  <c r="I320" i="1"/>
  <c r="J320" i="1"/>
  <c r="H321" i="1"/>
  <c r="I321" i="1"/>
  <c r="J321" i="1"/>
  <c r="H322" i="1"/>
  <c r="I322" i="1"/>
  <c r="J322" i="1"/>
  <c r="H323" i="1"/>
  <c r="I323" i="1"/>
  <c r="J323" i="1"/>
  <c r="H324" i="1"/>
  <c r="I324" i="1"/>
  <c r="J324" i="1"/>
  <c r="H325" i="1"/>
  <c r="I325" i="1"/>
  <c r="J325" i="1"/>
  <c r="H326" i="1"/>
  <c r="I326" i="1"/>
  <c r="J326" i="1"/>
  <c r="H327" i="1"/>
  <c r="I327" i="1"/>
  <c r="J327" i="1"/>
  <c r="H328" i="1"/>
  <c r="I328" i="1"/>
  <c r="J328" i="1"/>
  <c r="H329" i="1"/>
  <c r="I329" i="1"/>
  <c r="J329" i="1"/>
  <c r="H330" i="1"/>
  <c r="I330" i="1"/>
  <c r="J330" i="1"/>
  <c r="H331" i="1"/>
  <c r="I331" i="1"/>
  <c r="J331" i="1"/>
  <c r="H332" i="1"/>
  <c r="I332" i="1"/>
  <c r="J332" i="1"/>
  <c r="H333" i="1"/>
  <c r="I333" i="1"/>
  <c r="J333" i="1"/>
  <c r="H334" i="1"/>
  <c r="I334" i="1"/>
  <c r="J334" i="1"/>
  <c r="H335" i="1"/>
  <c r="I335" i="1"/>
  <c r="J335" i="1"/>
  <c r="H336" i="1"/>
  <c r="I336" i="1"/>
  <c r="J336" i="1"/>
  <c r="H337" i="1"/>
  <c r="I337" i="1"/>
  <c r="J337" i="1"/>
  <c r="H338" i="1"/>
  <c r="I338" i="1"/>
  <c r="J338" i="1"/>
  <c r="H339" i="1"/>
  <c r="I339" i="1"/>
  <c r="J339" i="1"/>
  <c r="H340" i="1"/>
  <c r="I340" i="1"/>
  <c r="J340" i="1"/>
  <c r="H341" i="1"/>
  <c r="I341" i="1"/>
  <c r="J341" i="1"/>
  <c r="H342" i="1"/>
  <c r="I342" i="1"/>
  <c r="J342" i="1"/>
  <c r="H343" i="1"/>
  <c r="I343" i="1"/>
  <c r="J343" i="1"/>
  <c r="H344" i="1"/>
  <c r="I344" i="1"/>
  <c r="J344" i="1"/>
  <c r="H345" i="1"/>
  <c r="I345" i="1"/>
  <c r="J345" i="1"/>
  <c r="H346" i="1"/>
  <c r="I346" i="1"/>
  <c r="J346" i="1"/>
  <c r="H347" i="1"/>
  <c r="I347" i="1"/>
  <c r="J347" i="1"/>
  <c r="H348" i="1"/>
  <c r="I348" i="1"/>
  <c r="J348" i="1"/>
  <c r="H349" i="1"/>
  <c r="I349" i="1"/>
  <c r="J349" i="1"/>
  <c r="H350" i="1"/>
  <c r="I350" i="1"/>
  <c r="J350" i="1"/>
  <c r="H351" i="1"/>
  <c r="I351" i="1"/>
  <c r="J351" i="1"/>
  <c r="H352" i="1"/>
  <c r="I352" i="1"/>
  <c r="J352" i="1"/>
  <c r="H353" i="1"/>
  <c r="I353" i="1"/>
  <c r="J353" i="1"/>
  <c r="H354" i="1"/>
  <c r="I354" i="1"/>
  <c r="J354" i="1"/>
  <c r="H355" i="1"/>
  <c r="I355" i="1"/>
  <c r="J355" i="1"/>
  <c r="H356" i="1"/>
  <c r="I356" i="1"/>
  <c r="J356" i="1"/>
  <c r="H357" i="1"/>
  <c r="I357" i="1"/>
  <c r="J357" i="1"/>
  <c r="H358" i="1"/>
  <c r="I358" i="1"/>
  <c r="J358" i="1"/>
  <c r="H359" i="1"/>
  <c r="I359" i="1"/>
  <c r="J359" i="1"/>
  <c r="H360" i="1"/>
  <c r="I360" i="1"/>
  <c r="J360" i="1"/>
  <c r="H361" i="1"/>
  <c r="I361" i="1"/>
  <c r="J361" i="1"/>
  <c r="H362" i="1"/>
  <c r="I362" i="1"/>
  <c r="J362" i="1"/>
  <c r="H363" i="1"/>
  <c r="I363" i="1"/>
  <c r="J363" i="1"/>
  <c r="H364" i="1"/>
  <c r="I364" i="1"/>
  <c r="J364" i="1"/>
  <c r="H365" i="1"/>
  <c r="I365" i="1"/>
  <c r="J365" i="1"/>
  <c r="H366" i="1"/>
  <c r="I366" i="1"/>
  <c r="J366" i="1"/>
  <c r="H367" i="1"/>
  <c r="I367" i="1"/>
  <c r="J367" i="1"/>
  <c r="H368" i="1"/>
  <c r="I368" i="1"/>
  <c r="J368" i="1"/>
  <c r="H369" i="1"/>
  <c r="I369" i="1"/>
  <c r="J369" i="1"/>
  <c r="H370" i="1"/>
  <c r="I370" i="1"/>
  <c r="J370" i="1"/>
  <c r="H371" i="1"/>
  <c r="I371" i="1"/>
  <c r="J371" i="1"/>
  <c r="H372" i="1"/>
  <c r="I372" i="1"/>
  <c r="J372" i="1"/>
  <c r="H373" i="1"/>
  <c r="I373" i="1"/>
  <c r="J373" i="1"/>
  <c r="H374" i="1"/>
  <c r="I374" i="1"/>
  <c r="J374" i="1"/>
  <c r="H375" i="1"/>
  <c r="I375" i="1"/>
  <c r="J375" i="1"/>
  <c r="H376" i="1"/>
  <c r="I376" i="1"/>
  <c r="J376" i="1"/>
  <c r="H377" i="1"/>
  <c r="I377" i="1"/>
  <c r="J377" i="1"/>
  <c r="H378" i="1"/>
  <c r="I378" i="1"/>
  <c r="J378" i="1"/>
  <c r="H379" i="1"/>
  <c r="I379" i="1"/>
  <c r="J379" i="1"/>
  <c r="H380" i="1"/>
  <c r="I380" i="1"/>
  <c r="J380" i="1"/>
  <c r="H381" i="1"/>
  <c r="I381" i="1"/>
  <c r="J381" i="1"/>
  <c r="H382" i="1"/>
  <c r="I382" i="1"/>
  <c r="J382" i="1"/>
  <c r="H383" i="1"/>
  <c r="I383" i="1"/>
  <c r="J383" i="1"/>
  <c r="H384" i="1"/>
  <c r="I384" i="1"/>
  <c r="J384" i="1"/>
  <c r="H385" i="1"/>
  <c r="I385" i="1"/>
  <c r="J385" i="1"/>
  <c r="H386" i="1"/>
  <c r="I386" i="1"/>
  <c r="J386" i="1"/>
  <c r="H387" i="1"/>
  <c r="I387" i="1"/>
  <c r="J387" i="1"/>
  <c r="H388" i="1"/>
  <c r="I388" i="1"/>
  <c r="J388" i="1"/>
  <c r="H389" i="1"/>
  <c r="I389" i="1"/>
  <c r="J389" i="1"/>
  <c r="H390" i="1"/>
  <c r="I390" i="1"/>
  <c r="J390" i="1"/>
  <c r="H391" i="1"/>
  <c r="I391" i="1"/>
  <c r="J391" i="1"/>
  <c r="H392" i="1"/>
  <c r="I392" i="1"/>
  <c r="J392" i="1"/>
  <c r="H393" i="1"/>
  <c r="I393" i="1"/>
  <c r="J393" i="1"/>
  <c r="H394" i="1"/>
  <c r="I394" i="1"/>
  <c r="J394" i="1"/>
  <c r="H395" i="1"/>
  <c r="I395" i="1"/>
  <c r="J395" i="1"/>
  <c r="H396" i="1"/>
  <c r="I396" i="1"/>
  <c r="J396" i="1"/>
  <c r="H397" i="1"/>
  <c r="I397" i="1"/>
  <c r="J397" i="1"/>
  <c r="H398" i="1"/>
  <c r="I398" i="1"/>
  <c r="J398" i="1"/>
  <c r="H399" i="1"/>
  <c r="I399" i="1"/>
  <c r="J399" i="1"/>
  <c r="H400" i="1"/>
  <c r="I400" i="1"/>
  <c r="J400" i="1"/>
  <c r="H401" i="1"/>
  <c r="I401" i="1"/>
  <c r="J401" i="1"/>
  <c r="H402" i="1"/>
  <c r="I402" i="1"/>
  <c r="J402" i="1"/>
  <c r="H403" i="1"/>
  <c r="I403" i="1"/>
  <c r="J403" i="1"/>
  <c r="H404" i="1"/>
  <c r="I404" i="1"/>
  <c r="J404" i="1"/>
  <c r="H405" i="1"/>
  <c r="I405" i="1"/>
  <c r="J405" i="1"/>
  <c r="H406" i="1"/>
  <c r="I406" i="1"/>
  <c r="J406" i="1"/>
  <c r="H407" i="1"/>
  <c r="I407" i="1"/>
  <c r="J407" i="1"/>
  <c r="H408" i="1"/>
  <c r="I408" i="1"/>
  <c r="J408" i="1"/>
  <c r="H409" i="1"/>
  <c r="I409" i="1"/>
  <c r="J409" i="1"/>
  <c r="H410" i="1"/>
  <c r="I410" i="1"/>
  <c r="J410" i="1"/>
  <c r="H411" i="1"/>
  <c r="I411" i="1"/>
  <c r="J411" i="1"/>
  <c r="H412" i="1"/>
  <c r="I412" i="1"/>
  <c r="J412" i="1"/>
  <c r="H413" i="1"/>
  <c r="I413" i="1"/>
  <c r="J413" i="1"/>
  <c r="H414" i="1"/>
  <c r="I414" i="1"/>
  <c r="J414" i="1"/>
  <c r="H415" i="1"/>
  <c r="I415" i="1"/>
  <c r="J415" i="1"/>
  <c r="H416" i="1"/>
  <c r="I416" i="1"/>
  <c r="J416" i="1"/>
  <c r="H417" i="1"/>
  <c r="I417" i="1"/>
  <c r="J417" i="1"/>
  <c r="H418" i="1"/>
  <c r="I418" i="1"/>
  <c r="J418" i="1"/>
  <c r="H419" i="1"/>
  <c r="I419" i="1"/>
  <c r="J419" i="1"/>
  <c r="H420" i="1"/>
  <c r="I420" i="1"/>
  <c r="J420" i="1"/>
  <c r="H421" i="1"/>
  <c r="I421" i="1"/>
  <c r="J421" i="1"/>
  <c r="H422" i="1"/>
  <c r="I422" i="1"/>
  <c r="J422" i="1"/>
  <c r="H423" i="1"/>
  <c r="I423" i="1"/>
  <c r="J423" i="1"/>
  <c r="H424" i="1"/>
  <c r="I424" i="1"/>
  <c r="J424" i="1"/>
  <c r="H425" i="1"/>
  <c r="I425" i="1"/>
  <c r="J425" i="1"/>
  <c r="H426" i="1"/>
  <c r="I426" i="1"/>
  <c r="J426" i="1"/>
  <c r="H427" i="1"/>
  <c r="I427" i="1"/>
  <c r="J427" i="1"/>
  <c r="H428" i="1"/>
  <c r="I428" i="1"/>
  <c r="J428" i="1"/>
  <c r="H429" i="1"/>
  <c r="I429" i="1"/>
  <c r="J429" i="1"/>
  <c r="H430" i="1"/>
  <c r="I430" i="1"/>
  <c r="J430" i="1"/>
  <c r="H431" i="1"/>
  <c r="I431" i="1"/>
  <c r="J431" i="1"/>
  <c r="H432" i="1"/>
  <c r="I432" i="1"/>
  <c r="J432" i="1"/>
  <c r="H433" i="1"/>
  <c r="I433" i="1"/>
  <c r="J433" i="1"/>
  <c r="H434" i="1"/>
  <c r="I434" i="1"/>
  <c r="J434" i="1"/>
  <c r="H435" i="1"/>
  <c r="I435" i="1"/>
  <c r="J435" i="1"/>
  <c r="H436" i="1"/>
  <c r="I436" i="1"/>
  <c r="J436" i="1"/>
  <c r="H437" i="1"/>
  <c r="I437" i="1"/>
  <c r="J437" i="1"/>
  <c r="H438" i="1"/>
  <c r="I438" i="1"/>
  <c r="J438" i="1"/>
  <c r="H439" i="1"/>
  <c r="I439" i="1"/>
  <c r="J439" i="1"/>
  <c r="H440" i="1"/>
  <c r="I440" i="1"/>
  <c r="J440" i="1"/>
  <c r="H441" i="1"/>
  <c r="I441" i="1"/>
  <c r="J441" i="1"/>
  <c r="H442" i="1"/>
  <c r="I442" i="1"/>
  <c r="J442" i="1"/>
  <c r="H443" i="1"/>
  <c r="I443" i="1"/>
  <c r="J443" i="1"/>
  <c r="H444" i="1"/>
  <c r="I444" i="1"/>
  <c r="J444" i="1"/>
  <c r="H445" i="1"/>
  <c r="I445" i="1"/>
  <c r="J445" i="1"/>
  <c r="H446" i="1"/>
  <c r="I446" i="1"/>
  <c r="J446" i="1"/>
  <c r="H447" i="1"/>
  <c r="I447" i="1"/>
  <c r="J447" i="1"/>
  <c r="H448" i="1"/>
  <c r="I448" i="1"/>
  <c r="J448" i="1"/>
  <c r="H449" i="1"/>
  <c r="I449" i="1"/>
  <c r="J449" i="1"/>
  <c r="H450" i="1"/>
  <c r="I450" i="1"/>
  <c r="J450" i="1"/>
  <c r="H451" i="1"/>
  <c r="I451" i="1"/>
  <c r="J451" i="1"/>
  <c r="H452" i="1"/>
  <c r="I452" i="1"/>
  <c r="J452" i="1"/>
  <c r="H453" i="1"/>
  <c r="I453" i="1"/>
  <c r="J453" i="1"/>
  <c r="H454" i="1"/>
  <c r="I454" i="1"/>
  <c r="J454" i="1"/>
  <c r="H455" i="1"/>
  <c r="I455" i="1"/>
  <c r="J455" i="1"/>
  <c r="H456" i="1"/>
  <c r="I456" i="1"/>
  <c r="J456" i="1"/>
  <c r="H457" i="1"/>
  <c r="I457" i="1"/>
  <c r="J457" i="1"/>
  <c r="H458" i="1"/>
  <c r="I458" i="1"/>
  <c r="J458" i="1"/>
  <c r="H459" i="1"/>
  <c r="I459" i="1"/>
  <c r="J459" i="1"/>
  <c r="H460" i="1"/>
  <c r="I460" i="1"/>
  <c r="J460" i="1"/>
  <c r="H461" i="1"/>
  <c r="I461" i="1"/>
  <c r="J461" i="1"/>
  <c r="H462" i="1"/>
  <c r="I462" i="1"/>
  <c r="J462" i="1"/>
  <c r="H463" i="1"/>
  <c r="I463" i="1"/>
  <c r="J463" i="1"/>
  <c r="H464" i="1"/>
  <c r="I464" i="1"/>
  <c r="J464" i="1"/>
  <c r="H465" i="1"/>
  <c r="I465" i="1"/>
  <c r="J465" i="1"/>
  <c r="H466" i="1"/>
  <c r="I466" i="1"/>
  <c r="J466" i="1"/>
  <c r="H467" i="1"/>
  <c r="I467" i="1"/>
  <c r="J467" i="1"/>
  <c r="H468" i="1"/>
  <c r="I468" i="1"/>
  <c r="J468" i="1"/>
  <c r="H469" i="1"/>
  <c r="I469" i="1"/>
  <c r="J469" i="1"/>
  <c r="H470" i="1"/>
  <c r="I470" i="1"/>
  <c r="J470" i="1"/>
  <c r="H471" i="1"/>
  <c r="I471" i="1"/>
  <c r="J471" i="1"/>
  <c r="H472" i="1"/>
  <c r="I472" i="1"/>
  <c r="J472" i="1"/>
  <c r="H473" i="1"/>
  <c r="I473" i="1"/>
  <c r="J473" i="1"/>
  <c r="H474" i="1"/>
  <c r="I474" i="1"/>
  <c r="J474" i="1"/>
  <c r="H475" i="1"/>
  <c r="I475" i="1"/>
  <c r="J475" i="1"/>
  <c r="H476" i="1"/>
  <c r="I476" i="1"/>
  <c r="J476" i="1"/>
  <c r="H477" i="1"/>
  <c r="I477" i="1"/>
  <c r="J477" i="1"/>
  <c r="H478" i="1"/>
  <c r="I478" i="1"/>
  <c r="J478" i="1"/>
  <c r="H479" i="1"/>
  <c r="I479" i="1"/>
  <c r="J479" i="1"/>
  <c r="H480" i="1"/>
  <c r="I480" i="1"/>
  <c r="J480" i="1"/>
  <c r="H481" i="1"/>
  <c r="I481" i="1"/>
  <c r="J481" i="1"/>
  <c r="H482" i="1"/>
  <c r="I482" i="1"/>
  <c r="J482" i="1"/>
  <c r="H483" i="1"/>
  <c r="I483" i="1"/>
  <c r="J483" i="1"/>
  <c r="H484" i="1"/>
  <c r="I484" i="1"/>
  <c r="J484" i="1"/>
  <c r="H485" i="1"/>
  <c r="I485" i="1"/>
  <c r="J485" i="1"/>
  <c r="H486" i="1"/>
  <c r="I486" i="1"/>
  <c r="J486" i="1"/>
  <c r="H487" i="1"/>
  <c r="I487" i="1"/>
  <c r="J487" i="1"/>
  <c r="H488" i="1"/>
  <c r="I488" i="1"/>
  <c r="J488" i="1"/>
  <c r="H489" i="1"/>
  <c r="I489" i="1"/>
  <c r="J489" i="1"/>
  <c r="H490" i="1"/>
  <c r="I490" i="1"/>
  <c r="J490" i="1"/>
  <c r="H491" i="1"/>
  <c r="I491" i="1"/>
  <c r="J491" i="1"/>
  <c r="H492" i="1"/>
  <c r="I492" i="1"/>
  <c r="J492" i="1"/>
  <c r="H493" i="1"/>
  <c r="I493" i="1"/>
  <c r="J493" i="1"/>
  <c r="H494" i="1"/>
  <c r="I494" i="1"/>
  <c r="J494" i="1"/>
  <c r="H495" i="1"/>
  <c r="I495" i="1"/>
  <c r="J495" i="1"/>
  <c r="H496" i="1"/>
  <c r="I496" i="1"/>
  <c r="J496" i="1"/>
  <c r="H497" i="1"/>
  <c r="I497" i="1"/>
  <c r="J497" i="1"/>
  <c r="H498" i="1"/>
  <c r="I498" i="1"/>
  <c r="J498" i="1"/>
  <c r="H499" i="1"/>
  <c r="I499" i="1"/>
  <c r="J499" i="1"/>
  <c r="H500" i="1"/>
  <c r="I500" i="1"/>
  <c r="J500" i="1"/>
  <c r="H501" i="1"/>
  <c r="I501" i="1"/>
  <c r="J501" i="1"/>
  <c r="H502" i="1"/>
  <c r="I502" i="1"/>
  <c r="J502" i="1"/>
  <c r="H503" i="1"/>
  <c r="I503" i="1"/>
  <c r="J503" i="1"/>
  <c r="H504" i="1"/>
  <c r="I504" i="1"/>
  <c r="J504" i="1"/>
  <c r="H505" i="1"/>
  <c r="I505" i="1"/>
  <c r="J505" i="1"/>
  <c r="H506" i="1"/>
  <c r="I506" i="1"/>
  <c r="J506" i="1"/>
  <c r="H507" i="1"/>
  <c r="I507" i="1"/>
  <c r="J507" i="1"/>
  <c r="H508" i="1"/>
  <c r="I508" i="1"/>
  <c r="J508" i="1"/>
  <c r="H509" i="1"/>
  <c r="I509" i="1"/>
  <c r="J509" i="1"/>
  <c r="H510" i="1"/>
  <c r="I510" i="1"/>
  <c r="J510" i="1"/>
  <c r="H511" i="1"/>
  <c r="I511" i="1"/>
  <c r="J511" i="1"/>
  <c r="H512" i="1"/>
  <c r="I512" i="1"/>
  <c r="J512" i="1"/>
  <c r="H513" i="1"/>
  <c r="I513" i="1"/>
  <c r="J513" i="1"/>
  <c r="H514" i="1"/>
  <c r="I514" i="1"/>
  <c r="J514" i="1"/>
  <c r="H515" i="1"/>
  <c r="I515" i="1"/>
  <c r="J515" i="1"/>
  <c r="H516" i="1"/>
  <c r="I516" i="1"/>
  <c r="J516" i="1"/>
  <c r="H517" i="1"/>
  <c r="I517" i="1"/>
  <c r="J517" i="1"/>
  <c r="H518" i="1"/>
  <c r="I518" i="1"/>
  <c r="J518" i="1"/>
  <c r="H519" i="1"/>
  <c r="I519" i="1"/>
  <c r="J519" i="1"/>
  <c r="H520" i="1"/>
  <c r="I520" i="1"/>
  <c r="J520" i="1"/>
  <c r="H521" i="1"/>
  <c r="I521" i="1"/>
  <c r="J521" i="1"/>
  <c r="H522" i="1"/>
  <c r="I522" i="1"/>
  <c r="J522" i="1"/>
  <c r="H523" i="1"/>
  <c r="I523" i="1"/>
  <c r="J523" i="1"/>
  <c r="H524" i="1"/>
  <c r="I524" i="1"/>
  <c r="J524" i="1"/>
  <c r="H525" i="1"/>
  <c r="I525" i="1"/>
  <c r="J525" i="1"/>
  <c r="H526" i="1"/>
  <c r="I526" i="1"/>
  <c r="J526" i="1"/>
  <c r="H527" i="1"/>
  <c r="I527" i="1"/>
  <c r="J527" i="1"/>
  <c r="H528" i="1"/>
  <c r="I528" i="1"/>
  <c r="J528" i="1"/>
  <c r="H529" i="1"/>
  <c r="I529" i="1"/>
  <c r="J529" i="1"/>
  <c r="H530" i="1"/>
  <c r="I530" i="1"/>
  <c r="J530" i="1"/>
  <c r="H531" i="1"/>
  <c r="I531" i="1"/>
  <c r="J531" i="1"/>
  <c r="H532" i="1"/>
  <c r="I532" i="1"/>
  <c r="J532" i="1"/>
  <c r="H533" i="1"/>
  <c r="I533" i="1"/>
  <c r="J533" i="1"/>
  <c r="H534" i="1"/>
  <c r="I534" i="1"/>
  <c r="J534" i="1"/>
  <c r="H535" i="1"/>
  <c r="I535" i="1"/>
  <c r="J535" i="1"/>
  <c r="H536" i="1"/>
  <c r="I536" i="1"/>
  <c r="J536" i="1"/>
  <c r="H537" i="1"/>
  <c r="I537" i="1"/>
  <c r="J537" i="1"/>
  <c r="H538" i="1"/>
  <c r="I538" i="1"/>
  <c r="J538" i="1"/>
  <c r="H539" i="1"/>
  <c r="I539" i="1"/>
  <c r="J539" i="1"/>
  <c r="H540" i="1"/>
  <c r="I540" i="1"/>
  <c r="J540" i="1"/>
  <c r="H541" i="1"/>
  <c r="I541" i="1"/>
  <c r="J541" i="1"/>
  <c r="H542" i="1"/>
  <c r="I542" i="1"/>
  <c r="J542" i="1"/>
  <c r="H543" i="1"/>
  <c r="I543" i="1"/>
  <c r="J543" i="1"/>
  <c r="H544" i="1"/>
  <c r="I544" i="1"/>
  <c r="J544" i="1"/>
  <c r="H545" i="1"/>
  <c r="I545" i="1"/>
  <c r="J545" i="1"/>
  <c r="H546" i="1"/>
  <c r="I546" i="1"/>
  <c r="J546" i="1"/>
  <c r="H547" i="1"/>
  <c r="I547" i="1"/>
  <c r="J547" i="1"/>
  <c r="H548" i="1"/>
  <c r="I548" i="1"/>
  <c r="J548" i="1"/>
  <c r="H549" i="1"/>
  <c r="I549" i="1"/>
  <c r="J549" i="1"/>
  <c r="H550" i="1"/>
  <c r="I550" i="1"/>
  <c r="J550" i="1"/>
  <c r="H551" i="1"/>
  <c r="I551" i="1"/>
  <c r="J551" i="1"/>
  <c r="H552" i="1"/>
  <c r="I552" i="1"/>
  <c r="J552" i="1"/>
  <c r="H553" i="1"/>
  <c r="I553" i="1"/>
  <c r="J553" i="1"/>
  <c r="H554" i="1"/>
  <c r="I554" i="1"/>
  <c r="J554" i="1"/>
  <c r="H555" i="1"/>
  <c r="I555" i="1"/>
  <c r="J555" i="1"/>
  <c r="H556" i="1"/>
  <c r="I556" i="1"/>
  <c r="J556" i="1"/>
  <c r="H557" i="1"/>
  <c r="I557" i="1"/>
  <c r="J557" i="1"/>
  <c r="H558" i="1"/>
  <c r="I558" i="1"/>
  <c r="J558" i="1"/>
  <c r="H559" i="1"/>
  <c r="I559" i="1"/>
  <c r="J559" i="1"/>
  <c r="H560" i="1"/>
  <c r="I560" i="1"/>
  <c r="J560" i="1"/>
  <c r="H561" i="1"/>
  <c r="I561" i="1"/>
  <c r="J561" i="1"/>
  <c r="H562" i="1"/>
  <c r="I562" i="1"/>
  <c r="J562" i="1"/>
  <c r="H563" i="1"/>
  <c r="I563" i="1"/>
  <c r="J563" i="1"/>
  <c r="H564" i="1"/>
  <c r="I564" i="1"/>
  <c r="J564" i="1"/>
  <c r="H565" i="1"/>
  <c r="I565" i="1"/>
  <c r="J565" i="1"/>
  <c r="H566" i="1"/>
  <c r="I566" i="1"/>
  <c r="J566" i="1"/>
  <c r="H567" i="1"/>
  <c r="I567" i="1"/>
  <c r="J567" i="1"/>
  <c r="H568" i="1"/>
  <c r="I568" i="1"/>
  <c r="J568" i="1"/>
  <c r="H569" i="1"/>
  <c r="I569" i="1"/>
  <c r="J569" i="1"/>
  <c r="H570" i="1"/>
  <c r="I570" i="1"/>
  <c r="J570" i="1"/>
  <c r="H571" i="1"/>
  <c r="I571" i="1"/>
  <c r="J571" i="1"/>
  <c r="H572" i="1"/>
  <c r="I572" i="1"/>
  <c r="J572" i="1"/>
  <c r="H573" i="1"/>
  <c r="I573" i="1"/>
  <c r="J573" i="1"/>
  <c r="H574" i="1"/>
  <c r="I574" i="1"/>
  <c r="J574" i="1"/>
  <c r="H575" i="1"/>
  <c r="I575" i="1"/>
  <c r="J575" i="1"/>
  <c r="H576" i="1"/>
  <c r="I576" i="1"/>
  <c r="J576" i="1"/>
  <c r="H577" i="1"/>
  <c r="I577" i="1"/>
  <c r="J577" i="1"/>
  <c r="H578" i="1"/>
  <c r="I578" i="1"/>
  <c r="J578" i="1"/>
  <c r="H579" i="1"/>
  <c r="I579" i="1"/>
  <c r="J579" i="1"/>
  <c r="H580" i="1"/>
  <c r="I580" i="1"/>
  <c r="J580" i="1"/>
  <c r="H581" i="1"/>
  <c r="I581" i="1"/>
  <c r="J581" i="1"/>
  <c r="H582" i="1"/>
  <c r="I582" i="1"/>
  <c r="J582" i="1"/>
  <c r="H583" i="1"/>
  <c r="I583" i="1"/>
  <c r="J583" i="1"/>
  <c r="H584" i="1"/>
  <c r="I584" i="1"/>
  <c r="J584" i="1"/>
  <c r="H585" i="1"/>
  <c r="I585" i="1"/>
  <c r="J585" i="1"/>
  <c r="H586" i="1"/>
  <c r="I586" i="1"/>
  <c r="J586" i="1"/>
  <c r="H587" i="1"/>
  <c r="I587" i="1"/>
  <c r="J587" i="1"/>
  <c r="H588" i="1"/>
  <c r="I588" i="1"/>
  <c r="J588" i="1"/>
  <c r="H589" i="1"/>
  <c r="I589" i="1"/>
  <c r="J589" i="1"/>
  <c r="H590" i="1"/>
  <c r="I590" i="1"/>
  <c r="J590" i="1"/>
  <c r="H591" i="1"/>
  <c r="I591" i="1"/>
  <c r="J591" i="1"/>
  <c r="H592" i="1"/>
  <c r="I592" i="1"/>
  <c r="J592" i="1"/>
  <c r="H593" i="1"/>
  <c r="I593" i="1"/>
  <c r="J593" i="1"/>
  <c r="H594" i="1"/>
  <c r="I594" i="1"/>
  <c r="J594" i="1"/>
  <c r="H595" i="1"/>
  <c r="I595" i="1"/>
  <c r="J595" i="1"/>
  <c r="H596" i="1"/>
  <c r="I596" i="1"/>
  <c r="J596" i="1"/>
  <c r="H597" i="1"/>
  <c r="I597" i="1"/>
  <c r="J597" i="1"/>
  <c r="H598" i="1"/>
  <c r="I598" i="1"/>
  <c r="J598" i="1"/>
  <c r="H599" i="1"/>
  <c r="I599" i="1"/>
  <c r="J599" i="1"/>
  <c r="H600" i="1"/>
  <c r="I600" i="1"/>
  <c r="J600" i="1"/>
  <c r="H601" i="1"/>
  <c r="I601" i="1"/>
  <c r="J601" i="1"/>
  <c r="H602" i="1"/>
  <c r="I602" i="1"/>
  <c r="J602" i="1"/>
  <c r="H603" i="1"/>
  <c r="I603" i="1"/>
  <c r="J603" i="1"/>
  <c r="H604" i="1"/>
  <c r="I604" i="1"/>
  <c r="J604" i="1"/>
  <c r="H605" i="1"/>
  <c r="I605" i="1"/>
  <c r="J605" i="1"/>
  <c r="H606" i="1"/>
  <c r="I606" i="1"/>
  <c r="J606" i="1"/>
  <c r="H607" i="1"/>
  <c r="I607" i="1"/>
  <c r="J607" i="1"/>
  <c r="H608" i="1"/>
  <c r="I608" i="1"/>
  <c r="J608" i="1"/>
  <c r="H609" i="1"/>
  <c r="I609" i="1"/>
  <c r="J609" i="1"/>
  <c r="H610" i="1"/>
  <c r="I610" i="1"/>
  <c r="J610" i="1"/>
  <c r="H611" i="1"/>
  <c r="I611" i="1"/>
  <c r="J611" i="1"/>
  <c r="H612" i="1"/>
  <c r="I612" i="1"/>
  <c r="J612" i="1"/>
  <c r="H613" i="1"/>
  <c r="I613" i="1"/>
  <c r="J613" i="1"/>
  <c r="H614" i="1"/>
  <c r="I614" i="1"/>
  <c r="J614" i="1"/>
  <c r="H615" i="1"/>
  <c r="I615" i="1"/>
  <c r="J615" i="1"/>
  <c r="H616" i="1"/>
  <c r="I616" i="1"/>
  <c r="J616" i="1"/>
  <c r="H617" i="1"/>
  <c r="I617" i="1"/>
  <c r="J617" i="1"/>
  <c r="H618" i="1"/>
  <c r="I618" i="1"/>
  <c r="J618" i="1"/>
  <c r="H619" i="1"/>
  <c r="I619" i="1"/>
  <c r="J619" i="1"/>
  <c r="H620" i="1"/>
  <c r="I620" i="1"/>
  <c r="J620" i="1"/>
  <c r="H621" i="1"/>
  <c r="I621" i="1"/>
  <c r="J621" i="1"/>
  <c r="H622" i="1"/>
  <c r="I622" i="1"/>
  <c r="J622" i="1"/>
  <c r="H623" i="1"/>
  <c r="I623" i="1"/>
  <c r="J623" i="1"/>
  <c r="H624" i="1"/>
  <c r="I624" i="1"/>
  <c r="J624" i="1"/>
  <c r="H625" i="1"/>
  <c r="I625" i="1"/>
  <c r="J625" i="1"/>
  <c r="H626" i="1"/>
  <c r="I626" i="1"/>
  <c r="J626" i="1"/>
  <c r="H627" i="1"/>
  <c r="I627" i="1"/>
  <c r="J627" i="1"/>
  <c r="H628" i="1"/>
  <c r="I628" i="1"/>
  <c r="J628" i="1"/>
  <c r="H629" i="1"/>
  <c r="I629" i="1"/>
  <c r="J629" i="1"/>
  <c r="H630" i="1"/>
  <c r="I630" i="1"/>
  <c r="J630" i="1"/>
  <c r="H631" i="1"/>
  <c r="I631" i="1"/>
  <c r="J631" i="1"/>
  <c r="H632" i="1"/>
  <c r="I632" i="1"/>
  <c r="J632" i="1"/>
  <c r="H633" i="1"/>
  <c r="I633" i="1"/>
  <c r="J633" i="1"/>
  <c r="H634" i="1"/>
  <c r="I634" i="1"/>
  <c r="J634" i="1"/>
  <c r="H635" i="1"/>
  <c r="I635" i="1"/>
  <c r="J635" i="1"/>
  <c r="H636" i="1"/>
  <c r="I636" i="1"/>
  <c r="J636" i="1"/>
  <c r="H637" i="1"/>
  <c r="I637" i="1"/>
  <c r="J637" i="1"/>
  <c r="H638" i="1"/>
  <c r="I638" i="1"/>
  <c r="J638" i="1"/>
  <c r="H639" i="1"/>
  <c r="I639" i="1"/>
  <c r="J639" i="1"/>
  <c r="H640" i="1"/>
  <c r="I640" i="1"/>
  <c r="J640" i="1"/>
  <c r="H641" i="1"/>
  <c r="I641" i="1"/>
  <c r="J641" i="1"/>
  <c r="H642" i="1"/>
  <c r="I642" i="1"/>
  <c r="J642" i="1"/>
  <c r="H643" i="1"/>
  <c r="I643" i="1"/>
  <c r="J643" i="1"/>
  <c r="H644" i="1"/>
  <c r="I644" i="1"/>
  <c r="J644" i="1"/>
  <c r="H645" i="1"/>
  <c r="I645" i="1"/>
  <c r="J645" i="1"/>
  <c r="H646" i="1"/>
  <c r="I646" i="1"/>
  <c r="J646" i="1"/>
  <c r="H647" i="1"/>
  <c r="I647" i="1"/>
  <c r="J647" i="1"/>
  <c r="H648" i="1"/>
  <c r="I648" i="1"/>
  <c r="J648" i="1"/>
  <c r="H649" i="1"/>
  <c r="I649" i="1"/>
  <c r="J649" i="1"/>
  <c r="H650" i="1"/>
  <c r="I650" i="1"/>
  <c r="J650" i="1"/>
  <c r="H651" i="1"/>
  <c r="I651" i="1"/>
  <c r="J651" i="1"/>
  <c r="H652" i="1"/>
  <c r="I652" i="1"/>
  <c r="J652" i="1"/>
  <c r="H653" i="1"/>
  <c r="I653" i="1"/>
  <c r="J653" i="1"/>
  <c r="H654" i="1"/>
  <c r="I654" i="1"/>
  <c r="J654" i="1"/>
  <c r="H655" i="1"/>
  <c r="I655" i="1"/>
  <c r="J655" i="1"/>
  <c r="H656" i="1"/>
  <c r="I656" i="1"/>
  <c r="J656" i="1"/>
  <c r="H657" i="1"/>
  <c r="I657" i="1"/>
  <c r="J657" i="1"/>
  <c r="H658" i="1"/>
  <c r="I658" i="1"/>
  <c r="J658" i="1"/>
  <c r="H659" i="1"/>
  <c r="I659" i="1"/>
  <c r="J659" i="1"/>
  <c r="H660" i="1"/>
  <c r="I660" i="1"/>
  <c r="J660" i="1"/>
  <c r="H661" i="1"/>
  <c r="I661" i="1"/>
  <c r="J661" i="1"/>
  <c r="H662" i="1"/>
  <c r="I662" i="1"/>
  <c r="J662" i="1"/>
  <c r="H663" i="1"/>
  <c r="I663" i="1"/>
  <c r="J663" i="1"/>
  <c r="H664" i="1"/>
  <c r="I664" i="1"/>
  <c r="J664" i="1"/>
  <c r="H665" i="1"/>
  <c r="I665" i="1"/>
  <c r="J665" i="1"/>
  <c r="H666" i="1"/>
  <c r="I666" i="1"/>
  <c r="J666" i="1"/>
  <c r="H667" i="1"/>
  <c r="I667" i="1"/>
  <c r="J667" i="1"/>
  <c r="H668" i="1"/>
  <c r="I668" i="1"/>
  <c r="J668" i="1"/>
  <c r="H669" i="1"/>
  <c r="I669" i="1"/>
  <c r="J669" i="1"/>
  <c r="H670" i="1"/>
  <c r="I670" i="1"/>
  <c r="J670" i="1"/>
  <c r="H671" i="1"/>
  <c r="I671" i="1"/>
  <c r="J671" i="1"/>
  <c r="H672" i="1"/>
  <c r="I672" i="1"/>
  <c r="J672" i="1"/>
  <c r="H673" i="1"/>
  <c r="I673" i="1"/>
  <c r="J673" i="1"/>
  <c r="H674" i="1"/>
  <c r="I674" i="1"/>
  <c r="J674" i="1"/>
  <c r="H675" i="1"/>
  <c r="I675" i="1"/>
  <c r="J675" i="1"/>
  <c r="H676" i="1"/>
  <c r="I676" i="1"/>
  <c r="J676" i="1"/>
  <c r="H677" i="1"/>
  <c r="I677" i="1"/>
  <c r="J677" i="1"/>
  <c r="H678" i="1"/>
  <c r="I678" i="1"/>
  <c r="J678" i="1"/>
  <c r="H679" i="1"/>
  <c r="I679" i="1"/>
  <c r="J679" i="1"/>
  <c r="H680" i="1"/>
  <c r="I680" i="1"/>
  <c r="J680" i="1"/>
  <c r="H681" i="1"/>
  <c r="I681" i="1"/>
  <c r="J681" i="1"/>
  <c r="H682" i="1"/>
  <c r="I682" i="1"/>
  <c r="J682" i="1"/>
  <c r="H683" i="1"/>
  <c r="I683" i="1"/>
  <c r="J683" i="1"/>
  <c r="H684" i="1"/>
  <c r="I684" i="1"/>
  <c r="J684" i="1"/>
  <c r="H685" i="1"/>
  <c r="I685" i="1"/>
  <c r="J685" i="1"/>
  <c r="H686" i="1"/>
  <c r="I686" i="1"/>
  <c r="J686" i="1"/>
  <c r="H687" i="1"/>
  <c r="I687" i="1"/>
  <c r="J687" i="1"/>
  <c r="H688" i="1"/>
  <c r="I688" i="1"/>
  <c r="J688" i="1"/>
  <c r="H689" i="1"/>
  <c r="I689" i="1"/>
  <c r="J689" i="1"/>
  <c r="H690" i="1"/>
  <c r="I690" i="1"/>
  <c r="J690" i="1"/>
  <c r="H691" i="1"/>
  <c r="I691" i="1"/>
  <c r="J691" i="1"/>
  <c r="H692" i="1"/>
  <c r="I692" i="1"/>
  <c r="J692" i="1"/>
  <c r="H693" i="1"/>
  <c r="I693" i="1"/>
  <c r="J693" i="1"/>
  <c r="H694" i="1"/>
  <c r="I694" i="1"/>
  <c r="J694" i="1"/>
  <c r="H695" i="1"/>
  <c r="I695" i="1"/>
  <c r="J695" i="1"/>
  <c r="H696" i="1"/>
  <c r="I696" i="1"/>
  <c r="J696" i="1"/>
  <c r="H697" i="1"/>
  <c r="I697" i="1"/>
  <c r="J697" i="1"/>
  <c r="H698" i="1"/>
  <c r="I698" i="1"/>
  <c r="J698" i="1"/>
  <c r="H699" i="1"/>
  <c r="I699" i="1"/>
  <c r="J699" i="1"/>
  <c r="H700" i="1"/>
  <c r="I700" i="1"/>
  <c r="J700" i="1"/>
  <c r="H701" i="1"/>
  <c r="I701" i="1"/>
  <c r="J701" i="1"/>
  <c r="H702" i="1"/>
  <c r="I702" i="1"/>
  <c r="J702" i="1"/>
  <c r="H703" i="1"/>
  <c r="I703" i="1"/>
  <c r="J703" i="1"/>
  <c r="H704" i="1"/>
  <c r="I704" i="1"/>
  <c r="J704" i="1"/>
  <c r="H705" i="1"/>
  <c r="I705" i="1"/>
  <c r="J705" i="1"/>
  <c r="H706" i="1"/>
  <c r="I706" i="1"/>
  <c r="J706" i="1"/>
  <c r="H707" i="1"/>
  <c r="I707" i="1"/>
  <c r="J707" i="1"/>
  <c r="H708" i="1"/>
  <c r="I708" i="1"/>
  <c r="J708" i="1"/>
  <c r="H709" i="1"/>
  <c r="I709" i="1"/>
  <c r="J709" i="1"/>
  <c r="H710" i="1"/>
  <c r="I710" i="1"/>
  <c r="J710" i="1"/>
  <c r="H711" i="1"/>
  <c r="I711" i="1"/>
  <c r="J711" i="1"/>
  <c r="H712" i="1"/>
  <c r="I712" i="1"/>
  <c r="J712" i="1"/>
  <c r="H713" i="1"/>
  <c r="I713" i="1"/>
  <c r="J713" i="1"/>
  <c r="H714" i="1"/>
  <c r="I714" i="1"/>
  <c r="J714" i="1"/>
  <c r="H715" i="1"/>
  <c r="I715" i="1"/>
  <c r="J715" i="1"/>
  <c r="H716" i="1"/>
  <c r="I716" i="1"/>
  <c r="J716" i="1"/>
  <c r="H717" i="1"/>
  <c r="I717" i="1"/>
  <c r="J717" i="1"/>
  <c r="H718" i="1"/>
  <c r="I718" i="1"/>
  <c r="J718" i="1"/>
  <c r="H719" i="1"/>
  <c r="I719" i="1"/>
  <c r="J719" i="1"/>
  <c r="H720" i="1"/>
  <c r="I720" i="1"/>
  <c r="J720" i="1"/>
  <c r="H721" i="1"/>
  <c r="I721" i="1"/>
  <c r="J721" i="1"/>
  <c r="H722" i="1"/>
  <c r="I722" i="1"/>
  <c r="J722" i="1"/>
  <c r="H723" i="1"/>
  <c r="I723" i="1"/>
  <c r="J723" i="1"/>
  <c r="H724" i="1"/>
  <c r="I724" i="1"/>
  <c r="J724" i="1"/>
  <c r="H725" i="1"/>
  <c r="I725" i="1"/>
  <c r="J725" i="1"/>
  <c r="H726" i="1"/>
  <c r="I726" i="1"/>
  <c r="J726" i="1"/>
  <c r="H727" i="1"/>
  <c r="I727" i="1"/>
  <c r="J727" i="1"/>
  <c r="H728" i="1"/>
  <c r="I728" i="1"/>
  <c r="J728" i="1"/>
  <c r="H729" i="1"/>
  <c r="I729" i="1"/>
  <c r="J729" i="1"/>
  <c r="H730" i="1"/>
  <c r="I730" i="1"/>
  <c r="J730" i="1"/>
  <c r="H731" i="1"/>
  <c r="I731" i="1"/>
  <c r="J731" i="1"/>
  <c r="H732" i="1"/>
  <c r="I732" i="1"/>
  <c r="J732" i="1"/>
  <c r="H733" i="1"/>
  <c r="I733" i="1"/>
  <c r="J733" i="1"/>
  <c r="H734" i="1"/>
  <c r="I734" i="1"/>
  <c r="J734" i="1"/>
  <c r="H735" i="1"/>
  <c r="I735" i="1"/>
  <c r="J735" i="1"/>
  <c r="H736" i="1"/>
  <c r="I736" i="1"/>
  <c r="J736" i="1"/>
  <c r="H737" i="1"/>
  <c r="I737" i="1"/>
  <c r="J737" i="1"/>
  <c r="H738" i="1"/>
  <c r="I738" i="1"/>
  <c r="J738" i="1"/>
  <c r="H739" i="1"/>
  <c r="I739" i="1"/>
  <c r="J739" i="1"/>
  <c r="H740" i="1"/>
  <c r="I740" i="1"/>
  <c r="J740" i="1"/>
  <c r="H741" i="1"/>
  <c r="I741" i="1"/>
  <c r="J741" i="1"/>
  <c r="H742" i="1"/>
  <c r="I742" i="1"/>
  <c r="J742" i="1"/>
  <c r="H743" i="1"/>
  <c r="I743" i="1"/>
  <c r="J743" i="1"/>
  <c r="H744" i="1"/>
  <c r="I744" i="1"/>
  <c r="J744" i="1"/>
  <c r="H745" i="1"/>
  <c r="I745" i="1"/>
  <c r="J745" i="1"/>
  <c r="H746" i="1"/>
  <c r="I746" i="1"/>
  <c r="J746" i="1"/>
  <c r="H747" i="1"/>
  <c r="I747" i="1"/>
  <c r="J747" i="1"/>
  <c r="H748" i="1"/>
  <c r="I748" i="1"/>
  <c r="J748" i="1"/>
  <c r="H749" i="1"/>
  <c r="I749" i="1"/>
  <c r="J749" i="1"/>
  <c r="H750" i="1"/>
  <c r="I750" i="1"/>
  <c r="J750" i="1"/>
  <c r="H751" i="1"/>
  <c r="I751" i="1"/>
  <c r="J751" i="1"/>
  <c r="H752" i="1"/>
  <c r="I752" i="1"/>
  <c r="J752" i="1"/>
  <c r="H753" i="1"/>
  <c r="I753" i="1"/>
  <c r="J753" i="1"/>
  <c r="H754" i="1"/>
  <c r="I754" i="1"/>
  <c r="J754" i="1"/>
  <c r="H755" i="1"/>
  <c r="I755" i="1"/>
  <c r="J755" i="1"/>
  <c r="H756" i="1"/>
  <c r="I756" i="1"/>
  <c r="J756" i="1"/>
  <c r="H757" i="1"/>
  <c r="I757" i="1"/>
  <c r="J757" i="1"/>
  <c r="H758" i="1"/>
  <c r="I758" i="1"/>
  <c r="J758" i="1"/>
  <c r="H759" i="1"/>
  <c r="I759" i="1"/>
  <c r="J759" i="1"/>
  <c r="H760" i="1"/>
  <c r="I760" i="1"/>
  <c r="J760" i="1"/>
  <c r="H761" i="1"/>
  <c r="I761" i="1"/>
  <c r="J761" i="1"/>
  <c r="H762" i="1"/>
  <c r="I762" i="1"/>
  <c r="J762" i="1"/>
  <c r="H763" i="1"/>
  <c r="I763" i="1"/>
  <c r="J763" i="1"/>
  <c r="H764" i="1"/>
  <c r="I764" i="1"/>
  <c r="J764" i="1"/>
  <c r="H765" i="1"/>
  <c r="I765" i="1"/>
  <c r="J765" i="1"/>
  <c r="H766" i="1"/>
  <c r="I766" i="1"/>
  <c r="J766" i="1"/>
  <c r="H767" i="1"/>
  <c r="I767" i="1"/>
  <c r="J767" i="1"/>
  <c r="H768" i="1"/>
  <c r="I768" i="1"/>
  <c r="J768" i="1"/>
  <c r="H769" i="1"/>
  <c r="I769" i="1"/>
  <c r="J769" i="1"/>
  <c r="H770" i="1"/>
  <c r="I770" i="1"/>
  <c r="J770" i="1"/>
  <c r="H771" i="1"/>
  <c r="I771" i="1"/>
  <c r="J771" i="1"/>
  <c r="H772" i="1"/>
  <c r="I772" i="1"/>
  <c r="J772" i="1"/>
  <c r="H773" i="1"/>
  <c r="I773" i="1"/>
  <c r="J773" i="1"/>
  <c r="H774" i="1"/>
  <c r="I774" i="1"/>
  <c r="J774" i="1"/>
  <c r="H775" i="1"/>
  <c r="I775" i="1"/>
  <c r="J775" i="1"/>
  <c r="H776" i="1"/>
  <c r="I776" i="1"/>
  <c r="J776" i="1"/>
  <c r="H777" i="1"/>
  <c r="I777" i="1"/>
  <c r="J777" i="1"/>
  <c r="H778" i="1"/>
  <c r="I778" i="1"/>
  <c r="J778" i="1"/>
  <c r="H779" i="1"/>
  <c r="I779" i="1"/>
  <c r="J779" i="1"/>
  <c r="H780" i="1"/>
  <c r="I780" i="1"/>
  <c r="J780" i="1"/>
  <c r="H781" i="1"/>
  <c r="I781" i="1"/>
  <c r="J781" i="1"/>
  <c r="H782" i="1"/>
  <c r="I782" i="1"/>
  <c r="J782" i="1"/>
  <c r="H783" i="1"/>
  <c r="I783" i="1"/>
  <c r="J783" i="1"/>
  <c r="H784" i="1"/>
  <c r="I784" i="1"/>
  <c r="J784" i="1"/>
  <c r="H785" i="1"/>
  <c r="I785" i="1"/>
  <c r="J785" i="1"/>
  <c r="H786" i="1"/>
  <c r="I786" i="1"/>
  <c r="J786" i="1"/>
  <c r="H787" i="1"/>
  <c r="I787" i="1"/>
  <c r="J787" i="1"/>
  <c r="H788" i="1"/>
  <c r="I788" i="1"/>
  <c r="J788" i="1"/>
  <c r="H789" i="1"/>
  <c r="I789" i="1"/>
  <c r="J789" i="1"/>
  <c r="H790" i="1"/>
  <c r="I790" i="1"/>
  <c r="J790" i="1"/>
  <c r="H791" i="1"/>
  <c r="I791" i="1"/>
  <c r="J791" i="1"/>
  <c r="H792" i="1"/>
  <c r="I792" i="1"/>
  <c r="J792" i="1"/>
  <c r="H793" i="1"/>
  <c r="I793" i="1"/>
  <c r="J793" i="1"/>
  <c r="H794" i="1"/>
  <c r="I794" i="1"/>
  <c r="J794" i="1"/>
  <c r="H795" i="1"/>
  <c r="I795" i="1"/>
  <c r="J795" i="1"/>
  <c r="H796" i="1"/>
  <c r="I796" i="1"/>
  <c r="J796" i="1"/>
  <c r="H797" i="1"/>
  <c r="I797" i="1"/>
  <c r="J797" i="1"/>
  <c r="H798" i="1"/>
  <c r="I798" i="1"/>
  <c r="J798" i="1"/>
  <c r="H799" i="1"/>
  <c r="I799" i="1"/>
  <c r="J799" i="1"/>
  <c r="H800" i="1"/>
  <c r="I800" i="1"/>
  <c r="J800" i="1"/>
  <c r="H801" i="1"/>
  <c r="I801" i="1"/>
  <c r="J801" i="1"/>
  <c r="H802" i="1"/>
  <c r="I802" i="1"/>
  <c r="J802" i="1"/>
  <c r="H803" i="1"/>
  <c r="I803" i="1"/>
  <c r="J803" i="1"/>
  <c r="H804" i="1"/>
  <c r="I804" i="1"/>
  <c r="J804" i="1"/>
  <c r="H805" i="1"/>
  <c r="I805" i="1"/>
  <c r="J805" i="1"/>
  <c r="H806" i="1"/>
  <c r="I806" i="1"/>
  <c r="J806" i="1"/>
  <c r="H807" i="1"/>
  <c r="I807" i="1"/>
  <c r="J807" i="1"/>
  <c r="H808" i="1"/>
  <c r="I808" i="1"/>
  <c r="J808" i="1"/>
  <c r="H809" i="1"/>
  <c r="I809" i="1"/>
  <c r="J809" i="1"/>
  <c r="H810" i="1"/>
  <c r="I810" i="1"/>
  <c r="J810" i="1"/>
  <c r="H811" i="1"/>
  <c r="I811" i="1"/>
  <c r="J811" i="1"/>
  <c r="H812" i="1"/>
  <c r="I812" i="1"/>
  <c r="J812" i="1"/>
  <c r="H813" i="1"/>
  <c r="I813" i="1"/>
  <c r="J813" i="1"/>
  <c r="H814" i="1"/>
  <c r="I814" i="1"/>
  <c r="J814" i="1"/>
  <c r="H815" i="1"/>
  <c r="I815" i="1"/>
  <c r="J815" i="1"/>
  <c r="H816" i="1"/>
  <c r="I816" i="1"/>
  <c r="J816" i="1"/>
  <c r="H817" i="1"/>
  <c r="I817" i="1"/>
  <c r="J817" i="1"/>
  <c r="H818" i="1"/>
  <c r="I818" i="1"/>
  <c r="J818" i="1"/>
  <c r="H819" i="1"/>
  <c r="I819" i="1"/>
  <c r="J819" i="1"/>
  <c r="H820" i="1"/>
  <c r="I820" i="1"/>
  <c r="J820" i="1"/>
  <c r="H821" i="1"/>
  <c r="I821" i="1"/>
  <c r="J821" i="1"/>
  <c r="H822" i="1"/>
  <c r="I822" i="1"/>
  <c r="J822" i="1"/>
  <c r="H823" i="1"/>
  <c r="I823" i="1"/>
  <c r="J823" i="1"/>
  <c r="H824" i="1"/>
  <c r="I824" i="1"/>
  <c r="J824" i="1"/>
  <c r="H825" i="1"/>
  <c r="I825" i="1"/>
  <c r="J825" i="1"/>
  <c r="H826" i="1"/>
  <c r="I826" i="1"/>
  <c r="J826" i="1"/>
  <c r="H827" i="1"/>
  <c r="I827" i="1"/>
  <c r="J827" i="1"/>
  <c r="H828" i="1"/>
  <c r="I828" i="1"/>
  <c r="J828" i="1"/>
  <c r="H829" i="1"/>
  <c r="I829" i="1"/>
  <c r="J829" i="1"/>
  <c r="H830" i="1"/>
  <c r="I830" i="1"/>
  <c r="J830" i="1"/>
  <c r="H831" i="1"/>
  <c r="I831" i="1"/>
  <c r="J831" i="1"/>
  <c r="H832" i="1"/>
  <c r="I832" i="1"/>
  <c r="J832" i="1"/>
  <c r="H833" i="1"/>
  <c r="I833" i="1"/>
  <c r="J833" i="1"/>
  <c r="H834" i="1"/>
  <c r="I834" i="1"/>
  <c r="J834" i="1"/>
  <c r="H835" i="1"/>
  <c r="I835" i="1"/>
  <c r="J835" i="1"/>
  <c r="H836" i="1"/>
  <c r="I836" i="1"/>
  <c r="J836" i="1"/>
  <c r="H837" i="1"/>
  <c r="I837" i="1"/>
  <c r="J837" i="1"/>
  <c r="H838" i="1"/>
  <c r="I838" i="1"/>
  <c r="J838" i="1"/>
  <c r="H839" i="1"/>
  <c r="I839" i="1"/>
  <c r="J839" i="1"/>
  <c r="H840" i="1"/>
  <c r="I840" i="1"/>
  <c r="J840" i="1"/>
  <c r="H841" i="1"/>
  <c r="I841" i="1"/>
  <c r="J841" i="1"/>
  <c r="H842" i="1"/>
  <c r="I842" i="1"/>
  <c r="J842" i="1"/>
  <c r="H843" i="1"/>
  <c r="I843" i="1"/>
  <c r="J843" i="1"/>
  <c r="H844" i="1"/>
  <c r="I844" i="1"/>
  <c r="J844" i="1"/>
  <c r="H845" i="1"/>
  <c r="I845" i="1"/>
  <c r="J845" i="1"/>
  <c r="H846" i="1"/>
  <c r="I846" i="1"/>
  <c r="J846" i="1"/>
  <c r="H847" i="1"/>
  <c r="I847" i="1"/>
  <c r="J847" i="1"/>
  <c r="H848" i="1"/>
  <c r="I848" i="1"/>
  <c r="J848" i="1"/>
  <c r="H849" i="1"/>
  <c r="I849" i="1"/>
  <c r="J849" i="1"/>
  <c r="H850" i="1"/>
  <c r="I850" i="1"/>
  <c r="J850" i="1"/>
  <c r="H851" i="1"/>
  <c r="I851" i="1"/>
  <c r="J851" i="1"/>
  <c r="H852" i="1"/>
  <c r="I852" i="1"/>
  <c r="J852" i="1"/>
  <c r="H853" i="1"/>
  <c r="I853" i="1"/>
  <c r="J853" i="1"/>
  <c r="H854" i="1"/>
  <c r="I854" i="1"/>
  <c r="J854" i="1"/>
  <c r="H855" i="1"/>
  <c r="I855" i="1"/>
  <c r="J855" i="1"/>
  <c r="H856" i="1"/>
  <c r="I856" i="1"/>
  <c r="J856" i="1"/>
  <c r="H857" i="1"/>
  <c r="I857" i="1"/>
  <c r="J857" i="1"/>
  <c r="H858" i="1"/>
  <c r="I858" i="1"/>
  <c r="J858" i="1"/>
  <c r="H859" i="1"/>
  <c r="I859" i="1"/>
  <c r="J859" i="1"/>
  <c r="H860" i="1"/>
  <c r="I860" i="1"/>
  <c r="J860" i="1"/>
  <c r="H861" i="1"/>
  <c r="I861" i="1"/>
  <c r="J861" i="1"/>
  <c r="H862" i="1"/>
  <c r="I862" i="1"/>
  <c r="J862" i="1"/>
  <c r="H863" i="1"/>
  <c r="I863" i="1"/>
  <c r="J863" i="1"/>
  <c r="H864" i="1"/>
  <c r="I864" i="1"/>
  <c r="J864" i="1"/>
  <c r="H865" i="1"/>
  <c r="I865" i="1"/>
  <c r="J865" i="1"/>
  <c r="H866" i="1"/>
  <c r="I866" i="1"/>
  <c r="J866" i="1"/>
  <c r="H867" i="1"/>
  <c r="I867" i="1"/>
  <c r="J867" i="1"/>
  <c r="H868" i="1"/>
  <c r="I868" i="1"/>
  <c r="J868" i="1"/>
  <c r="H869" i="1"/>
  <c r="I869" i="1"/>
  <c r="J869" i="1"/>
  <c r="H870" i="1"/>
  <c r="I870" i="1"/>
  <c r="J870" i="1"/>
  <c r="H871" i="1"/>
  <c r="I871" i="1"/>
  <c r="J871" i="1"/>
  <c r="H872" i="1"/>
  <c r="I872" i="1"/>
  <c r="J872" i="1"/>
  <c r="H873" i="1"/>
  <c r="I873" i="1"/>
  <c r="J873" i="1"/>
  <c r="H874" i="1"/>
  <c r="I874" i="1"/>
  <c r="J874" i="1"/>
  <c r="H875" i="1"/>
  <c r="I875" i="1"/>
  <c r="J875" i="1"/>
  <c r="H876" i="1"/>
  <c r="I876" i="1"/>
  <c r="J876" i="1"/>
  <c r="H877" i="1"/>
  <c r="I877" i="1"/>
  <c r="J877" i="1"/>
  <c r="H878" i="1"/>
  <c r="I878" i="1"/>
  <c r="J878" i="1"/>
  <c r="H879" i="1"/>
  <c r="I879" i="1"/>
  <c r="J879" i="1"/>
  <c r="H880" i="1"/>
  <c r="I880" i="1"/>
  <c r="J880" i="1"/>
  <c r="H881" i="1"/>
  <c r="I881" i="1"/>
  <c r="J881" i="1"/>
  <c r="H882" i="1"/>
  <c r="I882" i="1"/>
  <c r="J882" i="1"/>
  <c r="H883" i="1"/>
  <c r="I883" i="1"/>
  <c r="J883" i="1"/>
  <c r="H884" i="1"/>
  <c r="I884" i="1"/>
  <c r="J884" i="1"/>
  <c r="H885" i="1"/>
  <c r="I885" i="1"/>
  <c r="J885" i="1"/>
  <c r="H886" i="1"/>
  <c r="I886" i="1"/>
  <c r="J886" i="1"/>
  <c r="H887" i="1"/>
  <c r="I887" i="1"/>
  <c r="J887" i="1"/>
  <c r="H888" i="1"/>
  <c r="I888" i="1"/>
  <c r="J888" i="1"/>
  <c r="H889" i="1"/>
  <c r="I889" i="1"/>
  <c r="J889" i="1"/>
  <c r="H890" i="1"/>
  <c r="I890" i="1"/>
  <c r="J890" i="1"/>
  <c r="H891" i="1"/>
  <c r="I891" i="1"/>
  <c r="J891" i="1"/>
  <c r="H892" i="1"/>
  <c r="I892" i="1"/>
  <c r="J892" i="1"/>
  <c r="H893" i="1"/>
  <c r="I893" i="1"/>
  <c r="J893" i="1"/>
  <c r="H894" i="1"/>
  <c r="I894" i="1"/>
  <c r="J894" i="1"/>
  <c r="H895" i="1"/>
  <c r="I895" i="1"/>
  <c r="J895" i="1"/>
  <c r="H896" i="1"/>
  <c r="I896" i="1"/>
  <c r="J896" i="1"/>
  <c r="H897" i="1"/>
  <c r="I897" i="1"/>
  <c r="J897" i="1"/>
  <c r="H898" i="1"/>
  <c r="I898" i="1"/>
  <c r="J898" i="1"/>
  <c r="H899" i="1"/>
  <c r="I899" i="1"/>
  <c r="J899" i="1"/>
  <c r="H900" i="1"/>
  <c r="I900" i="1"/>
  <c r="J900" i="1"/>
  <c r="H901" i="1"/>
  <c r="I901" i="1"/>
  <c r="J901" i="1"/>
  <c r="H902" i="1"/>
  <c r="I902" i="1"/>
  <c r="J902" i="1"/>
  <c r="H903" i="1"/>
  <c r="I903" i="1"/>
  <c r="J903" i="1"/>
  <c r="H904" i="1"/>
  <c r="I904" i="1"/>
  <c r="J904" i="1"/>
  <c r="H905" i="1"/>
  <c r="I905" i="1"/>
  <c r="J905" i="1"/>
  <c r="H906" i="1"/>
  <c r="I906" i="1"/>
  <c r="J906" i="1"/>
  <c r="H907" i="1"/>
  <c r="I907" i="1"/>
  <c r="J907" i="1"/>
  <c r="H908" i="1"/>
  <c r="I908" i="1"/>
  <c r="J908" i="1"/>
  <c r="H909" i="1"/>
  <c r="I909" i="1"/>
  <c r="J909" i="1"/>
  <c r="H910" i="1"/>
  <c r="I910" i="1"/>
  <c r="J910" i="1"/>
  <c r="H911" i="1"/>
  <c r="I911" i="1"/>
  <c r="J911" i="1"/>
  <c r="H912" i="1"/>
  <c r="I912" i="1"/>
  <c r="J912" i="1"/>
  <c r="H913" i="1"/>
  <c r="I913" i="1"/>
  <c r="J913" i="1"/>
  <c r="H914" i="1"/>
  <c r="I914" i="1"/>
  <c r="J914" i="1"/>
  <c r="H915" i="1"/>
  <c r="I915" i="1"/>
  <c r="J915" i="1"/>
  <c r="H916" i="1"/>
  <c r="I916" i="1"/>
  <c r="J916" i="1"/>
  <c r="H917" i="1"/>
  <c r="I917" i="1"/>
  <c r="J917" i="1"/>
  <c r="H918" i="1"/>
  <c r="I918" i="1"/>
  <c r="J918" i="1"/>
  <c r="H919" i="1"/>
  <c r="I919" i="1"/>
  <c r="J919" i="1"/>
  <c r="H920" i="1"/>
  <c r="I920" i="1"/>
  <c r="J920" i="1"/>
  <c r="H921" i="1"/>
  <c r="I921" i="1"/>
  <c r="J921" i="1"/>
  <c r="H922" i="1"/>
  <c r="I922" i="1"/>
  <c r="J922" i="1"/>
  <c r="H923" i="1"/>
  <c r="I923" i="1"/>
  <c r="J923" i="1"/>
  <c r="H924" i="1"/>
  <c r="I924" i="1"/>
  <c r="J924" i="1"/>
  <c r="H925" i="1"/>
  <c r="I925" i="1"/>
  <c r="J925" i="1"/>
  <c r="H926" i="1"/>
  <c r="I926" i="1"/>
  <c r="J926" i="1"/>
  <c r="H927" i="1"/>
  <c r="I927" i="1"/>
  <c r="J927" i="1"/>
  <c r="H928" i="1"/>
  <c r="I928" i="1"/>
  <c r="J928" i="1"/>
  <c r="H929" i="1"/>
  <c r="I929" i="1"/>
  <c r="J929" i="1"/>
  <c r="H930" i="1"/>
  <c r="I930" i="1"/>
  <c r="J930" i="1"/>
  <c r="H931" i="1"/>
  <c r="I931" i="1"/>
  <c r="J931" i="1"/>
  <c r="H932" i="1"/>
  <c r="I932" i="1"/>
  <c r="J932" i="1"/>
  <c r="H933" i="1"/>
  <c r="I933" i="1"/>
  <c r="J933" i="1"/>
  <c r="H934" i="1"/>
  <c r="I934" i="1"/>
  <c r="J934" i="1"/>
  <c r="H935" i="1"/>
  <c r="I935" i="1"/>
  <c r="J935" i="1"/>
  <c r="H936" i="1"/>
  <c r="I936" i="1"/>
  <c r="J936" i="1"/>
  <c r="H937" i="1"/>
  <c r="I937" i="1"/>
  <c r="J937" i="1"/>
  <c r="H938" i="1"/>
  <c r="I938" i="1"/>
  <c r="J938" i="1"/>
  <c r="H939" i="1"/>
  <c r="I939" i="1"/>
  <c r="J939" i="1"/>
  <c r="H940" i="1"/>
  <c r="I940" i="1"/>
  <c r="J940" i="1"/>
  <c r="H941" i="1"/>
  <c r="I941" i="1"/>
  <c r="J941" i="1"/>
  <c r="H942" i="1"/>
  <c r="I942" i="1"/>
  <c r="J942" i="1"/>
  <c r="H943" i="1"/>
  <c r="I943" i="1"/>
  <c r="J943" i="1"/>
  <c r="H944" i="1"/>
  <c r="I944" i="1"/>
  <c r="J944" i="1"/>
  <c r="H945" i="1"/>
  <c r="I945" i="1"/>
  <c r="J945" i="1"/>
  <c r="H946" i="1"/>
  <c r="I946" i="1"/>
  <c r="J946" i="1"/>
  <c r="H947" i="1"/>
  <c r="I947" i="1"/>
  <c r="J947" i="1"/>
  <c r="H948" i="1"/>
  <c r="I948" i="1"/>
  <c r="J948" i="1"/>
  <c r="H949" i="1"/>
  <c r="I949" i="1"/>
  <c r="J949" i="1"/>
  <c r="H950" i="1"/>
  <c r="I950" i="1"/>
  <c r="J950" i="1"/>
  <c r="H951" i="1"/>
  <c r="I951" i="1"/>
  <c r="J951" i="1"/>
  <c r="H952" i="1"/>
  <c r="I952" i="1"/>
  <c r="J952" i="1"/>
  <c r="H953" i="1"/>
  <c r="I953" i="1"/>
  <c r="J953" i="1"/>
  <c r="H954" i="1"/>
  <c r="I954" i="1"/>
  <c r="J954" i="1"/>
  <c r="H955" i="1"/>
  <c r="I955" i="1"/>
  <c r="J955" i="1"/>
  <c r="H956" i="1"/>
  <c r="I956" i="1"/>
  <c r="J956" i="1"/>
  <c r="H957" i="1"/>
  <c r="I957" i="1"/>
  <c r="J957" i="1"/>
  <c r="H958" i="1"/>
  <c r="I958" i="1"/>
  <c r="J958" i="1"/>
  <c r="H959" i="1"/>
  <c r="I959" i="1"/>
  <c r="J959" i="1"/>
  <c r="H960" i="1"/>
  <c r="I960" i="1"/>
  <c r="J960" i="1"/>
  <c r="H961" i="1"/>
  <c r="I961" i="1"/>
  <c r="J961" i="1"/>
  <c r="H962" i="1"/>
  <c r="I962" i="1"/>
  <c r="J962" i="1"/>
  <c r="H963" i="1"/>
  <c r="I963" i="1"/>
  <c r="J963" i="1"/>
  <c r="H964" i="1"/>
  <c r="I964" i="1"/>
  <c r="J964" i="1"/>
  <c r="H965" i="1"/>
  <c r="I965" i="1"/>
  <c r="J965" i="1"/>
  <c r="H966" i="1"/>
  <c r="I966" i="1"/>
  <c r="J966" i="1"/>
  <c r="H967" i="1"/>
  <c r="I967" i="1"/>
  <c r="J967" i="1"/>
  <c r="H968" i="1"/>
  <c r="I968" i="1"/>
  <c r="J968" i="1"/>
  <c r="H969" i="1"/>
  <c r="I969" i="1"/>
  <c r="J969" i="1"/>
  <c r="H970" i="1"/>
  <c r="I970" i="1"/>
  <c r="J970" i="1"/>
  <c r="H971" i="1"/>
  <c r="I971" i="1"/>
  <c r="J971" i="1"/>
  <c r="H972" i="1"/>
  <c r="I972" i="1"/>
  <c r="J972" i="1"/>
  <c r="H973" i="1"/>
  <c r="I973" i="1"/>
  <c r="J973" i="1"/>
  <c r="H974" i="1"/>
  <c r="I974" i="1"/>
  <c r="J974" i="1"/>
  <c r="H975" i="1"/>
  <c r="I975" i="1"/>
  <c r="J975" i="1"/>
  <c r="H976" i="1"/>
  <c r="I976" i="1"/>
  <c r="J976" i="1"/>
  <c r="H977" i="1"/>
  <c r="I977" i="1"/>
  <c r="J977" i="1"/>
  <c r="H978" i="1"/>
  <c r="I978" i="1"/>
  <c r="J978" i="1"/>
  <c r="H979" i="1"/>
  <c r="I979" i="1"/>
  <c r="J979" i="1"/>
  <c r="H980" i="1"/>
  <c r="I980" i="1"/>
  <c r="J980" i="1"/>
  <c r="H981" i="1"/>
  <c r="I981" i="1"/>
  <c r="J981" i="1"/>
  <c r="H982" i="1"/>
  <c r="I982" i="1"/>
  <c r="J982" i="1"/>
  <c r="H983" i="1"/>
  <c r="I983" i="1"/>
  <c r="J983" i="1"/>
  <c r="H984" i="1"/>
  <c r="I984" i="1"/>
  <c r="J984" i="1"/>
  <c r="H985" i="1"/>
  <c r="I985" i="1"/>
  <c r="J985" i="1"/>
  <c r="H986" i="1"/>
  <c r="I986" i="1"/>
  <c r="J986" i="1"/>
  <c r="H987" i="1"/>
  <c r="I987" i="1"/>
  <c r="J987" i="1"/>
  <c r="H988" i="1"/>
  <c r="I988" i="1"/>
  <c r="J988" i="1"/>
  <c r="H989" i="1"/>
  <c r="I989" i="1"/>
  <c r="J989" i="1"/>
  <c r="H990" i="1"/>
  <c r="I990" i="1"/>
  <c r="J990" i="1"/>
  <c r="H991" i="1"/>
  <c r="I991" i="1"/>
  <c r="J991" i="1"/>
  <c r="H992" i="1"/>
  <c r="I992" i="1"/>
  <c r="J992" i="1"/>
  <c r="H993" i="1"/>
  <c r="I993" i="1"/>
  <c r="J993" i="1"/>
  <c r="H994" i="1"/>
  <c r="I994" i="1"/>
  <c r="J994" i="1"/>
  <c r="H995" i="1"/>
  <c r="I995" i="1"/>
  <c r="J995" i="1"/>
  <c r="H996" i="1"/>
  <c r="I996" i="1"/>
  <c r="J996" i="1"/>
  <c r="H997" i="1"/>
  <c r="I997" i="1"/>
  <c r="J997" i="1"/>
  <c r="H998" i="1"/>
  <c r="I998" i="1"/>
  <c r="J998" i="1"/>
  <c r="H999" i="1"/>
  <c r="I999" i="1"/>
  <c r="J999" i="1"/>
  <c r="H1000" i="1"/>
  <c r="I1000" i="1"/>
  <c r="J1000" i="1"/>
  <c r="H1001" i="1"/>
  <c r="I1001" i="1"/>
  <c r="J1001" i="1"/>
  <c r="H1002" i="1"/>
  <c r="I1002" i="1"/>
  <c r="J1002" i="1"/>
  <c r="H1003" i="1"/>
  <c r="I1003" i="1"/>
  <c r="J1003" i="1"/>
  <c r="H1004" i="1"/>
  <c r="I1004" i="1"/>
  <c r="J1004" i="1"/>
  <c r="H1005" i="1"/>
  <c r="I1005" i="1"/>
  <c r="J1005" i="1"/>
  <c r="H1006" i="1"/>
  <c r="I1006" i="1"/>
  <c r="J1006" i="1"/>
  <c r="H1007" i="1"/>
  <c r="I1007" i="1"/>
  <c r="J1007" i="1"/>
  <c r="H1008" i="1"/>
  <c r="I1008" i="1"/>
  <c r="J1008" i="1"/>
  <c r="H1009" i="1"/>
  <c r="I1009" i="1"/>
  <c r="J1009" i="1"/>
  <c r="H1010" i="1"/>
  <c r="I1010" i="1"/>
  <c r="J1010" i="1"/>
  <c r="H1011" i="1"/>
  <c r="I1011" i="1"/>
  <c r="J1011" i="1"/>
  <c r="H1012" i="1"/>
  <c r="I1012" i="1"/>
  <c r="J1012" i="1"/>
  <c r="H1013" i="1"/>
  <c r="I1013" i="1"/>
  <c r="J1013" i="1"/>
  <c r="H1014" i="1"/>
  <c r="I1014" i="1"/>
  <c r="J1014" i="1"/>
  <c r="H1015" i="1"/>
  <c r="I1015" i="1"/>
  <c r="J1015" i="1"/>
  <c r="H1016" i="1"/>
  <c r="I1016" i="1"/>
  <c r="J1016" i="1"/>
  <c r="H1017" i="1"/>
  <c r="I1017" i="1"/>
  <c r="J1017" i="1"/>
  <c r="H1018" i="1"/>
  <c r="I1018" i="1"/>
  <c r="J1018" i="1"/>
  <c r="H1019" i="1"/>
  <c r="I1019" i="1"/>
  <c r="J1019" i="1"/>
  <c r="H1020" i="1"/>
  <c r="I1020" i="1"/>
  <c r="J1020" i="1"/>
  <c r="H1021" i="1"/>
  <c r="I1021" i="1"/>
  <c r="J1021" i="1"/>
  <c r="H1022" i="1"/>
  <c r="I1022" i="1"/>
  <c r="J1022" i="1"/>
  <c r="H1023" i="1"/>
  <c r="I1023" i="1"/>
  <c r="J1023" i="1"/>
  <c r="H1024" i="1"/>
  <c r="I1024" i="1"/>
  <c r="J1024" i="1"/>
  <c r="H1025" i="1"/>
  <c r="I1025" i="1"/>
  <c r="J1025" i="1"/>
  <c r="H1026" i="1"/>
  <c r="I1026" i="1"/>
  <c r="J1026" i="1"/>
  <c r="H1027" i="1"/>
  <c r="I1027" i="1"/>
  <c r="J1027" i="1"/>
  <c r="H1028" i="1"/>
  <c r="I1028" i="1"/>
  <c r="J1028" i="1"/>
  <c r="H1029" i="1"/>
  <c r="I1029" i="1"/>
  <c r="J1029" i="1"/>
  <c r="H1030" i="1"/>
  <c r="I1030" i="1"/>
  <c r="J1030" i="1"/>
  <c r="H1031" i="1"/>
  <c r="I1031" i="1"/>
  <c r="J1031" i="1"/>
  <c r="H1032" i="1"/>
  <c r="I1032" i="1"/>
  <c r="J1032" i="1"/>
  <c r="H1033" i="1"/>
  <c r="I1033" i="1"/>
  <c r="J1033" i="1"/>
  <c r="H1034" i="1"/>
  <c r="I1034" i="1"/>
  <c r="J1034" i="1"/>
  <c r="H1035" i="1"/>
  <c r="I1035" i="1"/>
  <c r="J1035" i="1"/>
  <c r="H1036" i="1"/>
  <c r="I1036" i="1"/>
  <c r="J1036" i="1"/>
  <c r="H1037" i="1"/>
  <c r="I1037" i="1"/>
  <c r="J1037" i="1"/>
  <c r="H1038" i="1"/>
  <c r="I1038" i="1"/>
  <c r="J1038" i="1"/>
  <c r="H1039" i="1"/>
  <c r="I1039" i="1"/>
  <c r="J1039" i="1"/>
  <c r="H1040" i="1"/>
  <c r="I1040" i="1"/>
  <c r="J1040" i="1"/>
  <c r="H1041" i="1"/>
  <c r="I1041" i="1"/>
  <c r="J1041" i="1"/>
  <c r="H1042" i="1"/>
  <c r="I1042" i="1"/>
  <c r="J1042" i="1"/>
  <c r="H1043" i="1"/>
  <c r="I1043" i="1"/>
  <c r="J1043" i="1"/>
  <c r="H1044" i="1"/>
  <c r="I1044" i="1"/>
  <c r="J1044" i="1"/>
  <c r="H1045" i="1"/>
  <c r="I1045" i="1"/>
  <c r="J1045" i="1"/>
  <c r="H1046" i="1"/>
  <c r="I1046" i="1"/>
  <c r="J1046" i="1"/>
  <c r="H1047" i="1"/>
  <c r="I1047" i="1"/>
  <c r="J1047" i="1"/>
  <c r="H1048" i="1"/>
  <c r="I1048" i="1"/>
  <c r="J1048" i="1"/>
  <c r="H1049" i="1"/>
  <c r="I1049" i="1"/>
  <c r="J1049" i="1"/>
  <c r="H1050" i="1"/>
  <c r="I1050" i="1"/>
  <c r="J1050" i="1"/>
  <c r="H1051" i="1"/>
  <c r="I1051" i="1"/>
  <c r="J1051" i="1"/>
  <c r="H1052" i="1"/>
  <c r="I1052" i="1"/>
  <c r="J1052" i="1"/>
  <c r="H1053" i="1"/>
  <c r="I1053" i="1"/>
  <c r="J1053" i="1"/>
  <c r="H1054" i="1"/>
  <c r="I1054" i="1"/>
  <c r="J1054" i="1"/>
  <c r="H1055" i="1"/>
  <c r="I1055" i="1"/>
  <c r="J1055" i="1"/>
  <c r="H1056" i="1"/>
  <c r="I1056" i="1"/>
  <c r="J1056" i="1"/>
  <c r="H1057" i="1"/>
  <c r="I1057" i="1"/>
  <c r="J1057" i="1"/>
  <c r="H1058" i="1"/>
  <c r="I1058" i="1"/>
  <c r="J1058" i="1"/>
  <c r="H1059" i="1"/>
  <c r="I1059" i="1"/>
  <c r="J1059" i="1"/>
  <c r="H1060" i="1"/>
  <c r="I1060" i="1"/>
  <c r="J1060" i="1"/>
  <c r="H1061" i="1"/>
  <c r="I1061" i="1"/>
  <c r="J1061" i="1"/>
  <c r="H1062" i="1"/>
  <c r="I1062" i="1"/>
  <c r="J1062" i="1"/>
  <c r="H1063" i="1"/>
  <c r="I1063" i="1"/>
  <c r="J1063" i="1"/>
  <c r="H1064" i="1"/>
  <c r="I1064" i="1"/>
  <c r="J1064" i="1"/>
  <c r="H1065" i="1"/>
  <c r="I1065" i="1"/>
  <c r="J1065" i="1"/>
  <c r="H1066" i="1"/>
  <c r="I1066" i="1"/>
  <c r="J1066" i="1"/>
  <c r="H1067" i="1"/>
  <c r="I1067" i="1"/>
  <c r="J1067" i="1"/>
  <c r="H1068" i="1"/>
  <c r="I1068" i="1"/>
  <c r="J1068" i="1"/>
  <c r="H1069" i="1"/>
  <c r="I1069" i="1"/>
  <c r="J1069" i="1"/>
  <c r="H1070" i="1"/>
  <c r="I1070" i="1"/>
  <c r="J1070" i="1"/>
  <c r="H1071" i="1"/>
  <c r="I1071" i="1"/>
  <c r="J1071" i="1"/>
  <c r="H1072" i="1"/>
  <c r="I1072" i="1"/>
  <c r="J1072" i="1"/>
  <c r="H1073" i="1"/>
  <c r="I1073" i="1"/>
  <c r="J1073" i="1"/>
  <c r="H1074" i="1"/>
  <c r="I1074" i="1"/>
  <c r="J1074" i="1"/>
  <c r="H1075" i="1"/>
  <c r="I1075" i="1"/>
  <c r="J1075" i="1"/>
  <c r="H1076" i="1"/>
  <c r="I1076" i="1"/>
  <c r="J1076" i="1"/>
  <c r="H1077" i="1"/>
  <c r="I1077" i="1"/>
  <c r="J1077" i="1"/>
  <c r="H1078" i="1"/>
  <c r="I1078" i="1"/>
  <c r="J1078" i="1"/>
  <c r="H1079" i="1"/>
  <c r="I1079" i="1"/>
  <c r="J1079" i="1"/>
  <c r="H1080" i="1"/>
  <c r="I1080" i="1"/>
  <c r="J1080" i="1"/>
  <c r="H1081" i="1"/>
  <c r="I1081" i="1"/>
  <c r="J1081" i="1"/>
  <c r="H1082" i="1"/>
  <c r="I1082" i="1"/>
  <c r="J1082" i="1"/>
  <c r="H1083" i="1"/>
  <c r="I1083" i="1"/>
  <c r="J1083" i="1"/>
  <c r="H1084" i="1"/>
  <c r="I1084" i="1"/>
  <c r="J1084" i="1"/>
  <c r="H1085" i="1"/>
  <c r="I1085" i="1"/>
  <c r="J1085" i="1"/>
  <c r="H1086" i="1"/>
  <c r="I1086" i="1"/>
  <c r="J1086" i="1"/>
  <c r="H1087" i="1"/>
  <c r="I1087" i="1"/>
  <c r="J1087" i="1"/>
  <c r="H1088" i="1"/>
  <c r="I1088" i="1"/>
  <c r="J1088" i="1"/>
  <c r="H1089" i="1"/>
  <c r="I1089" i="1"/>
  <c r="J1089" i="1"/>
  <c r="H1090" i="1"/>
  <c r="I1090" i="1"/>
  <c r="J1090" i="1"/>
  <c r="H1091" i="1"/>
  <c r="I1091" i="1"/>
  <c r="J1091" i="1"/>
  <c r="H1092" i="1"/>
  <c r="I1092" i="1"/>
  <c r="J1092" i="1"/>
  <c r="H1093" i="1"/>
  <c r="I1093" i="1"/>
  <c r="J1093" i="1"/>
  <c r="H1094" i="1"/>
  <c r="I1094" i="1"/>
  <c r="J1094" i="1"/>
  <c r="H1095" i="1"/>
  <c r="I1095" i="1"/>
  <c r="J1095" i="1"/>
  <c r="H1096" i="1"/>
  <c r="I1096" i="1"/>
  <c r="J1096" i="1"/>
  <c r="H1097" i="1"/>
  <c r="I1097" i="1"/>
  <c r="J1097" i="1"/>
  <c r="H1098" i="1"/>
  <c r="I1098" i="1"/>
  <c r="J1098" i="1"/>
  <c r="H1099" i="1"/>
  <c r="I1099" i="1"/>
  <c r="J1099" i="1"/>
  <c r="H1100" i="1"/>
  <c r="I1100" i="1"/>
  <c r="J1100" i="1"/>
  <c r="H1101" i="1"/>
  <c r="I1101" i="1"/>
  <c r="J1101" i="1"/>
  <c r="H1102" i="1"/>
  <c r="I1102" i="1"/>
  <c r="J1102" i="1"/>
  <c r="H1103" i="1"/>
  <c r="I1103" i="1"/>
  <c r="J1103" i="1"/>
  <c r="H1104" i="1"/>
  <c r="I1104" i="1"/>
  <c r="J1104" i="1"/>
  <c r="H1105" i="1"/>
  <c r="I1105" i="1"/>
  <c r="J1105" i="1"/>
  <c r="H1106" i="1"/>
  <c r="I1106" i="1"/>
  <c r="J1106" i="1"/>
  <c r="H1107" i="1"/>
  <c r="I1107" i="1"/>
  <c r="J1107" i="1"/>
  <c r="H1108" i="1"/>
  <c r="I1108" i="1"/>
  <c r="J1108" i="1"/>
  <c r="H1109" i="1"/>
  <c r="I1109" i="1"/>
  <c r="J1109" i="1"/>
  <c r="H1110" i="1"/>
  <c r="I1110" i="1"/>
  <c r="J1110" i="1"/>
  <c r="H1111" i="1"/>
  <c r="I1111" i="1"/>
  <c r="J1111" i="1"/>
  <c r="H1112" i="1"/>
  <c r="I1112" i="1"/>
  <c r="J1112" i="1"/>
  <c r="H1113" i="1"/>
  <c r="I1113" i="1"/>
  <c r="J1113" i="1"/>
  <c r="H1114" i="1"/>
  <c r="I1114" i="1"/>
  <c r="J1114" i="1"/>
  <c r="H1115" i="1"/>
  <c r="I1115" i="1"/>
  <c r="J1115" i="1"/>
  <c r="H1116" i="1"/>
  <c r="I1116" i="1"/>
  <c r="J1116" i="1"/>
  <c r="H1117" i="1"/>
  <c r="I1117" i="1"/>
  <c r="J1117" i="1"/>
  <c r="H1118" i="1"/>
  <c r="I1118" i="1"/>
  <c r="J1118" i="1"/>
  <c r="H1119" i="1"/>
  <c r="I1119" i="1"/>
  <c r="J1119" i="1"/>
  <c r="H1120" i="1"/>
  <c r="I1120" i="1"/>
  <c r="J1120" i="1"/>
  <c r="H1121" i="1"/>
  <c r="I1121" i="1"/>
  <c r="J1121" i="1"/>
  <c r="H1122" i="1"/>
  <c r="I1122" i="1"/>
  <c r="J1122" i="1"/>
  <c r="H1123" i="1"/>
  <c r="I1123" i="1"/>
  <c r="J1123" i="1"/>
  <c r="H1124" i="1"/>
  <c r="I1124" i="1"/>
  <c r="J1124" i="1"/>
  <c r="H1125" i="1"/>
  <c r="I1125" i="1"/>
  <c r="J1125" i="1"/>
  <c r="H1126" i="1"/>
  <c r="I1126" i="1"/>
  <c r="J1126" i="1"/>
  <c r="H1127" i="1"/>
  <c r="I1127" i="1"/>
  <c r="J1127" i="1"/>
  <c r="H1128" i="1"/>
  <c r="I1128" i="1"/>
  <c r="J1128" i="1"/>
  <c r="H1129" i="1"/>
  <c r="I1129" i="1"/>
  <c r="J1129" i="1"/>
  <c r="H1130" i="1"/>
  <c r="I1130" i="1"/>
  <c r="J1130" i="1"/>
  <c r="H1131" i="1"/>
  <c r="I1131" i="1"/>
  <c r="J1131" i="1"/>
  <c r="H1132" i="1"/>
  <c r="I1132" i="1"/>
  <c r="J1132" i="1"/>
  <c r="H1133" i="1"/>
  <c r="I1133" i="1"/>
  <c r="J1133" i="1"/>
  <c r="H1134" i="1"/>
  <c r="I1134" i="1"/>
  <c r="J1134" i="1"/>
  <c r="H1135" i="1"/>
  <c r="I1135" i="1"/>
  <c r="J1135" i="1"/>
  <c r="H1136" i="1"/>
  <c r="I1136" i="1"/>
  <c r="J1136" i="1"/>
  <c r="H1137" i="1"/>
  <c r="I1137" i="1"/>
  <c r="J1137" i="1"/>
  <c r="H1138" i="1"/>
  <c r="I1138" i="1"/>
  <c r="J1138" i="1"/>
  <c r="H1139" i="1"/>
  <c r="I1139" i="1"/>
  <c r="J1139" i="1"/>
  <c r="H1140" i="1"/>
  <c r="I1140" i="1"/>
  <c r="J1140" i="1"/>
  <c r="H1141" i="1"/>
  <c r="I1141" i="1"/>
  <c r="J1141" i="1"/>
  <c r="H1142" i="1"/>
  <c r="I1142" i="1"/>
  <c r="J1142" i="1"/>
  <c r="H1143" i="1"/>
  <c r="I1143" i="1"/>
  <c r="J1143" i="1"/>
  <c r="H1144" i="1"/>
  <c r="I1144" i="1"/>
  <c r="J1144" i="1"/>
  <c r="H1145" i="1"/>
  <c r="I1145" i="1"/>
  <c r="J1145" i="1"/>
  <c r="H1146" i="1"/>
  <c r="I1146" i="1"/>
  <c r="J1146" i="1"/>
  <c r="H1147" i="1"/>
  <c r="I1147" i="1"/>
  <c r="J1147" i="1"/>
  <c r="H1148" i="1"/>
  <c r="I1148" i="1"/>
  <c r="J1148" i="1"/>
  <c r="H1149" i="1"/>
  <c r="I1149" i="1"/>
  <c r="J1149" i="1"/>
  <c r="H1150" i="1"/>
  <c r="I1150" i="1"/>
  <c r="J1150" i="1"/>
  <c r="H1151" i="1"/>
  <c r="I1151" i="1"/>
  <c r="J1151" i="1"/>
  <c r="H1152" i="1"/>
  <c r="I1152" i="1"/>
  <c r="J1152" i="1"/>
  <c r="H1153" i="1"/>
  <c r="I1153" i="1"/>
  <c r="J1153" i="1"/>
  <c r="H1154" i="1"/>
  <c r="I1154" i="1"/>
  <c r="J1154" i="1"/>
  <c r="H1155" i="1"/>
  <c r="I1155" i="1"/>
  <c r="J1155" i="1"/>
  <c r="H1156" i="1"/>
  <c r="I1156" i="1"/>
  <c r="J1156" i="1"/>
  <c r="H1157" i="1"/>
  <c r="I1157" i="1"/>
  <c r="J1157" i="1"/>
  <c r="H1158" i="1"/>
  <c r="I1158" i="1"/>
  <c r="J1158" i="1"/>
  <c r="H1159" i="1"/>
  <c r="I1159" i="1"/>
  <c r="J1159" i="1"/>
  <c r="H1160" i="1"/>
  <c r="I1160" i="1"/>
  <c r="J1160" i="1"/>
  <c r="H1161" i="1"/>
  <c r="I1161" i="1"/>
  <c r="J1161" i="1"/>
  <c r="H1162" i="1"/>
  <c r="I1162" i="1"/>
  <c r="J1162" i="1"/>
  <c r="H1163" i="1"/>
  <c r="I1163" i="1"/>
  <c r="J1163" i="1"/>
  <c r="H1164" i="1"/>
  <c r="I1164" i="1"/>
  <c r="J1164" i="1"/>
  <c r="H1165" i="1"/>
  <c r="I1165" i="1"/>
  <c r="J1165" i="1"/>
  <c r="H1166" i="1"/>
  <c r="I1166" i="1"/>
  <c r="J1166" i="1"/>
  <c r="H1167" i="1"/>
  <c r="I1167" i="1"/>
  <c r="J1167" i="1"/>
  <c r="H1168" i="1"/>
  <c r="I1168" i="1"/>
  <c r="J1168" i="1"/>
  <c r="H1169" i="1"/>
  <c r="I1169" i="1"/>
  <c r="J1169" i="1"/>
  <c r="H1170" i="1"/>
  <c r="I1170" i="1"/>
  <c r="J1170" i="1"/>
  <c r="H1171" i="1"/>
  <c r="I1171" i="1"/>
  <c r="J1171" i="1"/>
  <c r="H1172" i="1"/>
  <c r="I1172" i="1"/>
  <c r="J1172" i="1"/>
  <c r="H1173" i="1"/>
  <c r="I1173" i="1"/>
  <c r="J1173" i="1"/>
  <c r="H1174" i="1"/>
  <c r="I1174" i="1"/>
  <c r="J1174" i="1"/>
  <c r="H1175" i="1"/>
  <c r="I1175" i="1"/>
  <c r="J1175" i="1"/>
  <c r="H1176" i="1"/>
  <c r="I1176" i="1"/>
  <c r="J1176" i="1"/>
  <c r="H1177" i="1"/>
  <c r="I1177" i="1"/>
  <c r="J1177" i="1"/>
  <c r="H1178" i="1"/>
  <c r="I1178" i="1"/>
  <c r="J1178" i="1"/>
  <c r="H1179" i="1"/>
  <c r="I1179" i="1"/>
  <c r="J1179" i="1"/>
  <c r="H1180" i="1"/>
  <c r="I1180" i="1"/>
  <c r="J1180" i="1"/>
  <c r="H1181" i="1"/>
  <c r="I1181" i="1"/>
  <c r="J1181" i="1"/>
  <c r="H1182" i="1"/>
  <c r="I1182" i="1"/>
  <c r="J1182" i="1"/>
  <c r="H1183" i="1"/>
  <c r="I1183" i="1"/>
  <c r="J1183" i="1"/>
  <c r="H1184" i="1"/>
  <c r="I1184" i="1"/>
  <c r="J1184" i="1"/>
  <c r="H1185" i="1"/>
  <c r="I1185" i="1"/>
  <c r="J1185" i="1"/>
  <c r="H1186" i="1"/>
  <c r="I1186" i="1"/>
  <c r="J1186" i="1"/>
  <c r="H1187" i="1"/>
  <c r="I1187" i="1"/>
  <c r="J1187" i="1"/>
  <c r="H1188" i="1"/>
  <c r="I1188" i="1"/>
  <c r="J1188" i="1"/>
  <c r="H1189" i="1"/>
  <c r="I1189" i="1"/>
  <c r="J1189" i="1"/>
  <c r="H1190" i="1"/>
  <c r="I1190" i="1"/>
  <c r="J1190" i="1"/>
  <c r="H1191" i="1"/>
  <c r="I1191" i="1"/>
  <c r="J1191" i="1"/>
  <c r="H1192" i="1"/>
  <c r="I1192" i="1"/>
  <c r="J1192" i="1"/>
  <c r="H1193" i="1"/>
  <c r="I1193" i="1"/>
  <c r="J1193" i="1"/>
  <c r="H1194" i="1"/>
  <c r="I1194" i="1"/>
  <c r="J1194" i="1"/>
  <c r="H1195" i="1"/>
  <c r="I1195" i="1"/>
  <c r="J1195" i="1"/>
  <c r="H1196" i="1"/>
  <c r="I1196" i="1"/>
  <c r="J1196" i="1"/>
  <c r="H1197" i="1"/>
  <c r="I1197" i="1"/>
  <c r="J1197" i="1"/>
  <c r="H1198" i="1"/>
  <c r="I1198" i="1"/>
  <c r="J1198" i="1"/>
  <c r="H1199" i="1"/>
  <c r="I1199" i="1"/>
  <c r="J1199" i="1"/>
  <c r="H1200" i="1"/>
  <c r="I1200" i="1"/>
  <c r="J1200" i="1"/>
  <c r="H1201" i="1"/>
  <c r="I1201" i="1"/>
  <c r="J1201" i="1"/>
  <c r="H1202" i="1"/>
  <c r="I1202" i="1"/>
  <c r="J1202" i="1"/>
  <c r="H1203" i="1"/>
  <c r="I1203" i="1"/>
  <c r="J1203" i="1"/>
  <c r="H1204" i="1"/>
  <c r="I1204" i="1"/>
  <c r="J1204" i="1"/>
  <c r="H1205" i="1"/>
  <c r="I1205" i="1"/>
  <c r="J1205" i="1"/>
  <c r="H1206" i="1"/>
  <c r="I1206" i="1"/>
  <c r="J1206" i="1"/>
  <c r="H1207" i="1"/>
  <c r="I1207" i="1"/>
  <c r="J1207" i="1"/>
  <c r="H1208" i="1"/>
  <c r="I1208" i="1"/>
  <c r="J1208" i="1"/>
  <c r="H1209" i="1"/>
  <c r="I1209" i="1"/>
  <c r="J1209" i="1"/>
  <c r="H1210" i="1"/>
  <c r="I1210" i="1"/>
  <c r="J1210" i="1"/>
  <c r="H1211" i="1"/>
  <c r="I1211" i="1"/>
  <c r="J1211" i="1"/>
  <c r="H1212" i="1"/>
  <c r="I1212" i="1"/>
  <c r="J1212" i="1"/>
  <c r="H1213" i="1"/>
  <c r="I1213" i="1"/>
  <c r="J1213" i="1"/>
  <c r="H1214" i="1"/>
  <c r="I1214" i="1"/>
  <c r="J1214" i="1"/>
  <c r="H1215" i="1"/>
  <c r="I1215" i="1"/>
  <c r="J1215" i="1"/>
  <c r="H1216" i="1"/>
  <c r="I1216" i="1"/>
  <c r="J1216" i="1"/>
  <c r="H1217" i="1"/>
  <c r="I1217" i="1"/>
  <c r="J1217" i="1"/>
  <c r="H1218" i="1"/>
  <c r="I1218" i="1"/>
  <c r="J1218" i="1"/>
  <c r="H1219" i="1"/>
  <c r="I1219" i="1"/>
  <c r="J1219" i="1"/>
  <c r="H1220" i="1"/>
  <c r="I1220" i="1"/>
  <c r="J1220" i="1"/>
  <c r="H1221" i="1"/>
  <c r="I1221" i="1"/>
  <c r="J1221" i="1"/>
  <c r="H1222" i="1"/>
  <c r="I1222" i="1"/>
  <c r="J1222" i="1"/>
  <c r="H1223" i="1"/>
  <c r="I1223" i="1"/>
  <c r="J1223" i="1"/>
  <c r="H1224" i="1"/>
  <c r="I1224" i="1"/>
  <c r="J1224" i="1"/>
  <c r="H1225" i="1"/>
  <c r="I1225" i="1"/>
  <c r="J1225" i="1"/>
  <c r="H1226" i="1"/>
  <c r="I1226" i="1"/>
  <c r="J1226" i="1"/>
  <c r="H1227" i="1"/>
  <c r="I1227" i="1"/>
  <c r="J1227" i="1"/>
  <c r="H1228" i="1"/>
  <c r="I1228" i="1"/>
  <c r="J1228" i="1"/>
  <c r="H1229" i="1"/>
  <c r="I1229" i="1"/>
  <c r="J1229" i="1"/>
  <c r="H1230" i="1"/>
  <c r="I1230" i="1"/>
  <c r="J1230" i="1"/>
  <c r="H1231" i="1"/>
  <c r="I1231" i="1"/>
  <c r="J1231" i="1"/>
  <c r="H1232" i="1"/>
  <c r="I1232" i="1"/>
  <c r="J1232" i="1"/>
  <c r="H1233" i="1"/>
  <c r="I1233" i="1"/>
  <c r="J1233" i="1"/>
  <c r="H1234" i="1"/>
  <c r="I1234" i="1"/>
  <c r="J1234" i="1"/>
  <c r="H1235" i="1"/>
  <c r="I1235" i="1"/>
  <c r="J1235" i="1"/>
  <c r="H1236" i="1"/>
  <c r="I1236" i="1"/>
  <c r="J1236" i="1"/>
  <c r="H1237" i="1"/>
  <c r="I1237" i="1"/>
  <c r="J1237" i="1"/>
  <c r="H1238" i="1"/>
  <c r="I1238" i="1"/>
  <c r="J1238" i="1"/>
  <c r="H1239" i="1"/>
  <c r="I1239" i="1"/>
  <c r="J1239" i="1"/>
  <c r="H1240" i="1"/>
  <c r="I1240" i="1"/>
  <c r="J1240" i="1"/>
  <c r="H1241" i="1"/>
  <c r="I1241" i="1"/>
  <c r="J1241" i="1"/>
  <c r="H1242" i="1"/>
  <c r="I1242" i="1"/>
  <c r="J1242" i="1"/>
  <c r="H1243" i="1"/>
  <c r="I1243" i="1"/>
  <c r="J1243" i="1"/>
  <c r="H1244" i="1"/>
  <c r="I1244" i="1"/>
  <c r="J1244" i="1"/>
  <c r="H1245" i="1"/>
  <c r="I1245" i="1"/>
  <c r="J1245" i="1"/>
  <c r="H1246" i="1"/>
  <c r="I1246" i="1"/>
  <c r="J1246" i="1"/>
  <c r="H1247" i="1"/>
  <c r="I1247" i="1"/>
  <c r="J1247" i="1"/>
  <c r="H1248" i="1"/>
  <c r="I1248" i="1"/>
  <c r="J1248" i="1"/>
  <c r="H1249" i="1"/>
  <c r="I1249" i="1"/>
  <c r="J1249" i="1"/>
  <c r="H1250" i="1"/>
  <c r="I1250" i="1"/>
  <c r="J1250" i="1"/>
  <c r="H1251" i="1"/>
  <c r="I1251" i="1"/>
  <c r="J1251" i="1"/>
  <c r="H1252" i="1"/>
  <c r="I1252" i="1"/>
  <c r="J1252" i="1"/>
  <c r="H1253" i="1"/>
  <c r="I1253" i="1"/>
  <c r="J1253" i="1"/>
  <c r="H1254" i="1"/>
  <c r="I1254" i="1"/>
  <c r="J1254" i="1"/>
  <c r="H1255" i="1"/>
  <c r="I1255" i="1"/>
  <c r="J1255" i="1"/>
  <c r="H1256" i="1"/>
  <c r="I1256" i="1"/>
  <c r="J1256" i="1"/>
  <c r="H1257" i="1"/>
  <c r="I1257" i="1"/>
  <c r="J1257" i="1"/>
  <c r="H1258" i="1"/>
  <c r="I1258" i="1"/>
  <c r="J1258" i="1"/>
  <c r="H1259" i="1"/>
  <c r="I1259" i="1"/>
  <c r="J1259" i="1"/>
  <c r="H1260" i="1"/>
  <c r="I1260" i="1"/>
  <c r="J1260" i="1"/>
  <c r="I4" i="1"/>
  <c r="J4" i="1"/>
  <c r="S4" i="1" l="1"/>
  <c r="U4" i="1" s="1"/>
  <c r="R4" i="1"/>
  <c r="T4" i="1" s="1"/>
  <c r="R5" i="1"/>
  <c r="T5" i="1" s="1"/>
  <c r="S5" i="1"/>
  <c r="S6" i="1"/>
  <c r="U6" i="1" s="1"/>
  <c r="R6" i="1"/>
  <c r="T6" i="1" s="1"/>
  <c r="U5" i="1" l="1"/>
  <c r="S7" i="1"/>
  <c r="R7" i="1"/>
  <c r="T7" i="1" s="1"/>
  <c r="U7" i="1" l="1"/>
  <c r="S8" i="1"/>
  <c r="U8" i="1" s="1"/>
  <c r="R8" i="1"/>
  <c r="T8" i="1" s="1"/>
  <c r="S9" i="1" l="1"/>
  <c r="R9" i="1"/>
  <c r="T9" i="1" s="1"/>
  <c r="S10" i="1" l="1"/>
  <c r="R10" i="1"/>
  <c r="T10" i="1" s="1"/>
  <c r="U9" i="1"/>
  <c r="U10" i="1" l="1"/>
  <c r="S11" i="1"/>
  <c r="R11" i="1"/>
  <c r="T11" i="1" s="1"/>
  <c r="S12" i="1" l="1"/>
  <c r="U12" i="1" s="1"/>
  <c r="R12" i="1"/>
  <c r="T12" i="1" s="1"/>
  <c r="U11" i="1"/>
  <c r="S13" i="1" l="1"/>
  <c r="R13" i="1"/>
  <c r="T13" i="1" s="1"/>
  <c r="U13" i="1" l="1"/>
  <c r="S14" i="1"/>
  <c r="U14" i="1" s="1"/>
  <c r="R14" i="1"/>
  <c r="T14" i="1" s="1"/>
  <c r="S15" i="1" l="1"/>
  <c r="R15" i="1"/>
  <c r="T15" i="1" s="1"/>
  <c r="S16" i="1" l="1"/>
  <c r="U16" i="1" s="1"/>
  <c r="R16" i="1"/>
  <c r="T16" i="1" s="1"/>
  <c r="U15" i="1"/>
  <c r="S17" i="1" l="1"/>
  <c r="U17" i="1" s="1"/>
  <c r="R17" i="1"/>
  <c r="T17" i="1" s="1"/>
  <c r="S18" i="1" l="1"/>
  <c r="U18" i="1" s="1"/>
  <c r="R18" i="1"/>
  <c r="T18" i="1" s="1"/>
  <c r="S19" i="1" l="1"/>
  <c r="U19" i="1" s="1"/>
  <c r="R19" i="1"/>
  <c r="T19" i="1" s="1"/>
  <c r="S20" i="1" l="1"/>
  <c r="U20" i="1" s="1"/>
  <c r="R20" i="1"/>
  <c r="T20" i="1" s="1"/>
  <c r="R21" i="1" l="1"/>
  <c r="T21" i="1" s="1"/>
  <c r="S21" i="1"/>
  <c r="U21" i="1" s="1"/>
  <c r="S22" i="1" l="1"/>
  <c r="U22" i="1" s="1"/>
  <c r="R22" i="1"/>
  <c r="T22" i="1" s="1"/>
  <c r="S23" i="1" l="1"/>
  <c r="U23" i="1" s="1"/>
  <c r="R23" i="1"/>
  <c r="T23" i="1" s="1"/>
  <c r="S24" i="1" l="1"/>
  <c r="U24" i="1" s="1"/>
  <c r="R24" i="1"/>
  <c r="T24" i="1" s="1"/>
  <c r="S25" i="1" l="1"/>
  <c r="U25" i="1" s="1"/>
  <c r="R25" i="1"/>
  <c r="T25" i="1" s="1"/>
  <c r="S26" i="1" l="1"/>
  <c r="U26" i="1" s="1"/>
  <c r="R26" i="1"/>
  <c r="T26" i="1" s="1"/>
  <c r="S27" i="1" l="1"/>
  <c r="U27" i="1" s="1"/>
  <c r="R27" i="1"/>
  <c r="T27" i="1" s="1"/>
  <c r="S28" i="1" l="1"/>
  <c r="U28" i="1" s="1"/>
  <c r="R28" i="1"/>
  <c r="T28" i="1" s="1"/>
  <c r="S29" i="1" l="1"/>
  <c r="U29" i="1" s="1"/>
  <c r="R29" i="1"/>
  <c r="T29" i="1" s="1"/>
  <c r="S30" i="1" l="1"/>
  <c r="U30" i="1" s="1"/>
  <c r="R30" i="1"/>
  <c r="T30" i="1" s="1"/>
  <c r="S31" i="1" l="1"/>
  <c r="U31" i="1" s="1"/>
  <c r="R31" i="1"/>
  <c r="T31" i="1" s="1"/>
  <c r="R32" i="1" l="1"/>
  <c r="T32" i="1" s="1"/>
  <c r="S32" i="1"/>
  <c r="U32" i="1" s="1"/>
  <c r="S33" i="1" l="1"/>
  <c r="U33" i="1" s="1"/>
  <c r="R33" i="1"/>
  <c r="T33" i="1" s="1"/>
  <c r="S34" i="1" l="1"/>
  <c r="U34" i="1" s="1"/>
  <c r="R34" i="1"/>
  <c r="T34" i="1" s="1"/>
  <c r="S35" i="1" l="1"/>
  <c r="U35" i="1" s="1"/>
  <c r="R35" i="1"/>
  <c r="T35" i="1" s="1"/>
  <c r="R36" i="1" l="1"/>
  <c r="T36" i="1" s="1"/>
  <c r="S36" i="1"/>
  <c r="U36" i="1" s="1"/>
  <c r="S37" i="1" l="1"/>
  <c r="U37" i="1" s="1"/>
  <c r="R37" i="1"/>
  <c r="T37" i="1" s="1"/>
  <c r="S38" i="1" l="1"/>
  <c r="U38" i="1" s="1"/>
  <c r="R38" i="1"/>
  <c r="T38" i="1" s="1"/>
  <c r="S39" i="1" l="1"/>
  <c r="U39" i="1" s="1"/>
  <c r="R39" i="1"/>
  <c r="T39" i="1" s="1"/>
  <c r="S40" i="1" l="1"/>
  <c r="U40" i="1" s="1"/>
  <c r="R40" i="1"/>
  <c r="T40" i="1" s="1"/>
  <c r="S41" i="1" l="1"/>
  <c r="U41" i="1" s="1"/>
  <c r="R41" i="1"/>
  <c r="T41" i="1" s="1"/>
  <c r="S42" i="1" l="1"/>
  <c r="U42" i="1" s="1"/>
  <c r="R42" i="1"/>
  <c r="T42" i="1" s="1"/>
  <c r="S43" i="1" l="1"/>
  <c r="U43" i="1" s="1"/>
  <c r="R43" i="1"/>
  <c r="T43" i="1" s="1"/>
  <c r="S44" i="1" l="1"/>
  <c r="U44" i="1" s="1"/>
  <c r="R44" i="1"/>
  <c r="T44" i="1" s="1"/>
  <c r="S45" i="1" l="1"/>
  <c r="U45" i="1" s="1"/>
  <c r="R45" i="1"/>
  <c r="T45" i="1" s="1"/>
  <c r="S46" i="1" l="1"/>
  <c r="U46" i="1" s="1"/>
  <c r="R46" i="1"/>
  <c r="T46" i="1" s="1"/>
  <c r="S47" i="1" l="1"/>
  <c r="U47" i="1" s="1"/>
  <c r="R47" i="1"/>
  <c r="T47" i="1" s="1"/>
  <c r="S48" i="1" l="1"/>
  <c r="U48" i="1" s="1"/>
  <c r="R48" i="1"/>
  <c r="T48" i="1" s="1"/>
  <c r="S49" i="1" l="1"/>
  <c r="U49" i="1" s="1"/>
  <c r="R49" i="1"/>
  <c r="T49" i="1" s="1"/>
  <c r="S50" i="1" l="1"/>
  <c r="U50" i="1" s="1"/>
  <c r="R50" i="1"/>
  <c r="T50" i="1" s="1"/>
  <c r="R51" i="1" l="1"/>
  <c r="T51" i="1" s="1"/>
  <c r="S51" i="1"/>
  <c r="U51" i="1" s="1"/>
  <c r="S52" i="1" l="1"/>
  <c r="U52" i="1" s="1"/>
  <c r="R52" i="1"/>
  <c r="T52" i="1" s="1"/>
  <c r="S53" i="1" l="1"/>
  <c r="U53" i="1" s="1"/>
  <c r="R53" i="1"/>
  <c r="T53" i="1" s="1"/>
  <c r="S54" i="1" l="1"/>
  <c r="U54" i="1" s="1"/>
  <c r="R54" i="1"/>
  <c r="T54" i="1" s="1"/>
  <c r="S55" i="1" l="1"/>
  <c r="U55" i="1" s="1"/>
  <c r="R55" i="1"/>
  <c r="T55" i="1" s="1"/>
  <c r="S56" i="1" l="1"/>
  <c r="U56" i="1" s="1"/>
  <c r="R56" i="1"/>
  <c r="T56" i="1" s="1"/>
  <c r="S57" i="1" l="1"/>
  <c r="U57" i="1" s="1"/>
  <c r="R57" i="1"/>
  <c r="T57" i="1" s="1"/>
  <c r="S58" i="1" l="1"/>
  <c r="U58" i="1" s="1"/>
  <c r="R58" i="1"/>
  <c r="T58" i="1" s="1"/>
  <c r="R59" i="1" l="1"/>
  <c r="T59" i="1" s="1"/>
  <c r="S59" i="1"/>
  <c r="U59" i="1" s="1"/>
  <c r="S60" i="1" l="1"/>
  <c r="U60" i="1" s="1"/>
  <c r="R60" i="1"/>
  <c r="T60" i="1" s="1"/>
  <c r="S61" i="1" l="1"/>
  <c r="U61" i="1" s="1"/>
  <c r="R61" i="1"/>
  <c r="T61" i="1" s="1"/>
  <c r="S62" i="1" l="1"/>
  <c r="U62" i="1" s="1"/>
  <c r="R62" i="1"/>
  <c r="T62" i="1" s="1"/>
  <c r="S63" i="1" l="1"/>
  <c r="U63" i="1" s="1"/>
  <c r="R63" i="1"/>
  <c r="T63" i="1" s="1"/>
  <c r="S64" i="1" l="1"/>
  <c r="U64" i="1" s="1"/>
  <c r="R64" i="1"/>
  <c r="T64" i="1" s="1"/>
  <c r="S65" i="1" l="1"/>
  <c r="U65" i="1" s="1"/>
  <c r="R65" i="1"/>
  <c r="T65" i="1" s="1"/>
  <c r="S66" i="1" l="1"/>
  <c r="U66" i="1" s="1"/>
  <c r="R66" i="1"/>
  <c r="T66" i="1" s="1"/>
  <c r="S67" i="1" l="1"/>
  <c r="U67" i="1" s="1"/>
  <c r="R67" i="1"/>
  <c r="T67" i="1" s="1"/>
  <c r="S68" i="1" l="1"/>
  <c r="U68" i="1" s="1"/>
  <c r="R68" i="1"/>
  <c r="T68" i="1" s="1"/>
  <c r="S69" i="1" l="1"/>
  <c r="U69" i="1" s="1"/>
  <c r="R69" i="1"/>
  <c r="T69" i="1" s="1"/>
  <c r="R70" i="1" l="1"/>
  <c r="T70" i="1" s="1"/>
  <c r="S70" i="1"/>
  <c r="U70" i="1" s="1"/>
  <c r="S71" i="1" l="1"/>
  <c r="U71" i="1" s="1"/>
  <c r="R71" i="1"/>
  <c r="T71" i="1" s="1"/>
  <c r="S72" i="1" l="1"/>
  <c r="U72" i="1" s="1"/>
  <c r="R72" i="1"/>
  <c r="T72" i="1" s="1"/>
  <c r="S73" i="1" l="1"/>
  <c r="U73" i="1" s="1"/>
  <c r="R73" i="1"/>
  <c r="T73" i="1" s="1"/>
  <c r="R74" i="1" l="1"/>
  <c r="T74" i="1" s="1"/>
  <c r="S74" i="1"/>
  <c r="U74" i="1" s="1"/>
  <c r="S75" i="1" l="1"/>
  <c r="U75" i="1" s="1"/>
  <c r="R75" i="1"/>
  <c r="T75" i="1" s="1"/>
  <c r="S76" i="1" l="1"/>
  <c r="U76" i="1" s="1"/>
  <c r="R76" i="1"/>
  <c r="T76" i="1" s="1"/>
  <c r="S77" i="1" l="1"/>
  <c r="U77" i="1" s="1"/>
  <c r="R77" i="1"/>
  <c r="T77" i="1" s="1"/>
  <c r="S78" i="1" l="1"/>
  <c r="U78" i="1" s="1"/>
  <c r="R78" i="1"/>
  <c r="T78" i="1" s="1"/>
  <c r="S79" i="1" l="1"/>
  <c r="U79" i="1" s="1"/>
  <c r="R79" i="1"/>
  <c r="T79" i="1" s="1"/>
  <c r="S80" i="1" l="1"/>
  <c r="U80" i="1" s="1"/>
  <c r="R80" i="1"/>
  <c r="T80" i="1" s="1"/>
  <c r="S81" i="1" l="1"/>
  <c r="U81" i="1" s="1"/>
  <c r="R81" i="1"/>
  <c r="T81" i="1" s="1"/>
  <c r="R82" i="1" l="1"/>
  <c r="T82" i="1" s="1"/>
  <c r="S82" i="1"/>
  <c r="U82" i="1" s="1"/>
  <c r="S83" i="1" l="1"/>
  <c r="U83" i="1" s="1"/>
  <c r="R83" i="1"/>
  <c r="T83" i="1" s="1"/>
  <c r="S84" i="1" l="1"/>
  <c r="U84" i="1" s="1"/>
  <c r="R84" i="1"/>
  <c r="T84" i="1" s="1"/>
  <c r="S85" i="1" l="1"/>
  <c r="U85" i="1" s="1"/>
  <c r="R85" i="1"/>
  <c r="T85" i="1" s="1"/>
  <c r="S86" i="1" l="1"/>
  <c r="U86" i="1" s="1"/>
  <c r="R86" i="1"/>
  <c r="T86" i="1" s="1"/>
  <c r="S87" i="1" l="1"/>
  <c r="U87" i="1" s="1"/>
  <c r="R87" i="1"/>
  <c r="T87" i="1" s="1"/>
  <c r="S88" i="1" l="1"/>
  <c r="U88" i="1" s="1"/>
  <c r="R88" i="1"/>
  <c r="T88" i="1" s="1"/>
  <c r="S89" i="1" l="1"/>
  <c r="U89" i="1" s="1"/>
  <c r="R89" i="1"/>
  <c r="T89" i="1" s="1"/>
  <c r="S90" i="1" l="1"/>
  <c r="U90" i="1" s="1"/>
  <c r="R90" i="1"/>
  <c r="T90" i="1" s="1"/>
  <c r="S91" i="1" l="1"/>
  <c r="U91" i="1" s="1"/>
  <c r="R91" i="1"/>
  <c r="T91" i="1" s="1"/>
  <c r="S92" i="1" l="1"/>
  <c r="U92" i="1" s="1"/>
  <c r="R92" i="1"/>
  <c r="T92" i="1" s="1"/>
  <c r="S93" i="1" l="1"/>
  <c r="U93" i="1" s="1"/>
  <c r="R93" i="1"/>
  <c r="T93" i="1" s="1"/>
  <c r="S94" i="1" l="1"/>
  <c r="U94" i="1" s="1"/>
  <c r="R94" i="1"/>
  <c r="T94" i="1" s="1"/>
  <c r="S95" i="1" l="1"/>
  <c r="U95" i="1" s="1"/>
  <c r="R95" i="1"/>
  <c r="T95" i="1" s="1"/>
  <c r="S96" i="1" l="1"/>
  <c r="U96" i="1" s="1"/>
  <c r="R96" i="1"/>
  <c r="T96" i="1" s="1"/>
  <c r="S97" i="1" l="1"/>
  <c r="U97" i="1" s="1"/>
  <c r="R97" i="1"/>
  <c r="T97" i="1" s="1"/>
  <c r="R98" i="1" l="1"/>
  <c r="T98" i="1" s="1"/>
  <c r="S98" i="1"/>
  <c r="U98" i="1" s="1"/>
  <c r="S99" i="1" l="1"/>
  <c r="U99" i="1" s="1"/>
  <c r="R99" i="1"/>
  <c r="T99" i="1" s="1"/>
  <c r="S100" i="1" l="1"/>
  <c r="U100" i="1" s="1"/>
  <c r="R100" i="1"/>
  <c r="T100" i="1" s="1"/>
  <c r="S101" i="1" l="1"/>
  <c r="U101" i="1" s="1"/>
  <c r="R101" i="1"/>
  <c r="T101" i="1" s="1"/>
  <c r="S102" i="1" l="1"/>
  <c r="U102" i="1" s="1"/>
  <c r="R102" i="1"/>
  <c r="T102" i="1" s="1"/>
  <c r="S103" i="1" l="1"/>
  <c r="U103" i="1" s="1"/>
  <c r="R103" i="1"/>
  <c r="T103" i="1" s="1"/>
  <c r="S104" i="1" l="1"/>
  <c r="U104" i="1" s="1"/>
  <c r="R104" i="1"/>
  <c r="T104" i="1" s="1"/>
  <c r="S105" i="1" l="1"/>
  <c r="U105" i="1" s="1"/>
  <c r="R105" i="1"/>
  <c r="T105" i="1" s="1"/>
  <c r="R106" i="1" l="1"/>
  <c r="T106" i="1" s="1"/>
  <c r="S106" i="1"/>
  <c r="U106" i="1" s="1"/>
  <c r="S107" i="1" l="1"/>
  <c r="U107" i="1" s="1"/>
  <c r="R107" i="1"/>
  <c r="T107" i="1" s="1"/>
  <c r="S108" i="1" l="1"/>
  <c r="U108" i="1" s="1"/>
  <c r="R108" i="1"/>
  <c r="T108" i="1" s="1"/>
  <c r="S109" i="1" l="1"/>
  <c r="U109" i="1" s="1"/>
  <c r="R109" i="1"/>
  <c r="T109" i="1" s="1"/>
  <c r="S110" i="1" l="1"/>
  <c r="U110" i="1" s="1"/>
  <c r="R110" i="1"/>
  <c r="T110" i="1" s="1"/>
  <c r="S111" i="1" l="1"/>
  <c r="U111" i="1" s="1"/>
  <c r="R111" i="1"/>
  <c r="T111" i="1" s="1"/>
  <c r="S112" i="1" l="1"/>
  <c r="U112" i="1" s="1"/>
  <c r="R112" i="1"/>
  <c r="T112" i="1" s="1"/>
  <c r="S113" i="1" l="1"/>
  <c r="U113" i="1" s="1"/>
  <c r="R113" i="1"/>
  <c r="T113" i="1" s="1"/>
  <c r="S114" i="1" l="1"/>
  <c r="U114" i="1" s="1"/>
  <c r="R114" i="1"/>
  <c r="T114" i="1" s="1"/>
  <c r="S115" i="1" l="1"/>
  <c r="U115" i="1" s="1"/>
  <c r="R115" i="1"/>
  <c r="T115" i="1" s="1"/>
  <c r="S116" i="1" l="1"/>
  <c r="U116" i="1" s="1"/>
  <c r="R116" i="1"/>
  <c r="T116" i="1" s="1"/>
  <c r="R117" i="1" l="1"/>
  <c r="T117" i="1" s="1"/>
  <c r="S117" i="1"/>
  <c r="U117" i="1" s="1"/>
  <c r="S118" i="1" l="1"/>
  <c r="U118" i="1" s="1"/>
  <c r="R118" i="1"/>
  <c r="T118" i="1" s="1"/>
  <c r="S119" i="1" l="1"/>
  <c r="U119" i="1" s="1"/>
  <c r="R119" i="1"/>
  <c r="T119" i="1" s="1"/>
  <c r="S120" i="1" l="1"/>
  <c r="U120" i="1" s="1"/>
  <c r="R120" i="1"/>
  <c r="T120" i="1" s="1"/>
  <c r="S121" i="1" l="1"/>
  <c r="U121" i="1" s="1"/>
  <c r="R121" i="1"/>
  <c r="T121" i="1" s="1"/>
  <c r="S122" i="1" l="1"/>
  <c r="U122" i="1" s="1"/>
  <c r="R122" i="1"/>
  <c r="T122" i="1" s="1"/>
  <c r="S123" i="1" l="1"/>
  <c r="U123" i="1" s="1"/>
  <c r="R123" i="1"/>
  <c r="T123" i="1" s="1"/>
  <c r="S124" i="1" l="1"/>
  <c r="U124" i="1" s="1"/>
  <c r="R124" i="1"/>
  <c r="T124" i="1" s="1"/>
  <c r="S125" i="1" l="1"/>
  <c r="U125" i="1" s="1"/>
  <c r="R125" i="1"/>
  <c r="T125" i="1" s="1"/>
  <c r="S126" i="1" l="1"/>
  <c r="U126" i="1" s="1"/>
  <c r="R126" i="1"/>
  <c r="T126" i="1" s="1"/>
  <c r="S127" i="1" l="1"/>
  <c r="U127" i="1" s="1"/>
  <c r="R127" i="1"/>
  <c r="T127" i="1" s="1"/>
  <c r="S128" i="1" l="1"/>
  <c r="U128" i="1" s="1"/>
  <c r="R128" i="1"/>
  <c r="T128" i="1" s="1"/>
  <c r="S129" i="1" l="1"/>
  <c r="U129" i="1" s="1"/>
  <c r="R129" i="1"/>
  <c r="T129" i="1" s="1"/>
  <c r="S130" i="1" l="1"/>
  <c r="U130" i="1" s="1"/>
  <c r="R130" i="1"/>
  <c r="T130" i="1" s="1"/>
  <c r="S131" i="1" l="1"/>
  <c r="U131" i="1" s="1"/>
  <c r="R131" i="1"/>
  <c r="T131" i="1" s="1"/>
  <c r="R132" i="1" l="1"/>
  <c r="T132" i="1" s="1"/>
  <c r="S132" i="1"/>
  <c r="U132" i="1" s="1"/>
  <c r="S133" i="1" l="1"/>
  <c r="U133" i="1" s="1"/>
  <c r="R133" i="1"/>
  <c r="T133" i="1" s="1"/>
  <c r="S134" i="1" l="1"/>
  <c r="U134" i="1" s="1"/>
  <c r="R134" i="1"/>
  <c r="T134" i="1" s="1"/>
  <c r="S135" i="1" l="1"/>
  <c r="U135" i="1" s="1"/>
  <c r="R135" i="1"/>
  <c r="T135" i="1" s="1"/>
  <c r="S136" i="1" l="1"/>
  <c r="U136" i="1" s="1"/>
  <c r="R136" i="1"/>
  <c r="T136" i="1" s="1"/>
  <c r="S137" i="1" l="1"/>
  <c r="U137" i="1" s="1"/>
  <c r="R137" i="1"/>
  <c r="T137" i="1" s="1"/>
  <c r="S138" i="1" l="1"/>
  <c r="U138" i="1" s="1"/>
  <c r="R138" i="1"/>
  <c r="T138" i="1" s="1"/>
  <c r="S139" i="1" l="1"/>
  <c r="U139" i="1" s="1"/>
  <c r="R139" i="1"/>
  <c r="T139" i="1" s="1"/>
  <c r="S140" i="1" l="1"/>
  <c r="U140" i="1" s="1"/>
  <c r="R140" i="1"/>
  <c r="T140" i="1" s="1"/>
  <c r="S141" i="1" l="1"/>
  <c r="U141" i="1" s="1"/>
  <c r="R141" i="1"/>
  <c r="T141" i="1" s="1"/>
  <c r="S142" i="1" l="1"/>
  <c r="U142" i="1" s="1"/>
  <c r="R142" i="1"/>
  <c r="T142" i="1" s="1"/>
  <c r="S143" i="1" l="1"/>
  <c r="U143" i="1" s="1"/>
  <c r="R143" i="1"/>
  <c r="T143" i="1" s="1"/>
  <c r="S144" i="1" l="1"/>
  <c r="U144" i="1" s="1"/>
  <c r="R144" i="1"/>
  <c r="T144" i="1" s="1"/>
  <c r="S145" i="1" l="1"/>
  <c r="U145" i="1" s="1"/>
  <c r="R145" i="1"/>
  <c r="T145" i="1" s="1"/>
  <c r="S146" i="1" l="1"/>
  <c r="U146" i="1" s="1"/>
  <c r="R146" i="1"/>
  <c r="T146" i="1" s="1"/>
  <c r="R147" i="1" l="1"/>
  <c r="T147" i="1" s="1"/>
  <c r="S147" i="1"/>
  <c r="U147" i="1" s="1"/>
  <c r="S148" i="1" l="1"/>
  <c r="U148" i="1" s="1"/>
  <c r="R148" i="1"/>
  <c r="T148" i="1" s="1"/>
  <c r="S149" i="1" l="1"/>
  <c r="U149" i="1" s="1"/>
  <c r="R149" i="1"/>
  <c r="T149" i="1" s="1"/>
  <c r="S150" i="1" l="1"/>
  <c r="U150" i="1" s="1"/>
  <c r="R150" i="1"/>
  <c r="T150" i="1" s="1"/>
  <c r="S151" i="1" l="1"/>
  <c r="U151" i="1" s="1"/>
  <c r="R151" i="1"/>
  <c r="T151" i="1" s="1"/>
  <c r="S152" i="1" l="1"/>
  <c r="U152" i="1" s="1"/>
  <c r="R152" i="1"/>
  <c r="T152" i="1" s="1"/>
  <c r="S153" i="1" l="1"/>
  <c r="U153" i="1" s="1"/>
  <c r="R153" i="1"/>
  <c r="T153" i="1" s="1"/>
  <c r="S154" i="1" l="1"/>
  <c r="U154" i="1" s="1"/>
  <c r="R154" i="1"/>
  <c r="T154" i="1" s="1"/>
  <c r="R155" i="1" l="1"/>
  <c r="T155" i="1" s="1"/>
  <c r="S155" i="1"/>
  <c r="U155" i="1" s="1"/>
  <c r="S156" i="1" l="1"/>
  <c r="U156" i="1" s="1"/>
  <c r="R156" i="1"/>
  <c r="T156" i="1" s="1"/>
  <c r="S157" i="1" l="1"/>
  <c r="U157" i="1" s="1"/>
  <c r="R157" i="1"/>
  <c r="T157" i="1" s="1"/>
  <c r="S158" i="1" l="1"/>
  <c r="U158" i="1" s="1"/>
  <c r="R158" i="1"/>
  <c r="T158" i="1" s="1"/>
  <c r="S159" i="1" l="1"/>
  <c r="U159" i="1" s="1"/>
  <c r="R159" i="1"/>
  <c r="T159" i="1" s="1"/>
  <c r="S160" i="1" l="1"/>
  <c r="U160" i="1" s="1"/>
  <c r="R160" i="1"/>
  <c r="T160" i="1" s="1"/>
  <c r="S161" i="1" l="1"/>
  <c r="U161" i="1" s="1"/>
  <c r="R161" i="1"/>
  <c r="T161" i="1" s="1"/>
  <c r="R162" i="1" l="1"/>
  <c r="T162" i="1" s="1"/>
  <c r="S162" i="1"/>
  <c r="U162" i="1" s="1"/>
  <c r="S163" i="1" l="1"/>
  <c r="U163" i="1" s="1"/>
  <c r="R163" i="1"/>
  <c r="T163" i="1" s="1"/>
  <c r="S164" i="1" l="1"/>
  <c r="U164" i="1" s="1"/>
  <c r="R164" i="1"/>
  <c r="T164" i="1" s="1"/>
  <c r="S165" i="1" l="1"/>
  <c r="U165" i="1" s="1"/>
  <c r="R165" i="1"/>
  <c r="T165" i="1" s="1"/>
  <c r="S166" i="1" l="1"/>
  <c r="U166" i="1" s="1"/>
  <c r="R166" i="1"/>
  <c r="T166" i="1" s="1"/>
  <c r="S167" i="1" l="1"/>
  <c r="U167" i="1" s="1"/>
  <c r="R167" i="1"/>
  <c r="T167" i="1" s="1"/>
  <c r="S168" i="1" l="1"/>
  <c r="U168" i="1" s="1"/>
  <c r="R168" i="1"/>
  <c r="T168" i="1" s="1"/>
  <c r="S169" i="1" l="1"/>
  <c r="U169" i="1" s="1"/>
  <c r="R169" i="1"/>
  <c r="T169" i="1" s="1"/>
  <c r="R170" i="1" l="1"/>
  <c r="T170" i="1" s="1"/>
  <c r="S170" i="1"/>
  <c r="U170" i="1" s="1"/>
  <c r="R171" i="1" l="1"/>
  <c r="T171" i="1" s="1"/>
  <c r="S171" i="1"/>
  <c r="U171" i="1" s="1"/>
  <c r="S172" i="1" l="1"/>
  <c r="U172" i="1" s="1"/>
  <c r="R172" i="1"/>
  <c r="T172" i="1" s="1"/>
  <c r="S173" i="1" l="1"/>
  <c r="U173" i="1" s="1"/>
  <c r="R173" i="1"/>
  <c r="T173" i="1" s="1"/>
  <c r="S174" i="1" l="1"/>
  <c r="U174" i="1" s="1"/>
  <c r="R174" i="1"/>
  <c r="T174" i="1" s="1"/>
  <c r="S175" i="1" l="1"/>
  <c r="U175" i="1" s="1"/>
  <c r="R175" i="1"/>
  <c r="T175" i="1" s="1"/>
  <c r="S176" i="1" l="1"/>
  <c r="U176" i="1" s="1"/>
  <c r="R176" i="1"/>
  <c r="T176" i="1" s="1"/>
  <c r="S177" i="1" l="1"/>
  <c r="U177" i="1" s="1"/>
  <c r="R177" i="1"/>
  <c r="T177" i="1" s="1"/>
  <c r="S178" i="1" l="1"/>
  <c r="U178" i="1" s="1"/>
  <c r="R178" i="1"/>
  <c r="T178" i="1" s="1"/>
  <c r="R179" i="1" l="1"/>
  <c r="T179" i="1" s="1"/>
  <c r="S179" i="1"/>
  <c r="U179" i="1" s="1"/>
  <c r="S180" i="1" l="1"/>
  <c r="U180" i="1" s="1"/>
  <c r="R180" i="1"/>
  <c r="T180" i="1" s="1"/>
  <c r="S181" i="1" l="1"/>
  <c r="U181" i="1" s="1"/>
  <c r="R181" i="1"/>
  <c r="T181" i="1" s="1"/>
  <c r="S182" i="1" l="1"/>
  <c r="U182" i="1" s="1"/>
  <c r="R182" i="1"/>
  <c r="T182" i="1" s="1"/>
  <c r="S183" i="1" l="1"/>
  <c r="U183" i="1" s="1"/>
  <c r="R183" i="1"/>
  <c r="T183" i="1" s="1"/>
  <c r="S184" i="1" l="1"/>
  <c r="U184" i="1" s="1"/>
  <c r="R184" i="1"/>
  <c r="T184" i="1" s="1"/>
  <c r="S185" i="1" l="1"/>
  <c r="U185" i="1" s="1"/>
  <c r="R185" i="1"/>
  <c r="T185" i="1" s="1"/>
  <c r="R186" i="1" l="1"/>
  <c r="T186" i="1" s="1"/>
  <c r="S186" i="1"/>
  <c r="U186" i="1" s="1"/>
  <c r="S187" i="1" l="1"/>
  <c r="U187" i="1" s="1"/>
  <c r="R187" i="1"/>
  <c r="T187" i="1" s="1"/>
  <c r="S188" i="1" l="1"/>
  <c r="U188" i="1" s="1"/>
  <c r="R188" i="1"/>
  <c r="T188" i="1" s="1"/>
  <c r="S189" i="1" l="1"/>
  <c r="U189" i="1" s="1"/>
  <c r="R189" i="1"/>
  <c r="T189" i="1" s="1"/>
  <c r="S190" i="1" l="1"/>
  <c r="U190" i="1" s="1"/>
  <c r="R190" i="1"/>
  <c r="T190" i="1" s="1"/>
  <c r="S191" i="1" l="1"/>
  <c r="U191" i="1" s="1"/>
  <c r="R191" i="1"/>
  <c r="T191" i="1" s="1"/>
  <c r="S192" i="1" l="1"/>
  <c r="U192" i="1" s="1"/>
  <c r="R192" i="1"/>
  <c r="T192" i="1" s="1"/>
  <c r="S193" i="1" l="1"/>
  <c r="U193" i="1" s="1"/>
  <c r="R193" i="1"/>
  <c r="T193" i="1" s="1"/>
  <c r="R194" i="1" l="1"/>
  <c r="T194" i="1" s="1"/>
  <c r="S194" i="1"/>
  <c r="U194" i="1" s="1"/>
  <c r="S195" i="1" l="1"/>
  <c r="U195" i="1" s="1"/>
  <c r="R195" i="1"/>
  <c r="T195" i="1" s="1"/>
  <c r="S196" i="1" l="1"/>
  <c r="U196" i="1" s="1"/>
  <c r="R196" i="1"/>
  <c r="T196" i="1" s="1"/>
  <c r="S197" i="1" l="1"/>
  <c r="U197" i="1" s="1"/>
  <c r="R197" i="1"/>
  <c r="T197" i="1" s="1"/>
  <c r="S198" i="1" l="1"/>
  <c r="U198" i="1" s="1"/>
  <c r="R198" i="1"/>
  <c r="T198" i="1" s="1"/>
  <c r="S199" i="1" l="1"/>
  <c r="U199" i="1" s="1"/>
  <c r="R199" i="1"/>
  <c r="T199" i="1" s="1"/>
  <c r="S200" i="1" l="1"/>
  <c r="U200" i="1" s="1"/>
  <c r="R200" i="1"/>
  <c r="T200" i="1" s="1"/>
  <c r="S201" i="1" l="1"/>
  <c r="U201" i="1" s="1"/>
  <c r="R201" i="1"/>
  <c r="T201" i="1" s="1"/>
  <c r="S202" i="1" l="1"/>
  <c r="U202" i="1" s="1"/>
  <c r="R202" i="1"/>
  <c r="T202" i="1" s="1"/>
  <c r="S203" i="1" l="1"/>
  <c r="U203" i="1" s="1"/>
  <c r="R203" i="1"/>
  <c r="T203" i="1" s="1"/>
  <c r="S204" i="1" l="1"/>
  <c r="U204" i="1" s="1"/>
  <c r="R204" i="1"/>
  <c r="T204" i="1" s="1"/>
  <c r="S205" i="1" l="1"/>
  <c r="U205" i="1" s="1"/>
  <c r="R205" i="1"/>
  <c r="T205" i="1" s="1"/>
  <c r="S206" i="1" l="1"/>
  <c r="U206" i="1" s="1"/>
  <c r="R206" i="1"/>
  <c r="T206" i="1" s="1"/>
  <c r="S207" i="1" l="1"/>
  <c r="U207" i="1" s="1"/>
  <c r="R207" i="1"/>
  <c r="T207" i="1" s="1"/>
  <c r="S208" i="1" l="1"/>
  <c r="U208" i="1" s="1"/>
  <c r="R208" i="1"/>
  <c r="T208" i="1" s="1"/>
  <c r="S209" i="1" l="1"/>
  <c r="U209" i="1" s="1"/>
  <c r="R209" i="1"/>
  <c r="T209" i="1" s="1"/>
  <c r="R210" i="1" l="1"/>
  <c r="T210" i="1" s="1"/>
  <c r="S210" i="1"/>
  <c r="U210" i="1" s="1"/>
  <c r="S211" i="1" l="1"/>
  <c r="U211" i="1" s="1"/>
  <c r="R211" i="1"/>
  <c r="T211" i="1" s="1"/>
  <c r="S212" i="1" l="1"/>
  <c r="U212" i="1" s="1"/>
  <c r="R212" i="1"/>
  <c r="T212" i="1" s="1"/>
  <c r="S213" i="1" l="1"/>
  <c r="U213" i="1" s="1"/>
  <c r="R213" i="1"/>
  <c r="T213" i="1" s="1"/>
  <c r="S214" i="1" l="1"/>
  <c r="U214" i="1" s="1"/>
  <c r="R214" i="1"/>
  <c r="T214" i="1" s="1"/>
  <c r="S215" i="1" l="1"/>
  <c r="U215" i="1" s="1"/>
  <c r="R215" i="1"/>
  <c r="T215" i="1" s="1"/>
  <c r="S216" i="1" l="1"/>
  <c r="U216" i="1" s="1"/>
  <c r="R216" i="1"/>
  <c r="T216" i="1" s="1"/>
  <c r="R217" i="1" l="1"/>
  <c r="T217" i="1" s="1"/>
  <c r="S217" i="1"/>
  <c r="U217" i="1" s="1"/>
  <c r="S218" i="1" l="1"/>
  <c r="U218" i="1" s="1"/>
  <c r="R218" i="1"/>
  <c r="T218" i="1" s="1"/>
  <c r="S219" i="1" l="1"/>
  <c r="U219" i="1" s="1"/>
  <c r="R219" i="1"/>
  <c r="T219" i="1" s="1"/>
  <c r="S220" i="1" l="1"/>
  <c r="U220" i="1" s="1"/>
  <c r="R220" i="1"/>
  <c r="T220" i="1" s="1"/>
  <c r="S221" i="1" l="1"/>
  <c r="U221" i="1" s="1"/>
  <c r="R221" i="1"/>
  <c r="T221" i="1" s="1"/>
  <c r="S222" i="1" l="1"/>
  <c r="U222" i="1" s="1"/>
  <c r="R222" i="1"/>
  <c r="T222" i="1" s="1"/>
  <c r="S223" i="1" l="1"/>
  <c r="U223" i="1" s="1"/>
  <c r="R223" i="1"/>
  <c r="T223" i="1" s="1"/>
  <c r="S224" i="1" l="1"/>
  <c r="U224" i="1" s="1"/>
  <c r="R224" i="1"/>
  <c r="T224" i="1" s="1"/>
  <c r="S225" i="1" l="1"/>
  <c r="U225" i="1" s="1"/>
  <c r="R225" i="1"/>
  <c r="T225" i="1" s="1"/>
  <c r="S226" i="1" l="1"/>
  <c r="U226" i="1" s="1"/>
  <c r="R226" i="1"/>
  <c r="T226" i="1" s="1"/>
  <c r="S227" i="1" l="1"/>
  <c r="U227" i="1" s="1"/>
  <c r="R227" i="1"/>
  <c r="T227" i="1" s="1"/>
  <c r="S228" i="1" l="1"/>
  <c r="U228" i="1" s="1"/>
  <c r="R228" i="1"/>
  <c r="T228" i="1" s="1"/>
  <c r="S229" i="1" l="1"/>
  <c r="U229" i="1" s="1"/>
  <c r="R229" i="1"/>
  <c r="T229" i="1" s="1"/>
  <c r="S230" i="1" l="1"/>
  <c r="U230" i="1" s="1"/>
  <c r="R230" i="1"/>
  <c r="T230" i="1" s="1"/>
  <c r="S231" i="1" l="1"/>
  <c r="U231" i="1" s="1"/>
  <c r="R231" i="1"/>
  <c r="T231" i="1" s="1"/>
  <c r="R232" i="1" l="1"/>
  <c r="T232" i="1" s="1"/>
  <c r="S232" i="1"/>
  <c r="U232" i="1" s="1"/>
  <c r="R233" i="1" l="1"/>
  <c r="T233" i="1" s="1"/>
  <c r="S233" i="1"/>
  <c r="U233" i="1" s="1"/>
  <c r="S234" i="1" l="1"/>
  <c r="U234" i="1" s="1"/>
  <c r="R234" i="1"/>
  <c r="T234" i="1" s="1"/>
  <c r="S235" i="1" l="1"/>
  <c r="U235" i="1" s="1"/>
  <c r="R235" i="1"/>
  <c r="T235" i="1" s="1"/>
  <c r="S236" i="1" l="1"/>
  <c r="U236" i="1" s="1"/>
  <c r="R236" i="1"/>
  <c r="T236" i="1" s="1"/>
  <c r="S237" i="1" l="1"/>
  <c r="U237" i="1" s="1"/>
  <c r="R237" i="1"/>
  <c r="T237" i="1" s="1"/>
  <c r="S238" i="1" l="1"/>
  <c r="U238" i="1" s="1"/>
  <c r="R238" i="1"/>
  <c r="T238" i="1" s="1"/>
  <c r="S239" i="1" l="1"/>
  <c r="U239" i="1" s="1"/>
  <c r="R239" i="1"/>
  <c r="T239" i="1" s="1"/>
  <c r="S240" i="1" l="1"/>
  <c r="U240" i="1" s="1"/>
  <c r="R240" i="1"/>
  <c r="T240" i="1" s="1"/>
  <c r="S241" i="1" l="1"/>
  <c r="U241" i="1" s="1"/>
  <c r="R241" i="1"/>
  <c r="T241" i="1" s="1"/>
  <c r="S242" i="1" l="1"/>
  <c r="U242" i="1" s="1"/>
  <c r="R242" i="1"/>
  <c r="T242" i="1" s="1"/>
  <c r="S243" i="1" l="1"/>
  <c r="U243" i="1" s="1"/>
  <c r="R243" i="1"/>
  <c r="T243" i="1" s="1"/>
  <c r="S244" i="1" l="1"/>
  <c r="U244" i="1" s="1"/>
  <c r="R244" i="1"/>
  <c r="T244" i="1" s="1"/>
  <c r="S245" i="1" l="1"/>
  <c r="U245" i="1" s="1"/>
  <c r="R245" i="1"/>
  <c r="T245" i="1" s="1"/>
  <c r="S246" i="1" l="1"/>
  <c r="U246" i="1" s="1"/>
  <c r="R246" i="1"/>
  <c r="T246" i="1" s="1"/>
  <c r="S247" i="1" l="1"/>
  <c r="U247" i="1" s="1"/>
  <c r="R247" i="1"/>
  <c r="T247" i="1" s="1"/>
  <c r="R248" i="1" l="1"/>
  <c r="T248" i="1" s="1"/>
  <c r="S248" i="1"/>
  <c r="U248" i="1" s="1"/>
  <c r="S249" i="1" l="1"/>
  <c r="U249" i="1" s="1"/>
  <c r="R249" i="1"/>
  <c r="T249" i="1" s="1"/>
  <c r="S250" i="1" l="1"/>
  <c r="U250" i="1" s="1"/>
  <c r="R250" i="1"/>
  <c r="T250" i="1" s="1"/>
  <c r="S251" i="1" l="1"/>
  <c r="U251" i="1" s="1"/>
  <c r="R251" i="1"/>
  <c r="T251" i="1" s="1"/>
  <c r="S252" i="1" l="1"/>
  <c r="U252" i="1" s="1"/>
  <c r="R252" i="1"/>
  <c r="T252" i="1" s="1"/>
  <c r="S253" i="1" l="1"/>
  <c r="U253" i="1" s="1"/>
  <c r="R253" i="1"/>
  <c r="T253" i="1" s="1"/>
  <c r="S254" i="1" l="1"/>
  <c r="U254" i="1" s="1"/>
  <c r="R254" i="1"/>
  <c r="T254" i="1" s="1"/>
  <c r="S255" i="1" l="1"/>
  <c r="U255" i="1" s="1"/>
  <c r="R255" i="1"/>
  <c r="T255" i="1" s="1"/>
  <c r="R256" i="1" l="1"/>
  <c r="T256" i="1" s="1"/>
  <c r="S256" i="1"/>
  <c r="U256" i="1" s="1"/>
  <c r="S257" i="1" l="1"/>
  <c r="U257" i="1" s="1"/>
  <c r="R257" i="1"/>
  <c r="T257" i="1" s="1"/>
  <c r="S258" i="1" l="1"/>
  <c r="U258" i="1" s="1"/>
  <c r="R258" i="1"/>
  <c r="T258" i="1" s="1"/>
  <c r="S259" i="1" l="1"/>
  <c r="U259" i="1" s="1"/>
  <c r="R259" i="1"/>
  <c r="T259" i="1" s="1"/>
  <c r="S260" i="1" l="1"/>
  <c r="U260" i="1" s="1"/>
  <c r="R260" i="1"/>
  <c r="T260" i="1" s="1"/>
  <c r="S261" i="1" l="1"/>
  <c r="U261" i="1" s="1"/>
  <c r="R261" i="1"/>
  <c r="T261" i="1" s="1"/>
  <c r="S262" i="1" l="1"/>
  <c r="U262" i="1" s="1"/>
  <c r="R262" i="1"/>
  <c r="T262" i="1" s="1"/>
  <c r="S263" i="1" l="1"/>
  <c r="U263" i="1" s="1"/>
  <c r="R263" i="1"/>
  <c r="T263" i="1" s="1"/>
  <c r="S264" i="1" l="1"/>
  <c r="U264" i="1" s="1"/>
  <c r="R264" i="1"/>
  <c r="T264" i="1" s="1"/>
  <c r="S265" i="1" l="1"/>
  <c r="U265" i="1" s="1"/>
  <c r="R265" i="1"/>
  <c r="T265" i="1" s="1"/>
  <c r="S266" i="1" l="1"/>
  <c r="U266" i="1" s="1"/>
  <c r="R266" i="1"/>
  <c r="T266" i="1" s="1"/>
  <c r="S267" i="1" l="1"/>
  <c r="U267" i="1" s="1"/>
  <c r="R267" i="1"/>
  <c r="T267" i="1" s="1"/>
  <c r="S268" i="1" l="1"/>
  <c r="U268" i="1" s="1"/>
  <c r="R268" i="1"/>
  <c r="T268" i="1" s="1"/>
  <c r="S269" i="1" l="1"/>
  <c r="U269" i="1" s="1"/>
  <c r="R269" i="1"/>
  <c r="T269" i="1" s="1"/>
  <c r="S270" i="1" l="1"/>
  <c r="U270" i="1" s="1"/>
  <c r="R270" i="1"/>
  <c r="T270" i="1" s="1"/>
  <c r="R271" i="1" l="1"/>
  <c r="T271" i="1" s="1"/>
  <c r="S271" i="1"/>
  <c r="U271" i="1" s="1"/>
  <c r="S272" i="1" l="1"/>
  <c r="U272" i="1" s="1"/>
  <c r="R272" i="1"/>
  <c r="T272" i="1" s="1"/>
  <c r="S273" i="1" l="1"/>
  <c r="U273" i="1" s="1"/>
  <c r="R273" i="1"/>
  <c r="T273" i="1" s="1"/>
  <c r="S274" i="1" l="1"/>
  <c r="U274" i="1" s="1"/>
  <c r="R274" i="1"/>
  <c r="T274" i="1" s="1"/>
  <c r="S275" i="1" l="1"/>
  <c r="U275" i="1" s="1"/>
  <c r="R275" i="1"/>
  <c r="T275" i="1" s="1"/>
  <c r="S276" i="1" l="1"/>
  <c r="U276" i="1" s="1"/>
  <c r="R276" i="1"/>
  <c r="T276" i="1" s="1"/>
  <c r="S277" i="1" l="1"/>
  <c r="U277" i="1" s="1"/>
  <c r="R277" i="1"/>
  <c r="T277" i="1" s="1"/>
  <c r="S278" i="1" l="1"/>
  <c r="U278" i="1" s="1"/>
  <c r="R278" i="1"/>
  <c r="T278" i="1" s="1"/>
  <c r="S279" i="1" l="1"/>
  <c r="U279" i="1" s="1"/>
  <c r="R279" i="1"/>
  <c r="T279" i="1" s="1"/>
  <c r="S280" i="1" l="1"/>
  <c r="U280" i="1" s="1"/>
  <c r="R280" i="1"/>
  <c r="T280" i="1" s="1"/>
  <c r="S281" i="1" l="1"/>
  <c r="U281" i="1" s="1"/>
  <c r="R281" i="1"/>
  <c r="T281" i="1" s="1"/>
  <c r="S282" i="1" l="1"/>
  <c r="U282" i="1" s="1"/>
  <c r="R282" i="1"/>
  <c r="T282" i="1" s="1"/>
  <c r="S283" i="1" l="1"/>
  <c r="U283" i="1" s="1"/>
  <c r="R283" i="1"/>
  <c r="T283" i="1" s="1"/>
  <c r="S284" i="1" l="1"/>
  <c r="U284" i="1" s="1"/>
  <c r="R284" i="1"/>
  <c r="T284" i="1" s="1"/>
  <c r="S285" i="1" l="1"/>
  <c r="U285" i="1" s="1"/>
  <c r="R285" i="1"/>
  <c r="T285" i="1" s="1"/>
  <c r="S286" i="1" l="1"/>
  <c r="U286" i="1" s="1"/>
  <c r="R286" i="1"/>
  <c r="T286" i="1" s="1"/>
  <c r="S287" i="1" l="1"/>
  <c r="U287" i="1" s="1"/>
  <c r="R287" i="1"/>
  <c r="T287" i="1" s="1"/>
  <c r="S288" i="1" l="1"/>
  <c r="U288" i="1" s="1"/>
  <c r="R288" i="1"/>
  <c r="T288" i="1" s="1"/>
  <c r="S289" i="1" l="1"/>
  <c r="U289" i="1" s="1"/>
  <c r="R289" i="1"/>
  <c r="T289" i="1" s="1"/>
  <c r="S290" i="1" l="1"/>
  <c r="U290" i="1" s="1"/>
  <c r="R290" i="1"/>
  <c r="T290" i="1" s="1"/>
  <c r="S291" i="1" l="1"/>
  <c r="U291" i="1" s="1"/>
  <c r="R291" i="1"/>
  <c r="T291" i="1" s="1"/>
  <c r="S292" i="1" l="1"/>
  <c r="U292" i="1" s="1"/>
  <c r="R292" i="1"/>
  <c r="T292" i="1" s="1"/>
  <c r="S293" i="1" l="1"/>
  <c r="U293" i="1" s="1"/>
  <c r="R293" i="1"/>
  <c r="T293" i="1" s="1"/>
  <c r="S294" i="1" l="1"/>
  <c r="U294" i="1" s="1"/>
  <c r="R294" i="1"/>
  <c r="T294" i="1" s="1"/>
  <c r="S295" i="1" l="1"/>
  <c r="U295" i="1" s="1"/>
  <c r="R295" i="1"/>
  <c r="T295" i="1" s="1"/>
  <c r="S296" i="1" l="1"/>
  <c r="U296" i="1" s="1"/>
  <c r="R296" i="1"/>
  <c r="T296" i="1" s="1"/>
  <c r="S297" i="1" l="1"/>
  <c r="U297" i="1" s="1"/>
  <c r="R297" i="1"/>
  <c r="T297" i="1" s="1"/>
  <c r="S298" i="1" l="1"/>
  <c r="U298" i="1" s="1"/>
  <c r="R298" i="1"/>
  <c r="T298" i="1" s="1"/>
  <c r="S299" i="1" l="1"/>
  <c r="U299" i="1" s="1"/>
  <c r="R299" i="1"/>
  <c r="T299" i="1" s="1"/>
  <c r="S300" i="1" l="1"/>
  <c r="U300" i="1" s="1"/>
  <c r="R300" i="1"/>
  <c r="T300" i="1" s="1"/>
  <c r="S301" i="1" l="1"/>
  <c r="U301" i="1" s="1"/>
  <c r="R301" i="1"/>
  <c r="T301" i="1" s="1"/>
  <c r="S302" i="1" l="1"/>
  <c r="U302" i="1" s="1"/>
  <c r="R302" i="1"/>
  <c r="T302" i="1" s="1"/>
  <c r="S303" i="1" l="1"/>
  <c r="U303" i="1" s="1"/>
  <c r="R303" i="1"/>
  <c r="T303" i="1" s="1"/>
  <c r="S304" i="1" l="1"/>
  <c r="U304" i="1" s="1"/>
  <c r="R304" i="1"/>
  <c r="T304" i="1" s="1"/>
  <c r="S305" i="1" l="1"/>
  <c r="U305" i="1" s="1"/>
  <c r="R305" i="1"/>
  <c r="T305" i="1" s="1"/>
  <c r="R306" i="1" l="1"/>
  <c r="T306" i="1" s="1"/>
  <c r="S306" i="1"/>
  <c r="U306" i="1" s="1"/>
  <c r="S307" i="1" l="1"/>
  <c r="U307" i="1" s="1"/>
  <c r="R307" i="1"/>
  <c r="T307" i="1" s="1"/>
  <c r="S308" i="1" l="1"/>
  <c r="U308" i="1" s="1"/>
  <c r="R308" i="1"/>
  <c r="T308" i="1" s="1"/>
  <c r="R309" i="1" l="1"/>
  <c r="T309" i="1" s="1"/>
  <c r="S309" i="1"/>
  <c r="U309" i="1" s="1"/>
  <c r="S310" i="1" l="1"/>
  <c r="U310" i="1" s="1"/>
  <c r="R310" i="1"/>
  <c r="T310" i="1" s="1"/>
  <c r="S311" i="1" l="1"/>
  <c r="U311" i="1" s="1"/>
  <c r="R311" i="1"/>
  <c r="T311" i="1" s="1"/>
  <c r="S312" i="1" l="1"/>
  <c r="U312" i="1" s="1"/>
  <c r="R312" i="1"/>
  <c r="T312" i="1" s="1"/>
  <c r="S313" i="1" l="1"/>
  <c r="U313" i="1" s="1"/>
  <c r="R313" i="1"/>
  <c r="T313" i="1" s="1"/>
  <c r="S314" i="1" l="1"/>
  <c r="U314" i="1" s="1"/>
  <c r="R314" i="1"/>
  <c r="T314" i="1" s="1"/>
  <c r="S315" i="1" l="1"/>
  <c r="U315" i="1" s="1"/>
  <c r="R315" i="1"/>
  <c r="T315" i="1" s="1"/>
  <c r="S316" i="1" l="1"/>
  <c r="U316" i="1" s="1"/>
  <c r="R316" i="1"/>
  <c r="T316" i="1" s="1"/>
  <c r="S317" i="1" l="1"/>
  <c r="U317" i="1" s="1"/>
  <c r="R317" i="1"/>
  <c r="T317" i="1" s="1"/>
  <c r="S318" i="1" l="1"/>
  <c r="U318" i="1" s="1"/>
  <c r="R318" i="1"/>
  <c r="T318" i="1" s="1"/>
  <c r="S319" i="1" l="1"/>
  <c r="U319" i="1" s="1"/>
  <c r="R319" i="1"/>
  <c r="T319" i="1" s="1"/>
  <c r="S320" i="1" l="1"/>
  <c r="U320" i="1" s="1"/>
  <c r="R320" i="1"/>
  <c r="T320" i="1" s="1"/>
  <c r="S321" i="1" l="1"/>
  <c r="U321" i="1" s="1"/>
  <c r="R321" i="1"/>
  <c r="T321" i="1" s="1"/>
  <c r="S322" i="1" l="1"/>
  <c r="U322" i="1" s="1"/>
  <c r="R322" i="1"/>
  <c r="T322" i="1" s="1"/>
  <c r="S323" i="1" l="1"/>
  <c r="U323" i="1" s="1"/>
  <c r="R323" i="1"/>
  <c r="T323" i="1" s="1"/>
  <c r="S324" i="1" l="1"/>
  <c r="U324" i="1" s="1"/>
  <c r="R324" i="1"/>
  <c r="T324" i="1" s="1"/>
  <c r="S325" i="1" l="1"/>
  <c r="U325" i="1" s="1"/>
  <c r="R325" i="1"/>
  <c r="T325" i="1" s="1"/>
  <c r="S326" i="1" l="1"/>
  <c r="U326" i="1" s="1"/>
  <c r="R326" i="1"/>
  <c r="T326" i="1" s="1"/>
  <c r="S327" i="1" l="1"/>
  <c r="U327" i="1" s="1"/>
  <c r="R327" i="1"/>
  <c r="T327" i="1" s="1"/>
  <c r="S328" i="1" l="1"/>
  <c r="U328" i="1" s="1"/>
  <c r="R328" i="1"/>
  <c r="T328" i="1" s="1"/>
  <c r="S329" i="1" l="1"/>
  <c r="U329" i="1" s="1"/>
  <c r="R329" i="1"/>
  <c r="T329" i="1" s="1"/>
  <c r="R330" i="1" l="1"/>
  <c r="T330" i="1" s="1"/>
  <c r="S330" i="1"/>
  <c r="U330" i="1" s="1"/>
  <c r="R331" i="1" l="1"/>
  <c r="T331" i="1" s="1"/>
  <c r="S331" i="1"/>
  <c r="U331" i="1" s="1"/>
  <c r="S332" i="1" l="1"/>
  <c r="U332" i="1" s="1"/>
  <c r="R332" i="1"/>
  <c r="T332" i="1" s="1"/>
  <c r="S333" i="1" l="1"/>
  <c r="U333" i="1" s="1"/>
  <c r="R333" i="1"/>
  <c r="T333" i="1" s="1"/>
  <c r="S334" i="1" l="1"/>
  <c r="U334" i="1" s="1"/>
  <c r="R334" i="1"/>
  <c r="T334" i="1" s="1"/>
  <c r="S335" i="1" l="1"/>
  <c r="U335" i="1" s="1"/>
  <c r="R335" i="1"/>
  <c r="T335" i="1" s="1"/>
  <c r="S336" i="1" l="1"/>
  <c r="U336" i="1" s="1"/>
  <c r="R336" i="1"/>
  <c r="T336" i="1" s="1"/>
  <c r="S337" i="1" l="1"/>
  <c r="U337" i="1" s="1"/>
  <c r="R337" i="1"/>
  <c r="T337" i="1" s="1"/>
  <c r="R338" i="1" l="1"/>
  <c r="T338" i="1" s="1"/>
  <c r="S338" i="1"/>
  <c r="U338" i="1" s="1"/>
  <c r="S339" i="1" l="1"/>
  <c r="U339" i="1" s="1"/>
  <c r="R339" i="1"/>
  <c r="T339" i="1" s="1"/>
  <c r="S340" i="1" l="1"/>
  <c r="U340" i="1" s="1"/>
  <c r="R340" i="1"/>
  <c r="T340" i="1" s="1"/>
  <c r="S341" i="1" l="1"/>
  <c r="U341" i="1" s="1"/>
  <c r="R341" i="1"/>
  <c r="T341" i="1" s="1"/>
  <c r="S342" i="1" l="1"/>
  <c r="U342" i="1" s="1"/>
  <c r="R342" i="1"/>
  <c r="T342" i="1" s="1"/>
  <c r="S343" i="1" l="1"/>
  <c r="U343" i="1" s="1"/>
  <c r="R343" i="1"/>
  <c r="T343" i="1" s="1"/>
  <c r="S344" i="1" l="1"/>
  <c r="U344" i="1" s="1"/>
  <c r="R344" i="1"/>
  <c r="T344" i="1" s="1"/>
  <c r="S345" i="1" l="1"/>
  <c r="U345" i="1" s="1"/>
  <c r="R345" i="1"/>
  <c r="T345" i="1" s="1"/>
  <c r="S346" i="1" l="1"/>
  <c r="U346" i="1" s="1"/>
  <c r="R346" i="1"/>
  <c r="T346" i="1" s="1"/>
  <c r="R347" i="1" l="1"/>
  <c r="T347" i="1" s="1"/>
  <c r="S347" i="1"/>
  <c r="U347" i="1" s="1"/>
  <c r="S348" i="1" l="1"/>
  <c r="U348" i="1" s="1"/>
  <c r="R348" i="1"/>
  <c r="T348" i="1" s="1"/>
  <c r="S349" i="1" l="1"/>
  <c r="U349" i="1" s="1"/>
  <c r="R349" i="1"/>
  <c r="T349" i="1" s="1"/>
  <c r="S350" i="1" l="1"/>
  <c r="U350" i="1" s="1"/>
  <c r="R350" i="1"/>
  <c r="T350" i="1" s="1"/>
  <c r="S351" i="1" l="1"/>
  <c r="U351" i="1" s="1"/>
  <c r="R351" i="1"/>
  <c r="T351" i="1" s="1"/>
  <c r="S352" i="1" l="1"/>
  <c r="U352" i="1" s="1"/>
  <c r="R352" i="1"/>
  <c r="T352" i="1" s="1"/>
  <c r="S353" i="1" l="1"/>
  <c r="U353" i="1" s="1"/>
  <c r="R353" i="1"/>
  <c r="T353" i="1" s="1"/>
  <c r="R354" i="1" l="1"/>
  <c r="T354" i="1" s="1"/>
  <c r="S354" i="1"/>
  <c r="U354" i="1" s="1"/>
  <c r="S355" i="1" l="1"/>
  <c r="U355" i="1" s="1"/>
  <c r="R355" i="1"/>
  <c r="T355" i="1" s="1"/>
  <c r="S356" i="1" l="1"/>
  <c r="U356" i="1" s="1"/>
  <c r="R356" i="1"/>
  <c r="T356" i="1" s="1"/>
  <c r="S357" i="1" l="1"/>
  <c r="U357" i="1" s="1"/>
  <c r="R357" i="1"/>
  <c r="T357" i="1" s="1"/>
  <c r="S358" i="1" l="1"/>
  <c r="U358" i="1" s="1"/>
  <c r="R358" i="1"/>
  <c r="T358" i="1" s="1"/>
  <c r="S359" i="1" l="1"/>
  <c r="U359" i="1" s="1"/>
  <c r="R359" i="1"/>
  <c r="T359" i="1" s="1"/>
  <c r="S360" i="1" l="1"/>
  <c r="U360" i="1" s="1"/>
  <c r="R360" i="1"/>
  <c r="T360" i="1" s="1"/>
  <c r="R361" i="1" l="1"/>
  <c r="T361" i="1" s="1"/>
  <c r="S361" i="1"/>
  <c r="U361" i="1" s="1"/>
  <c r="R362" i="1" l="1"/>
  <c r="T362" i="1" s="1"/>
  <c r="S362" i="1"/>
  <c r="U362" i="1" s="1"/>
  <c r="S363" i="1" l="1"/>
  <c r="U363" i="1" s="1"/>
  <c r="R363" i="1"/>
  <c r="T363" i="1" s="1"/>
  <c r="S364" i="1" l="1"/>
  <c r="U364" i="1" s="1"/>
  <c r="R364" i="1"/>
  <c r="T364" i="1" s="1"/>
  <c r="S365" i="1" l="1"/>
  <c r="U365" i="1" s="1"/>
  <c r="R365" i="1"/>
  <c r="T365" i="1" s="1"/>
  <c r="S366" i="1" l="1"/>
  <c r="U366" i="1" s="1"/>
  <c r="R366" i="1"/>
  <c r="T366" i="1" s="1"/>
  <c r="S367" i="1" l="1"/>
  <c r="U367" i="1" s="1"/>
  <c r="R367" i="1"/>
  <c r="T367" i="1" s="1"/>
  <c r="S368" i="1" l="1"/>
  <c r="U368" i="1" s="1"/>
  <c r="R368" i="1"/>
  <c r="T368" i="1" s="1"/>
  <c r="S369" i="1" l="1"/>
  <c r="U369" i="1" s="1"/>
  <c r="R369" i="1"/>
  <c r="T369" i="1" s="1"/>
  <c r="S370" i="1" l="1"/>
  <c r="U370" i="1" s="1"/>
  <c r="R370" i="1"/>
  <c r="T370" i="1" s="1"/>
  <c r="S371" i="1" l="1"/>
  <c r="U371" i="1" s="1"/>
  <c r="R371" i="1"/>
  <c r="T371" i="1" s="1"/>
  <c r="S372" i="1" l="1"/>
  <c r="U372" i="1" s="1"/>
  <c r="R372" i="1"/>
  <c r="T372" i="1" s="1"/>
  <c r="R373" i="1" l="1"/>
  <c r="T373" i="1" s="1"/>
  <c r="S373" i="1"/>
  <c r="U373" i="1" s="1"/>
  <c r="S374" i="1" l="1"/>
  <c r="U374" i="1" s="1"/>
  <c r="R374" i="1"/>
  <c r="T374" i="1" s="1"/>
  <c r="S375" i="1" l="1"/>
  <c r="U375" i="1" s="1"/>
  <c r="R375" i="1"/>
  <c r="T375" i="1" s="1"/>
  <c r="S376" i="1" l="1"/>
  <c r="U376" i="1" s="1"/>
  <c r="R376" i="1"/>
  <c r="T376" i="1" s="1"/>
  <c r="S377" i="1" l="1"/>
  <c r="U377" i="1" s="1"/>
  <c r="R377" i="1"/>
  <c r="T377" i="1" s="1"/>
  <c r="R378" i="1" l="1"/>
  <c r="T378" i="1" s="1"/>
  <c r="S378" i="1"/>
  <c r="U378" i="1" s="1"/>
  <c r="S379" i="1" l="1"/>
  <c r="U379" i="1" s="1"/>
  <c r="R379" i="1"/>
  <c r="T379" i="1" s="1"/>
  <c r="R380" i="1" l="1"/>
  <c r="T380" i="1" s="1"/>
  <c r="S380" i="1"/>
  <c r="U380" i="1" s="1"/>
  <c r="S381" i="1" l="1"/>
  <c r="U381" i="1" s="1"/>
  <c r="R381" i="1"/>
  <c r="T381" i="1" s="1"/>
  <c r="S382" i="1" l="1"/>
  <c r="U382" i="1" s="1"/>
  <c r="R382" i="1"/>
  <c r="T382" i="1" s="1"/>
  <c r="S383" i="1" l="1"/>
  <c r="U383" i="1" s="1"/>
  <c r="R383" i="1"/>
  <c r="T383" i="1" s="1"/>
  <c r="S384" i="1" l="1"/>
  <c r="U384" i="1" s="1"/>
  <c r="R384" i="1"/>
  <c r="T384" i="1" s="1"/>
  <c r="S385" i="1" l="1"/>
  <c r="U385" i="1" s="1"/>
  <c r="R385" i="1"/>
  <c r="T385" i="1" s="1"/>
  <c r="R386" i="1" l="1"/>
  <c r="T386" i="1" s="1"/>
  <c r="S386" i="1"/>
  <c r="U386" i="1" s="1"/>
  <c r="S387" i="1" l="1"/>
  <c r="U387" i="1" s="1"/>
  <c r="R387" i="1"/>
  <c r="T387" i="1" s="1"/>
  <c r="S388" i="1" l="1"/>
  <c r="U388" i="1" s="1"/>
  <c r="R388" i="1"/>
  <c r="T388" i="1" s="1"/>
  <c r="S389" i="1" l="1"/>
  <c r="U389" i="1" s="1"/>
  <c r="R389" i="1"/>
  <c r="T389" i="1" s="1"/>
  <c r="S390" i="1" l="1"/>
  <c r="U390" i="1" s="1"/>
  <c r="R390" i="1"/>
  <c r="T390" i="1" s="1"/>
  <c r="S391" i="1" l="1"/>
  <c r="U391" i="1" s="1"/>
  <c r="R391" i="1"/>
  <c r="T391" i="1" s="1"/>
  <c r="S392" i="1" l="1"/>
  <c r="U392" i="1" s="1"/>
  <c r="R392" i="1"/>
  <c r="T392" i="1" s="1"/>
  <c r="S393" i="1" l="1"/>
  <c r="U393" i="1" s="1"/>
  <c r="R393" i="1"/>
  <c r="T393" i="1" s="1"/>
  <c r="R394" i="1" l="1"/>
  <c r="T394" i="1" s="1"/>
  <c r="S394" i="1"/>
  <c r="U394" i="1" s="1"/>
  <c r="S395" i="1" l="1"/>
  <c r="U395" i="1" s="1"/>
  <c r="R395" i="1"/>
  <c r="T395" i="1" s="1"/>
  <c r="S396" i="1" l="1"/>
  <c r="U396" i="1" s="1"/>
  <c r="R396" i="1"/>
  <c r="T396" i="1" s="1"/>
  <c r="S397" i="1" l="1"/>
  <c r="U397" i="1" s="1"/>
  <c r="R397" i="1"/>
  <c r="T397" i="1" s="1"/>
  <c r="S398" i="1" l="1"/>
  <c r="U398" i="1" s="1"/>
  <c r="R398" i="1"/>
  <c r="T398" i="1" s="1"/>
  <c r="S399" i="1" l="1"/>
  <c r="U399" i="1" s="1"/>
  <c r="R399" i="1"/>
  <c r="T399" i="1" s="1"/>
  <c r="R400" i="1" l="1"/>
  <c r="T400" i="1" s="1"/>
  <c r="S400" i="1"/>
  <c r="U400" i="1" s="1"/>
  <c r="R401" i="1" l="1"/>
  <c r="T401" i="1" s="1"/>
  <c r="S401" i="1"/>
  <c r="U401" i="1" s="1"/>
  <c r="S402" i="1" l="1"/>
  <c r="U402" i="1" s="1"/>
  <c r="R402" i="1"/>
  <c r="T402" i="1" s="1"/>
  <c r="S403" i="1" l="1"/>
  <c r="U403" i="1" s="1"/>
  <c r="R403" i="1"/>
  <c r="T403" i="1" s="1"/>
  <c r="S404" i="1" l="1"/>
  <c r="U404" i="1" s="1"/>
  <c r="R404" i="1"/>
  <c r="T404" i="1" s="1"/>
  <c r="S405" i="1" l="1"/>
  <c r="U405" i="1" s="1"/>
  <c r="R405" i="1"/>
  <c r="T405" i="1" s="1"/>
  <c r="S406" i="1" l="1"/>
  <c r="U406" i="1" s="1"/>
  <c r="R406" i="1"/>
  <c r="T406" i="1" s="1"/>
  <c r="S407" i="1" l="1"/>
  <c r="U407" i="1" s="1"/>
  <c r="R407" i="1"/>
  <c r="T407" i="1" s="1"/>
  <c r="S408" i="1" l="1"/>
  <c r="U408" i="1" s="1"/>
  <c r="R408" i="1"/>
  <c r="T408" i="1" s="1"/>
  <c r="S409" i="1" l="1"/>
  <c r="U409" i="1" s="1"/>
  <c r="R409" i="1"/>
  <c r="T409" i="1" s="1"/>
  <c r="R410" i="1" l="1"/>
  <c r="T410" i="1" s="1"/>
  <c r="S410" i="1"/>
  <c r="U410" i="1" s="1"/>
  <c r="S411" i="1" l="1"/>
  <c r="U411" i="1" s="1"/>
  <c r="R411" i="1"/>
  <c r="T411" i="1" s="1"/>
  <c r="R412" i="1" l="1"/>
  <c r="T412" i="1" s="1"/>
  <c r="S412" i="1"/>
  <c r="U412" i="1" s="1"/>
  <c r="S413" i="1" l="1"/>
  <c r="U413" i="1" s="1"/>
  <c r="R413" i="1"/>
  <c r="T413" i="1" s="1"/>
  <c r="S414" i="1" l="1"/>
  <c r="U414" i="1" s="1"/>
  <c r="R414" i="1"/>
  <c r="T414" i="1" s="1"/>
  <c r="S415" i="1" l="1"/>
  <c r="U415" i="1" s="1"/>
  <c r="R415" i="1"/>
  <c r="T415" i="1" s="1"/>
  <c r="S416" i="1" l="1"/>
  <c r="U416" i="1" s="1"/>
  <c r="R416" i="1"/>
  <c r="T416" i="1" s="1"/>
  <c r="S417" i="1" l="1"/>
  <c r="U417" i="1" s="1"/>
  <c r="R417" i="1"/>
  <c r="T417" i="1" s="1"/>
  <c r="S418" i="1" l="1"/>
  <c r="U418" i="1" s="1"/>
  <c r="R418" i="1"/>
  <c r="T418" i="1" s="1"/>
  <c r="S419" i="1" l="1"/>
  <c r="U419" i="1" s="1"/>
  <c r="R419" i="1"/>
  <c r="T419" i="1" s="1"/>
  <c r="R420" i="1" l="1"/>
  <c r="T420" i="1" s="1"/>
  <c r="S420" i="1"/>
  <c r="U420" i="1" s="1"/>
  <c r="S421" i="1" l="1"/>
  <c r="U421" i="1" s="1"/>
  <c r="R421" i="1"/>
  <c r="T421" i="1" s="1"/>
  <c r="S422" i="1" l="1"/>
  <c r="U422" i="1" s="1"/>
  <c r="R422" i="1"/>
  <c r="T422" i="1" s="1"/>
  <c r="S423" i="1" l="1"/>
  <c r="U423" i="1" s="1"/>
  <c r="R423" i="1"/>
  <c r="T423" i="1" s="1"/>
  <c r="S424" i="1" l="1"/>
  <c r="U424" i="1" s="1"/>
  <c r="R424" i="1"/>
  <c r="T424" i="1" s="1"/>
  <c r="S425" i="1" l="1"/>
  <c r="U425" i="1" s="1"/>
  <c r="R425" i="1"/>
  <c r="T425" i="1" s="1"/>
  <c r="S426" i="1" l="1"/>
  <c r="U426" i="1" s="1"/>
  <c r="R426" i="1"/>
  <c r="T426" i="1" s="1"/>
  <c r="S427" i="1" l="1"/>
  <c r="U427" i="1" s="1"/>
  <c r="R427" i="1"/>
  <c r="T427" i="1" s="1"/>
  <c r="S428" i="1" l="1"/>
  <c r="U428" i="1" s="1"/>
  <c r="R428" i="1"/>
  <c r="T428" i="1" s="1"/>
  <c r="S429" i="1" l="1"/>
  <c r="U429" i="1" s="1"/>
  <c r="R429" i="1"/>
  <c r="T429" i="1" s="1"/>
  <c r="S430" i="1" l="1"/>
  <c r="U430" i="1" s="1"/>
  <c r="R430" i="1"/>
  <c r="T430" i="1" s="1"/>
  <c r="S431" i="1" l="1"/>
  <c r="U431" i="1" s="1"/>
  <c r="R431" i="1"/>
  <c r="T431" i="1" s="1"/>
  <c r="S432" i="1" l="1"/>
  <c r="U432" i="1" s="1"/>
  <c r="R432" i="1"/>
  <c r="T432" i="1" s="1"/>
  <c r="S433" i="1" l="1"/>
  <c r="U433" i="1" s="1"/>
  <c r="R433" i="1"/>
  <c r="T433" i="1" s="1"/>
  <c r="S434" i="1" l="1"/>
  <c r="U434" i="1" s="1"/>
  <c r="R434" i="1"/>
  <c r="T434" i="1" s="1"/>
  <c r="S435" i="1" l="1"/>
  <c r="U435" i="1" s="1"/>
  <c r="R435" i="1"/>
  <c r="T435" i="1" s="1"/>
  <c r="S436" i="1" l="1"/>
  <c r="U436" i="1" s="1"/>
  <c r="R436" i="1"/>
  <c r="T436" i="1" s="1"/>
  <c r="S437" i="1" l="1"/>
  <c r="U437" i="1" s="1"/>
  <c r="R437" i="1"/>
  <c r="T437" i="1" s="1"/>
  <c r="S438" i="1" l="1"/>
  <c r="U438" i="1" s="1"/>
  <c r="R438" i="1"/>
  <c r="T438" i="1" s="1"/>
  <c r="S439" i="1" l="1"/>
  <c r="U439" i="1" s="1"/>
  <c r="R439" i="1"/>
  <c r="T439" i="1" s="1"/>
  <c r="S440" i="1" l="1"/>
  <c r="U440" i="1" s="1"/>
  <c r="R440" i="1"/>
  <c r="T440" i="1" s="1"/>
  <c r="S441" i="1" l="1"/>
  <c r="U441" i="1" s="1"/>
  <c r="R441" i="1"/>
  <c r="T441" i="1" s="1"/>
  <c r="S442" i="1" l="1"/>
  <c r="U442" i="1" s="1"/>
  <c r="R442" i="1"/>
  <c r="T442" i="1" s="1"/>
  <c r="R443" i="1" l="1"/>
  <c r="T443" i="1" s="1"/>
  <c r="S443" i="1"/>
  <c r="U443" i="1" s="1"/>
  <c r="S444" i="1" l="1"/>
  <c r="U444" i="1" s="1"/>
  <c r="R444" i="1"/>
  <c r="T444" i="1" s="1"/>
  <c r="S445" i="1" l="1"/>
  <c r="U445" i="1" s="1"/>
  <c r="R445" i="1"/>
  <c r="T445" i="1" s="1"/>
  <c r="S446" i="1" l="1"/>
  <c r="U446" i="1" s="1"/>
  <c r="R446" i="1"/>
  <c r="T446" i="1" s="1"/>
  <c r="S447" i="1" l="1"/>
  <c r="U447" i="1" s="1"/>
  <c r="R447" i="1"/>
  <c r="T447" i="1" s="1"/>
  <c r="S448" i="1" l="1"/>
  <c r="U448" i="1" s="1"/>
  <c r="R448" i="1"/>
  <c r="T448" i="1" s="1"/>
  <c r="S449" i="1" l="1"/>
  <c r="U449" i="1" s="1"/>
  <c r="R449" i="1"/>
  <c r="T449" i="1" s="1"/>
  <c r="S450" i="1" l="1"/>
  <c r="U450" i="1" s="1"/>
  <c r="R450" i="1"/>
  <c r="T450" i="1" s="1"/>
  <c r="R451" i="1" l="1"/>
  <c r="T451" i="1" s="1"/>
  <c r="S451" i="1"/>
  <c r="U451" i="1" s="1"/>
  <c r="S452" i="1" l="1"/>
  <c r="U452" i="1" s="1"/>
  <c r="R452" i="1"/>
  <c r="T452" i="1" s="1"/>
  <c r="S453" i="1" l="1"/>
  <c r="U453" i="1" s="1"/>
  <c r="R453" i="1"/>
  <c r="T453" i="1" s="1"/>
  <c r="S454" i="1" l="1"/>
  <c r="U454" i="1" s="1"/>
  <c r="R454" i="1"/>
  <c r="T454" i="1" s="1"/>
  <c r="S455" i="1" l="1"/>
  <c r="U455" i="1" s="1"/>
  <c r="R455" i="1"/>
  <c r="T455" i="1" s="1"/>
  <c r="S456" i="1" l="1"/>
  <c r="U456" i="1" s="1"/>
  <c r="R456" i="1"/>
  <c r="T456" i="1" s="1"/>
  <c r="S457" i="1" l="1"/>
  <c r="U457" i="1" s="1"/>
  <c r="R457" i="1"/>
  <c r="T457" i="1" s="1"/>
  <c r="S458" i="1" l="1"/>
  <c r="U458" i="1" s="1"/>
  <c r="R458" i="1"/>
  <c r="T458" i="1" s="1"/>
  <c r="S459" i="1" l="1"/>
  <c r="U459" i="1" s="1"/>
  <c r="R459" i="1"/>
  <c r="T459" i="1" s="1"/>
  <c r="R460" i="1" l="1"/>
  <c r="T460" i="1" s="1"/>
  <c r="S460" i="1"/>
  <c r="U460" i="1" s="1"/>
  <c r="S461" i="1" l="1"/>
  <c r="U461" i="1" s="1"/>
  <c r="R461" i="1"/>
  <c r="T461" i="1" s="1"/>
  <c r="S462" i="1" l="1"/>
  <c r="U462" i="1" s="1"/>
  <c r="R462" i="1"/>
  <c r="T462" i="1" s="1"/>
  <c r="S463" i="1" l="1"/>
  <c r="U463" i="1" s="1"/>
  <c r="R463" i="1"/>
  <c r="T463" i="1" s="1"/>
  <c r="S464" i="1" l="1"/>
  <c r="U464" i="1" s="1"/>
  <c r="R464" i="1"/>
  <c r="T464" i="1" s="1"/>
  <c r="S465" i="1" l="1"/>
  <c r="U465" i="1" s="1"/>
  <c r="R465" i="1"/>
  <c r="T465" i="1" s="1"/>
  <c r="S466" i="1" l="1"/>
  <c r="U466" i="1" s="1"/>
  <c r="R466" i="1"/>
  <c r="T466" i="1" s="1"/>
  <c r="R467" i="1" l="1"/>
  <c r="T467" i="1" s="1"/>
  <c r="S467" i="1"/>
  <c r="U467" i="1" s="1"/>
  <c r="R468" i="1" l="1"/>
  <c r="T468" i="1" s="1"/>
  <c r="S468" i="1"/>
  <c r="U468" i="1" s="1"/>
  <c r="S469" i="1" l="1"/>
  <c r="U469" i="1" s="1"/>
  <c r="R469" i="1"/>
  <c r="T469" i="1" s="1"/>
  <c r="S470" i="1" l="1"/>
  <c r="U470" i="1" s="1"/>
  <c r="R470" i="1"/>
  <c r="T470" i="1" s="1"/>
  <c r="S471" i="1" l="1"/>
  <c r="U471" i="1" s="1"/>
  <c r="R471" i="1"/>
  <c r="T471" i="1" s="1"/>
  <c r="S472" i="1" l="1"/>
  <c r="U472" i="1" s="1"/>
  <c r="R472" i="1"/>
  <c r="T472" i="1" s="1"/>
  <c r="S473" i="1" l="1"/>
  <c r="U473" i="1" s="1"/>
  <c r="R473" i="1"/>
  <c r="T473" i="1" s="1"/>
  <c r="S474" i="1" l="1"/>
  <c r="U474" i="1" s="1"/>
  <c r="R474" i="1"/>
  <c r="T474" i="1" s="1"/>
  <c r="R475" i="1" l="1"/>
  <c r="T475" i="1" s="1"/>
  <c r="S475" i="1"/>
  <c r="U475" i="1" s="1"/>
  <c r="S476" i="1" l="1"/>
  <c r="U476" i="1" s="1"/>
  <c r="R476" i="1"/>
  <c r="T476" i="1" s="1"/>
  <c r="S477" i="1" l="1"/>
  <c r="U477" i="1" s="1"/>
  <c r="R477" i="1"/>
  <c r="T477" i="1" s="1"/>
  <c r="S478" i="1" l="1"/>
  <c r="U478" i="1" s="1"/>
  <c r="R478" i="1"/>
  <c r="T478" i="1" s="1"/>
  <c r="R479" i="1" l="1"/>
  <c r="T479" i="1" s="1"/>
  <c r="S479" i="1"/>
  <c r="U479" i="1" s="1"/>
  <c r="S480" i="1" l="1"/>
  <c r="U480" i="1" s="1"/>
  <c r="R480" i="1"/>
  <c r="T480" i="1" s="1"/>
  <c r="S481" i="1" l="1"/>
  <c r="U481" i="1" s="1"/>
  <c r="R481" i="1"/>
  <c r="T481" i="1" s="1"/>
  <c r="R482" i="1" l="1"/>
  <c r="T482" i="1" s="1"/>
  <c r="S482" i="1"/>
  <c r="U482" i="1" s="1"/>
  <c r="S483" i="1" l="1"/>
  <c r="U483" i="1" s="1"/>
  <c r="R483" i="1"/>
  <c r="T483" i="1" s="1"/>
  <c r="S484" i="1" l="1"/>
  <c r="U484" i="1" s="1"/>
  <c r="R484" i="1"/>
  <c r="T484" i="1" s="1"/>
  <c r="S485" i="1" l="1"/>
  <c r="U485" i="1" s="1"/>
  <c r="R485" i="1"/>
  <c r="T485" i="1" s="1"/>
  <c r="S486" i="1" l="1"/>
  <c r="U486" i="1" s="1"/>
  <c r="R486" i="1"/>
  <c r="T486" i="1" s="1"/>
  <c r="R487" i="1" l="1"/>
  <c r="T487" i="1" s="1"/>
  <c r="S487" i="1"/>
  <c r="U487" i="1" s="1"/>
  <c r="S488" i="1" l="1"/>
  <c r="U488" i="1" s="1"/>
  <c r="R488" i="1"/>
  <c r="T488" i="1" s="1"/>
  <c r="S489" i="1" l="1"/>
  <c r="U489" i="1" s="1"/>
  <c r="R489" i="1"/>
  <c r="T489" i="1" s="1"/>
  <c r="S490" i="1" l="1"/>
  <c r="U490" i="1" s="1"/>
  <c r="R490" i="1"/>
  <c r="T490" i="1" s="1"/>
  <c r="R491" i="1" l="1"/>
  <c r="T491" i="1" s="1"/>
  <c r="S491" i="1"/>
  <c r="U491" i="1" s="1"/>
  <c r="S492" i="1" l="1"/>
  <c r="U492" i="1" s="1"/>
  <c r="R492" i="1"/>
  <c r="T492" i="1" s="1"/>
  <c r="R493" i="1" l="1"/>
  <c r="T493" i="1" s="1"/>
  <c r="S493" i="1"/>
  <c r="U493" i="1" s="1"/>
  <c r="S494" i="1" l="1"/>
  <c r="U494" i="1" s="1"/>
  <c r="R494" i="1"/>
  <c r="T494" i="1" s="1"/>
  <c r="S495" i="1" l="1"/>
  <c r="U495" i="1" s="1"/>
  <c r="R495" i="1"/>
  <c r="T495" i="1" s="1"/>
  <c r="S496" i="1" l="1"/>
  <c r="U496" i="1" s="1"/>
  <c r="R496" i="1"/>
  <c r="T496" i="1" s="1"/>
  <c r="S497" i="1" l="1"/>
  <c r="U497" i="1" s="1"/>
  <c r="R497" i="1"/>
  <c r="T497" i="1" s="1"/>
  <c r="R498" i="1" l="1"/>
  <c r="T498" i="1" s="1"/>
  <c r="S498" i="1"/>
  <c r="U498" i="1" s="1"/>
  <c r="S499" i="1" l="1"/>
  <c r="U499" i="1" s="1"/>
  <c r="R499" i="1"/>
  <c r="T499" i="1" s="1"/>
  <c r="R500" i="1" l="1"/>
  <c r="T500" i="1" s="1"/>
  <c r="S500" i="1"/>
  <c r="U500" i="1" s="1"/>
  <c r="S501" i="1" l="1"/>
  <c r="U501" i="1" s="1"/>
  <c r="R501" i="1"/>
  <c r="T501" i="1" s="1"/>
  <c r="S502" i="1" l="1"/>
  <c r="U502" i="1" s="1"/>
  <c r="R502" i="1"/>
  <c r="T502" i="1" s="1"/>
  <c r="S503" i="1" l="1"/>
  <c r="U503" i="1" s="1"/>
  <c r="R503" i="1"/>
  <c r="T503" i="1" s="1"/>
  <c r="S504" i="1" l="1"/>
  <c r="U504" i="1" s="1"/>
  <c r="R504" i="1"/>
  <c r="T504" i="1" s="1"/>
  <c r="S505" i="1" l="1"/>
  <c r="U505" i="1" s="1"/>
  <c r="R505" i="1"/>
  <c r="T505" i="1" s="1"/>
  <c r="S506" i="1" l="1"/>
  <c r="U506" i="1" s="1"/>
  <c r="R506" i="1"/>
  <c r="T506" i="1" s="1"/>
  <c r="S507" i="1" l="1"/>
  <c r="U507" i="1" s="1"/>
  <c r="R507" i="1"/>
  <c r="T507" i="1" s="1"/>
  <c r="S508" i="1" l="1"/>
  <c r="U508" i="1" s="1"/>
  <c r="R508" i="1"/>
  <c r="T508" i="1" s="1"/>
  <c r="S509" i="1" l="1"/>
  <c r="U509" i="1" s="1"/>
  <c r="R509" i="1"/>
  <c r="T509" i="1" s="1"/>
  <c r="S510" i="1" l="1"/>
  <c r="U510" i="1" s="1"/>
  <c r="R510" i="1"/>
  <c r="T510" i="1" s="1"/>
  <c r="S511" i="1" l="1"/>
  <c r="U511" i="1" s="1"/>
  <c r="R511" i="1"/>
  <c r="T511" i="1" s="1"/>
  <c r="S512" i="1" l="1"/>
  <c r="U512" i="1" s="1"/>
  <c r="R512" i="1"/>
  <c r="T512" i="1" s="1"/>
  <c r="S513" i="1" l="1"/>
  <c r="U513" i="1" s="1"/>
  <c r="R513" i="1"/>
  <c r="T513" i="1" s="1"/>
  <c r="S514" i="1" l="1"/>
  <c r="U514" i="1" s="1"/>
  <c r="R514" i="1"/>
  <c r="T514" i="1" s="1"/>
  <c r="S515" i="1" l="1"/>
  <c r="U515" i="1" s="1"/>
  <c r="R515" i="1"/>
  <c r="T515" i="1" s="1"/>
  <c r="S516" i="1" l="1"/>
  <c r="U516" i="1" s="1"/>
  <c r="R516" i="1"/>
  <c r="T516" i="1" s="1"/>
  <c r="R517" i="1" l="1"/>
  <c r="T517" i="1" s="1"/>
  <c r="S517" i="1"/>
  <c r="U517" i="1" s="1"/>
  <c r="S518" i="1" l="1"/>
  <c r="U518" i="1" s="1"/>
  <c r="R518" i="1"/>
  <c r="T518" i="1" s="1"/>
  <c r="S519" i="1" l="1"/>
  <c r="U519" i="1" s="1"/>
  <c r="R519" i="1"/>
  <c r="T519" i="1" s="1"/>
  <c r="R520" i="1" l="1"/>
  <c r="T520" i="1" s="1"/>
  <c r="S520" i="1"/>
  <c r="U520" i="1" s="1"/>
  <c r="S521" i="1" l="1"/>
  <c r="U521" i="1" s="1"/>
  <c r="R521" i="1"/>
  <c r="T521" i="1" s="1"/>
  <c r="S522" i="1" l="1"/>
  <c r="U522" i="1" s="1"/>
  <c r="R522" i="1"/>
  <c r="T522" i="1" s="1"/>
  <c r="R523" i="1" l="1"/>
  <c r="T523" i="1" s="1"/>
  <c r="S523" i="1"/>
  <c r="U523" i="1" s="1"/>
  <c r="S524" i="1" l="1"/>
  <c r="U524" i="1" s="1"/>
  <c r="R524" i="1"/>
  <c r="T524" i="1" s="1"/>
  <c r="S525" i="1" l="1"/>
  <c r="U525" i="1" s="1"/>
  <c r="R525" i="1"/>
  <c r="T525" i="1" s="1"/>
  <c r="S526" i="1" l="1"/>
  <c r="U526" i="1" s="1"/>
  <c r="R526" i="1"/>
  <c r="T526" i="1" s="1"/>
  <c r="S527" i="1" l="1"/>
  <c r="U527" i="1" s="1"/>
  <c r="R527" i="1"/>
  <c r="T527" i="1" s="1"/>
  <c r="S528" i="1" l="1"/>
  <c r="U528" i="1" s="1"/>
  <c r="R528" i="1"/>
  <c r="T528" i="1" s="1"/>
  <c r="S529" i="1" l="1"/>
  <c r="U529" i="1" s="1"/>
  <c r="R529" i="1"/>
  <c r="T529" i="1" s="1"/>
  <c r="S530" i="1" l="1"/>
  <c r="U530" i="1" s="1"/>
  <c r="R530" i="1"/>
  <c r="T530" i="1" s="1"/>
  <c r="S531" i="1" l="1"/>
  <c r="U531" i="1" s="1"/>
  <c r="R531" i="1"/>
  <c r="T531" i="1" s="1"/>
  <c r="S532" i="1" l="1"/>
  <c r="U532" i="1" s="1"/>
  <c r="R532" i="1"/>
  <c r="T532" i="1" s="1"/>
  <c r="S533" i="1" l="1"/>
  <c r="U533" i="1" s="1"/>
  <c r="R533" i="1"/>
  <c r="T533" i="1" s="1"/>
  <c r="S534" i="1" l="1"/>
  <c r="U534" i="1" s="1"/>
  <c r="R534" i="1"/>
  <c r="T534" i="1" s="1"/>
  <c r="R535" i="1" l="1"/>
  <c r="T535" i="1" s="1"/>
  <c r="S535" i="1"/>
  <c r="U535" i="1" s="1"/>
  <c r="S536" i="1" l="1"/>
  <c r="U536" i="1" s="1"/>
  <c r="R536" i="1"/>
  <c r="T536" i="1" s="1"/>
  <c r="S537" i="1" l="1"/>
  <c r="U537" i="1" s="1"/>
  <c r="R537" i="1"/>
  <c r="T537" i="1" s="1"/>
  <c r="R538" i="1" l="1"/>
  <c r="T538" i="1" s="1"/>
  <c r="S538" i="1"/>
  <c r="U538" i="1" s="1"/>
  <c r="R539" i="1" l="1"/>
  <c r="T539" i="1" s="1"/>
  <c r="S539" i="1"/>
  <c r="U539" i="1" s="1"/>
  <c r="S540" i="1" l="1"/>
  <c r="U540" i="1" s="1"/>
  <c r="R540" i="1"/>
  <c r="T540" i="1" s="1"/>
  <c r="S541" i="1" l="1"/>
  <c r="U541" i="1" s="1"/>
  <c r="R541" i="1"/>
  <c r="T541" i="1" s="1"/>
  <c r="S542" i="1" l="1"/>
  <c r="U542" i="1" s="1"/>
  <c r="R542" i="1"/>
  <c r="T542" i="1" s="1"/>
  <c r="S543" i="1" l="1"/>
  <c r="U543" i="1" s="1"/>
  <c r="R543" i="1"/>
  <c r="T543" i="1" s="1"/>
  <c r="S544" i="1" l="1"/>
  <c r="U544" i="1" s="1"/>
  <c r="R544" i="1"/>
  <c r="T544" i="1" s="1"/>
  <c r="S545" i="1" l="1"/>
  <c r="U545" i="1" s="1"/>
  <c r="R545" i="1"/>
  <c r="T545" i="1" s="1"/>
  <c r="R546" i="1" l="1"/>
  <c r="T546" i="1" s="1"/>
  <c r="S546" i="1"/>
  <c r="U546" i="1" s="1"/>
  <c r="R547" i="1" l="1"/>
  <c r="T547" i="1" s="1"/>
  <c r="S547" i="1"/>
  <c r="U547" i="1" s="1"/>
  <c r="S548" i="1" l="1"/>
  <c r="U548" i="1" s="1"/>
  <c r="R548" i="1"/>
  <c r="T548" i="1" s="1"/>
  <c r="S549" i="1" l="1"/>
  <c r="U549" i="1" s="1"/>
  <c r="R549" i="1"/>
  <c r="T549" i="1" s="1"/>
  <c r="S550" i="1" l="1"/>
  <c r="U550" i="1" s="1"/>
  <c r="R550" i="1"/>
  <c r="T550" i="1" s="1"/>
  <c r="S551" i="1" l="1"/>
  <c r="U551" i="1" s="1"/>
  <c r="R551" i="1"/>
  <c r="T551" i="1" s="1"/>
  <c r="S552" i="1" l="1"/>
  <c r="U552" i="1" s="1"/>
  <c r="R552" i="1"/>
  <c r="T552" i="1" s="1"/>
  <c r="S553" i="1" l="1"/>
  <c r="U553" i="1" s="1"/>
  <c r="R553" i="1"/>
  <c r="T553" i="1" s="1"/>
  <c r="R554" i="1" l="1"/>
  <c r="T554" i="1" s="1"/>
  <c r="S554" i="1"/>
  <c r="U554" i="1" s="1"/>
  <c r="S555" i="1" l="1"/>
  <c r="U555" i="1" s="1"/>
  <c r="R555" i="1"/>
  <c r="T555" i="1" s="1"/>
  <c r="S556" i="1" l="1"/>
  <c r="U556" i="1" s="1"/>
  <c r="R556" i="1"/>
  <c r="T556" i="1" s="1"/>
  <c r="S557" i="1" l="1"/>
  <c r="U557" i="1" s="1"/>
  <c r="R557" i="1"/>
  <c r="T557" i="1" s="1"/>
  <c r="R558" i="1" l="1"/>
  <c r="T558" i="1" s="1"/>
  <c r="S558" i="1"/>
  <c r="U558" i="1" s="1"/>
  <c r="S559" i="1" l="1"/>
  <c r="U559" i="1" s="1"/>
  <c r="R559" i="1"/>
  <c r="T559" i="1" s="1"/>
  <c r="S560" i="1" l="1"/>
  <c r="U560" i="1" s="1"/>
  <c r="R560" i="1"/>
  <c r="T560" i="1" s="1"/>
  <c r="S561" i="1" l="1"/>
  <c r="U561" i="1" s="1"/>
  <c r="R561" i="1"/>
  <c r="T561" i="1" s="1"/>
  <c r="S562" i="1" l="1"/>
  <c r="U562" i="1" s="1"/>
  <c r="R562" i="1"/>
  <c r="T562" i="1" s="1"/>
  <c r="S563" i="1" l="1"/>
  <c r="U563" i="1" s="1"/>
  <c r="R563" i="1"/>
  <c r="T563" i="1" s="1"/>
  <c r="S564" i="1" l="1"/>
  <c r="U564" i="1" s="1"/>
  <c r="R564" i="1"/>
  <c r="T564" i="1" s="1"/>
  <c r="S565" i="1" l="1"/>
  <c r="U565" i="1" s="1"/>
  <c r="R565" i="1"/>
  <c r="T565" i="1" s="1"/>
  <c r="R566" i="1" l="1"/>
  <c r="T566" i="1" s="1"/>
  <c r="S566" i="1"/>
  <c r="U566" i="1" s="1"/>
  <c r="S567" i="1" l="1"/>
  <c r="U567" i="1" s="1"/>
  <c r="R567" i="1"/>
  <c r="T567" i="1" s="1"/>
  <c r="S568" i="1" l="1"/>
  <c r="U568" i="1" s="1"/>
  <c r="R568" i="1"/>
  <c r="T568" i="1" s="1"/>
  <c r="S569" i="1" l="1"/>
  <c r="U569" i="1" s="1"/>
  <c r="R569" i="1"/>
  <c r="T569" i="1" s="1"/>
  <c r="R570" i="1" l="1"/>
  <c r="T570" i="1" s="1"/>
  <c r="S570" i="1"/>
  <c r="U570" i="1" s="1"/>
  <c r="S571" i="1" l="1"/>
  <c r="U571" i="1" s="1"/>
  <c r="R571" i="1"/>
  <c r="T571" i="1" s="1"/>
  <c r="S572" i="1" l="1"/>
  <c r="U572" i="1" s="1"/>
  <c r="R572" i="1"/>
  <c r="T572" i="1" s="1"/>
  <c r="S573" i="1" l="1"/>
  <c r="U573" i="1" s="1"/>
  <c r="R573" i="1"/>
  <c r="T573" i="1" s="1"/>
  <c r="S574" i="1" l="1"/>
  <c r="U574" i="1" s="1"/>
  <c r="R574" i="1"/>
  <c r="T574" i="1" s="1"/>
  <c r="S575" i="1" l="1"/>
  <c r="U575" i="1" s="1"/>
  <c r="R575" i="1"/>
  <c r="T575" i="1" s="1"/>
  <c r="S576" i="1" l="1"/>
  <c r="U576" i="1" s="1"/>
  <c r="R576" i="1"/>
  <c r="T576" i="1" s="1"/>
  <c r="R577" i="1" l="1"/>
  <c r="T577" i="1" s="1"/>
  <c r="S577" i="1"/>
  <c r="U577" i="1" s="1"/>
  <c r="R578" i="1" l="1"/>
  <c r="T578" i="1" s="1"/>
  <c r="S578" i="1"/>
  <c r="U578" i="1" s="1"/>
  <c r="R579" i="1" l="1"/>
  <c r="T579" i="1" s="1"/>
  <c r="S579" i="1"/>
  <c r="U579" i="1" s="1"/>
  <c r="S580" i="1" l="1"/>
  <c r="U580" i="1" s="1"/>
  <c r="R580" i="1"/>
  <c r="T580" i="1" s="1"/>
  <c r="S581" i="1" l="1"/>
  <c r="U581" i="1" s="1"/>
  <c r="R581" i="1"/>
  <c r="T581" i="1" s="1"/>
  <c r="S582" i="1" l="1"/>
  <c r="U582" i="1" s="1"/>
  <c r="R582" i="1"/>
  <c r="T582" i="1" s="1"/>
  <c r="S583" i="1" l="1"/>
  <c r="U583" i="1" s="1"/>
  <c r="R583" i="1"/>
  <c r="T583" i="1" s="1"/>
  <c r="S584" i="1" l="1"/>
  <c r="U584" i="1" s="1"/>
  <c r="R584" i="1"/>
  <c r="T584" i="1" s="1"/>
  <c r="S585" i="1" l="1"/>
  <c r="U585" i="1" s="1"/>
  <c r="R585" i="1"/>
  <c r="T585" i="1" s="1"/>
  <c r="R586" i="1" l="1"/>
  <c r="T586" i="1" s="1"/>
  <c r="S586" i="1"/>
  <c r="U586" i="1" s="1"/>
  <c r="S587" i="1" l="1"/>
  <c r="U587" i="1" s="1"/>
  <c r="R587" i="1"/>
  <c r="T587" i="1" s="1"/>
  <c r="S588" i="1" l="1"/>
  <c r="U588" i="1" s="1"/>
  <c r="R588" i="1"/>
  <c r="T588" i="1" s="1"/>
  <c r="R589" i="1" l="1"/>
  <c r="T589" i="1" s="1"/>
  <c r="S589" i="1"/>
  <c r="U589" i="1" s="1"/>
  <c r="R590" i="1" l="1"/>
  <c r="T590" i="1" s="1"/>
  <c r="S590" i="1"/>
  <c r="U590" i="1" s="1"/>
  <c r="S591" i="1" l="1"/>
  <c r="U591" i="1" s="1"/>
  <c r="R591" i="1"/>
  <c r="T591" i="1" s="1"/>
  <c r="S592" i="1" l="1"/>
  <c r="U592" i="1" s="1"/>
  <c r="R592" i="1"/>
  <c r="T592" i="1" s="1"/>
  <c r="S593" i="1" l="1"/>
  <c r="U593" i="1" s="1"/>
  <c r="R593" i="1"/>
  <c r="T593" i="1" s="1"/>
  <c r="S594" i="1" l="1"/>
  <c r="U594" i="1" s="1"/>
  <c r="R594" i="1"/>
  <c r="T594" i="1" s="1"/>
  <c r="S595" i="1" l="1"/>
  <c r="U595" i="1" s="1"/>
  <c r="R595" i="1"/>
  <c r="T595" i="1" s="1"/>
  <c r="S596" i="1" l="1"/>
  <c r="U596" i="1" s="1"/>
  <c r="R596" i="1"/>
  <c r="T596" i="1" s="1"/>
  <c r="R597" i="1" l="1"/>
  <c r="T597" i="1" s="1"/>
  <c r="S597" i="1"/>
  <c r="U597" i="1" s="1"/>
  <c r="S598" i="1" l="1"/>
  <c r="U598" i="1" s="1"/>
  <c r="R598" i="1"/>
  <c r="T598" i="1" s="1"/>
  <c r="S599" i="1" l="1"/>
  <c r="U599" i="1" s="1"/>
  <c r="R599" i="1"/>
  <c r="T599" i="1" s="1"/>
  <c r="S600" i="1" l="1"/>
  <c r="U600" i="1" s="1"/>
  <c r="R600" i="1"/>
  <c r="T600" i="1" s="1"/>
  <c r="S601" i="1" l="1"/>
  <c r="U601" i="1" s="1"/>
  <c r="R601" i="1"/>
  <c r="T601" i="1" s="1"/>
  <c r="S602" i="1" l="1"/>
  <c r="U602" i="1" s="1"/>
  <c r="R602" i="1"/>
  <c r="T602" i="1" s="1"/>
  <c r="S603" i="1" l="1"/>
  <c r="U603" i="1" s="1"/>
  <c r="R603" i="1"/>
  <c r="T603" i="1" s="1"/>
  <c r="S604" i="1" l="1"/>
  <c r="U604" i="1" s="1"/>
  <c r="R604" i="1"/>
  <c r="T604" i="1" s="1"/>
  <c r="R605" i="1" l="1"/>
  <c r="T605" i="1" s="1"/>
  <c r="S605" i="1"/>
  <c r="U605" i="1" s="1"/>
  <c r="S606" i="1" l="1"/>
  <c r="U606" i="1" s="1"/>
  <c r="R606" i="1"/>
  <c r="T606" i="1" s="1"/>
  <c r="S607" i="1" l="1"/>
  <c r="U607" i="1" s="1"/>
  <c r="R607" i="1"/>
  <c r="T607" i="1" s="1"/>
  <c r="R608" i="1" l="1"/>
  <c r="T608" i="1" s="1"/>
  <c r="S608" i="1"/>
  <c r="U608" i="1" s="1"/>
  <c r="S609" i="1" l="1"/>
  <c r="U609" i="1" s="1"/>
  <c r="R609" i="1"/>
  <c r="T609" i="1" s="1"/>
  <c r="S610" i="1" l="1"/>
  <c r="U610" i="1" s="1"/>
  <c r="R610" i="1"/>
  <c r="T610" i="1" s="1"/>
  <c r="S611" i="1" l="1"/>
  <c r="U611" i="1" s="1"/>
  <c r="R611" i="1"/>
  <c r="T611" i="1" s="1"/>
  <c r="S612" i="1" l="1"/>
  <c r="U612" i="1" s="1"/>
  <c r="R612" i="1"/>
  <c r="T612" i="1" s="1"/>
  <c r="S613" i="1" l="1"/>
  <c r="U613" i="1" s="1"/>
  <c r="R613" i="1"/>
  <c r="T613" i="1" s="1"/>
  <c r="S614" i="1" l="1"/>
  <c r="U614" i="1" s="1"/>
  <c r="R614" i="1"/>
  <c r="T614" i="1" s="1"/>
  <c r="S615" i="1" l="1"/>
  <c r="U615" i="1" s="1"/>
  <c r="R615" i="1"/>
  <c r="T615" i="1" s="1"/>
  <c r="R616" i="1" l="1"/>
  <c r="T616" i="1" s="1"/>
  <c r="S616" i="1"/>
  <c r="U616" i="1" s="1"/>
  <c r="S617" i="1" l="1"/>
  <c r="U617" i="1" s="1"/>
  <c r="R617" i="1"/>
  <c r="T617" i="1" s="1"/>
  <c r="S618" i="1" l="1"/>
  <c r="U618" i="1" s="1"/>
  <c r="R618" i="1"/>
  <c r="T618" i="1" s="1"/>
  <c r="S619" i="1" l="1"/>
  <c r="U619" i="1" s="1"/>
  <c r="R619" i="1"/>
  <c r="T619" i="1" s="1"/>
  <c r="R620" i="1" l="1"/>
  <c r="T620" i="1" s="1"/>
  <c r="S620" i="1"/>
  <c r="U620" i="1" s="1"/>
  <c r="S621" i="1" l="1"/>
  <c r="U621" i="1" s="1"/>
  <c r="R621" i="1"/>
  <c r="T621" i="1" s="1"/>
  <c r="S622" i="1" l="1"/>
  <c r="U622" i="1" s="1"/>
  <c r="R622" i="1"/>
  <c r="T622" i="1" s="1"/>
  <c r="S623" i="1" l="1"/>
  <c r="U623" i="1" s="1"/>
  <c r="R623" i="1"/>
  <c r="T623" i="1" s="1"/>
  <c r="S624" i="1" l="1"/>
  <c r="U624" i="1" s="1"/>
  <c r="R624" i="1"/>
  <c r="T624" i="1" s="1"/>
  <c r="S625" i="1" l="1"/>
  <c r="U625" i="1" s="1"/>
  <c r="R625" i="1"/>
  <c r="T625" i="1" s="1"/>
  <c r="S626" i="1" l="1"/>
  <c r="U626" i="1" s="1"/>
  <c r="R626" i="1"/>
  <c r="T626" i="1" s="1"/>
  <c r="R627" i="1" l="1"/>
  <c r="T627" i="1" s="1"/>
  <c r="S627" i="1"/>
  <c r="U627" i="1" s="1"/>
  <c r="R628" i="1" l="1"/>
  <c r="T628" i="1" s="1"/>
  <c r="S628" i="1"/>
  <c r="U628" i="1" s="1"/>
  <c r="S629" i="1" l="1"/>
  <c r="U629" i="1" s="1"/>
  <c r="R629" i="1"/>
  <c r="T629" i="1" s="1"/>
  <c r="S630" i="1" l="1"/>
  <c r="U630" i="1" s="1"/>
  <c r="R630" i="1"/>
  <c r="T630" i="1" s="1"/>
  <c r="S631" i="1" l="1"/>
  <c r="U631" i="1" s="1"/>
  <c r="R631" i="1"/>
  <c r="T631" i="1" s="1"/>
  <c r="S632" i="1" l="1"/>
  <c r="U632" i="1" s="1"/>
  <c r="R632" i="1"/>
  <c r="T632" i="1" s="1"/>
  <c r="S633" i="1" l="1"/>
  <c r="U633" i="1" s="1"/>
  <c r="R633" i="1"/>
  <c r="T633" i="1" s="1"/>
  <c r="R634" i="1" l="1"/>
  <c r="T634" i="1" s="1"/>
  <c r="S634" i="1"/>
  <c r="U634" i="1" s="1"/>
  <c r="S635" i="1" l="1"/>
  <c r="U635" i="1" s="1"/>
  <c r="R635" i="1"/>
  <c r="T635" i="1" s="1"/>
  <c r="S636" i="1" l="1"/>
  <c r="U636" i="1" s="1"/>
  <c r="R636" i="1"/>
  <c r="T636" i="1" s="1"/>
  <c r="S637" i="1" l="1"/>
  <c r="U637" i="1" s="1"/>
  <c r="R637" i="1"/>
  <c r="T637" i="1" s="1"/>
  <c r="S638" i="1" l="1"/>
  <c r="U638" i="1" s="1"/>
  <c r="R638" i="1"/>
  <c r="T638" i="1" s="1"/>
  <c r="S639" i="1" l="1"/>
  <c r="U639" i="1" s="1"/>
  <c r="R639" i="1"/>
  <c r="T639" i="1" s="1"/>
  <c r="S640" i="1" l="1"/>
  <c r="U640" i="1" s="1"/>
  <c r="R640" i="1"/>
  <c r="T640" i="1" s="1"/>
  <c r="S641" i="1" l="1"/>
  <c r="U641" i="1" s="1"/>
  <c r="R641" i="1"/>
  <c r="T641" i="1" s="1"/>
  <c r="S642" i="1" l="1"/>
  <c r="U642" i="1" s="1"/>
  <c r="R642" i="1"/>
  <c r="T642" i="1" s="1"/>
  <c r="S643" i="1" l="1"/>
  <c r="U643" i="1" s="1"/>
  <c r="R643" i="1"/>
  <c r="T643" i="1" s="1"/>
  <c r="S644" i="1" l="1"/>
  <c r="U644" i="1" s="1"/>
  <c r="R644" i="1"/>
  <c r="T644" i="1" s="1"/>
  <c r="S645" i="1" l="1"/>
  <c r="U645" i="1" s="1"/>
  <c r="R645" i="1"/>
  <c r="T645" i="1" s="1"/>
  <c r="R646" i="1" l="1"/>
  <c r="T646" i="1" s="1"/>
  <c r="S646" i="1"/>
  <c r="U646" i="1" s="1"/>
  <c r="S647" i="1" l="1"/>
  <c r="U647" i="1" s="1"/>
  <c r="R647" i="1"/>
  <c r="T647" i="1" s="1"/>
  <c r="S648" i="1" l="1"/>
  <c r="U648" i="1" s="1"/>
  <c r="R648" i="1"/>
  <c r="T648" i="1" s="1"/>
  <c r="S649" i="1" l="1"/>
  <c r="U649" i="1" s="1"/>
  <c r="R649" i="1"/>
  <c r="T649" i="1" s="1"/>
  <c r="R650" i="1" l="1"/>
  <c r="T650" i="1" s="1"/>
  <c r="S650" i="1"/>
  <c r="U650" i="1" s="1"/>
  <c r="S651" i="1" l="1"/>
  <c r="U651" i="1" s="1"/>
  <c r="R651" i="1"/>
  <c r="T651" i="1" s="1"/>
  <c r="S652" i="1" l="1"/>
  <c r="U652" i="1" s="1"/>
  <c r="R652" i="1"/>
  <c r="T652" i="1" s="1"/>
  <c r="S653" i="1" l="1"/>
  <c r="U653" i="1" s="1"/>
  <c r="R653" i="1"/>
  <c r="T653" i="1" s="1"/>
  <c r="S654" i="1" l="1"/>
  <c r="U654" i="1" s="1"/>
  <c r="R654" i="1"/>
  <c r="T654" i="1" s="1"/>
  <c r="R655" i="1" l="1"/>
  <c r="T655" i="1" s="1"/>
  <c r="S655" i="1"/>
  <c r="U655" i="1" s="1"/>
  <c r="S656" i="1" l="1"/>
  <c r="U656" i="1" s="1"/>
  <c r="R656" i="1"/>
  <c r="T656" i="1" s="1"/>
  <c r="S657" i="1" l="1"/>
  <c r="U657" i="1" s="1"/>
  <c r="R657" i="1"/>
  <c r="T657" i="1" s="1"/>
  <c r="R658" i="1" l="1"/>
  <c r="T658" i="1" s="1"/>
  <c r="S658" i="1"/>
  <c r="U658" i="1" s="1"/>
  <c r="S659" i="1" l="1"/>
  <c r="U659" i="1" s="1"/>
  <c r="R659" i="1"/>
  <c r="T659" i="1" s="1"/>
  <c r="S660" i="1" l="1"/>
  <c r="U660" i="1" s="1"/>
  <c r="R660" i="1"/>
  <c r="T660" i="1" s="1"/>
  <c r="S661" i="1" l="1"/>
  <c r="U661" i="1" s="1"/>
  <c r="R661" i="1"/>
  <c r="T661" i="1" s="1"/>
  <c r="S662" i="1" l="1"/>
  <c r="U662" i="1" s="1"/>
  <c r="R662" i="1"/>
  <c r="T662" i="1" s="1"/>
  <c r="S663" i="1" l="1"/>
  <c r="U663" i="1" s="1"/>
  <c r="R663" i="1"/>
  <c r="T663" i="1" s="1"/>
  <c r="S664" i="1" l="1"/>
  <c r="U664" i="1" s="1"/>
  <c r="R664" i="1"/>
  <c r="T664" i="1" s="1"/>
  <c r="R665" i="1" l="1"/>
  <c r="T665" i="1" s="1"/>
  <c r="S665" i="1"/>
  <c r="U665" i="1" s="1"/>
  <c r="S666" i="1" l="1"/>
  <c r="U666" i="1" s="1"/>
  <c r="R666" i="1"/>
  <c r="T666" i="1" s="1"/>
  <c r="S667" i="1" l="1"/>
  <c r="U667" i="1" s="1"/>
  <c r="R667" i="1"/>
  <c r="T667" i="1" s="1"/>
  <c r="S668" i="1" l="1"/>
  <c r="U668" i="1" s="1"/>
  <c r="R668" i="1"/>
  <c r="T668" i="1" s="1"/>
  <c r="R669" i="1" l="1"/>
  <c r="T669" i="1" s="1"/>
  <c r="S669" i="1"/>
  <c r="U669" i="1" s="1"/>
  <c r="S670" i="1" l="1"/>
  <c r="U670" i="1" s="1"/>
  <c r="R670" i="1"/>
  <c r="T670" i="1" s="1"/>
  <c r="S671" i="1" l="1"/>
  <c r="U671" i="1" s="1"/>
  <c r="R671" i="1"/>
  <c r="T671" i="1" s="1"/>
  <c r="S672" i="1" l="1"/>
  <c r="U672" i="1" s="1"/>
  <c r="R672" i="1"/>
  <c r="T672" i="1" s="1"/>
  <c r="S673" i="1" l="1"/>
  <c r="U673" i="1" s="1"/>
  <c r="R673" i="1"/>
  <c r="T673" i="1" s="1"/>
  <c r="R674" i="1" l="1"/>
  <c r="T674" i="1" s="1"/>
  <c r="S674" i="1"/>
  <c r="U674" i="1" s="1"/>
  <c r="S675" i="1" l="1"/>
  <c r="U675" i="1" s="1"/>
  <c r="R675" i="1"/>
  <c r="T675" i="1" s="1"/>
  <c r="S676" i="1" l="1"/>
  <c r="U676" i="1" s="1"/>
  <c r="R676" i="1"/>
  <c r="T676" i="1" s="1"/>
  <c r="S677" i="1" l="1"/>
  <c r="U677" i="1" s="1"/>
  <c r="R677" i="1"/>
  <c r="T677" i="1" s="1"/>
  <c r="S678" i="1" l="1"/>
  <c r="U678" i="1" s="1"/>
  <c r="R678" i="1"/>
  <c r="T678" i="1" s="1"/>
  <c r="S679" i="1" l="1"/>
  <c r="U679" i="1" s="1"/>
  <c r="R679" i="1"/>
  <c r="T679" i="1" s="1"/>
  <c r="S680" i="1" l="1"/>
  <c r="U680" i="1" s="1"/>
  <c r="R680" i="1"/>
  <c r="T680" i="1" s="1"/>
  <c r="S681" i="1" l="1"/>
  <c r="U681" i="1" s="1"/>
  <c r="R681" i="1"/>
  <c r="T681" i="1" s="1"/>
  <c r="R682" i="1" l="1"/>
  <c r="T682" i="1" s="1"/>
  <c r="S682" i="1"/>
  <c r="U682" i="1" s="1"/>
  <c r="S683" i="1" l="1"/>
  <c r="U683" i="1" s="1"/>
  <c r="R683" i="1"/>
  <c r="T683" i="1" s="1"/>
  <c r="S684" i="1" l="1"/>
  <c r="U684" i="1" s="1"/>
  <c r="R684" i="1"/>
  <c r="T684" i="1" s="1"/>
  <c r="S685" i="1" l="1"/>
  <c r="U685" i="1" s="1"/>
  <c r="R685" i="1"/>
  <c r="T685" i="1" s="1"/>
  <c r="S686" i="1" l="1"/>
  <c r="U686" i="1" s="1"/>
  <c r="R686" i="1"/>
  <c r="T686" i="1" s="1"/>
  <c r="S687" i="1" l="1"/>
  <c r="U687" i="1" s="1"/>
  <c r="R687" i="1"/>
  <c r="T687" i="1" s="1"/>
  <c r="S688" i="1" l="1"/>
  <c r="U688" i="1" s="1"/>
  <c r="R688" i="1"/>
  <c r="T688" i="1" s="1"/>
  <c r="S689" i="1" l="1"/>
  <c r="U689" i="1" s="1"/>
  <c r="R689" i="1"/>
  <c r="T689" i="1" s="1"/>
  <c r="R690" i="1" l="1"/>
  <c r="T690" i="1" s="1"/>
  <c r="S690" i="1"/>
  <c r="U690" i="1" s="1"/>
  <c r="S691" i="1" l="1"/>
  <c r="U691" i="1" s="1"/>
  <c r="R691" i="1"/>
  <c r="T691" i="1" s="1"/>
  <c r="S692" i="1" l="1"/>
  <c r="U692" i="1" s="1"/>
  <c r="R692" i="1"/>
  <c r="T692" i="1" s="1"/>
  <c r="S693" i="1" l="1"/>
  <c r="U693" i="1" s="1"/>
  <c r="R693" i="1"/>
  <c r="T693" i="1" s="1"/>
  <c r="R694" i="1" l="1"/>
  <c r="T694" i="1" s="1"/>
  <c r="S694" i="1"/>
  <c r="U694" i="1" s="1"/>
  <c r="S695" i="1" l="1"/>
  <c r="U695" i="1" s="1"/>
  <c r="R695" i="1"/>
  <c r="T695" i="1" s="1"/>
  <c r="S696" i="1" l="1"/>
  <c r="U696" i="1" s="1"/>
  <c r="R696" i="1"/>
  <c r="T696" i="1" s="1"/>
  <c r="R697" i="1" l="1"/>
  <c r="T697" i="1" s="1"/>
  <c r="S697" i="1"/>
  <c r="U697" i="1" s="1"/>
  <c r="S698" i="1" l="1"/>
  <c r="U698" i="1" s="1"/>
  <c r="R698" i="1"/>
  <c r="T698" i="1" s="1"/>
  <c r="S699" i="1" l="1"/>
  <c r="U699" i="1" s="1"/>
  <c r="R699" i="1"/>
  <c r="T699" i="1" s="1"/>
  <c r="S700" i="1" l="1"/>
  <c r="U700" i="1" s="1"/>
  <c r="R700" i="1"/>
  <c r="T700" i="1" s="1"/>
  <c r="S701" i="1" l="1"/>
  <c r="U701" i="1" s="1"/>
  <c r="R701" i="1"/>
  <c r="T701" i="1" s="1"/>
  <c r="S702" i="1" l="1"/>
  <c r="U702" i="1" s="1"/>
  <c r="R702" i="1"/>
  <c r="T702" i="1" s="1"/>
  <c r="S703" i="1" l="1"/>
  <c r="U703" i="1" s="1"/>
  <c r="R703" i="1"/>
  <c r="T703" i="1" s="1"/>
  <c r="S704" i="1" l="1"/>
  <c r="U704" i="1" s="1"/>
  <c r="R704" i="1"/>
  <c r="T704" i="1" s="1"/>
  <c r="S705" i="1" l="1"/>
  <c r="U705" i="1" s="1"/>
  <c r="R705" i="1"/>
  <c r="T705" i="1" s="1"/>
  <c r="R706" i="1" l="1"/>
  <c r="T706" i="1" s="1"/>
  <c r="S706" i="1"/>
  <c r="U706" i="1" s="1"/>
  <c r="S707" i="1" l="1"/>
  <c r="U707" i="1" s="1"/>
  <c r="R707" i="1"/>
  <c r="T707" i="1" s="1"/>
  <c r="S708" i="1" l="1"/>
  <c r="U708" i="1" s="1"/>
  <c r="R708" i="1"/>
  <c r="T708" i="1" s="1"/>
  <c r="S709" i="1" l="1"/>
  <c r="U709" i="1" s="1"/>
  <c r="R709" i="1"/>
  <c r="T709" i="1" s="1"/>
  <c r="S710" i="1" l="1"/>
  <c r="U710" i="1" s="1"/>
  <c r="R710" i="1"/>
  <c r="T710" i="1" s="1"/>
  <c r="S711" i="1" l="1"/>
  <c r="U711" i="1" s="1"/>
  <c r="R711" i="1"/>
  <c r="T711" i="1" s="1"/>
  <c r="S712" i="1" l="1"/>
  <c r="U712" i="1" s="1"/>
  <c r="R712" i="1"/>
  <c r="T712" i="1" s="1"/>
  <c r="S713" i="1" l="1"/>
  <c r="U713" i="1" s="1"/>
  <c r="R713" i="1"/>
  <c r="T713" i="1" s="1"/>
  <c r="R714" i="1" l="1"/>
  <c r="T714" i="1" s="1"/>
  <c r="S714" i="1"/>
  <c r="U714" i="1" s="1"/>
  <c r="S715" i="1" l="1"/>
  <c r="U715" i="1" s="1"/>
  <c r="R715" i="1"/>
  <c r="T715" i="1" s="1"/>
  <c r="S716" i="1" l="1"/>
  <c r="U716" i="1" s="1"/>
  <c r="R716" i="1"/>
  <c r="T716" i="1" s="1"/>
  <c r="S717" i="1" l="1"/>
  <c r="U717" i="1" s="1"/>
  <c r="R717" i="1"/>
  <c r="T717" i="1" s="1"/>
  <c r="S718" i="1" l="1"/>
  <c r="U718" i="1" s="1"/>
  <c r="R718" i="1"/>
  <c r="T718" i="1" s="1"/>
  <c r="S719" i="1" l="1"/>
  <c r="U719" i="1" s="1"/>
  <c r="R719" i="1"/>
  <c r="T719" i="1" s="1"/>
  <c r="S720" i="1" l="1"/>
  <c r="U720" i="1" s="1"/>
  <c r="R720" i="1"/>
  <c r="T720" i="1" s="1"/>
  <c r="S721" i="1" l="1"/>
  <c r="U721" i="1" s="1"/>
  <c r="R721" i="1"/>
  <c r="T721" i="1" s="1"/>
  <c r="R722" i="1" l="1"/>
  <c r="T722" i="1" s="1"/>
  <c r="S722" i="1"/>
  <c r="U722" i="1" s="1"/>
  <c r="S723" i="1" l="1"/>
  <c r="U723" i="1" s="1"/>
  <c r="R723" i="1"/>
  <c r="T723" i="1" s="1"/>
  <c r="S724" i="1" l="1"/>
  <c r="U724" i="1" s="1"/>
  <c r="R724" i="1"/>
  <c r="T724" i="1" s="1"/>
  <c r="S725" i="1" l="1"/>
  <c r="U725" i="1" s="1"/>
  <c r="R725" i="1"/>
  <c r="T725" i="1" s="1"/>
  <c r="S726" i="1" l="1"/>
  <c r="U726" i="1" s="1"/>
  <c r="R726" i="1"/>
  <c r="T726" i="1" s="1"/>
  <c r="S727" i="1" l="1"/>
  <c r="U727" i="1" s="1"/>
  <c r="R727" i="1"/>
  <c r="T727" i="1" s="1"/>
  <c r="S728" i="1" l="1"/>
  <c r="U728" i="1" s="1"/>
  <c r="R728" i="1"/>
  <c r="T728" i="1" s="1"/>
  <c r="S729" i="1" l="1"/>
  <c r="U729" i="1" s="1"/>
  <c r="R729" i="1"/>
  <c r="T729" i="1" s="1"/>
  <c r="S730" i="1" l="1"/>
  <c r="U730" i="1" s="1"/>
  <c r="R730" i="1"/>
  <c r="T730" i="1" s="1"/>
  <c r="S731" i="1" l="1"/>
  <c r="U731" i="1" s="1"/>
  <c r="R731" i="1"/>
  <c r="T731" i="1" s="1"/>
  <c r="S732" i="1" l="1"/>
  <c r="U732" i="1" s="1"/>
  <c r="R732" i="1"/>
  <c r="T732" i="1" s="1"/>
  <c r="R733" i="1" l="1"/>
  <c r="T733" i="1" s="1"/>
  <c r="S733" i="1"/>
  <c r="U733" i="1" s="1"/>
  <c r="S734" i="1" l="1"/>
  <c r="U734" i="1" s="1"/>
  <c r="R734" i="1"/>
  <c r="T734" i="1" s="1"/>
  <c r="S735" i="1" l="1"/>
  <c r="U735" i="1" s="1"/>
  <c r="R735" i="1"/>
  <c r="T735" i="1" s="1"/>
  <c r="S736" i="1" l="1"/>
  <c r="U736" i="1" s="1"/>
  <c r="R736" i="1"/>
  <c r="T736" i="1" s="1"/>
  <c r="S737" i="1" l="1"/>
  <c r="U737" i="1" s="1"/>
  <c r="R737" i="1"/>
  <c r="T737" i="1" s="1"/>
  <c r="S738" i="1" l="1"/>
  <c r="U738" i="1" s="1"/>
  <c r="R738" i="1"/>
  <c r="T738" i="1" s="1"/>
  <c r="S739" i="1" l="1"/>
  <c r="U739" i="1" s="1"/>
  <c r="R739" i="1"/>
  <c r="T739" i="1" s="1"/>
  <c r="S740" i="1" l="1"/>
  <c r="U740" i="1" s="1"/>
  <c r="R740" i="1"/>
  <c r="T740" i="1" s="1"/>
  <c r="S741" i="1" l="1"/>
  <c r="U741" i="1" s="1"/>
  <c r="R741" i="1"/>
  <c r="T741" i="1" s="1"/>
  <c r="S742" i="1" l="1"/>
  <c r="U742" i="1" s="1"/>
  <c r="R742" i="1"/>
  <c r="T742" i="1" s="1"/>
  <c r="S743" i="1" l="1"/>
  <c r="U743" i="1" s="1"/>
  <c r="R743" i="1"/>
  <c r="T743" i="1" s="1"/>
  <c r="S744" i="1" l="1"/>
  <c r="U744" i="1" s="1"/>
  <c r="R744" i="1"/>
  <c r="T744" i="1" s="1"/>
  <c r="S745" i="1" l="1"/>
  <c r="U745" i="1" s="1"/>
  <c r="R745" i="1"/>
  <c r="T745" i="1" s="1"/>
  <c r="S746" i="1" l="1"/>
  <c r="U746" i="1" s="1"/>
  <c r="R746" i="1"/>
  <c r="T746" i="1" s="1"/>
  <c r="R747" i="1" l="1"/>
  <c r="T747" i="1" s="1"/>
  <c r="S747" i="1"/>
  <c r="U747" i="1" s="1"/>
  <c r="S748" i="1" l="1"/>
  <c r="U748" i="1" s="1"/>
  <c r="R748" i="1"/>
  <c r="T748" i="1" s="1"/>
  <c r="R749" i="1" l="1"/>
  <c r="T749" i="1" s="1"/>
  <c r="S749" i="1"/>
  <c r="U749" i="1" s="1"/>
  <c r="S750" i="1" l="1"/>
  <c r="U750" i="1" s="1"/>
  <c r="R750" i="1"/>
  <c r="T750" i="1" s="1"/>
  <c r="S751" i="1" l="1"/>
  <c r="U751" i="1" s="1"/>
  <c r="R751" i="1"/>
  <c r="T751" i="1" s="1"/>
  <c r="S752" i="1" l="1"/>
  <c r="U752" i="1" s="1"/>
  <c r="R752" i="1"/>
  <c r="T752" i="1" s="1"/>
  <c r="S753" i="1" l="1"/>
  <c r="U753" i="1" s="1"/>
  <c r="R753" i="1"/>
  <c r="T753" i="1" s="1"/>
  <c r="S754" i="1" l="1"/>
  <c r="U754" i="1" s="1"/>
  <c r="R754" i="1"/>
  <c r="T754" i="1" s="1"/>
  <c r="S755" i="1" l="1"/>
  <c r="U755" i="1" s="1"/>
  <c r="R755" i="1"/>
  <c r="T755" i="1" s="1"/>
  <c r="R756" i="1" l="1"/>
  <c r="T756" i="1" s="1"/>
  <c r="S756" i="1"/>
  <c r="U756" i="1" s="1"/>
  <c r="R757" i="1" l="1"/>
  <c r="T757" i="1" s="1"/>
  <c r="S757" i="1"/>
  <c r="U757" i="1" s="1"/>
  <c r="S758" i="1" l="1"/>
  <c r="U758" i="1" s="1"/>
  <c r="R758" i="1"/>
  <c r="T758" i="1" s="1"/>
  <c r="S759" i="1" l="1"/>
  <c r="U759" i="1" s="1"/>
  <c r="R759" i="1"/>
  <c r="T759" i="1" s="1"/>
  <c r="S760" i="1" l="1"/>
  <c r="U760" i="1" s="1"/>
  <c r="R760" i="1"/>
  <c r="T760" i="1" s="1"/>
  <c r="S761" i="1" l="1"/>
  <c r="U761" i="1" s="1"/>
  <c r="R761" i="1"/>
  <c r="T761" i="1" s="1"/>
  <c r="S762" i="1" l="1"/>
  <c r="U762" i="1" s="1"/>
  <c r="R762" i="1"/>
  <c r="T762" i="1" s="1"/>
  <c r="R763" i="1" l="1"/>
  <c r="T763" i="1" s="1"/>
  <c r="S763" i="1"/>
  <c r="U763" i="1" s="1"/>
  <c r="R764" i="1" l="1"/>
  <c r="T764" i="1" s="1"/>
  <c r="S764" i="1"/>
  <c r="U764" i="1" s="1"/>
  <c r="S765" i="1" l="1"/>
  <c r="U765" i="1" s="1"/>
  <c r="R765" i="1"/>
  <c r="T765" i="1" s="1"/>
  <c r="S766" i="1" l="1"/>
  <c r="U766" i="1" s="1"/>
  <c r="R766" i="1"/>
  <c r="T766" i="1" s="1"/>
  <c r="S767" i="1" l="1"/>
  <c r="U767" i="1" s="1"/>
  <c r="R767" i="1"/>
  <c r="T767" i="1" s="1"/>
  <c r="S768" i="1" l="1"/>
  <c r="U768" i="1" s="1"/>
  <c r="R768" i="1"/>
  <c r="T768" i="1" s="1"/>
  <c r="S769" i="1" l="1"/>
  <c r="U769" i="1" s="1"/>
  <c r="R769" i="1"/>
  <c r="T769" i="1" s="1"/>
  <c r="S770" i="1" l="1"/>
  <c r="U770" i="1" s="1"/>
  <c r="R770" i="1"/>
  <c r="T770" i="1" s="1"/>
  <c r="S771" i="1" l="1"/>
  <c r="U771" i="1" s="1"/>
  <c r="R771" i="1"/>
  <c r="T771" i="1" s="1"/>
  <c r="S772" i="1" l="1"/>
  <c r="U772" i="1" s="1"/>
  <c r="R772" i="1"/>
  <c r="T772" i="1" s="1"/>
  <c r="S773" i="1" l="1"/>
  <c r="U773" i="1" s="1"/>
  <c r="R773" i="1"/>
  <c r="T773" i="1" s="1"/>
  <c r="S774" i="1" l="1"/>
  <c r="U774" i="1" s="1"/>
  <c r="R774" i="1"/>
  <c r="T774" i="1" s="1"/>
  <c r="S775" i="1" l="1"/>
  <c r="U775" i="1" s="1"/>
  <c r="R775" i="1"/>
  <c r="T775" i="1" s="1"/>
  <c r="S776" i="1" l="1"/>
  <c r="U776" i="1" s="1"/>
  <c r="R776" i="1"/>
  <c r="T776" i="1" s="1"/>
  <c r="S777" i="1" l="1"/>
  <c r="U777" i="1" s="1"/>
  <c r="R777" i="1"/>
  <c r="T777" i="1" s="1"/>
  <c r="S778" i="1" l="1"/>
  <c r="U778" i="1" s="1"/>
  <c r="R778" i="1"/>
  <c r="T778" i="1" s="1"/>
  <c r="S779" i="1" l="1"/>
  <c r="U779" i="1" s="1"/>
  <c r="R779" i="1"/>
  <c r="T779" i="1" s="1"/>
  <c r="S780" i="1" l="1"/>
  <c r="U780" i="1" s="1"/>
  <c r="R780" i="1"/>
  <c r="T780" i="1" s="1"/>
  <c r="S781" i="1" l="1"/>
  <c r="U781" i="1" s="1"/>
  <c r="R781" i="1"/>
  <c r="T781" i="1" s="1"/>
  <c r="S782" i="1" l="1"/>
  <c r="U782" i="1" s="1"/>
  <c r="R782" i="1"/>
  <c r="T782" i="1" s="1"/>
  <c r="S783" i="1" l="1"/>
  <c r="U783" i="1" s="1"/>
  <c r="R783" i="1"/>
  <c r="T783" i="1" s="1"/>
  <c r="S784" i="1" l="1"/>
  <c r="U784" i="1" s="1"/>
  <c r="R784" i="1"/>
  <c r="T784" i="1" s="1"/>
  <c r="S785" i="1" l="1"/>
  <c r="U785" i="1" s="1"/>
  <c r="R785" i="1"/>
  <c r="T785" i="1" s="1"/>
  <c r="S786" i="1" l="1"/>
  <c r="U786" i="1" s="1"/>
  <c r="R786" i="1"/>
  <c r="T786" i="1" s="1"/>
  <c r="R787" i="1" l="1"/>
  <c r="T787" i="1" s="1"/>
  <c r="S787" i="1"/>
  <c r="U787" i="1" s="1"/>
  <c r="R788" i="1" l="1"/>
  <c r="T788" i="1" s="1"/>
  <c r="S788" i="1"/>
  <c r="U788" i="1" s="1"/>
  <c r="S789" i="1" l="1"/>
  <c r="U789" i="1" s="1"/>
  <c r="R789" i="1"/>
  <c r="T789" i="1" s="1"/>
  <c r="S790" i="1" l="1"/>
  <c r="U790" i="1" s="1"/>
  <c r="R790" i="1"/>
  <c r="T790" i="1" s="1"/>
  <c r="S791" i="1" l="1"/>
  <c r="U791" i="1" s="1"/>
  <c r="R791" i="1"/>
  <c r="T791" i="1" s="1"/>
  <c r="S792" i="1" l="1"/>
  <c r="U792" i="1" s="1"/>
  <c r="R792" i="1"/>
  <c r="T792" i="1" s="1"/>
  <c r="S793" i="1" l="1"/>
  <c r="U793" i="1" s="1"/>
  <c r="R793" i="1"/>
  <c r="T793" i="1" s="1"/>
  <c r="R794" i="1" l="1"/>
  <c r="T794" i="1" s="1"/>
  <c r="S794" i="1"/>
  <c r="U794" i="1" s="1"/>
  <c r="R795" i="1" l="1"/>
  <c r="T795" i="1" s="1"/>
  <c r="S795" i="1"/>
  <c r="U795" i="1" s="1"/>
  <c r="S796" i="1" l="1"/>
  <c r="U796" i="1" s="1"/>
  <c r="R796" i="1"/>
  <c r="T796" i="1" s="1"/>
  <c r="S797" i="1" l="1"/>
  <c r="U797" i="1" s="1"/>
  <c r="R797" i="1"/>
  <c r="T797" i="1" s="1"/>
  <c r="S798" i="1" l="1"/>
  <c r="U798" i="1" s="1"/>
  <c r="R798" i="1"/>
  <c r="T798" i="1" s="1"/>
  <c r="S799" i="1" l="1"/>
  <c r="U799" i="1" s="1"/>
  <c r="R799" i="1"/>
  <c r="T799" i="1" s="1"/>
  <c r="S800" i="1" l="1"/>
  <c r="U800" i="1" s="1"/>
  <c r="R800" i="1"/>
  <c r="T800" i="1" s="1"/>
  <c r="S801" i="1" l="1"/>
  <c r="U801" i="1" s="1"/>
  <c r="R801" i="1"/>
  <c r="T801" i="1" s="1"/>
  <c r="S802" i="1" l="1"/>
  <c r="U802" i="1" s="1"/>
  <c r="R802" i="1"/>
  <c r="T802" i="1" s="1"/>
  <c r="R803" i="1" l="1"/>
  <c r="T803" i="1" s="1"/>
  <c r="S803" i="1"/>
  <c r="U803" i="1" s="1"/>
  <c r="R804" i="1" l="1"/>
  <c r="T804" i="1" s="1"/>
  <c r="S804" i="1"/>
  <c r="U804" i="1" s="1"/>
  <c r="S805" i="1" l="1"/>
  <c r="U805" i="1" s="1"/>
  <c r="R805" i="1"/>
  <c r="T805" i="1" s="1"/>
  <c r="S806" i="1" l="1"/>
  <c r="U806" i="1" s="1"/>
  <c r="R806" i="1"/>
  <c r="T806" i="1" s="1"/>
  <c r="S807" i="1" l="1"/>
  <c r="U807" i="1" s="1"/>
  <c r="R807" i="1"/>
  <c r="T807" i="1" s="1"/>
  <c r="S808" i="1" l="1"/>
  <c r="U808" i="1" s="1"/>
  <c r="R808" i="1"/>
  <c r="T808" i="1" s="1"/>
  <c r="R809" i="1" l="1"/>
  <c r="T809" i="1" s="1"/>
  <c r="S809" i="1"/>
  <c r="U809" i="1" s="1"/>
  <c r="R810" i="1" l="1"/>
  <c r="T810" i="1" s="1"/>
  <c r="S810" i="1"/>
  <c r="U810" i="1" s="1"/>
  <c r="S811" i="1" l="1"/>
  <c r="U811" i="1" s="1"/>
  <c r="R811" i="1"/>
  <c r="T811" i="1" s="1"/>
  <c r="S812" i="1" l="1"/>
  <c r="U812" i="1" s="1"/>
  <c r="R812" i="1"/>
  <c r="T812" i="1" s="1"/>
  <c r="S813" i="1" l="1"/>
  <c r="U813" i="1" s="1"/>
  <c r="R813" i="1"/>
  <c r="T813" i="1" s="1"/>
  <c r="S814" i="1" l="1"/>
  <c r="U814" i="1" s="1"/>
  <c r="R814" i="1"/>
  <c r="T814" i="1" s="1"/>
  <c r="S815" i="1" l="1"/>
  <c r="U815" i="1" s="1"/>
  <c r="R815" i="1"/>
  <c r="T815" i="1" s="1"/>
  <c r="S816" i="1" l="1"/>
  <c r="U816" i="1" s="1"/>
  <c r="R816" i="1"/>
  <c r="T816" i="1" s="1"/>
  <c r="S817" i="1" l="1"/>
  <c r="U817" i="1" s="1"/>
  <c r="R817" i="1"/>
  <c r="T817" i="1" s="1"/>
  <c r="R818" i="1" l="1"/>
  <c r="T818" i="1" s="1"/>
  <c r="S818" i="1"/>
  <c r="U818" i="1" s="1"/>
  <c r="S819" i="1" l="1"/>
  <c r="U819" i="1" s="1"/>
  <c r="R819" i="1"/>
  <c r="T819" i="1" s="1"/>
  <c r="R820" i="1" l="1"/>
  <c r="T820" i="1" s="1"/>
  <c r="S820" i="1"/>
  <c r="U820" i="1" s="1"/>
  <c r="S821" i="1" l="1"/>
  <c r="U821" i="1" s="1"/>
  <c r="R821" i="1"/>
  <c r="T821" i="1" s="1"/>
  <c r="S822" i="1" l="1"/>
  <c r="U822" i="1" s="1"/>
  <c r="R822" i="1"/>
  <c r="T822" i="1" s="1"/>
  <c r="S823" i="1" l="1"/>
  <c r="U823" i="1" s="1"/>
  <c r="R823" i="1"/>
  <c r="T823" i="1" s="1"/>
  <c r="S824" i="1" l="1"/>
  <c r="U824" i="1" s="1"/>
  <c r="R824" i="1"/>
  <c r="T824" i="1" s="1"/>
  <c r="S825" i="1" l="1"/>
  <c r="U825" i="1" s="1"/>
  <c r="R825" i="1"/>
  <c r="T825" i="1" s="1"/>
  <c r="R826" i="1" l="1"/>
  <c r="T826" i="1" s="1"/>
  <c r="S826" i="1"/>
  <c r="U826" i="1" s="1"/>
  <c r="S827" i="1" l="1"/>
  <c r="U827" i="1" s="1"/>
  <c r="R827" i="1"/>
  <c r="T827" i="1" s="1"/>
  <c r="S828" i="1" l="1"/>
  <c r="U828" i="1" s="1"/>
  <c r="R828" i="1"/>
  <c r="T828" i="1" s="1"/>
  <c r="R829" i="1" l="1"/>
  <c r="T829" i="1" s="1"/>
  <c r="S829" i="1"/>
  <c r="U829" i="1" s="1"/>
  <c r="S830" i="1" l="1"/>
  <c r="U830" i="1" s="1"/>
  <c r="R830" i="1"/>
  <c r="T830" i="1" s="1"/>
  <c r="S831" i="1" l="1"/>
  <c r="U831" i="1" s="1"/>
  <c r="R831" i="1"/>
  <c r="T831" i="1" s="1"/>
  <c r="R832" i="1" l="1"/>
  <c r="T832" i="1" s="1"/>
  <c r="S832" i="1"/>
  <c r="U832" i="1" s="1"/>
  <c r="S833" i="1" l="1"/>
  <c r="U833" i="1" s="1"/>
  <c r="R833" i="1"/>
  <c r="T833" i="1" s="1"/>
  <c r="R834" i="1" l="1"/>
  <c r="T834" i="1" s="1"/>
  <c r="S834" i="1"/>
  <c r="U834" i="1" s="1"/>
  <c r="S835" i="1" l="1"/>
  <c r="U835" i="1" s="1"/>
  <c r="R835" i="1"/>
  <c r="T835" i="1" s="1"/>
  <c r="R836" i="1" l="1"/>
  <c r="T836" i="1" s="1"/>
  <c r="S836" i="1"/>
  <c r="U836" i="1" s="1"/>
  <c r="R837" i="1" l="1"/>
  <c r="T837" i="1" s="1"/>
  <c r="S837" i="1"/>
  <c r="U837" i="1" s="1"/>
  <c r="S838" i="1" l="1"/>
  <c r="U838" i="1" s="1"/>
  <c r="R838" i="1"/>
  <c r="T838" i="1" s="1"/>
  <c r="S839" i="1" l="1"/>
  <c r="U839" i="1" s="1"/>
  <c r="R839" i="1"/>
  <c r="T839" i="1" s="1"/>
  <c r="S840" i="1" l="1"/>
  <c r="U840" i="1" s="1"/>
  <c r="R840" i="1"/>
  <c r="T840" i="1" s="1"/>
  <c r="S841" i="1" l="1"/>
  <c r="U841" i="1" s="1"/>
  <c r="R841" i="1"/>
  <c r="T841" i="1" s="1"/>
  <c r="S842" i="1" l="1"/>
  <c r="U842" i="1" s="1"/>
  <c r="R842" i="1"/>
  <c r="T842" i="1" s="1"/>
  <c r="R843" i="1" l="1"/>
  <c r="T843" i="1" s="1"/>
  <c r="S843" i="1"/>
  <c r="U843" i="1" s="1"/>
  <c r="S844" i="1" l="1"/>
  <c r="U844" i="1" s="1"/>
  <c r="R844" i="1"/>
  <c r="T844" i="1" s="1"/>
  <c r="S845" i="1" l="1"/>
  <c r="U845" i="1" s="1"/>
  <c r="R845" i="1"/>
  <c r="T845" i="1" s="1"/>
  <c r="S846" i="1" l="1"/>
  <c r="U846" i="1" s="1"/>
  <c r="R846" i="1"/>
  <c r="T846" i="1" s="1"/>
  <c r="S847" i="1" l="1"/>
  <c r="U847" i="1" s="1"/>
  <c r="R847" i="1"/>
  <c r="T847" i="1" s="1"/>
  <c r="R848" i="1" l="1"/>
  <c r="T848" i="1" s="1"/>
  <c r="S848" i="1"/>
  <c r="U848" i="1" s="1"/>
  <c r="S849" i="1" l="1"/>
  <c r="U849" i="1" s="1"/>
  <c r="R849" i="1"/>
  <c r="T849" i="1" s="1"/>
  <c r="S850" i="1" l="1"/>
  <c r="U850" i="1" s="1"/>
  <c r="R850" i="1"/>
  <c r="T850" i="1" s="1"/>
  <c r="S851" i="1" l="1"/>
  <c r="U851" i="1" s="1"/>
  <c r="R851" i="1"/>
  <c r="T851" i="1" s="1"/>
  <c r="S852" i="1" l="1"/>
  <c r="U852" i="1" s="1"/>
  <c r="R852" i="1"/>
  <c r="T852" i="1" s="1"/>
  <c r="S853" i="1" l="1"/>
  <c r="U853" i="1" s="1"/>
  <c r="R853" i="1"/>
  <c r="T853" i="1" s="1"/>
  <c r="S854" i="1" l="1"/>
  <c r="U854" i="1" s="1"/>
  <c r="R854" i="1"/>
  <c r="T854" i="1" s="1"/>
  <c r="S855" i="1" l="1"/>
  <c r="U855" i="1" s="1"/>
  <c r="R855" i="1"/>
  <c r="T855" i="1" s="1"/>
  <c r="R856" i="1" l="1"/>
  <c r="T856" i="1" s="1"/>
  <c r="S856" i="1"/>
  <c r="U856" i="1" s="1"/>
  <c r="S857" i="1" l="1"/>
  <c r="U857" i="1" s="1"/>
  <c r="R857" i="1"/>
  <c r="T857" i="1" s="1"/>
  <c r="S858" i="1" l="1"/>
  <c r="U858" i="1" s="1"/>
  <c r="R858" i="1"/>
  <c r="T858" i="1" s="1"/>
  <c r="R859" i="1" l="1"/>
  <c r="T859" i="1" s="1"/>
  <c r="S859" i="1"/>
  <c r="U859" i="1" s="1"/>
  <c r="R860" i="1" l="1"/>
  <c r="T860" i="1" s="1"/>
  <c r="S860" i="1"/>
  <c r="U860" i="1" s="1"/>
  <c r="S861" i="1" l="1"/>
  <c r="U861" i="1" s="1"/>
  <c r="R861" i="1"/>
  <c r="T861" i="1" s="1"/>
  <c r="S862" i="1" l="1"/>
  <c r="U862" i="1" s="1"/>
  <c r="R862" i="1"/>
  <c r="T862" i="1" s="1"/>
  <c r="R863" i="1" l="1"/>
  <c r="T863" i="1" s="1"/>
  <c r="S863" i="1"/>
  <c r="U863" i="1" s="1"/>
  <c r="S864" i="1" l="1"/>
  <c r="U864" i="1" s="1"/>
  <c r="R864" i="1"/>
  <c r="T864" i="1" s="1"/>
  <c r="S865" i="1" l="1"/>
  <c r="U865" i="1" s="1"/>
  <c r="R865" i="1"/>
  <c r="T865" i="1" s="1"/>
  <c r="S866" i="1" l="1"/>
  <c r="U866" i="1" s="1"/>
  <c r="R866" i="1"/>
  <c r="T866" i="1" s="1"/>
  <c r="R867" i="1" l="1"/>
  <c r="T867" i="1" s="1"/>
  <c r="S867" i="1"/>
  <c r="U867" i="1" s="1"/>
  <c r="R868" i="1" l="1"/>
  <c r="T868" i="1" s="1"/>
  <c r="S868" i="1"/>
  <c r="U868" i="1" s="1"/>
  <c r="S869" i="1" l="1"/>
  <c r="U869" i="1" s="1"/>
  <c r="R869" i="1"/>
  <c r="T869" i="1" s="1"/>
  <c r="S870" i="1" l="1"/>
  <c r="U870" i="1" s="1"/>
  <c r="R870" i="1"/>
  <c r="T870" i="1" s="1"/>
  <c r="S871" i="1" l="1"/>
  <c r="U871" i="1" s="1"/>
  <c r="R871" i="1"/>
  <c r="T871" i="1" s="1"/>
  <c r="S872" i="1" l="1"/>
  <c r="U872" i="1" s="1"/>
  <c r="R872" i="1"/>
  <c r="T872" i="1" s="1"/>
  <c r="S873" i="1" l="1"/>
  <c r="U873" i="1" s="1"/>
  <c r="R873" i="1"/>
  <c r="T873" i="1" s="1"/>
  <c r="S874" i="1" l="1"/>
  <c r="U874" i="1" s="1"/>
  <c r="R874" i="1"/>
  <c r="T874" i="1" s="1"/>
  <c r="R875" i="1" l="1"/>
  <c r="T875" i="1" s="1"/>
  <c r="S875" i="1"/>
  <c r="U875" i="1" s="1"/>
  <c r="S876" i="1" l="1"/>
  <c r="U876" i="1" s="1"/>
  <c r="R876" i="1"/>
  <c r="T876" i="1" s="1"/>
  <c r="S877" i="1" l="1"/>
  <c r="U877" i="1" s="1"/>
  <c r="R877" i="1"/>
  <c r="T877" i="1" s="1"/>
  <c r="R878" i="1" l="1"/>
  <c r="T878" i="1" s="1"/>
  <c r="S878" i="1"/>
  <c r="U878" i="1" s="1"/>
  <c r="R879" i="1" l="1"/>
  <c r="T879" i="1" s="1"/>
  <c r="S879" i="1"/>
  <c r="U879" i="1" s="1"/>
  <c r="S880" i="1" l="1"/>
  <c r="U880" i="1" s="1"/>
  <c r="R880" i="1"/>
  <c r="T880" i="1" s="1"/>
  <c r="S881" i="1" l="1"/>
  <c r="U881" i="1" s="1"/>
  <c r="R881" i="1"/>
  <c r="T881" i="1" s="1"/>
  <c r="S882" i="1" l="1"/>
  <c r="U882" i="1" s="1"/>
  <c r="R882" i="1"/>
  <c r="T882" i="1" s="1"/>
  <c r="R883" i="1" l="1"/>
  <c r="T883" i="1" s="1"/>
  <c r="S883" i="1"/>
  <c r="U883" i="1" s="1"/>
  <c r="R884" i="1" l="1"/>
  <c r="T884" i="1" s="1"/>
  <c r="S884" i="1"/>
  <c r="U884" i="1" s="1"/>
  <c r="S885" i="1" l="1"/>
  <c r="U885" i="1" s="1"/>
  <c r="R885" i="1"/>
  <c r="T885" i="1" s="1"/>
  <c r="R886" i="1" l="1"/>
  <c r="T886" i="1" s="1"/>
  <c r="S886" i="1"/>
  <c r="U886" i="1" s="1"/>
  <c r="R887" i="1" l="1"/>
  <c r="T887" i="1" s="1"/>
  <c r="S887" i="1"/>
  <c r="U887" i="1" s="1"/>
  <c r="S888" i="1" l="1"/>
  <c r="U888" i="1" s="1"/>
  <c r="R888" i="1"/>
  <c r="T888" i="1" s="1"/>
  <c r="S889" i="1" l="1"/>
  <c r="U889" i="1" s="1"/>
  <c r="R889" i="1"/>
  <c r="T889" i="1" s="1"/>
  <c r="R890" i="1" l="1"/>
  <c r="T890" i="1" s="1"/>
  <c r="S890" i="1"/>
  <c r="U890" i="1" s="1"/>
  <c r="R891" i="1" l="1"/>
  <c r="T891" i="1" s="1"/>
  <c r="S891" i="1"/>
  <c r="U891" i="1" s="1"/>
  <c r="R892" i="1" l="1"/>
  <c r="T892" i="1" s="1"/>
  <c r="S892" i="1"/>
  <c r="U892" i="1" s="1"/>
  <c r="S893" i="1" l="1"/>
  <c r="U893" i="1" s="1"/>
  <c r="R893" i="1"/>
  <c r="T893" i="1" s="1"/>
  <c r="S894" i="1" l="1"/>
  <c r="U894" i="1" s="1"/>
  <c r="R894" i="1"/>
  <c r="T894" i="1" s="1"/>
  <c r="S895" i="1" l="1"/>
  <c r="U895" i="1" s="1"/>
  <c r="R895" i="1"/>
  <c r="T895" i="1" s="1"/>
  <c r="R896" i="1" l="1"/>
  <c r="T896" i="1" s="1"/>
  <c r="S896" i="1"/>
  <c r="U896" i="1" s="1"/>
  <c r="S897" i="1" l="1"/>
  <c r="U897" i="1" s="1"/>
  <c r="R897" i="1"/>
  <c r="T897" i="1" s="1"/>
  <c r="R898" i="1" l="1"/>
  <c r="T898" i="1" s="1"/>
  <c r="S898" i="1"/>
  <c r="U898" i="1" s="1"/>
  <c r="R899" i="1" l="1"/>
  <c r="T899" i="1" s="1"/>
  <c r="S899" i="1"/>
  <c r="U899" i="1" s="1"/>
  <c r="S900" i="1" l="1"/>
  <c r="U900" i="1" s="1"/>
  <c r="R900" i="1"/>
  <c r="T900" i="1" s="1"/>
  <c r="S901" i="1" l="1"/>
  <c r="U901" i="1" s="1"/>
  <c r="R901" i="1"/>
  <c r="T901" i="1" s="1"/>
  <c r="S902" i="1" l="1"/>
  <c r="U902" i="1" s="1"/>
  <c r="R902" i="1"/>
  <c r="T902" i="1" s="1"/>
  <c r="R903" i="1" l="1"/>
  <c r="T903" i="1" s="1"/>
  <c r="S903" i="1"/>
  <c r="U903" i="1" s="1"/>
  <c r="S904" i="1" l="1"/>
  <c r="U904" i="1" s="1"/>
  <c r="R904" i="1"/>
  <c r="T904" i="1" s="1"/>
  <c r="S905" i="1" l="1"/>
  <c r="U905" i="1" s="1"/>
  <c r="R905" i="1"/>
  <c r="T905" i="1" s="1"/>
  <c r="R906" i="1" l="1"/>
  <c r="T906" i="1" s="1"/>
  <c r="S906" i="1"/>
  <c r="U906" i="1" s="1"/>
  <c r="S907" i="1" l="1"/>
  <c r="U907" i="1" s="1"/>
  <c r="R907" i="1"/>
  <c r="T907" i="1" s="1"/>
  <c r="S908" i="1" l="1"/>
  <c r="U908" i="1" s="1"/>
  <c r="R908" i="1"/>
  <c r="T908" i="1" s="1"/>
  <c r="S909" i="1" l="1"/>
  <c r="U909" i="1" s="1"/>
  <c r="R909" i="1"/>
  <c r="T909" i="1" s="1"/>
  <c r="R910" i="1" l="1"/>
  <c r="T910" i="1" s="1"/>
  <c r="S910" i="1"/>
  <c r="U910" i="1" s="1"/>
  <c r="S911" i="1" l="1"/>
  <c r="U911" i="1" s="1"/>
  <c r="R911" i="1"/>
  <c r="T911" i="1" s="1"/>
  <c r="S912" i="1" l="1"/>
  <c r="U912" i="1" s="1"/>
  <c r="R912" i="1"/>
  <c r="T912" i="1" s="1"/>
  <c r="S913" i="1" l="1"/>
  <c r="U913" i="1" s="1"/>
  <c r="R913" i="1"/>
  <c r="T913" i="1" s="1"/>
  <c r="S914" i="1" l="1"/>
  <c r="U914" i="1" s="1"/>
  <c r="R914" i="1"/>
  <c r="T914" i="1" s="1"/>
  <c r="R915" i="1" l="1"/>
  <c r="T915" i="1" s="1"/>
  <c r="S915" i="1"/>
  <c r="U915" i="1" s="1"/>
  <c r="R916" i="1" l="1"/>
  <c r="T916" i="1" s="1"/>
  <c r="S916" i="1"/>
  <c r="U916" i="1" s="1"/>
  <c r="S917" i="1" l="1"/>
  <c r="U917" i="1" s="1"/>
  <c r="R917" i="1"/>
  <c r="T917" i="1" s="1"/>
  <c r="R918" i="1" l="1"/>
  <c r="T918" i="1" s="1"/>
  <c r="S918" i="1"/>
  <c r="U918" i="1" s="1"/>
  <c r="R919" i="1" l="1"/>
  <c r="T919" i="1" s="1"/>
  <c r="S919" i="1"/>
  <c r="U919" i="1" s="1"/>
  <c r="S920" i="1" l="1"/>
  <c r="U920" i="1" s="1"/>
  <c r="R920" i="1"/>
  <c r="T920" i="1" s="1"/>
  <c r="S921" i="1" l="1"/>
  <c r="U921" i="1" s="1"/>
  <c r="R921" i="1"/>
  <c r="T921" i="1" s="1"/>
  <c r="R922" i="1" l="1"/>
  <c r="T922" i="1" s="1"/>
  <c r="S922" i="1"/>
  <c r="U922" i="1" s="1"/>
  <c r="R923" i="1" l="1"/>
  <c r="T923" i="1" s="1"/>
  <c r="S923" i="1"/>
  <c r="U923" i="1" s="1"/>
  <c r="S924" i="1" l="1"/>
  <c r="U924" i="1" s="1"/>
  <c r="R924" i="1"/>
  <c r="T924" i="1" s="1"/>
  <c r="R925" i="1" l="1"/>
  <c r="T925" i="1" s="1"/>
  <c r="S925" i="1"/>
  <c r="U925" i="1" s="1"/>
  <c r="S926" i="1" l="1"/>
  <c r="U926" i="1" s="1"/>
  <c r="R926" i="1"/>
  <c r="T926" i="1" s="1"/>
  <c r="R927" i="1" l="1"/>
  <c r="T927" i="1" s="1"/>
  <c r="S927" i="1"/>
  <c r="U927" i="1" s="1"/>
  <c r="S928" i="1" l="1"/>
  <c r="U928" i="1" s="1"/>
  <c r="R928" i="1"/>
  <c r="T928" i="1" s="1"/>
  <c r="R929" i="1" l="1"/>
  <c r="T929" i="1" s="1"/>
  <c r="S929" i="1"/>
  <c r="U929" i="1" s="1"/>
  <c r="R930" i="1" l="1"/>
  <c r="T930" i="1" s="1"/>
  <c r="S930" i="1"/>
  <c r="U930" i="1" s="1"/>
  <c r="S931" i="1" l="1"/>
  <c r="U931" i="1" s="1"/>
  <c r="R931" i="1"/>
  <c r="T931" i="1" s="1"/>
  <c r="S932" i="1" l="1"/>
  <c r="U932" i="1" s="1"/>
  <c r="R932" i="1"/>
  <c r="T932" i="1" s="1"/>
  <c r="S933" i="1" l="1"/>
  <c r="U933" i="1" s="1"/>
  <c r="R933" i="1"/>
  <c r="T933" i="1" s="1"/>
  <c r="S934" i="1" l="1"/>
  <c r="U934" i="1" s="1"/>
  <c r="R934" i="1"/>
  <c r="T934" i="1" s="1"/>
  <c r="S935" i="1" l="1"/>
  <c r="U935" i="1" s="1"/>
  <c r="R935" i="1"/>
  <c r="T935" i="1" s="1"/>
  <c r="S936" i="1" l="1"/>
  <c r="U936" i="1" s="1"/>
  <c r="R936" i="1"/>
  <c r="T936" i="1" s="1"/>
  <c r="R937" i="1" l="1"/>
  <c r="T937" i="1" s="1"/>
  <c r="S937" i="1"/>
  <c r="U937" i="1" s="1"/>
  <c r="R938" i="1" l="1"/>
  <c r="T938" i="1" s="1"/>
  <c r="S938" i="1"/>
  <c r="U938" i="1" s="1"/>
  <c r="S939" i="1" l="1"/>
  <c r="U939" i="1" s="1"/>
  <c r="R939" i="1"/>
  <c r="T939" i="1" s="1"/>
  <c r="R940" i="1" l="1"/>
  <c r="T940" i="1" s="1"/>
  <c r="S940" i="1"/>
  <c r="U940" i="1" s="1"/>
  <c r="R941" i="1" l="1"/>
  <c r="T941" i="1" s="1"/>
  <c r="S941" i="1"/>
  <c r="U941" i="1" s="1"/>
  <c r="R942" i="1" l="1"/>
  <c r="T942" i="1" s="1"/>
  <c r="S942" i="1"/>
  <c r="U942" i="1" s="1"/>
  <c r="S943" i="1" l="1"/>
  <c r="U943" i="1" s="1"/>
  <c r="R943" i="1"/>
  <c r="T943" i="1" s="1"/>
  <c r="S944" i="1" l="1"/>
  <c r="U944" i="1" s="1"/>
  <c r="R944" i="1"/>
  <c r="T944" i="1" s="1"/>
  <c r="S945" i="1" l="1"/>
  <c r="U945" i="1" s="1"/>
  <c r="R945" i="1"/>
  <c r="T945" i="1" s="1"/>
  <c r="S946" i="1" l="1"/>
  <c r="U946" i="1" s="1"/>
  <c r="R946" i="1"/>
  <c r="T946" i="1" s="1"/>
  <c r="R947" i="1" l="1"/>
  <c r="T947" i="1" s="1"/>
  <c r="S947" i="1"/>
  <c r="U947" i="1" s="1"/>
  <c r="R948" i="1" l="1"/>
  <c r="T948" i="1" s="1"/>
  <c r="S948" i="1"/>
  <c r="U948" i="1" s="1"/>
  <c r="S949" i="1" l="1"/>
  <c r="U949" i="1" s="1"/>
  <c r="R949" i="1"/>
  <c r="T949" i="1" s="1"/>
  <c r="S950" i="1" l="1"/>
  <c r="U950" i="1" s="1"/>
  <c r="R950" i="1"/>
  <c r="T950" i="1" s="1"/>
  <c r="S951" i="1" l="1"/>
  <c r="U951" i="1" s="1"/>
  <c r="R951" i="1"/>
  <c r="T951" i="1" s="1"/>
  <c r="S952" i="1" l="1"/>
  <c r="U952" i="1" s="1"/>
  <c r="R952" i="1"/>
  <c r="T952" i="1" s="1"/>
  <c r="R953" i="1" l="1"/>
  <c r="T953" i="1" s="1"/>
  <c r="S953" i="1"/>
  <c r="U953" i="1" s="1"/>
  <c r="S954" i="1" l="1"/>
  <c r="U954" i="1" s="1"/>
  <c r="R954" i="1"/>
  <c r="T954" i="1" s="1"/>
  <c r="S955" i="1" l="1"/>
  <c r="U955" i="1" s="1"/>
  <c r="R955" i="1"/>
  <c r="T955" i="1" s="1"/>
  <c r="R956" i="1" l="1"/>
  <c r="T956" i="1" s="1"/>
  <c r="S956" i="1"/>
  <c r="U956" i="1" s="1"/>
  <c r="S957" i="1" l="1"/>
  <c r="U957" i="1" s="1"/>
  <c r="R957" i="1"/>
  <c r="T957" i="1" s="1"/>
  <c r="R958" i="1" l="1"/>
  <c r="T958" i="1" s="1"/>
  <c r="S958" i="1"/>
  <c r="U958" i="1" s="1"/>
  <c r="S959" i="1" l="1"/>
  <c r="U959" i="1" s="1"/>
  <c r="R959" i="1"/>
  <c r="T959" i="1" s="1"/>
  <c r="S960" i="1" l="1"/>
  <c r="U960" i="1" s="1"/>
  <c r="R960" i="1"/>
  <c r="T960" i="1" s="1"/>
  <c r="S961" i="1" l="1"/>
  <c r="U961" i="1" s="1"/>
  <c r="R961" i="1"/>
  <c r="T961" i="1" s="1"/>
  <c r="R962" i="1" l="1"/>
  <c r="T962" i="1" s="1"/>
  <c r="S962" i="1"/>
  <c r="U962" i="1" s="1"/>
  <c r="R963" i="1" l="1"/>
  <c r="T963" i="1" s="1"/>
  <c r="S963" i="1"/>
  <c r="U963" i="1" s="1"/>
  <c r="R964" i="1" l="1"/>
  <c r="T964" i="1" s="1"/>
  <c r="S964" i="1"/>
  <c r="U964" i="1" s="1"/>
  <c r="S965" i="1" l="1"/>
  <c r="U965" i="1" s="1"/>
  <c r="R965" i="1"/>
  <c r="T965" i="1" s="1"/>
  <c r="R966" i="1" l="1"/>
  <c r="T966" i="1" s="1"/>
  <c r="S966" i="1"/>
  <c r="U966" i="1" s="1"/>
  <c r="S967" i="1" l="1"/>
  <c r="U967" i="1" s="1"/>
  <c r="R967" i="1"/>
  <c r="T967" i="1" s="1"/>
  <c r="S968" i="1" l="1"/>
  <c r="U968" i="1" s="1"/>
  <c r="R968" i="1"/>
  <c r="T968" i="1" s="1"/>
  <c r="S969" i="1" l="1"/>
  <c r="U969" i="1" s="1"/>
  <c r="R969" i="1"/>
  <c r="T969" i="1" s="1"/>
  <c r="R970" i="1" l="1"/>
  <c r="T970" i="1" s="1"/>
  <c r="S970" i="1"/>
  <c r="U970" i="1" s="1"/>
  <c r="R971" i="1" l="1"/>
  <c r="T971" i="1" s="1"/>
  <c r="S971" i="1"/>
  <c r="U971" i="1" s="1"/>
  <c r="S972" i="1" l="1"/>
  <c r="U972" i="1" s="1"/>
  <c r="R972" i="1"/>
  <c r="T972" i="1" s="1"/>
  <c r="S973" i="1" l="1"/>
  <c r="U973" i="1" s="1"/>
  <c r="R973" i="1"/>
  <c r="T973" i="1" s="1"/>
  <c r="S974" i="1" l="1"/>
  <c r="U974" i="1" s="1"/>
  <c r="R974" i="1"/>
  <c r="T974" i="1" s="1"/>
  <c r="R975" i="1" l="1"/>
  <c r="T975" i="1" s="1"/>
  <c r="S975" i="1"/>
  <c r="U975" i="1" s="1"/>
  <c r="S976" i="1" l="1"/>
  <c r="U976" i="1" s="1"/>
  <c r="R976" i="1"/>
  <c r="T976" i="1" s="1"/>
  <c r="R977" i="1" l="1"/>
  <c r="T977" i="1" s="1"/>
  <c r="S977" i="1"/>
  <c r="U977" i="1" s="1"/>
  <c r="R978" i="1" l="1"/>
  <c r="T978" i="1" s="1"/>
  <c r="S978" i="1"/>
  <c r="U978" i="1" s="1"/>
  <c r="S979" i="1" l="1"/>
  <c r="U979" i="1" s="1"/>
  <c r="R979" i="1"/>
  <c r="T979" i="1" s="1"/>
  <c r="S980" i="1" l="1"/>
  <c r="U980" i="1" s="1"/>
  <c r="R980" i="1"/>
  <c r="T980" i="1" s="1"/>
  <c r="R981" i="1" l="1"/>
  <c r="T981" i="1" s="1"/>
  <c r="S981" i="1"/>
  <c r="U981" i="1" s="1"/>
  <c r="S982" i="1" l="1"/>
  <c r="U982" i="1" s="1"/>
  <c r="R982" i="1"/>
  <c r="T982" i="1" s="1"/>
  <c r="S983" i="1" l="1"/>
  <c r="U983" i="1" s="1"/>
  <c r="R983" i="1"/>
  <c r="T983" i="1" s="1"/>
  <c r="S984" i="1" l="1"/>
  <c r="U984" i="1" s="1"/>
  <c r="R984" i="1"/>
  <c r="T984" i="1" s="1"/>
  <c r="S985" i="1" l="1"/>
  <c r="U985" i="1" s="1"/>
  <c r="R985" i="1"/>
  <c r="T985" i="1" s="1"/>
  <c r="R986" i="1" l="1"/>
  <c r="T986" i="1" s="1"/>
  <c r="S986" i="1"/>
  <c r="U986" i="1" s="1"/>
  <c r="S987" i="1" l="1"/>
  <c r="U987" i="1" s="1"/>
  <c r="R987" i="1"/>
  <c r="T987" i="1" s="1"/>
  <c r="R988" i="1" l="1"/>
  <c r="T988" i="1" s="1"/>
  <c r="S988" i="1"/>
  <c r="U988" i="1" s="1"/>
  <c r="R989" i="1" l="1"/>
  <c r="T989" i="1" s="1"/>
  <c r="S989" i="1"/>
  <c r="U989" i="1" s="1"/>
  <c r="S990" i="1" l="1"/>
  <c r="U990" i="1" s="1"/>
  <c r="R990" i="1"/>
  <c r="T990" i="1" s="1"/>
  <c r="S991" i="1" l="1"/>
  <c r="U991" i="1" s="1"/>
  <c r="R991" i="1"/>
  <c r="T991" i="1" s="1"/>
  <c r="S992" i="1" l="1"/>
  <c r="U992" i="1" s="1"/>
  <c r="R992" i="1"/>
  <c r="T992" i="1" s="1"/>
  <c r="S993" i="1" l="1"/>
  <c r="U993" i="1" s="1"/>
  <c r="R993" i="1"/>
  <c r="T993" i="1" s="1"/>
  <c r="R994" i="1" l="1"/>
  <c r="T994" i="1" s="1"/>
  <c r="S994" i="1"/>
  <c r="U994" i="1" s="1"/>
  <c r="S995" i="1" l="1"/>
  <c r="U995" i="1" s="1"/>
  <c r="R995" i="1"/>
  <c r="T995" i="1" s="1"/>
  <c r="R996" i="1" l="1"/>
  <c r="T996" i="1" s="1"/>
  <c r="S996" i="1"/>
  <c r="U996" i="1" s="1"/>
  <c r="S997" i="1" l="1"/>
  <c r="U997" i="1" s="1"/>
  <c r="R997" i="1"/>
  <c r="T997" i="1" s="1"/>
  <c r="S998" i="1" l="1"/>
  <c r="U998" i="1" s="1"/>
  <c r="R998" i="1"/>
  <c r="T998" i="1" s="1"/>
  <c r="S999" i="1" l="1"/>
  <c r="U999" i="1" s="1"/>
  <c r="R999" i="1"/>
  <c r="T999" i="1" s="1"/>
  <c r="R1000" i="1" l="1"/>
  <c r="T1000" i="1" s="1"/>
  <c r="S1000" i="1"/>
  <c r="U1000" i="1" s="1"/>
  <c r="R1001" i="1" l="1"/>
  <c r="T1001" i="1" s="1"/>
  <c r="S1001" i="1"/>
  <c r="U1001" i="1" s="1"/>
  <c r="S1002" i="1" l="1"/>
  <c r="U1002" i="1" s="1"/>
  <c r="R1002" i="1"/>
  <c r="T1002" i="1" s="1"/>
  <c r="S1003" i="1" l="1"/>
  <c r="U1003" i="1" s="1"/>
  <c r="R1003" i="1"/>
  <c r="T1003" i="1" s="1"/>
  <c r="S1004" i="1" l="1"/>
  <c r="U1004" i="1" s="1"/>
  <c r="R1004" i="1"/>
  <c r="T1004" i="1" s="1"/>
  <c r="R1005" i="1" l="1"/>
  <c r="T1005" i="1" s="1"/>
  <c r="S1005" i="1"/>
  <c r="U1005" i="1" s="1"/>
  <c r="S1006" i="1" l="1"/>
  <c r="U1006" i="1" s="1"/>
  <c r="R1006" i="1"/>
  <c r="T1006" i="1" s="1"/>
  <c r="S1007" i="1" l="1"/>
  <c r="U1007" i="1" s="1"/>
  <c r="R1007" i="1"/>
  <c r="T1007" i="1" s="1"/>
  <c r="S1008" i="1" l="1"/>
  <c r="U1008" i="1" s="1"/>
  <c r="R1008" i="1"/>
  <c r="T1008" i="1" s="1"/>
  <c r="S1009" i="1" l="1"/>
  <c r="U1009" i="1" s="1"/>
  <c r="R1009" i="1"/>
  <c r="T1009" i="1" s="1"/>
  <c r="S1010" i="1" l="1"/>
  <c r="U1010" i="1" s="1"/>
  <c r="R1010" i="1"/>
  <c r="T1010" i="1" s="1"/>
  <c r="R1011" i="1" l="1"/>
  <c r="T1011" i="1" s="1"/>
  <c r="S1011" i="1"/>
  <c r="U1011" i="1" s="1"/>
  <c r="R1012" i="1" l="1"/>
  <c r="T1012" i="1" s="1"/>
  <c r="S1012" i="1"/>
  <c r="U1012" i="1" s="1"/>
  <c r="R1013" i="1" l="1"/>
  <c r="T1013" i="1" s="1"/>
  <c r="S1013" i="1"/>
  <c r="U1013" i="1" s="1"/>
  <c r="S1014" i="1" l="1"/>
  <c r="U1014" i="1" s="1"/>
  <c r="R1014" i="1"/>
  <c r="T1014" i="1" s="1"/>
  <c r="R1015" i="1" l="1"/>
  <c r="T1015" i="1" s="1"/>
  <c r="S1015" i="1"/>
  <c r="U1015" i="1" s="1"/>
  <c r="S1016" i="1" l="1"/>
  <c r="U1016" i="1" s="1"/>
  <c r="R1016" i="1"/>
  <c r="T1016" i="1" s="1"/>
  <c r="S1017" i="1" l="1"/>
  <c r="U1017" i="1" s="1"/>
  <c r="R1017" i="1"/>
  <c r="T1017" i="1" s="1"/>
  <c r="S1018" i="1" l="1"/>
  <c r="U1018" i="1" s="1"/>
  <c r="R1018" i="1"/>
  <c r="T1018" i="1" s="1"/>
  <c r="R1019" i="1" l="1"/>
  <c r="T1019" i="1" s="1"/>
  <c r="S1019" i="1"/>
  <c r="U1019" i="1" s="1"/>
  <c r="R1020" i="1" l="1"/>
  <c r="T1020" i="1" s="1"/>
  <c r="S1020" i="1"/>
  <c r="U1020" i="1" s="1"/>
  <c r="S1021" i="1" l="1"/>
  <c r="U1021" i="1" s="1"/>
  <c r="R1021" i="1"/>
  <c r="T1021" i="1" s="1"/>
  <c r="S1022" i="1" l="1"/>
  <c r="U1022" i="1" s="1"/>
  <c r="R1022" i="1"/>
  <c r="T1022" i="1" s="1"/>
  <c r="S1023" i="1" l="1"/>
  <c r="U1023" i="1" s="1"/>
  <c r="R1023" i="1"/>
  <c r="T1023" i="1" s="1"/>
  <c r="R1024" i="1" l="1"/>
  <c r="T1024" i="1" s="1"/>
  <c r="S1024" i="1"/>
  <c r="U1024" i="1" s="1"/>
  <c r="R1025" i="1" l="1"/>
  <c r="T1025" i="1" s="1"/>
  <c r="S1025" i="1"/>
  <c r="U1025" i="1" s="1"/>
  <c r="S1026" i="1" l="1"/>
  <c r="U1026" i="1" s="1"/>
  <c r="R1026" i="1"/>
  <c r="T1026" i="1" s="1"/>
  <c r="R1027" i="1" l="1"/>
  <c r="T1027" i="1" s="1"/>
  <c r="S1027" i="1"/>
  <c r="U1027" i="1" s="1"/>
  <c r="S1028" i="1" l="1"/>
  <c r="U1028" i="1" s="1"/>
  <c r="R1028" i="1"/>
  <c r="T1028" i="1" s="1"/>
  <c r="S1029" i="1" l="1"/>
  <c r="U1029" i="1" s="1"/>
  <c r="R1029" i="1"/>
  <c r="T1029" i="1" s="1"/>
  <c r="S1030" i="1" l="1"/>
  <c r="U1030" i="1" s="1"/>
  <c r="R1030" i="1"/>
  <c r="T1030" i="1" s="1"/>
  <c r="R1031" i="1" l="1"/>
  <c r="T1031" i="1" s="1"/>
  <c r="S1031" i="1"/>
  <c r="U1031" i="1" s="1"/>
  <c r="S1032" i="1" l="1"/>
  <c r="U1032" i="1" s="1"/>
  <c r="R1032" i="1"/>
  <c r="T1032" i="1" s="1"/>
  <c r="R1033" i="1" l="1"/>
  <c r="T1033" i="1" s="1"/>
  <c r="S1033" i="1"/>
  <c r="U1033" i="1" s="1"/>
  <c r="S1034" i="1" l="1"/>
  <c r="U1034" i="1" s="1"/>
  <c r="R1034" i="1"/>
  <c r="T1034" i="1" s="1"/>
  <c r="S1035" i="1" l="1"/>
  <c r="U1035" i="1" s="1"/>
  <c r="R1035" i="1"/>
  <c r="T1035" i="1" s="1"/>
  <c r="R1036" i="1" l="1"/>
  <c r="T1036" i="1" s="1"/>
  <c r="S1036" i="1"/>
  <c r="U1036" i="1" s="1"/>
  <c r="S1037" i="1" l="1"/>
  <c r="U1037" i="1" s="1"/>
  <c r="R1037" i="1"/>
  <c r="T1037" i="1" s="1"/>
  <c r="S1038" i="1" l="1"/>
  <c r="U1038" i="1" s="1"/>
  <c r="R1038" i="1"/>
  <c r="T1038" i="1" s="1"/>
  <c r="R1039" i="1" l="1"/>
  <c r="T1039" i="1" s="1"/>
  <c r="S1039" i="1"/>
  <c r="U1039" i="1" s="1"/>
  <c r="S1040" i="1" l="1"/>
  <c r="U1040" i="1" s="1"/>
  <c r="R1040" i="1"/>
  <c r="T1040" i="1" s="1"/>
  <c r="S1041" i="1" l="1"/>
  <c r="U1041" i="1" s="1"/>
  <c r="R1041" i="1"/>
  <c r="T1041" i="1" s="1"/>
  <c r="R1042" i="1" l="1"/>
  <c r="T1042" i="1" s="1"/>
  <c r="S1042" i="1"/>
  <c r="U1042" i="1" s="1"/>
  <c r="R1043" i="1" l="1"/>
  <c r="T1043" i="1" s="1"/>
  <c r="S1043" i="1"/>
  <c r="U1043" i="1" s="1"/>
  <c r="S1044" i="1" l="1"/>
  <c r="U1044" i="1" s="1"/>
  <c r="R1044" i="1"/>
  <c r="T1044" i="1" s="1"/>
  <c r="S1045" i="1" l="1"/>
  <c r="U1045" i="1" s="1"/>
  <c r="R1045" i="1"/>
  <c r="T1045" i="1" s="1"/>
  <c r="S1046" i="1" l="1"/>
  <c r="U1046" i="1" s="1"/>
  <c r="R1046" i="1"/>
  <c r="T1046" i="1" s="1"/>
  <c r="S1047" i="1" l="1"/>
  <c r="U1047" i="1" s="1"/>
  <c r="R1047" i="1"/>
  <c r="T1047" i="1" s="1"/>
  <c r="S1048" i="1" l="1"/>
  <c r="U1048" i="1" s="1"/>
  <c r="R1048" i="1"/>
  <c r="T1048" i="1" s="1"/>
  <c r="S1049" i="1" l="1"/>
  <c r="U1049" i="1" s="1"/>
  <c r="R1049" i="1"/>
  <c r="T1049" i="1" s="1"/>
  <c r="R1050" i="1" l="1"/>
  <c r="T1050" i="1" s="1"/>
  <c r="S1050" i="1"/>
  <c r="U1050" i="1" s="1"/>
  <c r="R1051" i="1" l="1"/>
  <c r="T1051" i="1" s="1"/>
  <c r="S1051" i="1"/>
  <c r="U1051" i="1" s="1"/>
  <c r="S1052" i="1" l="1"/>
  <c r="U1052" i="1" s="1"/>
  <c r="R1052" i="1"/>
  <c r="T1052" i="1" s="1"/>
  <c r="S1053" i="1" l="1"/>
  <c r="U1053" i="1" s="1"/>
  <c r="R1053" i="1"/>
  <c r="T1053" i="1" s="1"/>
  <c r="R1054" i="1" l="1"/>
  <c r="T1054" i="1" s="1"/>
  <c r="S1054" i="1"/>
  <c r="U1054" i="1" s="1"/>
  <c r="S1055" i="1" l="1"/>
  <c r="U1055" i="1" s="1"/>
  <c r="R1055" i="1"/>
  <c r="T1055" i="1" s="1"/>
  <c r="S1056" i="1" l="1"/>
  <c r="U1056" i="1" s="1"/>
  <c r="R1056" i="1"/>
  <c r="T1056" i="1" s="1"/>
  <c r="S1057" i="1" l="1"/>
  <c r="U1057" i="1" s="1"/>
  <c r="R1057" i="1"/>
  <c r="T1057" i="1" s="1"/>
  <c r="R1058" i="1" l="1"/>
  <c r="T1058" i="1" s="1"/>
  <c r="S1058" i="1"/>
  <c r="U1058" i="1" s="1"/>
  <c r="S1059" i="1" l="1"/>
  <c r="U1059" i="1" s="1"/>
  <c r="R1059" i="1"/>
  <c r="T1059" i="1" s="1"/>
  <c r="S1060" i="1" l="1"/>
  <c r="U1060" i="1" s="1"/>
  <c r="R1060" i="1"/>
  <c r="T1060" i="1" s="1"/>
  <c r="S1061" i="1" l="1"/>
  <c r="U1061" i="1" s="1"/>
  <c r="R1061" i="1"/>
  <c r="T1061" i="1" s="1"/>
  <c r="S1062" i="1" l="1"/>
  <c r="U1062" i="1" s="1"/>
  <c r="R1062" i="1"/>
  <c r="T1062" i="1" s="1"/>
  <c r="S1063" i="1" l="1"/>
  <c r="U1063" i="1" s="1"/>
  <c r="R1063" i="1"/>
  <c r="T1063" i="1" s="1"/>
  <c r="S1064" i="1" l="1"/>
  <c r="U1064" i="1" s="1"/>
  <c r="R1064" i="1"/>
  <c r="T1064" i="1" s="1"/>
  <c r="S1065" i="1" l="1"/>
  <c r="U1065" i="1" s="1"/>
  <c r="R1065" i="1"/>
  <c r="T1065" i="1" s="1"/>
  <c r="R1066" i="1" l="1"/>
  <c r="T1066" i="1" s="1"/>
  <c r="S1066" i="1"/>
  <c r="U1066" i="1" s="1"/>
  <c r="R1067" i="1" l="1"/>
  <c r="T1067" i="1" s="1"/>
  <c r="S1067" i="1"/>
  <c r="U1067" i="1" s="1"/>
  <c r="S1068" i="1" l="1"/>
  <c r="U1068" i="1" s="1"/>
  <c r="R1068" i="1"/>
  <c r="T1068" i="1" s="1"/>
  <c r="R1069" i="1" l="1"/>
  <c r="T1069" i="1" s="1"/>
  <c r="S1069" i="1"/>
  <c r="U1069" i="1" s="1"/>
  <c r="R1070" i="1" l="1"/>
  <c r="T1070" i="1" s="1"/>
  <c r="S1070" i="1"/>
  <c r="U1070" i="1" s="1"/>
  <c r="S1071" i="1" l="1"/>
  <c r="U1071" i="1" s="1"/>
  <c r="R1071" i="1"/>
  <c r="T1071" i="1" s="1"/>
  <c r="S1072" i="1" l="1"/>
  <c r="U1072" i="1" s="1"/>
  <c r="R1072" i="1"/>
  <c r="T1072" i="1" s="1"/>
  <c r="S1073" i="1" l="1"/>
  <c r="U1073" i="1" s="1"/>
  <c r="R1073" i="1"/>
  <c r="T1073" i="1" s="1"/>
  <c r="R1074" i="1" l="1"/>
  <c r="T1074" i="1" s="1"/>
  <c r="S1074" i="1"/>
  <c r="U1074" i="1" s="1"/>
  <c r="S1075" i="1" l="1"/>
  <c r="U1075" i="1" s="1"/>
  <c r="R1075" i="1"/>
  <c r="T1075" i="1" s="1"/>
  <c r="R1076" i="1" l="1"/>
  <c r="T1076" i="1" s="1"/>
  <c r="S1076" i="1"/>
  <c r="U1076" i="1" s="1"/>
  <c r="R1077" i="1" l="1"/>
  <c r="T1077" i="1" s="1"/>
  <c r="S1077" i="1"/>
  <c r="U1077" i="1" s="1"/>
  <c r="R1078" i="1" l="1"/>
  <c r="T1078" i="1" s="1"/>
  <c r="S1078" i="1"/>
  <c r="U1078" i="1" s="1"/>
  <c r="S1079" i="1" l="1"/>
  <c r="U1079" i="1" s="1"/>
  <c r="R1079" i="1"/>
  <c r="T1079" i="1" s="1"/>
  <c r="S1080" i="1" l="1"/>
  <c r="U1080" i="1" s="1"/>
  <c r="R1080" i="1"/>
  <c r="T1080" i="1" s="1"/>
  <c r="R1081" i="1" l="1"/>
  <c r="T1081" i="1" s="1"/>
  <c r="S1081" i="1"/>
  <c r="U1081" i="1" s="1"/>
  <c r="S1082" i="1" l="1"/>
  <c r="U1082" i="1" s="1"/>
  <c r="R1082" i="1"/>
  <c r="T1082" i="1" s="1"/>
  <c r="R1083" i="1" l="1"/>
  <c r="T1083" i="1" s="1"/>
  <c r="S1083" i="1"/>
  <c r="U1083" i="1" s="1"/>
  <c r="R1084" i="1" l="1"/>
  <c r="T1084" i="1" s="1"/>
  <c r="S1084" i="1"/>
  <c r="U1084" i="1" s="1"/>
  <c r="S1085" i="1" l="1"/>
  <c r="U1085" i="1" s="1"/>
  <c r="R1085" i="1"/>
  <c r="T1085" i="1" s="1"/>
  <c r="S1086" i="1" l="1"/>
  <c r="U1086" i="1" s="1"/>
  <c r="R1086" i="1"/>
  <c r="T1086" i="1" s="1"/>
  <c r="S1087" i="1" l="1"/>
  <c r="U1087" i="1" s="1"/>
  <c r="R1087" i="1"/>
  <c r="T1087" i="1" s="1"/>
  <c r="R1088" i="1" l="1"/>
  <c r="T1088" i="1" s="1"/>
  <c r="S1088" i="1"/>
  <c r="U1088" i="1" s="1"/>
  <c r="R1089" i="1" l="1"/>
  <c r="T1089" i="1" s="1"/>
  <c r="S1089" i="1"/>
  <c r="U1089" i="1" s="1"/>
  <c r="S1090" i="1" l="1"/>
  <c r="U1090" i="1" s="1"/>
  <c r="R1090" i="1"/>
  <c r="T1090" i="1" s="1"/>
  <c r="R1091" i="1" l="1"/>
  <c r="T1091" i="1" s="1"/>
  <c r="S1091" i="1"/>
  <c r="U1091" i="1" s="1"/>
  <c r="R1092" i="1" l="1"/>
  <c r="T1092" i="1" s="1"/>
  <c r="S1092" i="1"/>
  <c r="U1092" i="1" s="1"/>
  <c r="R1093" i="1" l="1"/>
  <c r="T1093" i="1" s="1"/>
  <c r="S1093" i="1"/>
  <c r="U1093" i="1" s="1"/>
  <c r="S1094" i="1" l="1"/>
  <c r="U1094" i="1" s="1"/>
  <c r="R1094" i="1"/>
  <c r="T1094" i="1" s="1"/>
  <c r="S1095" i="1" l="1"/>
  <c r="U1095" i="1" s="1"/>
  <c r="R1095" i="1"/>
  <c r="T1095" i="1" s="1"/>
  <c r="S1096" i="1" l="1"/>
  <c r="U1096" i="1" s="1"/>
  <c r="R1096" i="1"/>
  <c r="T1096" i="1" s="1"/>
  <c r="S1097" i="1" l="1"/>
  <c r="U1097" i="1" s="1"/>
  <c r="R1097" i="1"/>
  <c r="T1097" i="1" s="1"/>
  <c r="S1098" i="1" l="1"/>
  <c r="U1098" i="1" s="1"/>
  <c r="R1098" i="1"/>
  <c r="T1098" i="1" s="1"/>
  <c r="R1099" i="1" l="1"/>
  <c r="T1099" i="1" s="1"/>
  <c r="S1099" i="1"/>
  <c r="U1099" i="1" s="1"/>
  <c r="R1100" i="1" l="1"/>
  <c r="T1100" i="1" s="1"/>
  <c r="S1100" i="1"/>
  <c r="U1100" i="1" s="1"/>
  <c r="S1101" i="1" l="1"/>
  <c r="U1101" i="1" s="1"/>
  <c r="R1101" i="1"/>
  <c r="T1101" i="1" s="1"/>
  <c r="S1102" i="1" l="1"/>
  <c r="U1102" i="1" s="1"/>
  <c r="R1102" i="1"/>
  <c r="T1102" i="1" s="1"/>
  <c r="S1103" i="1" l="1"/>
  <c r="U1103" i="1" s="1"/>
  <c r="R1103" i="1"/>
  <c r="T1103" i="1" s="1"/>
  <c r="S1104" i="1" l="1"/>
  <c r="U1104" i="1" s="1"/>
  <c r="R1104" i="1"/>
  <c r="T1104" i="1" s="1"/>
  <c r="R1105" i="1" l="1"/>
  <c r="T1105" i="1" s="1"/>
  <c r="S1105" i="1"/>
  <c r="U1105" i="1" s="1"/>
  <c r="S1106" i="1" l="1"/>
  <c r="U1106" i="1" s="1"/>
  <c r="R1106" i="1"/>
  <c r="T1106" i="1" s="1"/>
  <c r="R1107" i="1" l="1"/>
  <c r="T1107" i="1" s="1"/>
  <c r="S1107" i="1"/>
  <c r="U1107" i="1" s="1"/>
  <c r="R1108" i="1" l="1"/>
  <c r="T1108" i="1" s="1"/>
  <c r="S1108" i="1"/>
  <c r="U1108" i="1" s="1"/>
  <c r="S1109" i="1" l="1"/>
  <c r="U1109" i="1" s="1"/>
  <c r="R1109" i="1"/>
  <c r="T1109" i="1" s="1"/>
  <c r="S1110" i="1" l="1"/>
  <c r="U1110" i="1" s="1"/>
  <c r="R1110" i="1"/>
  <c r="T1110" i="1" s="1"/>
  <c r="S1111" i="1" l="1"/>
  <c r="U1111" i="1" s="1"/>
  <c r="R1111" i="1"/>
  <c r="T1111" i="1" s="1"/>
  <c r="S1112" i="1" l="1"/>
  <c r="U1112" i="1" s="1"/>
  <c r="R1112" i="1"/>
  <c r="T1112" i="1" s="1"/>
  <c r="S1113" i="1" l="1"/>
  <c r="U1113" i="1" s="1"/>
  <c r="R1113" i="1"/>
  <c r="T1113" i="1" s="1"/>
  <c r="R1114" i="1" l="1"/>
  <c r="T1114" i="1" s="1"/>
  <c r="S1114" i="1"/>
  <c r="U1114" i="1" s="1"/>
  <c r="R1115" i="1" l="1"/>
  <c r="T1115" i="1" s="1"/>
  <c r="S1115" i="1"/>
  <c r="U1115" i="1" s="1"/>
  <c r="R1116" i="1" l="1"/>
  <c r="T1116" i="1" s="1"/>
  <c r="S1116" i="1"/>
  <c r="U1116" i="1" s="1"/>
  <c r="S1117" i="1" l="1"/>
  <c r="U1117" i="1" s="1"/>
  <c r="R1117" i="1"/>
  <c r="T1117" i="1" s="1"/>
  <c r="R1118" i="1" l="1"/>
  <c r="T1118" i="1" s="1"/>
  <c r="S1118" i="1"/>
  <c r="U1118" i="1" s="1"/>
  <c r="S1119" i="1" l="1"/>
  <c r="U1119" i="1" s="1"/>
  <c r="R1119" i="1"/>
  <c r="T1119" i="1" s="1"/>
  <c r="R1120" i="1" l="1"/>
  <c r="T1120" i="1" s="1"/>
  <c r="S1120" i="1"/>
  <c r="U1120" i="1" s="1"/>
  <c r="S1121" i="1" l="1"/>
  <c r="U1121" i="1" s="1"/>
  <c r="R1121" i="1"/>
  <c r="T1121" i="1" s="1"/>
  <c r="R1122" i="1" l="1"/>
  <c r="T1122" i="1" s="1"/>
  <c r="S1122" i="1"/>
  <c r="U1122" i="1" s="1"/>
  <c r="R1123" i="1" l="1"/>
  <c r="T1123" i="1" s="1"/>
  <c r="S1123" i="1"/>
  <c r="U1123" i="1" s="1"/>
  <c r="R1124" i="1" l="1"/>
  <c r="T1124" i="1" s="1"/>
  <c r="S1124" i="1"/>
  <c r="U1124" i="1" s="1"/>
  <c r="S1125" i="1" l="1"/>
  <c r="U1125" i="1" s="1"/>
  <c r="R1125" i="1"/>
  <c r="T1125" i="1" s="1"/>
  <c r="S1126" i="1" l="1"/>
  <c r="U1126" i="1" s="1"/>
  <c r="R1126" i="1"/>
  <c r="T1126" i="1" s="1"/>
  <c r="R1127" i="1" l="1"/>
  <c r="T1127" i="1" s="1"/>
  <c r="S1127" i="1"/>
  <c r="U1127" i="1" s="1"/>
  <c r="S1128" i="1" l="1"/>
  <c r="U1128" i="1" s="1"/>
  <c r="R1128" i="1"/>
  <c r="T1128" i="1" s="1"/>
  <c r="S1129" i="1" l="1"/>
  <c r="U1129" i="1" s="1"/>
  <c r="R1129" i="1"/>
  <c r="T1129" i="1" s="1"/>
  <c r="R1130" i="1" l="1"/>
  <c r="T1130" i="1" s="1"/>
  <c r="S1130" i="1"/>
  <c r="U1130" i="1" s="1"/>
  <c r="R1131" i="1" l="1"/>
  <c r="T1131" i="1" s="1"/>
  <c r="S1131" i="1"/>
  <c r="U1131" i="1" s="1"/>
  <c r="R1132" i="1" l="1"/>
  <c r="T1132" i="1" s="1"/>
  <c r="S1132" i="1"/>
  <c r="U1132" i="1" s="1"/>
  <c r="S1133" i="1" l="1"/>
  <c r="U1133" i="1" s="1"/>
  <c r="R1133" i="1"/>
  <c r="T1133" i="1" s="1"/>
  <c r="R1134" i="1" l="1"/>
  <c r="T1134" i="1" s="1"/>
  <c r="S1134" i="1"/>
  <c r="U1134" i="1" s="1"/>
  <c r="R1135" i="1" l="1"/>
  <c r="T1135" i="1" s="1"/>
  <c r="S1135" i="1"/>
  <c r="U1135" i="1" s="1"/>
  <c r="S1136" i="1" l="1"/>
  <c r="U1136" i="1" s="1"/>
  <c r="R1136" i="1"/>
  <c r="T1136" i="1" s="1"/>
  <c r="S1137" i="1" l="1"/>
  <c r="U1137" i="1" s="1"/>
  <c r="R1137" i="1"/>
  <c r="T1137" i="1" s="1"/>
  <c r="R1138" i="1" l="1"/>
  <c r="T1138" i="1" s="1"/>
  <c r="S1138" i="1"/>
  <c r="U1138" i="1" s="1"/>
  <c r="R1139" i="1" l="1"/>
  <c r="T1139" i="1" s="1"/>
  <c r="S1139" i="1"/>
  <c r="U1139" i="1" s="1"/>
  <c r="S1140" i="1" l="1"/>
  <c r="U1140" i="1" s="1"/>
  <c r="R1140" i="1"/>
  <c r="T1140" i="1" s="1"/>
  <c r="R1141" i="1" l="1"/>
  <c r="T1141" i="1" s="1"/>
  <c r="S1141" i="1"/>
  <c r="U1141" i="1" s="1"/>
  <c r="R1142" i="1" l="1"/>
  <c r="T1142" i="1" s="1"/>
  <c r="S1142" i="1"/>
  <c r="U1142" i="1" s="1"/>
  <c r="S1143" i="1" l="1"/>
  <c r="U1143" i="1" s="1"/>
  <c r="R1143" i="1"/>
  <c r="T1143" i="1" s="1"/>
  <c r="S1144" i="1" l="1"/>
  <c r="U1144" i="1" s="1"/>
  <c r="R1144" i="1"/>
  <c r="T1144" i="1" s="1"/>
  <c r="S1145" i="1" l="1"/>
  <c r="U1145" i="1" s="1"/>
  <c r="R1145" i="1"/>
  <c r="T1145" i="1" s="1"/>
  <c r="R1146" i="1" l="1"/>
  <c r="T1146" i="1" s="1"/>
  <c r="S1146" i="1"/>
  <c r="U1146" i="1" s="1"/>
  <c r="R1147" i="1" l="1"/>
  <c r="T1147" i="1" s="1"/>
  <c r="S1147" i="1"/>
  <c r="U1147" i="1" s="1"/>
  <c r="S1148" i="1" l="1"/>
  <c r="U1148" i="1" s="1"/>
  <c r="R1148" i="1"/>
  <c r="T1148" i="1" s="1"/>
  <c r="S1149" i="1" l="1"/>
  <c r="U1149" i="1" s="1"/>
  <c r="R1149" i="1"/>
  <c r="T1149" i="1" s="1"/>
  <c r="S1150" i="1" l="1"/>
  <c r="U1150" i="1" s="1"/>
  <c r="R1150" i="1"/>
  <c r="T1150" i="1" s="1"/>
  <c r="S1151" i="1" l="1"/>
  <c r="U1151" i="1" s="1"/>
  <c r="R1151" i="1"/>
  <c r="T1151" i="1" s="1"/>
  <c r="S1152" i="1" l="1"/>
  <c r="U1152" i="1" s="1"/>
  <c r="R1152" i="1"/>
  <c r="T1152" i="1" s="1"/>
  <c r="R1153" i="1" l="1"/>
  <c r="T1153" i="1" s="1"/>
  <c r="S1153" i="1"/>
  <c r="U1153" i="1" s="1"/>
  <c r="R1154" i="1" l="1"/>
  <c r="T1154" i="1" s="1"/>
  <c r="S1154" i="1"/>
  <c r="U1154" i="1" s="1"/>
  <c r="R1155" i="1" l="1"/>
  <c r="T1155" i="1" s="1"/>
  <c r="S1155" i="1"/>
  <c r="U1155" i="1" s="1"/>
  <c r="S1156" i="1" l="1"/>
  <c r="U1156" i="1" s="1"/>
  <c r="R1156" i="1"/>
  <c r="T1156" i="1" s="1"/>
  <c r="S1157" i="1" l="1"/>
  <c r="U1157" i="1" s="1"/>
  <c r="R1157" i="1"/>
  <c r="T1157" i="1" s="1"/>
  <c r="R1158" i="1" l="1"/>
  <c r="T1158" i="1" s="1"/>
  <c r="S1158" i="1"/>
  <c r="U1158" i="1" s="1"/>
  <c r="S1159" i="1" l="1"/>
  <c r="U1159" i="1" s="1"/>
  <c r="R1159" i="1"/>
  <c r="T1159" i="1" s="1"/>
  <c r="S1160" i="1" l="1"/>
  <c r="U1160" i="1" s="1"/>
  <c r="R1160" i="1"/>
  <c r="T1160" i="1" s="1"/>
  <c r="R1161" i="1" l="1"/>
  <c r="T1161" i="1" s="1"/>
  <c r="S1161" i="1"/>
  <c r="U1161" i="1" s="1"/>
  <c r="R1162" i="1" l="1"/>
  <c r="T1162" i="1" s="1"/>
  <c r="S1162" i="1"/>
  <c r="U1162" i="1" s="1"/>
  <c r="R1163" i="1" l="1"/>
  <c r="T1163" i="1" s="1"/>
  <c r="S1163" i="1"/>
  <c r="U1163" i="1" s="1"/>
  <c r="S1164" i="1" l="1"/>
  <c r="U1164" i="1" s="1"/>
  <c r="R1164" i="1"/>
  <c r="T1164" i="1" s="1"/>
  <c r="S1165" i="1" l="1"/>
  <c r="U1165" i="1" s="1"/>
  <c r="R1165" i="1"/>
  <c r="T1165" i="1" s="1"/>
  <c r="R1166" i="1" l="1"/>
  <c r="T1166" i="1" s="1"/>
  <c r="S1166" i="1"/>
  <c r="U1166" i="1" s="1"/>
  <c r="S1167" i="1" l="1"/>
  <c r="U1167" i="1" s="1"/>
  <c r="R1167" i="1"/>
  <c r="T1167" i="1" s="1"/>
  <c r="S1168" i="1" l="1"/>
  <c r="U1168" i="1" s="1"/>
  <c r="R1168" i="1"/>
  <c r="T1168" i="1" s="1"/>
  <c r="R1169" i="1" l="1"/>
  <c r="T1169" i="1" s="1"/>
  <c r="S1169" i="1"/>
  <c r="U1169" i="1" s="1"/>
  <c r="S1170" i="1" l="1"/>
  <c r="U1170" i="1" s="1"/>
  <c r="R1170" i="1"/>
  <c r="T1170" i="1" s="1"/>
  <c r="R1171" i="1" l="1"/>
  <c r="T1171" i="1" s="1"/>
  <c r="S1171" i="1"/>
  <c r="U1171" i="1" s="1"/>
  <c r="R1172" i="1" l="1"/>
  <c r="T1172" i="1" s="1"/>
  <c r="S1172" i="1"/>
  <c r="U1172" i="1" s="1"/>
  <c r="R1173" i="1" l="1"/>
  <c r="T1173" i="1" s="1"/>
  <c r="S1173" i="1"/>
  <c r="U1173" i="1" s="1"/>
  <c r="S1174" i="1" l="1"/>
  <c r="U1174" i="1" s="1"/>
  <c r="R1174" i="1"/>
  <c r="T1174" i="1" s="1"/>
  <c r="S1175" i="1" l="1"/>
  <c r="U1175" i="1" s="1"/>
  <c r="R1175" i="1"/>
  <c r="T1175" i="1" s="1"/>
  <c r="S1176" i="1" l="1"/>
  <c r="U1176" i="1" s="1"/>
  <c r="R1176" i="1"/>
  <c r="T1176" i="1" s="1"/>
  <c r="R1177" i="1" l="1"/>
  <c r="T1177" i="1" s="1"/>
  <c r="S1177" i="1"/>
  <c r="U1177" i="1" s="1"/>
  <c r="S1178" i="1" l="1"/>
  <c r="U1178" i="1" s="1"/>
  <c r="R1178" i="1"/>
  <c r="T1178" i="1" s="1"/>
  <c r="R1179" i="1" l="1"/>
  <c r="T1179" i="1" s="1"/>
  <c r="S1179" i="1"/>
  <c r="U1179" i="1" s="1"/>
  <c r="R1180" i="1" l="1"/>
  <c r="T1180" i="1" s="1"/>
  <c r="S1180" i="1"/>
  <c r="U1180" i="1" s="1"/>
  <c r="S1181" i="1" l="1"/>
  <c r="U1181" i="1" s="1"/>
  <c r="R1181" i="1"/>
  <c r="T1181" i="1" s="1"/>
  <c r="S1182" i="1" l="1"/>
  <c r="U1182" i="1" s="1"/>
  <c r="R1182" i="1"/>
  <c r="T1182" i="1" s="1"/>
  <c r="S1183" i="1" l="1"/>
  <c r="U1183" i="1" s="1"/>
  <c r="R1183" i="1"/>
  <c r="T1183" i="1" s="1"/>
  <c r="R1184" i="1" l="1"/>
  <c r="T1184" i="1" s="1"/>
  <c r="S1184" i="1"/>
  <c r="U1184" i="1" s="1"/>
  <c r="R1185" i="1" l="1"/>
  <c r="T1185" i="1" s="1"/>
  <c r="S1185" i="1"/>
  <c r="U1185" i="1" s="1"/>
  <c r="R1186" i="1" l="1"/>
  <c r="T1186" i="1" s="1"/>
  <c r="S1186" i="1"/>
  <c r="U1186" i="1" s="1"/>
  <c r="R1187" i="1" l="1"/>
  <c r="T1187" i="1" s="1"/>
  <c r="S1187" i="1"/>
  <c r="U1187" i="1" s="1"/>
  <c r="R1188" i="1" l="1"/>
  <c r="T1188" i="1" s="1"/>
  <c r="S1188" i="1"/>
  <c r="U1188" i="1" s="1"/>
  <c r="S1189" i="1" l="1"/>
  <c r="U1189" i="1" s="1"/>
  <c r="R1189" i="1"/>
  <c r="T1189" i="1" s="1"/>
  <c r="S1190" i="1" l="1"/>
  <c r="U1190" i="1" s="1"/>
  <c r="R1190" i="1"/>
  <c r="T1190" i="1" s="1"/>
  <c r="R1191" i="1" l="1"/>
  <c r="T1191" i="1" s="1"/>
  <c r="S1191" i="1"/>
  <c r="U1191" i="1" s="1"/>
  <c r="R1192" i="1" l="1"/>
  <c r="T1192" i="1" s="1"/>
  <c r="S1192" i="1"/>
  <c r="U1192" i="1" s="1"/>
  <c r="S1193" i="1" l="1"/>
  <c r="U1193" i="1" s="1"/>
  <c r="R1193" i="1"/>
  <c r="T1193" i="1" s="1"/>
  <c r="R1194" i="1" l="1"/>
  <c r="T1194" i="1" s="1"/>
  <c r="S1194" i="1"/>
  <c r="U1194" i="1" s="1"/>
  <c r="R1195" i="1" l="1"/>
  <c r="T1195" i="1" s="1"/>
  <c r="S1195" i="1"/>
  <c r="U1195" i="1" s="1"/>
  <c r="R1196" i="1" l="1"/>
  <c r="T1196" i="1" s="1"/>
  <c r="S1196" i="1"/>
  <c r="U1196" i="1" s="1"/>
  <c r="R1197" i="1" l="1"/>
  <c r="T1197" i="1" s="1"/>
  <c r="S1197" i="1"/>
  <c r="U1197" i="1" s="1"/>
  <c r="S1198" i="1" l="1"/>
  <c r="U1198" i="1" s="1"/>
  <c r="R1198" i="1"/>
  <c r="T1198" i="1" s="1"/>
  <c r="S1199" i="1" l="1"/>
  <c r="U1199" i="1" s="1"/>
  <c r="R1199" i="1"/>
  <c r="T1199" i="1" s="1"/>
  <c r="S1200" i="1" l="1"/>
  <c r="U1200" i="1" s="1"/>
  <c r="R1200" i="1"/>
  <c r="T1200" i="1" s="1"/>
  <c r="S1201" i="1" l="1"/>
  <c r="U1201" i="1" s="1"/>
  <c r="R1201" i="1"/>
  <c r="T1201" i="1" s="1"/>
  <c r="R1202" i="1" l="1"/>
  <c r="T1202" i="1" s="1"/>
  <c r="S1202" i="1"/>
  <c r="U1202" i="1" s="1"/>
  <c r="R1203" i="1" l="1"/>
  <c r="T1203" i="1" s="1"/>
  <c r="S1203" i="1"/>
  <c r="U1203" i="1" s="1"/>
  <c r="R1204" i="1" l="1"/>
  <c r="T1204" i="1" s="1"/>
  <c r="S1204" i="1"/>
  <c r="U1204" i="1" s="1"/>
  <c r="S1205" i="1" l="1"/>
  <c r="U1205" i="1" s="1"/>
  <c r="R1205" i="1"/>
  <c r="T1205" i="1" s="1"/>
  <c r="S1206" i="1" l="1"/>
  <c r="U1206" i="1" s="1"/>
  <c r="R1206" i="1"/>
  <c r="T1206" i="1" s="1"/>
  <c r="R1207" i="1" l="1"/>
  <c r="T1207" i="1" s="1"/>
  <c r="S1207" i="1"/>
  <c r="U1207" i="1" s="1"/>
  <c r="R1208" i="1" l="1"/>
  <c r="T1208" i="1" s="1"/>
  <c r="S1208" i="1"/>
  <c r="U1208" i="1" s="1"/>
  <c r="S1209" i="1" l="1"/>
  <c r="U1209" i="1" s="1"/>
  <c r="R1209" i="1"/>
  <c r="T1209" i="1" s="1"/>
  <c r="R1210" i="1" l="1"/>
  <c r="T1210" i="1" s="1"/>
  <c r="S1210" i="1"/>
  <c r="U1210" i="1" s="1"/>
  <c r="R1211" i="1" l="1"/>
  <c r="T1211" i="1" s="1"/>
  <c r="S1211" i="1"/>
  <c r="U1211" i="1" s="1"/>
  <c r="S1212" i="1" l="1"/>
  <c r="U1212" i="1" s="1"/>
  <c r="R1212" i="1"/>
  <c r="T1212" i="1" s="1"/>
  <c r="S1213" i="1" l="1"/>
  <c r="U1213" i="1" s="1"/>
  <c r="R1213" i="1"/>
  <c r="T1213" i="1" s="1"/>
  <c r="S1214" i="1" l="1"/>
  <c r="U1214" i="1" s="1"/>
  <c r="R1214" i="1"/>
  <c r="T1214" i="1" s="1"/>
  <c r="R1215" i="1" l="1"/>
  <c r="T1215" i="1" s="1"/>
  <c r="S1215" i="1"/>
  <c r="U1215" i="1" s="1"/>
  <c r="S1216" i="1" l="1"/>
  <c r="U1216" i="1" s="1"/>
  <c r="R1216" i="1"/>
  <c r="T1216" i="1" s="1"/>
  <c r="S1217" i="1" l="1"/>
  <c r="U1217" i="1" s="1"/>
  <c r="R1217" i="1"/>
  <c r="T1217" i="1" s="1"/>
  <c r="R1218" i="1" l="1"/>
  <c r="T1218" i="1" s="1"/>
  <c r="S1218" i="1"/>
  <c r="U1218" i="1" s="1"/>
  <c r="R1219" i="1" l="1"/>
  <c r="T1219" i="1" s="1"/>
  <c r="S1219" i="1"/>
  <c r="U1219" i="1" s="1"/>
  <c r="S1220" i="1" l="1"/>
  <c r="U1220" i="1" s="1"/>
  <c r="R1220" i="1"/>
  <c r="T1220" i="1" s="1"/>
  <c r="S1221" i="1" l="1"/>
  <c r="U1221" i="1" s="1"/>
  <c r="R1221" i="1"/>
  <c r="T1221" i="1" s="1"/>
  <c r="R1222" i="1" l="1"/>
  <c r="T1222" i="1" s="1"/>
  <c r="S1222" i="1"/>
  <c r="U1222" i="1" s="1"/>
  <c r="S1223" i="1" l="1"/>
  <c r="U1223" i="1" s="1"/>
  <c r="R1223" i="1"/>
  <c r="T1223" i="1" s="1"/>
  <c r="S1224" i="1" l="1"/>
  <c r="U1224" i="1" s="1"/>
  <c r="R1224" i="1"/>
  <c r="T1224" i="1" s="1"/>
  <c r="S1225" i="1" l="1"/>
  <c r="U1225" i="1" s="1"/>
  <c r="R1225" i="1"/>
  <c r="T1225" i="1" s="1"/>
  <c r="R1226" i="1" l="1"/>
  <c r="T1226" i="1" s="1"/>
  <c r="S1226" i="1"/>
  <c r="U1226" i="1" s="1"/>
  <c r="R1227" i="1" l="1"/>
  <c r="T1227" i="1" s="1"/>
  <c r="S1227" i="1"/>
  <c r="U1227" i="1" s="1"/>
  <c r="S1228" i="1" l="1"/>
  <c r="U1228" i="1" s="1"/>
  <c r="R1228" i="1"/>
  <c r="T1228" i="1" s="1"/>
  <c r="S1229" i="1" l="1"/>
  <c r="U1229" i="1" s="1"/>
  <c r="R1229" i="1"/>
  <c r="T1229" i="1" s="1"/>
  <c r="S1230" i="1" l="1"/>
  <c r="U1230" i="1" s="1"/>
  <c r="R1230" i="1"/>
  <c r="T1230" i="1" s="1"/>
  <c r="R1231" i="1" l="1"/>
  <c r="T1231" i="1" s="1"/>
  <c r="S1231" i="1"/>
  <c r="U1231" i="1" s="1"/>
  <c r="S1232" i="1" l="1"/>
  <c r="U1232" i="1" s="1"/>
  <c r="R1232" i="1"/>
  <c r="T1232" i="1" s="1"/>
  <c r="S1233" i="1" l="1"/>
  <c r="U1233" i="1" s="1"/>
  <c r="R1233" i="1"/>
  <c r="T1233" i="1" s="1"/>
  <c r="R1234" i="1" l="1"/>
  <c r="T1234" i="1" s="1"/>
  <c r="S1234" i="1"/>
  <c r="U1234" i="1" s="1"/>
  <c r="R1235" i="1" l="1"/>
  <c r="T1235" i="1" s="1"/>
  <c r="S1235" i="1"/>
  <c r="U1235" i="1" s="1"/>
  <c r="S1236" i="1" l="1"/>
  <c r="U1236" i="1" s="1"/>
  <c r="R1236" i="1"/>
  <c r="T1236" i="1" s="1"/>
  <c r="S1237" i="1" l="1"/>
  <c r="U1237" i="1" s="1"/>
  <c r="R1237" i="1"/>
  <c r="T1237" i="1" s="1"/>
  <c r="S1238" i="1" l="1"/>
  <c r="U1238" i="1" s="1"/>
  <c r="R1238" i="1"/>
  <c r="T1238" i="1" s="1"/>
  <c r="S1239" i="1" l="1"/>
  <c r="U1239" i="1" s="1"/>
  <c r="R1239" i="1"/>
  <c r="T1239" i="1" s="1"/>
  <c r="S1240" i="1" l="1"/>
  <c r="U1240" i="1" s="1"/>
  <c r="R1240" i="1"/>
  <c r="T1240" i="1" s="1"/>
  <c r="S1241" i="1" l="1"/>
  <c r="U1241" i="1" s="1"/>
  <c r="R1241" i="1"/>
  <c r="T1241" i="1" s="1"/>
  <c r="R1242" i="1" l="1"/>
  <c r="T1242" i="1" s="1"/>
  <c r="S1242" i="1"/>
  <c r="U1242" i="1" s="1"/>
  <c r="R1243" i="1" l="1"/>
  <c r="T1243" i="1" s="1"/>
  <c r="S1243" i="1"/>
  <c r="U1243" i="1" s="1"/>
  <c r="S1244" i="1" l="1"/>
  <c r="U1244" i="1" s="1"/>
  <c r="R1244" i="1"/>
  <c r="T1244" i="1" s="1"/>
  <c r="R1245" i="1" l="1"/>
  <c r="T1245" i="1" s="1"/>
  <c r="S1245" i="1"/>
  <c r="U1245" i="1" s="1"/>
  <c r="R1246" i="1" l="1"/>
  <c r="T1246" i="1" s="1"/>
  <c r="S1246" i="1"/>
  <c r="U1246" i="1" s="1"/>
  <c r="S1247" i="1" l="1"/>
  <c r="U1247" i="1" s="1"/>
  <c r="R1247" i="1"/>
  <c r="T1247" i="1" s="1"/>
  <c r="S1248" i="1" l="1"/>
  <c r="U1248" i="1" s="1"/>
  <c r="R1248" i="1"/>
  <c r="T1248" i="1" s="1"/>
  <c r="S1249" i="1" l="1"/>
  <c r="U1249" i="1" s="1"/>
  <c r="R1249" i="1"/>
  <c r="T1249" i="1" s="1"/>
  <c r="R1250" i="1" l="1"/>
  <c r="T1250" i="1" s="1"/>
  <c r="S1250" i="1"/>
  <c r="U1250" i="1" s="1"/>
  <c r="R1251" i="1" l="1"/>
  <c r="T1251" i="1" s="1"/>
  <c r="S1251" i="1"/>
  <c r="U1251" i="1" s="1"/>
  <c r="R1252" i="1" l="1"/>
  <c r="T1252" i="1" s="1"/>
  <c r="S1252" i="1"/>
  <c r="U1252" i="1" s="1"/>
  <c r="S1253" i="1" l="1"/>
  <c r="U1253" i="1" s="1"/>
  <c r="R1253" i="1"/>
  <c r="T1253" i="1" s="1"/>
  <c r="S1254" i="1" l="1"/>
  <c r="U1254" i="1" s="1"/>
  <c r="R1254" i="1"/>
  <c r="T1254" i="1" s="1"/>
  <c r="S1255" i="1" l="1"/>
  <c r="U1255" i="1" s="1"/>
  <c r="R1255" i="1"/>
  <c r="T1255" i="1" s="1"/>
  <c r="R1256" i="1" l="1"/>
  <c r="T1256" i="1" s="1"/>
  <c r="S1256" i="1"/>
  <c r="U1256" i="1" s="1"/>
  <c r="R1257" i="1" l="1"/>
  <c r="T1257" i="1" s="1"/>
  <c r="S1257" i="1"/>
  <c r="U1257" i="1" s="1"/>
  <c r="S1258" i="1" l="1"/>
  <c r="U1258" i="1" s="1"/>
  <c r="R1258" i="1"/>
  <c r="T1258" i="1" s="1"/>
  <c r="S1259" i="1" l="1"/>
  <c r="U1259" i="1" s="1"/>
  <c r="R1259" i="1"/>
  <c r="T1259" i="1" s="1"/>
  <c r="S1260" i="1" l="1"/>
  <c r="X3" i="1" s="1"/>
  <c r="R1260" i="1"/>
  <c r="T1260" i="1" s="1"/>
  <c r="Y5" i="1" s="1"/>
  <c r="Y6" i="1" s="1"/>
  <c r="X5" i="1" l="1"/>
  <c r="AB4" i="1" s="1"/>
  <c r="X4" i="1"/>
  <c r="AC4" i="1" s="1"/>
  <c r="Y4" i="1"/>
  <c r="Y7" i="1" s="1"/>
  <c r="Y3" i="1"/>
  <c r="U1260" i="1"/>
  <c r="Z5" i="1" s="1"/>
  <c r="Z6" i="1" s="1"/>
  <c r="X6" i="1" l="1"/>
  <c r="AE4" i="1" s="1"/>
  <c r="AG4" i="1"/>
  <c r="AI4" i="1" s="1"/>
  <c r="AJ4" i="1" s="1"/>
  <c r="Z3" i="1"/>
  <c r="Z4" i="1"/>
  <c r="Z7" i="1" s="1"/>
  <c r="AB5" i="1" l="1"/>
  <c r="AG5" i="1" s="1"/>
  <c r="AH5" i="1" s="1"/>
  <c r="X7" i="1"/>
  <c r="AD4" i="1" s="1"/>
  <c r="AH4" i="1"/>
  <c r="AK4" i="1"/>
  <c r="AF4" i="1" l="1"/>
  <c r="AB6" i="1"/>
  <c r="AC5" i="1"/>
  <c r="AI5" i="1"/>
  <c r="AJ5" i="1" s="1"/>
  <c r="AM4" i="1"/>
  <c r="AN4" i="1" s="1"/>
  <c r="AL4" i="1"/>
  <c r="AK5" i="1"/>
  <c r="AM5" i="1" s="1"/>
  <c r="AN5" i="1" s="1"/>
  <c r="AE5" i="1" l="1"/>
  <c r="AF5" i="1" s="1"/>
  <c r="AD5" i="1"/>
  <c r="AC6" i="1"/>
  <c r="AD6" i="1" s="1"/>
  <c r="AE6" i="1"/>
  <c r="AF6" i="1" s="1"/>
  <c r="AB7" i="1"/>
  <c r="AG6" i="1"/>
  <c r="AH6" i="1" s="1"/>
  <c r="AL5" i="1"/>
  <c r="AK6" i="1"/>
  <c r="AL6" i="1" s="1"/>
  <c r="AI6" i="1" l="1"/>
  <c r="AJ6" i="1" s="1"/>
  <c r="AC7" i="1"/>
  <c r="AD7" i="1" s="1"/>
  <c r="AE7" i="1"/>
  <c r="AF7" i="1" s="1"/>
  <c r="AB8" i="1"/>
  <c r="AG7" i="1"/>
  <c r="AH7" i="1" s="1"/>
  <c r="AM6" i="1"/>
  <c r="AN6" i="1" s="1"/>
  <c r="AI7" i="1"/>
  <c r="AJ7" i="1" s="1"/>
  <c r="AK7" i="1"/>
  <c r="AL7" i="1" s="1"/>
  <c r="AB9" i="1" l="1"/>
  <c r="AC8" i="1"/>
  <c r="AE8" i="1" s="1"/>
  <c r="AF8" i="1" s="1"/>
  <c r="AG8" i="1"/>
  <c r="AH8" i="1" s="1"/>
  <c r="AM7" i="1"/>
  <c r="AN7" i="1" s="1"/>
  <c r="AI8" i="1"/>
  <c r="AJ8" i="1" s="1"/>
  <c r="AK8" i="1"/>
  <c r="AL8" i="1" s="1"/>
  <c r="AD8" i="1" l="1"/>
  <c r="AC9" i="1"/>
  <c r="AD9" i="1" s="1"/>
  <c r="AE9" i="1"/>
  <c r="AF9" i="1" s="1"/>
  <c r="AB10" i="1"/>
  <c r="AG9" i="1"/>
  <c r="AH9" i="1" s="1"/>
  <c r="AM8" i="1"/>
  <c r="AN8" i="1" s="1"/>
  <c r="AI9" i="1"/>
  <c r="AJ9" i="1" s="1"/>
  <c r="AK9" i="1"/>
  <c r="AC10" i="1" l="1"/>
  <c r="AD10" i="1" s="1"/>
  <c r="AB11" i="1"/>
  <c r="AG10" i="1"/>
  <c r="AH10" i="1" s="1"/>
  <c r="AM9" i="1"/>
  <c r="AN9" i="1" s="1"/>
  <c r="AI10" i="1"/>
  <c r="AJ10" i="1" s="1"/>
  <c r="AK10" i="1"/>
  <c r="AL10" i="1" s="1"/>
  <c r="AL9" i="1"/>
  <c r="AE10" i="1" l="1"/>
  <c r="AF10" i="1" s="1"/>
  <c r="AB12" i="1"/>
  <c r="AC11" i="1"/>
  <c r="AD11" i="1" s="1"/>
  <c r="AG11" i="1"/>
  <c r="AH11" i="1" s="1"/>
  <c r="AM10" i="1"/>
  <c r="AN10" i="1" s="1"/>
  <c r="AI11" i="1"/>
  <c r="AJ11" i="1" s="1"/>
  <c r="AK11" i="1"/>
  <c r="AL11" i="1" s="1"/>
  <c r="AE11" i="1" l="1"/>
  <c r="AF11" i="1" s="1"/>
  <c r="AG12" i="1"/>
  <c r="AH12" i="1" s="1"/>
  <c r="AC12" i="1"/>
  <c r="AD12" i="1" s="1"/>
  <c r="AB13" i="1"/>
  <c r="AM11" i="1"/>
  <c r="AN11" i="1" s="1"/>
  <c r="AK12" i="1"/>
  <c r="AL12" i="1" s="1"/>
  <c r="AE12" i="1" l="1"/>
  <c r="AF12" i="1" s="1"/>
  <c r="AI12" i="1"/>
  <c r="AJ12" i="1" s="1"/>
  <c r="AB14" i="1"/>
  <c r="AC13" i="1"/>
  <c r="AE13" i="1" s="1"/>
  <c r="AF13" i="1" s="1"/>
  <c r="AG13" i="1"/>
  <c r="AH13" i="1" s="1"/>
  <c r="AK13" i="1"/>
  <c r="AL13" i="1" s="1"/>
  <c r="AM12" i="1"/>
  <c r="AN12" i="1" s="1"/>
  <c r="AC14" i="1" l="1"/>
  <c r="AD14" i="1" s="1"/>
  <c r="AB15" i="1"/>
  <c r="AD13" i="1"/>
  <c r="AG14" i="1"/>
  <c r="AH14" i="1" s="1"/>
  <c r="AI13" i="1"/>
  <c r="AJ13" i="1" s="1"/>
  <c r="AK14" i="1"/>
  <c r="AL14" i="1" s="1"/>
  <c r="AM13" i="1"/>
  <c r="AN13" i="1" s="1"/>
  <c r="AE14" i="1" l="1"/>
  <c r="AF14" i="1" s="1"/>
  <c r="AG15" i="1"/>
  <c r="AI15" i="1" s="1"/>
  <c r="AJ15" i="1" s="1"/>
  <c r="AC15" i="1"/>
  <c r="AD15" i="1" s="1"/>
  <c r="AB16" i="1"/>
  <c r="AI14" i="1"/>
  <c r="AJ14" i="1" s="1"/>
  <c r="AM14" i="1"/>
  <c r="AN14" i="1" s="1"/>
  <c r="AK15" i="1"/>
  <c r="AM15" i="1" s="1"/>
  <c r="AN15" i="1" s="1"/>
  <c r="AE15" i="1" l="1"/>
  <c r="AF15" i="1" s="1"/>
  <c r="AH15" i="1"/>
  <c r="AB17" i="1"/>
  <c r="AC16" i="1"/>
  <c r="AD16" i="1" s="1"/>
  <c r="AG16" i="1"/>
  <c r="AI16" i="1" s="1"/>
  <c r="AJ16" i="1" s="1"/>
  <c r="AK16" i="1"/>
  <c r="AK17" i="1" s="1"/>
  <c r="AL17" i="1" s="1"/>
  <c r="AL15" i="1"/>
  <c r="AE16" i="1" l="1"/>
  <c r="AF16" i="1" s="1"/>
  <c r="AG17" i="1"/>
  <c r="AH17" i="1" s="1"/>
  <c r="AC17" i="1"/>
  <c r="AD17" i="1" s="1"/>
  <c r="AB18" i="1"/>
  <c r="AH16" i="1"/>
  <c r="AM16" i="1"/>
  <c r="AN16" i="1" s="1"/>
  <c r="AL16" i="1"/>
  <c r="AM17" i="1"/>
  <c r="AN17" i="1" s="1"/>
  <c r="AI17" i="1" l="1"/>
  <c r="AJ17" i="1" s="1"/>
  <c r="AE17" i="1"/>
  <c r="AF17" i="1" s="1"/>
  <c r="AC18" i="1"/>
  <c r="AD18" i="1" s="1"/>
  <c r="AB19" i="1"/>
  <c r="AG18" i="1"/>
  <c r="AH18" i="1" s="1"/>
  <c r="AK18" i="1"/>
  <c r="AL18" i="1" s="1"/>
  <c r="AI18" i="1"/>
  <c r="AJ18" i="1" s="1"/>
  <c r="AB20" i="1" l="1"/>
  <c r="AC19" i="1"/>
  <c r="AD19" i="1" s="1"/>
  <c r="AE18" i="1"/>
  <c r="AF18" i="1" s="1"/>
  <c r="AK19" i="1"/>
  <c r="AL19" i="1" s="1"/>
  <c r="AG19" i="1"/>
  <c r="AH19" i="1" s="1"/>
  <c r="AM18" i="1"/>
  <c r="AN18" i="1" s="1"/>
  <c r="AE19" i="1" l="1"/>
  <c r="AF19" i="1" s="1"/>
  <c r="AM19" i="1"/>
  <c r="AN19" i="1" s="1"/>
  <c r="AK20" i="1"/>
  <c r="AL20" i="1" s="1"/>
  <c r="AG20" i="1"/>
  <c r="AH20" i="1" s="1"/>
  <c r="AI19" i="1"/>
  <c r="AJ19" i="1" s="1"/>
  <c r="AC20" i="1"/>
  <c r="AD20" i="1" s="1"/>
  <c r="AB21" i="1"/>
  <c r="AG21" i="1" s="1"/>
  <c r="AH21" i="1" s="1"/>
  <c r="AM20" i="1"/>
  <c r="AN20" i="1" s="1"/>
  <c r="AE20" i="1" l="1"/>
  <c r="AF20" i="1" s="1"/>
  <c r="AI20" i="1"/>
  <c r="AJ20" i="1" s="1"/>
  <c r="AB22" i="1"/>
  <c r="AG22" i="1" s="1"/>
  <c r="AH22" i="1" s="1"/>
  <c r="AC21" i="1"/>
  <c r="AE21" i="1" s="1"/>
  <c r="AF21" i="1" s="1"/>
  <c r="AK21" i="1"/>
  <c r="AL21" i="1" s="1"/>
  <c r="AI21" i="1"/>
  <c r="AJ21" i="1" s="1"/>
  <c r="AC22" i="1" l="1"/>
  <c r="AD22" i="1" s="1"/>
  <c r="AB23" i="1"/>
  <c r="AG23" i="1" s="1"/>
  <c r="AH23" i="1" s="1"/>
  <c r="AD21" i="1"/>
  <c r="AM21" i="1"/>
  <c r="AN21" i="1" s="1"/>
  <c r="AK22" i="1"/>
  <c r="AL22" i="1" s="1"/>
  <c r="AI22" i="1"/>
  <c r="AJ22" i="1" s="1"/>
  <c r="AE22" i="1" l="1"/>
  <c r="AF22" i="1" s="1"/>
  <c r="AC23" i="1"/>
  <c r="AD23" i="1" s="1"/>
  <c r="AB24" i="1"/>
  <c r="AK23" i="1"/>
  <c r="AL23" i="1" s="1"/>
  <c r="AM22" i="1"/>
  <c r="AN22" i="1" s="1"/>
  <c r="AI23" i="1"/>
  <c r="AJ23" i="1" s="1"/>
  <c r="AE23" i="1" l="1"/>
  <c r="AF23" i="1" s="1"/>
  <c r="AB25" i="1"/>
  <c r="AC24" i="1"/>
  <c r="AD24" i="1" s="1"/>
  <c r="AG24" i="1"/>
  <c r="AH24" i="1" s="1"/>
  <c r="AK24" i="1"/>
  <c r="AL24" i="1" s="1"/>
  <c r="AM23" i="1"/>
  <c r="AN23" i="1" s="1"/>
  <c r="AE24" i="1" l="1"/>
  <c r="AF24" i="1" s="1"/>
  <c r="AK25" i="1"/>
  <c r="AL25" i="1" s="1"/>
  <c r="AM24" i="1"/>
  <c r="AN24" i="1" s="1"/>
  <c r="AC25" i="1"/>
  <c r="AD25" i="1" s="1"/>
  <c r="AB26" i="1"/>
  <c r="AG25" i="1"/>
  <c r="AH25" i="1" s="1"/>
  <c r="AI24" i="1"/>
  <c r="AJ24" i="1" s="1"/>
  <c r="AM25" i="1" l="1"/>
  <c r="AN25" i="1" s="1"/>
  <c r="AE25" i="1"/>
  <c r="AF25" i="1" s="1"/>
  <c r="AI25" i="1"/>
  <c r="AJ25" i="1" s="1"/>
  <c r="AB27" i="1"/>
  <c r="AC26" i="1"/>
  <c r="AD26" i="1" s="1"/>
  <c r="AK26" i="1"/>
  <c r="AL26" i="1" s="1"/>
  <c r="AG26" i="1"/>
  <c r="AH26" i="1" s="1"/>
  <c r="AG27" i="1" l="1"/>
  <c r="AH27" i="1" s="1"/>
  <c r="AE26" i="1"/>
  <c r="AF26" i="1" s="1"/>
  <c r="AB28" i="1"/>
  <c r="AC27" i="1"/>
  <c r="AD27" i="1" s="1"/>
  <c r="AK27" i="1"/>
  <c r="AL27" i="1" s="1"/>
  <c r="AM26" i="1"/>
  <c r="AN26" i="1" s="1"/>
  <c r="AI26" i="1"/>
  <c r="AJ26" i="1" s="1"/>
  <c r="AI27" i="1"/>
  <c r="AJ27" i="1" s="1"/>
  <c r="AG28" i="1" l="1"/>
  <c r="AH28" i="1" s="1"/>
  <c r="AE27" i="1"/>
  <c r="AF27" i="1" s="1"/>
  <c r="AM27" i="1"/>
  <c r="AN27" i="1" s="1"/>
  <c r="AK28" i="1"/>
  <c r="AL28" i="1" s="1"/>
  <c r="AC28" i="1"/>
  <c r="AD28" i="1" s="1"/>
  <c r="AB29" i="1"/>
  <c r="AG29" i="1" s="1"/>
  <c r="AH29" i="1" s="1"/>
  <c r="AM28" i="1"/>
  <c r="AN28" i="1" s="1"/>
  <c r="AI28" i="1"/>
  <c r="AJ28" i="1" s="1"/>
  <c r="AE28" i="1" l="1"/>
  <c r="AF28" i="1" s="1"/>
  <c r="AB30" i="1"/>
  <c r="AC29" i="1"/>
  <c r="AE29" i="1" s="1"/>
  <c r="AF29" i="1" s="1"/>
  <c r="AK29" i="1"/>
  <c r="AL29" i="1" s="1"/>
  <c r="AI29" i="1"/>
  <c r="AJ29" i="1" s="1"/>
  <c r="AC30" i="1" l="1"/>
  <c r="AD30" i="1" s="1"/>
  <c r="AE30" i="1"/>
  <c r="AF30" i="1" s="1"/>
  <c r="AB31" i="1"/>
  <c r="AD29" i="1"/>
  <c r="AG30" i="1"/>
  <c r="AH30" i="1" s="1"/>
  <c r="AM29" i="1"/>
  <c r="AN29" i="1" s="1"/>
  <c r="AK30" i="1"/>
  <c r="AL30" i="1" s="1"/>
  <c r="AK31" i="1" l="1"/>
  <c r="AL31" i="1" s="1"/>
  <c r="AM30" i="1"/>
  <c r="AN30" i="1" s="1"/>
  <c r="AI30" i="1"/>
  <c r="AJ30" i="1" s="1"/>
  <c r="AC31" i="1"/>
  <c r="AD31" i="1" s="1"/>
  <c r="AE31" i="1"/>
  <c r="AF31" i="1" s="1"/>
  <c r="AB32" i="1"/>
  <c r="AG31" i="1"/>
  <c r="AH31" i="1" s="1"/>
  <c r="AM31" i="1"/>
  <c r="AN31" i="1" s="1"/>
  <c r="AI31" i="1" l="1"/>
  <c r="AJ31" i="1" s="1"/>
  <c r="AB33" i="1"/>
  <c r="AC32" i="1"/>
  <c r="AE32" i="1" s="1"/>
  <c r="AF32" i="1" s="1"/>
  <c r="AG32" i="1"/>
  <c r="AH32" i="1" s="1"/>
  <c r="AK32" i="1"/>
  <c r="AL32" i="1" s="1"/>
  <c r="AG33" i="1" l="1"/>
  <c r="AI33" i="1" s="1"/>
  <c r="AJ33" i="1" s="1"/>
  <c r="AD32" i="1"/>
  <c r="AM32" i="1"/>
  <c r="AN32" i="1" s="1"/>
  <c r="AK33" i="1"/>
  <c r="AL33" i="1" s="1"/>
  <c r="AC33" i="1"/>
  <c r="AD33" i="1" s="1"/>
  <c r="AB34" i="1"/>
  <c r="AK34" i="1" s="1"/>
  <c r="AL34" i="1" s="1"/>
  <c r="AI32" i="1"/>
  <c r="AJ32" i="1" s="1"/>
  <c r="AM33" i="1"/>
  <c r="AN33" i="1" s="1"/>
  <c r="AH33" i="1"/>
  <c r="AE33" i="1" l="1"/>
  <c r="AF33" i="1" s="1"/>
  <c r="AB35" i="1"/>
  <c r="AC34" i="1"/>
  <c r="AD34" i="1" s="1"/>
  <c r="AM34" i="1"/>
  <c r="AN34" i="1" s="1"/>
  <c r="AG34" i="1"/>
  <c r="AI34" i="1" s="1"/>
  <c r="AJ34" i="1" s="1"/>
  <c r="AH34" i="1" l="1"/>
  <c r="AE34" i="1"/>
  <c r="AF34" i="1" s="1"/>
  <c r="AB36" i="1"/>
  <c r="AC35" i="1"/>
  <c r="AD35" i="1" s="1"/>
  <c r="AK35" i="1"/>
  <c r="AM35" i="1" s="1"/>
  <c r="AN35" i="1" s="1"/>
  <c r="AG35" i="1"/>
  <c r="AI35" i="1" s="1"/>
  <c r="AJ35" i="1" s="1"/>
  <c r="AE35" i="1" l="1"/>
  <c r="AF35" i="1" s="1"/>
  <c r="AC36" i="1"/>
  <c r="AD36" i="1" s="1"/>
  <c r="AB37" i="1"/>
  <c r="AK36" i="1"/>
  <c r="AL36" i="1" s="1"/>
  <c r="AG36" i="1"/>
  <c r="AL35" i="1"/>
  <c r="AH35" i="1"/>
  <c r="AE36" i="1" l="1"/>
  <c r="AF36" i="1" s="1"/>
  <c r="AI36" i="1"/>
  <c r="AJ36" i="1" s="1"/>
  <c r="AH36" i="1"/>
  <c r="AB38" i="1"/>
  <c r="AC37" i="1"/>
  <c r="AE37" i="1" s="1"/>
  <c r="AF37" i="1" s="1"/>
  <c r="AK37" i="1"/>
  <c r="AM37" i="1" s="1"/>
  <c r="AN37" i="1" s="1"/>
  <c r="AG37" i="1"/>
  <c r="AI37" i="1" s="1"/>
  <c r="AJ37" i="1" s="1"/>
  <c r="AM36" i="1"/>
  <c r="AN36" i="1" s="1"/>
  <c r="AD37" i="1" l="1"/>
  <c r="AC38" i="1"/>
  <c r="AD38" i="1" s="1"/>
  <c r="AB39" i="1"/>
  <c r="AG38" i="1"/>
  <c r="AK38" i="1"/>
  <c r="AL37" i="1"/>
  <c r="AH37" i="1"/>
  <c r="AE38" i="1" l="1"/>
  <c r="AF38" i="1" s="1"/>
  <c r="AM38" i="1"/>
  <c r="AN38" i="1" s="1"/>
  <c r="AL38" i="1"/>
  <c r="AI38" i="1"/>
  <c r="AJ38" i="1" s="1"/>
  <c r="AH38" i="1"/>
  <c r="AC39" i="1"/>
  <c r="AE39" i="1" s="1"/>
  <c r="AF39" i="1" s="1"/>
  <c r="AB40" i="1"/>
  <c r="AG39" i="1"/>
  <c r="AI39" i="1" s="1"/>
  <c r="AJ39" i="1" s="1"/>
  <c r="AK39" i="1"/>
  <c r="AM39" i="1" s="1"/>
  <c r="AN39" i="1" s="1"/>
  <c r="AD39" i="1" l="1"/>
  <c r="AH39" i="1"/>
  <c r="AB41" i="1"/>
  <c r="AC40" i="1"/>
  <c r="AD40" i="1" s="1"/>
  <c r="AK40" i="1"/>
  <c r="AM40" i="1" s="1"/>
  <c r="AN40" i="1" s="1"/>
  <c r="AG40" i="1"/>
  <c r="AI40" i="1" s="1"/>
  <c r="AJ40" i="1" s="1"/>
  <c r="AL39" i="1"/>
  <c r="AH40" i="1" l="1"/>
  <c r="AE40" i="1"/>
  <c r="AF40" i="1" s="1"/>
  <c r="AC41" i="1"/>
  <c r="AD41" i="1"/>
  <c r="AE41" i="1"/>
  <c r="AF41" i="1"/>
  <c r="AB42" i="1"/>
  <c r="AJ41" i="1"/>
  <c r="AL41" i="1"/>
  <c r="AK41" i="1"/>
  <c r="AI41" i="1"/>
  <c r="AM41" i="1"/>
  <c r="AG41" i="1"/>
  <c r="AN41" i="1"/>
  <c r="AH41" i="1"/>
  <c r="AL40" i="1"/>
  <c r="AB43" i="1" l="1"/>
  <c r="AJ42" i="1"/>
  <c r="AL42" i="1"/>
  <c r="AN42" i="1"/>
  <c r="AI42" i="1"/>
  <c r="AG42" i="1"/>
  <c r="AK42" i="1"/>
  <c r="AF42" i="1"/>
  <c r="AM42" i="1"/>
  <c r="AH42" i="1"/>
  <c r="AC42" i="1"/>
  <c r="AD42" i="1"/>
  <c r="AE42" i="1"/>
  <c r="AB44" i="1" l="1"/>
  <c r="AJ43" i="1"/>
  <c r="AM43" i="1"/>
  <c r="AC43" i="1"/>
  <c r="AG43" i="1"/>
  <c r="AN43" i="1"/>
  <c r="AK43" i="1"/>
  <c r="AH43" i="1"/>
  <c r="AD43" i="1"/>
  <c r="AE43" i="1"/>
  <c r="AL43" i="1"/>
  <c r="AF43" i="1"/>
  <c r="AI43" i="1"/>
  <c r="AB45" i="1" l="1"/>
  <c r="AJ44" i="1"/>
  <c r="AH44" i="1"/>
  <c r="AC44" i="1"/>
  <c r="AD44" i="1"/>
  <c r="AE44" i="1"/>
  <c r="AL44" i="1"/>
  <c r="AN44" i="1"/>
  <c r="AK44" i="1"/>
  <c r="AF44" i="1"/>
  <c r="AG44" i="1"/>
  <c r="AM44" i="1"/>
  <c r="AI44" i="1"/>
  <c r="AB46" i="1" l="1"/>
  <c r="AJ45" i="1"/>
  <c r="AH45" i="1"/>
  <c r="AC45" i="1"/>
  <c r="AD45" i="1"/>
  <c r="AE45" i="1"/>
  <c r="AL45" i="1"/>
  <c r="AG45" i="1"/>
  <c r="AK45" i="1"/>
  <c r="AI45" i="1"/>
  <c r="AF45" i="1"/>
  <c r="AM45" i="1"/>
  <c r="AN45" i="1"/>
  <c r="AB47" i="1" l="1"/>
  <c r="AJ46" i="1"/>
  <c r="AH46" i="1"/>
  <c r="AC46" i="1"/>
  <c r="AG46" i="1"/>
  <c r="AN46" i="1"/>
  <c r="AI46" i="1"/>
  <c r="AM46" i="1"/>
  <c r="AD46" i="1"/>
  <c r="AE46" i="1"/>
  <c r="AK46" i="1"/>
  <c r="AL46" i="1"/>
  <c r="AF46" i="1"/>
  <c r="AB48" i="1" l="1"/>
  <c r="AJ47" i="1"/>
  <c r="AH47" i="1"/>
  <c r="AC47" i="1"/>
  <c r="AE47" i="1"/>
  <c r="AL47" i="1"/>
  <c r="AG47" i="1"/>
  <c r="AK47" i="1"/>
  <c r="AF47" i="1"/>
  <c r="AD47" i="1"/>
  <c r="AN47" i="1"/>
  <c r="AM47" i="1"/>
  <c r="AI47" i="1"/>
  <c r="AB49" i="1" l="1"/>
  <c r="AJ48" i="1"/>
  <c r="AH48" i="1"/>
  <c r="AC48" i="1"/>
  <c r="AD48" i="1"/>
  <c r="AL48" i="1"/>
  <c r="AK48" i="1"/>
  <c r="AI48" i="1"/>
  <c r="AF48" i="1"/>
  <c r="AM48" i="1"/>
  <c r="AG48" i="1"/>
  <c r="AE48" i="1"/>
  <c r="AN48" i="1"/>
  <c r="AB50" i="1" l="1"/>
  <c r="AJ49" i="1"/>
  <c r="AD49" i="1"/>
  <c r="AK49" i="1"/>
  <c r="AF49" i="1"/>
  <c r="AE49" i="1"/>
  <c r="AL49" i="1"/>
  <c r="AN49" i="1"/>
  <c r="AI49" i="1"/>
  <c r="AC49" i="1"/>
  <c r="AG49" i="1"/>
  <c r="AM49" i="1"/>
  <c r="AH49" i="1"/>
  <c r="AB51" i="1" l="1"/>
  <c r="AJ50" i="1"/>
  <c r="AH50" i="1"/>
  <c r="AC50" i="1"/>
  <c r="AD50" i="1"/>
  <c r="AE50" i="1"/>
  <c r="AN50" i="1"/>
  <c r="AK50" i="1"/>
  <c r="AG50" i="1"/>
  <c r="AI50" i="1"/>
  <c r="AM50" i="1"/>
  <c r="AL50" i="1"/>
  <c r="AF50" i="1"/>
  <c r="AB52" i="1" l="1"/>
  <c r="AJ51" i="1"/>
  <c r="AH51" i="1"/>
  <c r="AC51" i="1"/>
  <c r="AD51" i="1"/>
  <c r="AE51" i="1"/>
  <c r="AL51" i="1"/>
  <c r="AG51" i="1"/>
  <c r="AN51" i="1"/>
  <c r="AI51" i="1"/>
  <c r="AF51" i="1"/>
  <c r="AK51" i="1"/>
  <c r="AM51" i="1"/>
  <c r="AB53" i="1" l="1"/>
  <c r="AJ52" i="1"/>
  <c r="AH52" i="1"/>
  <c r="AC52" i="1"/>
  <c r="AD52" i="1"/>
  <c r="AE52" i="1"/>
  <c r="AL52" i="1"/>
  <c r="AG52" i="1"/>
  <c r="AN52" i="1"/>
  <c r="AI52" i="1"/>
  <c r="AF52" i="1"/>
  <c r="AM52" i="1"/>
  <c r="AK52" i="1"/>
  <c r="AB54" i="1" l="1"/>
  <c r="AJ53" i="1"/>
  <c r="AH53" i="1"/>
  <c r="AC53" i="1"/>
  <c r="AE53" i="1"/>
  <c r="AL53" i="1"/>
  <c r="AN53" i="1"/>
  <c r="AM53" i="1"/>
  <c r="AD53" i="1"/>
  <c r="AG53" i="1"/>
  <c r="AK53" i="1"/>
  <c r="AF53" i="1"/>
  <c r="AI53" i="1"/>
  <c r="AB55" i="1" l="1"/>
  <c r="AJ54" i="1"/>
  <c r="AH54" i="1"/>
  <c r="AC54" i="1"/>
  <c r="AD54" i="1"/>
  <c r="AE54" i="1"/>
  <c r="AK54" i="1"/>
  <c r="AI54" i="1"/>
  <c r="AF54" i="1"/>
  <c r="AN54" i="1"/>
  <c r="AM54" i="1"/>
  <c r="AL54" i="1"/>
  <c r="AG54" i="1"/>
  <c r="AB56" i="1" l="1"/>
  <c r="AJ55" i="1"/>
  <c r="AH55" i="1"/>
  <c r="AC55" i="1"/>
  <c r="AD55" i="1"/>
  <c r="AE55" i="1"/>
  <c r="AL55" i="1"/>
  <c r="AN55" i="1"/>
  <c r="AI55" i="1"/>
  <c r="AG55" i="1"/>
  <c r="AF55" i="1"/>
  <c r="AK55" i="1"/>
  <c r="AM55" i="1"/>
  <c r="AB57" i="1" l="1"/>
  <c r="AJ56" i="1"/>
  <c r="AH56" i="1"/>
  <c r="AC56" i="1"/>
  <c r="AD56" i="1"/>
  <c r="AE56" i="1"/>
  <c r="AG56" i="1"/>
  <c r="AL56" i="1"/>
  <c r="AK56" i="1"/>
  <c r="AI56" i="1"/>
  <c r="AM56" i="1"/>
  <c r="AF56" i="1"/>
  <c r="AN56" i="1"/>
  <c r="AB58" i="1" l="1"/>
  <c r="AJ57" i="1"/>
  <c r="AH57" i="1"/>
  <c r="AC57" i="1"/>
  <c r="AE57" i="1"/>
  <c r="AI57" i="1"/>
  <c r="AF57" i="1"/>
  <c r="AM57" i="1"/>
  <c r="AD57" i="1"/>
  <c r="AG57" i="1"/>
  <c r="AK57" i="1"/>
  <c r="AN57" i="1"/>
  <c r="AL57" i="1"/>
  <c r="AB59" i="1" l="1"/>
  <c r="AJ58" i="1"/>
  <c r="AH58" i="1"/>
  <c r="AC58" i="1"/>
  <c r="AE58" i="1"/>
  <c r="AL58" i="1"/>
  <c r="AG58" i="1"/>
  <c r="AM58" i="1"/>
  <c r="AD58" i="1"/>
  <c r="AK58" i="1"/>
  <c r="AF58" i="1"/>
  <c r="AN58" i="1"/>
  <c r="AI58" i="1"/>
  <c r="AB60" i="1" l="1"/>
  <c r="AJ59" i="1"/>
  <c r="AH59" i="1"/>
  <c r="AC59" i="1"/>
  <c r="AD59" i="1"/>
  <c r="AE59" i="1"/>
  <c r="AL59" i="1"/>
  <c r="AI59" i="1"/>
  <c r="AF59" i="1"/>
  <c r="AM59" i="1"/>
  <c r="AN59" i="1"/>
  <c r="AK59" i="1"/>
  <c r="AG59" i="1"/>
  <c r="AB61" i="1" l="1"/>
  <c r="AJ60" i="1"/>
  <c r="AH60" i="1"/>
  <c r="AC60" i="1"/>
  <c r="AD60" i="1"/>
  <c r="AE60" i="1"/>
  <c r="AG60" i="1"/>
  <c r="AF60" i="1"/>
  <c r="AL60" i="1"/>
  <c r="AN60" i="1"/>
  <c r="AI60" i="1"/>
  <c r="AM60" i="1"/>
  <c r="AK60" i="1"/>
  <c r="AB62" i="1" l="1"/>
  <c r="AJ61" i="1"/>
  <c r="AH61" i="1"/>
  <c r="AC61" i="1"/>
  <c r="AD61" i="1"/>
  <c r="AN61" i="1"/>
  <c r="AK61" i="1"/>
  <c r="AF61" i="1"/>
  <c r="AE61" i="1"/>
  <c r="AG61" i="1"/>
  <c r="AI61" i="1"/>
  <c r="AM61" i="1"/>
  <c r="AL61" i="1"/>
  <c r="AB63" i="1" l="1"/>
  <c r="AJ62" i="1"/>
  <c r="AH62" i="1"/>
  <c r="AC62" i="1"/>
  <c r="AD62" i="1"/>
  <c r="AL62" i="1"/>
  <c r="AN62" i="1"/>
  <c r="AF62" i="1"/>
  <c r="AM62" i="1"/>
  <c r="AE62" i="1"/>
  <c r="AI62" i="1"/>
  <c r="AK62" i="1"/>
  <c r="AG62" i="1"/>
  <c r="AB64" i="1" l="1"/>
  <c r="AJ63" i="1"/>
  <c r="AH63" i="1"/>
  <c r="AC63" i="1"/>
  <c r="AL63" i="1"/>
  <c r="AG63" i="1"/>
  <c r="AD63" i="1"/>
  <c r="AK63" i="1"/>
  <c r="AF63" i="1"/>
  <c r="AE63" i="1"/>
  <c r="AN63" i="1"/>
  <c r="AI63" i="1"/>
  <c r="AM63" i="1"/>
  <c r="AB65" i="1" l="1"/>
  <c r="AJ64" i="1"/>
  <c r="AH64" i="1"/>
  <c r="AC64" i="1"/>
  <c r="AD64" i="1"/>
  <c r="AG64" i="1"/>
  <c r="AF64" i="1"/>
  <c r="AM64" i="1"/>
  <c r="AL64" i="1"/>
  <c r="AN64" i="1"/>
  <c r="AI64" i="1"/>
  <c r="AE64" i="1"/>
  <c r="AK64" i="1"/>
  <c r="AB66" i="1" l="1"/>
  <c r="AJ65" i="1"/>
  <c r="AH65" i="1"/>
  <c r="AC65" i="1"/>
  <c r="AD65" i="1"/>
  <c r="AL65" i="1"/>
  <c r="AG65" i="1"/>
  <c r="AI65" i="1"/>
  <c r="AE65" i="1"/>
  <c r="AN65" i="1"/>
  <c r="AF65" i="1"/>
  <c r="AM65" i="1"/>
  <c r="AK65" i="1"/>
  <c r="AB67" i="1" l="1"/>
  <c r="AJ66" i="1"/>
  <c r="AH66" i="1"/>
  <c r="AC66" i="1"/>
  <c r="AD66" i="1"/>
  <c r="AL66" i="1"/>
  <c r="AN66" i="1"/>
  <c r="AK66" i="1"/>
  <c r="AI66" i="1"/>
  <c r="AE66" i="1"/>
  <c r="AM66" i="1"/>
  <c r="AG66" i="1"/>
  <c r="AF66" i="1"/>
  <c r="AB68" i="1" l="1"/>
  <c r="AJ67" i="1"/>
  <c r="AH67" i="1"/>
  <c r="AC67" i="1"/>
  <c r="AD67" i="1"/>
  <c r="AL67" i="1"/>
  <c r="AN67" i="1"/>
  <c r="AI67" i="1"/>
  <c r="AM67" i="1"/>
  <c r="AE67" i="1"/>
  <c r="AG67" i="1"/>
  <c r="AK67" i="1"/>
  <c r="AF67" i="1"/>
  <c r="AB69" i="1" l="1"/>
  <c r="AJ68" i="1"/>
  <c r="AH68" i="1"/>
  <c r="AC68" i="1"/>
  <c r="AD68" i="1"/>
  <c r="AE68" i="1"/>
  <c r="AL68" i="1"/>
  <c r="AK68" i="1"/>
  <c r="AN68" i="1"/>
  <c r="AG68" i="1"/>
  <c r="AF68" i="1"/>
  <c r="AM68" i="1"/>
  <c r="AI68" i="1"/>
  <c r="AB70" i="1" l="1"/>
  <c r="AJ69" i="1"/>
  <c r="AH69" i="1"/>
  <c r="AC69" i="1"/>
  <c r="AD69" i="1"/>
  <c r="AE69" i="1"/>
  <c r="AL69" i="1"/>
  <c r="AG69" i="1"/>
  <c r="AN69" i="1"/>
  <c r="AK69" i="1"/>
  <c r="AI69" i="1"/>
  <c r="AF69" i="1"/>
  <c r="AM69" i="1"/>
  <c r="AB71" i="1" l="1"/>
  <c r="AJ70" i="1"/>
  <c r="AH70" i="1"/>
  <c r="AC70" i="1"/>
  <c r="AD70" i="1"/>
  <c r="AG70" i="1"/>
  <c r="AN70" i="1"/>
  <c r="AI70" i="1"/>
  <c r="AF70" i="1"/>
  <c r="AK70" i="1"/>
  <c r="AE70" i="1"/>
  <c r="AM70" i="1"/>
  <c r="AL70" i="1"/>
  <c r="AB72" i="1" l="1"/>
  <c r="AJ71" i="1"/>
  <c r="AH71" i="1"/>
  <c r="AC71" i="1"/>
  <c r="AD71" i="1"/>
  <c r="AE71" i="1"/>
  <c r="AG71" i="1"/>
  <c r="AK71" i="1"/>
  <c r="AI71" i="1"/>
  <c r="AF71" i="1"/>
  <c r="AL71" i="1"/>
  <c r="AN71" i="1"/>
  <c r="AM71" i="1"/>
  <c r="AB73" i="1" l="1"/>
  <c r="AJ72" i="1"/>
  <c r="AH72" i="1"/>
  <c r="AC72" i="1"/>
  <c r="AN72" i="1"/>
  <c r="AF72" i="1"/>
  <c r="AD72" i="1"/>
  <c r="AG72" i="1"/>
  <c r="AK72" i="1"/>
  <c r="AI72" i="1"/>
  <c r="AM72" i="1"/>
  <c r="AE72" i="1"/>
  <c r="AL72" i="1"/>
  <c r="AB74" i="1" l="1"/>
  <c r="AJ73" i="1"/>
  <c r="AH73" i="1"/>
  <c r="AC73" i="1"/>
  <c r="AI73" i="1"/>
  <c r="AM73" i="1"/>
  <c r="AD73" i="1"/>
  <c r="AL73" i="1"/>
  <c r="AK73" i="1"/>
  <c r="AF73" i="1"/>
  <c r="AE73" i="1"/>
  <c r="AG73" i="1"/>
  <c r="AN73" i="1"/>
  <c r="AB75" i="1" l="1"/>
  <c r="AJ74" i="1"/>
  <c r="AH74" i="1"/>
  <c r="AC74" i="1"/>
  <c r="AD74" i="1"/>
  <c r="AE74" i="1"/>
  <c r="AG74" i="1"/>
  <c r="AN74" i="1"/>
  <c r="AI74" i="1"/>
  <c r="AL74" i="1"/>
  <c r="AK74" i="1"/>
  <c r="AF74" i="1"/>
  <c r="AM74" i="1"/>
  <c r="AB76" i="1" l="1"/>
  <c r="AJ75" i="1"/>
  <c r="AH75" i="1"/>
  <c r="AC75" i="1"/>
  <c r="AD75" i="1"/>
  <c r="AE75" i="1"/>
  <c r="AG75" i="1"/>
  <c r="AK75" i="1"/>
  <c r="AI75" i="1"/>
  <c r="AF75" i="1"/>
  <c r="AM75" i="1"/>
  <c r="AN75" i="1"/>
  <c r="AL75" i="1"/>
  <c r="AB77" i="1" l="1"/>
  <c r="AJ76" i="1"/>
  <c r="AH76" i="1"/>
  <c r="AC76" i="1"/>
  <c r="AG76" i="1"/>
  <c r="AF76" i="1"/>
  <c r="AM76" i="1"/>
  <c r="AD76" i="1"/>
  <c r="AL76" i="1"/>
  <c r="AK76" i="1"/>
  <c r="AE76" i="1"/>
  <c r="AN76" i="1"/>
  <c r="AI76" i="1"/>
  <c r="AB78" i="1" l="1"/>
  <c r="AJ77" i="1"/>
  <c r="AH77" i="1"/>
  <c r="AC77" i="1"/>
  <c r="AD77" i="1"/>
  <c r="AE77" i="1"/>
  <c r="AL77" i="1"/>
  <c r="AG77" i="1"/>
  <c r="AF77" i="1"/>
  <c r="AK77" i="1"/>
  <c r="AM77" i="1"/>
  <c r="AN77" i="1"/>
  <c r="AI77" i="1"/>
  <c r="AB79" i="1" l="1"/>
  <c r="AJ78" i="1"/>
  <c r="AH78" i="1"/>
  <c r="AC78" i="1"/>
  <c r="AE78" i="1"/>
  <c r="AD78" i="1"/>
  <c r="AL78" i="1"/>
  <c r="AG78" i="1"/>
  <c r="AN78" i="1"/>
  <c r="AI78" i="1"/>
  <c r="AF78" i="1"/>
  <c r="AM78" i="1"/>
  <c r="AK78" i="1"/>
  <c r="AB80" i="1" l="1"/>
  <c r="AJ79" i="1"/>
  <c r="AH79" i="1"/>
  <c r="AC79" i="1"/>
  <c r="AD79" i="1"/>
  <c r="AE79" i="1"/>
  <c r="AL79" i="1"/>
  <c r="AG79" i="1"/>
  <c r="AI79" i="1"/>
  <c r="AF79" i="1"/>
  <c r="AM79" i="1"/>
  <c r="AK79" i="1"/>
  <c r="AN79" i="1"/>
  <c r="AB81" i="1" l="1"/>
  <c r="AJ80" i="1"/>
  <c r="AH80" i="1"/>
  <c r="AC80" i="1"/>
  <c r="AD80" i="1"/>
  <c r="AE80" i="1"/>
  <c r="AL80" i="1"/>
  <c r="AN80" i="1"/>
  <c r="AK80" i="1"/>
  <c r="AI80" i="1"/>
  <c r="AF80" i="1"/>
  <c r="AG80" i="1"/>
  <c r="AM80" i="1"/>
  <c r="AB82" i="1" l="1"/>
  <c r="AJ81" i="1"/>
  <c r="AH81" i="1"/>
  <c r="AC81" i="1"/>
  <c r="AD81" i="1"/>
  <c r="AE81" i="1"/>
  <c r="AL81" i="1"/>
  <c r="AG81" i="1"/>
  <c r="AN81" i="1"/>
  <c r="AF81" i="1"/>
  <c r="AM81" i="1"/>
  <c r="AI81" i="1"/>
  <c r="AK81" i="1"/>
  <c r="AB83" i="1" l="1"/>
  <c r="AJ82" i="1"/>
  <c r="AH82" i="1"/>
  <c r="AC82" i="1"/>
  <c r="AE82" i="1"/>
  <c r="AL82" i="1"/>
  <c r="AG82" i="1"/>
  <c r="AN82" i="1"/>
  <c r="AF82" i="1"/>
  <c r="AM82" i="1"/>
  <c r="AD82" i="1"/>
  <c r="AI82" i="1"/>
  <c r="AK82" i="1"/>
  <c r="AB84" i="1" l="1"/>
  <c r="AJ83" i="1"/>
  <c r="AH83" i="1"/>
  <c r="AC83" i="1"/>
  <c r="AD83" i="1"/>
  <c r="AE83" i="1"/>
  <c r="AL83" i="1"/>
  <c r="AK83" i="1"/>
  <c r="AG83" i="1"/>
  <c r="AF83" i="1"/>
  <c r="AN83" i="1"/>
  <c r="AM83" i="1"/>
  <c r="AI83" i="1"/>
  <c r="AB85" i="1" l="1"/>
  <c r="AJ84" i="1"/>
  <c r="AH84" i="1"/>
  <c r="AC84" i="1"/>
  <c r="AD84" i="1"/>
  <c r="AL84" i="1"/>
  <c r="AG84" i="1"/>
  <c r="AN84" i="1"/>
  <c r="AK84" i="1"/>
  <c r="AI84" i="1"/>
  <c r="AF84" i="1"/>
  <c r="AE84" i="1"/>
  <c r="AM84" i="1"/>
  <c r="AB86" i="1" l="1"/>
  <c r="AJ85" i="1"/>
  <c r="AH85" i="1"/>
  <c r="AC85" i="1"/>
  <c r="AG85" i="1"/>
  <c r="AK85" i="1"/>
  <c r="AI85" i="1"/>
  <c r="AD85" i="1"/>
  <c r="AN85" i="1"/>
  <c r="AM85" i="1"/>
  <c r="AE85" i="1"/>
  <c r="AF85" i="1"/>
  <c r="AL85" i="1"/>
  <c r="AB87" i="1" l="1"/>
  <c r="AJ86" i="1"/>
  <c r="AH86" i="1"/>
  <c r="AC86" i="1"/>
  <c r="AD86" i="1"/>
  <c r="AL86" i="1"/>
  <c r="AK86" i="1"/>
  <c r="AI86" i="1"/>
  <c r="AM86" i="1"/>
  <c r="AE86" i="1"/>
  <c r="AN86" i="1"/>
  <c r="AG86" i="1"/>
  <c r="AF86" i="1"/>
  <c r="AB88" i="1" l="1"/>
  <c r="AJ87" i="1"/>
  <c r="AD87" i="1"/>
  <c r="AE87" i="1"/>
  <c r="AL87" i="1"/>
  <c r="AG87" i="1"/>
  <c r="AN87" i="1"/>
  <c r="AK87" i="1"/>
  <c r="AF87" i="1"/>
  <c r="AM87" i="1"/>
  <c r="AC87" i="1"/>
  <c r="AI87" i="1"/>
  <c r="AH87" i="1"/>
  <c r="AB89" i="1" l="1"/>
  <c r="AJ88" i="1"/>
  <c r="AH88" i="1"/>
  <c r="AC88" i="1"/>
  <c r="AD88" i="1"/>
  <c r="AF88" i="1"/>
  <c r="AM88" i="1"/>
  <c r="AE88" i="1"/>
  <c r="AG88" i="1"/>
  <c r="AN88" i="1"/>
  <c r="AK88" i="1"/>
  <c r="AL88" i="1"/>
  <c r="AI88" i="1"/>
  <c r="AB90" i="1" l="1"/>
  <c r="AJ89" i="1"/>
  <c r="AH89" i="1"/>
  <c r="AC89" i="1"/>
  <c r="AE89" i="1"/>
  <c r="AI89" i="1"/>
  <c r="AM89" i="1"/>
  <c r="AD89" i="1"/>
  <c r="AL89" i="1"/>
  <c r="AG89" i="1"/>
  <c r="AN89" i="1"/>
  <c r="AK89" i="1"/>
  <c r="AF89" i="1"/>
  <c r="AB91" i="1" l="1"/>
  <c r="AJ90" i="1"/>
  <c r="AH90" i="1"/>
  <c r="AC90" i="1"/>
  <c r="AD90" i="1"/>
  <c r="AE90" i="1"/>
  <c r="AL90" i="1"/>
  <c r="AG90" i="1"/>
  <c r="AN90" i="1"/>
  <c r="AK90" i="1"/>
  <c r="AI90" i="1"/>
  <c r="AM90" i="1"/>
  <c r="AF90" i="1"/>
  <c r="AB92" i="1" l="1"/>
  <c r="AJ91" i="1"/>
  <c r="AH91" i="1"/>
  <c r="AC91" i="1"/>
  <c r="AE91" i="1"/>
  <c r="AL91" i="1"/>
  <c r="AK91" i="1"/>
  <c r="AI91" i="1"/>
  <c r="AD91" i="1"/>
  <c r="AG91" i="1"/>
  <c r="AF91" i="1"/>
  <c r="AN91" i="1"/>
  <c r="AM91" i="1"/>
  <c r="AB93" i="1" l="1"/>
  <c r="AJ92" i="1"/>
  <c r="AH92" i="1"/>
  <c r="AC92" i="1"/>
  <c r="AD92" i="1"/>
  <c r="AE92" i="1"/>
  <c r="AL92" i="1"/>
  <c r="AN92" i="1"/>
  <c r="AK92" i="1"/>
  <c r="AF92" i="1"/>
  <c r="AM92" i="1"/>
  <c r="AG92" i="1"/>
  <c r="AI92" i="1"/>
  <c r="AB94" i="1" l="1"/>
  <c r="AJ93" i="1"/>
  <c r="AH93" i="1"/>
  <c r="AC93" i="1"/>
  <c r="AL93" i="1"/>
  <c r="AG93" i="1"/>
  <c r="AN93" i="1"/>
  <c r="AF93" i="1"/>
  <c r="AM93" i="1"/>
  <c r="AD93" i="1"/>
  <c r="AE93" i="1"/>
  <c r="AK93" i="1"/>
  <c r="AI93" i="1"/>
  <c r="AB95" i="1" l="1"/>
  <c r="AJ94" i="1"/>
  <c r="AH94" i="1"/>
  <c r="AC94" i="1"/>
  <c r="AD94" i="1"/>
  <c r="AE94" i="1"/>
  <c r="AL94" i="1"/>
  <c r="AG94" i="1"/>
  <c r="AK94" i="1"/>
  <c r="AI94" i="1"/>
  <c r="AF94" i="1"/>
  <c r="AM94" i="1"/>
  <c r="AN94" i="1"/>
  <c r="AB96" i="1" l="1"/>
  <c r="AJ95" i="1"/>
  <c r="AH95" i="1"/>
  <c r="AC95" i="1"/>
  <c r="AD95" i="1"/>
  <c r="AE95" i="1"/>
  <c r="AL95" i="1"/>
  <c r="AF95" i="1"/>
  <c r="AN95" i="1"/>
  <c r="AM95" i="1"/>
  <c r="AG95" i="1"/>
  <c r="AI95" i="1"/>
  <c r="AK95" i="1"/>
  <c r="AB97" i="1" l="1"/>
  <c r="AJ96" i="1"/>
  <c r="AH96" i="1"/>
  <c r="AC96" i="1"/>
  <c r="AE96" i="1"/>
  <c r="AL96" i="1"/>
  <c r="AN96" i="1"/>
  <c r="AF96" i="1"/>
  <c r="AM96" i="1"/>
  <c r="AD96" i="1"/>
  <c r="AI96" i="1"/>
  <c r="AK96" i="1"/>
  <c r="AG96" i="1"/>
  <c r="AB98" i="1" l="1"/>
  <c r="AJ97" i="1"/>
  <c r="AH97" i="1"/>
  <c r="AC97" i="1"/>
  <c r="AE97" i="1"/>
  <c r="AI97" i="1"/>
  <c r="AM97" i="1"/>
  <c r="AD97" i="1"/>
  <c r="AL97" i="1"/>
  <c r="AG97" i="1"/>
  <c r="AN97" i="1"/>
  <c r="AF97" i="1"/>
  <c r="AK97" i="1"/>
  <c r="AB99" i="1" l="1"/>
  <c r="AJ98" i="1"/>
  <c r="AH98" i="1"/>
  <c r="AC98" i="1"/>
  <c r="AE98" i="1"/>
  <c r="AL98" i="1"/>
  <c r="AK98" i="1"/>
  <c r="AD98" i="1"/>
  <c r="AG98" i="1"/>
  <c r="AN98" i="1"/>
  <c r="AF98" i="1"/>
  <c r="AM98" i="1"/>
  <c r="AI98" i="1"/>
  <c r="AB100" i="1" l="1"/>
  <c r="AJ99" i="1"/>
  <c r="AH99" i="1"/>
  <c r="AC99" i="1"/>
  <c r="AL99" i="1"/>
  <c r="AG99" i="1"/>
  <c r="AN99" i="1"/>
  <c r="AD99" i="1"/>
  <c r="AE99" i="1"/>
  <c r="AK99" i="1"/>
  <c r="AI99" i="1"/>
  <c r="AM99" i="1"/>
  <c r="AF99" i="1"/>
  <c r="AB101" i="1" l="1"/>
  <c r="AJ100" i="1"/>
  <c r="AH100" i="1"/>
  <c r="AC100" i="1"/>
  <c r="AL100" i="1"/>
  <c r="AD100" i="1"/>
  <c r="AE100" i="1"/>
  <c r="AG100" i="1"/>
  <c r="AN100" i="1"/>
  <c r="AK100" i="1"/>
  <c r="AI100" i="1"/>
  <c r="AF100" i="1"/>
  <c r="AM100" i="1"/>
  <c r="AB102" i="1" l="1"/>
  <c r="AJ101" i="1"/>
  <c r="AH101" i="1"/>
  <c r="AC101" i="1"/>
  <c r="AN101" i="1"/>
  <c r="AI101" i="1"/>
  <c r="AM101" i="1"/>
  <c r="AD101" i="1"/>
  <c r="AE101" i="1"/>
  <c r="AL101" i="1"/>
  <c r="AK101" i="1"/>
  <c r="AF101" i="1"/>
  <c r="AG101" i="1"/>
  <c r="AB103" i="1" l="1"/>
  <c r="AJ102" i="1"/>
  <c r="AH102" i="1"/>
  <c r="AC102" i="1"/>
  <c r="AD102" i="1"/>
  <c r="AE102" i="1"/>
  <c r="AG102" i="1"/>
  <c r="AN102" i="1"/>
  <c r="AI102" i="1"/>
  <c r="AF102" i="1"/>
  <c r="AM102" i="1"/>
  <c r="AK102" i="1"/>
  <c r="AL102" i="1"/>
  <c r="AB104" i="1" l="1"/>
  <c r="AJ103" i="1"/>
  <c r="AH103" i="1"/>
  <c r="AC103" i="1"/>
  <c r="AD103" i="1"/>
  <c r="AE103" i="1"/>
  <c r="AL103" i="1"/>
  <c r="AN103" i="1"/>
  <c r="AK103" i="1"/>
  <c r="AI103" i="1"/>
  <c r="AM103" i="1"/>
  <c r="AG103" i="1"/>
  <c r="AF103" i="1"/>
  <c r="AB105" i="1" l="1"/>
  <c r="AJ104" i="1"/>
  <c r="AH104" i="1"/>
  <c r="AC104" i="1"/>
  <c r="AD104" i="1"/>
  <c r="AL104" i="1"/>
  <c r="AN104" i="1"/>
  <c r="AK104" i="1"/>
  <c r="AG104" i="1"/>
  <c r="AF104" i="1"/>
  <c r="AE104" i="1"/>
  <c r="AI104" i="1"/>
  <c r="AM104" i="1"/>
  <c r="AB106" i="1" l="1"/>
  <c r="AJ105" i="1"/>
  <c r="AH105" i="1"/>
  <c r="AC105" i="1"/>
  <c r="AD105" i="1"/>
  <c r="AE105" i="1"/>
  <c r="AL105" i="1"/>
  <c r="AN105" i="1"/>
  <c r="AK105" i="1"/>
  <c r="AI105" i="1"/>
  <c r="AG105" i="1"/>
  <c r="AF105" i="1"/>
  <c r="AM105" i="1"/>
  <c r="AB107" i="1" l="1"/>
  <c r="AJ106" i="1"/>
  <c r="AH106" i="1"/>
  <c r="AC106" i="1"/>
  <c r="AE106" i="1"/>
  <c r="AG106" i="1"/>
  <c r="AN106" i="1"/>
  <c r="AI106" i="1"/>
  <c r="AD106" i="1"/>
  <c r="AL106" i="1"/>
  <c r="AK106" i="1"/>
  <c r="AF106" i="1"/>
  <c r="AM106" i="1"/>
  <c r="AB108" i="1" l="1"/>
  <c r="AJ107" i="1"/>
  <c r="AH107" i="1"/>
  <c r="AC107" i="1"/>
  <c r="AM107" i="1"/>
  <c r="AD107" i="1"/>
  <c r="AE107" i="1"/>
  <c r="AL107" i="1"/>
  <c r="AG107" i="1"/>
  <c r="AN107" i="1"/>
  <c r="AK107" i="1"/>
  <c r="AI107" i="1"/>
  <c r="AF107" i="1"/>
  <c r="AB109" i="1" l="1"/>
  <c r="AJ108" i="1"/>
  <c r="AH108" i="1"/>
  <c r="AC108" i="1"/>
  <c r="AD108" i="1"/>
  <c r="AE108" i="1"/>
  <c r="AL108" i="1"/>
  <c r="AG108" i="1"/>
  <c r="AN108" i="1"/>
  <c r="AK108" i="1"/>
  <c r="AI108" i="1"/>
  <c r="AM108" i="1"/>
  <c r="AF108" i="1"/>
  <c r="AB110" i="1" l="1"/>
  <c r="AJ109" i="1"/>
  <c r="AH109" i="1"/>
  <c r="AC109" i="1"/>
  <c r="AD109" i="1"/>
  <c r="AG109" i="1"/>
  <c r="AK109" i="1"/>
  <c r="AF109" i="1"/>
  <c r="AE109" i="1"/>
  <c r="AI109" i="1"/>
  <c r="AM109" i="1"/>
  <c r="AL109" i="1"/>
  <c r="AN109" i="1"/>
  <c r="AB111" i="1" l="1"/>
  <c r="AJ110" i="1"/>
  <c r="AH110" i="1"/>
  <c r="AC110" i="1"/>
  <c r="AD110" i="1"/>
  <c r="AE110" i="1"/>
  <c r="AN110" i="1"/>
  <c r="AK110" i="1"/>
  <c r="AF110" i="1"/>
  <c r="AG110" i="1"/>
  <c r="AI110" i="1"/>
  <c r="AM110" i="1"/>
  <c r="AL110" i="1"/>
  <c r="AB112" i="1" l="1"/>
  <c r="AJ111" i="1"/>
  <c r="AH111" i="1"/>
  <c r="AC111" i="1"/>
  <c r="AD111" i="1"/>
  <c r="AE111" i="1"/>
  <c r="AG111" i="1"/>
  <c r="AL111" i="1"/>
  <c r="AN111" i="1"/>
  <c r="AK111" i="1"/>
  <c r="AF111" i="1"/>
  <c r="AM111" i="1"/>
  <c r="AI111" i="1"/>
  <c r="AB113" i="1" l="1"/>
  <c r="AJ112" i="1"/>
  <c r="AH112" i="1"/>
  <c r="AC112" i="1"/>
  <c r="AD112" i="1"/>
  <c r="AL112" i="1"/>
  <c r="AN112" i="1"/>
  <c r="AK112" i="1"/>
  <c r="AF112" i="1"/>
  <c r="AG112" i="1"/>
  <c r="AM112" i="1"/>
  <c r="AE112" i="1"/>
  <c r="AI112" i="1"/>
  <c r="AB114" i="1" l="1"/>
  <c r="AJ113" i="1"/>
  <c r="AH113" i="1"/>
  <c r="AC113" i="1"/>
  <c r="AG113" i="1"/>
  <c r="AK113" i="1"/>
  <c r="AI113" i="1"/>
  <c r="AD113" i="1"/>
  <c r="AE113" i="1"/>
  <c r="AF113" i="1"/>
  <c r="AL113" i="1"/>
  <c r="AM113" i="1"/>
  <c r="AN113" i="1"/>
  <c r="AB115" i="1" l="1"/>
  <c r="AJ114" i="1"/>
  <c r="AH114" i="1"/>
  <c r="AC114" i="1"/>
  <c r="AD114" i="1"/>
  <c r="AE114" i="1"/>
  <c r="AG114" i="1"/>
  <c r="AN114" i="1"/>
  <c r="AK114" i="1"/>
  <c r="AL114" i="1"/>
  <c r="AI114" i="1"/>
  <c r="AM114" i="1"/>
  <c r="AF114" i="1"/>
  <c r="AB116" i="1" l="1"/>
  <c r="AJ115" i="1"/>
  <c r="AH115" i="1"/>
  <c r="AC115" i="1"/>
  <c r="AD115" i="1"/>
  <c r="AL115" i="1"/>
  <c r="AN115" i="1"/>
  <c r="AI115" i="1"/>
  <c r="AM115" i="1"/>
  <c r="AE115" i="1"/>
  <c r="AK115" i="1"/>
  <c r="AF115" i="1"/>
  <c r="AG115" i="1"/>
  <c r="AB117" i="1" l="1"/>
  <c r="AJ116" i="1"/>
  <c r="AH116" i="1"/>
  <c r="AC116" i="1"/>
  <c r="AD116" i="1"/>
  <c r="AL116" i="1"/>
  <c r="AN116" i="1"/>
  <c r="AK116" i="1"/>
  <c r="AM116" i="1"/>
  <c r="AE116" i="1"/>
  <c r="AI116" i="1"/>
  <c r="AF116" i="1"/>
  <c r="AG116" i="1"/>
  <c r="AB118" i="1" l="1"/>
  <c r="AJ117" i="1"/>
  <c r="AH117" i="1"/>
  <c r="AC117" i="1"/>
  <c r="AD117" i="1"/>
  <c r="AG117" i="1"/>
  <c r="AN117" i="1"/>
  <c r="AK117" i="1"/>
  <c r="AM117" i="1"/>
  <c r="AE117" i="1"/>
  <c r="AI117" i="1"/>
  <c r="AF117" i="1"/>
  <c r="AL117" i="1"/>
  <c r="AB119" i="1" l="1"/>
  <c r="AJ118" i="1"/>
  <c r="AH118" i="1"/>
  <c r="AC118" i="1"/>
  <c r="AD118" i="1"/>
  <c r="AL118" i="1"/>
  <c r="AN118" i="1"/>
  <c r="AM118" i="1"/>
  <c r="AF118" i="1"/>
  <c r="AE118" i="1"/>
  <c r="AK118" i="1"/>
  <c r="AI118" i="1"/>
  <c r="AG118" i="1"/>
  <c r="AB120" i="1" l="1"/>
  <c r="AJ119" i="1"/>
  <c r="AH119" i="1"/>
  <c r="AC119" i="1"/>
  <c r="AD119" i="1"/>
  <c r="AE119" i="1"/>
  <c r="AL119" i="1"/>
  <c r="AG119" i="1"/>
  <c r="AN119" i="1"/>
  <c r="AK119" i="1"/>
  <c r="AI119" i="1"/>
  <c r="AF119" i="1"/>
  <c r="AM119" i="1"/>
  <c r="AB121" i="1" l="1"/>
  <c r="AJ120" i="1"/>
  <c r="AH120" i="1"/>
  <c r="AC120" i="1"/>
  <c r="AL120" i="1"/>
  <c r="AD120" i="1"/>
  <c r="AE120" i="1"/>
  <c r="AG120" i="1"/>
  <c r="AN120" i="1"/>
  <c r="AK120" i="1"/>
  <c r="AI120" i="1"/>
  <c r="AF120" i="1"/>
  <c r="AM120" i="1"/>
  <c r="AB122" i="1" l="1"/>
  <c r="AJ121" i="1"/>
  <c r="AH121" i="1"/>
  <c r="AC121" i="1"/>
  <c r="AD121" i="1"/>
  <c r="AE121" i="1"/>
  <c r="AG121" i="1"/>
  <c r="AI121" i="1"/>
  <c r="AM121" i="1"/>
  <c r="AL121" i="1"/>
  <c r="AN121" i="1"/>
  <c r="AF121" i="1"/>
  <c r="AK121" i="1"/>
  <c r="AB123" i="1" l="1"/>
  <c r="AJ122" i="1"/>
  <c r="AH122" i="1"/>
  <c r="AC122" i="1"/>
  <c r="AG122" i="1"/>
  <c r="AN122" i="1"/>
  <c r="AF122" i="1"/>
  <c r="AD122" i="1"/>
  <c r="AE122" i="1"/>
  <c r="AK122" i="1"/>
  <c r="AI122" i="1"/>
  <c r="AL122" i="1"/>
  <c r="AM122" i="1"/>
  <c r="AB124" i="1" l="1"/>
  <c r="AJ123" i="1"/>
  <c r="AH123" i="1"/>
  <c r="AC123" i="1"/>
  <c r="AE123" i="1"/>
  <c r="AF123" i="1"/>
  <c r="AM123" i="1"/>
  <c r="AD123" i="1"/>
  <c r="AG123" i="1"/>
  <c r="AN123" i="1"/>
  <c r="AK123" i="1"/>
  <c r="AI123" i="1"/>
  <c r="AL123" i="1"/>
  <c r="AB125" i="1" l="1"/>
  <c r="AJ124" i="1"/>
  <c r="AH124" i="1"/>
  <c r="AC124" i="1"/>
  <c r="AD124" i="1"/>
  <c r="AE124" i="1"/>
  <c r="AG124" i="1"/>
  <c r="AN124" i="1"/>
  <c r="AK124" i="1"/>
  <c r="AI124" i="1"/>
  <c r="AF124" i="1"/>
  <c r="AM124" i="1"/>
  <c r="AL124" i="1"/>
  <c r="AB126" i="1" l="1"/>
  <c r="AJ125" i="1"/>
  <c r="AH125" i="1"/>
  <c r="AC125" i="1"/>
  <c r="AD125" i="1"/>
  <c r="AE125" i="1"/>
  <c r="AK125" i="1"/>
  <c r="AI125" i="1"/>
  <c r="AF125" i="1"/>
  <c r="AL125" i="1"/>
  <c r="AN125" i="1"/>
  <c r="AM125" i="1"/>
  <c r="AG125" i="1"/>
  <c r="AB127" i="1" l="1"/>
  <c r="AJ126" i="1"/>
  <c r="AD126" i="1"/>
  <c r="AE126" i="1"/>
  <c r="AG126" i="1"/>
  <c r="AN126" i="1"/>
  <c r="AK126" i="1"/>
  <c r="AF126" i="1"/>
  <c r="AM126" i="1"/>
  <c r="AC126" i="1"/>
  <c r="AL126" i="1"/>
  <c r="AH126" i="1"/>
  <c r="AI126" i="1"/>
  <c r="AB128" i="1" l="1"/>
  <c r="AJ127" i="1"/>
  <c r="AH127" i="1"/>
  <c r="AC127" i="1"/>
  <c r="AN127" i="1"/>
  <c r="AK127" i="1"/>
  <c r="AI127" i="1"/>
  <c r="AM127" i="1"/>
  <c r="AD127" i="1"/>
  <c r="AE127" i="1"/>
  <c r="AL127" i="1"/>
  <c r="AG127" i="1"/>
  <c r="AF127" i="1"/>
  <c r="AB129" i="1" l="1"/>
  <c r="AJ128" i="1"/>
  <c r="AH128" i="1"/>
  <c r="AC128" i="1"/>
  <c r="AD128" i="1"/>
  <c r="AE128" i="1"/>
  <c r="AG128" i="1"/>
  <c r="AL128" i="1"/>
  <c r="AN128" i="1"/>
  <c r="AK128" i="1"/>
  <c r="AF128" i="1"/>
  <c r="AM128" i="1"/>
  <c r="AI128" i="1"/>
  <c r="AB130" i="1" l="1"/>
  <c r="AJ129" i="1"/>
  <c r="AH129" i="1"/>
  <c r="AC129" i="1"/>
  <c r="AD129" i="1"/>
  <c r="AK129" i="1"/>
  <c r="AI129" i="1"/>
  <c r="AL129" i="1"/>
  <c r="AN129" i="1"/>
  <c r="AE129" i="1"/>
  <c r="AF129" i="1"/>
  <c r="AM129" i="1"/>
  <c r="AG129" i="1"/>
  <c r="AB131" i="1" l="1"/>
  <c r="AJ130" i="1"/>
  <c r="AH130" i="1"/>
  <c r="AC130" i="1"/>
  <c r="AD130" i="1"/>
  <c r="AL130" i="1"/>
  <c r="AG130" i="1"/>
  <c r="AK130" i="1"/>
  <c r="AF130" i="1"/>
  <c r="AM130" i="1"/>
  <c r="AE130" i="1"/>
  <c r="AN130" i="1"/>
  <c r="AI130" i="1"/>
  <c r="AB132" i="1" l="1"/>
  <c r="AJ131" i="1"/>
  <c r="AH131" i="1"/>
  <c r="AC131" i="1"/>
  <c r="AG131" i="1"/>
  <c r="AN131" i="1"/>
  <c r="AD131" i="1"/>
  <c r="AE131" i="1"/>
  <c r="AL131" i="1"/>
  <c r="AF131" i="1"/>
  <c r="AM131" i="1"/>
  <c r="AK131" i="1"/>
  <c r="AI131" i="1"/>
  <c r="AB133" i="1" l="1"/>
  <c r="AJ132" i="1"/>
  <c r="AH132" i="1"/>
  <c r="AC132" i="1"/>
  <c r="AE132" i="1"/>
  <c r="AN132" i="1"/>
  <c r="AF132" i="1"/>
  <c r="AM132" i="1"/>
  <c r="AD132" i="1"/>
  <c r="AL132" i="1"/>
  <c r="AG132" i="1"/>
  <c r="AI132" i="1"/>
  <c r="AK132" i="1"/>
  <c r="AB134" i="1" l="1"/>
  <c r="AJ133" i="1"/>
  <c r="AH133" i="1"/>
  <c r="AC133" i="1"/>
  <c r="AD133" i="1"/>
  <c r="AE133" i="1"/>
  <c r="AG133" i="1"/>
  <c r="AK133" i="1"/>
  <c r="AL133" i="1"/>
  <c r="AN133" i="1"/>
  <c r="AF133" i="1"/>
  <c r="AM133" i="1"/>
  <c r="AI133" i="1"/>
  <c r="AB135" i="1" l="1"/>
  <c r="AJ134" i="1"/>
  <c r="AH134" i="1"/>
  <c r="AC134" i="1"/>
  <c r="AD134" i="1"/>
  <c r="AE134" i="1"/>
  <c r="AL134" i="1"/>
  <c r="AG134" i="1"/>
  <c r="AN134" i="1"/>
  <c r="AF134" i="1"/>
  <c r="AM134" i="1"/>
  <c r="AI134" i="1"/>
  <c r="AK134" i="1"/>
  <c r="AB136" i="1" l="1"/>
  <c r="AJ135" i="1"/>
  <c r="AH135" i="1"/>
  <c r="AC135" i="1"/>
  <c r="AD135" i="1"/>
  <c r="AE135" i="1"/>
  <c r="AG135" i="1"/>
  <c r="AN135" i="1"/>
  <c r="AI135" i="1"/>
  <c r="AF135" i="1"/>
  <c r="AK135" i="1"/>
  <c r="AL135" i="1"/>
  <c r="AM135" i="1"/>
  <c r="AB137" i="1" l="1"/>
  <c r="AJ136" i="1"/>
  <c r="AH136" i="1"/>
  <c r="AC136" i="1"/>
  <c r="AD136" i="1"/>
  <c r="AE136" i="1"/>
  <c r="AG136" i="1"/>
  <c r="AK136" i="1"/>
  <c r="AI136" i="1"/>
  <c r="AF136" i="1"/>
  <c r="AL136" i="1"/>
  <c r="AN136" i="1"/>
  <c r="AM136" i="1"/>
  <c r="AB138" i="1" l="1"/>
  <c r="AJ137" i="1"/>
  <c r="AH137" i="1"/>
  <c r="AC137" i="1"/>
  <c r="AD137" i="1"/>
  <c r="AE137" i="1"/>
  <c r="AL137" i="1"/>
  <c r="AN137" i="1"/>
  <c r="AI137" i="1"/>
  <c r="AG137" i="1"/>
  <c r="AF137" i="1"/>
  <c r="AM137" i="1"/>
  <c r="AK137" i="1"/>
  <c r="AB139" i="1" l="1"/>
  <c r="AJ138" i="1"/>
  <c r="AH138" i="1"/>
  <c r="AC138" i="1"/>
  <c r="AD138" i="1"/>
  <c r="AE138" i="1"/>
  <c r="AL138" i="1"/>
  <c r="AN138" i="1"/>
  <c r="AI138" i="1"/>
  <c r="AG138" i="1"/>
  <c r="AF138" i="1"/>
  <c r="AM138" i="1"/>
  <c r="AK138" i="1"/>
  <c r="AB140" i="1" l="1"/>
  <c r="AJ139" i="1"/>
  <c r="AH139" i="1"/>
  <c r="AC139" i="1"/>
  <c r="AE139" i="1"/>
  <c r="AL139" i="1"/>
  <c r="AK139" i="1"/>
  <c r="AI139" i="1"/>
  <c r="AD139" i="1"/>
  <c r="AN139" i="1"/>
  <c r="AM139" i="1"/>
  <c r="AF139" i="1"/>
  <c r="AG139" i="1"/>
  <c r="AB141" i="1" l="1"/>
  <c r="AJ140" i="1"/>
  <c r="AH140" i="1"/>
  <c r="AC140" i="1"/>
  <c r="AG140" i="1"/>
  <c r="AN140" i="1"/>
  <c r="AF140" i="1"/>
  <c r="AD140" i="1"/>
  <c r="AK140" i="1"/>
  <c r="AE140" i="1"/>
  <c r="AI140" i="1"/>
  <c r="AM140" i="1"/>
  <c r="AL140" i="1"/>
  <c r="AB142" i="1" l="1"/>
  <c r="AJ141" i="1"/>
  <c r="AH141" i="1"/>
  <c r="AC141" i="1"/>
  <c r="AD141" i="1"/>
  <c r="AL141" i="1"/>
  <c r="AG141" i="1"/>
  <c r="AN141" i="1"/>
  <c r="AF141" i="1"/>
  <c r="AE141" i="1"/>
  <c r="AI141" i="1"/>
  <c r="AM141" i="1"/>
  <c r="AK141" i="1"/>
  <c r="AB143" i="1" l="1"/>
  <c r="AJ142" i="1"/>
  <c r="AH142" i="1"/>
  <c r="AC142" i="1"/>
  <c r="AD142" i="1"/>
  <c r="AL142" i="1"/>
  <c r="AG142" i="1"/>
  <c r="AN142" i="1"/>
  <c r="AI142" i="1"/>
  <c r="AF142" i="1"/>
  <c r="AE142" i="1"/>
  <c r="AM142" i="1"/>
  <c r="AK142" i="1"/>
  <c r="AB144" i="1" l="1"/>
  <c r="AJ143" i="1"/>
  <c r="AH143" i="1"/>
  <c r="AC143" i="1"/>
  <c r="AD143" i="1"/>
  <c r="AL143" i="1"/>
  <c r="AK143" i="1"/>
  <c r="AF143" i="1"/>
  <c r="AG143" i="1"/>
  <c r="AE143" i="1"/>
  <c r="AI143" i="1"/>
  <c r="AM143" i="1"/>
  <c r="AN143" i="1"/>
  <c r="AB145" i="1" l="1"/>
  <c r="AJ144" i="1"/>
  <c r="AH144" i="1"/>
  <c r="AC144" i="1"/>
  <c r="AE144" i="1"/>
  <c r="AL144" i="1"/>
  <c r="AN144" i="1"/>
  <c r="AK144" i="1"/>
  <c r="AI144" i="1"/>
  <c r="AD144" i="1"/>
  <c r="AF144" i="1"/>
  <c r="AM144" i="1"/>
  <c r="AG144" i="1"/>
  <c r="AB146" i="1" l="1"/>
  <c r="AJ145" i="1"/>
  <c r="AH145" i="1"/>
  <c r="AC145" i="1"/>
  <c r="AD145" i="1"/>
  <c r="AE145" i="1"/>
  <c r="AG145" i="1"/>
  <c r="AN145" i="1"/>
  <c r="AM145" i="1"/>
  <c r="AL145" i="1"/>
  <c r="AK145" i="1"/>
  <c r="AI145" i="1"/>
  <c r="AF145" i="1"/>
  <c r="AB147" i="1" l="1"/>
  <c r="AJ146" i="1"/>
  <c r="AH146" i="1"/>
  <c r="AC146" i="1"/>
  <c r="AD146" i="1"/>
  <c r="AE146" i="1"/>
  <c r="AL146" i="1"/>
  <c r="AG146" i="1"/>
  <c r="AN146" i="1"/>
  <c r="AI146" i="1"/>
  <c r="AF146" i="1"/>
  <c r="AM146" i="1"/>
  <c r="AK146" i="1"/>
  <c r="AB148" i="1" l="1"/>
  <c r="AJ147" i="1"/>
  <c r="AH147" i="1"/>
  <c r="AC147" i="1"/>
  <c r="AG147" i="1"/>
  <c r="AN147" i="1"/>
  <c r="AF147" i="1"/>
  <c r="AD147" i="1"/>
  <c r="AE147" i="1"/>
  <c r="AK147" i="1"/>
  <c r="AI147" i="1"/>
  <c r="AM147" i="1"/>
  <c r="AL147" i="1"/>
  <c r="AB149" i="1" l="1"/>
  <c r="AJ148" i="1"/>
  <c r="AH148" i="1"/>
  <c r="AC148" i="1"/>
  <c r="AD148" i="1"/>
  <c r="AL148" i="1"/>
  <c r="AG148" i="1"/>
  <c r="AN148" i="1"/>
  <c r="AK148" i="1"/>
  <c r="AI148" i="1"/>
  <c r="AE148" i="1"/>
  <c r="AF148" i="1"/>
  <c r="AM148" i="1"/>
  <c r="AB150" i="1" l="1"/>
  <c r="AJ149" i="1"/>
  <c r="AH149" i="1"/>
  <c r="AC149" i="1"/>
  <c r="AD149" i="1"/>
  <c r="AG149" i="1"/>
  <c r="AN149" i="1"/>
  <c r="AK149" i="1"/>
  <c r="AI149" i="1"/>
  <c r="AM149" i="1"/>
  <c r="AE149" i="1"/>
  <c r="AF149" i="1"/>
  <c r="AL149" i="1"/>
  <c r="AB151" i="1" l="1"/>
  <c r="AJ150" i="1"/>
  <c r="AH150" i="1"/>
  <c r="AC150" i="1"/>
  <c r="AG150" i="1"/>
  <c r="AN150" i="1"/>
  <c r="AF150" i="1"/>
  <c r="AM150" i="1"/>
  <c r="AD150" i="1"/>
  <c r="AL150" i="1"/>
  <c r="AI150" i="1"/>
  <c r="AE150" i="1"/>
  <c r="AK150" i="1"/>
  <c r="AB152" i="1" l="1"/>
  <c r="AJ151" i="1"/>
  <c r="AH151" i="1"/>
  <c r="AC151" i="1"/>
  <c r="AD151" i="1"/>
  <c r="AE151" i="1"/>
  <c r="AG151" i="1"/>
  <c r="AN151" i="1"/>
  <c r="AK151" i="1"/>
  <c r="AM151" i="1"/>
  <c r="AL151" i="1"/>
  <c r="AI151" i="1"/>
  <c r="AF151" i="1"/>
  <c r="AB153" i="1" l="1"/>
  <c r="AJ152" i="1"/>
  <c r="AH152" i="1"/>
  <c r="AC152" i="1"/>
  <c r="AE152" i="1"/>
  <c r="AM152" i="1"/>
  <c r="AD152" i="1"/>
  <c r="AL152" i="1"/>
  <c r="AG152" i="1"/>
  <c r="AN152" i="1"/>
  <c r="AK152" i="1"/>
  <c r="AF152" i="1"/>
  <c r="AI152" i="1"/>
  <c r="AB154" i="1" l="1"/>
  <c r="AJ153" i="1"/>
  <c r="AH153" i="1"/>
  <c r="AC153" i="1"/>
  <c r="AD153" i="1"/>
  <c r="AL153" i="1"/>
  <c r="AN153" i="1"/>
  <c r="AK153" i="1"/>
  <c r="AI153" i="1"/>
  <c r="AF153" i="1"/>
  <c r="AM153" i="1"/>
  <c r="AG153" i="1"/>
  <c r="AE153" i="1"/>
  <c r="AB155" i="1" l="1"/>
  <c r="AJ154" i="1"/>
  <c r="AH154" i="1"/>
  <c r="AC154" i="1"/>
  <c r="AG154" i="1"/>
  <c r="AK154" i="1"/>
  <c r="AF154" i="1"/>
  <c r="AD154" i="1"/>
  <c r="AL154" i="1"/>
  <c r="AI154" i="1"/>
  <c r="AE154" i="1"/>
  <c r="AM154" i="1"/>
  <c r="AN154" i="1"/>
  <c r="AB156" i="1" l="1"/>
  <c r="AJ155" i="1"/>
  <c r="AH155" i="1"/>
  <c r="AC155" i="1"/>
  <c r="AD155" i="1"/>
  <c r="AL155" i="1"/>
  <c r="AG155" i="1"/>
  <c r="AN155" i="1"/>
  <c r="AI155" i="1"/>
  <c r="AE155" i="1"/>
  <c r="AF155" i="1"/>
  <c r="AM155" i="1"/>
  <c r="AK155" i="1"/>
  <c r="AB157" i="1" l="1"/>
  <c r="AJ156" i="1"/>
  <c r="AH156" i="1"/>
  <c r="AC156" i="1"/>
  <c r="AD156" i="1"/>
  <c r="AL156" i="1"/>
  <c r="AK156" i="1"/>
  <c r="AF156" i="1"/>
  <c r="AM156" i="1"/>
  <c r="AN156" i="1"/>
  <c r="AE156" i="1"/>
  <c r="AI156" i="1"/>
  <c r="AG156" i="1"/>
  <c r="AB158" i="1" l="1"/>
  <c r="AJ157" i="1"/>
  <c r="AH157" i="1"/>
  <c r="AC157" i="1"/>
  <c r="AD157" i="1"/>
  <c r="AL157" i="1"/>
  <c r="AG157" i="1"/>
  <c r="AK157" i="1"/>
  <c r="AM157" i="1"/>
  <c r="AE157" i="1"/>
  <c r="AI157" i="1"/>
  <c r="AF157" i="1"/>
  <c r="AN157" i="1"/>
  <c r="AB159" i="1" l="1"/>
  <c r="AJ158" i="1"/>
  <c r="AH158" i="1"/>
  <c r="AC158" i="1"/>
  <c r="AD158" i="1"/>
  <c r="AG158" i="1"/>
  <c r="AK158" i="1"/>
  <c r="AI158" i="1"/>
  <c r="AE158" i="1"/>
  <c r="AN158" i="1"/>
  <c r="AM158" i="1"/>
  <c r="AF158" i="1"/>
  <c r="AL158" i="1"/>
  <c r="AB160" i="1" l="1"/>
  <c r="AJ159" i="1"/>
  <c r="AH159" i="1"/>
  <c r="AC159" i="1"/>
  <c r="AD159" i="1"/>
  <c r="AE159" i="1"/>
  <c r="AF159" i="1"/>
  <c r="AM159" i="1"/>
  <c r="AL159" i="1"/>
  <c r="AN159" i="1"/>
  <c r="AI159" i="1"/>
  <c r="AG159" i="1"/>
  <c r="AK159" i="1"/>
  <c r="AB161" i="1" l="1"/>
  <c r="AJ160" i="1"/>
  <c r="AH160" i="1"/>
  <c r="AC160" i="1"/>
  <c r="AD160" i="1"/>
  <c r="AE160" i="1"/>
  <c r="AG160" i="1"/>
  <c r="AK160" i="1"/>
  <c r="AI160" i="1"/>
  <c r="AF160" i="1"/>
  <c r="AM160" i="1"/>
  <c r="AL160" i="1"/>
  <c r="AN160" i="1"/>
  <c r="AB162" i="1" l="1"/>
  <c r="AJ161" i="1"/>
  <c r="AH161" i="1"/>
  <c r="AC161" i="1"/>
  <c r="AL161" i="1"/>
  <c r="AF161" i="1"/>
  <c r="AD161" i="1"/>
  <c r="AE161" i="1"/>
  <c r="AG161" i="1"/>
  <c r="AN161" i="1"/>
  <c r="AK161" i="1"/>
  <c r="AI161" i="1"/>
  <c r="AM161" i="1"/>
  <c r="AB163" i="1" l="1"/>
  <c r="AJ162" i="1"/>
  <c r="AH162" i="1"/>
  <c r="AC162" i="1"/>
  <c r="AE162" i="1"/>
  <c r="AK162" i="1"/>
  <c r="AI162" i="1"/>
  <c r="AF162" i="1"/>
  <c r="AD162" i="1"/>
  <c r="AG162" i="1"/>
  <c r="AN162" i="1"/>
  <c r="AM162" i="1"/>
  <c r="AL162" i="1"/>
  <c r="AB164" i="1" l="1"/>
  <c r="AJ163" i="1"/>
  <c r="AH163" i="1"/>
  <c r="AC163" i="1"/>
  <c r="AD163" i="1"/>
  <c r="AL163" i="1"/>
  <c r="AK163" i="1"/>
  <c r="AI163" i="1"/>
  <c r="AF163" i="1"/>
  <c r="AN163" i="1"/>
  <c r="AM163" i="1"/>
  <c r="AE163" i="1"/>
  <c r="AG163" i="1"/>
  <c r="AB165" i="1" l="1"/>
  <c r="AJ164" i="1"/>
  <c r="AH164" i="1"/>
  <c r="AC164" i="1"/>
  <c r="AD164" i="1"/>
  <c r="AL164" i="1"/>
  <c r="AN164" i="1"/>
  <c r="AK164" i="1"/>
  <c r="AI164" i="1"/>
  <c r="AM164" i="1"/>
  <c r="AE164" i="1"/>
  <c r="AF164" i="1"/>
  <c r="AG164" i="1"/>
  <c r="AB166" i="1" l="1"/>
  <c r="AJ165" i="1"/>
  <c r="AH165" i="1"/>
  <c r="AC165" i="1"/>
  <c r="AD165" i="1"/>
  <c r="AL165" i="1"/>
  <c r="AK165" i="1"/>
  <c r="AI165" i="1"/>
  <c r="AF165" i="1"/>
  <c r="AN165" i="1"/>
  <c r="AM165" i="1"/>
  <c r="AE165" i="1"/>
  <c r="AG165" i="1"/>
  <c r="AB167" i="1" l="1"/>
  <c r="AJ166" i="1"/>
  <c r="AH166" i="1"/>
  <c r="AC166" i="1"/>
  <c r="AD166" i="1"/>
  <c r="AL166" i="1"/>
  <c r="AK166" i="1"/>
  <c r="AF166" i="1"/>
  <c r="AG166" i="1"/>
  <c r="AE166" i="1"/>
  <c r="AI166" i="1"/>
  <c r="AM166" i="1"/>
  <c r="AN166" i="1"/>
  <c r="AB168" i="1" l="1"/>
  <c r="AJ167" i="1"/>
  <c r="AH167" i="1"/>
  <c r="AC167" i="1"/>
  <c r="AD167" i="1"/>
  <c r="AE167" i="1"/>
  <c r="AK167" i="1"/>
  <c r="AI167" i="1"/>
  <c r="AM167" i="1"/>
  <c r="AL167" i="1"/>
  <c r="AN167" i="1"/>
  <c r="AG167" i="1"/>
  <c r="AF167" i="1"/>
  <c r="AB169" i="1" l="1"/>
  <c r="AJ168" i="1"/>
  <c r="AH168" i="1"/>
  <c r="AC168" i="1"/>
  <c r="AD168" i="1"/>
  <c r="AL168" i="1"/>
  <c r="AK168" i="1"/>
  <c r="AI168" i="1"/>
  <c r="AE168" i="1"/>
  <c r="AN168" i="1"/>
  <c r="AM168" i="1"/>
  <c r="AF168" i="1"/>
  <c r="AG168" i="1"/>
  <c r="AB170" i="1" l="1"/>
  <c r="AJ169" i="1"/>
  <c r="AH169" i="1"/>
  <c r="AC169" i="1"/>
  <c r="AG169" i="1"/>
  <c r="AM169" i="1"/>
  <c r="AD169" i="1"/>
  <c r="AN169" i="1"/>
  <c r="AI169" i="1"/>
  <c r="AE169" i="1"/>
  <c r="AK169" i="1"/>
  <c r="AL169" i="1"/>
  <c r="AF169" i="1"/>
  <c r="AB171" i="1" l="1"/>
  <c r="AJ170" i="1"/>
  <c r="AH170" i="1"/>
  <c r="AC170" i="1"/>
  <c r="AD170" i="1"/>
  <c r="AE170" i="1"/>
  <c r="AL170" i="1"/>
  <c r="AK170" i="1"/>
  <c r="AI170" i="1"/>
  <c r="AM170" i="1"/>
  <c r="AG170" i="1"/>
  <c r="AF170" i="1"/>
  <c r="AN170" i="1"/>
  <c r="AB172" i="1" l="1"/>
  <c r="AJ171" i="1"/>
  <c r="AH171" i="1"/>
  <c r="AC171" i="1"/>
  <c r="AD171" i="1"/>
  <c r="AL171" i="1"/>
  <c r="AK171" i="1"/>
  <c r="AI171" i="1"/>
  <c r="AF171" i="1"/>
  <c r="AM171" i="1"/>
  <c r="AG171" i="1"/>
  <c r="AE171" i="1"/>
  <c r="AN171" i="1"/>
  <c r="AB173" i="1" l="1"/>
  <c r="AJ172" i="1"/>
  <c r="AH172" i="1"/>
  <c r="AC172" i="1"/>
  <c r="AD172" i="1"/>
  <c r="AL172" i="1"/>
  <c r="AN172" i="1"/>
  <c r="AK172" i="1"/>
  <c r="AI172" i="1"/>
  <c r="AM172" i="1"/>
  <c r="AG172" i="1"/>
  <c r="AE172" i="1"/>
  <c r="AF172" i="1"/>
  <c r="AB174" i="1" l="1"/>
  <c r="AJ173" i="1"/>
  <c r="AH173" i="1"/>
  <c r="AC173" i="1"/>
  <c r="AD173" i="1"/>
  <c r="AL173" i="1"/>
  <c r="AN173" i="1"/>
  <c r="AK173" i="1"/>
  <c r="AI173" i="1"/>
  <c r="AG173" i="1"/>
  <c r="AF173" i="1"/>
  <c r="AM173" i="1"/>
  <c r="AE173" i="1"/>
  <c r="AB175" i="1" l="1"/>
  <c r="AJ174" i="1"/>
  <c r="AH174" i="1"/>
  <c r="AC174" i="1"/>
  <c r="AL174" i="1"/>
  <c r="AK174" i="1"/>
  <c r="AF174" i="1"/>
  <c r="AM174" i="1"/>
  <c r="AD174" i="1"/>
  <c r="AE174" i="1"/>
  <c r="AG174" i="1"/>
  <c r="AN174" i="1"/>
  <c r="AI174" i="1"/>
  <c r="AB176" i="1" l="1"/>
  <c r="AJ175" i="1"/>
  <c r="AH175" i="1"/>
  <c r="AC175" i="1"/>
  <c r="AD175" i="1"/>
  <c r="AG175" i="1"/>
  <c r="AN175" i="1"/>
  <c r="AK175" i="1"/>
  <c r="AI175" i="1"/>
  <c r="AF175" i="1"/>
  <c r="AE175" i="1"/>
  <c r="AM175" i="1"/>
  <c r="AL175" i="1"/>
  <c r="AB177" i="1" l="1"/>
  <c r="AJ176" i="1"/>
  <c r="AH176" i="1"/>
  <c r="AC176" i="1"/>
  <c r="AD176" i="1"/>
  <c r="AL176" i="1"/>
  <c r="AK176" i="1"/>
  <c r="AI176" i="1"/>
  <c r="AF176" i="1"/>
  <c r="AM176" i="1"/>
  <c r="AG176" i="1"/>
  <c r="AE176" i="1"/>
  <c r="AN176" i="1"/>
  <c r="AB178" i="1" l="1"/>
  <c r="AJ177" i="1"/>
  <c r="AH177" i="1"/>
  <c r="AC177" i="1"/>
  <c r="AL177" i="1"/>
  <c r="AG177" i="1"/>
  <c r="AN177" i="1"/>
  <c r="AK177" i="1"/>
  <c r="AF177" i="1"/>
  <c r="AM177" i="1"/>
  <c r="AD177" i="1"/>
  <c r="AE177" i="1"/>
  <c r="AI177" i="1"/>
  <c r="AB179" i="1" l="1"/>
  <c r="AJ178" i="1"/>
  <c r="AH178" i="1"/>
  <c r="AC178" i="1"/>
  <c r="AD178" i="1"/>
  <c r="AE178" i="1"/>
  <c r="AL178" i="1"/>
  <c r="AG178" i="1"/>
  <c r="AN178" i="1"/>
  <c r="AF178" i="1"/>
  <c r="AM178" i="1"/>
  <c r="AI178" i="1"/>
  <c r="AK178" i="1"/>
  <c r="AB180" i="1" l="1"/>
  <c r="AJ179" i="1"/>
  <c r="AH179" i="1"/>
  <c r="AC179" i="1"/>
  <c r="AD179" i="1"/>
  <c r="AG179" i="1"/>
  <c r="AI179" i="1"/>
  <c r="AL179" i="1"/>
  <c r="AK179" i="1"/>
  <c r="AF179" i="1"/>
  <c r="AM179" i="1"/>
  <c r="AE179" i="1"/>
  <c r="AN179" i="1"/>
  <c r="AB181" i="1" l="1"/>
  <c r="AJ180" i="1"/>
  <c r="AH180" i="1"/>
  <c r="AC180" i="1"/>
  <c r="AD180" i="1"/>
  <c r="AE180" i="1"/>
  <c r="AG180" i="1"/>
  <c r="AL180" i="1"/>
  <c r="AN180" i="1"/>
  <c r="AK180" i="1"/>
  <c r="AI180" i="1"/>
  <c r="AF180" i="1"/>
  <c r="AM180" i="1"/>
  <c r="AB182" i="1" l="1"/>
  <c r="AJ181" i="1"/>
  <c r="AH181" i="1"/>
  <c r="AC181" i="1"/>
  <c r="AD181" i="1"/>
  <c r="AE181" i="1"/>
  <c r="AN181" i="1"/>
  <c r="AK181" i="1"/>
  <c r="AI181" i="1"/>
  <c r="AF181" i="1"/>
  <c r="AM181" i="1"/>
  <c r="AL181" i="1"/>
  <c r="AG181" i="1"/>
  <c r="AB183" i="1" l="1"/>
  <c r="AJ182" i="1"/>
  <c r="AH182" i="1"/>
  <c r="AC182" i="1"/>
  <c r="AD182" i="1"/>
  <c r="AL182" i="1"/>
  <c r="AN182" i="1"/>
  <c r="AG182" i="1"/>
  <c r="AF182" i="1"/>
  <c r="AE182" i="1"/>
  <c r="AK182" i="1"/>
  <c r="AI182" i="1"/>
  <c r="AM182" i="1"/>
  <c r="AB184" i="1" l="1"/>
  <c r="AJ183" i="1"/>
  <c r="AH183" i="1"/>
  <c r="AC183" i="1"/>
  <c r="AD183" i="1"/>
  <c r="AE183" i="1"/>
  <c r="AG183" i="1"/>
  <c r="AK183" i="1"/>
  <c r="AI183" i="1"/>
  <c r="AN183" i="1"/>
  <c r="AL183" i="1"/>
  <c r="AF183" i="1"/>
  <c r="AM183" i="1"/>
  <c r="AB185" i="1" l="1"/>
  <c r="AJ184" i="1"/>
  <c r="AH184" i="1"/>
  <c r="AC184" i="1"/>
  <c r="AE184" i="1"/>
  <c r="AL184" i="1"/>
  <c r="AG184" i="1"/>
  <c r="AN184" i="1"/>
  <c r="AD184" i="1"/>
  <c r="AK184" i="1"/>
  <c r="AI184" i="1"/>
  <c r="AM184" i="1"/>
  <c r="AF184" i="1"/>
  <c r="AB186" i="1" l="1"/>
  <c r="AJ185" i="1"/>
  <c r="AH185" i="1"/>
  <c r="AC185" i="1"/>
  <c r="AE185" i="1"/>
  <c r="AL185" i="1"/>
  <c r="AN185" i="1"/>
  <c r="AK185" i="1"/>
  <c r="AI185" i="1"/>
  <c r="AF185" i="1"/>
  <c r="AM185" i="1"/>
  <c r="AD185" i="1"/>
  <c r="AG185" i="1"/>
  <c r="AB187" i="1" l="1"/>
  <c r="AJ186" i="1"/>
  <c r="AH186" i="1"/>
  <c r="AC186" i="1"/>
  <c r="AD186" i="1"/>
  <c r="AE186" i="1"/>
  <c r="AG186" i="1"/>
  <c r="AN186" i="1"/>
  <c r="AI186" i="1"/>
  <c r="AF186" i="1"/>
  <c r="AK186" i="1"/>
  <c r="AL186" i="1"/>
  <c r="AM186" i="1"/>
  <c r="AB188" i="1" l="1"/>
  <c r="AJ187" i="1"/>
  <c r="AH187" i="1"/>
  <c r="AC187" i="1"/>
  <c r="AD187" i="1"/>
  <c r="AE187" i="1"/>
  <c r="AG187" i="1"/>
  <c r="AN187" i="1"/>
  <c r="AM187" i="1"/>
  <c r="AL187" i="1"/>
  <c r="AK187" i="1"/>
  <c r="AI187" i="1"/>
  <c r="AF187" i="1"/>
  <c r="AB189" i="1" l="1"/>
  <c r="AJ188" i="1"/>
  <c r="AH188" i="1"/>
  <c r="AC188" i="1"/>
  <c r="AD188" i="1"/>
  <c r="AL188" i="1"/>
  <c r="AG188" i="1"/>
  <c r="AN188" i="1"/>
  <c r="AE188" i="1"/>
  <c r="AK188" i="1"/>
  <c r="AI188" i="1"/>
  <c r="AM188" i="1"/>
  <c r="AF188" i="1"/>
  <c r="AB190" i="1" l="1"/>
  <c r="AJ189" i="1"/>
  <c r="AH189" i="1"/>
  <c r="AC189" i="1"/>
  <c r="AD189" i="1"/>
  <c r="AL189" i="1"/>
  <c r="AG189" i="1"/>
  <c r="AN189" i="1"/>
  <c r="AK189" i="1"/>
  <c r="AE189" i="1"/>
  <c r="AI189" i="1"/>
  <c r="AM189" i="1"/>
  <c r="AF189" i="1"/>
  <c r="AB191" i="1" l="1"/>
  <c r="AJ190" i="1"/>
  <c r="AH190" i="1"/>
  <c r="AC190" i="1"/>
  <c r="AD190" i="1"/>
  <c r="AE190" i="1"/>
  <c r="AG190" i="1"/>
  <c r="AK190" i="1"/>
  <c r="AI190" i="1"/>
  <c r="AL190" i="1"/>
  <c r="AN190" i="1"/>
  <c r="AM190" i="1"/>
  <c r="AF190" i="1"/>
  <c r="AB192" i="1" l="1"/>
  <c r="AJ191" i="1"/>
  <c r="AH191" i="1"/>
  <c r="AC191" i="1"/>
  <c r="AD191" i="1"/>
  <c r="AE191" i="1"/>
  <c r="AL191" i="1"/>
  <c r="AK191" i="1"/>
  <c r="AF191" i="1"/>
  <c r="AM191" i="1"/>
  <c r="AG191" i="1"/>
  <c r="AI191" i="1"/>
  <c r="AN191" i="1"/>
  <c r="AB193" i="1" l="1"/>
  <c r="AJ192" i="1"/>
  <c r="AH192" i="1"/>
  <c r="AC192" i="1"/>
  <c r="AD192" i="1"/>
  <c r="AL192" i="1"/>
  <c r="AN192" i="1"/>
  <c r="AK192" i="1"/>
  <c r="AF192" i="1"/>
  <c r="AM192" i="1"/>
  <c r="AI192" i="1"/>
  <c r="AE192" i="1"/>
  <c r="AG192" i="1"/>
  <c r="AB194" i="1" l="1"/>
  <c r="AJ193" i="1"/>
  <c r="AH193" i="1"/>
  <c r="AC193" i="1"/>
  <c r="AD193" i="1"/>
  <c r="AG193" i="1"/>
  <c r="AF193" i="1"/>
  <c r="AL193" i="1"/>
  <c r="AN193" i="1"/>
  <c r="AI193" i="1"/>
  <c r="AM193" i="1"/>
  <c r="AE193" i="1"/>
  <c r="AK193" i="1"/>
  <c r="AB195" i="1" l="1"/>
  <c r="AJ194" i="1"/>
  <c r="AH194" i="1"/>
  <c r="AC194" i="1"/>
  <c r="AD194" i="1"/>
  <c r="AE194" i="1"/>
  <c r="AK194" i="1"/>
  <c r="AI194" i="1"/>
  <c r="AG194" i="1"/>
  <c r="AM194" i="1"/>
  <c r="AL194" i="1"/>
  <c r="AF194" i="1"/>
  <c r="AN194" i="1"/>
  <c r="AB196" i="1" l="1"/>
  <c r="AJ195" i="1"/>
  <c r="AH195" i="1"/>
  <c r="AC195" i="1"/>
  <c r="AE195" i="1"/>
  <c r="AL195" i="1"/>
  <c r="AI195" i="1"/>
  <c r="AF195" i="1"/>
  <c r="AD195" i="1"/>
  <c r="AG195" i="1"/>
  <c r="AN195" i="1"/>
  <c r="AM195" i="1"/>
  <c r="AK195" i="1"/>
  <c r="AB197" i="1" l="1"/>
  <c r="AJ196" i="1"/>
  <c r="AH196" i="1"/>
  <c r="AC196" i="1"/>
  <c r="AD196" i="1"/>
  <c r="AL196" i="1"/>
  <c r="AG196" i="1"/>
  <c r="AI196" i="1"/>
  <c r="AE196" i="1"/>
  <c r="AN196" i="1"/>
  <c r="AF196" i="1"/>
  <c r="AM196" i="1"/>
  <c r="AK196" i="1"/>
  <c r="AB198" i="1" l="1"/>
  <c r="AJ197" i="1"/>
  <c r="AD197" i="1"/>
  <c r="AL197" i="1"/>
  <c r="AG197" i="1"/>
  <c r="AK197" i="1"/>
  <c r="AC197" i="1"/>
  <c r="AE197" i="1"/>
  <c r="AN197" i="1"/>
  <c r="AF197" i="1"/>
  <c r="AH197" i="1"/>
  <c r="AM197" i="1"/>
  <c r="AI197" i="1"/>
  <c r="AB199" i="1" l="1"/>
  <c r="AJ198" i="1"/>
  <c r="AH198" i="1"/>
  <c r="AC198" i="1"/>
  <c r="AD198" i="1"/>
  <c r="AE198" i="1"/>
  <c r="AL198" i="1"/>
  <c r="AG198" i="1"/>
  <c r="AN198" i="1"/>
  <c r="AF198" i="1"/>
  <c r="AK198" i="1"/>
  <c r="AM198" i="1"/>
  <c r="AI198" i="1"/>
  <c r="AB200" i="1" l="1"/>
  <c r="AJ199" i="1"/>
  <c r="AH199" i="1"/>
  <c r="AC199" i="1"/>
  <c r="AL199" i="1"/>
  <c r="AK199" i="1"/>
  <c r="AI199" i="1"/>
  <c r="AD199" i="1"/>
  <c r="AG199" i="1"/>
  <c r="AN199" i="1"/>
  <c r="AF199" i="1"/>
  <c r="AE199" i="1"/>
  <c r="AM199" i="1"/>
  <c r="AB201" i="1" l="1"/>
  <c r="AJ200" i="1"/>
  <c r="AH200" i="1"/>
  <c r="AC200" i="1"/>
  <c r="AI200" i="1"/>
  <c r="AD200" i="1"/>
  <c r="AE200" i="1"/>
  <c r="AG200" i="1"/>
  <c r="AN200" i="1"/>
  <c r="AK200" i="1"/>
  <c r="AF200" i="1"/>
  <c r="AM200" i="1"/>
  <c r="AL200" i="1"/>
  <c r="AB202" i="1" l="1"/>
  <c r="AJ201" i="1"/>
  <c r="AH201" i="1"/>
  <c r="AC201" i="1"/>
  <c r="AG201" i="1"/>
  <c r="AN201" i="1"/>
  <c r="AD201" i="1"/>
  <c r="AE201" i="1"/>
  <c r="AL201" i="1"/>
  <c r="AK201" i="1"/>
  <c r="AI201" i="1"/>
  <c r="AF201" i="1"/>
  <c r="AM201" i="1"/>
  <c r="AB203" i="1" l="1"/>
  <c r="AJ202" i="1"/>
  <c r="AH202" i="1"/>
  <c r="AC202" i="1"/>
  <c r="AD202" i="1"/>
  <c r="AE202" i="1"/>
  <c r="AN202" i="1"/>
  <c r="AK202" i="1"/>
  <c r="AI202" i="1"/>
  <c r="AL202" i="1"/>
  <c r="AF202" i="1"/>
  <c r="AG202" i="1"/>
  <c r="AM202" i="1"/>
  <c r="AB204" i="1" l="1"/>
  <c r="AJ203" i="1"/>
  <c r="AH203" i="1"/>
  <c r="AC203" i="1"/>
  <c r="AD203" i="1"/>
  <c r="AE203" i="1"/>
  <c r="AL203" i="1"/>
  <c r="AK203" i="1"/>
  <c r="AF203" i="1"/>
  <c r="AG203" i="1"/>
  <c r="AI203" i="1"/>
  <c r="AM203" i="1"/>
  <c r="AN203" i="1"/>
  <c r="AB205" i="1" l="1"/>
  <c r="AJ204" i="1"/>
  <c r="AH204" i="1"/>
  <c r="AC204" i="1"/>
  <c r="AD204" i="1"/>
  <c r="AE204" i="1"/>
  <c r="AL204" i="1"/>
  <c r="AG204" i="1"/>
  <c r="AN204" i="1"/>
  <c r="AF204" i="1"/>
  <c r="AM204" i="1"/>
  <c r="AK204" i="1"/>
  <c r="AI204" i="1"/>
  <c r="AB206" i="1" l="1"/>
  <c r="AJ205" i="1"/>
  <c r="AH205" i="1"/>
  <c r="AC205" i="1"/>
  <c r="AG205" i="1"/>
  <c r="AN205" i="1"/>
  <c r="AK205" i="1"/>
  <c r="AM205" i="1"/>
  <c r="AD205" i="1"/>
  <c r="AE205" i="1"/>
  <c r="AL205" i="1"/>
  <c r="AI205" i="1"/>
  <c r="AF205" i="1"/>
  <c r="AB207" i="1" l="1"/>
  <c r="AJ206" i="1"/>
  <c r="AH206" i="1"/>
  <c r="AC206" i="1"/>
  <c r="AD206" i="1"/>
  <c r="AE206" i="1"/>
  <c r="AL206" i="1"/>
  <c r="AK206" i="1"/>
  <c r="AI206" i="1"/>
  <c r="AM206" i="1"/>
  <c r="AG206" i="1"/>
  <c r="AF206" i="1"/>
  <c r="AN206" i="1"/>
  <c r="AB208" i="1" l="1"/>
  <c r="AJ207" i="1"/>
  <c r="AH207" i="1"/>
  <c r="AC207" i="1"/>
  <c r="AD207" i="1"/>
  <c r="AL207" i="1"/>
  <c r="AK207" i="1"/>
  <c r="AI207" i="1"/>
  <c r="AF207" i="1"/>
  <c r="AM207" i="1"/>
  <c r="AG207" i="1"/>
  <c r="AE207" i="1"/>
  <c r="AN207" i="1"/>
  <c r="AB209" i="1" l="1"/>
  <c r="AJ208" i="1"/>
  <c r="AH208" i="1"/>
  <c r="AC208" i="1"/>
  <c r="AD208" i="1"/>
  <c r="AL208" i="1"/>
  <c r="AK208" i="1"/>
  <c r="AM208" i="1"/>
  <c r="AE208" i="1"/>
  <c r="AG208" i="1"/>
  <c r="AN208" i="1"/>
  <c r="AF208" i="1"/>
  <c r="AI208" i="1"/>
  <c r="AB210" i="1" l="1"/>
  <c r="AJ209" i="1"/>
  <c r="AH209" i="1"/>
  <c r="AC209" i="1"/>
  <c r="AE209" i="1"/>
  <c r="AL209" i="1"/>
  <c r="AI209" i="1"/>
  <c r="AF209" i="1"/>
  <c r="AM209" i="1"/>
  <c r="AD209" i="1"/>
  <c r="AG209" i="1"/>
  <c r="AK209" i="1"/>
  <c r="AN209" i="1"/>
  <c r="AB211" i="1" l="1"/>
  <c r="AJ210" i="1"/>
  <c r="AH210" i="1"/>
  <c r="AC210" i="1"/>
  <c r="AD210" i="1"/>
  <c r="AE210" i="1"/>
  <c r="AL210" i="1"/>
  <c r="AK210" i="1"/>
  <c r="AG210" i="1"/>
  <c r="AF210" i="1"/>
  <c r="AM210" i="1"/>
  <c r="AI210" i="1"/>
  <c r="AN210" i="1"/>
  <c r="AB212" i="1" l="1"/>
  <c r="AJ211" i="1"/>
  <c r="AH211" i="1"/>
  <c r="AC211" i="1"/>
  <c r="AD211" i="1"/>
  <c r="AL211" i="1"/>
  <c r="AE211" i="1"/>
  <c r="AG211" i="1"/>
  <c r="AK211" i="1"/>
  <c r="AI211" i="1"/>
  <c r="AM211" i="1"/>
  <c r="AF211" i="1"/>
  <c r="AN211" i="1"/>
  <c r="AB213" i="1" l="1"/>
  <c r="AJ212" i="1"/>
  <c r="AH212" i="1"/>
  <c r="AC212" i="1"/>
  <c r="AD212" i="1"/>
  <c r="AE212" i="1"/>
  <c r="AL212" i="1"/>
  <c r="AG212" i="1"/>
  <c r="AN212" i="1"/>
  <c r="AK212" i="1"/>
  <c r="AI212" i="1"/>
  <c r="AM212" i="1"/>
  <c r="AF212" i="1"/>
  <c r="AB214" i="1" l="1"/>
  <c r="AJ213" i="1"/>
  <c r="AH213" i="1"/>
  <c r="AC213" i="1"/>
  <c r="AD213" i="1"/>
  <c r="AL213" i="1"/>
  <c r="AF213" i="1"/>
  <c r="AE213" i="1"/>
  <c r="AG213" i="1"/>
  <c r="AN213" i="1"/>
  <c r="AI213" i="1"/>
  <c r="AM213" i="1"/>
  <c r="AK213" i="1"/>
  <c r="AB215" i="1" l="1"/>
  <c r="AJ214" i="1"/>
  <c r="AH214" i="1"/>
  <c r="AC214" i="1"/>
  <c r="AE214" i="1"/>
  <c r="AG214" i="1"/>
  <c r="AM214" i="1"/>
  <c r="AD214" i="1"/>
  <c r="AL214" i="1"/>
  <c r="AN214" i="1"/>
  <c r="AI214" i="1"/>
  <c r="AF214" i="1"/>
  <c r="AK214" i="1"/>
  <c r="AB216" i="1" l="1"/>
  <c r="AJ215" i="1"/>
  <c r="AH215" i="1"/>
  <c r="AC215" i="1"/>
  <c r="AD215" i="1"/>
  <c r="AE215" i="1"/>
  <c r="AG215" i="1"/>
  <c r="AN215" i="1"/>
  <c r="AL215" i="1"/>
  <c r="AK215" i="1"/>
  <c r="AI215" i="1"/>
  <c r="AM215" i="1"/>
  <c r="AF215" i="1"/>
  <c r="AB217" i="1" l="1"/>
  <c r="AJ216" i="1"/>
  <c r="AH216" i="1"/>
  <c r="AC216" i="1"/>
  <c r="AD216" i="1"/>
  <c r="AE216" i="1"/>
  <c r="AG216" i="1"/>
  <c r="AK216" i="1"/>
  <c r="AI216" i="1"/>
  <c r="AF216" i="1"/>
  <c r="AL216" i="1"/>
  <c r="AN216" i="1"/>
  <c r="AM216" i="1"/>
  <c r="AB218" i="1" l="1"/>
  <c r="AJ217" i="1"/>
  <c r="AH217" i="1"/>
  <c r="AC217" i="1"/>
  <c r="AD217" i="1"/>
  <c r="AE217" i="1"/>
  <c r="AL217" i="1"/>
  <c r="AG217" i="1"/>
  <c r="AN217" i="1"/>
  <c r="AK217" i="1"/>
  <c r="AI217" i="1"/>
  <c r="AF217" i="1"/>
  <c r="AM217" i="1"/>
  <c r="AB219" i="1" l="1"/>
  <c r="AJ218" i="1"/>
  <c r="AH218" i="1"/>
  <c r="AC218" i="1"/>
  <c r="AD218" i="1"/>
  <c r="AE218" i="1"/>
  <c r="AG218" i="1"/>
  <c r="AK218" i="1"/>
  <c r="AI218" i="1"/>
  <c r="AF218" i="1"/>
  <c r="AL218" i="1"/>
  <c r="AN218" i="1"/>
  <c r="AM218" i="1"/>
  <c r="AB220" i="1" l="1"/>
  <c r="AJ219" i="1"/>
  <c r="AH219" i="1"/>
  <c r="AC219" i="1"/>
  <c r="AD219" i="1"/>
  <c r="AE219" i="1"/>
  <c r="AL219" i="1"/>
  <c r="AN219" i="1"/>
  <c r="AK219" i="1"/>
  <c r="AF219" i="1"/>
  <c r="AM219" i="1"/>
  <c r="AG219" i="1"/>
  <c r="AI219" i="1"/>
  <c r="AB221" i="1" l="1"/>
  <c r="AJ220" i="1"/>
  <c r="AH220" i="1"/>
  <c r="AC220" i="1"/>
  <c r="AG220" i="1"/>
  <c r="AK220" i="1"/>
  <c r="AI220" i="1"/>
  <c r="AF220" i="1"/>
  <c r="AM220" i="1"/>
  <c r="AD220" i="1"/>
  <c r="AE220" i="1"/>
  <c r="AL220" i="1"/>
  <c r="AN220" i="1"/>
  <c r="AB222" i="1" l="1"/>
  <c r="AJ221" i="1"/>
  <c r="AH221" i="1"/>
  <c r="AC221" i="1"/>
  <c r="AD221" i="1"/>
  <c r="AE221" i="1"/>
  <c r="AL221" i="1"/>
  <c r="AG221" i="1"/>
  <c r="AK221" i="1"/>
  <c r="AI221" i="1"/>
  <c r="AF221" i="1"/>
  <c r="AM221" i="1"/>
  <c r="AN221" i="1"/>
  <c r="AB223" i="1" l="1"/>
  <c r="AJ222" i="1"/>
  <c r="AH222" i="1"/>
  <c r="AC222" i="1"/>
  <c r="AD222" i="1"/>
  <c r="AL222" i="1"/>
  <c r="AK222" i="1"/>
  <c r="AF222" i="1"/>
  <c r="AM222" i="1"/>
  <c r="AE222" i="1"/>
  <c r="AG222" i="1"/>
  <c r="AN222" i="1"/>
  <c r="AI222" i="1"/>
  <c r="AB224" i="1" l="1"/>
  <c r="AJ223" i="1"/>
  <c r="AH223" i="1"/>
  <c r="AC223" i="1"/>
  <c r="AD223" i="1"/>
  <c r="AL223" i="1"/>
  <c r="AN223" i="1"/>
  <c r="AI223" i="1"/>
  <c r="AG223" i="1"/>
  <c r="AE223" i="1"/>
  <c r="AK223" i="1"/>
  <c r="AF223" i="1"/>
  <c r="AM223" i="1"/>
  <c r="AB225" i="1" l="1"/>
  <c r="AJ224" i="1"/>
  <c r="AH224" i="1"/>
  <c r="AC224" i="1"/>
  <c r="AF224" i="1"/>
  <c r="AD224" i="1"/>
  <c r="AE224" i="1"/>
  <c r="AL224" i="1"/>
  <c r="AG224" i="1"/>
  <c r="AI224" i="1"/>
  <c r="AK224" i="1"/>
  <c r="AN224" i="1"/>
  <c r="AM224" i="1"/>
  <c r="AB226" i="1" l="1"/>
  <c r="AJ225" i="1"/>
  <c r="AH225" i="1"/>
  <c r="AC225" i="1"/>
  <c r="AD225" i="1"/>
  <c r="AE225" i="1"/>
  <c r="AG225" i="1"/>
  <c r="AN225" i="1"/>
  <c r="AM225" i="1"/>
  <c r="AL225" i="1"/>
  <c r="AK225" i="1"/>
  <c r="AF225" i="1"/>
  <c r="AI225" i="1"/>
  <c r="AB227" i="1" l="1"/>
  <c r="AJ226" i="1"/>
  <c r="AH226" i="1"/>
  <c r="AC226" i="1"/>
  <c r="AD226" i="1"/>
  <c r="AN226" i="1"/>
  <c r="AK226" i="1"/>
  <c r="AI226" i="1"/>
  <c r="AF226" i="1"/>
  <c r="AM226" i="1"/>
  <c r="AE226" i="1"/>
  <c r="AL226" i="1"/>
  <c r="AG226" i="1"/>
  <c r="AB228" i="1" l="1"/>
  <c r="AJ227" i="1"/>
  <c r="AH227" i="1"/>
  <c r="AC227" i="1"/>
  <c r="AD227" i="1"/>
  <c r="AE227" i="1"/>
  <c r="AK227" i="1"/>
  <c r="AF227" i="1"/>
  <c r="AG227" i="1"/>
  <c r="AI227" i="1"/>
  <c r="AN227" i="1"/>
  <c r="AL227" i="1"/>
  <c r="AM227" i="1"/>
  <c r="AB229" i="1" l="1"/>
  <c r="AJ228" i="1"/>
  <c r="AH228" i="1"/>
  <c r="AC228" i="1"/>
  <c r="AL228" i="1"/>
  <c r="AF228" i="1"/>
  <c r="AD228" i="1"/>
  <c r="AE228" i="1"/>
  <c r="AG228" i="1"/>
  <c r="AK228" i="1"/>
  <c r="AI228" i="1"/>
  <c r="AM228" i="1"/>
  <c r="AN228" i="1"/>
  <c r="AB230" i="1" l="1"/>
  <c r="AJ229" i="1"/>
  <c r="AH229" i="1"/>
  <c r="AC229" i="1"/>
  <c r="AD229" i="1"/>
  <c r="AG229" i="1"/>
  <c r="AN229" i="1"/>
  <c r="AI229" i="1"/>
  <c r="AF229" i="1"/>
  <c r="AM229" i="1"/>
  <c r="AL229" i="1"/>
  <c r="AE229" i="1"/>
  <c r="AK229" i="1"/>
  <c r="AB231" i="1" l="1"/>
  <c r="AJ230" i="1"/>
  <c r="AH230" i="1"/>
  <c r="AC230" i="1"/>
  <c r="AD230" i="1"/>
  <c r="AL230" i="1"/>
  <c r="AK230" i="1"/>
  <c r="AI230" i="1"/>
  <c r="AF230" i="1"/>
  <c r="AM230" i="1"/>
  <c r="AE230" i="1"/>
  <c r="AG230" i="1"/>
  <c r="AN230" i="1"/>
  <c r="AB232" i="1" l="1"/>
  <c r="AJ231" i="1"/>
  <c r="AH231" i="1"/>
  <c r="AC231" i="1"/>
  <c r="AD231" i="1"/>
  <c r="AK231" i="1"/>
  <c r="AI231" i="1"/>
  <c r="AM231" i="1"/>
  <c r="AE231" i="1"/>
  <c r="AG231" i="1"/>
  <c r="AN231" i="1"/>
  <c r="AF231" i="1"/>
  <c r="AL231" i="1"/>
  <c r="AB233" i="1" l="1"/>
  <c r="AJ232" i="1"/>
  <c r="AH232" i="1"/>
  <c r="AC232" i="1"/>
  <c r="AD232" i="1"/>
  <c r="AE232" i="1"/>
  <c r="AL232" i="1"/>
  <c r="AN232" i="1"/>
  <c r="AK232" i="1"/>
  <c r="AI232" i="1"/>
  <c r="AF232" i="1"/>
  <c r="AG232" i="1"/>
  <c r="AM232" i="1"/>
  <c r="AB234" i="1" l="1"/>
  <c r="AJ233" i="1"/>
  <c r="AH233" i="1"/>
  <c r="AC233" i="1"/>
  <c r="AD233" i="1"/>
  <c r="AL233" i="1"/>
  <c r="AG233" i="1"/>
  <c r="AN233" i="1"/>
  <c r="AF233" i="1"/>
  <c r="AE233" i="1"/>
  <c r="AK233" i="1"/>
  <c r="AI233" i="1"/>
  <c r="AM233" i="1"/>
  <c r="AB235" i="1" l="1"/>
  <c r="AJ234" i="1"/>
  <c r="AH234" i="1"/>
  <c r="AC234" i="1"/>
  <c r="AD234" i="1"/>
  <c r="AL234" i="1"/>
  <c r="AN234" i="1"/>
  <c r="AK234" i="1"/>
  <c r="AI234" i="1"/>
  <c r="AF234" i="1"/>
  <c r="AG234" i="1"/>
  <c r="AE234" i="1"/>
  <c r="AM234" i="1"/>
  <c r="AB236" i="1" l="1"/>
  <c r="AJ235" i="1"/>
  <c r="AH235" i="1"/>
  <c r="AC235" i="1"/>
  <c r="AD235" i="1"/>
  <c r="AE235" i="1"/>
  <c r="AL235" i="1"/>
  <c r="AN235" i="1"/>
  <c r="AG235" i="1"/>
  <c r="AF235" i="1"/>
  <c r="AM235" i="1"/>
  <c r="AI235" i="1"/>
  <c r="AK235" i="1"/>
  <c r="AB237" i="1" l="1"/>
  <c r="AJ236" i="1"/>
  <c r="AH236" i="1"/>
  <c r="AC236" i="1"/>
  <c r="AD236" i="1"/>
  <c r="AL236" i="1"/>
  <c r="AE236" i="1"/>
  <c r="AG236" i="1"/>
  <c r="AN236" i="1"/>
  <c r="AI236" i="1"/>
  <c r="AF236" i="1"/>
  <c r="AM236" i="1"/>
  <c r="AK236" i="1"/>
  <c r="AB238" i="1" l="1"/>
  <c r="AJ237" i="1"/>
  <c r="AH237" i="1"/>
  <c r="AC237" i="1"/>
  <c r="AD237" i="1"/>
  <c r="AL237" i="1"/>
  <c r="AN237" i="1"/>
  <c r="AM237" i="1"/>
  <c r="AG237" i="1"/>
  <c r="AF237" i="1"/>
  <c r="AE237" i="1"/>
  <c r="AI237" i="1"/>
  <c r="AK237" i="1"/>
  <c r="AB239" i="1" l="1"/>
  <c r="AJ238" i="1"/>
  <c r="AH238" i="1"/>
  <c r="AC238" i="1"/>
  <c r="AD238" i="1"/>
  <c r="AG238" i="1"/>
  <c r="AN238" i="1"/>
  <c r="AF238" i="1"/>
  <c r="AM238" i="1"/>
  <c r="AE238" i="1"/>
  <c r="AI238" i="1"/>
  <c r="AK238" i="1"/>
  <c r="AL238" i="1"/>
  <c r="AB240" i="1" l="1"/>
  <c r="AJ239" i="1"/>
  <c r="AH239" i="1"/>
  <c r="AC239" i="1"/>
  <c r="AD239" i="1"/>
  <c r="AE239" i="1"/>
  <c r="AL239" i="1"/>
  <c r="AK239" i="1"/>
  <c r="AG239" i="1"/>
  <c r="AF239" i="1"/>
  <c r="AM239" i="1"/>
  <c r="AI239" i="1"/>
  <c r="AN239" i="1"/>
  <c r="AB241" i="1" l="1"/>
  <c r="AJ240" i="1"/>
  <c r="AH240" i="1"/>
  <c r="AC240" i="1"/>
  <c r="AD240" i="1"/>
  <c r="AL240" i="1"/>
  <c r="AK240" i="1"/>
  <c r="AI240" i="1"/>
  <c r="AM240" i="1"/>
  <c r="AE240" i="1"/>
  <c r="AN240" i="1"/>
  <c r="AF240" i="1"/>
  <c r="AG240" i="1"/>
  <c r="AB242" i="1" l="1"/>
  <c r="AJ241" i="1"/>
  <c r="AH241" i="1"/>
  <c r="AC241" i="1"/>
  <c r="AD241" i="1"/>
  <c r="AE241" i="1"/>
  <c r="AL241" i="1"/>
  <c r="AK241" i="1"/>
  <c r="AI241" i="1"/>
  <c r="AF241" i="1"/>
  <c r="AM241" i="1"/>
  <c r="AG241" i="1"/>
  <c r="AN241" i="1"/>
  <c r="AB243" i="1" l="1"/>
  <c r="AJ242" i="1"/>
  <c r="AH242" i="1"/>
  <c r="AC242" i="1"/>
  <c r="AD242" i="1"/>
  <c r="AL242" i="1"/>
  <c r="AG242" i="1"/>
  <c r="AN242" i="1"/>
  <c r="AM242" i="1"/>
  <c r="AE242" i="1"/>
  <c r="AI242" i="1"/>
  <c r="AF242" i="1"/>
  <c r="AK242" i="1"/>
  <c r="AB244" i="1" l="1"/>
  <c r="AJ243" i="1"/>
  <c r="AH243" i="1"/>
  <c r="AC243" i="1"/>
  <c r="AG243" i="1"/>
  <c r="AI243" i="1"/>
  <c r="AM243" i="1"/>
  <c r="AD243" i="1"/>
  <c r="AL243" i="1"/>
  <c r="AN243" i="1"/>
  <c r="AK243" i="1"/>
  <c r="AE243" i="1"/>
  <c r="AF243" i="1"/>
  <c r="AB245" i="1" l="1"/>
  <c r="AJ244" i="1"/>
  <c r="AH244" i="1"/>
  <c r="AC244" i="1"/>
  <c r="AL244" i="1"/>
  <c r="AG244" i="1"/>
  <c r="AN244" i="1"/>
  <c r="AF244" i="1"/>
  <c r="AM244" i="1"/>
  <c r="AD244" i="1"/>
  <c r="AK244" i="1"/>
  <c r="AI244" i="1"/>
  <c r="AE244" i="1"/>
  <c r="AB246" i="1" l="1"/>
  <c r="AJ245" i="1"/>
  <c r="AH245" i="1"/>
  <c r="AC245" i="1"/>
  <c r="AD245" i="1"/>
  <c r="AE245" i="1"/>
  <c r="AG245" i="1"/>
  <c r="AN245" i="1"/>
  <c r="AK245" i="1"/>
  <c r="AM245" i="1"/>
  <c r="AL245" i="1"/>
  <c r="AI245" i="1"/>
  <c r="AF245" i="1"/>
  <c r="AB247" i="1" l="1"/>
  <c r="AJ246" i="1"/>
  <c r="AH246" i="1"/>
  <c r="AC246" i="1"/>
  <c r="AD246" i="1"/>
  <c r="AL246" i="1"/>
  <c r="AG246" i="1"/>
  <c r="AN246" i="1"/>
  <c r="AK246" i="1"/>
  <c r="AI246" i="1"/>
  <c r="AM246" i="1"/>
  <c r="AE246" i="1"/>
  <c r="AF246" i="1"/>
  <c r="AB248" i="1" l="1"/>
  <c r="AJ247" i="1"/>
  <c r="AH247" i="1"/>
  <c r="AC247" i="1"/>
  <c r="AD247" i="1"/>
  <c r="AE247" i="1"/>
  <c r="AL247" i="1"/>
  <c r="AK247" i="1"/>
  <c r="AF247" i="1"/>
  <c r="AG247" i="1"/>
  <c r="AI247" i="1"/>
  <c r="AM247" i="1"/>
  <c r="AN247" i="1"/>
  <c r="AB249" i="1" l="1"/>
  <c r="AJ248" i="1"/>
  <c r="AH248" i="1"/>
  <c r="AC248" i="1"/>
  <c r="AD248" i="1"/>
  <c r="AL248" i="1"/>
  <c r="AK248" i="1"/>
  <c r="AI248" i="1"/>
  <c r="AF248" i="1"/>
  <c r="AM248" i="1"/>
  <c r="AE248" i="1"/>
  <c r="AN248" i="1"/>
  <c r="AG248" i="1"/>
  <c r="AB250" i="1" l="1"/>
  <c r="AJ249" i="1"/>
  <c r="AH249" i="1"/>
  <c r="AC249" i="1"/>
  <c r="AD249" i="1"/>
  <c r="AK249" i="1"/>
  <c r="AI249" i="1"/>
  <c r="AE249" i="1"/>
  <c r="AG249" i="1"/>
  <c r="AN249" i="1"/>
  <c r="AM249" i="1"/>
  <c r="AL249" i="1"/>
  <c r="AF249" i="1"/>
  <c r="AB251" i="1" l="1"/>
  <c r="AJ250" i="1"/>
  <c r="AH250" i="1"/>
  <c r="AC250" i="1"/>
  <c r="AD250" i="1"/>
  <c r="AL250" i="1"/>
  <c r="AN250" i="1"/>
  <c r="AI250" i="1"/>
  <c r="AF250" i="1"/>
  <c r="AM250" i="1"/>
  <c r="AG250" i="1"/>
  <c r="AE250" i="1"/>
  <c r="AK250" i="1"/>
  <c r="AB252" i="1" l="1"/>
  <c r="AJ251" i="1"/>
  <c r="AH251" i="1"/>
  <c r="AC251" i="1"/>
  <c r="AL251" i="1"/>
  <c r="AI251" i="1"/>
  <c r="AD251" i="1"/>
  <c r="AG251" i="1"/>
  <c r="AN251" i="1"/>
  <c r="AK251" i="1"/>
  <c r="AF251" i="1"/>
  <c r="AE251" i="1"/>
  <c r="AM251" i="1"/>
  <c r="AB253" i="1" l="1"/>
  <c r="AJ252" i="1"/>
  <c r="AH252" i="1"/>
  <c r="AC252" i="1"/>
  <c r="AD252" i="1"/>
  <c r="AE252" i="1"/>
  <c r="AL252" i="1"/>
  <c r="AG252" i="1"/>
  <c r="AN252" i="1"/>
  <c r="AF252" i="1"/>
  <c r="AM252" i="1"/>
  <c r="AI252" i="1"/>
  <c r="AK252" i="1"/>
  <c r="AB254" i="1" l="1"/>
  <c r="AJ253" i="1"/>
  <c r="AH253" i="1"/>
  <c r="AC253" i="1"/>
  <c r="AD253" i="1"/>
  <c r="AL253" i="1"/>
  <c r="AK253" i="1"/>
  <c r="AI253" i="1"/>
  <c r="AF253" i="1"/>
  <c r="AM253" i="1"/>
  <c r="AG253" i="1"/>
  <c r="AE253" i="1"/>
  <c r="AN253" i="1"/>
  <c r="AB255" i="1" l="1"/>
  <c r="AJ254" i="1"/>
  <c r="AH254" i="1"/>
  <c r="AC254" i="1"/>
  <c r="AD254" i="1"/>
  <c r="AE254" i="1"/>
  <c r="AN254" i="1"/>
  <c r="AL254" i="1"/>
  <c r="AI254" i="1"/>
  <c r="AM254" i="1"/>
  <c r="AG254" i="1"/>
  <c r="AF254" i="1"/>
  <c r="AK254" i="1"/>
  <c r="AB256" i="1" l="1"/>
  <c r="AJ255" i="1"/>
  <c r="AH255" i="1"/>
  <c r="AC255" i="1"/>
  <c r="AD255" i="1"/>
  <c r="AE255" i="1"/>
  <c r="AL255" i="1"/>
  <c r="AK255" i="1"/>
  <c r="AF255" i="1"/>
  <c r="AM255" i="1"/>
  <c r="AN255" i="1"/>
  <c r="AG255" i="1"/>
  <c r="AI255" i="1"/>
  <c r="AB257" i="1" l="1"/>
  <c r="AJ256" i="1"/>
  <c r="AH256" i="1"/>
  <c r="AC256" i="1"/>
  <c r="AD256" i="1"/>
  <c r="AE256" i="1"/>
  <c r="AG256" i="1"/>
  <c r="AN256" i="1"/>
  <c r="AF256" i="1"/>
  <c r="AM256" i="1"/>
  <c r="AI256" i="1"/>
  <c r="AL256" i="1"/>
  <c r="AK256" i="1"/>
  <c r="AB258" i="1" l="1"/>
  <c r="AJ257" i="1"/>
  <c r="AH257" i="1"/>
  <c r="AC257" i="1"/>
  <c r="AD257" i="1"/>
  <c r="AE257" i="1"/>
  <c r="AL257" i="1"/>
  <c r="AN257" i="1"/>
  <c r="AF257" i="1"/>
  <c r="AM257" i="1"/>
  <c r="AK257" i="1"/>
  <c r="AG257" i="1"/>
  <c r="AI257" i="1"/>
  <c r="AB259" i="1" l="1"/>
  <c r="AJ258" i="1"/>
  <c r="AH258" i="1"/>
  <c r="AC258" i="1"/>
  <c r="AD258" i="1"/>
  <c r="AL258" i="1"/>
  <c r="AN258" i="1"/>
  <c r="AI258" i="1"/>
  <c r="AF258" i="1"/>
  <c r="AE258" i="1"/>
  <c r="AG258" i="1"/>
  <c r="AK258" i="1"/>
  <c r="AM258" i="1"/>
  <c r="AB260" i="1" l="1"/>
  <c r="AJ259" i="1"/>
  <c r="AH259" i="1"/>
  <c r="AC259" i="1"/>
  <c r="AD259" i="1"/>
  <c r="AE259" i="1"/>
  <c r="AL259" i="1"/>
  <c r="AG259" i="1"/>
  <c r="AN259" i="1"/>
  <c r="AK259" i="1"/>
  <c r="AI259" i="1"/>
  <c r="AF259" i="1"/>
  <c r="AM259" i="1"/>
  <c r="AB261" i="1" l="1"/>
  <c r="AJ260" i="1"/>
  <c r="AH260" i="1"/>
  <c r="AC260" i="1"/>
  <c r="AD260" i="1"/>
  <c r="AL260" i="1"/>
  <c r="AG260" i="1"/>
  <c r="AK260" i="1"/>
  <c r="AI260" i="1"/>
  <c r="AF260" i="1"/>
  <c r="AE260" i="1"/>
  <c r="AN260" i="1"/>
  <c r="AM260" i="1"/>
  <c r="AB262" i="1" l="1"/>
  <c r="AJ261" i="1"/>
  <c r="AH261" i="1"/>
  <c r="AC261" i="1"/>
  <c r="AD261" i="1"/>
  <c r="AE261" i="1"/>
  <c r="AG261" i="1"/>
  <c r="AN261" i="1"/>
  <c r="AK261" i="1"/>
  <c r="AI261" i="1"/>
  <c r="AM261" i="1"/>
  <c r="AL261" i="1"/>
  <c r="AF261" i="1"/>
  <c r="AB263" i="1" l="1"/>
  <c r="AJ262" i="1"/>
  <c r="AH262" i="1"/>
  <c r="AC262" i="1"/>
  <c r="AD262" i="1"/>
  <c r="AE262" i="1"/>
  <c r="AG262" i="1"/>
  <c r="AL262" i="1"/>
  <c r="AN262" i="1"/>
  <c r="AI262" i="1"/>
  <c r="AM262" i="1"/>
  <c r="AK262" i="1"/>
  <c r="AF262" i="1"/>
  <c r="AB264" i="1" l="1"/>
  <c r="AJ263" i="1"/>
  <c r="AH263" i="1"/>
  <c r="AC263" i="1"/>
  <c r="AE263" i="1"/>
  <c r="AL263" i="1"/>
  <c r="AK263" i="1"/>
  <c r="AM263" i="1"/>
  <c r="AD263" i="1"/>
  <c r="AN263" i="1"/>
  <c r="AI263" i="1"/>
  <c r="AF263" i="1"/>
  <c r="AG263" i="1"/>
  <c r="AB265" i="1" l="1"/>
  <c r="AJ264" i="1"/>
  <c r="AH264" i="1"/>
  <c r="AC264" i="1"/>
  <c r="AD264" i="1"/>
  <c r="AL264" i="1"/>
  <c r="AK264" i="1"/>
  <c r="AI264" i="1"/>
  <c r="AF264" i="1"/>
  <c r="AE264" i="1"/>
  <c r="AN264" i="1"/>
  <c r="AG264" i="1"/>
  <c r="AM264" i="1"/>
  <c r="AB266" i="1" l="1"/>
  <c r="AJ265" i="1"/>
  <c r="AH265" i="1"/>
  <c r="AC265" i="1"/>
  <c r="AE265" i="1"/>
  <c r="AF265" i="1"/>
  <c r="AM265" i="1"/>
  <c r="AD265" i="1"/>
  <c r="AG265" i="1"/>
  <c r="AK265" i="1"/>
  <c r="AI265" i="1"/>
  <c r="AL265" i="1"/>
  <c r="AN265" i="1"/>
  <c r="AB267" i="1" l="1"/>
  <c r="AJ266" i="1"/>
  <c r="AH266" i="1"/>
  <c r="AC266" i="1"/>
  <c r="AD266" i="1"/>
  <c r="AL266" i="1"/>
  <c r="AG266" i="1"/>
  <c r="AK266" i="1"/>
  <c r="AI266" i="1"/>
  <c r="AM266" i="1"/>
  <c r="AF266" i="1"/>
  <c r="AE266" i="1"/>
  <c r="AN266" i="1"/>
  <c r="AB268" i="1" l="1"/>
  <c r="AJ267" i="1"/>
  <c r="AH267" i="1"/>
  <c r="AC267" i="1"/>
  <c r="AD267" i="1"/>
  <c r="AL267" i="1"/>
  <c r="AG267" i="1"/>
  <c r="AN267" i="1"/>
  <c r="AE267" i="1"/>
  <c r="AK267" i="1"/>
  <c r="AI267" i="1"/>
  <c r="AF267" i="1"/>
  <c r="AM267" i="1"/>
  <c r="AB269" i="1" l="1"/>
  <c r="AJ268" i="1"/>
  <c r="AH268" i="1"/>
  <c r="AC268" i="1"/>
  <c r="AD268" i="1"/>
  <c r="AE268" i="1"/>
  <c r="AK268" i="1"/>
  <c r="AI268" i="1"/>
  <c r="AM268" i="1"/>
  <c r="AG268" i="1"/>
  <c r="AF268" i="1"/>
  <c r="AL268" i="1"/>
  <c r="AN268" i="1"/>
  <c r="AB270" i="1" l="1"/>
  <c r="AJ269" i="1"/>
  <c r="AH269" i="1"/>
  <c r="AC269" i="1"/>
  <c r="AE269" i="1"/>
  <c r="AG269" i="1"/>
  <c r="AN269" i="1"/>
  <c r="AD269" i="1"/>
  <c r="AF269" i="1"/>
  <c r="AL269" i="1"/>
  <c r="AK269" i="1"/>
  <c r="AI269" i="1"/>
  <c r="AM269" i="1"/>
  <c r="AB271" i="1" l="1"/>
  <c r="AJ270" i="1"/>
  <c r="AH270" i="1"/>
  <c r="AC270" i="1"/>
  <c r="AD270" i="1"/>
  <c r="AG270" i="1"/>
  <c r="AF270" i="1"/>
  <c r="AM270" i="1"/>
  <c r="AE270" i="1"/>
  <c r="AK270" i="1"/>
  <c r="AI270" i="1"/>
  <c r="AN270" i="1"/>
  <c r="AL270" i="1"/>
  <c r="AB272" i="1" l="1"/>
  <c r="AJ271" i="1"/>
  <c r="AH271" i="1"/>
  <c r="AC271" i="1"/>
  <c r="AD271" i="1"/>
  <c r="AE271" i="1"/>
  <c r="AL271" i="1"/>
  <c r="AG271" i="1"/>
  <c r="AN271" i="1"/>
  <c r="AI271" i="1"/>
  <c r="AF271" i="1"/>
  <c r="AK271" i="1"/>
  <c r="AM271" i="1"/>
  <c r="AB273" i="1" l="1"/>
  <c r="AJ272" i="1"/>
  <c r="AH272" i="1"/>
  <c r="AC272" i="1"/>
  <c r="AD272" i="1"/>
  <c r="AL272" i="1"/>
  <c r="AG272" i="1"/>
  <c r="AK272" i="1"/>
  <c r="AM272" i="1"/>
  <c r="AF272" i="1"/>
  <c r="AE272" i="1"/>
  <c r="AN272" i="1"/>
  <c r="AI272" i="1"/>
  <c r="AB274" i="1" l="1"/>
  <c r="AJ273" i="1"/>
  <c r="AH273" i="1"/>
  <c r="AC273" i="1"/>
  <c r="AD273" i="1"/>
  <c r="AL273" i="1"/>
  <c r="AG273" i="1"/>
  <c r="AK273" i="1"/>
  <c r="AI273" i="1"/>
  <c r="AM273" i="1"/>
  <c r="AE273" i="1"/>
  <c r="AN273" i="1"/>
  <c r="AF273" i="1"/>
  <c r="AB275" i="1" l="1"/>
  <c r="AJ274" i="1"/>
  <c r="AD274" i="1"/>
  <c r="AE274" i="1"/>
  <c r="AL274" i="1"/>
  <c r="AG274" i="1"/>
  <c r="AN274" i="1"/>
  <c r="AK274" i="1"/>
  <c r="AI274" i="1"/>
  <c r="AF274" i="1"/>
  <c r="AM274" i="1"/>
  <c r="AH274" i="1"/>
  <c r="AC274" i="1"/>
  <c r="AB276" i="1" l="1"/>
  <c r="AJ275" i="1"/>
  <c r="AH275" i="1"/>
  <c r="AC275" i="1"/>
  <c r="AL275" i="1"/>
  <c r="AN275" i="1"/>
  <c r="AI275" i="1"/>
  <c r="AF275" i="1"/>
  <c r="AM275" i="1"/>
  <c r="AD275" i="1"/>
  <c r="AE275" i="1"/>
  <c r="AG275" i="1"/>
  <c r="AK275" i="1"/>
  <c r="AB277" i="1" l="1"/>
  <c r="AJ276" i="1"/>
  <c r="AH276" i="1"/>
  <c r="AC276" i="1"/>
  <c r="AE276" i="1"/>
  <c r="AG276" i="1"/>
  <c r="AN276" i="1"/>
  <c r="AK276" i="1"/>
  <c r="AF276" i="1"/>
  <c r="AD276" i="1"/>
  <c r="AI276" i="1"/>
  <c r="AM276" i="1"/>
  <c r="AL276" i="1"/>
  <c r="AB278" i="1" l="1"/>
  <c r="AJ277" i="1"/>
  <c r="AH277" i="1"/>
  <c r="AC277" i="1"/>
  <c r="AD277" i="1"/>
  <c r="AE277" i="1"/>
  <c r="AG277" i="1"/>
  <c r="AK277" i="1"/>
  <c r="AL277" i="1"/>
  <c r="AI277" i="1"/>
  <c r="AF277" i="1"/>
  <c r="AM277" i="1"/>
  <c r="AN277" i="1"/>
  <c r="AB279" i="1" l="1"/>
  <c r="AJ278" i="1"/>
  <c r="AH278" i="1"/>
  <c r="AC278" i="1"/>
  <c r="AL278" i="1"/>
  <c r="AI278" i="1"/>
  <c r="AM278" i="1"/>
  <c r="AD278" i="1"/>
  <c r="AE278" i="1"/>
  <c r="AG278" i="1"/>
  <c r="AN278" i="1"/>
  <c r="AF278" i="1"/>
  <c r="AK278" i="1"/>
  <c r="AB280" i="1" l="1"/>
  <c r="AJ279" i="1"/>
  <c r="AH279" i="1"/>
  <c r="AC279" i="1"/>
  <c r="AD279" i="1"/>
  <c r="AE279" i="1"/>
  <c r="AG279" i="1"/>
  <c r="AL279" i="1"/>
  <c r="AK279" i="1"/>
  <c r="AI279" i="1"/>
  <c r="AM279" i="1"/>
  <c r="AN279" i="1"/>
  <c r="AF279" i="1"/>
  <c r="AB281" i="1" l="1"/>
  <c r="AJ280" i="1"/>
  <c r="AH280" i="1"/>
  <c r="AC280" i="1"/>
  <c r="AE280" i="1"/>
  <c r="AG280" i="1"/>
  <c r="AD280" i="1"/>
  <c r="AL280" i="1"/>
  <c r="AN280" i="1"/>
  <c r="AI280" i="1"/>
  <c r="AF280" i="1"/>
  <c r="AM280" i="1"/>
  <c r="AK280" i="1"/>
  <c r="AB282" i="1" l="1"/>
  <c r="AJ281" i="1"/>
  <c r="AH281" i="1"/>
  <c r="AC281" i="1"/>
  <c r="AD281" i="1"/>
  <c r="AE281" i="1"/>
  <c r="AG281" i="1"/>
  <c r="AN281" i="1"/>
  <c r="AM281" i="1"/>
  <c r="AL281" i="1"/>
  <c r="AK281" i="1"/>
  <c r="AI281" i="1"/>
  <c r="AF281" i="1"/>
  <c r="AB283" i="1" l="1"/>
  <c r="AJ282" i="1"/>
  <c r="AH282" i="1"/>
  <c r="AC282" i="1"/>
  <c r="AG282" i="1"/>
  <c r="AN282" i="1"/>
  <c r="AK282" i="1"/>
  <c r="AF282" i="1"/>
  <c r="AD282" i="1"/>
  <c r="AE282" i="1"/>
  <c r="AL282" i="1"/>
  <c r="AI282" i="1"/>
  <c r="AM282" i="1"/>
  <c r="AB284" i="1" l="1"/>
  <c r="AJ283" i="1"/>
  <c r="AH283" i="1"/>
  <c r="AC283" i="1"/>
  <c r="AD283" i="1"/>
  <c r="AL283" i="1"/>
  <c r="AN283" i="1"/>
  <c r="AK283" i="1"/>
  <c r="AI283" i="1"/>
  <c r="AF283" i="1"/>
  <c r="AG283" i="1"/>
  <c r="AM283" i="1"/>
  <c r="AE283" i="1"/>
  <c r="AB285" i="1" l="1"/>
  <c r="AJ284" i="1"/>
  <c r="AD284" i="1"/>
  <c r="AE284" i="1"/>
  <c r="AL284" i="1"/>
  <c r="AK284" i="1"/>
  <c r="AF284" i="1"/>
  <c r="AH284" i="1"/>
  <c r="AC284" i="1"/>
  <c r="AG284" i="1"/>
  <c r="AI284" i="1"/>
  <c r="AN284" i="1"/>
  <c r="AM284" i="1"/>
  <c r="AB286" i="1" l="1"/>
  <c r="AJ285" i="1"/>
  <c r="AH285" i="1"/>
  <c r="AC285" i="1"/>
  <c r="AE285" i="1"/>
  <c r="AL285" i="1"/>
  <c r="AG285" i="1"/>
  <c r="AN285" i="1"/>
  <c r="AF285" i="1"/>
  <c r="AD285" i="1"/>
  <c r="AK285" i="1"/>
  <c r="AI285" i="1"/>
  <c r="AM285" i="1"/>
  <c r="AB287" i="1" l="1"/>
  <c r="AJ286" i="1"/>
  <c r="AH286" i="1"/>
  <c r="AC286" i="1"/>
  <c r="AL286" i="1"/>
  <c r="AG286" i="1"/>
  <c r="AN286" i="1"/>
  <c r="AI286" i="1"/>
  <c r="AF286" i="1"/>
  <c r="AM286" i="1"/>
  <c r="AD286" i="1"/>
  <c r="AE286" i="1"/>
  <c r="AK286" i="1"/>
  <c r="AB288" i="1" l="1"/>
  <c r="AJ287" i="1"/>
  <c r="AH287" i="1"/>
  <c r="AC287" i="1"/>
  <c r="AE287" i="1"/>
  <c r="AL287" i="1"/>
  <c r="AG287" i="1"/>
  <c r="AN287" i="1"/>
  <c r="AK287" i="1"/>
  <c r="AI287" i="1"/>
  <c r="AM287" i="1"/>
  <c r="AD287" i="1"/>
  <c r="AF287" i="1"/>
  <c r="AB289" i="1" l="1"/>
  <c r="AJ288" i="1"/>
  <c r="AH288" i="1"/>
  <c r="AC288" i="1"/>
  <c r="AD288" i="1"/>
  <c r="AE288" i="1"/>
  <c r="AL288" i="1"/>
  <c r="AG288" i="1"/>
  <c r="AK288" i="1"/>
  <c r="AI288" i="1"/>
  <c r="AF288" i="1"/>
  <c r="AM288" i="1"/>
  <c r="AN288" i="1"/>
  <c r="AB290" i="1" l="1"/>
  <c r="AJ289" i="1"/>
  <c r="AH289" i="1"/>
  <c r="AC289" i="1"/>
  <c r="AD289" i="1"/>
  <c r="AE289" i="1"/>
  <c r="AL289" i="1"/>
  <c r="AK289" i="1"/>
  <c r="AI289" i="1"/>
  <c r="AM289" i="1"/>
  <c r="AG289" i="1"/>
  <c r="AF289" i="1"/>
  <c r="AN289" i="1"/>
  <c r="AB291" i="1" l="1"/>
  <c r="AJ290" i="1"/>
  <c r="AH290" i="1"/>
  <c r="AC290" i="1"/>
  <c r="AD290" i="1"/>
  <c r="AL290" i="1"/>
  <c r="AG290" i="1"/>
  <c r="AN290" i="1"/>
  <c r="AK290" i="1"/>
  <c r="AI290" i="1"/>
  <c r="AE290" i="1"/>
  <c r="AM290" i="1"/>
  <c r="AF290" i="1"/>
  <c r="AB292" i="1" l="1"/>
  <c r="AJ291" i="1"/>
  <c r="AH291" i="1"/>
  <c r="AC291" i="1"/>
  <c r="AD291" i="1"/>
  <c r="AL291" i="1"/>
  <c r="AF291" i="1"/>
  <c r="AM291" i="1"/>
  <c r="AE291" i="1"/>
  <c r="AK291" i="1"/>
  <c r="AI291" i="1"/>
  <c r="AN291" i="1"/>
  <c r="AG291" i="1"/>
  <c r="AB293" i="1" l="1"/>
  <c r="AJ292" i="1"/>
  <c r="AH292" i="1"/>
  <c r="AC292" i="1"/>
  <c r="AD292" i="1"/>
  <c r="AL292" i="1"/>
  <c r="AN292" i="1"/>
  <c r="AK292" i="1"/>
  <c r="AG292" i="1"/>
  <c r="AF292" i="1"/>
  <c r="AE292" i="1"/>
  <c r="AI292" i="1"/>
  <c r="AM292" i="1"/>
  <c r="AB294" i="1" l="1"/>
  <c r="AJ293" i="1"/>
  <c r="AH293" i="1"/>
  <c r="AC293" i="1"/>
  <c r="AD293" i="1"/>
  <c r="AE293" i="1"/>
  <c r="AN293" i="1"/>
  <c r="AK293" i="1"/>
  <c r="AF293" i="1"/>
  <c r="AG293" i="1"/>
  <c r="AI293" i="1"/>
  <c r="AL293" i="1"/>
  <c r="AM293" i="1"/>
  <c r="AB295" i="1" l="1"/>
  <c r="AJ294" i="1"/>
  <c r="AH294" i="1"/>
  <c r="AC294" i="1"/>
  <c r="AD294" i="1"/>
  <c r="AE294" i="1"/>
  <c r="AL294" i="1"/>
  <c r="AN294" i="1"/>
  <c r="AK294" i="1"/>
  <c r="AI294" i="1"/>
  <c r="AF294" i="1"/>
  <c r="AG294" i="1"/>
  <c r="AM294" i="1"/>
  <c r="AB296" i="1" l="1"/>
  <c r="AJ295" i="1"/>
  <c r="AH295" i="1"/>
  <c r="AC295" i="1"/>
  <c r="AN295" i="1"/>
  <c r="AD295" i="1"/>
  <c r="AE295" i="1"/>
  <c r="AL295" i="1"/>
  <c r="AG295" i="1"/>
  <c r="AK295" i="1"/>
  <c r="AI295" i="1"/>
  <c r="AF295" i="1"/>
  <c r="AM295" i="1"/>
  <c r="AB297" i="1" l="1"/>
  <c r="AJ296" i="1"/>
  <c r="AH296" i="1"/>
  <c r="AC296" i="1"/>
  <c r="AD296" i="1"/>
  <c r="AE296" i="1"/>
  <c r="AL296" i="1"/>
  <c r="AF296" i="1"/>
  <c r="AM296" i="1"/>
  <c r="AI296" i="1"/>
  <c r="AK296" i="1"/>
  <c r="AG296" i="1"/>
  <c r="AN296" i="1"/>
  <c r="AB298" i="1" l="1"/>
  <c r="AJ297" i="1"/>
  <c r="AH297" i="1"/>
  <c r="AC297" i="1"/>
  <c r="AE297" i="1"/>
  <c r="AG297" i="1"/>
  <c r="AI297" i="1"/>
  <c r="AD297" i="1"/>
  <c r="AL297" i="1"/>
  <c r="AN297" i="1"/>
  <c r="AF297" i="1"/>
  <c r="AK297" i="1"/>
  <c r="AM297" i="1"/>
  <c r="AB299" i="1" l="1"/>
  <c r="AJ298" i="1"/>
  <c r="AH298" i="1"/>
  <c r="AC298" i="1"/>
  <c r="AD298" i="1"/>
  <c r="AG298" i="1"/>
  <c r="AN298" i="1"/>
  <c r="AF298" i="1"/>
  <c r="AE298" i="1"/>
  <c r="AK298" i="1"/>
  <c r="AI298" i="1"/>
  <c r="AM298" i="1"/>
  <c r="AL298" i="1"/>
  <c r="AB300" i="1" l="1"/>
  <c r="AJ299" i="1"/>
  <c r="AH299" i="1"/>
  <c r="AC299" i="1"/>
  <c r="AD299" i="1"/>
  <c r="AL299" i="1"/>
  <c r="AF299" i="1"/>
  <c r="AE299" i="1"/>
  <c r="AG299" i="1"/>
  <c r="AK299" i="1"/>
  <c r="AI299" i="1"/>
  <c r="AM299" i="1"/>
  <c r="AN299" i="1"/>
  <c r="AB301" i="1" l="1"/>
  <c r="AJ300" i="1"/>
  <c r="AH300" i="1"/>
  <c r="AC300" i="1"/>
  <c r="AD300" i="1"/>
  <c r="AE300" i="1"/>
  <c r="AG300" i="1"/>
  <c r="AL300" i="1"/>
  <c r="AN300" i="1"/>
  <c r="AI300" i="1"/>
  <c r="AM300" i="1"/>
  <c r="AK300" i="1"/>
  <c r="AF300" i="1"/>
  <c r="AB302" i="1" l="1"/>
  <c r="AJ301" i="1"/>
  <c r="AH301" i="1"/>
  <c r="AC301" i="1"/>
  <c r="AD301" i="1"/>
  <c r="AG301" i="1"/>
  <c r="AN301" i="1"/>
  <c r="AK301" i="1"/>
  <c r="AL301" i="1"/>
  <c r="AF301" i="1"/>
  <c r="AE301" i="1"/>
  <c r="AI301" i="1"/>
  <c r="AM301" i="1"/>
  <c r="AB303" i="1" l="1"/>
  <c r="AJ302" i="1"/>
  <c r="AH302" i="1"/>
  <c r="AC302" i="1"/>
  <c r="AD302" i="1"/>
  <c r="AE302" i="1"/>
  <c r="AG302" i="1"/>
  <c r="AK302" i="1"/>
  <c r="AI302" i="1"/>
  <c r="AF302" i="1"/>
  <c r="AM302" i="1"/>
  <c r="AL302" i="1"/>
  <c r="AN302" i="1"/>
  <c r="AB304" i="1" l="1"/>
  <c r="AJ303" i="1"/>
  <c r="AH303" i="1"/>
  <c r="AC303" i="1"/>
  <c r="AD303" i="1"/>
  <c r="AL303" i="1"/>
  <c r="AG303" i="1"/>
  <c r="AN303" i="1"/>
  <c r="AF303" i="1"/>
  <c r="AM303" i="1"/>
  <c r="AK303" i="1"/>
  <c r="AE303" i="1"/>
  <c r="AI303" i="1"/>
  <c r="AB305" i="1" l="1"/>
  <c r="AJ304" i="1"/>
  <c r="AH304" i="1"/>
  <c r="AC304" i="1"/>
  <c r="AE304" i="1"/>
  <c r="AG304" i="1"/>
  <c r="AN304" i="1"/>
  <c r="AK304" i="1"/>
  <c r="AF304" i="1"/>
  <c r="AM304" i="1"/>
  <c r="AD304" i="1"/>
  <c r="AL304" i="1"/>
  <c r="AI304" i="1"/>
  <c r="AB306" i="1" l="1"/>
  <c r="AJ305" i="1"/>
  <c r="AH305" i="1"/>
  <c r="AC305" i="1"/>
  <c r="AD305" i="1"/>
  <c r="AL305" i="1"/>
  <c r="AG305" i="1"/>
  <c r="AN305" i="1"/>
  <c r="AM305" i="1"/>
  <c r="AE305" i="1"/>
  <c r="AK305" i="1"/>
  <c r="AI305" i="1"/>
  <c r="AF305" i="1"/>
  <c r="AB307" i="1" l="1"/>
  <c r="AJ306" i="1"/>
  <c r="AH306" i="1"/>
  <c r="AC306" i="1"/>
  <c r="AD306" i="1"/>
  <c r="AE306" i="1"/>
  <c r="AL306" i="1"/>
  <c r="AN306" i="1"/>
  <c r="AK306" i="1"/>
  <c r="AI306" i="1"/>
  <c r="AM306" i="1"/>
  <c r="AG306" i="1"/>
  <c r="AF306" i="1"/>
  <c r="AB308" i="1" l="1"/>
  <c r="AJ307" i="1"/>
  <c r="AH307" i="1"/>
  <c r="AC307" i="1"/>
  <c r="AE307" i="1"/>
  <c r="AL307" i="1"/>
  <c r="AG307" i="1"/>
  <c r="AK307" i="1"/>
  <c r="AI307" i="1"/>
  <c r="AM307" i="1"/>
  <c r="AD307" i="1"/>
  <c r="AN307" i="1"/>
  <c r="AF307" i="1"/>
  <c r="AB309" i="1" l="1"/>
  <c r="AJ308" i="1"/>
  <c r="AH308" i="1"/>
  <c r="AC308" i="1"/>
  <c r="AD308" i="1"/>
  <c r="AE308" i="1"/>
  <c r="AG308" i="1"/>
  <c r="AK308" i="1"/>
  <c r="AI308" i="1"/>
  <c r="AF308" i="1"/>
  <c r="AL308" i="1"/>
  <c r="AN308" i="1"/>
  <c r="AM308" i="1"/>
  <c r="AB310" i="1" l="1"/>
  <c r="AJ309" i="1"/>
  <c r="AH309" i="1"/>
  <c r="AC309" i="1"/>
  <c r="AE309" i="1"/>
  <c r="AG309" i="1"/>
  <c r="AN309" i="1"/>
  <c r="AM309" i="1"/>
  <c r="AD309" i="1"/>
  <c r="AK309" i="1"/>
  <c r="AF309" i="1"/>
  <c r="AI309" i="1"/>
  <c r="AL309" i="1"/>
  <c r="AB311" i="1" l="1"/>
  <c r="AJ310" i="1"/>
  <c r="AH310" i="1"/>
  <c r="AC310" i="1"/>
  <c r="AD310" i="1"/>
  <c r="AE310" i="1"/>
  <c r="AG310" i="1"/>
  <c r="AK310" i="1"/>
  <c r="AI310" i="1"/>
  <c r="AF310" i="1"/>
  <c r="AM310" i="1"/>
  <c r="AN310" i="1"/>
  <c r="AL310" i="1"/>
  <c r="AB312" i="1" l="1"/>
  <c r="AJ311" i="1"/>
  <c r="AH311" i="1"/>
  <c r="AC311" i="1"/>
  <c r="AE311" i="1"/>
  <c r="AD311" i="1"/>
  <c r="AL311" i="1"/>
  <c r="AK311" i="1"/>
  <c r="AI311" i="1"/>
  <c r="AF311" i="1"/>
  <c r="AG311" i="1"/>
  <c r="AM311" i="1"/>
  <c r="AN311" i="1"/>
  <c r="AB313" i="1" l="1"/>
  <c r="AJ312" i="1"/>
  <c r="AH312" i="1"/>
  <c r="AC312" i="1"/>
  <c r="AN312" i="1"/>
  <c r="AD312" i="1"/>
  <c r="AE312" i="1"/>
  <c r="AL312" i="1"/>
  <c r="AG312" i="1"/>
  <c r="AI312" i="1"/>
  <c r="AF312" i="1"/>
  <c r="AM312" i="1"/>
  <c r="AK312" i="1"/>
  <c r="AB314" i="1" l="1"/>
  <c r="AJ313" i="1"/>
  <c r="AH313" i="1"/>
  <c r="AC313" i="1"/>
  <c r="AD313" i="1"/>
  <c r="AG313" i="1"/>
  <c r="AN313" i="1"/>
  <c r="AI313" i="1"/>
  <c r="AE313" i="1"/>
  <c r="AF313" i="1"/>
  <c r="AM313" i="1"/>
  <c r="AL313" i="1"/>
  <c r="AK313" i="1"/>
  <c r="AB315" i="1" l="1"/>
  <c r="AJ314" i="1"/>
  <c r="AH314" i="1"/>
  <c r="AC314" i="1"/>
  <c r="AE314" i="1"/>
  <c r="AK314" i="1"/>
  <c r="AF314" i="1"/>
  <c r="AD314" i="1"/>
  <c r="AG314" i="1"/>
  <c r="AN314" i="1"/>
  <c r="AM314" i="1"/>
  <c r="AI314" i="1"/>
  <c r="AL314" i="1"/>
  <c r="AB316" i="1" l="1"/>
  <c r="AJ315" i="1"/>
  <c r="AH315" i="1"/>
  <c r="AC315" i="1"/>
  <c r="AE315" i="1"/>
  <c r="AF315" i="1"/>
  <c r="AM315" i="1"/>
  <c r="AD315" i="1"/>
  <c r="AL315" i="1"/>
  <c r="AG315" i="1"/>
  <c r="AK315" i="1"/>
  <c r="AI315" i="1"/>
  <c r="AN315" i="1"/>
  <c r="AB317" i="1" l="1"/>
  <c r="AJ316" i="1"/>
  <c r="AH316" i="1"/>
  <c r="AC316" i="1"/>
  <c r="AE316" i="1"/>
  <c r="AL316" i="1"/>
  <c r="AN316" i="1"/>
  <c r="AI316" i="1"/>
  <c r="AD316" i="1"/>
  <c r="AG316" i="1"/>
  <c r="AF316" i="1"/>
  <c r="AM316" i="1"/>
  <c r="AK316" i="1"/>
  <c r="AB318" i="1" l="1"/>
  <c r="AJ317" i="1"/>
  <c r="AH317" i="1"/>
  <c r="AC317" i="1"/>
  <c r="AN317" i="1"/>
  <c r="AD317" i="1"/>
  <c r="AE317" i="1"/>
  <c r="AL317" i="1"/>
  <c r="AG317" i="1"/>
  <c r="AI317" i="1"/>
  <c r="AF317" i="1"/>
  <c r="AM317" i="1"/>
  <c r="AK317" i="1"/>
  <c r="AB319" i="1" l="1"/>
  <c r="AJ318" i="1"/>
  <c r="AH318" i="1"/>
  <c r="AC318" i="1"/>
  <c r="AN318" i="1"/>
  <c r="AI318" i="1"/>
  <c r="AD318" i="1"/>
  <c r="AE318" i="1"/>
  <c r="AL318" i="1"/>
  <c r="AG318" i="1"/>
  <c r="AM318" i="1"/>
  <c r="AK318" i="1"/>
  <c r="AF318" i="1"/>
  <c r="AB320" i="1" l="1"/>
  <c r="AJ319" i="1"/>
  <c r="AH319" i="1"/>
  <c r="AC319" i="1"/>
  <c r="AD319" i="1"/>
  <c r="AE319" i="1"/>
  <c r="AG319" i="1"/>
  <c r="AN319" i="1"/>
  <c r="AK319" i="1"/>
  <c r="AL319" i="1"/>
  <c r="AM319" i="1"/>
  <c r="AF319" i="1"/>
  <c r="AI319" i="1"/>
  <c r="AB321" i="1" l="1"/>
  <c r="AJ320" i="1"/>
  <c r="AH320" i="1"/>
  <c r="AC320" i="1"/>
  <c r="AE320" i="1"/>
  <c r="AK320" i="1"/>
  <c r="AF320" i="1"/>
  <c r="AD320" i="1"/>
  <c r="AN320" i="1"/>
  <c r="AM320" i="1"/>
  <c r="AL320" i="1"/>
  <c r="AI320" i="1"/>
  <c r="AG320" i="1"/>
  <c r="AB322" i="1" l="1"/>
  <c r="AJ321" i="1"/>
  <c r="AH321" i="1"/>
  <c r="AC321" i="1"/>
  <c r="AG321" i="1"/>
  <c r="AK321" i="1"/>
  <c r="AI321" i="1"/>
  <c r="AD321" i="1"/>
  <c r="AE321" i="1"/>
  <c r="AN321" i="1"/>
  <c r="AF321" i="1"/>
  <c r="AM321" i="1"/>
  <c r="AL321" i="1"/>
  <c r="AB323" i="1" l="1"/>
  <c r="AJ322" i="1"/>
  <c r="AH322" i="1"/>
  <c r="AC322" i="1"/>
  <c r="AG322" i="1"/>
  <c r="AN322" i="1"/>
  <c r="AI322" i="1"/>
  <c r="AD322" i="1"/>
  <c r="AM322" i="1"/>
  <c r="AE322" i="1"/>
  <c r="AK322" i="1"/>
  <c r="AF322" i="1"/>
  <c r="AL322" i="1"/>
  <c r="AB324" i="1" l="1"/>
  <c r="AJ323" i="1"/>
  <c r="AH323" i="1"/>
  <c r="AC323" i="1"/>
  <c r="AE323" i="1"/>
  <c r="AG323" i="1"/>
  <c r="AI323" i="1"/>
  <c r="AD323" i="1"/>
  <c r="AK323" i="1"/>
  <c r="AF323" i="1"/>
  <c r="AM323" i="1"/>
  <c r="AN323" i="1"/>
  <c r="AL323" i="1"/>
  <c r="AB325" i="1" l="1"/>
  <c r="AJ324" i="1"/>
  <c r="AH324" i="1"/>
  <c r="AC324" i="1"/>
  <c r="AG324" i="1"/>
  <c r="AN324" i="1"/>
  <c r="AM324" i="1"/>
  <c r="AD324" i="1"/>
  <c r="AK324" i="1"/>
  <c r="AI324" i="1"/>
  <c r="AF324" i="1"/>
  <c r="AE324" i="1"/>
  <c r="AL324" i="1"/>
  <c r="AB326" i="1" l="1"/>
  <c r="AJ325" i="1"/>
  <c r="AH325" i="1"/>
  <c r="AC325" i="1"/>
  <c r="AI325" i="1"/>
  <c r="AF325" i="1"/>
  <c r="AM325" i="1"/>
  <c r="AD325" i="1"/>
  <c r="AE325" i="1"/>
  <c r="AL325" i="1"/>
  <c r="AG325" i="1"/>
  <c r="AN325" i="1"/>
  <c r="AK325" i="1"/>
  <c r="AB327" i="1" l="1"/>
  <c r="AJ326" i="1"/>
  <c r="AH326" i="1"/>
  <c r="AC326" i="1"/>
  <c r="AG326" i="1"/>
  <c r="AN326" i="1"/>
  <c r="AF326" i="1"/>
  <c r="AM326" i="1"/>
  <c r="AD326" i="1"/>
  <c r="AL326" i="1"/>
  <c r="AE326" i="1"/>
  <c r="AK326" i="1"/>
  <c r="AI326" i="1"/>
  <c r="AB328" i="1" l="1"/>
  <c r="AJ327" i="1"/>
  <c r="AH327" i="1"/>
  <c r="AC327" i="1"/>
  <c r="AG327" i="1"/>
  <c r="AK327" i="1"/>
  <c r="AM327" i="1"/>
  <c r="AD327" i="1"/>
  <c r="AN327" i="1"/>
  <c r="AI327" i="1"/>
  <c r="AF327" i="1"/>
  <c r="AE327" i="1"/>
  <c r="AL327" i="1"/>
  <c r="AB329" i="1" l="1"/>
  <c r="AJ328" i="1"/>
  <c r="AH328" i="1"/>
  <c r="AC328" i="1"/>
  <c r="AG328" i="1"/>
  <c r="AN328" i="1"/>
  <c r="AI328" i="1"/>
  <c r="AF328" i="1"/>
  <c r="AD328" i="1"/>
  <c r="AL328" i="1"/>
  <c r="AK328" i="1"/>
  <c r="AM328" i="1"/>
  <c r="AE328" i="1"/>
  <c r="AB330" i="1" l="1"/>
  <c r="AJ329" i="1"/>
  <c r="AH329" i="1"/>
  <c r="AC329" i="1"/>
  <c r="AL329" i="1"/>
  <c r="AN329" i="1"/>
  <c r="AI329" i="1"/>
  <c r="AM329" i="1"/>
  <c r="AD329" i="1"/>
  <c r="AF329" i="1"/>
  <c r="AE329" i="1"/>
  <c r="AG329" i="1"/>
  <c r="AK329" i="1"/>
  <c r="AB331" i="1" l="1"/>
  <c r="AJ330" i="1"/>
  <c r="AH330" i="1"/>
  <c r="AC330" i="1"/>
  <c r="AE330" i="1"/>
  <c r="AG330" i="1"/>
  <c r="AK330" i="1"/>
  <c r="AM330" i="1"/>
  <c r="AD330" i="1"/>
  <c r="AL330" i="1"/>
  <c r="AI330" i="1"/>
  <c r="AF330" i="1"/>
  <c r="AN330" i="1"/>
  <c r="AB332" i="1" l="1"/>
  <c r="AJ331" i="1"/>
  <c r="AH331" i="1"/>
  <c r="AC331" i="1"/>
  <c r="AL331" i="1"/>
  <c r="AG331" i="1"/>
  <c r="AN331" i="1"/>
  <c r="AM331" i="1"/>
  <c r="AD331" i="1"/>
  <c r="AI331" i="1"/>
  <c r="AE331" i="1"/>
  <c r="AK331" i="1"/>
  <c r="AF331" i="1"/>
  <c r="AB333" i="1" l="1"/>
  <c r="AJ332" i="1"/>
  <c r="AH332" i="1"/>
  <c r="AC332" i="1"/>
  <c r="AE332" i="1"/>
  <c r="AL332" i="1"/>
  <c r="AG332" i="1"/>
  <c r="AK332" i="1"/>
  <c r="AI332" i="1"/>
  <c r="AF332" i="1"/>
  <c r="AM332" i="1"/>
  <c r="AD332" i="1"/>
  <c r="AN332" i="1"/>
  <c r="AB334" i="1" l="1"/>
  <c r="AJ333" i="1"/>
  <c r="AH333" i="1"/>
  <c r="AC333" i="1"/>
  <c r="AD333" i="1"/>
  <c r="AE333" i="1"/>
  <c r="AG333" i="1"/>
  <c r="AN333" i="1"/>
  <c r="AK333" i="1"/>
  <c r="AI333" i="1"/>
  <c r="AM333" i="1"/>
  <c r="AL333" i="1"/>
  <c r="AF333" i="1"/>
  <c r="AB335" i="1" l="1"/>
  <c r="AJ334" i="1"/>
  <c r="AH334" i="1"/>
  <c r="AC334" i="1"/>
  <c r="AE334" i="1"/>
  <c r="AL334" i="1"/>
  <c r="AK334" i="1"/>
  <c r="AD334" i="1"/>
  <c r="AG334" i="1"/>
  <c r="AI334" i="1"/>
  <c r="AF334" i="1"/>
  <c r="AM334" i="1"/>
  <c r="AN334" i="1"/>
  <c r="AB336" i="1" l="1"/>
  <c r="AJ335" i="1"/>
  <c r="AH335" i="1"/>
  <c r="AC335" i="1"/>
  <c r="AF335" i="1"/>
  <c r="AM335" i="1"/>
  <c r="AD335" i="1"/>
  <c r="AL335" i="1"/>
  <c r="AG335" i="1"/>
  <c r="AN335" i="1"/>
  <c r="AE335" i="1"/>
  <c r="AK335" i="1"/>
  <c r="AI335" i="1"/>
  <c r="AB337" i="1" l="1"/>
  <c r="AJ336" i="1"/>
  <c r="AH336" i="1"/>
  <c r="AC336" i="1"/>
  <c r="AE336" i="1"/>
  <c r="AD336" i="1"/>
  <c r="AL336" i="1"/>
  <c r="AK336" i="1"/>
  <c r="AI336" i="1"/>
  <c r="AF336" i="1"/>
  <c r="AG336" i="1"/>
  <c r="AM336" i="1"/>
  <c r="AN336" i="1"/>
  <c r="AB338" i="1" l="1"/>
  <c r="AJ337" i="1"/>
  <c r="AH337" i="1"/>
  <c r="AC337" i="1"/>
  <c r="AD337" i="1"/>
  <c r="AL337" i="1"/>
  <c r="AG337" i="1"/>
  <c r="AK337" i="1"/>
  <c r="AE337" i="1"/>
  <c r="AN337" i="1"/>
  <c r="AI337" i="1"/>
  <c r="AM337" i="1"/>
  <c r="AF337" i="1"/>
  <c r="AB339" i="1" l="1"/>
  <c r="AJ338" i="1"/>
  <c r="AH338" i="1"/>
  <c r="AC338" i="1"/>
  <c r="AE338" i="1"/>
  <c r="AI338" i="1"/>
  <c r="AD338" i="1"/>
  <c r="AG338" i="1"/>
  <c r="AN338" i="1"/>
  <c r="AK338" i="1"/>
  <c r="AF338" i="1"/>
  <c r="AM338" i="1"/>
  <c r="AL338" i="1"/>
  <c r="AB340" i="1" l="1"/>
  <c r="AJ339" i="1"/>
  <c r="AH339" i="1"/>
  <c r="AC339" i="1"/>
  <c r="AD339" i="1"/>
  <c r="AG339" i="1"/>
  <c r="AN339" i="1"/>
  <c r="AE339" i="1"/>
  <c r="AL339" i="1"/>
  <c r="AK339" i="1"/>
  <c r="AF339" i="1"/>
  <c r="AM339" i="1"/>
  <c r="AI339" i="1"/>
  <c r="AB341" i="1" l="1"/>
  <c r="AJ340" i="1"/>
  <c r="AH340" i="1"/>
  <c r="AC340" i="1"/>
  <c r="AG340" i="1"/>
  <c r="AF340" i="1"/>
  <c r="AD340" i="1"/>
  <c r="AL340" i="1"/>
  <c r="AN340" i="1"/>
  <c r="AE340" i="1"/>
  <c r="AK340" i="1"/>
  <c r="AI340" i="1"/>
  <c r="AM340" i="1"/>
  <c r="AB342" i="1" l="1"/>
  <c r="AJ341" i="1"/>
  <c r="AH341" i="1"/>
  <c r="AC341" i="1"/>
  <c r="AE341" i="1"/>
  <c r="AG341" i="1"/>
  <c r="AN341" i="1"/>
  <c r="AD341" i="1"/>
  <c r="AK341" i="1"/>
  <c r="AF341" i="1"/>
  <c r="AM341" i="1"/>
  <c r="AL341" i="1"/>
  <c r="AI341" i="1"/>
  <c r="AB343" i="1" l="1"/>
  <c r="AJ342" i="1"/>
  <c r="AH342" i="1"/>
  <c r="AC342" i="1"/>
  <c r="AN342" i="1"/>
  <c r="AF342" i="1"/>
  <c r="AM342" i="1"/>
  <c r="AD342" i="1"/>
  <c r="AE342" i="1"/>
  <c r="AL342" i="1"/>
  <c r="AG342" i="1"/>
  <c r="AI342" i="1"/>
  <c r="AK342" i="1"/>
  <c r="AB344" i="1" l="1"/>
  <c r="AJ343" i="1"/>
  <c r="AH343" i="1"/>
  <c r="AC343" i="1"/>
  <c r="AD343" i="1"/>
  <c r="AG343" i="1"/>
  <c r="AK343" i="1"/>
  <c r="AE343" i="1"/>
  <c r="AI343" i="1"/>
  <c r="AL343" i="1"/>
  <c r="AF343" i="1"/>
  <c r="AM343" i="1"/>
  <c r="AN343" i="1"/>
  <c r="AB345" i="1" l="1"/>
  <c r="AJ344" i="1"/>
  <c r="AH344" i="1"/>
  <c r="AC344" i="1"/>
  <c r="AE344" i="1"/>
  <c r="AD344" i="1"/>
  <c r="AG344" i="1"/>
  <c r="AN344" i="1"/>
  <c r="AI344" i="1"/>
  <c r="AF344" i="1"/>
  <c r="AM344" i="1"/>
  <c r="AK344" i="1"/>
  <c r="AL344" i="1"/>
  <c r="AB346" i="1" l="1"/>
  <c r="AJ345" i="1"/>
  <c r="AH345" i="1"/>
  <c r="AC345" i="1"/>
  <c r="AE345" i="1"/>
  <c r="AK345" i="1"/>
  <c r="AF345" i="1"/>
  <c r="AM345" i="1"/>
  <c r="AD345" i="1"/>
  <c r="AG345" i="1"/>
  <c r="AN345" i="1"/>
  <c r="AL345" i="1"/>
  <c r="AI345" i="1"/>
  <c r="AB347" i="1" l="1"/>
  <c r="AJ346" i="1"/>
  <c r="AH346" i="1"/>
  <c r="AC346" i="1"/>
  <c r="AL346" i="1"/>
  <c r="AF346" i="1"/>
  <c r="AM346" i="1"/>
  <c r="AD346" i="1"/>
  <c r="AE346" i="1"/>
  <c r="AG346" i="1"/>
  <c r="AI346" i="1"/>
  <c r="AN346" i="1"/>
  <c r="AK346" i="1"/>
  <c r="AB348" i="1" l="1"/>
  <c r="AJ347" i="1"/>
  <c r="AH347" i="1"/>
  <c r="AC347" i="1"/>
  <c r="AL347" i="1"/>
  <c r="AN347" i="1"/>
  <c r="AD347" i="1"/>
  <c r="AK347" i="1"/>
  <c r="AI347" i="1"/>
  <c r="AM347" i="1"/>
  <c r="AE347" i="1"/>
  <c r="AF347" i="1"/>
  <c r="AG347" i="1"/>
  <c r="AB349" i="1" l="1"/>
  <c r="AJ348" i="1"/>
  <c r="AH348" i="1"/>
  <c r="AC348" i="1"/>
  <c r="AE348" i="1"/>
  <c r="AG348" i="1"/>
  <c r="AN348" i="1"/>
  <c r="AM348" i="1"/>
  <c r="AD348" i="1"/>
  <c r="AK348" i="1"/>
  <c r="AI348" i="1"/>
  <c r="AF348" i="1"/>
  <c r="AL348" i="1"/>
  <c r="AB350" i="1" l="1"/>
  <c r="AJ349" i="1"/>
  <c r="AH349" i="1"/>
  <c r="AC349" i="1"/>
  <c r="AE349" i="1"/>
  <c r="AL349" i="1"/>
  <c r="AG349" i="1"/>
  <c r="AN349" i="1"/>
  <c r="AK349" i="1"/>
  <c r="AI349" i="1"/>
  <c r="AD349" i="1"/>
  <c r="AF349" i="1"/>
  <c r="AM349" i="1"/>
  <c r="AB351" i="1" l="1"/>
  <c r="AJ350" i="1"/>
  <c r="AH350" i="1"/>
  <c r="AC350" i="1"/>
  <c r="AL350" i="1"/>
  <c r="AG350" i="1"/>
  <c r="AK350" i="1"/>
  <c r="AM350" i="1"/>
  <c r="AD350" i="1"/>
  <c r="AI350" i="1"/>
  <c r="AE350" i="1"/>
  <c r="AF350" i="1"/>
  <c r="AN350" i="1"/>
  <c r="AB352" i="1" l="1"/>
  <c r="AJ351" i="1"/>
  <c r="AH351" i="1"/>
  <c r="AC351" i="1"/>
  <c r="AD351" i="1"/>
  <c r="AE351" i="1"/>
  <c r="AL351" i="1"/>
  <c r="AG351" i="1"/>
  <c r="AN351" i="1"/>
  <c r="AI351" i="1"/>
  <c r="AF351" i="1"/>
  <c r="AM351" i="1"/>
  <c r="AK351" i="1"/>
  <c r="AB353" i="1" l="1"/>
  <c r="AJ352" i="1"/>
  <c r="AH352" i="1"/>
  <c r="AC352" i="1"/>
  <c r="AE352" i="1"/>
  <c r="AG352" i="1"/>
  <c r="AD352" i="1"/>
  <c r="AL352" i="1"/>
  <c r="AK352" i="1"/>
  <c r="AI352" i="1"/>
  <c r="AM352" i="1"/>
  <c r="AF352" i="1"/>
  <c r="AN352" i="1"/>
  <c r="AB354" i="1" l="1"/>
  <c r="AJ353" i="1"/>
  <c r="AH353" i="1"/>
  <c r="AC353" i="1"/>
  <c r="AD353" i="1"/>
  <c r="AG353" i="1"/>
  <c r="AK353" i="1"/>
  <c r="AF353" i="1"/>
  <c r="AE353" i="1"/>
  <c r="AN353" i="1"/>
  <c r="AI353" i="1"/>
  <c r="AM353" i="1"/>
  <c r="AL353" i="1"/>
  <c r="AB355" i="1" l="1"/>
  <c r="AJ354" i="1"/>
  <c r="AH354" i="1"/>
  <c r="AC354" i="1"/>
  <c r="AD354" i="1"/>
  <c r="AE354" i="1"/>
  <c r="AG354" i="1"/>
  <c r="AI354" i="1"/>
  <c r="AL354" i="1"/>
  <c r="AK354" i="1"/>
  <c r="AM354" i="1"/>
  <c r="AN354" i="1"/>
  <c r="AF354" i="1"/>
  <c r="AB356" i="1" l="1"/>
  <c r="AJ355" i="1"/>
  <c r="AH355" i="1"/>
  <c r="AC355" i="1"/>
  <c r="AG355" i="1"/>
  <c r="AN355" i="1"/>
  <c r="AI355" i="1"/>
  <c r="AM355" i="1"/>
  <c r="AD355" i="1"/>
  <c r="AL355" i="1"/>
  <c r="AK355" i="1"/>
  <c r="AF355" i="1"/>
  <c r="AE355" i="1"/>
  <c r="AB357" i="1" l="1"/>
  <c r="AJ356" i="1"/>
  <c r="AH356" i="1"/>
  <c r="AC356" i="1"/>
  <c r="AD356" i="1"/>
  <c r="AE356" i="1"/>
  <c r="AL356" i="1"/>
  <c r="AG356" i="1"/>
  <c r="AK356" i="1"/>
  <c r="AI356" i="1"/>
  <c r="AF356" i="1"/>
  <c r="AM356" i="1"/>
  <c r="AN356" i="1"/>
  <c r="AB358" i="1" l="1"/>
  <c r="AJ357" i="1"/>
  <c r="AH357" i="1"/>
  <c r="AC357" i="1"/>
  <c r="AL357" i="1"/>
  <c r="AK357" i="1"/>
  <c r="AI357" i="1"/>
  <c r="AD357" i="1"/>
  <c r="AG357" i="1"/>
  <c r="AN357" i="1"/>
  <c r="AM357" i="1"/>
  <c r="AE357" i="1"/>
  <c r="AF357" i="1"/>
  <c r="AB359" i="1" l="1"/>
  <c r="AJ358" i="1"/>
  <c r="AH358" i="1"/>
  <c r="AC358" i="1"/>
  <c r="AE358" i="1"/>
  <c r="AD358" i="1"/>
  <c r="AL358" i="1"/>
  <c r="AN358" i="1"/>
  <c r="AK358" i="1"/>
  <c r="AI358" i="1"/>
  <c r="AF358" i="1"/>
  <c r="AM358" i="1"/>
  <c r="AG358" i="1"/>
  <c r="AB360" i="1" l="1"/>
  <c r="AJ359" i="1"/>
  <c r="AH359" i="1"/>
  <c r="AC359" i="1"/>
  <c r="AD359" i="1"/>
  <c r="AL359" i="1"/>
  <c r="AN359" i="1"/>
  <c r="AE359" i="1"/>
  <c r="AG359" i="1"/>
  <c r="AK359" i="1"/>
  <c r="AI359" i="1"/>
  <c r="AM359" i="1"/>
  <c r="AF359" i="1"/>
  <c r="AB361" i="1" l="1"/>
  <c r="AJ360" i="1"/>
  <c r="AH360" i="1"/>
  <c r="AC360" i="1"/>
  <c r="AD360" i="1"/>
  <c r="AE360" i="1"/>
  <c r="AG360" i="1"/>
  <c r="AN360" i="1"/>
  <c r="AK360" i="1"/>
  <c r="AM360" i="1"/>
  <c r="AL360" i="1"/>
  <c r="AI360" i="1"/>
  <c r="AF360" i="1"/>
  <c r="AB362" i="1" l="1"/>
  <c r="AJ361" i="1"/>
  <c r="AH361" i="1"/>
  <c r="AC361" i="1"/>
  <c r="AD361" i="1"/>
  <c r="AL361" i="1"/>
  <c r="AK361" i="1"/>
  <c r="AI361" i="1"/>
  <c r="AF361" i="1"/>
  <c r="AM361" i="1"/>
  <c r="AE361" i="1"/>
  <c r="AG361" i="1"/>
  <c r="AN361" i="1"/>
  <c r="AB363" i="1" l="1"/>
  <c r="AJ362" i="1"/>
  <c r="AH362" i="1"/>
  <c r="AC362" i="1"/>
  <c r="AG362" i="1"/>
  <c r="AK362" i="1"/>
  <c r="AI362" i="1"/>
  <c r="AM362" i="1"/>
  <c r="AD362" i="1"/>
  <c r="AL362" i="1"/>
  <c r="AE362" i="1"/>
  <c r="AF362" i="1"/>
  <c r="AN362" i="1"/>
  <c r="AB364" i="1" l="1"/>
  <c r="AJ363" i="1"/>
  <c r="AH363" i="1"/>
  <c r="AC363" i="1"/>
  <c r="AE363" i="1"/>
  <c r="AL363" i="1"/>
  <c r="AM363" i="1"/>
  <c r="AD363" i="1"/>
  <c r="AN363" i="1"/>
  <c r="AI363" i="1"/>
  <c r="AF363" i="1"/>
  <c r="AG363" i="1"/>
  <c r="AK363" i="1"/>
  <c r="AB365" i="1" l="1"/>
  <c r="AJ364" i="1"/>
  <c r="AH364" i="1"/>
  <c r="AC364" i="1"/>
  <c r="AD364" i="1"/>
  <c r="AI364" i="1"/>
  <c r="AE364" i="1"/>
  <c r="AL364" i="1"/>
  <c r="AG364" i="1"/>
  <c r="AK364" i="1"/>
  <c r="AF364" i="1"/>
  <c r="AM364" i="1"/>
  <c r="AN364" i="1"/>
  <c r="AB366" i="1" l="1"/>
  <c r="AJ365" i="1"/>
  <c r="AH365" i="1"/>
  <c r="AC365" i="1"/>
  <c r="AD365" i="1"/>
  <c r="AE365" i="1"/>
  <c r="AK365" i="1"/>
  <c r="AF365" i="1"/>
  <c r="AL365" i="1"/>
  <c r="AG365" i="1"/>
  <c r="AN365" i="1"/>
  <c r="AI365" i="1"/>
  <c r="AM365" i="1"/>
  <c r="AB367" i="1" l="1"/>
  <c r="AJ366" i="1"/>
  <c r="AH366" i="1"/>
  <c r="AC366" i="1"/>
  <c r="AL366" i="1"/>
  <c r="AF366" i="1"/>
  <c r="AM366" i="1"/>
  <c r="AD366" i="1"/>
  <c r="AK366" i="1"/>
  <c r="AI366" i="1"/>
  <c r="AE366" i="1"/>
  <c r="AG366" i="1"/>
  <c r="AN366" i="1"/>
  <c r="AB368" i="1" l="1"/>
  <c r="AJ367" i="1"/>
  <c r="AH367" i="1"/>
  <c r="AC367" i="1"/>
  <c r="AD367" i="1"/>
  <c r="AE367" i="1"/>
  <c r="AG367" i="1"/>
  <c r="AN367" i="1"/>
  <c r="AF367" i="1"/>
  <c r="AL367" i="1"/>
  <c r="AI367" i="1"/>
  <c r="AK367" i="1"/>
  <c r="AM367" i="1"/>
  <c r="AB369" i="1" l="1"/>
  <c r="AJ368" i="1"/>
  <c r="AH368" i="1"/>
  <c r="AC368" i="1"/>
  <c r="AG368" i="1"/>
  <c r="AN368" i="1"/>
  <c r="AD368" i="1"/>
  <c r="AE368" i="1"/>
  <c r="AL368" i="1"/>
  <c r="AI368" i="1"/>
  <c r="AF368" i="1"/>
  <c r="AM368" i="1"/>
  <c r="AK368" i="1"/>
  <c r="AB370" i="1" l="1"/>
  <c r="AJ369" i="1"/>
  <c r="AH369" i="1"/>
  <c r="AC369" i="1"/>
  <c r="AE369" i="1"/>
  <c r="AN369" i="1"/>
  <c r="AF369" i="1"/>
  <c r="AD369" i="1"/>
  <c r="AG369" i="1"/>
  <c r="AK369" i="1"/>
  <c r="AL369" i="1"/>
  <c r="AI369" i="1"/>
  <c r="AM369" i="1"/>
  <c r="AB371" i="1" l="1"/>
  <c r="AJ370" i="1"/>
  <c r="AH370" i="1"/>
  <c r="AC370" i="1"/>
  <c r="AD370" i="1"/>
  <c r="AE370" i="1"/>
  <c r="AG370" i="1"/>
  <c r="AI370" i="1"/>
  <c r="AL370" i="1"/>
  <c r="AN370" i="1"/>
  <c r="AM370" i="1"/>
  <c r="AK370" i="1"/>
  <c r="AF370" i="1"/>
  <c r="AB372" i="1" l="1"/>
  <c r="AJ371" i="1"/>
  <c r="AH371" i="1"/>
  <c r="AC371" i="1"/>
  <c r="AI371" i="1"/>
  <c r="AD371" i="1"/>
  <c r="AG371" i="1"/>
  <c r="AK371" i="1"/>
  <c r="AE371" i="1"/>
  <c r="AN371" i="1"/>
  <c r="AF371" i="1"/>
  <c r="AM371" i="1"/>
  <c r="AL371" i="1"/>
  <c r="AB373" i="1" l="1"/>
  <c r="AJ372" i="1"/>
  <c r="AH372" i="1"/>
  <c r="AC372" i="1"/>
  <c r="AL372" i="1"/>
  <c r="AI372" i="1"/>
  <c r="AD372" i="1"/>
  <c r="AG372" i="1"/>
  <c r="AM372" i="1"/>
  <c r="AE372" i="1"/>
  <c r="AK372" i="1"/>
  <c r="AF372" i="1"/>
  <c r="AN372" i="1"/>
  <c r="AB374" i="1" l="1"/>
  <c r="AJ373" i="1"/>
  <c r="AH373" i="1"/>
  <c r="AC373" i="1"/>
  <c r="AE373" i="1"/>
  <c r="AL373" i="1"/>
  <c r="AN373" i="1"/>
  <c r="AK373" i="1"/>
  <c r="AI373" i="1"/>
  <c r="AD373" i="1"/>
  <c r="AF373" i="1"/>
  <c r="AG373" i="1"/>
  <c r="AM373" i="1"/>
  <c r="AB375" i="1" l="1"/>
  <c r="AJ374" i="1"/>
  <c r="AH374" i="1"/>
  <c r="AC374" i="1"/>
  <c r="AD374" i="1"/>
  <c r="AE374" i="1"/>
  <c r="AG374" i="1"/>
  <c r="AK374" i="1"/>
  <c r="AM374" i="1"/>
  <c r="AL374" i="1"/>
  <c r="AN374" i="1"/>
  <c r="AI374" i="1"/>
  <c r="AF374" i="1"/>
  <c r="AB376" i="1" l="1"/>
  <c r="AJ375" i="1"/>
  <c r="AH375" i="1"/>
  <c r="AC375" i="1"/>
  <c r="AL375" i="1"/>
  <c r="AM375" i="1"/>
  <c r="AD375" i="1"/>
  <c r="AN375" i="1"/>
  <c r="AI375" i="1"/>
  <c r="AE375" i="1"/>
  <c r="AK375" i="1"/>
  <c r="AF375" i="1"/>
  <c r="AG375" i="1"/>
  <c r="AB377" i="1" l="1"/>
  <c r="AJ376" i="1"/>
  <c r="AH376" i="1"/>
  <c r="AC376" i="1"/>
  <c r="AD376" i="1"/>
  <c r="AE376" i="1"/>
  <c r="AL376" i="1"/>
  <c r="AG376" i="1"/>
  <c r="AN376" i="1"/>
  <c r="AF376" i="1"/>
  <c r="AM376" i="1"/>
  <c r="AK376" i="1"/>
  <c r="AI376" i="1"/>
  <c r="AB378" i="1" l="1"/>
  <c r="AJ377" i="1"/>
  <c r="AH377" i="1"/>
  <c r="AC377" i="1"/>
  <c r="AE377" i="1"/>
  <c r="AL377" i="1"/>
  <c r="AG377" i="1"/>
  <c r="AK377" i="1"/>
  <c r="AI377" i="1"/>
  <c r="AM377" i="1"/>
  <c r="AD377" i="1"/>
  <c r="AN377" i="1"/>
  <c r="AF377" i="1"/>
  <c r="AB379" i="1" l="1"/>
  <c r="AJ378" i="1"/>
  <c r="AH378" i="1"/>
  <c r="AC378" i="1"/>
  <c r="AN378" i="1"/>
  <c r="AK378" i="1"/>
  <c r="AI378" i="1"/>
  <c r="AD378" i="1"/>
  <c r="AE378" i="1"/>
  <c r="AF378" i="1"/>
  <c r="AG378" i="1"/>
  <c r="AM378" i="1"/>
  <c r="AL378" i="1"/>
  <c r="AB380" i="1" l="1"/>
  <c r="AJ379" i="1"/>
  <c r="AH379" i="1"/>
  <c r="AC379" i="1"/>
  <c r="AD379" i="1"/>
  <c r="AI379" i="1"/>
  <c r="AE379" i="1"/>
  <c r="AL379" i="1"/>
  <c r="AG379" i="1"/>
  <c r="AN379" i="1"/>
  <c r="AM379" i="1"/>
  <c r="AK379" i="1"/>
  <c r="AF379" i="1"/>
  <c r="AB381" i="1" l="1"/>
  <c r="AJ380" i="1"/>
  <c r="AH380" i="1"/>
  <c r="AC380" i="1"/>
  <c r="AD380" i="1"/>
  <c r="AL380" i="1"/>
  <c r="AK380" i="1"/>
  <c r="AF380" i="1"/>
  <c r="AM380" i="1"/>
  <c r="AE380" i="1"/>
  <c r="AG380" i="1"/>
  <c r="AN380" i="1"/>
  <c r="AI380" i="1"/>
  <c r="AB382" i="1" l="1"/>
  <c r="AJ381" i="1"/>
  <c r="AH381" i="1"/>
  <c r="AC381" i="1"/>
  <c r="AE381" i="1"/>
  <c r="AG381" i="1"/>
  <c r="AI381" i="1"/>
  <c r="AD381" i="1"/>
  <c r="AL381" i="1"/>
  <c r="AK381" i="1"/>
  <c r="AF381" i="1"/>
  <c r="AM381" i="1"/>
  <c r="AN381" i="1"/>
  <c r="AB383" i="1" l="1"/>
  <c r="AJ382" i="1"/>
  <c r="AH382" i="1"/>
  <c r="AC382" i="1"/>
  <c r="AD382" i="1"/>
  <c r="AE382" i="1"/>
  <c r="AG382" i="1"/>
  <c r="AF382" i="1"/>
  <c r="AM382" i="1"/>
  <c r="AL382" i="1"/>
  <c r="AI382" i="1"/>
  <c r="AN382" i="1"/>
  <c r="AK382" i="1"/>
  <c r="AB384" i="1" l="1"/>
  <c r="AJ383" i="1"/>
  <c r="AH383" i="1"/>
  <c r="AC383" i="1"/>
  <c r="AE383" i="1"/>
  <c r="AG383" i="1"/>
  <c r="AN383" i="1"/>
  <c r="AI383" i="1"/>
  <c r="AD383" i="1"/>
  <c r="AM383" i="1"/>
  <c r="AL383" i="1"/>
  <c r="AK383" i="1"/>
  <c r="AF383" i="1"/>
  <c r="AB385" i="1" l="1"/>
  <c r="AJ384" i="1"/>
  <c r="AH384" i="1"/>
  <c r="AC384" i="1"/>
  <c r="AD384" i="1"/>
  <c r="AN384" i="1"/>
  <c r="AI384" i="1"/>
  <c r="AM384" i="1"/>
  <c r="AE384" i="1"/>
  <c r="AL384" i="1"/>
  <c r="AG384" i="1"/>
  <c r="AK384" i="1"/>
  <c r="AF384" i="1"/>
  <c r="AB386" i="1" l="1"/>
  <c r="AJ385" i="1"/>
  <c r="AH385" i="1"/>
  <c r="AC385" i="1"/>
  <c r="AD385" i="1"/>
  <c r="AL385" i="1"/>
  <c r="AG385" i="1"/>
  <c r="AN385" i="1"/>
  <c r="AE385" i="1"/>
  <c r="AK385" i="1"/>
  <c r="AF385" i="1"/>
  <c r="AM385" i="1"/>
  <c r="AI385" i="1"/>
  <c r="AB387" i="1" l="1"/>
  <c r="AJ386" i="1"/>
  <c r="AH386" i="1"/>
  <c r="AC386" i="1"/>
  <c r="AK386" i="1"/>
  <c r="AF386" i="1"/>
  <c r="AM386" i="1"/>
  <c r="AD386" i="1"/>
  <c r="AE386" i="1"/>
  <c r="AG386" i="1"/>
  <c r="AN386" i="1"/>
  <c r="AL386" i="1"/>
  <c r="AI386" i="1"/>
  <c r="AB388" i="1" l="1"/>
  <c r="AJ387" i="1"/>
  <c r="AH387" i="1"/>
  <c r="AC387" i="1"/>
  <c r="AD387" i="1"/>
  <c r="AE387" i="1"/>
  <c r="AG387" i="1"/>
  <c r="AK387" i="1"/>
  <c r="AF387" i="1"/>
  <c r="AM387" i="1"/>
  <c r="AL387" i="1"/>
  <c r="AN387" i="1"/>
  <c r="AI387" i="1"/>
  <c r="AB389" i="1" l="1"/>
  <c r="AJ388" i="1"/>
  <c r="AH388" i="1"/>
  <c r="AC388" i="1"/>
  <c r="AE388" i="1"/>
  <c r="AK388" i="1"/>
  <c r="AF388" i="1"/>
  <c r="AM388" i="1"/>
  <c r="AD388" i="1"/>
  <c r="AL388" i="1"/>
  <c r="AG388" i="1"/>
  <c r="AN388" i="1"/>
  <c r="AI388" i="1"/>
  <c r="AB390" i="1" l="1"/>
  <c r="AJ389" i="1"/>
  <c r="AH389" i="1"/>
  <c r="AC389" i="1"/>
  <c r="AL389" i="1"/>
  <c r="AG389" i="1"/>
  <c r="AD389" i="1"/>
  <c r="AE389" i="1"/>
  <c r="AK389" i="1"/>
  <c r="AI389" i="1"/>
  <c r="AF389" i="1"/>
  <c r="AM389" i="1"/>
  <c r="AN389" i="1"/>
  <c r="AB391" i="1" l="1"/>
  <c r="AJ390" i="1"/>
  <c r="AH390" i="1"/>
  <c r="AC390" i="1"/>
  <c r="AG390" i="1"/>
  <c r="AN390" i="1"/>
  <c r="AI390" i="1"/>
  <c r="AD390" i="1"/>
  <c r="AE390" i="1"/>
  <c r="AK390" i="1"/>
  <c r="AF390" i="1"/>
  <c r="AM390" i="1"/>
  <c r="AL390" i="1"/>
  <c r="AB392" i="1" l="1"/>
  <c r="AJ391" i="1"/>
  <c r="AH391" i="1"/>
  <c r="AC391" i="1"/>
  <c r="AF391" i="1"/>
  <c r="AD391" i="1"/>
  <c r="AE391" i="1"/>
  <c r="AL391" i="1"/>
  <c r="AK391" i="1"/>
  <c r="AI391" i="1"/>
  <c r="AG391" i="1"/>
  <c r="AM391" i="1"/>
  <c r="AN391" i="1"/>
  <c r="AB393" i="1" l="1"/>
  <c r="AJ392" i="1"/>
  <c r="AH392" i="1"/>
  <c r="AC392" i="1"/>
  <c r="AL392" i="1"/>
  <c r="AK392" i="1"/>
  <c r="AF392" i="1"/>
  <c r="AM392" i="1"/>
  <c r="AD392" i="1"/>
  <c r="AE392" i="1"/>
  <c r="AG392" i="1"/>
  <c r="AN392" i="1"/>
  <c r="AI392" i="1"/>
  <c r="AB394" i="1" l="1"/>
  <c r="AJ393" i="1"/>
  <c r="AH393" i="1"/>
  <c r="AC393" i="1"/>
  <c r="AI393" i="1"/>
  <c r="AD393" i="1"/>
  <c r="AE393" i="1"/>
  <c r="AG393" i="1"/>
  <c r="AK393" i="1"/>
  <c r="AF393" i="1"/>
  <c r="AM393" i="1"/>
  <c r="AN393" i="1"/>
  <c r="AL393" i="1"/>
  <c r="AB395" i="1" l="1"/>
  <c r="AJ394" i="1"/>
  <c r="AH394" i="1"/>
  <c r="AC394" i="1"/>
  <c r="AG394" i="1"/>
  <c r="AN394" i="1"/>
  <c r="AF394" i="1"/>
  <c r="AM394" i="1"/>
  <c r="AD394" i="1"/>
  <c r="AE394" i="1"/>
  <c r="AL394" i="1"/>
  <c r="AK394" i="1"/>
  <c r="AI394" i="1"/>
  <c r="AB396" i="1" l="1"/>
  <c r="AJ395" i="1"/>
  <c r="AH395" i="1"/>
  <c r="AC395" i="1"/>
  <c r="AD395" i="1"/>
  <c r="AE395" i="1"/>
  <c r="AG395" i="1"/>
  <c r="AN395" i="1"/>
  <c r="AF395" i="1"/>
  <c r="AL395" i="1"/>
  <c r="AK395" i="1"/>
  <c r="AI395" i="1"/>
  <c r="AM395" i="1"/>
  <c r="AB397" i="1" l="1"/>
  <c r="AJ396" i="1"/>
  <c r="AH396" i="1"/>
  <c r="AC396" i="1"/>
  <c r="AE396" i="1"/>
  <c r="AL396" i="1"/>
  <c r="AK396" i="1"/>
  <c r="AI396" i="1"/>
  <c r="AD396" i="1"/>
  <c r="AG396" i="1"/>
  <c r="AN396" i="1"/>
  <c r="AF396" i="1"/>
  <c r="AM396" i="1"/>
  <c r="AB398" i="1" l="1"/>
  <c r="AJ397" i="1"/>
  <c r="AH397" i="1"/>
  <c r="AC397" i="1"/>
  <c r="AD397" i="1"/>
  <c r="AE397" i="1"/>
  <c r="AG397" i="1"/>
  <c r="AI397" i="1"/>
  <c r="AF397" i="1"/>
  <c r="AN397" i="1"/>
  <c r="AM397" i="1"/>
  <c r="AL397" i="1"/>
  <c r="AK397" i="1"/>
  <c r="AB399" i="1" l="1"/>
  <c r="AJ398" i="1"/>
  <c r="AH398" i="1"/>
  <c r="AC398" i="1"/>
  <c r="AE398" i="1"/>
  <c r="AG398" i="1"/>
  <c r="AN398" i="1"/>
  <c r="AM398" i="1"/>
  <c r="AD398" i="1"/>
  <c r="AL398" i="1"/>
  <c r="AI398" i="1"/>
  <c r="AF398" i="1"/>
  <c r="AK398" i="1"/>
  <c r="AB400" i="1" l="1"/>
  <c r="AJ399" i="1"/>
  <c r="AH399" i="1"/>
  <c r="AC399" i="1"/>
  <c r="AD399" i="1"/>
  <c r="AL399" i="1"/>
  <c r="AG399" i="1"/>
  <c r="AI399" i="1"/>
  <c r="AE399" i="1"/>
  <c r="AN399" i="1"/>
  <c r="AF399" i="1"/>
  <c r="AM399" i="1"/>
  <c r="AK399" i="1"/>
  <c r="AB401" i="1" l="1"/>
  <c r="AJ400" i="1"/>
  <c r="AH400" i="1"/>
  <c r="AC400" i="1"/>
  <c r="AD400" i="1"/>
  <c r="AN400" i="1"/>
  <c r="AM400" i="1"/>
  <c r="AE400" i="1"/>
  <c r="AL400" i="1"/>
  <c r="AF400" i="1"/>
  <c r="AK400" i="1"/>
  <c r="AI400" i="1"/>
  <c r="AG400" i="1"/>
  <c r="AB402" i="1" l="1"/>
  <c r="AJ401" i="1"/>
  <c r="AH401" i="1"/>
  <c r="AC401" i="1"/>
  <c r="AE401" i="1"/>
  <c r="AL401" i="1"/>
  <c r="AG401" i="1"/>
  <c r="AN401" i="1"/>
  <c r="AI401" i="1"/>
  <c r="AM401" i="1"/>
  <c r="AD401" i="1"/>
  <c r="AK401" i="1"/>
  <c r="AF401" i="1"/>
  <c r="AB403" i="1" l="1"/>
  <c r="AJ402" i="1"/>
  <c r="AH402" i="1"/>
  <c r="AC402" i="1"/>
  <c r="AD402" i="1"/>
  <c r="AE402" i="1"/>
  <c r="AL402" i="1"/>
  <c r="AN402" i="1"/>
  <c r="AK402" i="1"/>
  <c r="AM402" i="1"/>
  <c r="AG402" i="1"/>
  <c r="AF402" i="1"/>
  <c r="AI402" i="1"/>
  <c r="AB404" i="1" l="1"/>
  <c r="AJ403" i="1"/>
  <c r="AH403" i="1"/>
  <c r="AC403" i="1"/>
  <c r="AL403" i="1"/>
  <c r="AG403" i="1"/>
  <c r="AM403" i="1"/>
  <c r="AD403" i="1"/>
  <c r="AN403" i="1"/>
  <c r="AI403" i="1"/>
  <c r="AE403" i="1"/>
  <c r="AK403" i="1"/>
  <c r="AF403" i="1"/>
  <c r="AB405" i="1" l="1"/>
  <c r="AJ404" i="1"/>
  <c r="AH404" i="1"/>
  <c r="AC404" i="1"/>
  <c r="AD404" i="1"/>
  <c r="AE404" i="1"/>
  <c r="AG404" i="1"/>
  <c r="AN404" i="1"/>
  <c r="AI404" i="1"/>
  <c r="AM404" i="1"/>
  <c r="AL404" i="1"/>
  <c r="AF404" i="1"/>
  <c r="AK404" i="1"/>
  <c r="AB406" i="1" l="1"/>
  <c r="AJ405" i="1"/>
  <c r="AH405" i="1"/>
  <c r="AC405" i="1"/>
  <c r="AD405" i="1"/>
  <c r="AL405" i="1"/>
  <c r="AN405" i="1"/>
  <c r="AI405" i="1"/>
  <c r="AM405" i="1"/>
  <c r="AE405" i="1"/>
  <c r="AG405" i="1"/>
  <c r="AK405" i="1"/>
  <c r="AF405" i="1"/>
  <c r="AB407" i="1" l="1"/>
  <c r="AJ406" i="1"/>
  <c r="AH406" i="1"/>
  <c r="AC406" i="1"/>
  <c r="AD406" i="1"/>
  <c r="AI406" i="1"/>
  <c r="AM406" i="1"/>
  <c r="AE406" i="1"/>
  <c r="AG406" i="1"/>
  <c r="AN406" i="1"/>
  <c r="AK406" i="1"/>
  <c r="AL406" i="1"/>
  <c r="AF406" i="1"/>
  <c r="AB408" i="1" l="1"/>
  <c r="AJ407" i="1"/>
  <c r="AH407" i="1"/>
  <c r="AC407" i="1"/>
  <c r="AD407" i="1"/>
  <c r="AE407" i="1"/>
  <c r="AG407" i="1"/>
  <c r="AI407" i="1"/>
  <c r="AF407" i="1"/>
  <c r="AM407" i="1"/>
  <c r="AL407" i="1"/>
  <c r="AN407" i="1"/>
  <c r="AK407" i="1"/>
  <c r="AB409" i="1" l="1"/>
  <c r="AJ408" i="1"/>
  <c r="AH408" i="1"/>
  <c r="AC408" i="1"/>
  <c r="AD408" i="1"/>
  <c r="AE408" i="1"/>
  <c r="AG408" i="1"/>
  <c r="AN408" i="1"/>
  <c r="AK408" i="1"/>
  <c r="AI408" i="1"/>
  <c r="AM408" i="1"/>
  <c r="AL408" i="1"/>
  <c r="AF408" i="1"/>
  <c r="AB410" i="1" l="1"/>
  <c r="AJ409" i="1"/>
  <c r="AH409" i="1"/>
  <c r="AC409" i="1"/>
  <c r="AD409" i="1"/>
  <c r="AE409" i="1"/>
  <c r="AG409" i="1"/>
  <c r="AI409" i="1"/>
  <c r="AF409" i="1"/>
  <c r="AM409" i="1"/>
  <c r="AL409" i="1"/>
  <c r="AN409" i="1"/>
  <c r="AK409" i="1"/>
  <c r="AB411" i="1" l="1"/>
  <c r="AJ410" i="1"/>
  <c r="AH410" i="1"/>
  <c r="AC410" i="1"/>
  <c r="AD410" i="1"/>
  <c r="AL410" i="1"/>
  <c r="AM410" i="1"/>
  <c r="AE410" i="1"/>
  <c r="AG410" i="1"/>
  <c r="AN410" i="1"/>
  <c r="AI410" i="1"/>
  <c r="AK410" i="1"/>
  <c r="AF410" i="1"/>
  <c r="AB412" i="1" l="1"/>
  <c r="AJ411" i="1"/>
  <c r="AH411" i="1"/>
  <c r="AC411" i="1"/>
  <c r="AD411" i="1"/>
  <c r="AE411" i="1"/>
  <c r="AL411" i="1"/>
  <c r="AN411" i="1"/>
  <c r="AI411" i="1"/>
  <c r="AM411" i="1"/>
  <c r="AG411" i="1"/>
  <c r="AF411" i="1"/>
  <c r="AK411" i="1"/>
  <c r="AB413" i="1" l="1"/>
  <c r="AJ412" i="1"/>
  <c r="AH412" i="1"/>
  <c r="AC412" i="1"/>
  <c r="AD412" i="1"/>
  <c r="AE412" i="1"/>
  <c r="AG412" i="1"/>
  <c r="AN412" i="1"/>
  <c r="AK412" i="1"/>
  <c r="AM412" i="1"/>
  <c r="AL412" i="1"/>
  <c r="AI412" i="1"/>
  <c r="AF412" i="1"/>
  <c r="AB414" i="1" l="1"/>
  <c r="AJ413" i="1"/>
  <c r="AH413" i="1"/>
  <c r="AC413" i="1"/>
  <c r="AD413" i="1"/>
  <c r="AL413" i="1"/>
  <c r="AK413" i="1"/>
  <c r="AI413" i="1"/>
  <c r="AM413" i="1"/>
  <c r="AE413" i="1"/>
  <c r="AN413" i="1"/>
  <c r="AG413" i="1"/>
  <c r="AF413" i="1"/>
  <c r="AB415" i="1" l="1"/>
  <c r="AJ414" i="1"/>
  <c r="AH414" i="1"/>
  <c r="AC414" i="1"/>
  <c r="AD414" i="1"/>
  <c r="AE414" i="1"/>
  <c r="AG414" i="1"/>
  <c r="AN414" i="1"/>
  <c r="AK414" i="1"/>
  <c r="AL414" i="1"/>
  <c r="AI414" i="1"/>
  <c r="AF414" i="1"/>
  <c r="AM414" i="1"/>
  <c r="AB416" i="1" l="1"/>
  <c r="AJ415" i="1"/>
  <c r="AH415" i="1"/>
  <c r="AC415" i="1"/>
  <c r="AN415" i="1"/>
  <c r="AM415" i="1"/>
  <c r="AD415" i="1"/>
  <c r="AL415" i="1"/>
  <c r="AG415" i="1"/>
  <c r="AF415" i="1"/>
  <c r="AE415" i="1"/>
  <c r="AK415" i="1"/>
  <c r="AI415" i="1"/>
  <c r="AB417" i="1" l="1"/>
  <c r="AJ416" i="1"/>
  <c r="AH416" i="1"/>
  <c r="AD416" i="1"/>
  <c r="AL416" i="1"/>
  <c r="AG416" i="1"/>
  <c r="AE416" i="1"/>
  <c r="AK416" i="1"/>
  <c r="AF416" i="1"/>
  <c r="AM416" i="1"/>
  <c r="AI416" i="1"/>
  <c r="AC416" i="1"/>
  <c r="AN416" i="1"/>
  <c r="AB418" i="1" l="1"/>
  <c r="AJ417" i="1"/>
  <c r="AH417" i="1"/>
  <c r="AC417" i="1"/>
  <c r="AK417" i="1"/>
  <c r="AF417" i="1"/>
  <c r="AD417" i="1"/>
  <c r="AL417" i="1"/>
  <c r="AN417" i="1"/>
  <c r="AI417" i="1"/>
  <c r="AE417" i="1"/>
  <c r="AM417" i="1"/>
  <c r="AG417" i="1"/>
  <c r="AB419" i="1" l="1"/>
  <c r="AJ418" i="1"/>
  <c r="AH418" i="1"/>
  <c r="AC418" i="1"/>
  <c r="AD418" i="1"/>
  <c r="AK418" i="1"/>
  <c r="AF418" i="1"/>
  <c r="AE418" i="1"/>
  <c r="AG418" i="1"/>
  <c r="AN418" i="1"/>
  <c r="AM418" i="1"/>
  <c r="AL418" i="1"/>
  <c r="AI418" i="1"/>
  <c r="AB420" i="1" l="1"/>
  <c r="AJ419" i="1"/>
  <c r="AH419" i="1"/>
  <c r="AC419" i="1"/>
  <c r="AD419" i="1"/>
  <c r="AL419" i="1"/>
  <c r="AG419" i="1"/>
  <c r="AI419" i="1"/>
  <c r="AE419" i="1"/>
  <c r="AN419" i="1"/>
  <c r="AM419" i="1"/>
  <c r="AK419" i="1"/>
  <c r="AF419" i="1"/>
  <c r="AB421" i="1" l="1"/>
  <c r="AJ420" i="1"/>
  <c r="AH420" i="1"/>
  <c r="AC420" i="1"/>
  <c r="AL420" i="1"/>
  <c r="AG420" i="1"/>
  <c r="AF420" i="1"/>
  <c r="AM420" i="1"/>
  <c r="AD420" i="1"/>
  <c r="AE420" i="1"/>
  <c r="AK420" i="1"/>
  <c r="AI420" i="1"/>
  <c r="AN420" i="1"/>
  <c r="AB422" i="1" l="1"/>
  <c r="AJ421" i="1"/>
  <c r="AH421" i="1"/>
  <c r="AC421" i="1"/>
  <c r="AE421" i="1"/>
  <c r="AF421" i="1"/>
  <c r="AM421" i="1"/>
  <c r="AD421" i="1"/>
  <c r="AG421" i="1"/>
  <c r="AN421" i="1"/>
  <c r="AI421" i="1"/>
  <c r="AK421" i="1"/>
  <c r="AL421" i="1"/>
  <c r="AB423" i="1" l="1"/>
  <c r="AJ422" i="1"/>
  <c r="AH422" i="1"/>
  <c r="AC422" i="1"/>
  <c r="AL422" i="1"/>
  <c r="AN422" i="1"/>
  <c r="AI422" i="1"/>
  <c r="AM422" i="1"/>
  <c r="AD422" i="1"/>
  <c r="AG422" i="1"/>
  <c r="AK422" i="1"/>
  <c r="AF422" i="1"/>
  <c r="AE422" i="1"/>
  <c r="AB424" i="1" l="1"/>
  <c r="AJ423" i="1"/>
  <c r="AH423" i="1"/>
  <c r="AC423" i="1"/>
  <c r="AD423" i="1"/>
  <c r="AE423" i="1"/>
  <c r="AG423" i="1"/>
  <c r="AN423" i="1"/>
  <c r="AK423" i="1"/>
  <c r="AL423" i="1"/>
  <c r="AI423" i="1"/>
  <c r="AM423" i="1"/>
  <c r="AF423" i="1"/>
  <c r="AB425" i="1" l="1"/>
  <c r="AJ424" i="1"/>
  <c r="AH424" i="1"/>
  <c r="AC424" i="1"/>
  <c r="AD424" i="1"/>
  <c r="AL424" i="1"/>
  <c r="AN424" i="1"/>
  <c r="AI424" i="1"/>
  <c r="AM424" i="1"/>
  <c r="AE424" i="1"/>
  <c r="AK424" i="1"/>
  <c r="AF424" i="1"/>
  <c r="AG424" i="1"/>
  <c r="AB426" i="1" l="1"/>
  <c r="AJ425" i="1"/>
  <c r="AH425" i="1"/>
  <c r="AC425" i="1"/>
  <c r="AD425" i="1"/>
  <c r="AE425" i="1"/>
  <c r="AL425" i="1"/>
  <c r="AK425" i="1"/>
  <c r="AI425" i="1"/>
  <c r="AM425" i="1"/>
  <c r="AG425" i="1"/>
  <c r="AN425" i="1"/>
  <c r="AF425" i="1"/>
  <c r="AB427" i="1" l="1"/>
  <c r="AJ426" i="1"/>
  <c r="AH426" i="1"/>
  <c r="AC426" i="1"/>
  <c r="AN426" i="1"/>
  <c r="AM426" i="1"/>
  <c r="AD426" i="1"/>
  <c r="AG426" i="1"/>
  <c r="AK426" i="1"/>
  <c r="AI426" i="1"/>
  <c r="AE426" i="1"/>
  <c r="AF426" i="1"/>
  <c r="AL426" i="1"/>
  <c r="AB428" i="1" l="1"/>
  <c r="AJ427" i="1"/>
  <c r="AH427" i="1"/>
  <c r="AC427" i="1"/>
  <c r="AL427" i="1"/>
  <c r="AI427" i="1"/>
  <c r="AD427" i="1"/>
  <c r="AG427" i="1"/>
  <c r="AK427" i="1"/>
  <c r="AF427" i="1"/>
  <c r="AM427" i="1"/>
  <c r="AE427" i="1"/>
  <c r="AN427" i="1"/>
  <c r="AB429" i="1" l="1"/>
  <c r="AJ428" i="1"/>
  <c r="AH428" i="1"/>
  <c r="AC428" i="1"/>
  <c r="AD428" i="1"/>
  <c r="AG428" i="1"/>
  <c r="AF428" i="1"/>
  <c r="AM428" i="1"/>
  <c r="AE428" i="1"/>
  <c r="AN428" i="1"/>
  <c r="AI428" i="1"/>
  <c r="AL428" i="1"/>
  <c r="AK428" i="1"/>
  <c r="AB430" i="1" l="1"/>
  <c r="AJ429" i="1"/>
  <c r="AH429" i="1"/>
  <c r="AC429" i="1"/>
  <c r="AD429" i="1"/>
  <c r="AL429" i="1"/>
  <c r="AN429" i="1"/>
  <c r="AF429" i="1"/>
  <c r="AE429" i="1"/>
  <c r="AK429" i="1"/>
  <c r="AI429" i="1"/>
  <c r="AM429" i="1"/>
  <c r="AG429" i="1"/>
  <c r="AB431" i="1" l="1"/>
  <c r="AJ430" i="1"/>
  <c r="AH430" i="1"/>
  <c r="AC430" i="1"/>
  <c r="AD430" i="1"/>
  <c r="AE430" i="1"/>
  <c r="AG430" i="1"/>
  <c r="AN430" i="1"/>
  <c r="AL430" i="1"/>
  <c r="AI430" i="1"/>
  <c r="AM430" i="1"/>
  <c r="AF430" i="1"/>
  <c r="AK430" i="1"/>
  <c r="AB432" i="1" l="1"/>
  <c r="AJ431" i="1"/>
  <c r="AH431" i="1"/>
  <c r="AC431" i="1"/>
  <c r="AD431" i="1"/>
  <c r="AL431" i="1"/>
  <c r="AG431" i="1"/>
  <c r="AN431" i="1"/>
  <c r="AE431" i="1"/>
  <c r="AI431" i="1"/>
  <c r="AM431" i="1"/>
  <c r="AK431" i="1"/>
  <c r="AF431" i="1"/>
  <c r="AB433" i="1" l="1"/>
  <c r="AJ432" i="1"/>
  <c r="AH432" i="1"/>
  <c r="AC432" i="1"/>
  <c r="AD432" i="1"/>
  <c r="AL432" i="1"/>
  <c r="AG432" i="1"/>
  <c r="AN432" i="1"/>
  <c r="AI432" i="1"/>
  <c r="AF432" i="1"/>
  <c r="AM432" i="1"/>
  <c r="AK432" i="1"/>
  <c r="AE432" i="1"/>
  <c r="AB434" i="1" l="1"/>
  <c r="AJ433" i="1"/>
  <c r="AH433" i="1"/>
  <c r="AC433" i="1"/>
  <c r="AE433" i="1"/>
  <c r="AG433" i="1"/>
  <c r="AN433" i="1"/>
  <c r="AK433" i="1"/>
  <c r="AI433" i="1"/>
  <c r="AD433" i="1"/>
  <c r="AL433" i="1"/>
  <c r="AF433" i="1"/>
  <c r="AM433" i="1"/>
  <c r="AB435" i="1" l="1"/>
  <c r="AJ434" i="1"/>
  <c r="AH434" i="1"/>
  <c r="AC434" i="1"/>
  <c r="AD434" i="1"/>
  <c r="AE434" i="1"/>
  <c r="AG434" i="1"/>
  <c r="AL434" i="1"/>
  <c r="AN434" i="1"/>
  <c r="AK434" i="1"/>
  <c r="AI434" i="1"/>
  <c r="AM434" i="1"/>
  <c r="AF434" i="1"/>
  <c r="AB436" i="1" l="1"/>
  <c r="AJ435" i="1"/>
  <c r="AH435" i="1"/>
  <c r="AC435" i="1"/>
  <c r="AE435" i="1"/>
  <c r="AG435" i="1"/>
  <c r="AN435" i="1"/>
  <c r="AF435" i="1"/>
  <c r="AD435" i="1"/>
  <c r="AK435" i="1"/>
  <c r="AI435" i="1"/>
  <c r="AM435" i="1"/>
  <c r="AL435" i="1"/>
  <c r="AB437" i="1" l="1"/>
  <c r="AJ436" i="1"/>
  <c r="AH436" i="1"/>
  <c r="AC436" i="1"/>
  <c r="AD436" i="1"/>
  <c r="AE436" i="1"/>
  <c r="AN436" i="1"/>
  <c r="AI436" i="1"/>
  <c r="AM436" i="1"/>
  <c r="AL436" i="1"/>
  <c r="AK436" i="1"/>
  <c r="AF436" i="1"/>
  <c r="AG436" i="1"/>
  <c r="AB438" i="1" l="1"/>
  <c r="AJ437" i="1"/>
  <c r="AH437" i="1"/>
  <c r="AC437" i="1"/>
  <c r="AD437" i="1"/>
  <c r="AE437" i="1"/>
  <c r="AG437" i="1"/>
  <c r="AN437" i="1"/>
  <c r="AL437" i="1"/>
  <c r="AF437" i="1"/>
  <c r="AM437" i="1"/>
  <c r="AK437" i="1"/>
  <c r="AI437" i="1"/>
  <c r="AB439" i="1" l="1"/>
  <c r="AJ438" i="1"/>
  <c r="AH438" i="1"/>
  <c r="AC438" i="1"/>
  <c r="AE438" i="1"/>
  <c r="AL438" i="1"/>
  <c r="AF438" i="1"/>
  <c r="AM438" i="1"/>
  <c r="AD438" i="1"/>
  <c r="AG438" i="1"/>
  <c r="AN438" i="1"/>
  <c r="AI438" i="1"/>
  <c r="AK438" i="1"/>
  <c r="AB440" i="1" l="1"/>
  <c r="AJ439" i="1"/>
  <c r="AH439" i="1"/>
  <c r="AC439" i="1"/>
  <c r="AD439" i="1"/>
  <c r="AL439" i="1"/>
  <c r="AK439" i="1"/>
  <c r="AI439" i="1"/>
  <c r="AM439" i="1"/>
  <c r="AE439" i="1"/>
  <c r="AG439" i="1"/>
  <c r="AF439" i="1"/>
  <c r="AN439" i="1"/>
  <c r="AB441" i="1" l="1"/>
  <c r="AJ440" i="1"/>
  <c r="AH440" i="1"/>
  <c r="AC440" i="1"/>
  <c r="AD440" i="1"/>
  <c r="AL440" i="1"/>
  <c r="AK440" i="1"/>
  <c r="AE440" i="1"/>
  <c r="AG440" i="1"/>
  <c r="AN440" i="1"/>
  <c r="AI440" i="1"/>
  <c r="AM440" i="1"/>
  <c r="AF440" i="1"/>
  <c r="AB442" i="1" l="1"/>
  <c r="AJ441" i="1"/>
  <c r="AH441" i="1"/>
  <c r="AC441" i="1"/>
  <c r="AD441" i="1"/>
  <c r="AE441" i="1"/>
  <c r="AL441" i="1"/>
  <c r="AG441" i="1"/>
  <c r="AN441" i="1"/>
  <c r="AI441" i="1"/>
  <c r="AK441" i="1"/>
  <c r="AF441" i="1"/>
  <c r="AM441" i="1"/>
  <c r="AB443" i="1" l="1"/>
  <c r="AJ442" i="1"/>
  <c r="AH442" i="1"/>
  <c r="AC442" i="1"/>
  <c r="AD442" i="1"/>
  <c r="AL442" i="1"/>
  <c r="AN442" i="1"/>
  <c r="AF442" i="1"/>
  <c r="AM442" i="1"/>
  <c r="AE442" i="1"/>
  <c r="AG442" i="1"/>
  <c r="AK442" i="1"/>
  <c r="AI442" i="1"/>
  <c r="AB444" i="1" l="1"/>
  <c r="AJ443" i="1"/>
  <c r="AH443" i="1"/>
  <c r="AC443" i="1"/>
  <c r="AD443" i="1"/>
  <c r="AL443" i="1"/>
  <c r="AN443" i="1"/>
  <c r="AK443" i="1"/>
  <c r="AI443" i="1"/>
  <c r="AM443" i="1"/>
  <c r="AE443" i="1"/>
  <c r="AG443" i="1"/>
  <c r="AF443" i="1"/>
  <c r="AB445" i="1" l="1"/>
  <c r="AJ444" i="1"/>
  <c r="AH444" i="1"/>
  <c r="AC444" i="1"/>
  <c r="AI444" i="1"/>
  <c r="AD444" i="1"/>
  <c r="AG444" i="1"/>
  <c r="AN444" i="1"/>
  <c r="AE444" i="1"/>
  <c r="AK444" i="1"/>
  <c r="AF444" i="1"/>
  <c r="AM444" i="1"/>
  <c r="AL444" i="1"/>
  <c r="AB446" i="1" l="1"/>
  <c r="AJ445" i="1"/>
  <c r="AH445" i="1"/>
  <c r="AC445" i="1"/>
  <c r="AD445" i="1"/>
  <c r="AE445" i="1"/>
  <c r="AG445" i="1"/>
  <c r="AK445" i="1"/>
  <c r="AI445" i="1"/>
  <c r="AF445" i="1"/>
  <c r="AL445" i="1"/>
  <c r="AN445" i="1"/>
  <c r="AM445" i="1"/>
  <c r="AB447" i="1" l="1"/>
  <c r="AJ446" i="1"/>
  <c r="AH446" i="1"/>
  <c r="AC446" i="1"/>
  <c r="AD446" i="1"/>
  <c r="AL446" i="1"/>
  <c r="AG446" i="1"/>
  <c r="AM446" i="1"/>
  <c r="AE446" i="1"/>
  <c r="AK446" i="1"/>
  <c r="AI446" i="1"/>
  <c r="AN446" i="1"/>
  <c r="AF446" i="1"/>
  <c r="AB448" i="1" l="1"/>
  <c r="AJ447" i="1"/>
  <c r="AH447" i="1"/>
  <c r="AC447" i="1"/>
  <c r="AD447" i="1"/>
  <c r="AL447" i="1"/>
  <c r="AK447" i="1"/>
  <c r="AF447" i="1"/>
  <c r="AM447" i="1"/>
  <c r="AE447" i="1"/>
  <c r="AG447" i="1"/>
  <c r="AN447" i="1"/>
  <c r="AI447" i="1"/>
  <c r="AB449" i="1" l="1"/>
  <c r="AJ448" i="1"/>
  <c r="AH448" i="1"/>
  <c r="AC448" i="1"/>
  <c r="AE448" i="1"/>
  <c r="AL448" i="1"/>
  <c r="AG448" i="1"/>
  <c r="AI448" i="1"/>
  <c r="AD448" i="1"/>
  <c r="AK448" i="1"/>
  <c r="AF448" i="1"/>
  <c r="AN448" i="1"/>
  <c r="AM448" i="1"/>
  <c r="AB450" i="1" l="1"/>
  <c r="AJ449" i="1"/>
  <c r="AH449" i="1"/>
  <c r="AC449" i="1"/>
  <c r="AD449" i="1"/>
  <c r="AK449" i="1"/>
  <c r="AI449" i="1"/>
  <c r="AL449" i="1"/>
  <c r="AN449" i="1"/>
  <c r="AE449" i="1"/>
  <c r="AF449" i="1"/>
  <c r="AM449" i="1"/>
  <c r="AG449" i="1"/>
  <c r="AB451" i="1" l="1"/>
  <c r="AJ450" i="1"/>
  <c r="AH450" i="1"/>
  <c r="AC450" i="1"/>
  <c r="AK450" i="1"/>
  <c r="AF450" i="1"/>
  <c r="AM450" i="1"/>
  <c r="AD450" i="1"/>
  <c r="AE450" i="1"/>
  <c r="AL450" i="1"/>
  <c r="AG450" i="1"/>
  <c r="AN450" i="1"/>
  <c r="AI450" i="1"/>
  <c r="AB452" i="1" l="1"/>
  <c r="AJ451" i="1"/>
  <c r="AH451" i="1"/>
  <c r="AC451" i="1"/>
  <c r="AL451" i="1"/>
  <c r="AN451" i="1"/>
  <c r="AF451" i="1"/>
  <c r="AD451" i="1"/>
  <c r="AE451" i="1"/>
  <c r="AG451" i="1"/>
  <c r="AK451" i="1"/>
  <c r="AI451" i="1"/>
  <c r="AM451" i="1"/>
  <c r="AB453" i="1" l="1"/>
  <c r="AJ452" i="1"/>
  <c r="AH452" i="1"/>
  <c r="AC452" i="1"/>
  <c r="AD452" i="1"/>
  <c r="AE452" i="1"/>
  <c r="AL452" i="1"/>
  <c r="AG452" i="1"/>
  <c r="AI452" i="1"/>
  <c r="AF452" i="1"/>
  <c r="AM452" i="1"/>
  <c r="AN452" i="1"/>
  <c r="AK452" i="1"/>
  <c r="AB454" i="1" l="1"/>
  <c r="AJ453" i="1"/>
  <c r="AH453" i="1"/>
  <c r="AC453" i="1"/>
  <c r="AE453" i="1"/>
  <c r="AL453" i="1"/>
  <c r="AG453" i="1"/>
  <c r="AN453" i="1"/>
  <c r="AK453" i="1"/>
  <c r="AI453" i="1"/>
  <c r="AD453" i="1"/>
  <c r="AM453" i="1"/>
  <c r="AF453" i="1"/>
  <c r="AB455" i="1" l="1"/>
  <c r="AJ454" i="1"/>
  <c r="AH454" i="1"/>
  <c r="AC454" i="1"/>
  <c r="AD454" i="1"/>
  <c r="AE454" i="1"/>
  <c r="AL454" i="1"/>
  <c r="AN454" i="1"/>
  <c r="AK454" i="1"/>
  <c r="AI454" i="1"/>
  <c r="AM454" i="1"/>
  <c r="AG454" i="1"/>
  <c r="AF454" i="1"/>
  <c r="AB456" i="1" l="1"/>
  <c r="AJ455" i="1"/>
  <c r="AH455" i="1"/>
  <c r="AC455" i="1"/>
  <c r="AL455" i="1"/>
  <c r="AG455" i="1"/>
  <c r="AN455" i="1"/>
  <c r="AM455" i="1"/>
  <c r="AD455" i="1"/>
  <c r="AK455" i="1"/>
  <c r="AF455" i="1"/>
  <c r="AE455" i="1"/>
  <c r="AI455" i="1"/>
  <c r="AB457" i="1" l="1"/>
  <c r="AJ456" i="1"/>
  <c r="AH456" i="1"/>
  <c r="AC456" i="1"/>
  <c r="AD456" i="1"/>
  <c r="AN456" i="1"/>
  <c r="AK456" i="1"/>
  <c r="AI456" i="1"/>
  <c r="AE456" i="1"/>
  <c r="AL456" i="1"/>
  <c r="AG456" i="1"/>
  <c r="AM456" i="1"/>
  <c r="AF456" i="1"/>
  <c r="AB458" i="1" l="1"/>
  <c r="AJ457" i="1"/>
  <c r="AH457" i="1"/>
  <c r="AC457" i="1"/>
  <c r="AD457" i="1"/>
  <c r="AG457" i="1"/>
  <c r="AN457" i="1"/>
  <c r="AM457" i="1"/>
  <c r="AL457" i="1"/>
  <c r="AF457" i="1"/>
  <c r="AE457" i="1"/>
  <c r="AI457" i="1"/>
  <c r="AK457" i="1"/>
  <c r="AB459" i="1" l="1"/>
  <c r="AJ458" i="1"/>
  <c r="AH458" i="1"/>
  <c r="AC458" i="1"/>
  <c r="AD458" i="1"/>
  <c r="AE458" i="1"/>
  <c r="AL458" i="1"/>
  <c r="AG458" i="1"/>
  <c r="AN458" i="1"/>
  <c r="AK458" i="1"/>
  <c r="AF458" i="1"/>
  <c r="AM458" i="1"/>
  <c r="AI458" i="1"/>
  <c r="AB460" i="1" l="1"/>
  <c r="AJ459" i="1"/>
  <c r="AH459" i="1"/>
  <c r="AC459" i="1"/>
  <c r="AE459" i="1"/>
  <c r="AI459" i="1"/>
  <c r="AF459" i="1"/>
  <c r="AM459" i="1"/>
  <c r="AD459" i="1"/>
  <c r="AG459" i="1"/>
  <c r="AK459" i="1"/>
  <c r="AN459" i="1"/>
  <c r="AL459" i="1"/>
  <c r="AB461" i="1" l="1"/>
  <c r="AJ460" i="1"/>
  <c r="AH460" i="1"/>
  <c r="AC460" i="1"/>
  <c r="AD460" i="1"/>
  <c r="AG460" i="1"/>
  <c r="AN460" i="1"/>
  <c r="AL460" i="1"/>
  <c r="AK460" i="1"/>
  <c r="AF460" i="1"/>
  <c r="AE460" i="1"/>
  <c r="AI460" i="1"/>
  <c r="AM460" i="1"/>
  <c r="AB462" i="1" l="1"/>
  <c r="AJ461" i="1"/>
  <c r="AH461" i="1"/>
  <c r="AC461" i="1"/>
  <c r="AD461" i="1"/>
  <c r="AL461" i="1"/>
  <c r="AN461" i="1"/>
  <c r="AF461" i="1"/>
  <c r="AE461" i="1"/>
  <c r="AK461" i="1"/>
  <c r="AI461" i="1"/>
  <c r="AG461" i="1"/>
  <c r="AM461" i="1"/>
  <c r="AB463" i="1" l="1"/>
  <c r="AJ462" i="1"/>
  <c r="AH462" i="1"/>
  <c r="AC462" i="1"/>
  <c r="AE462" i="1"/>
  <c r="AG462" i="1"/>
  <c r="AN462" i="1"/>
  <c r="AK462" i="1"/>
  <c r="AI462" i="1"/>
  <c r="AM462" i="1"/>
  <c r="AD462" i="1"/>
  <c r="AF462" i="1"/>
  <c r="AL462" i="1"/>
  <c r="AB464" i="1" l="1"/>
  <c r="AJ463" i="1"/>
  <c r="AH463" i="1"/>
  <c r="AC463" i="1"/>
  <c r="AD463" i="1"/>
  <c r="AG463" i="1"/>
  <c r="AN463" i="1"/>
  <c r="AL463" i="1"/>
  <c r="AI463" i="1"/>
  <c r="AM463" i="1"/>
  <c r="AE463" i="1"/>
  <c r="AK463" i="1"/>
  <c r="AF463" i="1"/>
  <c r="AB465" i="1" l="1"/>
  <c r="AJ464" i="1"/>
  <c r="AH464" i="1"/>
  <c r="AC464" i="1"/>
  <c r="AE464" i="1"/>
  <c r="AL464" i="1"/>
  <c r="AG464" i="1"/>
  <c r="AK464" i="1"/>
  <c r="AI464" i="1"/>
  <c r="AF464" i="1"/>
  <c r="AM464" i="1"/>
  <c r="AD464" i="1"/>
  <c r="AN464" i="1"/>
  <c r="AB466" i="1" l="1"/>
  <c r="AJ465" i="1"/>
  <c r="AH465" i="1"/>
  <c r="AC465" i="1"/>
  <c r="AD465" i="1"/>
  <c r="AI465" i="1"/>
  <c r="AM465" i="1"/>
  <c r="AE465" i="1"/>
  <c r="AL465" i="1"/>
  <c r="AF465" i="1"/>
  <c r="AG465" i="1"/>
  <c r="AN465" i="1"/>
  <c r="AK465" i="1"/>
  <c r="AB467" i="1" l="1"/>
  <c r="AJ466" i="1"/>
  <c r="AH466" i="1"/>
  <c r="AC466" i="1"/>
  <c r="AD466" i="1"/>
  <c r="AE466" i="1"/>
  <c r="AL466" i="1"/>
  <c r="AG466" i="1"/>
  <c r="AN466" i="1"/>
  <c r="AF466" i="1"/>
  <c r="AM466" i="1"/>
  <c r="AI466" i="1"/>
  <c r="AK466" i="1"/>
  <c r="AB468" i="1" l="1"/>
  <c r="AJ467" i="1"/>
  <c r="AH467" i="1"/>
  <c r="AC467" i="1"/>
  <c r="AD467" i="1"/>
  <c r="AE467" i="1"/>
  <c r="AG467" i="1"/>
  <c r="AK467" i="1"/>
  <c r="AI467" i="1"/>
  <c r="AF467" i="1"/>
  <c r="AM467" i="1"/>
  <c r="AN467" i="1"/>
  <c r="AL467" i="1"/>
  <c r="AB469" i="1" l="1"/>
  <c r="AJ468" i="1"/>
  <c r="AH468" i="1"/>
  <c r="AC468" i="1"/>
  <c r="AE468" i="1"/>
  <c r="AL468" i="1"/>
  <c r="AN468" i="1"/>
  <c r="AK468" i="1"/>
  <c r="AI468" i="1"/>
  <c r="AF468" i="1"/>
  <c r="AM468" i="1"/>
  <c r="AD468" i="1"/>
  <c r="AG468" i="1"/>
  <c r="AB470" i="1" l="1"/>
  <c r="AJ469" i="1"/>
  <c r="AH469" i="1"/>
  <c r="AC469" i="1"/>
  <c r="AD469" i="1"/>
  <c r="AE469" i="1"/>
  <c r="AG469" i="1"/>
  <c r="AN469" i="1"/>
  <c r="AK469" i="1"/>
  <c r="AI469" i="1"/>
  <c r="AM469" i="1"/>
  <c r="AL469" i="1"/>
  <c r="AF469" i="1"/>
  <c r="AB471" i="1" l="1"/>
  <c r="AJ470" i="1"/>
  <c r="AH470" i="1"/>
  <c r="AC470" i="1"/>
  <c r="AE470" i="1"/>
  <c r="AL470" i="1"/>
  <c r="AM470" i="1"/>
  <c r="AD470" i="1"/>
  <c r="AG470" i="1"/>
  <c r="AN470" i="1"/>
  <c r="AI470" i="1"/>
  <c r="AF470" i="1"/>
  <c r="AK470" i="1"/>
  <c r="AB472" i="1" l="1"/>
  <c r="AJ471" i="1"/>
  <c r="AH471" i="1"/>
  <c r="AC471" i="1"/>
  <c r="AE471" i="1"/>
  <c r="AK471" i="1"/>
  <c r="AF471" i="1"/>
  <c r="AM471" i="1"/>
  <c r="AD471" i="1"/>
  <c r="AL471" i="1"/>
  <c r="AG471" i="1"/>
  <c r="AN471" i="1"/>
  <c r="AI471" i="1"/>
  <c r="AB473" i="1" l="1"/>
  <c r="AJ472" i="1"/>
  <c r="AH472" i="1"/>
  <c r="AC472" i="1"/>
  <c r="AD472" i="1"/>
  <c r="AL472" i="1"/>
  <c r="AE472" i="1"/>
  <c r="AG472" i="1"/>
  <c r="AN472" i="1"/>
  <c r="AI472" i="1"/>
  <c r="AF472" i="1"/>
  <c r="AM472" i="1"/>
  <c r="AK472" i="1"/>
  <c r="AB474" i="1" l="1"/>
  <c r="AJ473" i="1"/>
  <c r="AH473" i="1"/>
  <c r="AC473" i="1"/>
  <c r="AE473" i="1"/>
  <c r="AG473" i="1"/>
  <c r="AK473" i="1"/>
  <c r="AI473" i="1"/>
  <c r="AM473" i="1"/>
  <c r="AD473" i="1"/>
  <c r="AN473" i="1"/>
  <c r="AL473" i="1"/>
  <c r="AF473" i="1"/>
  <c r="AB475" i="1" l="1"/>
  <c r="AJ474" i="1"/>
  <c r="AH474" i="1"/>
  <c r="AC474" i="1"/>
  <c r="AD474" i="1"/>
  <c r="AE474" i="1"/>
  <c r="AL474" i="1"/>
  <c r="AN474" i="1"/>
  <c r="AI474" i="1"/>
  <c r="AM474" i="1"/>
  <c r="AG474" i="1"/>
  <c r="AF474" i="1"/>
  <c r="AK474" i="1"/>
  <c r="AB476" i="1" l="1"/>
  <c r="AJ475" i="1"/>
  <c r="AH475" i="1"/>
  <c r="AC475" i="1"/>
  <c r="AD475" i="1"/>
  <c r="AL475" i="1"/>
  <c r="AG475" i="1"/>
  <c r="AN475" i="1"/>
  <c r="AK475" i="1"/>
  <c r="AI475" i="1"/>
  <c r="AE475" i="1"/>
  <c r="AF475" i="1"/>
  <c r="AM475" i="1"/>
  <c r="AB477" i="1" l="1"/>
  <c r="AJ476" i="1"/>
  <c r="AH476" i="1"/>
  <c r="AC476" i="1"/>
  <c r="AD476" i="1"/>
  <c r="AE476" i="1"/>
  <c r="AG476" i="1"/>
  <c r="AN476" i="1"/>
  <c r="AF476" i="1"/>
  <c r="AM476" i="1"/>
  <c r="AL476" i="1"/>
  <c r="AI476" i="1"/>
  <c r="AK476" i="1"/>
  <c r="AB478" i="1" l="1"/>
  <c r="AJ477" i="1"/>
  <c r="AH477" i="1"/>
  <c r="AC477" i="1"/>
  <c r="AL477" i="1"/>
  <c r="AI477" i="1"/>
  <c r="AM477" i="1"/>
  <c r="AD477" i="1"/>
  <c r="AG477" i="1"/>
  <c r="AN477" i="1"/>
  <c r="AK477" i="1"/>
  <c r="AF477" i="1"/>
  <c r="AE477" i="1"/>
  <c r="AB479" i="1" l="1"/>
  <c r="AJ478" i="1"/>
  <c r="AH478" i="1"/>
  <c r="AC478" i="1"/>
  <c r="AD478" i="1"/>
  <c r="AG478" i="1"/>
  <c r="AM478" i="1"/>
  <c r="AL478" i="1"/>
  <c r="AN478" i="1"/>
  <c r="AF478" i="1"/>
  <c r="AE478" i="1"/>
  <c r="AI478" i="1"/>
  <c r="AK478" i="1"/>
  <c r="AB480" i="1" l="1"/>
  <c r="AJ479" i="1"/>
  <c r="AH479" i="1"/>
  <c r="AC479" i="1"/>
  <c r="AL479" i="1"/>
  <c r="AK479" i="1"/>
  <c r="AI479" i="1"/>
  <c r="AF479" i="1"/>
  <c r="AD479" i="1"/>
  <c r="AE479" i="1"/>
  <c r="AG479" i="1"/>
  <c r="AN479" i="1"/>
  <c r="AM479" i="1"/>
  <c r="AB481" i="1" l="1"/>
  <c r="AJ480" i="1"/>
  <c r="AH480" i="1"/>
  <c r="AC480" i="1"/>
  <c r="AD480" i="1"/>
  <c r="AE480" i="1"/>
  <c r="AN480" i="1"/>
  <c r="AI480" i="1"/>
  <c r="AG480" i="1"/>
  <c r="AM480" i="1"/>
  <c r="AL480" i="1"/>
  <c r="AK480" i="1"/>
  <c r="AF480" i="1"/>
  <c r="AB482" i="1" l="1"/>
  <c r="AJ481" i="1"/>
  <c r="AH481" i="1"/>
  <c r="AC481" i="1"/>
  <c r="AD481" i="1"/>
  <c r="AE481" i="1"/>
  <c r="AL481" i="1"/>
  <c r="AG481" i="1"/>
  <c r="AN481" i="1"/>
  <c r="AI481" i="1"/>
  <c r="AK481" i="1"/>
  <c r="AF481" i="1"/>
  <c r="AM481" i="1"/>
  <c r="AB483" i="1" l="1"/>
  <c r="AJ482" i="1"/>
  <c r="AH482" i="1"/>
  <c r="AC482" i="1"/>
  <c r="AD482" i="1"/>
  <c r="AL482" i="1"/>
  <c r="AN482" i="1"/>
  <c r="AK482" i="1"/>
  <c r="AF482" i="1"/>
  <c r="AG482" i="1"/>
  <c r="AI482" i="1"/>
  <c r="AM482" i="1"/>
  <c r="AE482" i="1"/>
  <c r="AB484" i="1" l="1"/>
  <c r="AJ483" i="1"/>
  <c r="AH483" i="1"/>
  <c r="AC483" i="1"/>
  <c r="AE483" i="1"/>
  <c r="AD483" i="1"/>
  <c r="AL483" i="1"/>
  <c r="AN483" i="1"/>
  <c r="AK483" i="1"/>
  <c r="AM483" i="1"/>
  <c r="AG483" i="1"/>
  <c r="AI483" i="1"/>
  <c r="AF483" i="1"/>
  <c r="AB485" i="1" l="1"/>
  <c r="AJ484" i="1"/>
  <c r="AH484" i="1"/>
  <c r="AC484" i="1"/>
  <c r="AE484" i="1"/>
  <c r="AL484" i="1"/>
  <c r="AN484" i="1"/>
  <c r="AD484" i="1"/>
  <c r="AG484" i="1"/>
  <c r="AK484" i="1"/>
  <c r="AF484" i="1"/>
  <c r="AM484" i="1"/>
  <c r="AI484" i="1"/>
  <c r="AB486" i="1" l="1"/>
  <c r="AJ485" i="1"/>
  <c r="AH485" i="1"/>
  <c r="AC485" i="1"/>
  <c r="AD485" i="1"/>
  <c r="AG485" i="1"/>
  <c r="AK485" i="1"/>
  <c r="AM485" i="1"/>
  <c r="AE485" i="1"/>
  <c r="AL485" i="1"/>
  <c r="AI485" i="1"/>
  <c r="AN485" i="1"/>
  <c r="AF485" i="1"/>
  <c r="AB487" i="1" l="1"/>
  <c r="AJ486" i="1"/>
  <c r="AH486" i="1"/>
  <c r="AC486" i="1"/>
  <c r="AD486" i="1"/>
  <c r="AE486" i="1"/>
  <c r="AL486" i="1"/>
  <c r="AG486" i="1"/>
  <c r="AK486" i="1"/>
  <c r="AI486" i="1"/>
  <c r="AF486" i="1"/>
  <c r="AN486" i="1"/>
  <c r="AM486" i="1"/>
  <c r="AB488" i="1" l="1"/>
  <c r="AJ487" i="1"/>
  <c r="AH487" i="1"/>
  <c r="AC487" i="1"/>
  <c r="AD487" i="1"/>
  <c r="AE487" i="1"/>
  <c r="AL487" i="1"/>
  <c r="AK487" i="1"/>
  <c r="AF487" i="1"/>
  <c r="AG487" i="1"/>
  <c r="AI487" i="1"/>
  <c r="AM487" i="1"/>
  <c r="AN487" i="1"/>
  <c r="AB489" i="1" l="1"/>
  <c r="AJ488" i="1"/>
  <c r="AH488" i="1"/>
  <c r="AC488" i="1"/>
  <c r="AD488" i="1"/>
  <c r="AE488" i="1"/>
  <c r="AN488" i="1"/>
  <c r="AL488" i="1"/>
  <c r="AK488" i="1"/>
  <c r="AI488" i="1"/>
  <c r="AF488" i="1"/>
  <c r="AG488" i="1"/>
  <c r="AM488" i="1"/>
  <c r="AB490" i="1" l="1"/>
  <c r="AJ489" i="1"/>
  <c r="AH489" i="1"/>
  <c r="AC489" i="1"/>
  <c r="AD489" i="1"/>
  <c r="AE489" i="1"/>
  <c r="AG489" i="1"/>
  <c r="AN489" i="1"/>
  <c r="AK489" i="1"/>
  <c r="AF489" i="1"/>
  <c r="AL489" i="1"/>
  <c r="AM489" i="1"/>
  <c r="AI489" i="1"/>
  <c r="AB491" i="1" l="1"/>
  <c r="AJ490" i="1"/>
  <c r="AH490" i="1"/>
  <c r="AC490" i="1"/>
  <c r="AD490" i="1"/>
  <c r="AL490" i="1"/>
  <c r="AG490" i="1"/>
  <c r="AK490" i="1"/>
  <c r="AM490" i="1"/>
  <c r="AE490" i="1"/>
  <c r="AI490" i="1"/>
  <c r="AF490" i="1"/>
  <c r="AN490" i="1"/>
  <c r="AB492" i="1" l="1"/>
  <c r="AJ491" i="1"/>
  <c r="AH491" i="1"/>
  <c r="AC491" i="1"/>
  <c r="AE491" i="1"/>
  <c r="AL491" i="1"/>
  <c r="AG491" i="1"/>
  <c r="AN491" i="1"/>
  <c r="AI491" i="1"/>
  <c r="AM491" i="1"/>
  <c r="AD491" i="1"/>
  <c r="AK491" i="1"/>
  <c r="AF491" i="1"/>
  <c r="AB493" i="1" l="1"/>
  <c r="AJ492" i="1"/>
  <c r="AH492" i="1"/>
  <c r="AC492" i="1"/>
  <c r="AE492" i="1"/>
  <c r="AN492" i="1"/>
  <c r="AI492" i="1"/>
  <c r="AD492" i="1"/>
  <c r="AL492" i="1"/>
  <c r="AG492" i="1"/>
  <c r="AM492" i="1"/>
  <c r="AK492" i="1"/>
  <c r="AF492" i="1"/>
  <c r="AB494" i="1" l="1"/>
  <c r="AJ493" i="1"/>
  <c r="AH493" i="1"/>
  <c r="AC493" i="1"/>
  <c r="AD493" i="1"/>
  <c r="AE493" i="1"/>
  <c r="AL493" i="1"/>
  <c r="AF493" i="1"/>
  <c r="AM493" i="1"/>
  <c r="AG493" i="1"/>
  <c r="AI493" i="1"/>
  <c r="AK493" i="1"/>
  <c r="AN493" i="1"/>
  <c r="AB495" i="1" l="1"/>
  <c r="AJ494" i="1"/>
  <c r="AH494" i="1"/>
  <c r="AC494" i="1"/>
  <c r="AE494" i="1"/>
  <c r="AL494" i="1"/>
  <c r="AI494" i="1"/>
  <c r="AD494" i="1"/>
  <c r="AN494" i="1"/>
  <c r="AK494" i="1"/>
  <c r="AM494" i="1"/>
  <c r="AG494" i="1"/>
  <c r="AF494" i="1"/>
  <c r="AB496" i="1" l="1"/>
  <c r="AJ495" i="1"/>
  <c r="AH495" i="1"/>
  <c r="AC495" i="1"/>
  <c r="AE495" i="1"/>
  <c r="AL495" i="1"/>
  <c r="AI495" i="1"/>
  <c r="AM495" i="1"/>
  <c r="AD495" i="1"/>
  <c r="AG495" i="1"/>
  <c r="AN495" i="1"/>
  <c r="AF495" i="1"/>
  <c r="AK495" i="1"/>
  <c r="AB497" i="1" l="1"/>
  <c r="AJ496" i="1"/>
  <c r="AH496" i="1"/>
  <c r="AC496" i="1"/>
  <c r="AD496" i="1"/>
  <c r="AG496" i="1"/>
  <c r="AN496" i="1"/>
  <c r="AF496" i="1"/>
  <c r="AE496" i="1"/>
  <c r="AI496" i="1"/>
  <c r="AM496" i="1"/>
  <c r="AL496" i="1"/>
  <c r="AK496" i="1"/>
  <c r="AB498" i="1" l="1"/>
  <c r="AJ497" i="1"/>
  <c r="AH497" i="1"/>
  <c r="AC497" i="1"/>
  <c r="AD497" i="1"/>
  <c r="AE497" i="1"/>
  <c r="AL497" i="1"/>
  <c r="AF497" i="1"/>
  <c r="AG497" i="1"/>
  <c r="AI497" i="1"/>
  <c r="AM497" i="1"/>
  <c r="AK497" i="1"/>
  <c r="AN497" i="1"/>
  <c r="AB499" i="1" l="1"/>
  <c r="AJ498" i="1"/>
  <c r="AH498" i="1"/>
  <c r="AC498" i="1"/>
  <c r="AD498" i="1"/>
  <c r="AE498" i="1"/>
  <c r="AL498" i="1"/>
  <c r="AG498" i="1"/>
  <c r="AI498" i="1"/>
  <c r="AF498" i="1"/>
  <c r="AK498" i="1"/>
  <c r="AN498" i="1"/>
  <c r="AM498" i="1"/>
  <c r="AB500" i="1" l="1"/>
  <c r="AJ499" i="1"/>
  <c r="AH499" i="1"/>
  <c r="AC499" i="1"/>
  <c r="AE499" i="1"/>
  <c r="AN499" i="1"/>
  <c r="AM499" i="1"/>
  <c r="AD499" i="1"/>
  <c r="AL499" i="1"/>
  <c r="AG499" i="1"/>
  <c r="AK499" i="1"/>
  <c r="AI499" i="1"/>
  <c r="AF499" i="1"/>
  <c r="AB501" i="1" l="1"/>
  <c r="AJ500" i="1"/>
  <c r="AH500" i="1"/>
  <c r="AC500" i="1"/>
  <c r="AD500" i="1"/>
  <c r="AE500" i="1"/>
  <c r="AL500" i="1"/>
  <c r="AG500" i="1"/>
  <c r="AN500" i="1"/>
  <c r="AI500" i="1"/>
  <c r="AF500" i="1"/>
  <c r="AK500" i="1"/>
  <c r="AM500" i="1"/>
  <c r="AB502" i="1" l="1"/>
  <c r="AJ501" i="1"/>
  <c r="AH501" i="1"/>
  <c r="AC501" i="1"/>
  <c r="AD501" i="1"/>
  <c r="AG501" i="1"/>
  <c r="AK501" i="1"/>
  <c r="AM501" i="1"/>
  <c r="AL501" i="1"/>
  <c r="AF501" i="1"/>
  <c r="AE501" i="1"/>
  <c r="AN501" i="1"/>
  <c r="AI501" i="1"/>
  <c r="AB503" i="1" l="1"/>
  <c r="AJ502" i="1"/>
  <c r="AH502" i="1"/>
  <c r="AC502" i="1"/>
  <c r="AD502" i="1"/>
  <c r="AE502" i="1"/>
  <c r="AL502" i="1"/>
  <c r="AN502" i="1"/>
  <c r="AK502" i="1"/>
  <c r="AI502" i="1"/>
  <c r="AG502" i="1"/>
  <c r="AF502" i="1"/>
  <c r="AM502" i="1"/>
  <c r="AB504" i="1" l="1"/>
  <c r="AJ503" i="1"/>
  <c r="AH503" i="1"/>
  <c r="AC503" i="1"/>
  <c r="AD503" i="1"/>
  <c r="AL503" i="1"/>
  <c r="AG503" i="1"/>
  <c r="AN503" i="1"/>
  <c r="AK503" i="1"/>
  <c r="AI503" i="1"/>
  <c r="AE503" i="1"/>
  <c r="AF503" i="1"/>
  <c r="AM503" i="1"/>
  <c r="AB505" i="1" l="1"/>
  <c r="AJ504" i="1"/>
  <c r="AH504" i="1"/>
  <c r="AC504" i="1"/>
  <c r="AD504" i="1"/>
  <c r="AL504" i="1"/>
  <c r="AG504" i="1"/>
  <c r="AI504" i="1"/>
  <c r="AN504" i="1"/>
  <c r="AE504" i="1"/>
  <c r="AK504" i="1"/>
  <c r="AF504" i="1"/>
  <c r="AM504" i="1"/>
  <c r="AB506" i="1" l="1"/>
  <c r="AJ505" i="1"/>
  <c r="AH505" i="1"/>
  <c r="AC505" i="1"/>
  <c r="AE505" i="1"/>
  <c r="AN505" i="1"/>
  <c r="AK505" i="1"/>
  <c r="AI505" i="1"/>
  <c r="AF505" i="1"/>
  <c r="AM505" i="1"/>
  <c r="AD505" i="1"/>
  <c r="AL505" i="1"/>
  <c r="AG505" i="1"/>
  <c r="AB507" i="1" l="1"/>
  <c r="AJ506" i="1"/>
  <c r="AH506" i="1"/>
  <c r="AC506" i="1"/>
  <c r="AD506" i="1"/>
  <c r="AE506" i="1"/>
  <c r="AL506" i="1"/>
  <c r="AN506" i="1"/>
  <c r="AK506" i="1"/>
  <c r="AI506" i="1"/>
  <c r="AG506" i="1"/>
  <c r="AF506" i="1"/>
  <c r="AM506" i="1"/>
  <c r="AB508" i="1" l="1"/>
  <c r="AJ507" i="1"/>
  <c r="AH507" i="1"/>
  <c r="AC507" i="1"/>
  <c r="AD507" i="1"/>
  <c r="AE507" i="1"/>
  <c r="AK507" i="1"/>
  <c r="AF507" i="1"/>
  <c r="AM507" i="1"/>
  <c r="AL507" i="1"/>
  <c r="AG507" i="1"/>
  <c r="AN507" i="1"/>
  <c r="AI507" i="1"/>
  <c r="AB509" i="1" l="1"/>
  <c r="AJ508" i="1"/>
  <c r="AH508" i="1"/>
  <c r="AC508" i="1"/>
  <c r="AD508" i="1"/>
  <c r="AE508" i="1"/>
  <c r="AL508" i="1"/>
  <c r="AN508" i="1"/>
  <c r="AK508" i="1"/>
  <c r="AG508" i="1"/>
  <c r="AI508" i="1"/>
  <c r="AF508" i="1"/>
  <c r="AM508" i="1"/>
  <c r="AB510" i="1" l="1"/>
  <c r="AJ509" i="1"/>
  <c r="AH509" i="1"/>
  <c r="AC509" i="1"/>
  <c r="AD509" i="1"/>
  <c r="AL509" i="1"/>
  <c r="AN509" i="1"/>
  <c r="AK509" i="1"/>
  <c r="AI509" i="1"/>
  <c r="AM509" i="1"/>
  <c r="AE509" i="1"/>
  <c r="AG509" i="1"/>
  <c r="AF509" i="1"/>
  <c r="AB511" i="1" l="1"/>
  <c r="AJ510" i="1"/>
  <c r="AH510" i="1"/>
  <c r="AC510" i="1"/>
  <c r="AD510" i="1"/>
  <c r="AG510" i="1"/>
  <c r="AN510" i="1"/>
  <c r="AI510" i="1"/>
  <c r="AL510" i="1"/>
  <c r="AM510" i="1"/>
  <c r="AE510" i="1"/>
  <c r="AK510" i="1"/>
  <c r="AF510" i="1"/>
  <c r="AB512" i="1" l="1"/>
  <c r="AJ511" i="1"/>
  <c r="AH511" i="1"/>
  <c r="AC511" i="1"/>
  <c r="AD511" i="1"/>
  <c r="AE511" i="1"/>
  <c r="AL511" i="1"/>
  <c r="AN511" i="1"/>
  <c r="AF511" i="1"/>
  <c r="AG511" i="1"/>
  <c r="AI511" i="1"/>
  <c r="AK511" i="1"/>
  <c r="AM511" i="1"/>
  <c r="AB513" i="1" l="1"/>
  <c r="AJ512" i="1"/>
  <c r="AH512" i="1"/>
  <c r="AC512" i="1"/>
  <c r="AD512" i="1"/>
  <c r="AE512" i="1"/>
  <c r="AG512" i="1"/>
  <c r="AN512" i="1"/>
  <c r="AL512" i="1"/>
  <c r="AK512" i="1"/>
  <c r="AI512" i="1"/>
  <c r="AM512" i="1"/>
  <c r="AF512" i="1"/>
  <c r="AB514" i="1" l="1"/>
  <c r="AJ513" i="1"/>
  <c r="AH513" i="1"/>
  <c r="AC513" i="1"/>
  <c r="AD513" i="1"/>
  <c r="AE513" i="1"/>
  <c r="AL513" i="1"/>
  <c r="AN513" i="1"/>
  <c r="AK513" i="1"/>
  <c r="AI513" i="1"/>
  <c r="AG513" i="1"/>
  <c r="AF513" i="1"/>
  <c r="AM513" i="1"/>
  <c r="AB515" i="1" l="1"/>
  <c r="AJ514" i="1"/>
  <c r="AH514" i="1"/>
  <c r="AC514" i="1"/>
  <c r="AD514" i="1"/>
  <c r="AE514" i="1"/>
  <c r="AG514" i="1"/>
  <c r="AN514" i="1"/>
  <c r="AK514" i="1"/>
  <c r="AI514" i="1"/>
  <c r="AL514" i="1"/>
  <c r="AF514" i="1"/>
  <c r="AM514" i="1"/>
  <c r="AB516" i="1" l="1"/>
  <c r="AJ515" i="1"/>
  <c r="AH515" i="1"/>
  <c r="AC515" i="1"/>
  <c r="AD515" i="1"/>
  <c r="AE515" i="1"/>
  <c r="AG515" i="1"/>
  <c r="AK515" i="1"/>
  <c r="AF515" i="1"/>
  <c r="AM515" i="1"/>
  <c r="AL515" i="1"/>
  <c r="AI515" i="1"/>
  <c r="AN515" i="1"/>
  <c r="AB517" i="1" l="1"/>
  <c r="AJ516" i="1"/>
  <c r="AH516" i="1"/>
  <c r="AC516" i="1"/>
  <c r="AD516" i="1"/>
  <c r="AE516" i="1"/>
  <c r="AG516" i="1"/>
  <c r="AN516" i="1"/>
  <c r="AF516" i="1"/>
  <c r="AL516" i="1"/>
  <c r="AI516" i="1"/>
  <c r="AM516" i="1"/>
  <c r="AK516" i="1"/>
  <c r="AB518" i="1" l="1"/>
  <c r="AJ517" i="1"/>
  <c r="AH517" i="1"/>
  <c r="AC517" i="1"/>
  <c r="AD517" i="1"/>
  <c r="AE517" i="1"/>
  <c r="AL517" i="1"/>
  <c r="AN517" i="1"/>
  <c r="AI517" i="1"/>
  <c r="AG517" i="1"/>
  <c r="AF517" i="1"/>
  <c r="AM517" i="1"/>
  <c r="AK517" i="1"/>
  <c r="AB519" i="1" l="1"/>
  <c r="AJ518" i="1"/>
  <c r="AH518" i="1"/>
  <c r="AC518" i="1"/>
  <c r="AD518" i="1"/>
  <c r="AE518" i="1"/>
  <c r="AG518" i="1"/>
  <c r="AK518" i="1"/>
  <c r="AF518" i="1"/>
  <c r="AL518" i="1"/>
  <c r="AI518" i="1"/>
  <c r="AM518" i="1"/>
  <c r="AN518" i="1"/>
  <c r="AB520" i="1" l="1"/>
  <c r="AJ519" i="1"/>
  <c r="AH519" i="1"/>
  <c r="AC519" i="1"/>
  <c r="AD519" i="1"/>
  <c r="AE519" i="1"/>
  <c r="AG519" i="1"/>
  <c r="AN519" i="1"/>
  <c r="AF519" i="1"/>
  <c r="AM519" i="1"/>
  <c r="AL519" i="1"/>
  <c r="AI519" i="1"/>
  <c r="AK519" i="1"/>
  <c r="AB521" i="1" l="1"/>
  <c r="AJ520" i="1"/>
  <c r="AH520" i="1"/>
  <c r="AC520" i="1"/>
  <c r="AD520" i="1"/>
  <c r="AE520" i="1"/>
  <c r="AG520" i="1"/>
  <c r="AF520" i="1"/>
  <c r="AL520" i="1"/>
  <c r="AK520" i="1"/>
  <c r="AI520" i="1"/>
  <c r="AM520" i="1"/>
  <c r="AN520" i="1"/>
  <c r="AB522" i="1" l="1"/>
  <c r="AJ521" i="1"/>
  <c r="AH521" i="1"/>
  <c r="AC521" i="1"/>
  <c r="AD521" i="1"/>
  <c r="AE521" i="1"/>
  <c r="AG521" i="1"/>
  <c r="AN521" i="1"/>
  <c r="AK521" i="1"/>
  <c r="AL521" i="1"/>
  <c r="AF521" i="1"/>
  <c r="AM521" i="1"/>
  <c r="AI521" i="1"/>
  <c r="AB523" i="1" l="1"/>
  <c r="AJ522" i="1"/>
  <c r="AH522" i="1"/>
  <c r="AC522" i="1"/>
  <c r="AD522" i="1"/>
  <c r="AE522" i="1"/>
  <c r="AF522" i="1"/>
  <c r="AL522" i="1"/>
  <c r="AG522" i="1"/>
  <c r="AN522" i="1"/>
  <c r="AI522" i="1"/>
  <c r="AK522" i="1"/>
  <c r="AM522" i="1"/>
  <c r="AB524" i="1" l="1"/>
  <c r="AJ523" i="1"/>
  <c r="AH523" i="1"/>
  <c r="AC523" i="1"/>
  <c r="AD523" i="1"/>
  <c r="AE523" i="1"/>
  <c r="AN523" i="1"/>
  <c r="AK523" i="1"/>
  <c r="AL523" i="1"/>
  <c r="AG523" i="1"/>
  <c r="AF523" i="1"/>
  <c r="AM523" i="1"/>
  <c r="AI523" i="1"/>
  <c r="AB525" i="1" l="1"/>
  <c r="AJ524" i="1"/>
  <c r="AH524" i="1"/>
  <c r="AC524" i="1"/>
  <c r="AD524" i="1"/>
  <c r="AL524" i="1"/>
  <c r="AE524" i="1"/>
  <c r="AG524" i="1"/>
  <c r="AK524" i="1"/>
  <c r="AI524" i="1"/>
  <c r="AM524" i="1"/>
  <c r="AN524" i="1"/>
  <c r="AF524" i="1"/>
  <c r="AB526" i="1" l="1"/>
  <c r="AJ525" i="1"/>
  <c r="AH525" i="1"/>
  <c r="AC525" i="1"/>
  <c r="AL525" i="1"/>
  <c r="AF525" i="1"/>
  <c r="AD525" i="1"/>
  <c r="AE525" i="1"/>
  <c r="AG525" i="1"/>
  <c r="AN525" i="1"/>
  <c r="AI525" i="1"/>
  <c r="AM525" i="1"/>
  <c r="AK525" i="1"/>
  <c r="AB527" i="1" l="1"/>
  <c r="AJ526" i="1"/>
  <c r="AH526" i="1"/>
  <c r="AC526" i="1"/>
  <c r="AD526" i="1"/>
  <c r="AE526" i="1"/>
  <c r="AG526" i="1"/>
  <c r="AN526" i="1"/>
  <c r="AF526" i="1"/>
  <c r="AL526" i="1"/>
  <c r="AI526" i="1"/>
  <c r="AM526" i="1"/>
  <c r="AK526" i="1"/>
  <c r="AB528" i="1" l="1"/>
  <c r="AJ527" i="1"/>
  <c r="AH527" i="1"/>
  <c r="AC527" i="1"/>
  <c r="AD527" i="1"/>
  <c r="AL527" i="1"/>
  <c r="AK527" i="1"/>
  <c r="AF527" i="1"/>
  <c r="AM527" i="1"/>
  <c r="AE527" i="1"/>
  <c r="AN527" i="1"/>
  <c r="AG527" i="1"/>
  <c r="AI527" i="1"/>
  <c r="AB529" i="1" l="1"/>
  <c r="AJ528" i="1"/>
  <c r="AH528" i="1"/>
  <c r="AC528" i="1"/>
  <c r="AD528" i="1"/>
  <c r="AE528" i="1"/>
  <c r="AL528" i="1"/>
  <c r="AN528" i="1"/>
  <c r="AK528" i="1"/>
  <c r="AI528" i="1"/>
  <c r="AG528" i="1"/>
  <c r="AF528" i="1"/>
  <c r="AM528" i="1"/>
  <c r="AB530" i="1" l="1"/>
  <c r="AJ529" i="1"/>
  <c r="AH529" i="1"/>
  <c r="AC529" i="1"/>
  <c r="AD529" i="1"/>
  <c r="AE529" i="1"/>
  <c r="AL529" i="1"/>
  <c r="AN529" i="1"/>
  <c r="AK529" i="1"/>
  <c r="AI529" i="1"/>
  <c r="AG529" i="1"/>
  <c r="AF529" i="1"/>
  <c r="AM529" i="1"/>
  <c r="AB531" i="1" l="1"/>
  <c r="AJ530" i="1"/>
  <c r="AH530" i="1"/>
  <c r="AC530" i="1"/>
  <c r="AD530" i="1"/>
  <c r="AE530" i="1"/>
  <c r="AL530" i="1"/>
  <c r="AG530" i="1"/>
  <c r="AK530" i="1"/>
  <c r="AI530" i="1"/>
  <c r="AN530" i="1"/>
  <c r="AF530" i="1"/>
  <c r="AM530" i="1"/>
  <c r="AB532" i="1" l="1"/>
  <c r="AJ531" i="1"/>
  <c r="AH531" i="1"/>
  <c r="AC531" i="1"/>
  <c r="AD531" i="1"/>
  <c r="AE531" i="1"/>
  <c r="AG531" i="1"/>
  <c r="AN531" i="1"/>
  <c r="AK531" i="1"/>
  <c r="AF531" i="1"/>
  <c r="AI531" i="1"/>
  <c r="AL531" i="1"/>
  <c r="AM531" i="1"/>
  <c r="AB533" i="1" l="1"/>
  <c r="AJ532" i="1"/>
  <c r="AH532" i="1"/>
  <c r="AC532" i="1"/>
  <c r="AD532" i="1"/>
  <c r="AE532" i="1"/>
  <c r="AL532" i="1"/>
  <c r="AK532" i="1"/>
  <c r="AI532" i="1"/>
  <c r="AN532" i="1"/>
  <c r="AG532" i="1"/>
  <c r="AF532" i="1"/>
  <c r="AM532" i="1"/>
  <c r="AB534" i="1" l="1"/>
  <c r="AJ533" i="1"/>
  <c r="AH533" i="1"/>
  <c r="AC533" i="1"/>
  <c r="AD533" i="1"/>
  <c r="AE533" i="1"/>
  <c r="AK533" i="1"/>
  <c r="AF533" i="1"/>
  <c r="AM533" i="1"/>
  <c r="AL533" i="1"/>
  <c r="AG533" i="1"/>
  <c r="AN533" i="1"/>
  <c r="AI533" i="1"/>
  <c r="AB535" i="1" l="1"/>
  <c r="AJ534" i="1"/>
  <c r="AH534" i="1"/>
  <c r="AC534" i="1"/>
  <c r="AD534" i="1"/>
  <c r="AE534" i="1"/>
  <c r="AL534" i="1"/>
  <c r="AG534" i="1"/>
  <c r="AN534" i="1"/>
  <c r="AF534" i="1"/>
  <c r="AK534" i="1"/>
  <c r="AI534" i="1"/>
  <c r="AM534" i="1"/>
  <c r="AB536" i="1" l="1"/>
  <c r="AJ535" i="1"/>
  <c r="AH535" i="1"/>
  <c r="AC535" i="1"/>
  <c r="AD535" i="1"/>
  <c r="AE535" i="1"/>
  <c r="AN535" i="1"/>
  <c r="AK535" i="1"/>
  <c r="AI535" i="1"/>
  <c r="AM535" i="1"/>
  <c r="AL535" i="1"/>
  <c r="AG535" i="1"/>
  <c r="AF535" i="1"/>
  <c r="AB537" i="1" l="1"/>
  <c r="AJ536" i="1"/>
  <c r="AH536" i="1"/>
  <c r="AC536" i="1"/>
  <c r="AD536" i="1"/>
  <c r="AE536" i="1"/>
  <c r="AK536" i="1"/>
  <c r="AF536" i="1"/>
  <c r="AM536" i="1"/>
  <c r="AL536" i="1"/>
  <c r="AG536" i="1"/>
  <c r="AN536" i="1"/>
  <c r="AI536" i="1"/>
  <c r="AB538" i="1" l="1"/>
  <c r="AJ537" i="1"/>
  <c r="AH537" i="1"/>
  <c r="AC537" i="1"/>
  <c r="AD537" i="1"/>
  <c r="AE537" i="1"/>
  <c r="AL537" i="1"/>
  <c r="AK537" i="1"/>
  <c r="AI537" i="1"/>
  <c r="AM537" i="1"/>
  <c r="AG537" i="1"/>
  <c r="AN537" i="1"/>
  <c r="AF537" i="1"/>
  <c r="AB539" i="1" l="1"/>
  <c r="AJ538" i="1"/>
  <c r="AH538" i="1"/>
  <c r="AC538" i="1"/>
  <c r="AD538" i="1"/>
  <c r="AE538" i="1"/>
  <c r="AI538" i="1"/>
  <c r="AF538" i="1"/>
  <c r="AM538" i="1"/>
  <c r="AL538" i="1"/>
  <c r="AG538" i="1"/>
  <c r="AN538" i="1"/>
  <c r="AK538" i="1"/>
  <c r="AB540" i="1" l="1"/>
  <c r="AJ539" i="1"/>
  <c r="AH539" i="1"/>
  <c r="AC539" i="1"/>
  <c r="AL539" i="1"/>
  <c r="AG539" i="1"/>
  <c r="AN539" i="1"/>
  <c r="AD539" i="1"/>
  <c r="AK539" i="1"/>
  <c r="AF539" i="1"/>
  <c r="AM539" i="1"/>
  <c r="AE539" i="1"/>
  <c r="AI539" i="1"/>
  <c r="AB541" i="1" l="1"/>
  <c r="AJ540" i="1"/>
  <c r="AH540" i="1"/>
  <c r="AC540" i="1"/>
  <c r="AD540" i="1"/>
  <c r="AE540" i="1"/>
  <c r="AL540" i="1"/>
  <c r="AG540" i="1"/>
  <c r="AN540" i="1"/>
  <c r="AF540" i="1"/>
  <c r="AI540" i="1"/>
  <c r="AK540" i="1"/>
  <c r="AM540" i="1"/>
  <c r="AB542" i="1" l="1"/>
  <c r="AJ541" i="1"/>
  <c r="AH541" i="1"/>
  <c r="AC541" i="1"/>
  <c r="AD541" i="1"/>
  <c r="AE541" i="1"/>
  <c r="AG541" i="1"/>
  <c r="AN541" i="1"/>
  <c r="AK541" i="1"/>
  <c r="AI541" i="1"/>
  <c r="AL541" i="1"/>
  <c r="AF541" i="1"/>
  <c r="AM541" i="1"/>
  <c r="AB543" i="1" l="1"/>
  <c r="AJ542" i="1"/>
  <c r="AH542" i="1"/>
  <c r="AC542" i="1"/>
  <c r="AD542" i="1"/>
  <c r="AE542" i="1"/>
  <c r="AL542" i="1"/>
  <c r="AK542" i="1"/>
  <c r="AI542" i="1"/>
  <c r="AM542" i="1"/>
  <c r="AG542" i="1"/>
  <c r="AF542" i="1"/>
  <c r="AN542" i="1"/>
  <c r="AB544" i="1" l="1"/>
  <c r="AJ543" i="1"/>
  <c r="AH543" i="1"/>
  <c r="AC543" i="1"/>
  <c r="AD543" i="1"/>
  <c r="AE543" i="1"/>
  <c r="AG543" i="1"/>
  <c r="AN543" i="1"/>
  <c r="AL543" i="1"/>
  <c r="AI543" i="1"/>
  <c r="AM543" i="1"/>
  <c r="AK543" i="1"/>
  <c r="AF543" i="1"/>
  <c r="AB545" i="1" l="1"/>
  <c r="AJ544" i="1"/>
  <c r="AH544" i="1"/>
  <c r="AC544" i="1"/>
  <c r="AD544" i="1"/>
  <c r="AE544" i="1"/>
  <c r="AL544" i="1"/>
  <c r="AG544" i="1"/>
  <c r="AN544" i="1"/>
  <c r="AI544" i="1"/>
  <c r="AF544" i="1"/>
  <c r="AK544" i="1"/>
  <c r="AM544" i="1"/>
  <c r="AB546" i="1" l="1"/>
  <c r="AJ545" i="1"/>
  <c r="AH545" i="1"/>
  <c r="AC545" i="1"/>
  <c r="AD545" i="1"/>
  <c r="AE545" i="1"/>
  <c r="AG545" i="1"/>
  <c r="AN545" i="1"/>
  <c r="AL545" i="1"/>
  <c r="AK545" i="1"/>
  <c r="AI545" i="1"/>
  <c r="AF545" i="1"/>
  <c r="AM545" i="1"/>
  <c r="AB547" i="1" l="1"/>
  <c r="AJ546" i="1"/>
  <c r="AH546" i="1"/>
  <c r="AC546" i="1"/>
  <c r="AD546" i="1"/>
  <c r="AL546" i="1"/>
  <c r="AE546" i="1"/>
  <c r="AN546" i="1"/>
  <c r="AK546" i="1"/>
  <c r="AF546" i="1"/>
  <c r="AM546" i="1"/>
  <c r="AG546" i="1"/>
  <c r="AI546" i="1"/>
  <c r="AB548" i="1" l="1"/>
  <c r="AJ547" i="1"/>
  <c r="AH547" i="1"/>
  <c r="AC547" i="1"/>
  <c r="AD547" i="1"/>
  <c r="AE547" i="1"/>
  <c r="AG547" i="1"/>
  <c r="AI547" i="1"/>
  <c r="AF547" i="1"/>
  <c r="AM547" i="1"/>
  <c r="AL547" i="1"/>
  <c r="AK547" i="1"/>
  <c r="AN547" i="1"/>
  <c r="AB549" i="1" l="1"/>
  <c r="AJ548" i="1"/>
  <c r="AH548" i="1"/>
  <c r="AC548" i="1"/>
  <c r="AD548" i="1"/>
  <c r="AE548" i="1"/>
  <c r="AL548" i="1"/>
  <c r="AN548" i="1"/>
  <c r="AF548" i="1"/>
  <c r="AM548" i="1"/>
  <c r="AG548" i="1"/>
  <c r="AI548" i="1"/>
  <c r="AK548" i="1"/>
  <c r="AB550" i="1" l="1"/>
  <c r="AJ549" i="1"/>
  <c r="AH549" i="1"/>
  <c r="AC549" i="1"/>
  <c r="AD549" i="1"/>
  <c r="AE549" i="1"/>
  <c r="AG549" i="1"/>
  <c r="AN549" i="1"/>
  <c r="AF549" i="1"/>
  <c r="AL549" i="1"/>
  <c r="AK549" i="1"/>
  <c r="AI549" i="1"/>
  <c r="AM549" i="1"/>
  <c r="AB551" i="1" l="1"/>
  <c r="AJ550" i="1"/>
  <c r="AH550" i="1"/>
  <c r="AC550" i="1"/>
  <c r="AD550" i="1"/>
  <c r="AE550" i="1"/>
  <c r="AG550" i="1"/>
  <c r="AK550" i="1"/>
  <c r="AI550" i="1"/>
  <c r="AM550" i="1"/>
  <c r="AL550" i="1"/>
  <c r="AF550" i="1"/>
  <c r="AN550" i="1"/>
  <c r="AB552" i="1" l="1"/>
  <c r="AJ551" i="1"/>
  <c r="AH551" i="1"/>
  <c r="AC551" i="1"/>
  <c r="AD551" i="1"/>
  <c r="AE551" i="1"/>
  <c r="AK551" i="1"/>
  <c r="AL551" i="1"/>
  <c r="AG551" i="1"/>
  <c r="AN551" i="1"/>
  <c r="AF551" i="1"/>
  <c r="AI551" i="1"/>
  <c r="AM551" i="1"/>
  <c r="AB553" i="1" l="1"/>
  <c r="AJ552" i="1"/>
  <c r="AH552" i="1"/>
  <c r="AC552" i="1"/>
  <c r="AD552" i="1"/>
  <c r="AL552" i="1"/>
  <c r="AN552" i="1"/>
  <c r="AK552" i="1"/>
  <c r="AF552" i="1"/>
  <c r="AE552" i="1"/>
  <c r="AM552" i="1"/>
  <c r="AG552" i="1"/>
  <c r="AI552" i="1"/>
  <c r="AB554" i="1" l="1"/>
  <c r="AJ553" i="1"/>
  <c r="AH553" i="1"/>
  <c r="AC553" i="1"/>
  <c r="AD553" i="1"/>
  <c r="AE553" i="1"/>
  <c r="AL553" i="1"/>
  <c r="AG553" i="1"/>
  <c r="AN553" i="1"/>
  <c r="AK553" i="1"/>
  <c r="AF553" i="1"/>
  <c r="AI553" i="1"/>
  <c r="AM553" i="1"/>
  <c r="AB555" i="1" l="1"/>
  <c r="AJ554" i="1"/>
  <c r="AH554" i="1"/>
  <c r="AC554" i="1"/>
  <c r="AD554" i="1"/>
  <c r="AE554" i="1"/>
  <c r="AL554" i="1"/>
  <c r="AK554" i="1"/>
  <c r="AF554" i="1"/>
  <c r="AM554" i="1"/>
  <c r="AG554" i="1"/>
  <c r="AI554" i="1"/>
  <c r="AN554" i="1"/>
  <c r="AB556" i="1" l="1"/>
  <c r="AJ555" i="1"/>
  <c r="AH555" i="1"/>
  <c r="AC555" i="1"/>
  <c r="AD555" i="1"/>
  <c r="AE555" i="1"/>
  <c r="AL555" i="1"/>
  <c r="AG555" i="1"/>
  <c r="AN555" i="1"/>
  <c r="AK555" i="1"/>
  <c r="AF555" i="1"/>
  <c r="AI555" i="1"/>
  <c r="AM555" i="1"/>
  <c r="AB557" i="1" l="1"/>
  <c r="AJ556" i="1"/>
  <c r="AH556" i="1"/>
  <c r="AC556" i="1"/>
  <c r="AD556" i="1"/>
  <c r="AE556" i="1"/>
  <c r="AL556" i="1"/>
  <c r="AN556" i="1"/>
  <c r="AI556" i="1"/>
  <c r="AM556" i="1"/>
  <c r="AG556" i="1"/>
  <c r="AF556" i="1"/>
  <c r="AK556" i="1"/>
  <c r="AB558" i="1" l="1"/>
  <c r="AJ557" i="1"/>
  <c r="AH557" i="1"/>
  <c r="AC557" i="1"/>
  <c r="AD557" i="1"/>
  <c r="AE557" i="1"/>
  <c r="AL557" i="1"/>
  <c r="AG557" i="1"/>
  <c r="AN557" i="1"/>
  <c r="AI557" i="1"/>
  <c r="AF557" i="1"/>
  <c r="AM557" i="1"/>
  <c r="AK557" i="1"/>
  <c r="AB559" i="1" l="1"/>
  <c r="AJ558" i="1"/>
  <c r="AH558" i="1"/>
  <c r="AC558" i="1"/>
  <c r="AD558" i="1"/>
  <c r="AE558" i="1"/>
  <c r="AG558" i="1"/>
  <c r="AK558" i="1"/>
  <c r="AM558" i="1"/>
  <c r="AL558" i="1"/>
  <c r="AN558" i="1"/>
  <c r="AI558" i="1"/>
  <c r="AF558" i="1"/>
  <c r="AB560" i="1" l="1"/>
  <c r="AJ559" i="1"/>
  <c r="AH559" i="1"/>
  <c r="AC559" i="1"/>
  <c r="AD559" i="1"/>
  <c r="AE559" i="1"/>
  <c r="AL559" i="1"/>
  <c r="AN559" i="1"/>
  <c r="AI559" i="1"/>
  <c r="AM559" i="1"/>
  <c r="AG559" i="1"/>
  <c r="AF559" i="1"/>
  <c r="AK559" i="1"/>
  <c r="AB561" i="1" l="1"/>
  <c r="AJ560" i="1"/>
  <c r="AH560" i="1"/>
  <c r="AC560" i="1"/>
  <c r="AD560" i="1"/>
  <c r="AE560" i="1"/>
  <c r="AG560" i="1"/>
  <c r="AK560" i="1"/>
  <c r="AI560" i="1"/>
  <c r="AM560" i="1"/>
  <c r="AL560" i="1"/>
  <c r="AN560" i="1"/>
  <c r="AF560" i="1"/>
  <c r="AB562" i="1" l="1"/>
  <c r="AJ561" i="1"/>
  <c r="AH561" i="1"/>
  <c r="AC561" i="1"/>
  <c r="AD561" i="1"/>
  <c r="AE561" i="1"/>
  <c r="AG561" i="1"/>
  <c r="AI561" i="1"/>
  <c r="AF561" i="1"/>
  <c r="AM561" i="1"/>
  <c r="AL561" i="1"/>
  <c r="AN561" i="1"/>
  <c r="AK561" i="1"/>
  <c r="AB563" i="1" l="1"/>
  <c r="AJ562" i="1"/>
  <c r="AH562" i="1"/>
  <c r="AC562" i="1"/>
  <c r="AD562" i="1"/>
  <c r="AE562" i="1"/>
  <c r="AL562" i="1"/>
  <c r="AN562" i="1"/>
  <c r="AG562" i="1"/>
  <c r="AF562" i="1"/>
  <c r="AM562" i="1"/>
  <c r="AK562" i="1"/>
  <c r="AI562" i="1"/>
  <c r="AB564" i="1" l="1"/>
  <c r="AJ563" i="1"/>
  <c r="AH563" i="1"/>
  <c r="AC563" i="1"/>
  <c r="AD563" i="1"/>
  <c r="AE563" i="1"/>
  <c r="AG563" i="1"/>
  <c r="AN563" i="1"/>
  <c r="AL563" i="1"/>
  <c r="AK563" i="1"/>
  <c r="AI563" i="1"/>
  <c r="AM563" i="1"/>
  <c r="AF563" i="1"/>
  <c r="AB565" i="1" l="1"/>
  <c r="AJ564" i="1"/>
  <c r="AH564" i="1"/>
  <c r="AC564" i="1"/>
  <c r="AD564" i="1"/>
  <c r="AE564" i="1"/>
  <c r="AL564" i="1"/>
  <c r="AN564" i="1"/>
  <c r="AI564" i="1"/>
  <c r="AM564" i="1"/>
  <c r="AG564" i="1"/>
  <c r="AF564" i="1"/>
  <c r="AK564" i="1"/>
  <c r="AB566" i="1" l="1"/>
  <c r="AJ565" i="1"/>
  <c r="AH565" i="1"/>
  <c r="AC565" i="1"/>
  <c r="AD565" i="1"/>
  <c r="AE565" i="1"/>
  <c r="AL565" i="1"/>
  <c r="AG565" i="1"/>
  <c r="AN565" i="1"/>
  <c r="AI565" i="1"/>
  <c r="AF565" i="1"/>
  <c r="AM565" i="1"/>
  <c r="AK565" i="1"/>
  <c r="AB567" i="1" l="1"/>
  <c r="AJ566" i="1"/>
  <c r="AH566" i="1"/>
  <c r="AC566" i="1"/>
  <c r="AD566" i="1"/>
  <c r="AE566" i="1"/>
  <c r="AG566" i="1"/>
  <c r="AN566" i="1"/>
  <c r="AI566" i="1"/>
  <c r="AM566" i="1"/>
  <c r="AL566" i="1"/>
  <c r="AF566" i="1"/>
  <c r="AK566" i="1"/>
  <c r="AB568" i="1" l="1"/>
  <c r="AJ567" i="1"/>
  <c r="AH567" i="1"/>
  <c r="AC567" i="1"/>
  <c r="AD567" i="1"/>
  <c r="AE567" i="1"/>
  <c r="AG567" i="1"/>
  <c r="AK567" i="1"/>
  <c r="AL567" i="1"/>
  <c r="AI567" i="1"/>
  <c r="AM567" i="1"/>
  <c r="AN567" i="1"/>
  <c r="AF567" i="1"/>
  <c r="AB569" i="1" l="1"/>
  <c r="AJ568" i="1"/>
  <c r="AH568" i="1"/>
  <c r="AC568" i="1"/>
  <c r="AD568" i="1"/>
  <c r="AE568" i="1"/>
  <c r="AF568" i="1"/>
  <c r="AL568" i="1"/>
  <c r="AG568" i="1"/>
  <c r="AK568" i="1"/>
  <c r="AI568" i="1"/>
  <c r="AN568" i="1"/>
  <c r="AM568" i="1"/>
  <c r="AB570" i="1" l="1"/>
  <c r="AJ569" i="1"/>
  <c r="AH569" i="1"/>
  <c r="AC569" i="1"/>
  <c r="AD569" i="1"/>
  <c r="AE569" i="1"/>
  <c r="AG569" i="1"/>
  <c r="AK569" i="1"/>
  <c r="AI569" i="1"/>
  <c r="AM569" i="1"/>
  <c r="AL569" i="1"/>
  <c r="AN569" i="1"/>
  <c r="AF569" i="1"/>
  <c r="AB571" i="1" l="1"/>
  <c r="AJ570" i="1"/>
  <c r="AH570" i="1"/>
  <c r="AC570" i="1"/>
  <c r="AD570" i="1"/>
  <c r="AE570" i="1"/>
  <c r="AG570" i="1"/>
  <c r="AK570" i="1"/>
  <c r="AI570" i="1"/>
  <c r="AM570" i="1"/>
  <c r="AL570" i="1"/>
  <c r="AN570" i="1"/>
  <c r="AF570" i="1"/>
  <c r="AB572" i="1" l="1"/>
  <c r="AJ571" i="1"/>
  <c r="AH571" i="1"/>
  <c r="AC571" i="1"/>
  <c r="AD571" i="1"/>
  <c r="AE571" i="1"/>
  <c r="AL571" i="1"/>
  <c r="AN571" i="1"/>
  <c r="AF571" i="1"/>
  <c r="AM571" i="1"/>
  <c r="AG571" i="1"/>
  <c r="AI571" i="1"/>
  <c r="AK571" i="1"/>
  <c r="AB573" i="1" l="1"/>
  <c r="AJ572" i="1"/>
  <c r="AH572" i="1"/>
  <c r="AC572" i="1"/>
  <c r="AD572" i="1"/>
  <c r="AE572" i="1"/>
  <c r="AL572" i="1"/>
  <c r="AN572" i="1"/>
  <c r="AI572" i="1"/>
  <c r="AM572" i="1"/>
  <c r="AG572" i="1"/>
  <c r="AF572" i="1"/>
  <c r="AK572" i="1"/>
  <c r="AB574" i="1" l="1"/>
  <c r="AJ573" i="1"/>
  <c r="AH573" i="1"/>
  <c r="AC573" i="1"/>
  <c r="AD573" i="1"/>
  <c r="AE573" i="1"/>
  <c r="AL573" i="1"/>
  <c r="AN573" i="1"/>
  <c r="AK573" i="1"/>
  <c r="AF573" i="1"/>
  <c r="AG573" i="1"/>
  <c r="AI573" i="1"/>
  <c r="AM573" i="1"/>
  <c r="AB575" i="1" l="1"/>
  <c r="AJ574" i="1"/>
  <c r="AH574" i="1"/>
  <c r="AC574" i="1"/>
  <c r="AD574" i="1"/>
  <c r="AE574" i="1"/>
  <c r="AL574" i="1"/>
  <c r="AG574" i="1"/>
  <c r="AK574" i="1"/>
  <c r="AI574" i="1"/>
  <c r="AM574" i="1"/>
  <c r="AN574" i="1"/>
  <c r="AF574" i="1"/>
  <c r="AB576" i="1" l="1"/>
  <c r="AJ575" i="1"/>
  <c r="AH575" i="1"/>
  <c r="AC575" i="1"/>
  <c r="AD575" i="1"/>
  <c r="AE575" i="1"/>
  <c r="AL575" i="1"/>
  <c r="AN575" i="1"/>
  <c r="AI575" i="1"/>
  <c r="AG575" i="1"/>
  <c r="AF575" i="1"/>
  <c r="AK575" i="1"/>
  <c r="AM575" i="1"/>
  <c r="AB577" i="1" l="1"/>
  <c r="AJ576" i="1"/>
  <c r="AH576" i="1"/>
  <c r="AC576" i="1"/>
  <c r="AD576" i="1"/>
  <c r="AE576" i="1"/>
  <c r="AL576" i="1"/>
  <c r="AN576" i="1"/>
  <c r="AK576" i="1"/>
  <c r="AF576" i="1"/>
  <c r="AM576" i="1"/>
  <c r="AG576" i="1"/>
  <c r="AI576" i="1"/>
  <c r="AB578" i="1" l="1"/>
  <c r="AJ577" i="1"/>
  <c r="AH577" i="1"/>
  <c r="AC577" i="1"/>
  <c r="AE577" i="1"/>
  <c r="AL577" i="1"/>
  <c r="AG577" i="1"/>
  <c r="AN577" i="1"/>
  <c r="AD577" i="1"/>
  <c r="AK577" i="1"/>
  <c r="AI577" i="1"/>
  <c r="AM577" i="1"/>
  <c r="AF577" i="1"/>
  <c r="AB579" i="1" l="1"/>
  <c r="AJ578" i="1"/>
  <c r="AH578" i="1"/>
  <c r="AC578" i="1"/>
  <c r="AD578" i="1"/>
  <c r="AE578" i="1"/>
  <c r="AL578" i="1"/>
  <c r="AN578" i="1"/>
  <c r="AK578" i="1"/>
  <c r="AI578" i="1"/>
  <c r="AM578" i="1"/>
  <c r="AG578" i="1"/>
  <c r="AF578" i="1"/>
  <c r="AB580" i="1" l="1"/>
  <c r="AJ579" i="1"/>
  <c r="AH579" i="1"/>
  <c r="AC579" i="1"/>
  <c r="AD579" i="1"/>
  <c r="AE579" i="1"/>
  <c r="AK579" i="1"/>
  <c r="AI579" i="1"/>
  <c r="AL579" i="1"/>
  <c r="AN579" i="1"/>
  <c r="AG579" i="1"/>
  <c r="AM579" i="1"/>
  <c r="AF579" i="1"/>
  <c r="AB581" i="1" l="1"/>
  <c r="AJ580" i="1"/>
  <c r="AH580" i="1"/>
  <c r="AC580" i="1"/>
  <c r="AD580" i="1"/>
  <c r="AE580" i="1"/>
  <c r="AL580" i="1"/>
  <c r="AG580" i="1"/>
  <c r="AK580" i="1"/>
  <c r="AI580" i="1"/>
  <c r="AM580" i="1"/>
  <c r="AN580" i="1"/>
  <c r="AF580" i="1"/>
  <c r="AB582" i="1" l="1"/>
  <c r="AJ581" i="1"/>
  <c r="AH581" i="1"/>
  <c r="AC581" i="1"/>
  <c r="AD581" i="1"/>
  <c r="AE581" i="1"/>
  <c r="AG581" i="1"/>
  <c r="AK581" i="1"/>
  <c r="AL581" i="1"/>
  <c r="AN581" i="1"/>
  <c r="AF581" i="1"/>
  <c r="AI581" i="1"/>
  <c r="AM581" i="1"/>
  <c r="AB583" i="1" l="1"/>
  <c r="AJ582" i="1"/>
  <c r="AH582" i="1"/>
  <c r="AC582" i="1"/>
  <c r="AD582" i="1"/>
  <c r="AE582" i="1"/>
  <c r="AG582" i="1"/>
  <c r="AN582" i="1"/>
  <c r="AL582" i="1"/>
  <c r="AK582" i="1"/>
  <c r="AI582" i="1"/>
  <c r="AF582" i="1"/>
  <c r="AM582" i="1"/>
  <c r="AB584" i="1" l="1"/>
  <c r="AJ583" i="1"/>
  <c r="AH583" i="1"/>
  <c r="AC583" i="1"/>
  <c r="AD583" i="1"/>
  <c r="AE583" i="1"/>
  <c r="AG583" i="1"/>
  <c r="AK583" i="1"/>
  <c r="AF583" i="1"/>
  <c r="AL583" i="1"/>
  <c r="AI583" i="1"/>
  <c r="AM583" i="1"/>
  <c r="AN583" i="1"/>
  <c r="AB585" i="1" l="1"/>
  <c r="AJ584" i="1"/>
  <c r="AH584" i="1"/>
  <c r="AC584" i="1"/>
  <c r="AD584" i="1"/>
  <c r="AE584" i="1"/>
  <c r="AL584" i="1"/>
  <c r="AG584" i="1"/>
  <c r="AN584" i="1"/>
  <c r="AI584" i="1"/>
  <c r="AF584" i="1"/>
  <c r="AM584" i="1"/>
  <c r="AK584" i="1"/>
  <c r="AB586" i="1" l="1"/>
  <c r="AJ585" i="1"/>
  <c r="AH585" i="1"/>
  <c r="AC585" i="1"/>
  <c r="AD585" i="1"/>
  <c r="AE585" i="1"/>
  <c r="AK585" i="1"/>
  <c r="AI585" i="1"/>
  <c r="AL585" i="1"/>
  <c r="AG585" i="1"/>
  <c r="AN585" i="1"/>
  <c r="AF585" i="1"/>
  <c r="AM585" i="1"/>
  <c r="AB587" i="1" l="1"/>
  <c r="AJ586" i="1"/>
  <c r="AH586" i="1"/>
  <c r="AC586" i="1"/>
  <c r="AD586" i="1"/>
  <c r="AE586" i="1"/>
  <c r="AL586" i="1"/>
  <c r="AN586" i="1"/>
  <c r="AK586" i="1"/>
  <c r="AG586" i="1"/>
  <c r="AF586" i="1"/>
  <c r="AM586" i="1"/>
  <c r="AI586" i="1"/>
  <c r="AB588" i="1" l="1"/>
  <c r="AJ587" i="1"/>
  <c r="AH587" i="1"/>
  <c r="AC587" i="1"/>
  <c r="AD587" i="1"/>
  <c r="AL587" i="1"/>
  <c r="AG587" i="1"/>
  <c r="AK587" i="1"/>
  <c r="AI587" i="1"/>
  <c r="AE587" i="1"/>
  <c r="AN587" i="1"/>
  <c r="AF587" i="1"/>
  <c r="AM587" i="1"/>
  <c r="AB589" i="1" l="1"/>
  <c r="AJ588" i="1"/>
  <c r="AH588" i="1"/>
  <c r="AC588" i="1"/>
  <c r="AD588" i="1"/>
  <c r="AL588" i="1"/>
  <c r="AN588" i="1"/>
  <c r="AK588" i="1"/>
  <c r="AG588" i="1"/>
  <c r="AI588" i="1"/>
  <c r="AM588" i="1"/>
  <c r="AE588" i="1"/>
  <c r="AF588" i="1"/>
  <c r="AB590" i="1" l="1"/>
  <c r="AJ589" i="1"/>
  <c r="AH589" i="1"/>
  <c r="AC589" i="1"/>
  <c r="AD589" i="1"/>
  <c r="AG589" i="1"/>
  <c r="AK589" i="1"/>
  <c r="AI589" i="1"/>
  <c r="AE589" i="1"/>
  <c r="AL589" i="1"/>
  <c r="AN589" i="1"/>
  <c r="AF589" i="1"/>
  <c r="AM589" i="1"/>
  <c r="AB591" i="1" l="1"/>
  <c r="AJ590" i="1"/>
  <c r="AH590" i="1"/>
  <c r="AC590" i="1"/>
  <c r="AD590" i="1"/>
  <c r="AE590" i="1"/>
  <c r="AL590" i="1"/>
  <c r="AG590" i="1"/>
  <c r="AK590" i="1"/>
  <c r="AF590" i="1"/>
  <c r="AI590" i="1"/>
  <c r="AN590" i="1"/>
  <c r="AM590" i="1"/>
  <c r="AB592" i="1" l="1"/>
  <c r="AJ591" i="1"/>
  <c r="AH591" i="1"/>
  <c r="AC591" i="1"/>
  <c r="AD591" i="1"/>
  <c r="AE591" i="1"/>
  <c r="AL591" i="1"/>
  <c r="AN591" i="1"/>
  <c r="AI591" i="1"/>
  <c r="AG591" i="1"/>
  <c r="AF591" i="1"/>
  <c r="AM591" i="1"/>
  <c r="AK591" i="1"/>
  <c r="AB593" i="1" l="1"/>
  <c r="AJ592" i="1"/>
  <c r="AH592" i="1"/>
  <c r="AC592" i="1"/>
  <c r="AD592" i="1"/>
  <c r="AE592" i="1"/>
  <c r="AL592" i="1"/>
  <c r="AN592" i="1"/>
  <c r="AF592" i="1"/>
  <c r="AM592" i="1"/>
  <c r="AG592" i="1"/>
  <c r="AI592" i="1"/>
  <c r="AK592" i="1"/>
  <c r="AB594" i="1" l="1"/>
  <c r="AJ593" i="1"/>
  <c r="AH593" i="1"/>
  <c r="AC593" i="1"/>
  <c r="AD593" i="1"/>
  <c r="AL593" i="1"/>
  <c r="AK593" i="1"/>
  <c r="AF593" i="1"/>
  <c r="AE593" i="1"/>
  <c r="AN593" i="1"/>
  <c r="AG593" i="1"/>
  <c r="AM593" i="1"/>
  <c r="AI593" i="1"/>
  <c r="AB595" i="1" l="1"/>
  <c r="AJ594" i="1"/>
  <c r="AH594" i="1"/>
  <c r="AC594" i="1"/>
  <c r="AD594" i="1"/>
  <c r="AL594" i="1"/>
  <c r="AG594" i="1"/>
  <c r="AN594" i="1"/>
  <c r="AE594" i="1"/>
  <c r="AK594" i="1"/>
  <c r="AF594" i="1"/>
  <c r="AM594" i="1"/>
  <c r="AI594" i="1"/>
  <c r="AB596" i="1" l="1"/>
  <c r="AJ595" i="1"/>
  <c r="AH595" i="1"/>
  <c r="AC595" i="1"/>
  <c r="AD595" i="1"/>
  <c r="AE595" i="1"/>
  <c r="AL595" i="1"/>
  <c r="AN595" i="1"/>
  <c r="AI595" i="1"/>
  <c r="AG595" i="1"/>
  <c r="AF595" i="1"/>
  <c r="AM595" i="1"/>
  <c r="AK595" i="1"/>
  <c r="AB597" i="1" l="1"/>
  <c r="AJ596" i="1"/>
  <c r="AH596" i="1"/>
  <c r="AC596" i="1"/>
  <c r="AD596" i="1"/>
  <c r="AE596" i="1"/>
  <c r="AG596" i="1"/>
  <c r="AL596" i="1"/>
  <c r="AN596" i="1"/>
  <c r="AK596" i="1"/>
  <c r="AF596" i="1"/>
  <c r="AM596" i="1"/>
  <c r="AI596" i="1"/>
  <c r="AB598" i="1" l="1"/>
  <c r="AJ597" i="1"/>
  <c r="AH597" i="1"/>
  <c r="AC597" i="1"/>
  <c r="AD597" i="1"/>
  <c r="AE597" i="1"/>
  <c r="AL597" i="1"/>
  <c r="AG597" i="1"/>
  <c r="AN597" i="1"/>
  <c r="AM597" i="1"/>
  <c r="AI597" i="1"/>
  <c r="AK597" i="1"/>
  <c r="AF597" i="1"/>
  <c r="AB599" i="1" l="1"/>
  <c r="AJ598" i="1"/>
  <c r="AH598" i="1"/>
  <c r="AC598" i="1"/>
  <c r="AE598" i="1"/>
  <c r="AL598" i="1"/>
  <c r="AG598" i="1"/>
  <c r="AK598" i="1"/>
  <c r="AD598" i="1"/>
  <c r="AI598" i="1"/>
  <c r="AF598" i="1"/>
  <c r="AM598" i="1"/>
  <c r="AN598" i="1"/>
  <c r="AB600" i="1" l="1"/>
  <c r="AJ599" i="1"/>
  <c r="AH599" i="1"/>
  <c r="AC599" i="1"/>
  <c r="AD599" i="1"/>
  <c r="AL599" i="1"/>
  <c r="AK599" i="1"/>
  <c r="AI599" i="1"/>
  <c r="AF599" i="1"/>
  <c r="AE599" i="1"/>
  <c r="AG599" i="1"/>
  <c r="AN599" i="1"/>
  <c r="AM599" i="1"/>
  <c r="AB601" i="1" l="1"/>
  <c r="AJ600" i="1"/>
  <c r="AH600" i="1"/>
  <c r="AC600" i="1"/>
  <c r="AD600" i="1"/>
  <c r="AE600" i="1"/>
  <c r="AG600" i="1"/>
  <c r="AK600" i="1"/>
  <c r="AI600" i="1"/>
  <c r="AF600" i="1"/>
  <c r="AM600" i="1"/>
  <c r="AL600" i="1"/>
  <c r="AN600" i="1"/>
  <c r="AB602" i="1" l="1"/>
  <c r="AJ601" i="1"/>
  <c r="AH601" i="1"/>
  <c r="AC601" i="1"/>
  <c r="AD601" i="1"/>
  <c r="AE601" i="1"/>
  <c r="AG601" i="1"/>
  <c r="AN601" i="1"/>
  <c r="AK601" i="1"/>
  <c r="AM601" i="1"/>
  <c r="AL601" i="1"/>
  <c r="AI601" i="1"/>
  <c r="AF601" i="1"/>
  <c r="AB603" i="1" l="1"/>
  <c r="AJ602" i="1"/>
  <c r="AH602" i="1"/>
  <c r="AC602" i="1"/>
  <c r="AD602" i="1"/>
  <c r="AK602" i="1"/>
  <c r="AI602" i="1"/>
  <c r="AE602" i="1"/>
  <c r="AG602" i="1"/>
  <c r="AF602" i="1"/>
  <c r="AM602" i="1"/>
  <c r="AL602" i="1"/>
  <c r="AN602" i="1"/>
  <c r="AB604" i="1" l="1"/>
  <c r="AJ603" i="1"/>
  <c r="AH603" i="1"/>
  <c r="AC603" i="1"/>
  <c r="AD603" i="1"/>
  <c r="AE603" i="1"/>
  <c r="AL603" i="1"/>
  <c r="AN603" i="1"/>
  <c r="AK603" i="1"/>
  <c r="AI603" i="1"/>
  <c r="AG603" i="1"/>
  <c r="AM603" i="1"/>
  <c r="AF603" i="1"/>
  <c r="AB605" i="1" l="1"/>
  <c r="AJ604" i="1"/>
  <c r="AH604" i="1"/>
  <c r="AC604" i="1"/>
  <c r="AD604" i="1"/>
  <c r="AL604" i="1"/>
  <c r="AN604" i="1"/>
  <c r="AM604" i="1"/>
  <c r="AE604" i="1"/>
  <c r="AG604" i="1"/>
  <c r="AK604" i="1"/>
  <c r="AF604" i="1"/>
  <c r="AI604" i="1"/>
  <c r="AB606" i="1" l="1"/>
  <c r="AJ605" i="1"/>
  <c r="AH605" i="1"/>
  <c r="AC605" i="1"/>
  <c r="AD605" i="1"/>
  <c r="AE605" i="1"/>
  <c r="AL605" i="1"/>
  <c r="AG605" i="1"/>
  <c r="AK605" i="1"/>
  <c r="AI605" i="1"/>
  <c r="AF605" i="1"/>
  <c r="AM605" i="1"/>
  <c r="AN605" i="1"/>
  <c r="AB607" i="1" l="1"/>
  <c r="AJ606" i="1"/>
  <c r="AH606" i="1"/>
  <c r="AD606" i="1"/>
  <c r="AE606" i="1"/>
  <c r="AL606" i="1"/>
  <c r="AG606" i="1"/>
  <c r="AN606" i="1"/>
  <c r="AK606" i="1"/>
  <c r="AI606" i="1"/>
  <c r="AF606" i="1"/>
  <c r="AM606" i="1"/>
  <c r="AC606" i="1"/>
  <c r="AB608" i="1" l="1"/>
  <c r="AJ607" i="1"/>
  <c r="AH607" i="1"/>
  <c r="AC607" i="1"/>
  <c r="AD607" i="1"/>
  <c r="AL607" i="1"/>
  <c r="AF607" i="1"/>
  <c r="AM607" i="1"/>
  <c r="AE607" i="1"/>
  <c r="AG607" i="1"/>
  <c r="AK607" i="1"/>
  <c r="AI607" i="1"/>
  <c r="AN607" i="1"/>
  <c r="AB609" i="1" l="1"/>
  <c r="AJ608" i="1"/>
  <c r="AH608" i="1"/>
  <c r="AC608" i="1"/>
  <c r="AD608" i="1"/>
  <c r="AL608" i="1"/>
  <c r="AN608" i="1"/>
  <c r="AE608" i="1"/>
  <c r="AG608" i="1"/>
  <c r="AK608" i="1"/>
  <c r="AI608" i="1"/>
  <c r="AM608" i="1"/>
  <c r="AF608" i="1"/>
  <c r="AB610" i="1" l="1"/>
  <c r="AJ609" i="1"/>
  <c r="AH609" i="1"/>
  <c r="AC609" i="1"/>
  <c r="AD609" i="1"/>
  <c r="AE609" i="1"/>
  <c r="AG609" i="1"/>
  <c r="AF609" i="1"/>
  <c r="AL609" i="1"/>
  <c r="AN609" i="1"/>
  <c r="AI609" i="1"/>
  <c r="AK609" i="1"/>
  <c r="AM609" i="1"/>
  <c r="AB611" i="1" l="1"/>
  <c r="AJ610" i="1"/>
  <c r="AH610" i="1"/>
  <c r="AC610" i="1"/>
  <c r="AD610" i="1"/>
  <c r="AE610" i="1"/>
  <c r="AL610" i="1"/>
  <c r="AN610" i="1"/>
  <c r="AK610" i="1"/>
  <c r="AI610" i="1"/>
  <c r="AF610" i="1"/>
  <c r="AG610" i="1"/>
  <c r="AM610" i="1"/>
  <c r="AB612" i="1" l="1"/>
  <c r="AJ611" i="1"/>
  <c r="AH611" i="1"/>
  <c r="AC611" i="1"/>
  <c r="AD611" i="1"/>
  <c r="AL611" i="1"/>
  <c r="AN611" i="1"/>
  <c r="AK611" i="1"/>
  <c r="AI611" i="1"/>
  <c r="AF611" i="1"/>
  <c r="AE611" i="1"/>
  <c r="AM611" i="1"/>
  <c r="AG611" i="1"/>
  <c r="AB613" i="1" l="1"/>
  <c r="AJ612" i="1"/>
  <c r="AH612" i="1"/>
  <c r="AC612" i="1"/>
  <c r="AD612" i="1"/>
  <c r="AE612" i="1"/>
  <c r="AL612" i="1"/>
  <c r="AN612" i="1"/>
  <c r="AK612" i="1"/>
  <c r="AI612" i="1"/>
  <c r="AF612" i="1"/>
  <c r="AG612" i="1"/>
  <c r="AM612" i="1"/>
  <c r="AB614" i="1" l="1"/>
  <c r="AJ613" i="1"/>
  <c r="AH613" i="1"/>
  <c r="AC613" i="1"/>
  <c r="AD613" i="1"/>
  <c r="AE613" i="1"/>
  <c r="AL613" i="1"/>
  <c r="AG613" i="1"/>
  <c r="AN613" i="1"/>
  <c r="AF613" i="1"/>
  <c r="AM613" i="1"/>
  <c r="AK613" i="1"/>
  <c r="AI613" i="1"/>
  <c r="AB615" i="1" l="1"/>
  <c r="AJ614" i="1"/>
  <c r="AH614" i="1"/>
  <c r="AC614" i="1"/>
  <c r="AD614" i="1"/>
  <c r="AE614" i="1"/>
  <c r="AG614" i="1"/>
  <c r="AK614" i="1"/>
  <c r="AF614" i="1"/>
  <c r="AL614" i="1"/>
  <c r="AI614" i="1"/>
  <c r="AM614" i="1"/>
  <c r="AN614" i="1"/>
  <c r="AB616" i="1" l="1"/>
  <c r="AJ615" i="1"/>
  <c r="AH615" i="1"/>
  <c r="AC615" i="1"/>
  <c r="AD615" i="1"/>
  <c r="AL615" i="1"/>
  <c r="AN615" i="1"/>
  <c r="AF615" i="1"/>
  <c r="AG615" i="1"/>
  <c r="AE615" i="1"/>
  <c r="AK615" i="1"/>
  <c r="AI615" i="1"/>
  <c r="AM615" i="1"/>
  <c r="AB617" i="1" l="1"/>
  <c r="AJ616" i="1"/>
  <c r="AH616" i="1"/>
  <c r="AC616" i="1"/>
  <c r="AD616" i="1"/>
  <c r="AE616" i="1"/>
  <c r="AL616" i="1"/>
  <c r="AN616" i="1"/>
  <c r="AK616" i="1"/>
  <c r="AI616" i="1"/>
  <c r="AG616" i="1"/>
  <c r="AM616" i="1"/>
  <c r="AF616" i="1"/>
  <c r="AB618" i="1" l="1"/>
  <c r="AJ617" i="1"/>
  <c r="AH617" i="1"/>
  <c r="AC617" i="1"/>
  <c r="AD617" i="1"/>
  <c r="AE617" i="1"/>
  <c r="AG617" i="1"/>
  <c r="AN617" i="1"/>
  <c r="AL617" i="1"/>
  <c r="AI617" i="1"/>
  <c r="AM617" i="1"/>
  <c r="AK617" i="1"/>
  <c r="AF617" i="1"/>
  <c r="AB619" i="1" l="1"/>
  <c r="AJ618" i="1"/>
  <c r="AH618" i="1"/>
  <c r="AC618" i="1"/>
  <c r="AD618" i="1"/>
  <c r="AE618" i="1"/>
  <c r="AL618" i="1"/>
  <c r="AN618" i="1"/>
  <c r="AF618" i="1"/>
  <c r="AG618" i="1"/>
  <c r="AI618" i="1"/>
  <c r="AM618" i="1"/>
  <c r="AK618" i="1"/>
  <c r="AB620" i="1" l="1"/>
  <c r="AJ619" i="1"/>
  <c r="AH619" i="1"/>
  <c r="AC619" i="1"/>
  <c r="AD619" i="1"/>
  <c r="AE619" i="1"/>
  <c r="AL619" i="1"/>
  <c r="AN619" i="1"/>
  <c r="AK619" i="1"/>
  <c r="AI619" i="1"/>
  <c r="AF619" i="1"/>
  <c r="AG619" i="1"/>
  <c r="AM619" i="1"/>
  <c r="AB621" i="1" l="1"/>
  <c r="AJ620" i="1"/>
  <c r="AH620" i="1"/>
  <c r="AC620" i="1"/>
  <c r="AD620" i="1"/>
  <c r="AE620" i="1"/>
  <c r="AL620" i="1"/>
  <c r="AN620" i="1"/>
  <c r="AF620" i="1"/>
  <c r="AM620" i="1"/>
  <c r="AG620" i="1"/>
  <c r="AI620" i="1"/>
  <c r="AK620" i="1"/>
  <c r="AB622" i="1" l="1"/>
  <c r="AJ621" i="1"/>
  <c r="AH621" i="1"/>
  <c r="AC621" i="1"/>
  <c r="AD621" i="1"/>
  <c r="AE621" i="1"/>
  <c r="AL621" i="1"/>
  <c r="AN621" i="1"/>
  <c r="AF621" i="1"/>
  <c r="AG621" i="1"/>
  <c r="AI621" i="1"/>
  <c r="AM621" i="1"/>
  <c r="AK621" i="1"/>
  <c r="AB623" i="1" l="1"/>
  <c r="AJ622" i="1"/>
  <c r="AH622" i="1"/>
  <c r="AC622" i="1"/>
  <c r="AD622" i="1"/>
  <c r="AE622" i="1"/>
  <c r="AL622" i="1"/>
  <c r="AN622" i="1"/>
  <c r="AK622" i="1"/>
  <c r="AI622" i="1"/>
  <c r="AG622" i="1"/>
  <c r="AF622" i="1"/>
  <c r="AM622" i="1"/>
  <c r="AB624" i="1" l="1"/>
  <c r="AJ623" i="1"/>
  <c r="AH623" i="1"/>
  <c r="AC623" i="1"/>
  <c r="AD623" i="1"/>
  <c r="AE623" i="1"/>
  <c r="AG623" i="1"/>
  <c r="AK623" i="1"/>
  <c r="AF623" i="1"/>
  <c r="AL623" i="1"/>
  <c r="AI623" i="1"/>
  <c r="AM623" i="1"/>
  <c r="AN623" i="1"/>
  <c r="AB625" i="1" l="1"/>
  <c r="AJ624" i="1"/>
  <c r="AH624" i="1"/>
  <c r="AC624" i="1"/>
  <c r="AD624" i="1"/>
  <c r="AE624" i="1"/>
  <c r="AL624" i="1"/>
  <c r="AN624" i="1"/>
  <c r="AF624" i="1"/>
  <c r="AG624" i="1"/>
  <c r="AI624" i="1"/>
  <c r="AM624" i="1"/>
  <c r="AK624" i="1"/>
  <c r="AB626" i="1" l="1"/>
  <c r="AJ625" i="1"/>
  <c r="AH625" i="1"/>
  <c r="AC625" i="1"/>
  <c r="AD625" i="1"/>
  <c r="AE625" i="1"/>
  <c r="AL625" i="1"/>
  <c r="AN625" i="1"/>
  <c r="AK625" i="1"/>
  <c r="AI625" i="1"/>
  <c r="AM625" i="1"/>
  <c r="AG625" i="1"/>
  <c r="AF625" i="1"/>
  <c r="AB627" i="1" l="1"/>
  <c r="AJ626" i="1"/>
  <c r="AH626" i="1"/>
  <c r="AC626" i="1"/>
  <c r="AD626" i="1"/>
  <c r="AE626" i="1"/>
  <c r="AG626" i="1"/>
  <c r="AK626" i="1"/>
  <c r="AF626" i="1"/>
  <c r="AL626" i="1"/>
  <c r="AN626" i="1"/>
  <c r="AM626" i="1"/>
  <c r="AI626" i="1"/>
  <c r="AB628" i="1" l="1"/>
  <c r="AJ627" i="1"/>
  <c r="AH627" i="1"/>
  <c r="AC627" i="1"/>
  <c r="AD627" i="1"/>
  <c r="AE627" i="1"/>
  <c r="AG627" i="1"/>
  <c r="AN627" i="1"/>
  <c r="AK627" i="1"/>
  <c r="AI627" i="1"/>
  <c r="AF627" i="1"/>
  <c r="AM627" i="1"/>
  <c r="AL627" i="1"/>
  <c r="AB629" i="1" l="1"/>
  <c r="AJ628" i="1"/>
  <c r="AH628" i="1"/>
  <c r="AC628" i="1"/>
  <c r="AD628" i="1"/>
  <c r="AL628" i="1"/>
  <c r="AK628" i="1"/>
  <c r="AF628" i="1"/>
  <c r="AG628" i="1"/>
  <c r="AM628" i="1"/>
  <c r="AE628" i="1"/>
  <c r="AI628" i="1"/>
  <c r="AN628" i="1"/>
  <c r="AB630" i="1" l="1"/>
  <c r="AJ629" i="1"/>
  <c r="AH629" i="1"/>
  <c r="AC629" i="1"/>
  <c r="AD629" i="1"/>
  <c r="AE629" i="1"/>
  <c r="AL629" i="1"/>
  <c r="AN629" i="1"/>
  <c r="AK629" i="1"/>
  <c r="AI629" i="1"/>
  <c r="AG629" i="1"/>
  <c r="AM629" i="1"/>
  <c r="AF629" i="1"/>
  <c r="AB631" i="1" l="1"/>
  <c r="AJ630" i="1"/>
  <c r="AH630" i="1"/>
  <c r="AC630" i="1"/>
  <c r="AD630" i="1"/>
  <c r="AE630" i="1"/>
  <c r="AL630" i="1"/>
  <c r="AN630" i="1"/>
  <c r="AF630" i="1"/>
  <c r="AG630" i="1"/>
  <c r="AI630" i="1"/>
  <c r="AK630" i="1"/>
  <c r="AM630" i="1"/>
  <c r="AB632" i="1" l="1"/>
  <c r="AJ631" i="1"/>
  <c r="AH631" i="1"/>
  <c r="AC631" i="1"/>
  <c r="AD631" i="1"/>
  <c r="AE631" i="1"/>
  <c r="AL631" i="1"/>
  <c r="AG631" i="1"/>
  <c r="AN631" i="1"/>
  <c r="AI631" i="1"/>
  <c r="AF631" i="1"/>
  <c r="AM631" i="1"/>
  <c r="AK631" i="1"/>
  <c r="AB633" i="1" l="1"/>
  <c r="AJ632" i="1"/>
  <c r="AH632" i="1"/>
  <c r="AC632" i="1"/>
  <c r="AD632" i="1"/>
  <c r="AE632" i="1"/>
  <c r="AG632" i="1"/>
  <c r="AN632" i="1"/>
  <c r="AM632" i="1"/>
  <c r="AL632" i="1"/>
  <c r="AK632" i="1"/>
  <c r="AF632" i="1"/>
  <c r="AI632" i="1"/>
  <c r="AB634" i="1" l="1"/>
  <c r="AJ633" i="1"/>
  <c r="AH633" i="1"/>
  <c r="AC633" i="1"/>
  <c r="AD633" i="1"/>
  <c r="AE633" i="1"/>
  <c r="AL633" i="1"/>
  <c r="AK633" i="1"/>
  <c r="AF633" i="1"/>
  <c r="AG633" i="1"/>
  <c r="AI633" i="1"/>
  <c r="AM633" i="1"/>
  <c r="AN633" i="1"/>
  <c r="AB635" i="1" l="1"/>
  <c r="AJ634" i="1"/>
  <c r="AH634" i="1"/>
  <c r="AC634" i="1"/>
  <c r="AD634" i="1"/>
  <c r="AL634" i="1"/>
  <c r="AG634" i="1"/>
  <c r="AK634" i="1"/>
  <c r="AI634" i="1"/>
  <c r="AM634" i="1"/>
  <c r="AE634" i="1"/>
  <c r="AN634" i="1"/>
  <c r="AF634" i="1"/>
  <c r="AB636" i="1" l="1"/>
  <c r="AJ635" i="1"/>
  <c r="AH635" i="1"/>
  <c r="AC635" i="1"/>
  <c r="AD635" i="1"/>
  <c r="AE635" i="1"/>
  <c r="AL635" i="1"/>
  <c r="AG635" i="1"/>
  <c r="AN635" i="1"/>
  <c r="AK635" i="1"/>
  <c r="AI635" i="1"/>
  <c r="AM635" i="1"/>
  <c r="AF635" i="1"/>
  <c r="AB637" i="1" l="1"/>
  <c r="AJ636" i="1"/>
  <c r="AH636" i="1"/>
  <c r="AC636" i="1"/>
  <c r="AE636" i="1"/>
  <c r="AL636" i="1"/>
  <c r="AG636" i="1"/>
  <c r="AN636" i="1"/>
  <c r="AI636" i="1"/>
  <c r="AD636" i="1"/>
  <c r="AK636" i="1"/>
  <c r="AF636" i="1"/>
  <c r="AM636" i="1"/>
  <c r="AB638" i="1" l="1"/>
  <c r="AJ637" i="1"/>
  <c r="AH637" i="1"/>
  <c r="AC637" i="1"/>
  <c r="AD637" i="1"/>
  <c r="AE637" i="1"/>
  <c r="AG637" i="1"/>
  <c r="AN637" i="1"/>
  <c r="AK637" i="1"/>
  <c r="AI637" i="1"/>
  <c r="AF637" i="1"/>
  <c r="AL637" i="1"/>
  <c r="AM637" i="1"/>
  <c r="AB639" i="1" l="1"/>
  <c r="AJ638" i="1"/>
  <c r="AH638" i="1"/>
  <c r="AC638" i="1"/>
  <c r="AD638" i="1"/>
  <c r="AE638" i="1"/>
  <c r="AL638" i="1"/>
  <c r="AG638" i="1"/>
  <c r="AN638" i="1"/>
  <c r="AK638" i="1"/>
  <c r="AI638" i="1"/>
  <c r="AM638" i="1"/>
  <c r="AF638" i="1"/>
  <c r="AB640" i="1" l="1"/>
  <c r="AJ639" i="1"/>
  <c r="AH639" i="1"/>
  <c r="AC639" i="1"/>
  <c r="AD639" i="1"/>
  <c r="AE639" i="1"/>
  <c r="AL639" i="1"/>
  <c r="AN639" i="1"/>
  <c r="AK639" i="1"/>
  <c r="AI639" i="1"/>
  <c r="AF639" i="1"/>
  <c r="AG639" i="1"/>
  <c r="AM639" i="1"/>
  <c r="AB641" i="1" l="1"/>
  <c r="AJ640" i="1"/>
  <c r="AH640" i="1"/>
  <c r="AC640" i="1"/>
  <c r="AD640" i="1"/>
  <c r="AE640" i="1"/>
  <c r="AG640" i="1"/>
  <c r="AK640" i="1"/>
  <c r="AM640" i="1"/>
  <c r="AL640" i="1"/>
  <c r="AN640" i="1"/>
  <c r="AF640" i="1"/>
  <c r="AI640" i="1"/>
  <c r="AB642" i="1" l="1"/>
  <c r="AJ641" i="1"/>
  <c r="AH641" i="1"/>
  <c r="AC641" i="1"/>
  <c r="AD641" i="1"/>
  <c r="AE641" i="1"/>
  <c r="AL641" i="1"/>
  <c r="AG641" i="1"/>
  <c r="AN641" i="1"/>
  <c r="AK641" i="1"/>
  <c r="AI641" i="1"/>
  <c r="AF641" i="1"/>
  <c r="AM641" i="1"/>
  <c r="AB643" i="1" l="1"/>
  <c r="AJ642" i="1"/>
  <c r="AH642" i="1"/>
  <c r="AC642" i="1"/>
  <c r="AL642" i="1"/>
  <c r="AF642" i="1"/>
  <c r="AD642" i="1"/>
  <c r="AG642" i="1"/>
  <c r="AN642" i="1"/>
  <c r="AI642" i="1"/>
  <c r="AM642" i="1"/>
  <c r="AE642" i="1"/>
  <c r="AK642" i="1"/>
  <c r="AB644" i="1" l="1"/>
  <c r="AJ643" i="1"/>
  <c r="AH643" i="1"/>
  <c r="AC643" i="1"/>
  <c r="AD643" i="1"/>
  <c r="AE643" i="1"/>
  <c r="AL643" i="1"/>
  <c r="AG643" i="1"/>
  <c r="AN643" i="1"/>
  <c r="AI643" i="1"/>
  <c r="AF643" i="1"/>
  <c r="AK643" i="1"/>
  <c r="AM643" i="1"/>
  <c r="AB645" i="1" l="1"/>
  <c r="AJ644" i="1"/>
  <c r="AH644" i="1"/>
  <c r="AC644" i="1"/>
  <c r="AD644" i="1"/>
  <c r="AE644" i="1"/>
  <c r="AL644" i="1"/>
  <c r="AG644" i="1"/>
  <c r="AK644" i="1"/>
  <c r="AF644" i="1"/>
  <c r="AN644" i="1"/>
  <c r="AM644" i="1"/>
  <c r="AI644" i="1"/>
  <c r="AB646" i="1" l="1"/>
  <c r="AJ645" i="1"/>
  <c r="AH645" i="1"/>
  <c r="AC645" i="1"/>
  <c r="AD645" i="1"/>
  <c r="AL645" i="1"/>
  <c r="AK645" i="1"/>
  <c r="AG645" i="1"/>
  <c r="AF645" i="1"/>
  <c r="AE645" i="1"/>
  <c r="AI645" i="1"/>
  <c r="AM645" i="1"/>
  <c r="AN645" i="1"/>
  <c r="AB647" i="1" l="1"/>
  <c r="AJ646" i="1"/>
  <c r="AH646" i="1"/>
  <c r="AC646" i="1"/>
  <c r="AD646" i="1"/>
  <c r="AG646" i="1"/>
  <c r="AK646" i="1"/>
  <c r="AF646" i="1"/>
  <c r="AM646" i="1"/>
  <c r="AE646" i="1"/>
  <c r="AI646" i="1"/>
  <c r="AL646" i="1"/>
  <c r="AN646" i="1"/>
  <c r="AB648" i="1" l="1"/>
  <c r="AJ647" i="1"/>
  <c r="AH647" i="1"/>
  <c r="AC647" i="1"/>
  <c r="AD647" i="1"/>
  <c r="AE647" i="1"/>
  <c r="AL647" i="1"/>
  <c r="AN647" i="1"/>
  <c r="AI647" i="1"/>
  <c r="AF647" i="1"/>
  <c r="AG647" i="1"/>
  <c r="AM647" i="1"/>
  <c r="AK647" i="1"/>
  <c r="AB649" i="1" l="1"/>
  <c r="AJ648" i="1"/>
  <c r="AH648" i="1"/>
  <c r="AC648" i="1"/>
  <c r="AD648" i="1"/>
  <c r="AE648" i="1"/>
  <c r="AG648" i="1"/>
  <c r="AN648" i="1"/>
  <c r="AF648" i="1"/>
  <c r="AM648" i="1"/>
  <c r="AL648" i="1"/>
  <c r="AK648" i="1"/>
  <c r="AI648" i="1"/>
  <c r="AB650" i="1" l="1"/>
  <c r="AJ649" i="1"/>
  <c r="AH649" i="1"/>
  <c r="AC649" i="1"/>
  <c r="AD649" i="1"/>
  <c r="AN649" i="1"/>
  <c r="AI649" i="1"/>
  <c r="AF649" i="1"/>
  <c r="AE649" i="1"/>
  <c r="AG649" i="1"/>
  <c r="AK649" i="1"/>
  <c r="AM649" i="1"/>
  <c r="AL649" i="1"/>
  <c r="AB651" i="1" l="1"/>
  <c r="AJ650" i="1"/>
  <c r="AH650" i="1"/>
  <c r="AC650" i="1"/>
  <c r="AD650" i="1"/>
  <c r="AE650" i="1"/>
  <c r="AL650" i="1"/>
  <c r="AK650" i="1"/>
  <c r="AI650" i="1"/>
  <c r="AF650" i="1"/>
  <c r="AN650" i="1"/>
  <c r="AM650" i="1"/>
  <c r="AG650" i="1"/>
  <c r="AB652" i="1" l="1"/>
  <c r="AJ651" i="1"/>
  <c r="AH651" i="1"/>
  <c r="AC651" i="1"/>
  <c r="AL651" i="1"/>
  <c r="AG651" i="1"/>
  <c r="AK651" i="1"/>
  <c r="AI651" i="1"/>
  <c r="AM651" i="1"/>
  <c r="AD651" i="1"/>
  <c r="AE651" i="1"/>
  <c r="AN651" i="1"/>
  <c r="AF651" i="1"/>
  <c r="AB653" i="1" l="1"/>
  <c r="AJ652" i="1"/>
  <c r="AH652" i="1"/>
  <c r="AC652" i="1"/>
  <c r="AD652" i="1"/>
  <c r="AK652" i="1"/>
  <c r="AF652" i="1"/>
  <c r="AM652" i="1"/>
  <c r="AL652" i="1"/>
  <c r="AN652" i="1"/>
  <c r="AI652" i="1"/>
  <c r="AE652" i="1"/>
  <c r="AG652" i="1"/>
  <c r="AB654" i="1" l="1"/>
  <c r="AJ653" i="1"/>
  <c r="AH653" i="1"/>
  <c r="AC653" i="1"/>
  <c r="AD653" i="1"/>
  <c r="AE653" i="1"/>
  <c r="AL653" i="1"/>
  <c r="AG653" i="1"/>
  <c r="AN653" i="1"/>
  <c r="AF653" i="1"/>
  <c r="AI653" i="1"/>
  <c r="AM653" i="1"/>
  <c r="AK653" i="1"/>
  <c r="AB655" i="1" l="1"/>
  <c r="AJ654" i="1"/>
  <c r="AH654" i="1"/>
  <c r="AC654" i="1"/>
  <c r="AD654" i="1"/>
  <c r="AE654" i="1"/>
  <c r="AL654" i="1"/>
  <c r="AN654" i="1"/>
  <c r="AI654" i="1"/>
  <c r="AG654" i="1"/>
  <c r="AF654" i="1"/>
  <c r="AM654" i="1"/>
  <c r="AK654" i="1"/>
  <c r="AB656" i="1" l="1"/>
  <c r="AJ655" i="1"/>
  <c r="AH655" i="1"/>
  <c r="AC655" i="1"/>
  <c r="AD655" i="1"/>
  <c r="AL655" i="1"/>
  <c r="AK655" i="1"/>
  <c r="AI655" i="1"/>
  <c r="AF655" i="1"/>
  <c r="AM655" i="1"/>
  <c r="AG655" i="1"/>
  <c r="AE655" i="1"/>
  <c r="AN655" i="1"/>
  <c r="AB657" i="1" l="1"/>
  <c r="AJ656" i="1"/>
  <c r="AH656" i="1"/>
  <c r="AC656" i="1"/>
  <c r="AD656" i="1"/>
  <c r="AE656" i="1"/>
  <c r="AK656" i="1"/>
  <c r="AI656" i="1"/>
  <c r="AF656" i="1"/>
  <c r="AM656" i="1"/>
  <c r="AL656" i="1"/>
  <c r="AN656" i="1"/>
  <c r="AG656" i="1"/>
  <c r="AB658" i="1" l="1"/>
  <c r="AJ657" i="1"/>
  <c r="AH657" i="1"/>
  <c r="AC657" i="1"/>
  <c r="AD657" i="1"/>
  <c r="AE657" i="1"/>
  <c r="AL657" i="1"/>
  <c r="AK657" i="1"/>
  <c r="AI657" i="1"/>
  <c r="AF657" i="1"/>
  <c r="AG657" i="1"/>
  <c r="AM657" i="1"/>
  <c r="AN657" i="1"/>
  <c r="AB659" i="1" l="1"/>
  <c r="AJ658" i="1"/>
  <c r="AH658" i="1"/>
  <c r="AC658" i="1"/>
  <c r="AD658" i="1"/>
  <c r="AE658" i="1"/>
  <c r="AG658" i="1"/>
  <c r="AN658" i="1"/>
  <c r="AF658" i="1"/>
  <c r="AI658" i="1"/>
  <c r="AL658" i="1"/>
  <c r="AM658" i="1"/>
  <c r="AK658" i="1"/>
  <c r="AB660" i="1" l="1"/>
  <c r="AJ659" i="1"/>
  <c r="AH659" i="1"/>
  <c r="AC659" i="1"/>
  <c r="AD659" i="1"/>
  <c r="AL659" i="1"/>
  <c r="AK659" i="1"/>
  <c r="AF659" i="1"/>
  <c r="AN659" i="1"/>
  <c r="AM659" i="1"/>
  <c r="AE659" i="1"/>
  <c r="AI659" i="1"/>
  <c r="AG659" i="1"/>
  <c r="AB661" i="1" l="1"/>
  <c r="AJ660" i="1"/>
  <c r="AH660" i="1"/>
  <c r="AC660" i="1"/>
  <c r="AD660" i="1"/>
  <c r="AE660" i="1"/>
  <c r="AG660" i="1"/>
  <c r="AK660" i="1"/>
  <c r="AI660" i="1"/>
  <c r="AF660" i="1"/>
  <c r="AL660" i="1"/>
  <c r="AN660" i="1"/>
  <c r="AM660" i="1"/>
  <c r="AB662" i="1" l="1"/>
  <c r="AJ661" i="1"/>
  <c r="AH661" i="1"/>
  <c r="AC661" i="1"/>
  <c r="AD661" i="1"/>
  <c r="AE661" i="1"/>
  <c r="AG661" i="1"/>
  <c r="AK661" i="1"/>
  <c r="AI661" i="1"/>
  <c r="AF661" i="1"/>
  <c r="AM661" i="1"/>
  <c r="AL661" i="1"/>
  <c r="AN661" i="1"/>
  <c r="AB663" i="1" l="1"/>
  <c r="AJ662" i="1"/>
  <c r="AH662" i="1"/>
  <c r="AC662" i="1"/>
  <c r="AD662" i="1"/>
  <c r="AG662" i="1"/>
  <c r="AN662" i="1"/>
  <c r="AK662" i="1"/>
  <c r="AI662" i="1"/>
  <c r="AF662" i="1"/>
  <c r="AM662" i="1"/>
  <c r="AE662" i="1"/>
  <c r="AL662" i="1"/>
  <c r="AB664" i="1" l="1"/>
  <c r="AJ663" i="1"/>
  <c r="AH663" i="1"/>
  <c r="AC663" i="1"/>
  <c r="AD663" i="1"/>
  <c r="AL663" i="1"/>
  <c r="AK663" i="1"/>
  <c r="AI663" i="1"/>
  <c r="AF663" i="1"/>
  <c r="AE663" i="1"/>
  <c r="AG663" i="1"/>
  <c r="AN663" i="1"/>
  <c r="AM663" i="1"/>
  <c r="AB665" i="1" l="1"/>
  <c r="AJ664" i="1"/>
  <c r="AH664" i="1"/>
  <c r="AC664" i="1"/>
  <c r="AE664" i="1"/>
  <c r="AL664" i="1"/>
  <c r="AG664" i="1"/>
  <c r="AK664" i="1"/>
  <c r="AI664" i="1"/>
  <c r="AD664" i="1"/>
  <c r="AN664" i="1"/>
  <c r="AF664" i="1"/>
  <c r="AM664" i="1"/>
  <c r="AB666" i="1" l="1"/>
  <c r="AJ665" i="1"/>
  <c r="AH665" i="1"/>
  <c r="AC665" i="1"/>
  <c r="AD665" i="1"/>
  <c r="AL665" i="1"/>
  <c r="AG665" i="1"/>
  <c r="AK665" i="1"/>
  <c r="AI665" i="1"/>
  <c r="AM665" i="1"/>
  <c r="AE665" i="1"/>
  <c r="AF665" i="1"/>
  <c r="AN665" i="1"/>
  <c r="AB667" i="1" l="1"/>
  <c r="AJ666" i="1"/>
  <c r="AH666" i="1"/>
  <c r="AC666" i="1"/>
  <c r="AD666" i="1"/>
  <c r="AG666" i="1"/>
  <c r="AN666" i="1"/>
  <c r="AK666" i="1"/>
  <c r="AI666" i="1"/>
  <c r="AE666" i="1"/>
  <c r="AM666" i="1"/>
  <c r="AL666" i="1"/>
  <c r="AF666" i="1"/>
  <c r="AB668" i="1" l="1"/>
  <c r="AJ667" i="1"/>
  <c r="AH667" i="1"/>
  <c r="AC667" i="1"/>
  <c r="AD667" i="1"/>
  <c r="AE667" i="1"/>
  <c r="AK667" i="1"/>
  <c r="AI667" i="1"/>
  <c r="AF667" i="1"/>
  <c r="AL667" i="1"/>
  <c r="AN667" i="1"/>
  <c r="AM667" i="1"/>
  <c r="AG667" i="1"/>
  <c r="AB669" i="1" l="1"/>
  <c r="AJ668" i="1"/>
  <c r="AH668" i="1"/>
  <c r="AC668" i="1"/>
  <c r="AD668" i="1"/>
  <c r="AE668" i="1"/>
  <c r="AK668" i="1"/>
  <c r="AI668" i="1"/>
  <c r="AF668" i="1"/>
  <c r="AM668" i="1"/>
  <c r="AL668" i="1"/>
  <c r="AN668" i="1"/>
  <c r="AG668" i="1"/>
  <c r="AB670" i="1" l="1"/>
  <c r="AJ669" i="1"/>
  <c r="AH669" i="1"/>
  <c r="AC669" i="1"/>
  <c r="AD669" i="1"/>
  <c r="AE669" i="1"/>
  <c r="AK669" i="1"/>
  <c r="AM669" i="1"/>
  <c r="AL669" i="1"/>
  <c r="AN669" i="1"/>
  <c r="AI669" i="1"/>
  <c r="AF669" i="1"/>
  <c r="AG669" i="1"/>
  <c r="AB671" i="1" l="1"/>
  <c r="AJ670" i="1"/>
  <c r="AH670" i="1"/>
  <c r="AC670" i="1"/>
  <c r="AE670" i="1"/>
  <c r="AK670" i="1"/>
  <c r="AF670" i="1"/>
  <c r="AD670" i="1"/>
  <c r="AL670" i="1"/>
  <c r="AG670" i="1"/>
  <c r="AN670" i="1"/>
  <c r="AM670" i="1"/>
  <c r="AI670" i="1"/>
  <c r="AB672" i="1" l="1"/>
  <c r="AJ671" i="1"/>
  <c r="AH671" i="1"/>
  <c r="AC671" i="1"/>
  <c r="AD671" i="1"/>
  <c r="AE671" i="1"/>
  <c r="AG671" i="1"/>
  <c r="AN671" i="1"/>
  <c r="AI671" i="1"/>
  <c r="AL671" i="1"/>
  <c r="AF671" i="1"/>
  <c r="AM671" i="1"/>
  <c r="AK671" i="1"/>
  <c r="AB673" i="1" l="1"/>
  <c r="AJ672" i="1"/>
  <c r="AH672" i="1"/>
  <c r="AC672" i="1"/>
  <c r="AD672" i="1"/>
  <c r="AG672" i="1"/>
  <c r="AK672" i="1"/>
  <c r="AF672" i="1"/>
  <c r="AL672" i="1"/>
  <c r="AN672" i="1"/>
  <c r="AI672" i="1"/>
  <c r="AM672" i="1"/>
  <c r="AE672" i="1"/>
  <c r="AB674" i="1" l="1"/>
  <c r="AJ673" i="1"/>
  <c r="AH673" i="1"/>
  <c r="AC673" i="1"/>
  <c r="AD673" i="1"/>
  <c r="AE673" i="1"/>
  <c r="AN673" i="1"/>
  <c r="AK673" i="1"/>
  <c r="AG673" i="1"/>
  <c r="AF673" i="1"/>
  <c r="AL673" i="1"/>
  <c r="AI673" i="1"/>
  <c r="AM673" i="1"/>
  <c r="AB675" i="1" l="1"/>
  <c r="AJ674" i="1"/>
  <c r="AH674" i="1"/>
  <c r="AC674" i="1"/>
  <c r="AD674" i="1"/>
  <c r="AG674" i="1"/>
  <c r="AN674" i="1"/>
  <c r="AK674" i="1"/>
  <c r="AI674" i="1"/>
  <c r="AF674" i="1"/>
  <c r="AE674" i="1"/>
  <c r="AL674" i="1"/>
  <c r="AM674" i="1"/>
  <c r="AB676" i="1" l="1"/>
  <c r="AJ675" i="1"/>
  <c r="AH675" i="1"/>
  <c r="AC675" i="1"/>
  <c r="AD675" i="1"/>
  <c r="AN675" i="1"/>
  <c r="AF675" i="1"/>
  <c r="AM675" i="1"/>
  <c r="AE675" i="1"/>
  <c r="AL675" i="1"/>
  <c r="AG675" i="1"/>
  <c r="AK675" i="1"/>
  <c r="AI675" i="1"/>
  <c r="AB677" i="1" l="1"/>
  <c r="AJ676" i="1"/>
  <c r="AH676" i="1"/>
  <c r="AC676" i="1"/>
  <c r="AD676" i="1"/>
  <c r="AG676" i="1"/>
  <c r="AN676" i="1"/>
  <c r="AI676" i="1"/>
  <c r="AE676" i="1"/>
  <c r="AK676" i="1"/>
  <c r="AF676" i="1"/>
  <c r="AL676" i="1"/>
  <c r="AM676" i="1"/>
  <c r="AB678" i="1" l="1"/>
  <c r="AJ677" i="1"/>
  <c r="AH677" i="1"/>
  <c r="AC677" i="1"/>
  <c r="AD677" i="1"/>
  <c r="AE677" i="1"/>
  <c r="AL677" i="1"/>
  <c r="AG677" i="1"/>
  <c r="AN677" i="1"/>
  <c r="AF677" i="1"/>
  <c r="AM677" i="1"/>
  <c r="AI677" i="1"/>
  <c r="AK677" i="1"/>
  <c r="AB679" i="1" l="1"/>
  <c r="AJ678" i="1"/>
  <c r="AH678" i="1"/>
  <c r="AC678" i="1"/>
  <c r="AD678" i="1"/>
  <c r="AE678" i="1"/>
  <c r="AL678" i="1"/>
  <c r="AG678" i="1"/>
  <c r="AN678" i="1"/>
  <c r="AI678" i="1"/>
  <c r="AF678" i="1"/>
  <c r="AK678" i="1"/>
  <c r="AM678" i="1"/>
  <c r="AB680" i="1" l="1"/>
  <c r="AJ679" i="1"/>
  <c r="AH679" i="1"/>
  <c r="AC679" i="1"/>
  <c r="AD679" i="1"/>
  <c r="AE679" i="1"/>
  <c r="AL679" i="1"/>
  <c r="AG679" i="1"/>
  <c r="AN679" i="1"/>
  <c r="AK679" i="1"/>
  <c r="AI679" i="1"/>
  <c r="AM679" i="1"/>
  <c r="AF679" i="1"/>
  <c r="AB681" i="1" l="1"/>
  <c r="AJ680" i="1"/>
  <c r="AH680" i="1"/>
  <c r="AC680" i="1"/>
  <c r="AD680" i="1"/>
  <c r="AE680" i="1"/>
  <c r="AL680" i="1"/>
  <c r="AG680" i="1"/>
  <c r="AN680" i="1"/>
  <c r="AK680" i="1"/>
  <c r="AI680" i="1"/>
  <c r="AF680" i="1"/>
  <c r="AM680" i="1"/>
  <c r="AB682" i="1" l="1"/>
  <c r="AJ681" i="1"/>
  <c r="AH681" i="1"/>
  <c r="AC681" i="1"/>
  <c r="AL681" i="1"/>
  <c r="AG681" i="1"/>
  <c r="AN681" i="1"/>
  <c r="AK681" i="1"/>
  <c r="AD681" i="1"/>
  <c r="AI681" i="1"/>
  <c r="AM681" i="1"/>
  <c r="AE681" i="1"/>
  <c r="AF681" i="1"/>
  <c r="AB683" i="1" l="1"/>
  <c r="AJ682" i="1"/>
  <c r="AH682" i="1"/>
  <c r="AC682" i="1"/>
  <c r="AD682" i="1"/>
  <c r="AG682" i="1"/>
  <c r="AK682" i="1"/>
  <c r="AM682" i="1"/>
  <c r="AE682" i="1"/>
  <c r="AN682" i="1"/>
  <c r="AI682" i="1"/>
  <c r="AL682" i="1"/>
  <c r="AF682" i="1"/>
  <c r="AB684" i="1" l="1"/>
  <c r="AJ683" i="1"/>
  <c r="AH683" i="1"/>
  <c r="AC683" i="1"/>
  <c r="AD683" i="1"/>
  <c r="AE683" i="1"/>
  <c r="AN683" i="1"/>
  <c r="AK683" i="1"/>
  <c r="AI683" i="1"/>
  <c r="AF683" i="1"/>
  <c r="AL683" i="1"/>
  <c r="AG683" i="1"/>
  <c r="AM683" i="1"/>
  <c r="AB685" i="1" l="1"/>
  <c r="AJ684" i="1"/>
  <c r="AH684" i="1"/>
  <c r="AC684" i="1"/>
  <c r="AD684" i="1"/>
  <c r="AE684" i="1"/>
  <c r="AN684" i="1"/>
  <c r="AF684" i="1"/>
  <c r="AL684" i="1"/>
  <c r="AK684" i="1"/>
  <c r="AI684" i="1"/>
  <c r="AM684" i="1"/>
  <c r="AG684" i="1"/>
  <c r="AB686" i="1" l="1"/>
  <c r="AJ685" i="1"/>
  <c r="AH685" i="1"/>
  <c r="AC685" i="1"/>
  <c r="AD685" i="1"/>
  <c r="AE685" i="1"/>
  <c r="AG685" i="1"/>
  <c r="AK685" i="1"/>
  <c r="AF685" i="1"/>
  <c r="AL685" i="1"/>
  <c r="AI685" i="1"/>
  <c r="AM685" i="1"/>
  <c r="AN685" i="1"/>
  <c r="AB687" i="1" l="1"/>
  <c r="AJ686" i="1"/>
  <c r="AH686" i="1"/>
  <c r="AC686" i="1"/>
  <c r="AD686" i="1"/>
  <c r="AL686" i="1"/>
  <c r="AG686" i="1"/>
  <c r="AN686" i="1"/>
  <c r="AE686" i="1"/>
  <c r="AI686" i="1"/>
  <c r="AF686" i="1"/>
  <c r="AK686" i="1"/>
  <c r="AM686" i="1"/>
  <c r="AB688" i="1" l="1"/>
  <c r="AJ687" i="1"/>
  <c r="AH687" i="1"/>
  <c r="AC687" i="1"/>
  <c r="AL687" i="1"/>
  <c r="AI687" i="1"/>
  <c r="AD687" i="1"/>
  <c r="AK687" i="1"/>
  <c r="AE687" i="1"/>
  <c r="AN687" i="1"/>
  <c r="AF687" i="1"/>
  <c r="AM687" i="1"/>
  <c r="AG687" i="1"/>
  <c r="AB689" i="1" l="1"/>
  <c r="AJ688" i="1"/>
  <c r="AH688" i="1"/>
  <c r="AC688" i="1"/>
  <c r="AD688" i="1"/>
  <c r="AE688" i="1"/>
  <c r="AG688" i="1"/>
  <c r="AN688" i="1"/>
  <c r="AK688" i="1"/>
  <c r="AI688" i="1"/>
  <c r="AM688" i="1"/>
  <c r="AL688" i="1"/>
  <c r="AF688" i="1"/>
  <c r="AB690" i="1" l="1"/>
  <c r="AJ689" i="1"/>
  <c r="AH689" i="1"/>
  <c r="AC689" i="1"/>
  <c r="AD689" i="1"/>
  <c r="AE689" i="1"/>
  <c r="AG689" i="1"/>
  <c r="AK689" i="1"/>
  <c r="AF689" i="1"/>
  <c r="AL689" i="1"/>
  <c r="AI689" i="1"/>
  <c r="AM689" i="1"/>
  <c r="AN689" i="1"/>
  <c r="AB691" i="1" l="1"/>
  <c r="AJ690" i="1"/>
  <c r="AH690" i="1"/>
  <c r="AC690" i="1"/>
  <c r="AD690" i="1"/>
  <c r="AE690" i="1"/>
  <c r="AG690" i="1"/>
  <c r="AK690" i="1"/>
  <c r="AL690" i="1"/>
  <c r="AN690" i="1"/>
  <c r="AI690" i="1"/>
  <c r="AF690" i="1"/>
  <c r="AM690" i="1"/>
  <c r="AB692" i="1" l="1"/>
  <c r="AJ691" i="1"/>
  <c r="AH691" i="1"/>
  <c r="AC691" i="1"/>
  <c r="AE691" i="1"/>
  <c r="AL691" i="1"/>
  <c r="AG691" i="1"/>
  <c r="AN691" i="1"/>
  <c r="AI691" i="1"/>
  <c r="AM691" i="1"/>
  <c r="AD691" i="1"/>
  <c r="AK691" i="1"/>
  <c r="AF691" i="1"/>
  <c r="AB693" i="1" l="1"/>
  <c r="AJ692" i="1"/>
  <c r="AH692" i="1"/>
  <c r="AC692" i="1"/>
  <c r="AD692" i="1"/>
  <c r="AE692" i="1"/>
  <c r="AK692" i="1"/>
  <c r="AF692" i="1"/>
  <c r="AM692" i="1"/>
  <c r="AL692" i="1"/>
  <c r="AG692" i="1"/>
  <c r="AN692" i="1"/>
  <c r="AI692" i="1"/>
  <c r="AB694" i="1" l="1"/>
  <c r="AJ693" i="1"/>
  <c r="AH693" i="1"/>
  <c r="AC693" i="1"/>
  <c r="AD693" i="1"/>
  <c r="AE693" i="1"/>
  <c r="AG693" i="1"/>
  <c r="AM693" i="1"/>
  <c r="AL693" i="1"/>
  <c r="AN693" i="1"/>
  <c r="AI693" i="1"/>
  <c r="AF693" i="1"/>
  <c r="AK693" i="1"/>
  <c r="AB695" i="1" l="1"/>
  <c r="AJ694" i="1"/>
  <c r="AH694" i="1"/>
  <c r="AC694" i="1"/>
  <c r="AD694" i="1"/>
  <c r="AE694" i="1"/>
  <c r="AN694" i="1"/>
  <c r="AF694" i="1"/>
  <c r="AM694" i="1"/>
  <c r="AL694" i="1"/>
  <c r="AG694" i="1"/>
  <c r="AI694" i="1"/>
  <c r="AK694" i="1"/>
  <c r="AB696" i="1" l="1"/>
  <c r="AJ695" i="1"/>
  <c r="AH695" i="1"/>
  <c r="AC695" i="1"/>
  <c r="AD695" i="1"/>
  <c r="AE695" i="1"/>
  <c r="AL695" i="1"/>
  <c r="AN695" i="1"/>
  <c r="AI695" i="1"/>
  <c r="AG695" i="1"/>
  <c r="AF695" i="1"/>
  <c r="AM695" i="1"/>
  <c r="AK695" i="1"/>
  <c r="AB697" i="1" l="1"/>
  <c r="AJ696" i="1"/>
  <c r="AH696" i="1"/>
  <c r="AC696" i="1"/>
  <c r="AD696" i="1"/>
  <c r="AE696" i="1"/>
  <c r="AG696" i="1"/>
  <c r="AN696" i="1"/>
  <c r="AF696" i="1"/>
  <c r="AL696" i="1"/>
  <c r="AI696" i="1"/>
  <c r="AK696" i="1"/>
  <c r="AM696" i="1"/>
  <c r="AB698" i="1" l="1"/>
  <c r="AJ697" i="1"/>
  <c r="AH697" i="1"/>
  <c r="AC697" i="1"/>
  <c r="AD697" i="1"/>
  <c r="AE697" i="1"/>
  <c r="AG697" i="1"/>
  <c r="AK697" i="1"/>
  <c r="AF697" i="1"/>
  <c r="AM697" i="1"/>
  <c r="AN697" i="1"/>
  <c r="AL697" i="1"/>
  <c r="AI697" i="1"/>
  <c r="AB699" i="1" l="1"/>
  <c r="AJ698" i="1"/>
  <c r="AH698" i="1"/>
  <c r="AC698" i="1"/>
  <c r="AD698" i="1"/>
  <c r="AE698" i="1"/>
  <c r="AG698" i="1"/>
  <c r="AL698" i="1"/>
  <c r="AK698" i="1"/>
  <c r="AI698" i="1"/>
  <c r="AF698" i="1"/>
  <c r="AN698" i="1"/>
  <c r="AM698" i="1"/>
  <c r="AB700" i="1" l="1"/>
  <c r="AJ699" i="1"/>
  <c r="AH699" i="1"/>
  <c r="AC699" i="1"/>
  <c r="AD699" i="1"/>
  <c r="AE699" i="1"/>
  <c r="AL699" i="1"/>
  <c r="AG699" i="1"/>
  <c r="AN699" i="1"/>
  <c r="AF699" i="1"/>
  <c r="AM699" i="1"/>
  <c r="AK699" i="1"/>
  <c r="AI699" i="1"/>
  <c r="AB701" i="1" l="1"/>
  <c r="AJ700" i="1"/>
  <c r="AH700" i="1"/>
  <c r="AC700" i="1"/>
  <c r="AD700" i="1"/>
  <c r="AE700" i="1"/>
  <c r="AG700" i="1"/>
  <c r="AN700" i="1"/>
  <c r="AF700" i="1"/>
  <c r="AM700" i="1"/>
  <c r="AL700" i="1"/>
  <c r="AI700" i="1"/>
  <c r="AK700" i="1"/>
  <c r="AB702" i="1" l="1"/>
  <c r="AJ701" i="1"/>
  <c r="AH701" i="1"/>
  <c r="AC701" i="1"/>
  <c r="AD701" i="1"/>
  <c r="AE701" i="1"/>
  <c r="AL701" i="1"/>
  <c r="AN701" i="1"/>
  <c r="AK701" i="1"/>
  <c r="AI701" i="1"/>
  <c r="AG701" i="1"/>
  <c r="AF701" i="1"/>
  <c r="AM701" i="1"/>
  <c r="AB703" i="1" l="1"/>
  <c r="AJ702" i="1"/>
  <c r="AH702" i="1"/>
  <c r="AC702" i="1"/>
  <c r="AD702" i="1"/>
  <c r="AE702" i="1"/>
  <c r="AL702" i="1"/>
  <c r="AN702" i="1"/>
  <c r="AK702" i="1"/>
  <c r="AI702" i="1"/>
  <c r="AG702" i="1"/>
  <c r="AF702" i="1"/>
  <c r="AM702" i="1"/>
  <c r="AB704" i="1" l="1"/>
  <c r="AJ703" i="1"/>
  <c r="AH703" i="1"/>
  <c r="AC703" i="1"/>
  <c r="AD703" i="1"/>
  <c r="AE703" i="1"/>
  <c r="AL703" i="1"/>
  <c r="AN703" i="1"/>
  <c r="AK703" i="1"/>
  <c r="AF703" i="1"/>
  <c r="AG703" i="1"/>
  <c r="AM703" i="1"/>
  <c r="AI703" i="1"/>
  <c r="AB705" i="1" l="1"/>
  <c r="AJ704" i="1"/>
  <c r="AH704" i="1"/>
  <c r="AC704" i="1"/>
  <c r="AD704" i="1"/>
  <c r="AE704" i="1"/>
  <c r="AF704" i="1"/>
  <c r="AL704" i="1"/>
  <c r="AG704" i="1"/>
  <c r="AN704" i="1"/>
  <c r="AI704" i="1"/>
  <c r="AK704" i="1"/>
  <c r="AM704" i="1"/>
  <c r="AB706" i="1" l="1"/>
  <c r="AJ705" i="1"/>
  <c r="AH705" i="1"/>
  <c r="AC705" i="1"/>
  <c r="AD705" i="1"/>
  <c r="AE705" i="1"/>
  <c r="AG705" i="1"/>
  <c r="AF705" i="1"/>
  <c r="AL705" i="1"/>
  <c r="AK705" i="1"/>
  <c r="AI705" i="1"/>
  <c r="AN705" i="1"/>
  <c r="AM705" i="1"/>
  <c r="AB707" i="1" l="1"/>
  <c r="AJ706" i="1"/>
  <c r="AH706" i="1"/>
  <c r="AC706" i="1"/>
  <c r="AD706" i="1"/>
  <c r="AE706" i="1"/>
  <c r="AN706" i="1"/>
  <c r="AI706" i="1"/>
  <c r="AF706" i="1"/>
  <c r="AM706" i="1"/>
  <c r="AL706" i="1"/>
  <c r="AG706" i="1"/>
  <c r="AK706" i="1"/>
  <c r="AB708" i="1" l="1"/>
  <c r="AJ707" i="1"/>
  <c r="AH707" i="1"/>
  <c r="AC707" i="1"/>
  <c r="AD707" i="1"/>
  <c r="AE707" i="1"/>
  <c r="AL707" i="1"/>
  <c r="AN707" i="1"/>
  <c r="AF707" i="1"/>
  <c r="AM707" i="1"/>
  <c r="AG707" i="1"/>
  <c r="AI707" i="1"/>
  <c r="AK707" i="1"/>
  <c r="AB709" i="1" l="1"/>
  <c r="AJ708" i="1"/>
  <c r="AH708" i="1"/>
  <c r="AC708" i="1"/>
  <c r="AD708" i="1"/>
  <c r="AG708" i="1"/>
  <c r="AK708" i="1"/>
  <c r="AI708" i="1"/>
  <c r="AE708" i="1"/>
  <c r="AF708" i="1"/>
  <c r="AM708" i="1"/>
  <c r="AL708" i="1"/>
  <c r="AN708" i="1"/>
  <c r="AB710" i="1" l="1"/>
  <c r="AJ709" i="1"/>
  <c r="AH709" i="1"/>
  <c r="AC709" i="1"/>
  <c r="AD709" i="1"/>
  <c r="AL709" i="1"/>
  <c r="AK709" i="1"/>
  <c r="AF709" i="1"/>
  <c r="AE709" i="1"/>
  <c r="AG709" i="1"/>
  <c r="AI709" i="1"/>
  <c r="AN709" i="1"/>
  <c r="AM709" i="1"/>
  <c r="AB711" i="1" l="1"/>
  <c r="AJ710" i="1"/>
  <c r="AH710" i="1"/>
  <c r="AC710" i="1"/>
  <c r="AD710" i="1"/>
  <c r="AL710" i="1"/>
  <c r="AG710" i="1"/>
  <c r="AN710" i="1"/>
  <c r="AF710" i="1"/>
  <c r="AE710" i="1"/>
  <c r="AI710" i="1"/>
  <c r="AM710" i="1"/>
  <c r="AK710" i="1"/>
  <c r="AB712" i="1" l="1"/>
  <c r="AJ711" i="1"/>
  <c r="AH711" i="1"/>
  <c r="AC711" i="1"/>
  <c r="AD711" i="1"/>
  <c r="AE711" i="1"/>
  <c r="AG711" i="1"/>
  <c r="AK711" i="1"/>
  <c r="AL711" i="1"/>
  <c r="AF711" i="1"/>
  <c r="AM711" i="1"/>
  <c r="AN711" i="1"/>
  <c r="AI711" i="1"/>
  <c r="AB713" i="1" l="1"/>
  <c r="AJ712" i="1"/>
  <c r="AH712" i="1"/>
  <c r="AC712" i="1"/>
  <c r="AD712" i="1"/>
  <c r="AE712" i="1"/>
  <c r="AM712" i="1"/>
  <c r="AL712" i="1"/>
  <c r="AG712" i="1"/>
  <c r="AN712" i="1"/>
  <c r="AK712" i="1"/>
  <c r="AF712" i="1"/>
  <c r="AI712" i="1"/>
  <c r="AB714" i="1" l="1"/>
  <c r="AJ713" i="1"/>
  <c r="AH713" i="1"/>
  <c r="AC713" i="1"/>
  <c r="AD713" i="1"/>
  <c r="AE713" i="1"/>
  <c r="AL713" i="1"/>
  <c r="AN713" i="1"/>
  <c r="AI713" i="1"/>
  <c r="AG713" i="1"/>
  <c r="AF713" i="1"/>
  <c r="AK713" i="1"/>
  <c r="AM713" i="1"/>
  <c r="AB715" i="1" l="1"/>
  <c r="AJ714" i="1"/>
  <c r="AH714" i="1"/>
  <c r="AC714" i="1"/>
  <c r="AD714" i="1"/>
  <c r="AE714" i="1"/>
  <c r="AL714" i="1"/>
  <c r="AG714" i="1"/>
  <c r="AK714" i="1"/>
  <c r="AI714" i="1"/>
  <c r="AM714" i="1"/>
  <c r="AN714" i="1"/>
  <c r="AF714" i="1"/>
  <c r="AB716" i="1" l="1"/>
  <c r="AJ715" i="1"/>
  <c r="AH715" i="1"/>
  <c r="AC715" i="1"/>
  <c r="AD715" i="1"/>
  <c r="AE715" i="1"/>
  <c r="AL715" i="1"/>
  <c r="AG715" i="1"/>
  <c r="AN715" i="1"/>
  <c r="AI715" i="1"/>
  <c r="AF715" i="1"/>
  <c r="AK715" i="1"/>
  <c r="AM715" i="1"/>
  <c r="AB717" i="1" l="1"/>
  <c r="AJ716" i="1"/>
  <c r="AH716" i="1"/>
  <c r="AC716" i="1"/>
  <c r="AD716" i="1"/>
  <c r="AE716" i="1"/>
  <c r="AL716" i="1"/>
  <c r="AN716" i="1"/>
  <c r="AK716" i="1"/>
  <c r="AI716" i="1"/>
  <c r="AF716" i="1"/>
  <c r="AG716" i="1"/>
  <c r="AM716" i="1"/>
  <c r="AB718" i="1" l="1"/>
  <c r="AJ717" i="1"/>
  <c r="AH717" i="1"/>
  <c r="AC717" i="1"/>
  <c r="AD717" i="1"/>
  <c r="AE717" i="1"/>
  <c r="AL717" i="1"/>
  <c r="AN717" i="1"/>
  <c r="AK717" i="1"/>
  <c r="AI717" i="1"/>
  <c r="AG717" i="1"/>
  <c r="AF717" i="1"/>
  <c r="AM717" i="1"/>
  <c r="AB719" i="1" l="1"/>
  <c r="AJ718" i="1"/>
  <c r="AH718" i="1"/>
  <c r="AC718" i="1"/>
  <c r="AD718" i="1"/>
  <c r="AG718" i="1"/>
  <c r="AN718" i="1"/>
  <c r="AF718" i="1"/>
  <c r="AM718" i="1"/>
  <c r="AE718" i="1"/>
  <c r="AK718" i="1"/>
  <c r="AI718" i="1"/>
  <c r="AL718" i="1"/>
  <c r="AB720" i="1" l="1"/>
  <c r="AJ719" i="1"/>
  <c r="AH719" i="1"/>
  <c r="AC719" i="1"/>
  <c r="AE719" i="1"/>
  <c r="AL719" i="1"/>
  <c r="AG719" i="1"/>
  <c r="AK719" i="1"/>
  <c r="AI719" i="1"/>
  <c r="AD719" i="1"/>
  <c r="AN719" i="1"/>
  <c r="AM719" i="1"/>
  <c r="AF719" i="1"/>
  <c r="AB721" i="1" l="1"/>
  <c r="AJ720" i="1"/>
  <c r="AH720" i="1"/>
  <c r="AC720" i="1"/>
  <c r="AE720" i="1"/>
  <c r="AL720" i="1"/>
  <c r="AN720" i="1"/>
  <c r="AK720" i="1"/>
  <c r="AI720" i="1"/>
  <c r="AM720" i="1"/>
  <c r="AD720" i="1"/>
  <c r="AF720" i="1"/>
  <c r="AG720" i="1"/>
  <c r="AB722" i="1" l="1"/>
  <c r="AJ721" i="1"/>
  <c r="AH721" i="1"/>
  <c r="AC721" i="1"/>
  <c r="AD721" i="1"/>
  <c r="AE721" i="1"/>
  <c r="AG721" i="1"/>
  <c r="AL721" i="1"/>
  <c r="AK721" i="1"/>
  <c r="AI721" i="1"/>
  <c r="AM721" i="1"/>
  <c r="AN721" i="1"/>
  <c r="AF721" i="1"/>
  <c r="AB723" i="1" l="1"/>
  <c r="AJ722" i="1"/>
  <c r="AH722" i="1"/>
  <c r="AC722" i="1"/>
  <c r="AD722" i="1"/>
  <c r="AE722" i="1"/>
  <c r="AL722" i="1"/>
  <c r="AN722" i="1"/>
  <c r="AK722" i="1"/>
  <c r="AI722" i="1"/>
  <c r="AG722" i="1"/>
  <c r="AF722" i="1"/>
  <c r="AM722" i="1"/>
  <c r="AB724" i="1" l="1"/>
  <c r="AJ723" i="1"/>
  <c r="AH723" i="1"/>
  <c r="AC723" i="1"/>
  <c r="AD723" i="1"/>
  <c r="AE723" i="1"/>
  <c r="AG723" i="1"/>
  <c r="AN723" i="1"/>
  <c r="AK723" i="1"/>
  <c r="AI723" i="1"/>
  <c r="AM723" i="1"/>
  <c r="AL723" i="1"/>
  <c r="AF723" i="1"/>
  <c r="AB725" i="1" l="1"/>
  <c r="AJ724" i="1"/>
  <c r="AH724" i="1"/>
  <c r="AC724" i="1"/>
  <c r="AD724" i="1"/>
  <c r="AE724" i="1"/>
  <c r="AL724" i="1"/>
  <c r="AG724" i="1"/>
  <c r="AN724" i="1"/>
  <c r="AF724" i="1"/>
  <c r="AK724" i="1"/>
  <c r="AM724" i="1"/>
  <c r="AI724" i="1"/>
  <c r="AB726" i="1" l="1"/>
  <c r="AJ725" i="1"/>
  <c r="AH725" i="1"/>
  <c r="AC725" i="1"/>
  <c r="AD725" i="1"/>
  <c r="AE725" i="1"/>
  <c r="AN725" i="1"/>
  <c r="AM725" i="1"/>
  <c r="AL725" i="1"/>
  <c r="AG725" i="1"/>
  <c r="AK725" i="1"/>
  <c r="AI725" i="1"/>
  <c r="AF725" i="1"/>
  <c r="AB727" i="1" l="1"/>
  <c r="AJ726" i="1"/>
  <c r="AH726" i="1"/>
  <c r="AC726" i="1"/>
  <c r="AD726" i="1"/>
  <c r="AE726" i="1"/>
  <c r="AF726" i="1"/>
  <c r="AL726" i="1"/>
  <c r="AG726" i="1"/>
  <c r="AN726" i="1"/>
  <c r="AI726" i="1"/>
  <c r="AM726" i="1"/>
  <c r="AK726" i="1"/>
  <c r="AB728" i="1" l="1"/>
  <c r="AJ727" i="1"/>
  <c r="AH727" i="1"/>
  <c r="AC727" i="1"/>
  <c r="AD727" i="1"/>
  <c r="AE727" i="1"/>
  <c r="AG727" i="1"/>
  <c r="AM727" i="1"/>
  <c r="AL727" i="1"/>
  <c r="AK727" i="1"/>
  <c r="AI727" i="1"/>
  <c r="AN727" i="1"/>
  <c r="AF727" i="1"/>
  <c r="AB729" i="1" l="1"/>
  <c r="AJ728" i="1"/>
  <c r="AH728" i="1"/>
  <c r="AC728" i="1"/>
  <c r="AD728" i="1"/>
  <c r="AE728" i="1"/>
  <c r="AG728" i="1"/>
  <c r="AK728" i="1"/>
  <c r="AL728" i="1"/>
  <c r="AN728" i="1"/>
  <c r="AI728" i="1"/>
  <c r="AF728" i="1"/>
  <c r="AM728" i="1"/>
  <c r="AB730" i="1" l="1"/>
  <c r="AJ729" i="1"/>
  <c r="AH729" i="1"/>
  <c r="AC729" i="1"/>
  <c r="AD729" i="1"/>
  <c r="AE729" i="1"/>
  <c r="AL729" i="1"/>
  <c r="AN729" i="1"/>
  <c r="AF729" i="1"/>
  <c r="AG729" i="1"/>
  <c r="AI729" i="1"/>
  <c r="AM729" i="1"/>
  <c r="AK729" i="1"/>
  <c r="AB731" i="1" l="1"/>
  <c r="AJ730" i="1"/>
  <c r="AH730" i="1"/>
  <c r="AC730" i="1"/>
  <c r="AD730" i="1"/>
  <c r="AE730" i="1"/>
  <c r="AK730" i="1"/>
  <c r="AI730" i="1"/>
  <c r="AF730" i="1"/>
  <c r="AL730" i="1"/>
  <c r="AN730" i="1"/>
  <c r="AM730" i="1"/>
  <c r="AG730" i="1"/>
  <c r="AB732" i="1" l="1"/>
  <c r="AJ731" i="1"/>
  <c r="AH731" i="1"/>
  <c r="AC731" i="1"/>
  <c r="AD731" i="1"/>
  <c r="AE731" i="1"/>
  <c r="AG731" i="1"/>
  <c r="AK731" i="1"/>
  <c r="AF731" i="1"/>
  <c r="AL731" i="1"/>
  <c r="AN731" i="1"/>
  <c r="AI731" i="1"/>
  <c r="AM731" i="1"/>
  <c r="AB733" i="1" l="1"/>
  <c r="AJ732" i="1"/>
  <c r="AH732" i="1"/>
  <c r="AC732" i="1"/>
  <c r="AD732" i="1"/>
  <c r="AE732" i="1"/>
  <c r="AL732" i="1"/>
  <c r="AN732" i="1"/>
  <c r="AK732" i="1"/>
  <c r="AI732" i="1"/>
  <c r="AF732" i="1"/>
  <c r="AG732" i="1"/>
  <c r="AM732" i="1"/>
  <c r="AB734" i="1" l="1"/>
  <c r="AJ733" i="1"/>
  <c r="AH733" i="1"/>
  <c r="AC733" i="1"/>
  <c r="AD733" i="1"/>
  <c r="AE733" i="1"/>
  <c r="AL733" i="1"/>
  <c r="AN733" i="1"/>
  <c r="AK733" i="1"/>
  <c r="AI733" i="1"/>
  <c r="AG733" i="1"/>
  <c r="AF733" i="1"/>
  <c r="AM733" i="1"/>
  <c r="AB735" i="1" l="1"/>
  <c r="AJ734" i="1"/>
  <c r="AH734" i="1"/>
  <c r="AC734" i="1"/>
  <c r="AD734" i="1"/>
  <c r="AE734" i="1"/>
  <c r="AG734" i="1"/>
  <c r="AN734" i="1"/>
  <c r="AL734" i="1"/>
  <c r="AK734" i="1"/>
  <c r="AI734" i="1"/>
  <c r="AM734" i="1"/>
  <c r="AF734" i="1"/>
  <c r="AB736" i="1" l="1"/>
  <c r="AJ735" i="1"/>
  <c r="AH735" i="1"/>
  <c r="AC735" i="1"/>
  <c r="AD735" i="1"/>
  <c r="AE735" i="1"/>
  <c r="AG735" i="1"/>
  <c r="AN735" i="1"/>
  <c r="AK735" i="1"/>
  <c r="AI735" i="1"/>
  <c r="AF735" i="1"/>
  <c r="AL735" i="1"/>
  <c r="AM735" i="1"/>
  <c r="AB737" i="1" l="1"/>
  <c r="AJ736" i="1"/>
  <c r="AH736" i="1"/>
  <c r="AC736" i="1"/>
  <c r="AD736" i="1"/>
  <c r="AE736" i="1"/>
  <c r="AG736" i="1"/>
  <c r="AN736" i="1"/>
  <c r="AI736" i="1"/>
  <c r="AL736" i="1"/>
  <c r="AF736" i="1"/>
  <c r="AM736" i="1"/>
  <c r="AK736" i="1"/>
  <c r="AB738" i="1" l="1"/>
  <c r="AJ737" i="1"/>
  <c r="AH737" i="1"/>
  <c r="AC737" i="1"/>
  <c r="AD737" i="1"/>
  <c r="AL737" i="1"/>
  <c r="AK737" i="1"/>
  <c r="AF737" i="1"/>
  <c r="AM737" i="1"/>
  <c r="AE737" i="1"/>
  <c r="AN737" i="1"/>
  <c r="AG737" i="1"/>
  <c r="AI737" i="1"/>
  <c r="AB739" i="1" l="1"/>
  <c r="AJ738" i="1"/>
  <c r="AH738" i="1"/>
  <c r="AC738" i="1"/>
  <c r="AD738" i="1"/>
  <c r="AE738" i="1"/>
  <c r="AL738" i="1"/>
  <c r="AN738" i="1"/>
  <c r="AI738" i="1"/>
  <c r="AM738" i="1"/>
  <c r="AG738" i="1"/>
  <c r="AF738" i="1"/>
  <c r="AK738" i="1"/>
  <c r="AB740" i="1" l="1"/>
  <c r="AJ739" i="1"/>
  <c r="AH739" i="1"/>
  <c r="AC739" i="1"/>
  <c r="AD739" i="1"/>
  <c r="AE739" i="1"/>
  <c r="AL739" i="1"/>
  <c r="AN739" i="1"/>
  <c r="AF739" i="1"/>
  <c r="AG739" i="1"/>
  <c r="AI739" i="1"/>
  <c r="AM739" i="1"/>
  <c r="AK739" i="1"/>
  <c r="AB741" i="1" l="1"/>
  <c r="AJ740" i="1"/>
  <c r="AH740" i="1"/>
  <c r="AC740" i="1"/>
  <c r="AD740" i="1"/>
  <c r="AE740" i="1"/>
  <c r="AL740" i="1"/>
  <c r="AN740" i="1"/>
  <c r="AF740" i="1"/>
  <c r="AG740" i="1"/>
  <c r="AI740" i="1"/>
  <c r="AM740" i="1"/>
  <c r="AK740" i="1"/>
  <c r="AB742" i="1" l="1"/>
  <c r="AJ741" i="1"/>
  <c r="AH741" i="1"/>
  <c r="AC741" i="1"/>
  <c r="AD741" i="1"/>
  <c r="AG741" i="1"/>
  <c r="AN741" i="1"/>
  <c r="AE741" i="1"/>
  <c r="AL741" i="1"/>
  <c r="AK741" i="1"/>
  <c r="AF741" i="1"/>
  <c r="AM741" i="1"/>
  <c r="AI741" i="1"/>
  <c r="AB743" i="1" l="1"/>
  <c r="AJ742" i="1"/>
  <c r="AH742" i="1"/>
  <c r="AC742" i="1"/>
  <c r="AE742" i="1"/>
  <c r="AL742" i="1"/>
  <c r="AG742" i="1"/>
  <c r="AN742" i="1"/>
  <c r="AK742" i="1"/>
  <c r="AI742" i="1"/>
  <c r="AF742" i="1"/>
  <c r="AM742" i="1"/>
  <c r="AD742" i="1"/>
  <c r="AB744" i="1" l="1"/>
  <c r="AJ743" i="1"/>
  <c r="AH743" i="1"/>
  <c r="AC743" i="1"/>
  <c r="AE743" i="1"/>
  <c r="AG743" i="1"/>
  <c r="AI743" i="1"/>
  <c r="AD743" i="1"/>
  <c r="AL743" i="1"/>
  <c r="AN743" i="1"/>
  <c r="AM743" i="1"/>
  <c r="AF743" i="1"/>
  <c r="AK743" i="1"/>
  <c r="AB745" i="1" l="1"/>
  <c r="AJ744" i="1"/>
  <c r="AH744" i="1"/>
  <c r="AC744" i="1"/>
  <c r="AD744" i="1"/>
  <c r="AE744" i="1"/>
  <c r="AL744" i="1"/>
  <c r="AG744" i="1"/>
  <c r="AN744" i="1"/>
  <c r="AI744" i="1"/>
  <c r="AM744" i="1"/>
  <c r="AK744" i="1"/>
  <c r="AF744" i="1"/>
  <c r="AB746" i="1" l="1"/>
  <c r="AJ745" i="1"/>
  <c r="AH745" i="1"/>
  <c r="AC745" i="1"/>
  <c r="AD745" i="1"/>
  <c r="AE745" i="1"/>
  <c r="AG745" i="1"/>
  <c r="AN745" i="1"/>
  <c r="AI745" i="1"/>
  <c r="AF745" i="1"/>
  <c r="AL745" i="1"/>
  <c r="AM745" i="1"/>
  <c r="AK745" i="1"/>
  <c r="AB747" i="1" l="1"/>
  <c r="AJ746" i="1"/>
  <c r="AH746" i="1"/>
  <c r="AC746" i="1"/>
  <c r="AD746" i="1"/>
  <c r="AE746" i="1"/>
  <c r="AK746" i="1"/>
  <c r="AF746" i="1"/>
  <c r="AM746" i="1"/>
  <c r="AL746" i="1"/>
  <c r="AG746" i="1"/>
  <c r="AN746" i="1"/>
  <c r="AI746" i="1"/>
  <c r="AB748" i="1" l="1"/>
  <c r="AJ747" i="1"/>
  <c r="AH747" i="1"/>
  <c r="AC747" i="1"/>
  <c r="AD747" i="1"/>
  <c r="AE747" i="1"/>
  <c r="AF747" i="1"/>
  <c r="AL747" i="1"/>
  <c r="AG747" i="1"/>
  <c r="AN747" i="1"/>
  <c r="AI747" i="1"/>
  <c r="AK747" i="1"/>
  <c r="AM747" i="1"/>
  <c r="AB749" i="1" l="1"/>
  <c r="AJ748" i="1"/>
  <c r="AH748" i="1"/>
  <c r="AC748" i="1"/>
  <c r="AD748" i="1"/>
  <c r="AE748" i="1"/>
  <c r="AF748" i="1"/>
  <c r="AL748" i="1"/>
  <c r="AG748" i="1"/>
  <c r="AK748" i="1"/>
  <c r="AI748" i="1"/>
  <c r="AN748" i="1"/>
  <c r="AM748" i="1"/>
  <c r="AB750" i="1" l="1"/>
  <c r="AJ749" i="1"/>
  <c r="AH749" i="1"/>
  <c r="AC749" i="1"/>
  <c r="AD749" i="1"/>
  <c r="AE749" i="1"/>
  <c r="AG749" i="1"/>
  <c r="AN749" i="1"/>
  <c r="AF749" i="1"/>
  <c r="AL749" i="1"/>
  <c r="AI749" i="1"/>
  <c r="AK749" i="1"/>
  <c r="AM749" i="1"/>
  <c r="AB751" i="1" l="1"/>
  <c r="AJ750" i="1"/>
  <c r="AH750" i="1"/>
  <c r="AC750" i="1"/>
  <c r="AD750" i="1"/>
  <c r="AE750" i="1"/>
  <c r="AF750" i="1"/>
  <c r="AL750" i="1"/>
  <c r="AG750" i="1"/>
  <c r="AN750" i="1"/>
  <c r="AI750" i="1"/>
  <c r="AK750" i="1"/>
  <c r="AM750" i="1"/>
  <c r="AB752" i="1" l="1"/>
  <c r="AJ751" i="1"/>
  <c r="AH751" i="1"/>
  <c r="AC751" i="1"/>
  <c r="AE751" i="1"/>
  <c r="AL751" i="1"/>
  <c r="AG751" i="1"/>
  <c r="AM751" i="1"/>
  <c r="AD751" i="1"/>
  <c r="AK751" i="1"/>
  <c r="AF751" i="1"/>
  <c r="AN751" i="1"/>
  <c r="AI751" i="1"/>
  <c r="AB753" i="1" l="1"/>
  <c r="AJ752" i="1"/>
  <c r="AH752" i="1"/>
  <c r="AC752" i="1"/>
  <c r="AD752" i="1"/>
  <c r="AE752" i="1"/>
  <c r="AG752" i="1"/>
  <c r="AN752" i="1"/>
  <c r="AF752" i="1"/>
  <c r="AL752" i="1"/>
  <c r="AI752" i="1"/>
  <c r="AM752" i="1"/>
  <c r="AK752" i="1"/>
  <c r="AB754" i="1" l="1"/>
  <c r="AJ753" i="1"/>
  <c r="AH753" i="1"/>
  <c r="AC753" i="1"/>
  <c r="AD753" i="1"/>
  <c r="AE753" i="1"/>
  <c r="AG753" i="1"/>
  <c r="AK753" i="1"/>
  <c r="AM753" i="1"/>
  <c r="AL753" i="1"/>
  <c r="AN753" i="1"/>
  <c r="AI753" i="1"/>
  <c r="AF753" i="1"/>
  <c r="AB755" i="1" l="1"/>
  <c r="AJ754" i="1"/>
  <c r="AH754" i="1"/>
  <c r="AC754" i="1"/>
  <c r="AD754" i="1"/>
  <c r="AE754" i="1"/>
  <c r="AL754" i="1"/>
  <c r="AN754" i="1"/>
  <c r="AI754" i="1"/>
  <c r="AM754" i="1"/>
  <c r="AG754" i="1"/>
  <c r="AK754" i="1"/>
  <c r="AF754" i="1"/>
  <c r="AB756" i="1" l="1"/>
  <c r="AJ755" i="1"/>
  <c r="AH755" i="1"/>
  <c r="AC755" i="1"/>
  <c r="AD755" i="1"/>
  <c r="AE755" i="1"/>
  <c r="AL755" i="1"/>
  <c r="AG755" i="1"/>
  <c r="AN755" i="1"/>
  <c r="AF755" i="1"/>
  <c r="AM755" i="1"/>
  <c r="AK755" i="1"/>
  <c r="AI755" i="1"/>
  <c r="AB757" i="1" l="1"/>
  <c r="AJ756" i="1"/>
  <c r="AH756" i="1"/>
  <c r="AC756" i="1"/>
  <c r="AD756" i="1"/>
  <c r="AG756" i="1"/>
  <c r="AK756" i="1"/>
  <c r="AM756" i="1"/>
  <c r="AE756" i="1"/>
  <c r="AL756" i="1"/>
  <c r="AN756" i="1"/>
  <c r="AF756" i="1"/>
  <c r="AI756" i="1"/>
  <c r="AB758" i="1" l="1"/>
  <c r="AJ757" i="1"/>
  <c r="AH757" i="1"/>
  <c r="AC757" i="1"/>
  <c r="AE757" i="1"/>
  <c r="AN757" i="1"/>
  <c r="AF757" i="1"/>
  <c r="AD757" i="1"/>
  <c r="AL757" i="1"/>
  <c r="AK757" i="1"/>
  <c r="AI757" i="1"/>
  <c r="AG757" i="1"/>
  <c r="AM757" i="1"/>
  <c r="AB759" i="1" l="1"/>
  <c r="AJ758" i="1"/>
  <c r="AH758" i="1"/>
  <c r="AC758" i="1"/>
  <c r="AD758" i="1"/>
  <c r="AE758" i="1"/>
  <c r="AG758" i="1"/>
  <c r="AF758" i="1"/>
  <c r="AM758" i="1"/>
  <c r="AL758" i="1"/>
  <c r="AN758" i="1"/>
  <c r="AI758" i="1"/>
  <c r="AK758" i="1"/>
  <c r="AB760" i="1" l="1"/>
  <c r="AJ759" i="1"/>
  <c r="AH759" i="1"/>
  <c r="AC759" i="1"/>
  <c r="AD759" i="1"/>
  <c r="AE759" i="1"/>
  <c r="AL759" i="1"/>
  <c r="AN759" i="1"/>
  <c r="AI759" i="1"/>
  <c r="AM759" i="1"/>
  <c r="AG759" i="1"/>
  <c r="AF759" i="1"/>
  <c r="AK759" i="1"/>
  <c r="AB761" i="1" l="1"/>
  <c r="AJ760" i="1"/>
  <c r="AH760" i="1"/>
  <c r="AC760" i="1"/>
  <c r="AD760" i="1"/>
  <c r="AE760" i="1"/>
  <c r="AG760" i="1"/>
  <c r="AL760" i="1"/>
  <c r="AN760" i="1"/>
  <c r="AI760" i="1"/>
  <c r="AF760" i="1"/>
  <c r="AM760" i="1"/>
  <c r="AK760" i="1"/>
  <c r="AB762" i="1" l="1"/>
  <c r="AJ761" i="1"/>
  <c r="AH761" i="1"/>
  <c r="AC761" i="1"/>
  <c r="AD761" i="1"/>
  <c r="AG761" i="1"/>
  <c r="AK761" i="1"/>
  <c r="AF761" i="1"/>
  <c r="AM761" i="1"/>
  <c r="AL761" i="1"/>
  <c r="AN761" i="1"/>
  <c r="AI761" i="1"/>
  <c r="AE761" i="1"/>
  <c r="AB763" i="1" l="1"/>
  <c r="AJ762" i="1"/>
  <c r="AH762" i="1"/>
  <c r="AC762" i="1"/>
  <c r="AD762" i="1"/>
  <c r="AE762" i="1"/>
  <c r="AL762" i="1"/>
  <c r="AN762" i="1"/>
  <c r="AK762" i="1"/>
  <c r="AM762" i="1"/>
  <c r="AI762" i="1"/>
  <c r="AG762" i="1"/>
  <c r="AF762" i="1"/>
  <c r="AB764" i="1" l="1"/>
  <c r="AJ763" i="1"/>
  <c r="AH763" i="1"/>
  <c r="AC763" i="1"/>
  <c r="AD763" i="1"/>
  <c r="AE763" i="1"/>
  <c r="AL763" i="1"/>
  <c r="AK763" i="1"/>
  <c r="AI763" i="1"/>
  <c r="AM763" i="1"/>
  <c r="AG763" i="1"/>
  <c r="AF763" i="1"/>
  <c r="AN763" i="1"/>
  <c r="AB765" i="1" l="1"/>
  <c r="AJ764" i="1"/>
  <c r="AH764" i="1"/>
  <c r="AC764" i="1"/>
  <c r="AD764" i="1"/>
  <c r="AE764" i="1"/>
  <c r="AL764" i="1"/>
  <c r="AG764" i="1"/>
  <c r="AN764" i="1"/>
  <c r="AF764" i="1"/>
  <c r="AK764" i="1"/>
  <c r="AI764" i="1"/>
  <c r="AM764" i="1"/>
  <c r="AB766" i="1" l="1"/>
  <c r="AJ765" i="1"/>
  <c r="AH765" i="1"/>
  <c r="AC765" i="1"/>
  <c r="AD765" i="1"/>
  <c r="AE765" i="1"/>
  <c r="AL765" i="1"/>
  <c r="AN765" i="1"/>
  <c r="AI765" i="1"/>
  <c r="AM765" i="1"/>
  <c r="AG765" i="1"/>
  <c r="AF765" i="1"/>
  <c r="AK765" i="1"/>
  <c r="AB767" i="1" l="1"/>
  <c r="AJ766" i="1"/>
  <c r="AH766" i="1"/>
  <c r="AC766" i="1"/>
  <c r="AD766" i="1"/>
  <c r="AE766" i="1"/>
  <c r="AL766" i="1"/>
  <c r="AN766" i="1"/>
  <c r="AK766" i="1"/>
  <c r="AI766" i="1"/>
  <c r="AM766" i="1"/>
  <c r="AG766" i="1"/>
  <c r="AF766" i="1"/>
  <c r="AB768" i="1" l="1"/>
  <c r="AJ767" i="1"/>
  <c r="AH767" i="1"/>
  <c r="AC767" i="1"/>
  <c r="AD767" i="1"/>
  <c r="AE767" i="1"/>
  <c r="AL767" i="1"/>
  <c r="AN767" i="1"/>
  <c r="AF767" i="1"/>
  <c r="AM767" i="1"/>
  <c r="AG767" i="1"/>
  <c r="AI767" i="1"/>
  <c r="AK767" i="1"/>
  <c r="AB769" i="1" l="1"/>
  <c r="AJ768" i="1"/>
  <c r="AH768" i="1"/>
  <c r="AC768" i="1"/>
  <c r="AD768" i="1"/>
  <c r="AE768" i="1"/>
  <c r="AL768" i="1"/>
  <c r="AK768" i="1"/>
  <c r="AF768" i="1"/>
  <c r="AG768" i="1"/>
  <c r="AI768" i="1"/>
  <c r="AM768" i="1"/>
  <c r="AN768" i="1"/>
  <c r="AB770" i="1" l="1"/>
  <c r="AJ769" i="1"/>
  <c r="AH769" i="1"/>
  <c r="AC769" i="1"/>
  <c r="AD769" i="1"/>
  <c r="AE769" i="1"/>
  <c r="AG769" i="1"/>
  <c r="AL769" i="1"/>
  <c r="AN769" i="1"/>
  <c r="AI769" i="1"/>
  <c r="AM769" i="1"/>
  <c r="AK769" i="1"/>
  <c r="AF769" i="1"/>
  <c r="AB771" i="1" l="1"/>
  <c r="AJ770" i="1"/>
  <c r="AH770" i="1"/>
  <c r="AC770" i="1"/>
  <c r="AD770" i="1"/>
  <c r="AE770" i="1"/>
  <c r="AL770" i="1"/>
  <c r="AN770" i="1"/>
  <c r="AF770" i="1"/>
  <c r="AM770" i="1"/>
  <c r="AG770" i="1"/>
  <c r="AI770" i="1"/>
  <c r="AK770" i="1"/>
  <c r="AB772" i="1" l="1"/>
  <c r="AJ771" i="1"/>
  <c r="AH771" i="1"/>
  <c r="AC771" i="1"/>
  <c r="AD771" i="1"/>
  <c r="AE771" i="1"/>
  <c r="AG771" i="1"/>
  <c r="AN771" i="1"/>
  <c r="AF771" i="1"/>
  <c r="AL771" i="1"/>
  <c r="AI771" i="1"/>
  <c r="AK771" i="1"/>
  <c r="AM771" i="1"/>
  <c r="AB773" i="1" l="1"/>
  <c r="AJ772" i="1"/>
  <c r="AH772" i="1"/>
  <c r="AC772" i="1"/>
  <c r="AD772" i="1"/>
  <c r="AE772" i="1"/>
  <c r="AI772" i="1"/>
  <c r="AM772" i="1"/>
  <c r="AL772" i="1"/>
  <c r="AG772" i="1"/>
  <c r="AK772" i="1"/>
  <c r="AF772" i="1"/>
  <c r="AN772" i="1"/>
  <c r="AB774" i="1" l="1"/>
  <c r="AJ773" i="1"/>
  <c r="AH773" i="1"/>
  <c r="AC773" i="1"/>
  <c r="AE773" i="1"/>
  <c r="AG773" i="1"/>
  <c r="AF773" i="1"/>
  <c r="AM773" i="1"/>
  <c r="AD773" i="1"/>
  <c r="AN773" i="1"/>
  <c r="AI773" i="1"/>
  <c r="AL773" i="1"/>
  <c r="AK773" i="1"/>
  <c r="AB775" i="1" l="1"/>
  <c r="AJ774" i="1"/>
  <c r="AH774" i="1"/>
  <c r="AC774" i="1"/>
  <c r="AD774" i="1"/>
  <c r="AE774" i="1"/>
  <c r="AL774" i="1"/>
  <c r="AN774" i="1"/>
  <c r="AF774" i="1"/>
  <c r="AG774" i="1"/>
  <c r="AI774" i="1"/>
  <c r="AK774" i="1"/>
  <c r="AM774" i="1"/>
  <c r="AB776" i="1" l="1"/>
  <c r="AJ775" i="1"/>
  <c r="AH775" i="1"/>
  <c r="AC775" i="1"/>
  <c r="AD775" i="1"/>
  <c r="AE775" i="1"/>
  <c r="AL775" i="1"/>
  <c r="AN775" i="1"/>
  <c r="AK775" i="1"/>
  <c r="AI775" i="1"/>
  <c r="AG775" i="1"/>
  <c r="AF775" i="1"/>
  <c r="AM775" i="1"/>
  <c r="AB777" i="1" l="1"/>
  <c r="AJ776" i="1"/>
  <c r="AH776" i="1"/>
  <c r="AC776" i="1"/>
  <c r="AD776" i="1"/>
  <c r="AE776" i="1"/>
  <c r="AG776" i="1"/>
  <c r="AN776" i="1"/>
  <c r="AF776" i="1"/>
  <c r="AL776" i="1"/>
  <c r="AI776" i="1"/>
  <c r="AK776" i="1"/>
  <c r="AM776" i="1"/>
  <c r="AB778" i="1" l="1"/>
  <c r="AJ777" i="1"/>
  <c r="AH777" i="1"/>
  <c r="AC777" i="1"/>
  <c r="AL777" i="1"/>
  <c r="AN777" i="1"/>
  <c r="AI777" i="1"/>
  <c r="AF777" i="1"/>
  <c r="AD777" i="1"/>
  <c r="AG777" i="1"/>
  <c r="AM777" i="1"/>
  <c r="AE777" i="1"/>
  <c r="AK777" i="1"/>
  <c r="AB779" i="1" l="1"/>
  <c r="AJ778" i="1"/>
  <c r="AH778" i="1"/>
  <c r="AC778" i="1"/>
  <c r="AE778" i="1"/>
  <c r="AL778" i="1"/>
  <c r="AK778" i="1"/>
  <c r="AI778" i="1"/>
  <c r="AM778" i="1"/>
  <c r="AD778" i="1"/>
  <c r="AN778" i="1"/>
  <c r="AG778" i="1"/>
  <c r="AF778" i="1"/>
  <c r="AB780" i="1" l="1"/>
  <c r="AJ779" i="1"/>
  <c r="AH779" i="1"/>
  <c r="AC779" i="1"/>
  <c r="AD779" i="1"/>
  <c r="AE779" i="1"/>
  <c r="AN779" i="1"/>
  <c r="AK779" i="1"/>
  <c r="AF779" i="1"/>
  <c r="AL779" i="1"/>
  <c r="AG779" i="1"/>
  <c r="AI779" i="1"/>
  <c r="AM779" i="1"/>
  <c r="AB781" i="1" l="1"/>
  <c r="AJ780" i="1"/>
  <c r="AH780" i="1"/>
  <c r="AC780" i="1"/>
  <c r="AD780" i="1"/>
  <c r="AE780" i="1"/>
  <c r="AG780" i="1"/>
  <c r="AN780" i="1"/>
  <c r="AF780" i="1"/>
  <c r="AL780" i="1"/>
  <c r="AI780" i="1"/>
  <c r="AK780" i="1"/>
  <c r="AM780" i="1"/>
  <c r="AB782" i="1" l="1"/>
  <c r="AJ781" i="1"/>
  <c r="AH781" i="1"/>
  <c r="AC781" i="1"/>
  <c r="AD781" i="1"/>
  <c r="AE781" i="1"/>
  <c r="AL781" i="1"/>
  <c r="AN781" i="1"/>
  <c r="AF781" i="1"/>
  <c r="AM781" i="1"/>
  <c r="AG781" i="1"/>
  <c r="AI781" i="1"/>
  <c r="AK781" i="1"/>
  <c r="AB783" i="1" l="1"/>
  <c r="AJ782" i="1"/>
  <c r="AH782" i="1"/>
  <c r="AC782" i="1"/>
  <c r="AD782" i="1"/>
  <c r="AE782" i="1"/>
  <c r="AL782" i="1"/>
  <c r="AK782" i="1"/>
  <c r="AF782" i="1"/>
  <c r="AG782" i="1"/>
  <c r="AI782" i="1"/>
  <c r="AM782" i="1"/>
  <c r="AN782" i="1"/>
  <c r="AB784" i="1" l="1"/>
  <c r="AJ783" i="1"/>
  <c r="AH783" i="1"/>
  <c r="AC783" i="1"/>
  <c r="AD783" i="1"/>
  <c r="AL783" i="1"/>
  <c r="AK783" i="1"/>
  <c r="AI783" i="1"/>
  <c r="AE783" i="1"/>
  <c r="AN783" i="1"/>
  <c r="AG783" i="1"/>
  <c r="AM783" i="1"/>
  <c r="AF783" i="1"/>
  <c r="AB785" i="1" l="1"/>
  <c r="AJ784" i="1"/>
  <c r="AH784" i="1"/>
  <c r="AC784" i="1"/>
  <c r="AD784" i="1"/>
  <c r="AE784" i="1"/>
  <c r="AG784" i="1"/>
  <c r="AK784" i="1"/>
  <c r="AM784" i="1"/>
  <c r="AL784" i="1"/>
  <c r="AN784" i="1"/>
  <c r="AF784" i="1"/>
  <c r="AI784" i="1"/>
  <c r="AB786" i="1" l="1"/>
  <c r="AJ785" i="1"/>
  <c r="AH785" i="1"/>
  <c r="AC785" i="1"/>
  <c r="AD785" i="1"/>
  <c r="AE785" i="1"/>
  <c r="AG785" i="1"/>
  <c r="AN785" i="1"/>
  <c r="AM785" i="1"/>
  <c r="AL785" i="1"/>
  <c r="AK785" i="1"/>
  <c r="AI785" i="1"/>
  <c r="AF785" i="1"/>
  <c r="AB787" i="1" l="1"/>
  <c r="AJ786" i="1"/>
  <c r="AH786" i="1"/>
  <c r="AC786" i="1"/>
  <c r="AD786" i="1"/>
  <c r="AE786" i="1"/>
  <c r="AL786" i="1"/>
  <c r="AN786" i="1"/>
  <c r="AF786" i="1"/>
  <c r="AG786" i="1"/>
  <c r="AI786" i="1"/>
  <c r="AM786" i="1"/>
  <c r="AK786" i="1"/>
  <c r="AB788" i="1" l="1"/>
  <c r="AJ787" i="1"/>
  <c r="AH787" i="1"/>
  <c r="AC787" i="1"/>
  <c r="AD787" i="1"/>
  <c r="AE787" i="1"/>
  <c r="AG787" i="1"/>
  <c r="AN787" i="1"/>
  <c r="AL787" i="1"/>
  <c r="AK787" i="1"/>
  <c r="AI787" i="1"/>
  <c r="AM787" i="1"/>
  <c r="AF787" i="1"/>
  <c r="AB789" i="1" l="1"/>
  <c r="AJ788" i="1"/>
  <c r="AH788" i="1"/>
  <c r="AC788" i="1"/>
  <c r="AD788" i="1"/>
  <c r="AE788" i="1"/>
  <c r="AG788" i="1"/>
  <c r="AN788" i="1"/>
  <c r="AL788" i="1"/>
  <c r="AK788" i="1"/>
  <c r="AI788" i="1"/>
  <c r="AM788" i="1"/>
  <c r="AF788" i="1"/>
  <c r="AB790" i="1" l="1"/>
  <c r="AJ789" i="1"/>
  <c r="AH789" i="1"/>
  <c r="AC789" i="1"/>
  <c r="AD789" i="1"/>
  <c r="AE789" i="1"/>
  <c r="AG789" i="1"/>
  <c r="AN789" i="1"/>
  <c r="AM789" i="1"/>
  <c r="AL789" i="1"/>
  <c r="AK789" i="1"/>
  <c r="AI789" i="1"/>
  <c r="AF789" i="1"/>
  <c r="AB791" i="1" l="1"/>
  <c r="AJ790" i="1"/>
  <c r="AH790" i="1"/>
  <c r="AC790" i="1"/>
  <c r="AD790" i="1"/>
  <c r="AE790" i="1"/>
  <c r="AL790" i="1"/>
  <c r="AN790" i="1"/>
  <c r="AF790" i="1"/>
  <c r="AG790" i="1"/>
  <c r="AI790" i="1"/>
  <c r="AM790" i="1"/>
  <c r="AK790" i="1"/>
  <c r="AB792" i="1" l="1"/>
  <c r="AJ791" i="1"/>
  <c r="AH791" i="1"/>
  <c r="AC791" i="1"/>
  <c r="AD791" i="1"/>
  <c r="AE791" i="1"/>
  <c r="AL791" i="1"/>
  <c r="AK791" i="1"/>
  <c r="AF791" i="1"/>
  <c r="AM791" i="1"/>
  <c r="AG791" i="1"/>
  <c r="AI791" i="1"/>
  <c r="AN791" i="1"/>
  <c r="AB793" i="1" l="1"/>
  <c r="AJ792" i="1"/>
  <c r="AH792" i="1"/>
  <c r="AC792" i="1"/>
  <c r="AD792" i="1"/>
  <c r="AE792" i="1"/>
  <c r="AL792" i="1"/>
  <c r="AN792" i="1"/>
  <c r="AF792" i="1"/>
  <c r="AG792" i="1"/>
  <c r="AI792" i="1"/>
  <c r="AK792" i="1"/>
  <c r="AM792" i="1"/>
  <c r="AB794" i="1" l="1"/>
  <c r="AJ793" i="1"/>
  <c r="AH793" i="1"/>
  <c r="AC793" i="1"/>
  <c r="AD793" i="1"/>
  <c r="AE793" i="1"/>
  <c r="AL793" i="1"/>
  <c r="AG793" i="1"/>
  <c r="AN793" i="1"/>
  <c r="AI793" i="1"/>
  <c r="AF793" i="1"/>
  <c r="AM793" i="1"/>
  <c r="AK793" i="1"/>
  <c r="AB795" i="1" l="1"/>
  <c r="AJ794" i="1"/>
  <c r="AH794" i="1"/>
  <c r="AC794" i="1"/>
  <c r="AD794" i="1"/>
  <c r="AE794" i="1"/>
  <c r="AL794" i="1"/>
  <c r="AN794" i="1"/>
  <c r="AF794" i="1"/>
  <c r="AG794" i="1"/>
  <c r="AI794" i="1"/>
  <c r="AK794" i="1"/>
  <c r="AM794" i="1"/>
  <c r="AB796" i="1" l="1"/>
  <c r="AJ795" i="1"/>
  <c r="AH795" i="1"/>
  <c r="AC795" i="1"/>
  <c r="AD795" i="1"/>
  <c r="AE795" i="1"/>
  <c r="AG795" i="1"/>
  <c r="AF795" i="1"/>
  <c r="AL795" i="1"/>
  <c r="AN795" i="1"/>
  <c r="AI795" i="1"/>
  <c r="AK795" i="1"/>
  <c r="AM795" i="1"/>
  <c r="AB797" i="1" l="1"/>
  <c r="AJ796" i="1"/>
  <c r="AH796" i="1"/>
  <c r="AC796" i="1"/>
  <c r="AD796" i="1"/>
  <c r="AE796" i="1"/>
  <c r="AG796" i="1"/>
  <c r="AN796" i="1"/>
  <c r="AF796" i="1"/>
  <c r="AM796" i="1"/>
  <c r="AL796" i="1"/>
  <c r="AI796" i="1"/>
  <c r="AK796" i="1"/>
  <c r="AB798" i="1" l="1"/>
  <c r="AJ797" i="1"/>
  <c r="AH797" i="1"/>
  <c r="AC797" i="1"/>
  <c r="AD797" i="1"/>
  <c r="AE797" i="1"/>
  <c r="AK797" i="1"/>
  <c r="AI797" i="1"/>
  <c r="AM797" i="1"/>
  <c r="AL797" i="1"/>
  <c r="AN797" i="1"/>
  <c r="AG797" i="1"/>
  <c r="AF797" i="1"/>
  <c r="AB799" i="1" l="1"/>
  <c r="AJ798" i="1"/>
  <c r="AH798" i="1"/>
  <c r="AC798" i="1"/>
  <c r="AD798" i="1"/>
  <c r="AI798" i="1"/>
  <c r="AE798" i="1"/>
  <c r="AL798" i="1"/>
  <c r="AG798" i="1"/>
  <c r="AN798" i="1"/>
  <c r="AM798" i="1"/>
  <c r="AK798" i="1"/>
  <c r="AF798" i="1"/>
  <c r="AB800" i="1" l="1"/>
  <c r="AJ799" i="1"/>
  <c r="AH799" i="1"/>
  <c r="AC799" i="1"/>
  <c r="AD799" i="1"/>
  <c r="AE799" i="1"/>
  <c r="AN799" i="1"/>
  <c r="AK799" i="1"/>
  <c r="AI799" i="1"/>
  <c r="AM799" i="1"/>
  <c r="AL799" i="1"/>
  <c r="AG799" i="1"/>
  <c r="AF799" i="1"/>
  <c r="AB801" i="1" l="1"/>
  <c r="AJ800" i="1"/>
  <c r="AH800" i="1"/>
  <c r="AC800" i="1"/>
  <c r="AD800" i="1"/>
  <c r="AE800" i="1"/>
  <c r="AL800" i="1"/>
  <c r="AN800" i="1"/>
  <c r="AK800" i="1"/>
  <c r="AI800" i="1"/>
  <c r="AM800" i="1"/>
  <c r="AG800" i="1"/>
  <c r="AF800" i="1"/>
  <c r="AB802" i="1" l="1"/>
  <c r="AJ801" i="1"/>
  <c r="AH801" i="1"/>
  <c r="AC801" i="1"/>
  <c r="AG801" i="1"/>
  <c r="AK801" i="1"/>
  <c r="AI801" i="1"/>
  <c r="AF801" i="1"/>
  <c r="AD801" i="1"/>
  <c r="AN801" i="1"/>
  <c r="AM801" i="1"/>
  <c r="AE801" i="1"/>
  <c r="AL801" i="1"/>
  <c r="AB803" i="1" l="1"/>
  <c r="AJ802" i="1"/>
  <c r="AH802" i="1"/>
  <c r="AC802" i="1"/>
  <c r="AD802" i="1"/>
  <c r="AE802" i="1"/>
  <c r="AG802" i="1"/>
  <c r="AN802" i="1"/>
  <c r="AF802" i="1"/>
  <c r="AM802" i="1"/>
  <c r="AL802" i="1"/>
  <c r="AK802" i="1"/>
  <c r="AI802" i="1"/>
  <c r="AB804" i="1" l="1"/>
  <c r="AJ803" i="1"/>
  <c r="AH803" i="1"/>
  <c r="AC803" i="1"/>
  <c r="AD803" i="1"/>
  <c r="AE803" i="1"/>
  <c r="AG803" i="1"/>
  <c r="AK803" i="1"/>
  <c r="AF803" i="1"/>
  <c r="AL803" i="1"/>
  <c r="AI803" i="1"/>
  <c r="AN803" i="1"/>
  <c r="AM803" i="1"/>
  <c r="AB805" i="1" l="1"/>
  <c r="AJ804" i="1"/>
  <c r="AH804" i="1"/>
  <c r="AC804" i="1"/>
  <c r="AD804" i="1"/>
  <c r="AE804" i="1"/>
  <c r="AL804" i="1"/>
  <c r="AG804" i="1"/>
  <c r="AN804" i="1"/>
  <c r="AK804" i="1"/>
  <c r="AF804" i="1"/>
  <c r="AI804" i="1"/>
  <c r="AM804" i="1"/>
  <c r="AB806" i="1" l="1"/>
  <c r="AJ805" i="1"/>
  <c r="AH805" i="1"/>
  <c r="AC805" i="1"/>
  <c r="AD805" i="1"/>
  <c r="AE805" i="1"/>
  <c r="AG805" i="1"/>
  <c r="AN805" i="1"/>
  <c r="AF805" i="1"/>
  <c r="AM805" i="1"/>
  <c r="AL805" i="1"/>
  <c r="AI805" i="1"/>
  <c r="AK805" i="1"/>
  <c r="AB807" i="1" l="1"/>
  <c r="AJ806" i="1"/>
  <c r="AH806" i="1"/>
  <c r="AC806" i="1"/>
  <c r="AD806" i="1"/>
  <c r="AE806" i="1"/>
  <c r="AL806" i="1"/>
  <c r="AN806" i="1"/>
  <c r="AF806" i="1"/>
  <c r="AM806" i="1"/>
  <c r="AG806" i="1"/>
  <c r="AI806" i="1"/>
  <c r="AK806" i="1"/>
  <c r="AB808" i="1" l="1"/>
  <c r="AJ807" i="1"/>
  <c r="AH807" i="1"/>
  <c r="AC807" i="1"/>
  <c r="AL807" i="1"/>
  <c r="AG807" i="1"/>
  <c r="AD807" i="1"/>
  <c r="AF807" i="1"/>
  <c r="AM807" i="1"/>
  <c r="AE807" i="1"/>
  <c r="AK807" i="1"/>
  <c r="AI807" i="1"/>
  <c r="AN807" i="1"/>
  <c r="AB809" i="1" l="1"/>
  <c r="AJ808" i="1"/>
  <c r="AH808" i="1"/>
  <c r="AC808" i="1"/>
  <c r="AD808" i="1"/>
  <c r="AG808" i="1"/>
  <c r="AN808" i="1"/>
  <c r="AM808" i="1"/>
  <c r="AE808" i="1"/>
  <c r="AL808" i="1"/>
  <c r="AK808" i="1"/>
  <c r="AF808" i="1"/>
  <c r="AI808" i="1"/>
  <c r="AB810" i="1" l="1"/>
  <c r="AJ809" i="1"/>
  <c r="AH809" i="1"/>
  <c r="AC809" i="1"/>
  <c r="AD809" i="1"/>
  <c r="AE809" i="1"/>
  <c r="AG809" i="1"/>
  <c r="AI809" i="1"/>
  <c r="AL809" i="1"/>
  <c r="AN809" i="1"/>
  <c r="AM809" i="1"/>
  <c r="AK809" i="1"/>
  <c r="AF809" i="1"/>
  <c r="AB811" i="1" l="1"/>
  <c r="AJ810" i="1"/>
  <c r="AH810" i="1"/>
  <c r="AC810" i="1"/>
  <c r="AD810" i="1"/>
  <c r="AE810" i="1"/>
  <c r="AN810" i="1"/>
  <c r="AL810" i="1"/>
  <c r="AG810" i="1"/>
  <c r="AK810" i="1"/>
  <c r="AF810" i="1"/>
  <c r="AM810" i="1"/>
  <c r="AI810" i="1"/>
  <c r="AB812" i="1" l="1"/>
  <c r="AJ811" i="1"/>
  <c r="AH811" i="1"/>
  <c r="AC811" i="1"/>
  <c r="AD811" i="1"/>
  <c r="AE811" i="1"/>
  <c r="AG811" i="1"/>
  <c r="AK811" i="1"/>
  <c r="AF811" i="1"/>
  <c r="AL811" i="1"/>
  <c r="AI811" i="1"/>
  <c r="AM811" i="1"/>
  <c r="AN811" i="1"/>
  <c r="AB813" i="1" l="1"/>
  <c r="AJ812" i="1"/>
  <c r="AH812" i="1"/>
  <c r="AC812" i="1"/>
  <c r="AD812" i="1"/>
  <c r="AE812" i="1"/>
  <c r="AL812" i="1"/>
  <c r="AN812" i="1"/>
  <c r="AF812" i="1"/>
  <c r="AM812" i="1"/>
  <c r="AG812" i="1"/>
  <c r="AI812" i="1"/>
  <c r="AK812" i="1"/>
  <c r="AB814" i="1" l="1"/>
  <c r="AJ813" i="1"/>
  <c r="AH813" i="1"/>
  <c r="AC813" i="1"/>
  <c r="AE813" i="1"/>
  <c r="AL813" i="1"/>
  <c r="AN813" i="1"/>
  <c r="AK813" i="1"/>
  <c r="AF813" i="1"/>
  <c r="AD813" i="1"/>
  <c r="AI813" i="1"/>
  <c r="AM813" i="1"/>
  <c r="AG813" i="1"/>
  <c r="AB815" i="1" l="1"/>
  <c r="AJ814" i="1"/>
  <c r="AH814" i="1"/>
  <c r="AC814" i="1"/>
  <c r="AD814" i="1"/>
  <c r="AE814" i="1"/>
  <c r="AL814" i="1"/>
  <c r="AG814" i="1"/>
  <c r="AN814" i="1"/>
  <c r="AK814" i="1"/>
  <c r="AI814" i="1"/>
  <c r="AF814" i="1"/>
  <c r="AM814" i="1"/>
  <c r="AB816" i="1" l="1"/>
  <c r="AJ815" i="1"/>
  <c r="AH815" i="1"/>
  <c r="AC815" i="1"/>
  <c r="AD815" i="1"/>
  <c r="AL815" i="1"/>
  <c r="AN815" i="1"/>
  <c r="AK815" i="1"/>
  <c r="AE815" i="1"/>
  <c r="AG815" i="1"/>
  <c r="AM815" i="1"/>
  <c r="AF815" i="1"/>
  <c r="AI815" i="1"/>
  <c r="AB817" i="1" l="1"/>
  <c r="AJ816" i="1"/>
  <c r="AH816" i="1"/>
  <c r="AC816" i="1"/>
  <c r="AE816" i="1"/>
  <c r="AK816" i="1"/>
  <c r="AI816" i="1"/>
  <c r="AM816" i="1"/>
  <c r="AD816" i="1"/>
  <c r="AL816" i="1"/>
  <c r="AG816" i="1"/>
  <c r="AN816" i="1"/>
  <c r="AF816" i="1"/>
  <c r="AB818" i="1" l="1"/>
  <c r="AJ817" i="1"/>
  <c r="AH817" i="1"/>
  <c r="AC817" i="1"/>
  <c r="AG817" i="1"/>
  <c r="AK817" i="1"/>
  <c r="AD817" i="1"/>
  <c r="AE817" i="1"/>
  <c r="AL817" i="1"/>
  <c r="AI817" i="1"/>
  <c r="AF817" i="1"/>
  <c r="AM817" i="1"/>
  <c r="AN817" i="1"/>
  <c r="AB819" i="1" l="1"/>
  <c r="AJ818" i="1"/>
  <c r="AH818" i="1"/>
  <c r="AC818" i="1"/>
  <c r="AD818" i="1"/>
  <c r="AL818" i="1"/>
  <c r="AG818" i="1"/>
  <c r="AK818" i="1"/>
  <c r="AI818" i="1"/>
  <c r="AF818" i="1"/>
  <c r="AN818" i="1"/>
  <c r="AM818" i="1"/>
  <c r="AE818" i="1"/>
  <c r="AB820" i="1" l="1"/>
  <c r="AJ819" i="1"/>
  <c r="AH819" i="1"/>
  <c r="AC819" i="1"/>
  <c r="AD819" i="1"/>
  <c r="AL819" i="1"/>
  <c r="AN819" i="1"/>
  <c r="AE819" i="1"/>
  <c r="AG819" i="1"/>
  <c r="AK819" i="1"/>
  <c r="AI819" i="1"/>
  <c r="AF819" i="1"/>
  <c r="AM819" i="1"/>
  <c r="AB821" i="1" l="1"/>
  <c r="AJ820" i="1"/>
  <c r="AH820" i="1"/>
  <c r="AC820" i="1"/>
  <c r="AD820" i="1"/>
  <c r="AE820" i="1"/>
  <c r="AG820" i="1"/>
  <c r="AN820" i="1"/>
  <c r="AK820" i="1"/>
  <c r="AI820" i="1"/>
  <c r="AF820" i="1"/>
  <c r="AM820" i="1"/>
  <c r="AL820" i="1"/>
  <c r="AB822" i="1" l="1"/>
  <c r="AJ821" i="1"/>
  <c r="AH821" i="1"/>
  <c r="AC821" i="1"/>
  <c r="AE821" i="1"/>
  <c r="AL821" i="1"/>
  <c r="AG821" i="1"/>
  <c r="AK821" i="1"/>
  <c r="AI821" i="1"/>
  <c r="AD821" i="1"/>
  <c r="AN821" i="1"/>
  <c r="AF821" i="1"/>
  <c r="AM821" i="1"/>
  <c r="AB823" i="1" l="1"/>
  <c r="AJ822" i="1"/>
  <c r="AH822" i="1"/>
  <c r="AC822" i="1"/>
  <c r="AD822" i="1"/>
  <c r="AE822" i="1"/>
  <c r="AG822" i="1"/>
  <c r="AK822" i="1"/>
  <c r="AI822" i="1"/>
  <c r="AF822" i="1"/>
  <c r="AM822" i="1"/>
  <c r="AL822" i="1"/>
  <c r="AN822" i="1"/>
  <c r="AB824" i="1" l="1"/>
  <c r="AJ823" i="1"/>
  <c r="AH823" i="1"/>
  <c r="AC823" i="1"/>
  <c r="AD823" i="1"/>
  <c r="AL823" i="1"/>
  <c r="AG823" i="1"/>
  <c r="AN823" i="1"/>
  <c r="AI823" i="1"/>
  <c r="AF823" i="1"/>
  <c r="AM823" i="1"/>
  <c r="AE823" i="1"/>
  <c r="AK823" i="1"/>
  <c r="AB825" i="1" l="1"/>
  <c r="AJ824" i="1"/>
  <c r="AH824" i="1"/>
  <c r="AC824" i="1"/>
  <c r="AD824" i="1"/>
  <c r="AF824" i="1"/>
  <c r="AM824" i="1"/>
  <c r="AN824" i="1"/>
  <c r="AE824" i="1"/>
  <c r="AG824" i="1"/>
  <c r="AK824" i="1"/>
  <c r="AI824" i="1"/>
  <c r="AL824" i="1"/>
  <c r="AB826" i="1" l="1"/>
  <c r="AJ825" i="1"/>
  <c r="AH825" i="1"/>
  <c r="AC825" i="1"/>
  <c r="AD825" i="1"/>
  <c r="AE825" i="1"/>
  <c r="AG825" i="1"/>
  <c r="AN825" i="1"/>
  <c r="AK825" i="1"/>
  <c r="AI825" i="1"/>
  <c r="AF825" i="1"/>
  <c r="AM825" i="1"/>
  <c r="AL825" i="1"/>
  <c r="AB827" i="1" l="1"/>
  <c r="AJ826" i="1"/>
  <c r="AH826" i="1"/>
  <c r="AC826" i="1"/>
  <c r="AE826" i="1"/>
  <c r="AL826" i="1"/>
  <c r="AK826" i="1"/>
  <c r="AF826" i="1"/>
  <c r="AD826" i="1"/>
  <c r="AN826" i="1"/>
  <c r="AI826" i="1"/>
  <c r="AG826" i="1"/>
  <c r="AM826" i="1"/>
  <c r="AB828" i="1" l="1"/>
  <c r="AJ827" i="1"/>
  <c r="AH827" i="1"/>
  <c r="AC827" i="1"/>
  <c r="AE827" i="1"/>
  <c r="AL827" i="1"/>
  <c r="AI827" i="1"/>
  <c r="AM827" i="1"/>
  <c r="AD827" i="1"/>
  <c r="AG827" i="1"/>
  <c r="AK827" i="1"/>
  <c r="AF827" i="1"/>
  <c r="AN827" i="1"/>
  <c r="AB829" i="1" l="1"/>
  <c r="AJ828" i="1"/>
  <c r="AH828" i="1"/>
  <c r="AC828" i="1"/>
  <c r="AD828" i="1"/>
  <c r="AE828" i="1"/>
  <c r="AG828" i="1"/>
  <c r="AN828" i="1"/>
  <c r="AK828" i="1"/>
  <c r="AM828" i="1"/>
  <c r="AL828" i="1"/>
  <c r="AI828" i="1"/>
  <c r="AF828" i="1"/>
  <c r="AB830" i="1" l="1"/>
  <c r="AJ829" i="1"/>
  <c r="AH829" i="1"/>
  <c r="AC829" i="1"/>
  <c r="AE829" i="1"/>
  <c r="AL829" i="1"/>
  <c r="AG829" i="1"/>
  <c r="AK829" i="1"/>
  <c r="AI829" i="1"/>
  <c r="AF829" i="1"/>
  <c r="AM829" i="1"/>
  <c r="AD829" i="1"/>
  <c r="AN829" i="1"/>
  <c r="AB831" i="1" l="1"/>
  <c r="AJ830" i="1"/>
  <c r="AH830" i="1"/>
  <c r="AC830" i="1"/>
  <c r="AD830" i="1"/>
  <c r="AE830" i="1"/>
  <c r="AG830" i="1"/>
  <c r="AK830" i="1"/>
  <c r="AI830" i="1"/>
  <c r="AF830" i="1"/>
  <c r="AL830" i="1"/>
  <c r="AN830" i="1"/>
  <c r="AM830" i="1"/>
  <c r="AB832" i="1" l="1"/>
  <c r="AJ831" i="1"/>
  <c r="AH831" i="1"/>
  <c r="AC831" i="1"/>
  <c r="AE831" i="1"/>
  <c r="AL831" i="1"/>
  <c r="AG831" i="1"/>
  <c r="AN831" i="1"/>
  <c r="AK831" i="1"/>
  <c r="AF831" i="1"/>
  <c r="AD831" i="1"/>
  <c r="AI831" i="1"/>
  <c r="AM831" i="1"/>
  <c r="AB833" i="1" l="1"/>
  <c r="AJ832" i="1"/>
  <c r="AH832" i="1"/>
  <c r="AC832" i="1"/>
  <c r="AD832" i="1"/>
  <c r="AE832" i="1"/>
  <c r="AK832" i="1"/>
  <c r="AF832" i="1"/>
  <c r="AM832" i="1"/>
  <c r="AL832" i="1"/>
  <c r="AG832" i="1"/>
  <c r="AN832" i="1"/>
  <c r="AI832" i="1"/>
  <c r="AB834" i="1" l="1"/>
  <c r="AJ833" i="1"/>
  <c r="AH833" i="1"/>
  <c r="AC833" i="1"/>
  <c r="AD833" i="1"/>
  <c r="AE833" i="1"/>
  <c r="AG833" i="1"/>
  <c r="AK833" i="1"/>
  <c r="AI833" i="1"/>
  <c r="AL833" i="1"/>
  <c r="AN833" i="1"/>
  <c r="AM833" i="1"/>
  <c r="AF833" i="1"/>
  <c r="AB835" i="1" l="1"/>
  <c r="AJ834" i="1"/>
  <c r="AH834" i="1"/>
  <c r="AC834" i="1"/>
  <c r="AI834" i="1"/>
  <c r="AF834" i="1"/>
  <c r="AD834" i="1"/>
  <c r="AE834" i="1"/>
  <c r="AL834" i="1"/>
  <c r="AG834" i="1"/>
  <c r="AN834" i="1"/>
  <c r="AM834" i="1"/>
  <c r="AK834" i="1"/>
  <c r="AB836" i="1" l="1"/>
  <c r="AJ835" i="1"/>
  <c r="AH835" i="1"/>
  <c r="AC835" i="1"/>
  <c r="AD835" i="1"/>
  <c r="AL835" i="1"/>
  <c r="AG835" i="1"/>
  <c r="AE835" i="1"/>
  <c r="AN835" i="1"/>
  <c r="AI835" i="1"/>
  <c r="AF835" i="1"/>
  <c r="AM835" i="1"/>
  <c r="AK835" i="1"/>
  <c r="AB837" i="1" l="1"/>
  <c r="AJ836" i="1"/>
  <c r="AH836" i="1"/>
  <c r="AC836" i="1"/>
  <c r="AD836" i="1"/>
  <c r="AL836" i="1"/>
  <c r="AN836" i="1"/>
  <c r="AK836" i="1"/>
  <c r="AG836" i="1"/>
  <c r="AF836" i="1"/>
  <c r="AE836" i="1"/>
  <c r="AI836" i="1"/>
  <c r="AM836" i="1"/>
  <c r="AB838" i="1" l="1"/>
  <c r="AJ837" i="1"/>
  <c r="AH837" i="1"/>
  <c r="AC837" i="1"/>
  <c r="AD837" i="1"/>
  <c r="AF837" i="1"/>
  <c r="AL837" i="1"/>
  <c r="AK837" i="1"/>
  <c r="AM837" i="1"/>
  <c r="AE837" i="1"/>
  <c r="AN837" i="1"/>
  <c r="AI837" i="1"/>
  <c r="AG837" i="1"/>
  <c r="AB839" i="1" l="1"/>
  <c r="AJ838" i="1"/>
  <c r="AH838" i="1"/>
  <c r="AC838" i="1"/>
  <c r="AG838" i="1"/>
  <c r="AN838" i="1"/>
  <c r="AF838" i="1"/>
  <c r="AD838" i="1"/>
  <c r="AE838" i="1"/>
  <c r="AK838" i="1"/>
  <c r="AI838" i="1"/>
  <c r="AL838" i="1"/>
  <c r="AM838" i="1"/>
  <c r="AB840" i="1" l="1"/>
  <c r="AJ839" i="1"/>
  <c r="AH839" i="1"/>
  <c r="AC839" i="1"/>
  <c r="AE839" i="1"/>
  <c r="AG839" i="1"/>
  <c r="AN839" i="1"/>
  <c r="AK839" i="1"/>
  <c r="AI839" i="1"/>
  <c r="AD839" i="1"/>
  <c r="AL839" i="1"/>
  <c r="AF839" i="1"/>
  <c r="AM839" i="1"/>
  <c r="AB841" i="1" l="1"/>
  <c r="AJ840" i="1"/>
  <c r="AH840" i="1"/>
  <c r="AC840" i="1"/>
  <c r="AE840" i="1"/>
  <c r="AL840" i="1"/>
  <c r="AG840" i="1"/>
  <c r="AK840" i="1"/>
  <c r="AF840" i="1"/>
  <c r="AM840" i="1"/>
  <c r="AD840" i="1"/>
  <c r="AN840" i="1"/>
  <c r="AI840" i="1"/>
  <c r="AB842" i="1" l="1"/>
  <c r="AJ841" i="1"/>
  <c r="AH841" i="1"/>
  <c r="AC841" i="1"/>
  <c r="AD841" i="1"/>
  <c r="AL841" i="1"/>
  <c r="AN841" i="1"/>
  <c r="AI841" i="1"/>
  <c r="AM841" i="1"/>
  <c r="AE841" i="1"/>
  <c r="AK841" i="1"/>
  <c r="AF841" i="1"/>
  <c r="AG841" i="1"/>
  <c r="AB843" i="1" l="1"/>
  <c r="AJ842" i="1"/>
  <c r="AH842" i="1"/>
  <c r="AC842" i="1"/>
  <c r="AD842" i="1"/>
  <c r="AG842" i="1"/>
  <c r="AN842" i="1"/>
  <c r="AK842" i="1"/>
  <c r="AI842" i="1"/>
  <c r="AE842" i="1"/>
  <c r="AL842" i="1"/>
  <c r="AM842" i="1"/>
  <c r="AF842" i="1"/>
  <c r="AB844" i="1" l="1"/>
  <c r="AJ843" i="1"/>
  <c r="AH843" i="1"/>
  <c r="AC843" i="1"/>
  <c r="AD843" i="1"/>
  <c r="AE843" i="1"/>
  <c r="AN843" i="1"/>
  <c r="AF843" i="1"/>
  <c r="AM843" i="1"/>
  <c r="AG843" i="1"/>
  <c r="AI843" i="1"/>
  <c r="AL843" i="1"/>
  <c r="AK843" i="1"/>
  <c r="AB845" i="1" l="1"/>
  <c r="AJ844" i="1"/>
  <c r="AH844" i="1"/>
  <c r="AC844" i="1"/>
  <c r="AD844" i="1"/>
  <c r="AG844" i="1"/>
  <c r="AK844" i="1"/>
  <c r="AI844" i="1"/>
  <c r="AF844" i="1"/>
  <c r="AE844" i="1"/>
  <c r="AN844" i="1"/>
  <c r="AM844" i="1"/>
  <c r="AL844" i="1"/>
  <c r="AB846" i="1" l="1"/>
  <c r="AJ845" i="1"/>
  <c r="AH845" i="1"/>
  <c r="AC845" i="1"/>
  <c r="AE845" i="1"/>
  <c r="AG845" i="1"/>
  <c r="AK845" i="1"/>
  <c r="AM845" i="1"/>
  <c r="AD845" i="1"/>
  <c r="AL845" i="1"/>
  <c r="AI845" i="1"/>
  <c r="AF845" i="1"/>
  <c r="AN845" i="1"/>
  <c r="AB847" i="1" l="1"/>
  <c r="AJ846" i="1"/>
  <c r="AH846" i="1"/>
  <c r="AC846" i="1"/>
  <c r="AE846" i="1"/>
  <c r="AK846" i="1"/>
  <c r="AI846" i="1"/>
  <c r="AF846" i="1"/>
  <c r="AD846" i="1"/>
  <c r="AG846" i="1"/>
  <c r="AN846" i="1"/>
  <c r="AL846" i="1"/>
  <c r="AM846" i="1"/>
  <c r="AB848" i="1" l="1"/>
  <c r="AJ847" i="1"/>
  <c r="AH847" i="1"/>
  <c r="AC847" i="1"/>
  <c r="AD847" i="1"/>
  <c r="AE847" i="1"/>
  <c r="AG847" i="1"/>
  <c r="AN847" i="1"/>
  <c r="AI847" i="1"/>
  <c r="AL847" i="1"/>
  <c r="AF847" i="1"/>
  <c r="AM847" i="1"/>
  <c r="AK847" i="1"/>
  <c r="AB849" i="1" l="1"/>
  <c r="AJ848" i="1"/>
  <c r="AH848" i="1"/>
  <c r="AC848" i="1"/>
  <c r="AD848" i="1"/>
  <c r="AG848" i="1"/>
  <c r="AN848" i="1"/>
  <c r="AM848" i="1"/>
  <c r="AE848" i="1"/>
  <c r="AK848" i="1"/>
  <c r="AI848" i="1"/>
  <c r="AL848" i="1"/>
  <c r="AF848" i="1"/>
  <c r="AB850" i="1" l="1"/>
  <c r="AJ849" i="1"/>
  <c r="AH849" i="1"/>
  <c r="AC849" i="1"/>
  <c r="AE849" i="1"/>
  <c r="AK849" i="1"/>
  <c r="AI849" i="1"/>
  <c r="AF849" i="1"/>
  <c r="AD849" i="1"/>
  <c r="AG849" i="1"/>
  <c r="AN849" i="1"/>
  <c r="AM849" i="1"/>
  <c r="AL849" i="1"/>
  <c r="AB851" i="1" l="1"/>
  <c r="AJ850" i="1"/>
  <c r="AH850" i="1"/>
  <c r="AC850" i="1"/>
  <c r="AD850" i="1"/>
  <c r="AL850" i="1"/>
  <c r="AK850" i="1"/>
  <c r="AF850" i="1"/>
  <c r="AM850" i="1"/>
  <c r="AE850" i="1"/>
  <c r="AG850" i="1"/>
  <c r="AN850" i="1"/>
  <c r="AI850" i="1"/>
  <c r="AB852" i="1" l="1"/>
  <c r="AJ851" i="1"/>
  <c r="AH851" i="1"/>
  <c r="AC851" i="1"/>
  <c r="AD851" i="1"/>
  <c r="AL851" i="1"/>
  <c r="AK851" i="1"/>
  <c r="AI851" i="1"/>
  <c r="AM851" i="1"/>
  <c r="AE851" i="1"/>
  <c r="AG851" i="1"/>
  <c r="AN851" i="1"/>
  <c r="AF851" i="1"/>
  <c r="AB853" i="1" l="1"/>
  <c r="AJ852" i="1"/>
  <c r="AH852" i="1"/>
  <c r="AC852" i="1"/>
  <c r="AD852" i="1"/>
  <c r="AL852" i="1"/>
  <c r="AG852" i="1"/>
  <c r="AN852" i="1"/>
  <c r="AK852" i="1"/>
  <c r="AI852" i="1"/>
  <c r="AE852" i="1"/>
  <c r="AM852" i="1"/>
  <c r="AF852" i="1"/>
  <c r="AB854" i="1" l="1"/>
  <c r="AJ853" i="1"/>
  <c r="AH853" i="1"/>
  <c r="AC853" i="1"/>
  <c r="AD853" i="1"/>
  <c r="AE853" i="1"/>
  <c r="AG853" i="1"/>
  <c r="AN853" i="1"/>
  <c r="AK853" i="1"/>
  <c r="AI853" i="1"/>
  <c r="AM853" i="1"/>
  <c r="AF853" i="1"/>
  <c r="AL853" i="1"/>
  <c r="AB855" i="1" l="1"/>
  <c r="AJ854" i="1"/>
  <c r="AH854" i="1"/>
  <c r="AC854" i="1"/>
  <c r="AD854" i="1"/>
  <c r="AG854" i="1"/>
  <c r="AN854" i="1"/>
  <c r="AK854" i="1"/>
  <c r="AF854" i="1"/>
  <c r="AM854" i="1"/>
  <c r="AL854" i="1"/>
  <c r="AI854" i="1"/>
  <c r="AE854" i="1"/>
  <c r="AB856" i="1" l="1"/>
  <c r="AJ855" i="1"/>
  <c r="AH855" i="1"/>
  <c r="AC855" i="1"/>
  <c r="AE855" i="1"/>
  <c r="AN855" i="1"/>
  <c r="AF855" i="1"/>
  <c r="AD855" i="1"/>
  <c r="AL855" i="1"/>
  <c r="AK855" i="1"/>
  <c r="AI855" i="1"/>
  <c r="AG855" i="1"/>
  <c r="AM855" i="1"/>
  <c r="AB857" i="1" l="1"/>
  <c r="AJ856" i="1"/>
  <c r="AH856" i="1"/>
  <c r="AC856" i="1"/>
  <c r="AD856" i="1"/>
  <c r="AE856" i="1"/>
  <c r="AN856" i="1"/>
  <c r="AK856" i="1"/>
  <c r="AI856" i="1"/>
  <c r="AM856" i="1"/>
  <c r="AG856" i="1"/>
  <c r="AF856" i="1"/>
  <c r="AL856" i="1"/>
  <c r="AB858" i="1" l="1"/>
  <c r="AJ857" i="1"/>
  <c r="AH857" i="1"/>
  <c r="AC857" i="1"/>
  <c r="AD857" i="1"/>
  <c r="AG857" i="1"/>
  <c r="AK857" i="1"/>
  <c r="AI857" i="1"/>
  <c r="AL857" i="1"/>
  <c r="AN857" i="1"/>
  <c r="AF857" i="1"/>
  <c r="AM857" i="1"/>
  <c r="AE857" i="1"/>
  <c r="AB859" i="1" l="1"/>
  <c r="AJ858" i="1"/>
  <c r="AH858" i="1"/>
  <c r="AC858" i="1"/>
  <c r="AD858" i="1"/>
  <c r="AE858" i="1"/>
  <c r="AN858" i="1"/>
  <c r="AM858" i="1"/>
  <c r="AL858" i="1"/>
  <c r="AK858" i="1"/>
  <c r="AI858" i="1"/>
  <c r="AF858" i="1"/>
  <c r="AG858" i="1"/>
  <c r="AB860" i="1" l="1"/>
  <c r="AJ859" i="1"/>
  <c r="AH859" i="1"/>
  <c r="AC859" i="1"/>
  <c r="AD859" i="1"/>
  <c r="AG859" i="1"/>
  <c r="AN859" i="1"/>
  <c r="AF859" i="1"/>
  <c r="AE859" i="1"/>
  <c r="AK859" i="1"/>
  <c r="AI859" i="1"/>
  <c r="AM859" i="1"/>
  <c r="AL859" i="1"/>
  <c r="AB861" i="1" l="1"/>
  <c r="AJ860" i="1"/>
  <c r="AH860" i="1"/>
  <c r="AC860" i="1"/>
  <c r="AD860" i="1"/>
  <c r="AL860" i="1"/>
  <c r="AG860" i="1"/>
  <c r="AN860" i="1"/>
  <c r="AI860" i="1"/>
  <c r="AK860" i="1"/>
  <c r="AE860" i="1"/>
  <c r="AF860" i="1"/>
  <c r="AM860" i="1"/>
  <c r="AB862" i="1" l="1"/>
  <c r="AJ861" i="1"/>
  <c r="AH861" i="1"/>
  <c r="AC861" i="1"/>
  <c r="AD861" i="1"/>
  <c r="AE861" i="1"/>
  <c r="AG861" i="1"/>
  <c r="AK861" i="1"/>
  <c r="AF861" i="1"/>
  <c r="AL861" i="1"/>
  <c r="AN861" i="1"/>
  <c r="AI861" i="1"/>
  <c r="AM861" i="1"/>
  <c r="AB863" i="1" l="1"/>
  <c r="AJ862" i="1"/>
  <c r="AH862" i="1"/>
  <c r="AC862" i="1"/>
  <c r="AD862" i="1"/>
  <c r="AL862" i="1"/>
  <c r="AK862" i="1"/>
  <c r="AI862" i="1"/>
  <c r="AE862" i="1"/>
  <c r="AG862" i="1"/>
  <c r="AN862" i="1"/>
  <c r="AF862" i="1"/>
  <c r="AM862" i="1"/>
  <c r="AB864" i="1" l="1"/>
  <c r="AJ863" i="1"/>
  <c r="AH863" i="1"/>
  <c r="AC863" i="1"/>
  <c r="AD863" i="1"/>
  <c r="AE863" i="1"/>
  <c r="AG863" i="1"/>
  <c r="AM863" i="1"/>
  <c r="AL863" i="1"/>
  <c r="AN863" i="1"/>
  <c r="AK863" i="1"/>
  <c r="AF863" i="1"/>
  <c r="AI863" i="1"/>
  <c r="AB865" i="1" l="1"/>
  <c r="AJ864" i="1"/>
  <c r="AH864" i="1"/>
  <c r="AC864" i="1"/>
  <c r="AD864" i="1"/>
  <c r="AE864" i="1"/>
  <c r="AG864" i="1"/>
  <c r="AK864" i="1"/>
  <c r="AI864" i="1"/>
  <c r="AF864" i="1"/>
  <c r="AM864" i="1"/>
  <c r="AL864" i="1"/>
  <c r="AN864" i="1"/>
  <c r="AB866" i="1" l="1"/>
  <c r="AJ865" i="1"/>
  <c r="AH865" i="1"/>
  <c r="AC865" i="1"/>
  <c r="AD865" i="1"/>
  <c r="AE865" i="1"/>
  <c r="AK865" i="1"/>
  <c r="AI865" i="1"/>
  <c r="AF865" i="1"/>
  <c r="AM865" i="1"/>
  <c r="AL865" i="1"/>
  <c r="AN865" i="1"/>
  <c r="AG865" i="1"/>
  <c r="AB867" i="1" l="1"/>
  <c r="AJ866" i="1"/>
  <c r="AH866" i="1"/>
  <c r="AC866" i="1"/>
  <c r="AD866" i="1"/>
  <c r="AE866" i="1"/>
  <c r="AL866" i="1"/>
  <c r="AG866" i="1"/>
  <c r="AN866" i="1"/>
  <c r="AK866" i="1"/>
  <c r="AI866" i="1"/>
  <c r="AM866" i="1"/>
  <c r="AF866" i="1"/>
  <c r="AB868" i="1" l="1"/>
  <c r="AJ867" i="1"/>
  <c r="AH867" i="1"/>
  <c r="AC867" i="1"/>
  <c r="AD867" i="1"/>
  <c r="AL867" i="1"/>
  <c r="AG867" i="1"/>
  <c r="AF867" i="1"/>
  <c r="AM867" i="1"/>
  <c r="AE867" i="1"/>
  <c r="AN867" i="1"/>
  <c r="AK867" i="1"/>
  <c r="AI867" i="1"/>
  <c r="AB869" i="1" l="1"/>
  <c r="AJ868" i="1"/>
  <c r="AH868" i="1"/>
  <c r="AC868" i="1"/>
  <c r="AD868" i="1"/>
  <c r="AK868" i="1"/>
  <c r="AI868" i="1"/>
  <c r="AF868" i="1"/>
  <c r="AM868" i="1"/>
  <c r="AE868" i="1"/>
  <c r="AL868" i="1"/>
  <c r="AG868" i="1"/>
  <c r="AN868" i="1"/>
  <c r="AB870" i="1" l="1"/>
  <c r="AJ869" i="1"/>
  <c r="AH869" i="1"/>
  <c r="AC869" i="1"/>
  <c r="AE869" i="1"/>
  <c r="AG869" i="1"/>
  <c r="AN869" i="1"/>
  <c r="AK869" i="1"/>
  <c r="AI869" i="1"/>
  <c r="AD869" i="1"/>
  <c r="AF869" i="1"/>
  <c r="AL869" i="1"/>
  <c r="AM869" i="1"/>
  <c r="AB871" i="1" l="1"/>
  <c r="AJ870" i="1"/>
  <c r="AH870" i="1"/>
  <c r="AC870" i="1"/>
  <c r="AD870" i="1"/>
  <c r="AE870" i="1"/>
  <c r="AL870" i="1"/>
  <c r="AN870" i="1"/>
  <c r="AK870" i="1"/>
  <c r="AF870" i="1"/>
  <c r="AG870" i="1"/>
  <c r="AI870" i="1"/>
  <c r="AM870" i="1"/>
  <c r="AB872" i="1" l="1"/>
  <c r="AJ871" i="1"/>
  <c r="AH871" i="1"/>
  <c r="AC871" i="1"/>
  <c r="AD871" i="1"/>
  <c r="AL871" i="1"/>
  <c r="AG871" i="1"/>
  <c r="AK871" i="1"/>
  <c r="AI871" i="1"/>
  <c r="AF871" i="1"/>
  <c r="AM871" i="1"/>
  <c r="AE871" i="1"/>
  <c r="AN871" i="1"/>
  <c r="AB873" i="1" l="1"/>
  <c r="AJ872" i="1"/>
  <c r="AH872" i="1"/>
  <c r="AC872" i="1"/>
  <c r="AF872" i="1"/>
  <c r="AM872" i="1"/>
  <c r="AD872" i="1"/>
  <c r="AE872" i="1"/>
  <c r="AL872" i="1"/>
  <c r="AG872" i="1"/>
  <c r="AK872" i="1"/>
  <c r="AI872" i="1"/>
  <c r="AN872" i="1"/>
  <c r="AB874" i="1" l="1"/>
  <c r="AJ873" i="1"/>
  <c r="AH873" i="1"/>
  <c r="AC873" i="1"/>
  <c r="AD873" i="1"/>
  <c r="AE873" i="1"/>
  <c r="AG873" i="1"/>
  <c r="AI873" i="1"/>
  <c r="AF873" i="1"/>
  <c r="AM873" i="1"/>
  <c r="AL873" i="1"/>
  <c r="AN873" i="1"/>
  <c r="AK873" i="1"/>
  <c r="AB875" i="1" l="1"/>
  <c r="AJ874" i="1"/>
  <c r="AH874" i="1"/>
  <c r="AC874" i="1"/>
  <c r="AD874" i="1"/>
  <c r="AE874" i="1"/>
  <c r="AG874" i="1"/>
  <c r="AK874" i="1"/>
  <c r="AF874" i="1"/>
  <c r="AN874" i="1"/>
  <c r="AM874" i="1"/>
  <c r="AL874" i="1"/>
  <c r="AI874" i="1"/>
  <c r="AB876" i="1" l="1"/>
  <c r="AJ875" i="1"/>
  <c r="AH875" i="1"/>
  <c r="AC875" i="1"/>
  <c r="AD875" i="1"/>
  <c r="AE875" i="1"/>
  <c r="AL875" i="1"/>
  <c r="AG875" i="1"/>
  <c r="AN875" i="1"/>
  <c r="AK875" i="1"/>
  <c r="AI875" i="1"/>
  <c r="AF875" i="1"/>
  <c r="AM875" i="1"/>
  <c r="AB877" i="1" l="1"/>
  <c r="AJ876" i="1"/>
  <c r="AH876" i="1"/>
  <c r="AC876" i="1"/>
  <c r="AD876" i="1"/>
  <c r="AE876" i="1"/>
  <c r="AL876" i="1"/>
  <c r="AG876" i="1"/>
  <c r="AK876" i="1"/>
  <c r="AM876" i="1"/>
  <c r="AI876" i="1"/>
  <c r="AF876" i="1"/>
  <c r="AN876" i="1"/>
  <c r="AB878" i="1" l="1"/>
  <c r="AJ877" i="1"/>
  <c r="AH877" i="1"/>
  <c r="AC877" i="1"/>
  <c r="AD877" i="1"/>
  <c r="AL877" i="1"/>
  <c r="AK877" i="1"/>
  <c r="AN877" i="1"/>
  <c r="AE877" i="1"/>
  <c r="AI877" i="1"/>
  <c r="AF877" i="1"/>
  <c r="AM877" i="1"/>
  <c r="AG877" i="1"/>
  <c r="AB879" i="1" l="1"/>
  <c r="AJ878" i="1"/>
  <c r="AH878" i="1"/>
  <c r="AC878" i="1"/>
  <c r="AD878" i="1"/>
  <c r="AE878" i="1"/>
  <c r="AL878" i="1"/>
  <c r="AN878" i="1"/>
  <c r="AK878" i="1"/>
  <c r="AI878" i="1"/>
  <c r="AM878" i="1"/>
  <c r="AG878" i="1"/>
  <c r="AF878" i="1"/>
  <c r="AB880" i="1" l="1"/>
  <c r="AJ879" i="1"/>
  <c r="AH879" i="1"/>
  <c r="AC879" i="1"/>
  <c r="AD879" i="1"/>
  <c r="AE879" i="1"/>
  <c r="AL879" i="1"/>
  <c r="AN879" i="1"/>
  <c r="AK879" i="1"/>
  <c r="AG879" i="1"/>
  <c r="AI879" i="1"/>
  <c r="AM879" i="1"/>
  <c r="AF879" i="1"/>
  <c r="AB881" i="1" l="1"/>
  <c r="AJ880" i="1"/>
  <c r="AH880" i="1"/>
  <c r="AC880" i="1"/>
  <c r="AD880" i="1"/>
  <c r="AE880" i="1"/>
  <c r="AG880" i="1"/>
  <c r="AN880" i="1"/>
  <c r="AL880" i="1"/>
  <c r="AK880" i="1"/>
  <c r="AI880" i="1"/>
  <c r="AM880" i="1"/>
  <c r="AF880" i="1"/>
  <c r="AB882" i="1" l="1"/>
  <c r="AJ881" i="1"/>
  <c r="AH881" i="1"/>
  <c r="AC881" i="1"/>
  <c r="AD881" i="1"/>
  <c r="AE881" i="1"/>
  <c r="AN881" i="1"/>
  <c r="AF881" i="1"/>
  <c r="AM881" i="1"/>
  <c r="AL881" i="1"/>
  <c r="AG881" i="1"/>
  <c r="AK881" i="1"/>
  <c r="AI881" i="1"/>
  <c r="AB883" i="1" l="1"/>
  <c r="AJ882" i="1"/>
  <c r="AH882" i="1"/>
  <c r="AC882" i="1"/>
  <c r="AD882" i="1"/>
  <c r="AE882" i="1"/>
  <c r="AG882" i="1"/>
  <c r="AN882" i="1"/>
  <c r="AL882" i="1"/>
  <c r="AI882" i="1"/>
  <c r="AF882" i="1"/>
  <c r="AM882" i="1"/>
  <c r="AK882" i="1"/>
  <c r="AB884" i="1" l="1"/>
  <c r="AJ883" i="1"/>
  <c r="AH883" i="1"/>
  <c r="AC883" i="1"/>
  <c r="AD883" i="1"/>
  <c r="AE883" i="1"/>
  <c r="AN883" i="1"/>
  <c r="AF883" i="1"/>
  <c r="AL883" i="1"/>
  <c r="AG883" i="1"/>
  <c r="AK883" i="1"/>
  <c r="AI883" i="1"/>
  <c r="AM883" i="1"/>
  <c r="AB885" i="1" l="1"/>
  <c r="AJ884" i="1"/>
  <c r="AH884" i="1"/>
  <c r="AC884" i="1"/>
  <c r="AD884" i="1"/>
  <c r="AL884" i="1"/>
  <c r="AG884" i="1"/>
  <c r="AK884" i="1"/>
  <c r="AI884" i="1"/>
  <c r="AM884" i="1"/>
  <c r="AE884" i="1"/>
  <c r="AN884" i="1"/>
  <c r="AF884" i="1"/>
  <c r="AB886" i="1" l="1"/>
  <c r="AJ885" i="1"/>
  <c r="AH885" i="1"/>
  <c r="AC885" i="1"/>
  <c r="AD885" i="1"/>
  <c r="AE885" i="1"/>
  <c r="AL885" i="1"/>
  <c r="AG885" i="1"/>
  <c r="AN885" i="1"/>
  <c r="AK885" i="1"/>
  <c r="AI885" i="1"/>
  <c r="AF885" i="1"/>
  <c r="AM885" i="1"/>
  <c r="AB887" i="1" l="1"/>
  <c r="AJ886" i="1"/>
  <c r="AH886" i="1"/>
  <c r="AC886" i="1"/>
  <c r="AD886" i="1"/>
  <c r="AE886" i="1"/>
  <c r="AL886" i="1"/>
  <c r="AN886" i="1"/>
  <c r="AF886" i="1"/>
  <c r="AG886" i="1"/>
  <c r="AI886" i="1"/>
  <c r="AM886" i="1"/>
  <c r="AK886" i="1"/>
  <c r="AB888" i="1" l="1"/>
  <c r="AJ887" i="1"/>
  <c r="AH887" i="1"/>
  <c r="AC887" i="1"/>
  <c r="AD887" i="1"/>
  <c r="AE887" i="1"/>
  <c r="AG887" i="1"/>
  <c r="AN887" i="1"/>
  <c r="AM887" i="1"/>
  <c r="AL887" i="1"/>
  <c r="AK887" i="1"/>
  <c r="AI887" i="1"/>
  <c r="AF887" i="1"/>
  <c r="AB889" i="1" l="1"/>
  <c r="AJ888" i="1"/>
  <c r="AH888" i="1"/>
  <c r="AC888" i="1"/>
  <c r="AD888" i="1"/>
  <c r="AE888" i="1"/>
  <c r="AG888" i="1"/>
  <c r="AN888" i="1"/>
  <c r="AK888" i="1"/>
  <c r="AI888" i="1"/>
  <c r="AM888" i="1"/>
  <c r="AL888" i="1"/>
  <c r="AF888" i="1"/>
  <c r="AB890" i="1" l="1"/>
  <c r="AJ889" i="1"/>
  <c r="AH889" i="1"/>
  <c r="AC889" i="1"/>
  <c r="AD889" i="1"/>
  <c r="AE889" i="1"/>
  <c r="AL889" i="1"/>
  <c r="AN889" i="1"/>
  <c r="AK889" i="1"/>
  <c r="AF889" i="1"/>
  <c r="AM889" i="1"/>
  <c r="AG889" i="1"/>
  <c r="AI889" i="1"/>
  <c r="AB891" i="1" l="1"/>
  <c r="AJ890" i="1"/>
  <c r="AH890" i="1"/>
  <c r="AC890" i="1"/>
  <c r="AD890" i="1"/>
  <c r="AE890" i="1"/>
  <c r="AG890" i="1"/>
  <c r="AN890" i="1"/>
  <c r="AL890" i="1"/>
  <c r="AK890" i="1"/>
  <c r="AI890" i="1"/>
  <c r="AM890" i="1"/>
  <c r="AF890" i="1"/>
  <c r="AB892" i="1" l="1"/>
  <c r="AJ891" i="1"/>
  <c r="AH891" i="1"/>
  <c r="AC891" i="1"/>
  <c r="AD891" i="1"/>
  <c r="AE891" i="1"/>
  <c r="AG891" i="1"/>
  <c r="AN891" i="1"/>
  <c r="AM891" i="1"/>
  <c r="AL891" i="1"/>
  <c r="AK891" i="1"/>
  <c r="AI891" i="1"/>
  <c r="AF891" i="1"/>
  <c r="AB893" i="1" l="1"/>
  <c r="AJ892" i="1"/>
  <c r="AH892" i="1"/>
  <c r="AC892" i="1"/>
  <c r="AD892" i="1"/>
  <c r="AE892" i="1"/>
  <c r="AL892" i="1"/>
  <c r="AK892" i="1"/>
  <c r="AF892" i="1"/>
  <c r="AG892" i="1"/>
  <c r="AI892" i="1"/>
  <c r="AM892" i="1"/>
  <c r="AN892" i="1"/>
  <c r="AB894" i="1" l="1"/>
  <c r="AJ893" i="1"/>
  <c r="AH893" i="1"/>
  <c r="AC893" i="1"/>
  <c r="AD893" i="1"/>
  <c r="AE893" i="1"/>
  <c r="AL893" i="1"/>
  <c r="AN893" i="1"/>
  <c r="AF893" i="1"/>
  <c r="AG893" i="1"/>
  <c r="AI893" i="1"/>
  <c r="AM893" i="1"/>
  <c r="AK893" i="1"/>
  <c r="AB895" i="1" l="1"/>
  <c r="AJ894" i="1"/>
  <c r="AH894" i="1"/>
  <c r="AC894" i="1"/>
  <c r="AD894" i="1"/>
  <c r="AE894" i="1"/>
  <c r="AG894" i="1"/>
  <c r="AN894" i="1"/>
  <c r="AL894" i="1"/>
  <c r="AI894" i="1"/>
  <c r="AM894" i="1"/>
  <c r="AK894" i="1"/>
  <c r="AF894" i="1"/>
  <c r="AB896" i="1" l="1"/>
  <c r="AJ895" i="1"/>
  <c r="AH895" i="1"/>
  <c r="AC895" i="1"/>
  <c r="AD895" i="1"/>
  <c r="AE895" i="1"/>
  <c r="AL895" i="1"/>
  <c r="AG895" i="1"/>
  <c r="AN895" i="1"/>
  <c r="AK895" i="1"/>
  <c r="AI895" i="1"/>
  <c r="AF895" i="1"/>
  <c r="AM895" i="1"/>
  <c r="AB897" i="1" l="1"/>
  <c r="AJ896" i="1"/>
  <c r="AH896" i="1"/>
  <c r="AC896" i="1"/>
  <c r="AD896" i="1"/>
  <c r="AE896" i="1"/>
  <c r="AF896" i="1"/>
  <c r="AM896" i="1"/>
  <c r="AL896" i="1"/>
  <c r="AG896" i="1"/>
  <c r="AN896" i="1"/>
  <c r="AI896" i="1"/>
  <c r="AK896" i="1"/>
  <c r="AB898" i="1" l="1"/>
  <c r="AJ897" i="1"/>
  <c r="AH897" i="1"/>
  <c r="AC897" i="1"/>
  <c r="AG897" i="1"/>
  <c r="AD897" i="1"/>
  <c r="AN897" i="1"/>
  <c r="AI897" i="1"/>
  <c r="AE897" i="1"/>
  <c r="AK897" i="1"/>
  <c r="AF897" i="1"/>
  <c r="AM897" i="1"/>
  <c r="AL897" i="1"/>
  <c r="AB899" i="1" l="1"/>
  <c r="AJ898" i="1"/>
  <c r="AH898" i="1"/>
  <c r="AC898" i="1"/>
  <c r="AD898" i="1"/>
  <c r="AE898" i="1"/>
  <c r="AL898" i="1"/>
  <c r="AN898" i="1"/>
  <c r="AF898" i="1"/>
  <c r="AG898" i="1"/>
  <c r="AI898" i="1"/>
  <c r="AM898" i="1"/>
  <c r="AK898" i="1"/>
  <c r="AB900" i="1" l="1"/>
  <c r="AJ899" i="1"/>
  <c r="AH899" i="1"/>
  <c r="AC899" i="1"/>
  <c r="AD899" i="1"/>
  <c r="AE899" i="1"/>
  <c r="AG899" i="1"/>
  <c r="AK899" i="1"/>
  <c r="AL899" i="1"/>
  <c r="AI899" i="1"/>
  <c r="AM899" i="1"/>
  <c r="AN899" i="1"/>
  <c r="AF899" i="1"/>
  <c r="AB901" i="1" l="1"/>
  <c r="AJ900" i="1"/>
  <c r="AH900" i="1"/>
  <c r="AC900" i="1"/>
  <c r="AD900" i="1"/>
  <c r="AE900" i="1"/>
  <c r="AF900" i="1"/>
  <c r="AL900" i="1"/>
  <c r="AG900" i="1"/>
  <c r="AK900" i="1"/>
  <c r="AI900" i="1"/>
  <c r="AN900" i="1"/>
  <c r="AM900" i="1"/>
  <c r="AB902" i="1" l="1"/>
  <c r="AJ901" i="1"/>
  <c r="AH901" i="1"/>
  <c r="AC901" i="1"/>
  <c r="AD901" i="1"/>
  <c r="AE901" i="1"/>
  <c r="AL901" i="1"/>
  <c r="AN901" i="1"/>
  <c r="AF901" i="1"/>
  <c r="AG901" i="1"/>
  <c r="AI901" i="1"/>
  <c r="AM901" i="1"/>
  <c r="AK901" i="1"/>
  <c r="AB903" i="1" l="1"/>
  <c r="AJ902" i="1"/>
  <c r="AH902" i="1"/>
  <c r="AC902" i="1"/>
  <c r="AD902" i="1"/>
  <c r="AE902" i="1"/>
  <c r="AL902" i="1"/>
  <c r="AN902" i="1"/>
  <c r="AK902" i="1"/>
  <c r="AF902" i="1"/>
  <c r="AG902" i="1"/>
  <c r="AI902" i="1"/>
  <c r="AM902" i="1"/>
  <c r="AB904" i="1" l="1"/>
  <c r="AJ903" i="1"/>
  <c r="AH903" i="1"/>
  <c r="AC903" i="1"/>
  <c r="AD903" i="1"/>
  <c r="AE903" i="1"/>
  <c r="AG903" i="1"/>
  <c r="AK903" i="1"/>
  <c r="AF903" i="1"/>
  <c r="AM903" i="1"/>
  <c r="AL903" i="1"/>
  <c r="AN903" i="1"/>
  <c r="AI903" i="1"/>
  <c r="AB905" i="1" l="1"/>
  <c r="AJ904" i="1"/>
  <c r="AH904" i="1"/>
  <c r="AC904" i="1"/>
  <c r="AD904" i="1"/>
  <c r="AE904" i="1"/>
  <c r="AG904" i="1"/>
  <c r="AN904" i="1"/>
  <c r="AL904" i="1"/>
  <c r="AK904" i="1"/>
  <c r="AI904" i="1"/>
  <c r="AM904" i="1"/>
  <c r="AF904" i="1"/>
  <c r="AB906" i="1" l="1"/>
  <c r="AJ905" i="1"/>
  <c r="AH905" i="1"/>
  <c r="AC905" i="1"/>
  <c r="AD905" i="1"/>
  <c r="AE905" i="1"/>
  <c r="AG905" i="1"/>
  <c r="AN905" i="1"/>
  <c r="AL905" i="1"/>
  <c r="AK905" i="1"/>
  <c r="AI905" i="1"/>
  <c r="AF905" i="1"/>
  <c r="AM905" i="1"/>
  <c r="AB907" i="1" l="1"/>
  <c r="AJ906" i="1"/>
  <c r="AH906" i="1"/>
  <c r="AC906" i="1"/>
  <c r="AD906" i="1"/>
  <c r="AE906" i="1"/>
  <c r="AK906" i="1"/>
  <c r="AF906" i="1"/>
  <c r="AM906" i="1"/>
  <c r="AL906" i="1"/>
  <c r="AN906" i="1"/>
  <c r="AG906" i="1"/>
  <c r="AI906" i="1"/>
  <c r="AB908" i="1" l="1"/>
  <c r="AJ907" i="1"/>
  <c r="AH907" i="1"/>
  <c r="AC907" i="1"/>
  <c r="AD907" i="1"/>
  <c r="AE907" i="1"/>
  <c r="AG907" i="1"/>
  <c r="AN907" i="1"/>
  <c r="AI907" i="1"/>
  <c r="AM907" i="1"/>
  <c r="AL907" i="1"/>
  <c r="AF907" i="1"/>
  <c r="AK907" i="1"/>
  <c r="AB909" i="1" l="1"/>
  <c r="AJ908" i="1"/>
  <c r="AH908" i="1"/>
  <c r="AC908" i="1"/>
  <c r="AD908" i="1"/>
  <c r="AE908" i="1"/>
  <c r="AL908" i="1"/>
  <c r="AG908" i="1"/>
  <c r="AN908" i="1"/>
  <c r="AK908" i="1"/>
  <c r="AF908" i="1"/>
  <c r="AM908" i="1"/>
  <c r="AI908" i="1"/>
  <c r="AB910" i="1" l="1"/>
  <c r="AJ909" i="1"/>
  <c r="AH909" i="1"/>
  <c r="AC909" i="1"/>
  <c r="AN909" i="1"/>
  <c r="AD909" i="1"/>
  <c r="AE909" i="1"/>
  <c r="AK909" i="1"/>
  <c r="AI909" i="1"/>
  <c r="AF909" i="1"/>
  <c r="AG909" i="1"/>
  <c r="AM909" i="1"/>
  <c r="AL909" i="1"/>
  <c r="AB911" i="1" l="1"/>
  <c r="AJ910" i="1"/>
  <c r="AH910" i="1"/>
  <c r="AC910" i="1"/>
  <c r="AL910" i="1"/>
  <c r="AK910" i="1"/>
  <c r="AI910" i="1"/>
  <c r="AD910" i="1"/>
  <c r="AN910" i="1"/>
  <c r="AE910" i="1"/>
  <c r="AG910" i="1"/>
  <c r="AF910" i="1"/>
  <c r="AM910" i="1"/>
  <c r="AB912" i="1" l="1"/>
  <c r="AJ911" i="1"/>
  <c r="AH911" i="1"/>
  <c r="AC911" i="1"/>
  <c r="AD911" i="1"/>
  <c r="AG911" i="1"/>
  <c r="AN911" i="1"/>
  <c r="AK911" i="1"/>
  <c r="AI911" i="1"/>
  <c r="AL911" i="1"/>
  <c r="AE911" i="1"/>
  <c r="AF911" i="1"/>
  <c r="AM911" i="1"/>
  <c r="AB913" i="1" l="1"/>
  <c r="AJ912" i="1"/>
  <c r="AH912" i="1"/>
  <c r="AC912" i="1"/>
  <c r="AE912" i="1"/>
  <c r="AF912" i="1"/>
  <c r="AD912" i="1"/>
  <c r="AL912" i="1"/>
  <c r="AN912" i="1"/>
  <c r="AI912" i="1"/>
  <c r="AG912" i="1"/>
  <c r="AM912" i="1"/>
  <c r="AK912" i="1"/>
  <c r="AB914" i="1" l="1"/>
  <c r="AJ913" i="1"/>
  <c r="AH913" i="1"/>
  <c r="AC913" i="1"/>
  <c r="AE913" i="1"/>
  <c r="AL913" i="1"/>
  <c r="AF913" i="1"/>
  <c r="AM913" i="1"/>
  <c r="AD913" i="1"/>
  <c r="AG913" i="1"/>
  <c r="AK913" i="1"/>
  <c r="AI913" i="1"/>
  <c r="AN913" i="1"/>
  <c r="AB915" i="1" l="1"/>
  <c r="AJ914" i="1"/>
  <c r="AH914" i="1"/>
  <c r="AC914" i="1"/>
  <c r="AE914" i="1"/>
  <c r="AL914" i="1"/>
  <c r="AK914" i="1"/>
  <c r="AI914" i="1"/>
  <c r="AF914" i="1"/>
  <c r="AM914" i="1"/>
  <c r="AD914" i="1"/>
  <c r="AG914" i="1"/>
  <c r="AN914" i="1"/>
  <c r="AB916" i="1" l="1"/>
  <c r="AJ915" i="1"/>
  <c r="AH915" i="1"/>
  <c r="AC915" i="1"/>
  <c r="AD915" i="1"/>
  <c r="AE915" i="1"/>
  <c r="AG915" i="1"/>
  <c r="AN915" i="1"/>
  <c r="AF915" i="1"/>
  <c r="AL915" i="1"/>
  <c r="AI915" i="1"/>
  <c r="AM915" i="1"/>
  <c r="AK915" i="1"/>
  <c r="AB917" i="1" l="1"/>
  <c r="AJ916" i="1"/>
  <c r="AH916" i="1"/>
  <c r="AC916" i="1"/>
  <c r="AD916" i="1"/>
  <c r="AE916" i="1"/>
  <c r="AL916" i="1"/>
  <c r="AN916" i="1"/>
  <c r="AK916" i="1"/>
  <c r="AF916" i="1"/>
  <c r="AM916" i="1"/>
  <c r="AG916" i="1"/>
  <c r="AI916" i="1"/>
  <c r="AB918" i="1" l="1"/>
  <c r="AJ917" i="1"/>
  <c r="AH917" i="1"/>
  <c r="AC917" i="1"/>
  <c r="AD917" i="1"/>
  <c r="AG917" i="1"/>
  <c r="AN917" i="1"/>
  <c r="AK917" i="1"/>
  <c r="AI917" i="1"/>
  <c r="AE917" i="1"/>
  <c r="AL917" i="1"/>
  <c r="AF917" i="1"/>
  <c r="AM917" i="1"/>
  <c r="AB919" i="1" l="1"/>
  <c r="AJ918" i="1"/>
  <c r="AH918" i="1"/>
  <c r="AC918" i="1"/>
  <c r="AD918" i="1"/>
  <c r="AE918" i="1"/>
  <c r="AL918" i="1"/>
  <c r="AN918" i="1"/>
  <c r="AF918" i="1"/>
  <c r="AM918" i="1"/>
  <c r="AG918" i="1"/>
  <c r="AI918" i="1"/>
  <c r="AK918" i="1"/>
  <c r="AB920" i="1" l="1"/>
  <c r="AJ919" i="1"/>
  <c r="AH919" i="1"/>
  <c r="AC919" i="1"/>
  <c r="AD919" i="1"/>
  <c r="AE919" i="1"/>
  <c r="AL919" i="1"/>
  <c r="AN919" i="1"/>
  <c r="AK919" i="1"/>
  <c r="AI919" i="1"/>
  <c r="AG919" i="1"/>
  <c r="AF919" i="1"/>
  <c r="AM919" i="1"/>
  <c r="AB921" i="1" l="1"/>
  <c r="AJ920" i="1"/>
  <c r="AH920" i="1"/>
  <c r="AC920" i="1"/>
  <c r="AD920" i="1"/>
  <c r="AE920" i="1"/>
  <c r="AG920" i="1"/>
  <c r="AL920" i="1"/>
  <c r="AN920" i="1"/>
  <c r="AI920" i="1"/>
  <c r="AF920" i="1"/>
  <c r="AM920" i="1"/>
  <c r="AK920" i="1"/>
  <c r="AB922" i="1" l="1"/>
  <c r="AJ921" i="1"/>
  <c r="AH921" i="1"/>
  <c r="AC921" i="1"/>
  <c r="AD921" i="1"/>
  <c r="AE921" i="1"/>
  <c r="AL921" i="1"/>
  <c r="AN921" i="1"/>
  <c r="AK921" i="1"/>
  <c r="AI921" i="1"/>
  <c r="AG921" i="1"/>
  <c r="AF921" i="1"/>
  <c r="AM921" i="1"/>
  <c r="AB923" i="1" l="1"/>
  <c r="AJ922" i="1"/>
  <c r="AH922" i="1"/>
  <c r="AC922" i="1"/>
  <c r="AD922" i="1"/>
  <c r="AE922" i="1"/>
  <c r="AL922" i="1"/>
  <c r="AN922" i="1"/>
  <c r="AK922" i="1"/>
  <c r="AI922" i="1"/>
  <c r="AG922" i="1"/>
  <c r="AF922" i="1"/>
  <c r="AM922" i="1"/>
  <c r="AB924" i="1" l="1"/>
  <c r="AJ923" i="1"/>
  <c r="AH923" i="1"/>
  <c r="AC923" i="1"/>
  <c r="AD923" i="1"/>
  <c r="AE923" i="1"/>
  <c r="AG923" i="1"/>
  <c r="AM923" i="1"/>
  <c r="AL923" i="1"/>
  <c r="AN923" i="1"/>
  <c r="AI923" i="1"/>
  <c r="AF923" i="1"/>
  <c r="AK923" i="1"/>
  <c r="AB925" i="1" l="1"/>
  <c r="AJ924" i="1"/>
  <c r="AH924" i="1"/>
  <c r="AC924" i="1"/>
  <c r="AD924" i="1"/>
  <c r="AE924" i="1"/>
  <c r="AL924" i="1"/>
  <c r="AN924" i="1"/>
  <c r="AI924" i="1"/>
  <c r="AM924" i="1"/>
  <c r="AG924" i="1"/>
  <c r="AF924" i="1"/>
  <c r="AK924" i="1"/>
  <c r="AB926" i="1" l="1"/>
  <c r="AJ925" i="1"/>
  <c r="AH925" i="1"/>
  <c r="AC925" i="1"/>
  <c r="AD925" i="1"/>
  <c r="AE925" i="1"/>
  <c r="AG925" i="1"/>
  <c r="AK925" i="1"/>
  <c r="AL925" i="1"/>
  <c r="AN925" i="1"/>
  <c r="AI925" i="1"/>
  <c r="AM925" i="1"/>
  <c r="AF925" i="1"/>
  <c r="AB927" i="1" l="1"/>
  <c r="AJ926" i="1"/>
  <c r="AH926" i="1"/>
  <c r="AC926" i="1"/>
  <c r="AD926" i="1"/>
  <c r="AE926" i="1"/>
  <c r="AK926" i="1"/>
  <c r="AF926" i="1"/>
  <c r="AL926" i="1"/>
  <c r="AG926" i="1"/>
  <c r="AN926" i="1"/>
  <c r="AI926" i="1"/>
  <c r="AM926" i="1"/>
  <c r="AB928" i="1" l="1"/>
  <c r="AJ927" i="1"/>
  <c r="AH927" i="1"/>
  <c r="AC927" i="1"/>
  <c r="AD927" i="1"/>
  <c r="AE927" i="1"/>
  <c r="AL927" i="1"/>
  <c r="AN927" i="1"/>
  <c r="AK927" i="1"/>
  <c r="AI927" i="1"/>
  <c r="AG927" i="1"/>
  <c r="AF927" i="1"/>
  <c r="AM927" i="1"/>
  <c r="AB929" i="1" l="1"/>
  <c r="AJ928" i="1"/>
  <c r="AH928" i="1"/>
  <c r="AC928" i="1"/>
  <c r="AD928" i="1"/>
  <c r="AE928" i="1"/>
  <c r="AK928" i="1"/>
  <c r="AF928" i="1"/>
  <c r="AM928" i="1"/>
  <c r="AL928" i="1"/>
  <c r="AG928" i="1"/>
  <c r="AN928" i="1"/>
  <c r="AI928" i="1"/>
  <c r="AB930" i="1" l="1"/>
  <c r="AJ929" i="1"/>
  <c r="AH929" i="1"/>
  <c r="AC929" i="1"/>
  <c r="AD929" i="1"/>
  <c r="AE929" i="1"/>
  <c r="AG929" i="1"/>
  <c r="AN929" i="1"/>
  <c r="AI929" i="1"/>
  <c r="AM929" i="1"/>
  <c r="AL929" i="1"/>
  <c r="AF929" i="1"/>
  <c r="AK929" i="1"/>
  <c r="AB931" i="1" l="1"/>
  <c r="AJ930" i="1"/>
  <c r="AH930" i="1"/>
  <c r="AC930" i="1"/>
  <c r="AD930" i="1"/>
  <c r="AE930" i="1"/>
  <c r="AL930" i="1"/>
  <c r="AK930" i="1"/>
  <c r="AF930" i="1"/>
  <c r="AM930" i="1"/>
  <c r="AN930" i="1"/>
  <c r="AG930" i="1"/>
  <c r="AI930" i="1"/>
  <c r="AB932" i="1" l="1"/>
  <c r="AJ931" i="1"/>
  <c r="AH931" i="1"/>
  <c r="AC931" i="1"/>
  <c r="AD931" i="1"/>
  <c r="AE931" i="1"/>
  <c r="AL931" i="1"/>
  <c r="AG931" i="1"/>
  <c r="AN931" i="1"/>
  <c r="AK931" i="1"/>
  <c r="AI931" i="1"/>
  <c r="AM931" i="1"/>
  <c r="AF931" i="1"/>
  <c r="AB933" i="1" l="1"/>
  <c r="AJ932" i="1"/>
  <c r="AH932" i="1"/>
  <c r="AC932" i="1"/>
  <c r="AD932" i="1"/>
  <c r="AE932" i="1"/>
  <c r="AL932" i="1"/>
  <c r="AG932" i="1"/>
  <c r="AN932" i="1"/>
  <c r="AF932" i="1"/>
  <c r="AK932" i="1"/>
  <c r="AI932" i="1"/>
  <c r="AM932" i="1"/>
  <c r="AB934" i="1" l="1"/>
  <c r="AJ933" i="1"/>
  <c r="AH933" i="1"/>
  <c r="AC933" i="1"/>
  <c r="AD933" i="1"/>
  <c r="AE933" i="1"/>
  <c r="AL933" i="1"/>
  <c r="AG933" i="1"/>
  <c r="AN933" i="1"/>
  <c r="AI933" i="1"/>
  <c r="AK933" i="1"/>
  <c r="AF933" i="1"/>
  <c r="AM933" i="1"/>
  <c r="AB935" i="1" l="1"/>
  <c r="AJ934" i="1"/>
  <c r="AH934" i="1"/>
  <c r="AC934" i="1"/>
  <c r="AD934" i="1"/>
  <c r="AE934" i="1"/>
  <c r="AL934" i="1"/>
  <c r="AG934" i="1"/>
  <c r="AN934" i="1"/>
  <c r="AF934" i="1"/>
  <c r="AK934" i="1"/>
  <c r="AI934" i="1"/>
  <c r="AM934" i="1"/>
  <c r="AB936" i="1" l="1"/>
  <c r="AJ935" i="1"/>
  <c r="AH935" i="1"/>
  <c r="AC935" i="1"/>
  <c r="AD935" i="1"/>
  <c r="AE935" i="1"/>
  <c r="AL935" i="1"/>
  <c r="AN935" i="1"/>
  <c r="AK935" i="1"/>
  <c r="AF935" i="1"/>
  <c r="AG935" i="1"/>
  <c r="AI935" i="1"/>
  <c r="AM935" i="1"/>
  <c r="AB937" i="1" l="1"/>
  <c r="AJ936" i="1"/>
  <c r="AH936" i="1"/>
  <c r="AC936" i="1"/>
  <c r="AD936" i="1"/>
  <c r="AE936" i="1"/>
  <c r="AL936" i="1"/>
  <c r="AN936" i="1"/>
  <c r="AK936" i="1"/>
  <c r="AI936" i="1"/>
  <c r="AG936" i="1"/>
  <c r="AF936" i="1"/>
  <c r="AM936" i="1"/>
  <c r="AB938" i="1" l="1"/>
  <c r="AJ937" i="1"/>
  <c r="AH937" i="1"/>
  <c r="AC937" i="1"/>
  <c r="AD937" i="1"/>
  <c r="AE937" i="1"/>
  <c r="AG937" i="1"/>
  <c r="AK937" i="1"/>
  <c r="AL937" i="1"/>
  <c r="AN937" i="1"/>
  <c r="AI937" i="1"/>
  <c r="AF937" i="1"/>
  <c r="AM937" i="1"/>
  <c r="AB939" i="1" l="1"/>
  <c r="AJ938" i="1"/>
  <c r="AH938" i="1"/>
  <c r="AC938" i="1"/>
  <c r="AD938" i="1"/>
  <c r="AE938" i="1"/>
  <c r="AL938" i="1"/>
  <c r="AN938" i="1"/>
  <c r="AF938" i="1"/>
  <c r="AM938" i="1"/>
  <c r="AG938" i="1"/>
  <c r="AI938" i="1"/>
  <c r="AK938" i="1"/>
  <c r="AB940" i="1" l="1"/>
  <c r="AJ939" i="1"/>
  <c r="AH939" i="1"/>
  <c r="AC939" i="1"/>
  <c r="AD939" i="1"/>
  <c r="AE939" i="1"/>
  <c r="AG939" i="1"/>
  <c r="AN939" i="1"/>
  <c r="AF939" i="1"/>
  <c r="AL939" i="1"/>
  <c r="AI939" i="1"/>
  <c r="AM939" i="1"/>
  <c r="AK939" i="1"/>
  <c r="AB941" i="1" l="1"/>
  <c r="AJ940" i="1"/>
  <c r="AH940" i="1"/>
  <c r="AC940" i="1"/>
  <c r="AD940" i="1"/>
  <c r="AE940" i="1"/>
  <c r="AG940" i="1"/>
  <c r="AF940" i="1"/>
  <c r="AL940" i="1"/>
  <c r="AN940" i="1"/>
  <c r="AI940" i="1"/>
  <c r="AK940" i="1"/>
  <c r="AM940" i="1"/>
  <c r="AB942" i="1" l="1"/>
  <c r="AJ941" i="1"/>
  <c r="AH941" i="1"/>
  <c r="AC941" i="1"/>
  <c r="AD941" i="1"/>
  <c r="AE941" i="1"/>
  <c r="AN941" i="1"/>
  <c r="AM941" i="1"/>
  <c r="AL941" i="1"/>
  <c r="AK941" i="1"/>
  <c r="AF941" i="1"/>
  <c r="AG941" i="1"/>
  <c r="AI941" i="1"/>
  <c r="AB943" i="1" l="1"/>
  <c r="AJ942" i="1"/>
  <c r="AH942" i="1"/>
  <c r="AC942" i="1"/>
  <c r="AE942" i="1"/>
  <c r="AG942" i="1"/>
  <c r="AN942" i="1"/>
  <c r="AK942" i="1"/>
  <c r="AM942" i="1"/>
  <c r="AD942" i="1"/>
  <c r="AL942" i="1"/>
  <c r="AF942" i="1"/>
  <c r="AI942" i="1"/>
  <c r="AB944" i="1" l="1"/>
  <c r="AJ943" i="1"/>
  <c r="AH943" i="1"/>
  <c r="AC943" i="1"/>
  <c r="AD943" i="1"/>
  <c r="AE943" i="1"/>
  <c r="AG943" i="1"/>
  <c r="AN943" i="1"/>
  <c r="AL943" i="1"/>
  <c r="AK943" i="1"/>
  <c r="AI943" i="1"/>
  <c r="AM943" i="1"/>
  <c r="AF943" i="1"/>
  <c r="AB945" i="1" l="1"/>
  <c r="AJ944" i="1"/>
  <c r="AH944" i="1"/>
  <c r="AC944" i="1"/>
  <c r="AD944" i="1"/>
  <c r="AE944" i="1"/>
  <c r="AL944" i="1"/>
  <c r="AG944" i="1"/>
  <c r="AN944" i="1"/>
  <c r="AK944" i="1"/>
  <c r="AI944" i="1"/>
  <c r="AM944" i="1"/>
  <c r="AF944" i="1"/>
  <c r="AB946" i="1" l="1"/>
  <c r="AJ945" i="1"/>
  <c r="AH945" i="1"/>
  <c r="AC945" i="1"/>
  <c r="AD945" i="1"/>
  <c r="AE945" i="1"/>
  <c r="AL945" i="1"/>
  <c r="AN945" i="1"/>
  <c r="AI945" i="1"/>
  <c r="AM945" i="1"/>
  <c r="AG945" i="1"/>
  <c r="AF945" i="1"/>
  <c r="AK945" i="1"/>
  <c r="AB947" i="1" l="1"/>
  <c r="AJ946" i="1"/>
  <c r="AH946" i="1"/>
  <c r="AC946" i="1"/>
  <c r="AD946" i="1"/>
  <c r="AE946" i="1"/>
  <c r="AL946" i="1"/>
  <c r="AN946" i="1"/>
  <c r="AK946" i="1"/>
  <c r="AF946" i="1"/>
  <c r="AG946" i="1"/>
  <c r="AI946" i="1"/>
  <c r="AM946" i="1"/>
  <c r="AB948" i="1" l="1"/>
  <c r="AJ947" i="1"/>
  <c r="AH947" i="1"/>
  <c r="AC947" i="1"/>
  <c r="AD947" i="1"/>
  <c r="AE947" i="1"/>
  <c r="AF947" i="1"/>
  <c r="AM947" i="1"/>
  <c r="AL947" i="1"/>
  <c r="AG947" i="1"/>
  <c r="AN947" i="1"/>
  <c r="AI947" i="1"/>
  <c r="AK947" i="1"/>
  <c r="AB949" i="1" l="1"/>
  <c r="AJ948" i="1"/>
  <c r="AH948" i="1"/>
  <c r="AC948" i="1"/>
  <c r="AD948" i="1"/>
  <c r="AE948" i="1"/>
  <c r="AF948" i="1"/>
  <c r="AL948" i="1"/>
  <c r="AG948" i="1"/>
  <c r="AK948" i="1"/>
  <c r="AI948" i="1"/>
  <c r="AN948" i="1"/>
  <c r="AM948" i="1"/>
  <c r="AB950" i="1" l="1"/>
  <c r="AJ949" i="1"/>
  <c r="AH949" i="1"/>
  <c r="AC949" i="1"/>
  <c r="AD949" i="1"/>
  <c r="AE949" i="1"/>
  <c r="AL949" i="1"/>
  <c r="AG949" i="1"/>
  <c r="AK949" i="1"/>
  <c r="AI949" i="1"/>
  <c r="AF949" i="1"/>
  <c r="AN949" i="1"/>
  <c r="AM949" i="1"/>
  <c r="AB951" i="1" l="1"/>
  <c r="AJ950" i="1"/>
  <c r="AH950" i="1"/>
  <c r="AC950" i="1"/>
  <c r="AD950" i="1"/>
  <c r="AE950" i="1"/>
  <c r="AL950" i="1"/>
  <c r="AG950" i="1"/>
  <c r="AN950" i="1"/>
  <c r="AI950" i="1"/>
  <c r="AF950" i="1"/>
  <c r="AM950" i="1"/>
  <c r="AK950" i="1"/>
  <c r="AB952" i="1" l="1"/>
  <c r="AJ951" i="1"/>
  <c r="AH951" i="1"/>
  <c r="AC951" i="1"/>
  <c r="AD951" i="1"/>
  <c r="AE951" i="1"/>
  <c r="AL951" i="1"/>
  <c r="AG951" i="1"/>
  <c r="AN951" i="1"/>
  <c r="AK951" i="1"/>
  <c r="AF951" i="1"/>
  <c r="AI951" i="1"/>
  <c r="AM951" i="1"/>
  <c r="AB953" i="1" l="1"/>
  <c r="AJ952" i="1"/>
  <c r="AH952" i="1"/>
  <c r="AC952" i="1"/>
  <c r="AD952" i="1"/>
  <c r="AE952" i="1"/>
  <c r="AL952" i="1"/>
  <c r="AN952" i="1"/>
  <c r="AI952" i="1"/>
  <c r="AM952" i="1"/>
  <c r="AG952" i="1"/>
  <c r="AF952" i="1"/>
  <c r="AK952" i="1"/>
  <c r="AB954" i="1" l="1"/>
  <c r="AJ953" i="1"/>
  <c r="AH953" i="1"/>
  <c r="AC953" i="1"/>
  <c r="AD953" i="1"/>
  <c r="AL953" i="1"/>
  <c r="AK953" i="1"/>
  <c r="AF953" i="1"/>
  <c r="AE953" i="1"/>
  <c r="AN953" i="1"/>
  <c r="AI953" i="1"/>
  <c r="AG953" i="1"/>
  <c r="AM953" i="1"/>
  <c r="AB955" i="1" l="1"/>
  <c r="AJ954" i="1"/>
  <c r="AH954" i="1"/>
  <c r="AC954" i="1"/>
  <c r="AD954" i="1"/>
  <c r="AE954" i="1"/>
  <c r="AL954" i="1"/>
  <c r="AN954" i="1"/>
  <c r="AK954" i="1"/>
  <c r="AI954" i="1"/>
  <c r="AM954" i="1"/>
  <c r="AG954" i="1"/>
  <c r="AF954" i="1"/>
  <c r="AB956" i="1" l="1"/>
  <c r="AJ955" i="1"/>
  <c r="AH955" i="1"/>
  <c r="AC955" i="1"/>
  <c r="AD955" i="1"/>
  <c r="AL955" i="1"/>
  <c r="AG955" i="1"/>
  <c r="AN955" i="1"/>
  <c r="AI955" i="1"/>
  <c r="AM955" i="1"/>
  <c r="AE955" i="1"/>
  <c r="AK955" i="1"/>
  <c r="AF955" i="1"/>
  <c r="AB957" i="1" l="1"/>
  <c r="AJ956" i="1"/>
  <c r="AH956" i="1"/>
  <c r="AC956" i="1"/>
  <c r="AD956" i="1"/>
  <c r="AE956" i="1"/>
  <c r="AG956" i="1"/>
  <c r="AN956" i="1"/>
  <c r="AK956" i="1"/>
  <c r="AM956" i="1"/>
  <c r="AL956" i="1"/>
  <c r="AI956" i="1"/>
  <c r="AF956" i="1"/>
  <c r="AB958" i="1" l="1"/>
  <c r="AJ957" i="1"/>
  <c r="AH957" i="1"/>
  <c r="AC957" i="1"/>
  <c r="AD957" i="1"/>
  <c r="AE957" i="1"/>
  <c r="AG957" i="1"/>
  <c r="AN957" i="1"/>
  <c r="AL957" i="1"/>
  <c r="AI957" i="1"/>
  <c r="AM957" i="1"/>
  <c r="AK957" i="1"/>
  <c r="AF957" i="1"/>
  <c r="AB959" i="1" l="1"/>
  <c r="AJ958" i="1"/>
  <c r="AH958" i="1"/>
  <c r="AC958" i="1"/>
  <c r="AD958" i="1"/>
  <c r="AE958" i="1"/>
  <c r="AK958" i="1"/>
  <c r="AI958" i="1"/>
  <c r="AL958" i="1"/>
  <c r="AN958" i="1"/>
  <c r="AG958" i="1"/>
  <c r="AM958" i="1"/>
  <c r="AF958" i="1"/>
  <c r="AB960" i="1" l="1"/>
  <c r="AJ959" i="1"/>
  <c r="AH959" i="1"/>
  <c r="AC959" i="1"/>
  <c r="AD959" i="1"/>
  <c r="AE959" i="1"/>
  <c r="AG959" i="1"/>
  <c r="AF959" i="1"/>
  <c r="AL959" i="1"/>
  <c r="AK959" i="1"/>
  <c r="AI959" i="1"/>
  <c r="AM959" i="1"/>
  <c r="AN959" i="1"/>
  <c r="AB961" i="1" l="1"/>
  <c r="AJ960" i="1"/>
  <c r="AH960" i="1"/>
  <c r="AC960" i="1"/>
  <c r="AD960" i="1"/>
  <c r="AE960" i="1"/>
  <c r="AG960" i="1"/>
  <c r="AF960" i="1"/>
  <c r="AL960" i="1"/>
  <c r="AN960" i="1"/>
  <c r="AI960" i="1"/>
  <c r="AK960" i="1"/>
  <c r="AM960" i="1"/>
  <c r="AB962" i="1" l="1"/>
  <c r="AJ961" i="1"/>
  <c r="AH961" i="1"/>
  <c r="AC961" i="1"/>
  <c r="AD961" i="1"/>
  <c r="AE961" i="1"/>
  <c r="AG961" i="1"/>
  <c r="AN961" i="1"/>
  <c r="AM961" i="1"/>
  <c r="AL961" i="1"/>
  <c r="AK961" i="1"/>
  <c r="AI961" i="1"/>
  <c r="AF961" i="1"/>
  <c r="AB963" i="1" l="1"/>
  <c r="AJ962" i="1"/>
  <c r="AH962" i="1"/>
  <c r="AC962" i="1"/>
  <c r="AD962" i="1"/>
  <c r="AE962" i="1"/>
  <c r="AL962" i="1"/>
  <c r="AN962" i="1"/>
  <c r="AF962" i="1"/>
  <c r="AG962" i="1"/>
  <c r="AI962" i="1"/>
  <c r="AM962" i="1"/>
  <c r="AK962" i="1"/>
  <c r="AB964" i="1" l="1"/>
  <c r="AJ963" i="1"/>
  <c r="AH963" i="1"/>
  <c r="AC963" i="1"/>
  <c r="AD963" i="1"/>
  <c r="AE963" i="1"/>
  <c r="AL963" i="1"/>
  <c r="AK963" i="1"/>
  <c r="AF963" i="1"/>
  <c r="AM963" i="1"/>
  <c r="AG963" i="1"/>
  <c r="AI963" i="1"/>
  <c r="AN963" i="1"/>
  <c r="AB965" i="1" l="1"/>
  <c r="AJ964" i="1"/>
  <c r="AH964" i="1"/>
  <c r="AC964" i="1"/>
  <c r="AE964" i="1"/>
  <c r="AG964" i="1"/>
  <c r="AK964" i="1"/>
  <c r="AI964" i="1"/>
  <c r="AD964" i="1"/>
  <c r="AL964" i="1"/>
  <c r="AN964" i="1"/>
  <c r="AF964" i="1"/>
  <c r="AM964" i="1"/>
  <c r="AB966" i="1" l="1"/>
  <c r="AJ965" i="1"/>
  <c r="AH965" i="1"/>
  <c r="AC965" i="1"/>
  <c r="AD965" i="1"/>
  <c r="AE965" i="1"/>
  <c r="AL965" i="1"/>
  <c r="AK965" i="1"/>
  <c r="AM965" i="1"/>
  <c r="AG965" i="1"/>
  <c r="AI965" i="1"/>
  <c r="AN965" i="1"/>
  <c r="AF965" i="1"/>
  <c r="AB967" i="1" l="1"/>
  <c r="AJ966" i="1"/>
  <c r="AH966" i="1"/>
  <c r="AC966" i="1"/>
  <c r="AE966" i="1"/>
  <c r="AG966" i="1"/>
  <c r="AF966" i="1"/>
  <c r="AM966" i="1"/>
  <c r="AD966" i="1"/>
  <c r="AK966" i="1"/>
  <c r="AI966" i="1"/>
  <c r="AL966" i="1"/>
  <c r="AN966" i="1"/>
  <c r="AB968" i="1" l="1"/>
  <c r="AJ967" i="1"/>
  <c r="AH967" i="1"/>
  <c r="AC967" i="1"/>
  <c r="AD967" i="1"/>
  <c r="AE967" i="1"/>
  <c r="AL967" i="1"/>
  <c r="AK967" i="1"/>
  <c r="AG967" i="1"/>
  <c r="AI967" i="1"/>
  <c r="AM967" i="1"/>
  <c r="AN967" i="1"/>
  <c r="AF967" i="1"/>
  <c r="AB969" i="1" l="1"/>
  <c r="AJ968" i="1"/>
  <c r="AH968" i="1"/>
  <c r="AC968" i="1"/>
  <c r="AD968" i="1"/>
  <c r="AL968" i="1"/>
  <c r="AK968" i="1"/>
  <c r="AE968" i="1"/>
  <c r="AN968" i="1"/>
  <c r="AF968" i="1"/>
  <c r="AM968" i="1"/>
  <c r="AG968" i="1"/>
  <c r="AI968" i="1"/>
  <c r="AB970" i="1" l="1"/>
  <c r="AJ969" i="1"/>
  <c r="AH969" i="1"/>
  <c r="AC969" i="1"/>
  <c r="AD969" i="1"/>
  <c r="AE969" i="1"/>
  <c r="AG969" i="1"/>
  <c r="AK969" i="1"/>
  <c r="AL969" i="1"/>
  <c r="AN969" i="1"/>
  <c r="AI969" i="1"/>
  <c r="AM969" i="1"/>
  <c r="AF969" i="1"/>
  <c r="AB971" i="1" l="1"/>
  <c r="AJ970" i="1"/>
  <c r="AH970" i="1"/>
  <c r="AC970" i="1"/>
  <c r="AD970" i="1"/>
  <c r="AE970" i="1"/>
  <c r="AG970" i="1"/>
  <c r="AK970" i="1"/>
  <c r="AI970" i="1"/>
  <c r="AL970" i="1"/>
  <c r="AF970" i="1"/>
  <c r="AM970" i="1"/>
  <c r="AN970" i="1"/>
  <c r="AB972" i="1" l="1"/>
  <c r="AJ971" i="1"/>
  <c r="AH971" i="1"/>
  <c r="AC971" i="1"/>
  <c r="AD971" i="1"/>
  <c r="AE971" i="1"/>
  <c r="AN971" i="1"/>
  <c r="AK971" i="1"/>
  <c r="AL971" i="1"/>
  <c r="AI971" i="1"/>
  <c r="AM971" i="1"/>
  <c r="AG971" i="1"/>
  <c r="AF971" i="1"/>
  <c r="AB973" i="1" l="1"/>
  <c r="AJ972" i="1"/>
  <c r="AH972" i="1"/>
  <c r="AC972" i="1"/>
  <c r="AD972" i="1"/>
  <c r="AE972" i="1"/>
  <c r="AL972" i="1"/>
  <c r="AN972" i="1"/>
  <c r="AF972" i="1"/>
  <c r="AG972" i="1"/>
  <c r="AI972" i="1"/>
  <c r="AM972" i="1"/>
  <c r="AK972" i="1"/>
  <c r="AB974" i="1" l="1"/>
  <c r="AJ973" i="1"/>
  <c r="AH973" i="1"/>
  <c r="AC973" i="1"/>
  <c r="AD973" i="1"/>
  <c r="AE973" i="1"/>
  <c r="AL973" i="1"/>
  <c r="AN973" i="1"/>
  <c r="AF973" i="1"/>
  <c r="AG973" i="1"/>
  <c r="AI973" i="1"/>
  <c r="AM973" i="1"/>
  <c r="AK973" i="1"/>
  <c r="AB975" i="1" l="1"/>
  <c r="AJ974" i="1"/>
  <c r="AH974" i="1"/>
  <c r="AC974" i="1"/>
  <c r="AD974" i="1"/>
  <c r="AE974" i="1"/>
  <c r="AL974" i="1"/>
  <c r="AG974" i="1"/>
  <c r="AN974" i="1"/>
  <c r="AI974" i="1"/>
  <c r="AF974" i="1"/>
  <c r="AM974" i="1"/>
  <c r="AK974" i="1"/>
  <c r="AB976" i="1" l="1"/>
  <c r="AJ975" i="1"/>
  <c r="AH975" i="1"/>
  <c r="AC975" i="1"/>
  <c r="AD975" i="1"/>
  <c r="AE975" i="1"/>
  <c r="AN975" i="1"/>
  <c r="AL975" i="1"/>
  <c r="AG975" i="1"/>
  <c r="AK975" i="1"/>
  <c r="AI975" i="1"/>
  <c r="AM975" i="1"/>
  <c r="AF975" i="1"/>
  <c r="AB977" i="1" l="1"/>
  <c r="AJ976" i="1"/>
  <c r="AH976" i="1"/>
  <c r="AC976" i="1"/>
  <c r="AD976" i="1"/>
  <c r="AE976" i="1"/>
  <c r="AL976" i="1"/>
  <c r="AG976" i="1"/>
  <c r="AN976" i="1"/>
  <c r="AI976" i="1"/>
  <c r="AF976" i="1"/>
  <c r="AK976" i="1"/>
  <c r="AM976" i="1"/>
  <c r="AB978" i="1" l="1"/>
  <c r="AJ977" i="1"/>
  <c r="AH977" i="1"/>
  <c r="AC977" i="1"/>
  <c r="AD977" i="1"/>
  <c r="AL977" i="1"/>
  <c r="AN977" i="1"/>
  <c r="AI977" i="1"/>
  <c r="AG977" i="1"/>
  <c r="AK977" i="1"/>
  <c r="AF977" i="1"/>
  <c r="AM977" i="1"/>
  <c r="AE977" i="1"/>
  <c r="AB979" i="1" l="1"/>
  <c r="AJ978" i="1"/>
  <c r="AH978" i="1"/>
  <c r="AC978" i="1"/>
  <c r="AD978" i="1"/>
  <c r="AE978" i="1"/>
  <c r="AL978" i="1"/>
  <c r="AN978" i="1"/>
  <c r="AF978" i="1"/>
  <c r="AM978" i="1"/>
  <c r="AG978" i="1"/>
  <c r="AI978" i="1"/>
  <c r="AK978" i="1"/>
  <c r="AB980" i="1" l="1"/>
  <c r="AJ979" i="1"/>
  <c r="AH979" i="1"/>
  <c r="AC979" i="1"/>
  <c r="AD979" i="1"/>
  <c r="AE979" i="1"/>
  <c r="AN979" i="1"/>
  <c r="AK979" i="1"/>
  <c r="AF979" i="1"/>
  <c r="AL979" i="1"/>
  <c r="AI979" i="1"/>
  <c r="AM979" i="1"/>
  <c r="AG979" i="1"/>
  <c r="AB981" i="1" l="1"/>
  <c r="AJ980" i="1"/>
  <c r="AH980" i="1"/>
  <c r="AC980" i="1"/>
  <c r="AD980" i="1"/>
  <c r="AE980" i="1"/>
  <c r="AL980" i="1"/>
  <c r="AN980" i="1"/>
  <c r="AF980" i="1"/>
  <c r="AG980" i="1"/>
  <c r="AI980" i="1"/>
  <c r="AK980" i="1"/>
  <c r="AM980" i="1"/>
  <c r="AB982" i="1" l="1"/>
  <c r="AJ981" i="1"/>
  <c r="AH981" i="1"/>
  <c r="AC981" i="1"/>
  <c r="AD981" i="1"/>
  <c r="AE981" i="1"/>
  <c r="AG981" i="1"/>
  <c r="AN981" i="1"/>
  <c r="AF981" i="1"/>
  <c r="AL981" i="1"/>
  <c r="AI981" i="1"/>
  <c r="AM981" i="1"/>
  <c r="AK981" i="1"/>
  <c r="AB983" i="1" l="1"/>
  <c r="AJ982" i="1"/>
  <c r="AH982" i="1"/>
  <c r="AC982" i="1"/>
  <c r="AD982" i="1"/>
  <c r="AE982" i="1"/>
  <c r="AL982" i="1"/>
  <c r="AG982" i="1"/>
  <c r="AN982" i="1"/>
  <c r="AK982" i="1"/>
  <c r="AF982" i="1"/>
  <c r="AM982" i="1"/>
  <c r="AI982" i="1"/>
  <c r="AB984" i="1" l="1"/>
  <c r="AJ983" i="1"/>
  <c r="AH983" i="1"/>
  <c r="AC983" i="1"/>
  <c r="AD983" i="1"/>
  <c r="AE983" i="1"/>
  <c r="AL983" i="1"/>
  <c r="AN983" i="1"/>
  <c r="AI983" i="1"/>
  <c r="AM983" i="1"/>
  <c r="AG983" i="1"/>
  <c r="AF983" i="1"/>
  <c r="AK983" i="1"/>
  <c r="AB985" i="1" l="1"/>
  <c r="AJ984" i="1"/>
  <c r="AH984" i="1"/>
  <c r="AC984" i="1"/>
  <c r="AD984" i="1"/>
  <c r="AE984" i="1"/>
  <c r="AF984" i="1"/>
  <c r="AL984" i="1"/>
  <c r="AG984" i="1"/>
  <c r="AK984" i="1"/>
  <c r="AI984" i="1"/>
  <c r="AN984" i="1"/>
  <c r="AM984" i="1"/>
  <c r="AB986" i="1" l="1"/>
  <c r="AJ985" i="1"/>
  <c r="AH985" i="1"/>
  <c r="AC985" i="1"/>
  <c r="AD985" i="1"/>
  <c r="AE985" i="1"/>
  <c r="AN985" i="1"/>
  <c r="AK985" i="1"/>
  <c r="AL985" i="1"/>
  <c r="AI985" i="1"/>
  <c r="AG985" i="1"/>
  <c r="AM985" i="1"/>
  <c r="AF985" i="1"/>
  <c r="AB987" i="1" l="1"/>
  <c r="AJ986" i="1"/>
  <c r="AH986" i="1"/>
  <c r="AC986" i="1"/>
  <c r="AD986" i="1"/>
  <c r="AE986" i="1"/>
  <c r="AL986" i="1"/>
  <c r="AN986" i="1"/>
  <c r="AK986" i="1"/>
  <c r="AI986" i="1"/>
  <c r="AG986" i="1"/>
  <c r="AF986" i="1"/>
  <c r="AM986" i="1"/>
  <c r="AB988" i="1" l="1"/>
  <c r="AJ987" i="1"/>
  <c r="AH987" i="1"/>
  <c r="AC987" i="1"/>
  <c r="AD987" i="1"/>
  <c r="AE987" i="1"/>
  <c r="AL987" i="1"/>
  <c r="AN987" i="1"/>
  <c r="AF987" i="1"/>
  <c r="AG987" i="1"/>
  <c r="AI987" i="1"/>
  <c r="AK987" i="1"/>
  <c r="AM987" i="1"/>
  <c r="AB989" i="1" l="1"/>
  <c r="AJ988" i="1"/>
  <c r="AH988" i="1"/>
  <c r="AC988" i="1"/>
  <c r="AD988" i="1"/>
  <c r="AL988" i="1"/>
  <c r="AK988" i="1"/>
  <c r="AI988" i="1"/>
  <c r="AE988" i="1"/>
  <c r="AN988" i="1"/>
  <c r="AG988" i="1"/>
  <c r="AM988" i="1"/>
  <c r="AF988" i="1"/>
  <c r="AB990" i="1" l="1"/>
  <c r="AJ989" i="1"/>
  <c r="AH989" i="1"/>
  <c r="AC989" i="1"/>
  <c r="AD989" i="1"/>
  <c r="AL989" i="1"/>
  <c r="AK989" i="1"/>
  <c r="AI989" i="1"/>
  <c r="AE989" i="1"/>
  <c r="AN989" i="1"/>
  <c r="AM989" i="1"/>
  <c r="AG989" i="1"/>
  <c r="AF989" i="1"/>
  <c r="AB991" i="1" l="1"/>
  <c r="AJ990" i="1"/>
  <c r="AH990" i="1"/>
  <c r="AC990" i="1"/>
  <c r="AD990" i="1"/>
  <c r="AE990" i="1"/>
  <c r="AL990" i="1"/>
  <c r="AN990" i="1"/>
  <c r="AK990" i="1"/>
  <c r="AI990" i="1"/>
  <c r="AM990" i="1"/>
  <c r="AG990" i="1"/>
  <c r="AF990" i="1"/>
  <c r="AB992" i="1" l="1"/>
  <c r="AJ991" i="1"/>
  <c r="AH991" i="1"/>
  <c r="AC991" i="1"/>
  <c r="AD991" i="1"/>
  <c r="AE991" i="1"/>
  <c r="AL991" i="1"/>
  <c r="AG991" i="1"/>
  <c r="AN991" i="1"/>
  <c r="AF991" i="1"/>
  <c r="AK991" i="1"/>
  <c r="AI991" i="1"/>
  <c r="AM991" i="1"/>
  <c r="AB993" i="1" l="1"/>
  <c r="AJ992" i="1"/>
  <c r="AH992" i="1"/>
  <c r="AC992" i="1"/>
  <c r="AD992" i="1"/>
  <c r="AE992" i="1"/>
  <c r="AL992" i="1"/>
  <c r="AN992" i="1"/>
  <c r="AF992" i="1"/>
  <c r="AG992" i="1"/>
  <c r="AI992" i="1"/>
  <c r="AM992" i="1"/>
  <c r="AK992" i="1"/>
  <c r="AB994" i="1" l="1"/>
  <c r="AJ993" i="1"/>
  <c r="AH993" i="1"/>
  <c r="AC993" i="1"/>
  <c r="AD993" i="1"/>
  <c r="AL993" i="1"/>
  <c r="AK993" i="1"/>
  <c r="AI993" i="1"/>
  <c r="AM993" i="1"/>
  <c r="AE993" i="1"/>
  <c r="AN993" i="1"/>
  <c r="AG993" i="1"/>
  <c r="AF993" i="1"/>
  <c r="AB995" i="1" l="1"/>
  <c r="AJ994" i="1"/>
  <c r="AH994" i="1"/>
  <c r="AC994" i="1"/>
  <c r="AD994" i="1"/>
  <c r="AE994" i="1"/>
  <c r="AL994" i="1"/>
  <c r="AN994" i="1"/>
  <c r="AG994" i="1"/>
  <c r="AF994" i="1"/>
  <c r="AM994" i="1"/>
  <c r="AK994" i="1"/>
  <c r="AI994" i="1"/>
  <c r="AB996" i="1" l="1"/>
  <c r="AJ995" i="1"/>
  <c r="AH995" i="1"/>
  <c r="AC995" i="1"/>
  <c r="AD995" i="1"/>
  <c r="AE995" i="1"/>
  <c r="AL995" i="1"/>
  <c r="AG995" i="1"/>
  <c r="AN995" i="1"/>
  <c r="AI995" i="1"/>
  <c r="AF995" i="1"/>
  <c r="AK995" i="1"/>
  <c r="AM995" i="1"/>
  <c r="AB997" i="1" l="1"/>
  <c r="AJ996" i="1"/>
  <c r="AH996" i="1"/>
  <c r="AC996" i="1"/>
  <c r="AD996" i="1"/>
  <c r="AE996" i="1"/>
  <c r="AL996" i="1"/>
  <c r="AN996" i="1"/>
  <c r="AF996" i="1"/>
  <c r="AG996" i="1"/>
  <c r="AI996" i="1"/>
  <c r="AM996" i="1"/>
  <c r="AK996" i="1"/>
  <c r="AB998" i="1" l="1"/>
  <c r="AJ997" i="1"/>
  <c r="AH997" i="1"/>
  <c r="AC997" i="1"/>
  <c r="AD997" i="1"/>
  <c r="AE997" i="1"/>
  <c r="AL997" i="1"/>
  <c r="AK997" i="1"/>
  <c r="AI997" i="1"/>
  <c r="AM997" i="1"/>
  <c r="AG997" i="1"/>
  <c r="AF997" i="1"/>
  <c r="AN997" i="1"/>
  <c r="AB999" i="1" l="1"/>
  <c r="AJ998" i="1"/>
  <c r="AH998" i="1"/>
  <c r="AC998" i="1"/>
  <c r="AD998" i="1"/>
  <c r="AE998" i="1"/>
  <c r="AG998" i="1"/>
  <c r="AK998" i="1"/>
  <c r="AL998" i="1"/>
  <c r="AI998" i="1"/>
  <c r="AM998" i="1"/>
  <c r="AN998" i="1"/>
  <c r="AF998" i="1"/>
  <c r="AB1000" i="1" l="1"/>
  <c r="AJ999" i="1"/>
  <c r="AH999" i="1"/>
  <c r="AC999" i="1"/>
  <c r="AN999" i="1"/>
  <c r="AD999" i="1"/>
  <c r="AE999" i="1"/>
  <c r="AK999" i="1"/>
  <c r="AG999" i="1"/>
  <c r="AI999" i="1"/>
  <c r="AM999" i="1"/>
  <c r="AL999" i="1"/>
  <c r="AF999" i="1"/>
  <c r="AB1001" i="1" l="1"/>
  <c r="AJ1000" i="1"/>
  <c r="AH1000" i="1"/>
  <c r="AC1000" i="1"/>
  <c r="AE1000" i="1"/>
  <c r="AL1000" i="1"/>
  <c r="AI1000" i="1"/>
  <c r="AF1000" i="1"/>
  <c r="AD1000" i="1"/>
  <c r="AG1000" i="1"/>
  <c r="AN1000" i="1"/>
  <c r="AM1000" i="1"/>
  <c r="AK1000" i="1"/>
  <c r="AB1002" i="1" l="1"/>
  <c r="AJ1001" i="1"/>
  <c r="AH1001" i="1"/>
  <c r="AC1001" i="1"/>
  <c r="AD1001" i="1"/>
  <c r="AE1001" i="1"/>
  <c r="AK1001" i="1"/>
  <c r="AI1001" i="1"/>
  <c r="AF1001" i="1"/>
  <c r="AM1001" i="1"/>
  <c r="AL1001" i="1"/>
  <c r="AN1001" i="1"/>
  <c r="AG1001" i="1"/>
  <c r="AB1003" i="1" l="1"/>
  <c r="AJ1002" i="1"/>
  <c r="AH1002" i="1"/>
  <c r="AC1002" i="1"/>
  <c r="AD1002" i="1"/>
  <c r="AE1002" i="1"/>
  <c r="AL1002" i="1"/>
  <c r="AN1002" i="1"/>
  <c r="AK1002" i="1"/>
  <c r="AI1002" i="1"/>
  <c r="AM1002" i="1"/>
  <c r="AG1002" i="1"/>
  <c r="AF1002" i="1"/>
  <c r="AB1004" i="1" l="1"/>
  <c r="AJ1003" i="1"/>
  <c r="AH1003" i="1"/>
  <c r="AC1003" i="1"/>
  <c r="AD1003" i="1"/>
  <c r="AE1003" i="1"/>
  <c r="AL1003" i="1"/>
  <c r="AN1003" i="1"/>
  <c r="AF1003" i="1"/>
  <c r="AG1003" i="1"/>
  <c r="AI1003" i="1"/>
  <c r="AM1003" i="1"/>
  <c r="AK1003" i="1"/>
  <c r="AB1005" i="1" l="1"/>
  <c r="AJ1004" i="1"/>
  <c r="AH1004" i="1"/>
  <c r="AC1004" i="1"/>
  <c r="AD1004" i="1"/>
  <c r="AE1004" i="1"/>
  <c r="AF1004" i="1"/>
  <c r="AM1004" i="1"/>
  <c r="AL1004" i="1"/>
  <c r="AG1004" i="1"/>
  <c r="AN1004" i="1"/>
  <c r="AI1004" i="1"/>
  <c r="AK1004" i="1"/>
  <c r="AB1006" i="1" l="1"/>
  <c r="AJ1005" i="1"/>
  <c r="AH1005" i="1"/>
  <c r="AC1005" i="1"/>
  <c r="AD1005" i="1"/>
  <c r="AE1005" i="1"/>
  <c r="AG1005" i="1"/>
  <c r="AN1005" i="1"/>
  <c r="AF1005" i="1"/>
  <c r="AM1005" i="1"/>
  <c r="AL1005" i="1"/>
  <c r="AI1005" i="1"/>
  <c r="AK1005" i="1"/>
  <c r="AB1007" i="1" l="1"/>
  <c r="AJ1006" i="1"/>
  <c r="AH1006" i="1"/>
  <c r="AC1006" i="1"/>
  <c r="AD1006" i="1"/>
  <c r="AE1006" i="1"/>
  <c r="AL1006" i="1"/>
  <c r="AG1006" i="1"/>
  <c r="AN1006" i="1"/>
  <c r="AF1006" i="1"/>
  <c r="AI1006" i="1"/>
  <c r="AK1006" i="1"/>
  <c r="AM1006" i="1"/>
  <c r="AB1008" i="1" l="1"/>
  <c r="AJ1007" i="1"/>
  <c r="AH1007" i="1"/>
  <c r="AC1007" i="1"/>
  <c r="AD1007" i="1"/>
  <c r="AE1007" i="1"/>
  <c r="AL1007" i="1"/>
  <c r="AN1007" i="1"/>
  <c r="AK1007" i="1"/>
  <c r="AI1007" i="1"/>
  <c r="AG1007" i="1"/>
  <c r="AF1007" i="1"/>
  <c r="AM1007" i="1"/>
  <c r="AB1009" i="1" l="1"/>
  <c r="AJ1008" i="1"/>
  <c r="AH1008" i="1"/>
  <c r="AC1008" i="1"/>
  <c r="AD1008" i="1"/>
  <c r="AE1008" i="1"/>
  <c r="AL1008" i="1"/>
  <c r="AN1008" i="1"/>
  <c r="AI1008" i="1"/>
  <c r="AG1008" i="1"/>
  <c r="AF1008" i="1"/>
  <c r="AK1008" i="1"/>
  <c r="AM1008" i="1"/>
  <c r="AB1010" i="1" l="1"/>
  <c r="AJ1009" i="1"/>
  <c r="AH1009" i="1"/>
  <c r="AC1009" i="1"/>
  <c r="AD1009" i="1"/>
  <c r="AE1009" i="1"/>
  <c r="AK1009" i="1"/>
  <c r="AI1009" i="1"/>
  <c r="AL1009" i="1"/>
  <c r="AN1009" i="1"/>
  <c r="AG1009" i="1"/>
  <c r="AM1009" i="1"/>
  <c r="AF1009" i="1"/>
  <c r="AB1011" i="1" l="1"/>
  <c r="AJ1010" i="1"/>
  <c r="AH1010" i="1"/>
  <c r="AC1010" i="1"/>
  <c r="AD1010" i="1"/>
  <c r="AE1010" i="1"/>
  <c r="AL1010" i="1"/>
  <c r="AN1010" i="1"/>
  <c r="AI1010" i="1"/>
  <c r="AG1010" i="1"/>
  <c r="AF1010" i="1"/>
  <c r="AK1010" i="1"/>
  <c r="AM1010" i="1"/>
  <c r="AB1012" i="1" l="1"/>
  <c r="AJ1011" i="1"/>
  <c r="AH1011" i="1"/>
  <c r="AC1011" i="1"/>
  <c r="AD1011" i="1"/>
  <c r="AE1011" i="1"/>
  <c r="AF1011" i="1"/>
  <c r="AL1011" i="1"/>
  <c r="AG1011" i="1"/>
  <c r="AN1011" i="1"/>
  <c r="AI1011" i="1"/>
  <c r="AK1011" i="1"/>
  <c r="AM1011" i="1"/>
  <c r="AB1013" i="1" l="1"/>
  <c r="AJ1012" i="1"/>
  <c r="AH1012" i="1"/>
  <c r="AC1012" i="1"/>
  <c r="AD1012" i="1"/>
  <c r="AE1012" i="1"/>
  <c r="AL1012" i="1"/>
  <c r="AG1012" i="1"/>
  <c r="AN1012" i="1"/>
  <c r="AK1012" i="1"/>
  <c r="AI1012" i="1"/>
  <c r="AM1012" i="1"/>
  <c r="AF1012" i="1"/>
  <c r="AB1014" i="1" l="1"/>
  <c r="AJ1013" i="1"/>
  <c r="AH1013" i="1"/>
  <c r="AC1013" i="1"/>
  <c r="AD1013" i="1"/>
  <c r="AE1013" i="1"/>
  <c r="AL1013" i="1"/>
  <c r="AN1013" i="1"/>
  <c r="AF1013" i="1"/>
  <c r="AG1013" i="1"/>
  <c r="AI1013" i="1"/>
  <c r="AK1013" i="1"/>
  <c r="AM1013" i="1"/>
  <c r="AB1015" i="1" l="1"/>
  <c r="AJ1014" i="1"/>
  <c r="AH1014" i="1"/>
  <c r="AC1014" i="1"/>
  <c r="AD1014" i="1"/>
  <c r="AG1014" i="1"/>
  <c r="AN1014" i="1"/>
  <c r="AK1014" i="1"/>
  <c r="AF1014" i="1"/>
  <c r="AE1014" i="1"/>
  <c r="AM1014" i="1"/>
  <c r="AL1014" i="1"/>
  <c r="AI1014" i="1"/>
  <c r="AB1016" i="1" l="1"/>
  <c r="AJ1015" i="1"/>
  <c r="AH1015" i="1"/>
  <c r="AC1015" i="1"/>
  <c r="AD1015" i="1"/>
  <c r="AE1015" i="1"/>
  <c r="AL1015" i="1"/>
  <c r="AG1015" i="1"/>
  <c r="AN1015" i="1"/>
  <c r="AF1015" i="1"/>
  <c r="AM1015" i="1"/>
  <c r="AK1015" i="1"/>
  <c r="AI1015" i="1"/>
  <c r="AB1017" i="1" l="1"/>
  <c r="AJ1016" i="1"/>
  <c r="AH1016" i="1"/>
  <c r="AC1016" i="1"/>
  <c r="AD1016" i="1"/>
  <c r="AG1016" i="1"/>
  <c r="AM1016" i="1"/>
  <c r="AE1016" i="1"/>
  <c r="AL1016" i="1"/>
  <c r="AK1016" i="1"/>
  <c r="AI1016" i="1"/>
  <c r="AN1016" i="1"/>
  <c r="AF1016" i="1"/>
  <c r="AB1018" i="1" l="1"/>
  <c r="AJ1017" i="1"/>
  <c r="AH1017" i="1"/>
  <c r="AC1017" i="1"/>
  <c r="AD1017" i="1"/>
  <c r="AE1017" i="1"/>
  <c r="AL1017" i="1"/>
  <c r="AG1017" i="1"/>
  <c r="AN1017" i="1"/>
  <c r="AI1017" i="1"/>
  <c r="AF1017" i="1"/>
  <c r="AK1017" i="1"/>
  <c r="AM1017" i="1"/>
  <c r="AB1019" i="1" l="1"/>
  <c r="AJ1018" i="1"/>
  <c r="AH1018" i="1"/>
  <c r="AC1018" i="1"/>
  <c r="AD1018" i="1"/>
  <c r="AE1018" i="1"/>
  <c r="AG1018" i="1"/>
  <c r="AK1018" i="1"/>
  <c r="AM1018" i="1"/>
  <c r="AL1018" i="1"/>
  <c r="AN1018" i="1"/>
  <c r="AI1018" i="1"/>
  <c r="AF1018" i="1"/>
  <c r="AB1020" i="1" l="1"/>
  <c r="AJ1019" i="1"/>
  <c r="AH1019" i="1"/>
  <c r="AC1019" i="1"/>
  <c r="AD1019" i="1"/>
  <c r="AE1019" i="1"/>
  <c r="AG1019" i="1"/>
  <c r="AN1019" i="1"/>
  <c r="AM1019" i="1"/>
  <c r="AL1019" i="1"/>
  <c r="AK1019" i="1"/>
  <c r="AI1019" i="1"/>
  <c r="AF1019" i="1"/>
  <c r="AB1021" i="1" l="1"/>
  <c r="AJ1020" i="1"/>
  <c r="AH1020" i="1"/>
  <c r="AC1020" i="1"/>
  <c r="AD1020" i="1"/>
  <c r="AE1020" i="1"/>
  <c r="AL1020" i="1"/>
  <c r="AK1020" i="1"/>
  <c r="AI1020" i="1"/>
  <c r="AM1020" i="1"/>
  <c r="AG1020" i="1"/>
  <c r="AF1020" i="1"/>
  <c r="AN1020" i="1"/>
  <c r="AB1022" i="1" l="1"/>
  <c r="AJ1021" i="1"/>
  <c r="AH1021" i="1"/>
  <c r="AC1021" i="1"/>
  <c r="AD1021" i="1"/>
  <c r="AE1021" i="1"/>
  <c r="AG1021" i="1"/>
  <c r="AK1021" i="1"/>
  <c r="AI1021" i="1"/>
  <c r="AM1021" i="1"/>
  <c r="AL1021" i="1"/>
  <c r="AN1021" i="1"/>
  <c r="AF1021" i="1"/>
  <c r="AB1023" i="1" l="1"/>
  <c r="AJ1022" i="1"/>
  <c r="AH1022" i="1"/>
  <c r="AC1022" i="1"/>
  <c r="AE1022" i="1"/>
  <c r="AL1022" i="1"/>
  <c r="AK1022" i="1"/>
  <c r="AI1022" i="1"/>
  <c r="AF1022" i="1"/>
  <c r="AD1022" i="1"/>
  <c r="AG1022" i="1"/>
  <c r="AN1022" i="1"/>
  <c r="AM1022" i="1"/>
  <c r="AB1024" i="1" l="1"/>
  <c r="AJ1023" i="1"/>
  <c r="AH1023" i="1"/>
  <c r="AC1023" i="1"/>
  <c r="AD1023" i="1"/>
  <c r="AE1023" i="1"/>
  <c r="AL1023" i="1"/>
  <c r="AN1023" i="1"/>
  <c r="AK1023" i="1"/>
  <c r="AI1023" i="1"/>
  <c r="AM1023" i="1"/>
  <c r="AG1023" i="1"/>
  <c r="AF1023" i="1"/>
  <c r="AB1025" i="1" l="1"/>
  <c r="AJ1024" i="1"/>
  <c r="AH1024" i="1"/>
  <c r="AC1024" i="1"/>
  <c r="AD1024" i="1"/>
  <c r="AE1024" i="1"/>
  <c r="AL1024" i="1"/>
  <c r="AN1024" i="1"/>
  <c r="AF1024" i="1"/>
  <c r="AG1024" i="1"/>
  <c r="AI1024" i="1"/>
  <c r="AM1024" i="1"/>
  <c r="AK1024" i="1"/>
  <c r="AB1026" i="1" l="1"/>
  <c r="AJ1025" i="1"/>
  <c r="AH1025" i="1"/>
  <c r="AC1025" i="1"/>
  <c r="AD1025" i="1"/>
  <c r="AE1025" i="1"/>
  <c r="AG1025" i="1"/>
  <c r="AK1025" i="1"/>
  <c r="AF1025" i="1"/>
  <c r="AL1025" i="1"/>
  <c r="AI1025" i="1"/>
  <c r="AM1025" i="1"/>
  <c r="AN1025" i="1"/>
  <c r="AB1027" i="1" l="1"/>
  <c r="AJ1026" i="1"/>
  <c r="AD1026" i="1"/>
  <c r="AL1026" i="1"/>
  <c r="AG1026" i="1"/>
  <c r="AN1026" i="1"/>
  <c r="AF1026" i="1"/>
  <c r="AM1026" i="1"/>
  <c r="AC1026" i="1"/>
  <c r="AE1026" i="1"/>
  <c r="AK1026" i="1"/>
  <c r="AI1026" i="1"/>
  <c r="AH1026" i="1"/>
  <c r="AB1028" i="1" l="1"/>
  <c r="AJ1027" i="1"/>
  <c r="AH1027" i="1"/>
  <c r="AC1027" i="1"/>
  <c r="AE1027" i="1"/>
  <c r="AI1027" i="1"/>
  <c r="AM1027" i="1"/>
  <c r="AD1027" i="1"/>
  <c r="AL1027" i="1"/>
  <c r="AK1027" i="1"/>
  <c r="AF1027" i="1"/>
  <c r="AG1027" i="1"/>
  <c r="AN1027" i="1"/>
  <c r="AB1029" i="1" l="1"/>
  <c r="AJ1028" i="1"/>
  <c r="AH1028" i="1"/>
  <c r="AC1028" i="1"/>
  <c r="AK1028" i="1"/>
  <c r="AF1028" i="1"/>
  <c r="AD1028" i="1"/>
  <c r="AL1028" i="1"/>
  <c r="AG1028" i="1"/>
  <c r="AN1028" i="1"/>
  <c r="AI1028" i="1"/>
  <c r="AE1028" i="1"/>
  <c r="AM1028" i="1"/>
  <c r="AB1030" i="1" l="1"/>
  <c r="AJ1029" i="1"/>
  <c r="AH1029" i="1"/>
  <c r="AC1029" i="1"/>
  <c r="AD1029" i="1"/>
  <c r="AG1029" i="1"/>
  <c r="AN1029" i="1"/>
  <c r="AF1029" i="1"/>
  <c r="AM1029" i="1"/>
  <c r="AL1029" i="1"/>
  <c r="AK1029" i="1"/>
  <c r="AI1029" i="1"/>
  <c r="AE1029" i="1"/>
  <c r="AB1031" i="1" l="1"/>
  <c r="AJ1030" i="1"/>
  <c r="AH1030" i="1"/>
  <c r="AC1030" i="1"/>
  <c r="AE1030" i="1"/>
  <c r="AL1030" i="1"/>
  <c r="AG1030" i="1"/>
  <c r="AN1030" i="1"/>
  <c r="AF1030" i="1"/>
  <c r="AD1030" i="1"/>
  <c r="AK1030" i="1"/>
  <c r="AI1030" i="1"/>
  <c r="AM1030" i="1"/>
  <c r="AB1032" i="1" l="1"/>
  <c r="AJ1031" i="1"/>
  <c r="AH1031" i="1"/>
  <c r="AC1031" i="1"/>
  <c r="AE1031" i="1"/>
  <c r="AL1031" i="1"/>
  <c r="AD1031" i="1"/>
  <c r="AG1031" i="1"/>
  <c r="AN1031" i="1"/>
  <c r="AI1031" i="1"/>
  <c r="AF1031" i="1"/>
  <c r="AM1031" i="1"/>
  <c r="AK1031" i="1"/>
  <c r="AB1033" i="1" l="1"/>
  <c r="AJ1032" i="1"/>
  <c r="AH1032" i="1"/>
  <c r="AC1032" i="1"/>
  <c r="AD1032" i="1"/>
  <c r="AE1032" i="1"/>
  <c r="AG1032" i="1"/>
  <c r="AK1032" i="1"/>
  <c r="AI1032" i="1"/>
  <c r="AL1032" i="1"/>
  <c r="AN1032" i="1"/>
  <c r="AM1032" i="1"/>
  <c r="AF1032" i="1"/>
  <c r="AB1034" i="1" l="1"/>
  <c r="AJ1033" i="1"/>
  <c r="AH1033" i="1"/>
  <c r="AC1033" i="1"/>
  <c r="AD1033" i="1"/>
  <c r="AE1033" i="1"/>
  <c r="AL1033" i="1"/>
  <c r="AK1033" i="1"/>
  <c r="AI1033" i="1"/>
  <c r="AM1033" i="1"/>
  <c r="AN1033" i="1"/>
  <c r="AG1033" i="1"/>
  <c r="AF1033" i="1"/>
  <c r="AB1035" i="1" l="1"/>
  <c r="AJ1034" i="1"/>
  <c r="AH1034" i="1"/>
  <c r="AC1034" i="1"/>
  <c r="AD1034" i="1"/>
  <c r="AE1034" i="1"/>
  <c r="AK1034" i="1"/>
  <c r="AI1034" i="1"/>
  <c r="AF1034" i="1"/>
  <c r="AM1034" i="1"/>
  <c r="AL1034" i="1"/>
  <c r="AN1034" i="1"/>
  <c r="AG1034" i="1"/>
  <c r="AB1036" i="1" l="1"/>
  <c r="AJ1035" i="1"/>
  <c r="AH1035" i="1"/>
  <c r="AC1035" i="1"/>
  <c r="AD1035" i="1"/>
  <c r="AE1035" i="1"/>
  <c r="AL1035" i="1"/>
  <c r="AN1035" i="1"/>
  <c r="AK1035" i="1"/>
  <c r="AG1035" i="1"/>
  <c r="AI1035" i="1"/>
  <c r="AM1035" i="1"/>
  <c r="AF1035" i="1"/>
  <c r="AB1037" i="1" l="1"/>
  <c r="AJ1036" i="1"/>
  <c r="AH1036" i="1"/>
  <c r="AC1036" i="1"/>
  <c r="AD1036" i="1"/>
  <c r="AE1036" i="1"/>
  <c r="AL1036" i="1"/>
  <c r="AK1036" i="1"/>
  <c r="AI1036" i="1"/>
  <c r="AF1036" i="1"/>
  <c r="AM1036" i="1"/>
  <c r="AN1036" i="1"/>
  <c r="AG1036" i="1"/>
  <c r="AB1038" i="1" l="1"/>
  <c r="AJ1037" i="1"/>
  <c r="AH1037" i="1"/>
  <c r="AC1037" i="1"/>
  <c r="AD1037" i="1"/>
  <c r="AE1037" i="1"/>
  <c r="AL1037" i="1"/>
  <c r="AK1037" i="1"/>
  <c r="AF1037" i="1"/>
  <c r="AG1037" i="1"/>
  <c r="AI1037" i="1"/>
  <c r="AM1037" i="1"/>
  <c r="AN1037" i="1"/>
  <c r="AB1039" i="1" l="1"/>
  <c r="AJ1038" i="1"/>
  <c r="AH1038" i="1"/>
  <c r="AC1038" i="1"/>
  <c r="AD1038" i="1"/>
  <c r="AE1038" i="1"/>
  <c r="AG1038" i="1"/>
  <c r="AK1038" i="1"/>
  <c r="AL1038" i="1"/>
  <c r="AF1038" i="1"/>
  <c r="AM1038" i="1"/>
  <c r="AI1038" i="1"/>
  <c r="AN1038" i="1"/>
  <c r="AB1040" i="1" l="1"/>
  <c r="AJ1039" i="1"/>
  <c r="AH1039" i="1"/>
  <c r="AC1039" i="1"/>
  <c r="AD1039" i="1"/>
  <c r="AL1039" i="1"/>
  <c r="AK1039" i="1"/>
  <c r="AI1039" i="1"/>
  <c r="AF1039" i="1"/>
  <c r="AM1039" i="1"/>
  <c r="AN1039" i="1"/>
  <c r="AE1039" i="1"/>
  <c r="AG1039" i="1"/>
  <c r="AB1041" i="1" l="1"/>
  <c r="AJ1040" i="1"/>
  <c r="AH1040" i="1"/>
  <c r="AC1040" i="1"/>
  <c r="AD1040" i="1"/>
  <c r="AG1040" i="1"/>
  <c r="AN1040" i="1"/>
  <c r="AI1040" i="1"/>
  <c r="AL1040" i="1"/>
  <c r="AF1040" i="1"/>
  <c r="AM1040" i="1"/>
  <c r="AE1040" i="1"/>
  <c r="AK1040" i="1"/>
  <c r="AB1042" i="1" l="1"/>
  <c r="AJ1041" i="1"/>
  <c r="AH1041" i="1"/>
  <c r="AC1041" i="1"/>
  <c r="AD1041" i="1"/>
  <c r="AE1041" i="1"/>
  <c r="AL1041" i="1"/>
  <c r="AN1041" i="1"/>
  <c r="AK1041" i="1"/>
  <c r="AF1041" i="1"/>
  <c r="AG1041" i="1"/>
  <c r="AI1041" i="1"/>
  <c r="AM1041" i="1"/>
  <c r="AB1043" i="1" l="1"/>
  <c r="AJ1042" i="1"/>
  <c r="AH1042" i="1"/>
  <c r="AC1042" i="1"/>
  <c r="AK1042" i="1"/>
  <c r="AF1042" i="1"/>
  <c r="AD1042" i="1"/>
  <c r="AL1042" i="1"/>
  <c r="AG1042" i="1"/>
  <c r="AN1042" i="1"/>
  <c r="AI1042" i="1"/>
  <c r="AE1042" i="1"/>
  <c r="AM1042" i="1"/>
  <c r="AB1044" i="1" l="1"/>
  <c r="AJ1043" i="1"/>
  <c r="AH1043" i="1"/>
  <c r="AC1043" i="1"/>
  <c r="AD1043" i="1"/>
  <c r="AE1043" i="1"/>
  <c r="AL1043" i="1"/>
  <c r="AG1043" i="1"/>
  <c r="AK1043" i="1"/>
  <c r="AI1043" i="1"/>
  <c r="AN1043" i="1"/>
  <c r="AM1043" i="1"/>
  <c r="AF1043" i="1"/>
  <c r="AB1045" i="1" l="1"/>
  <c r="AJ1044" i="1"/>
  <c r="AH1044" i="1"/>
  <c r="AC1044" i="1"/>
  <c r="AD1044" i="1"/>
  <c r="AL1044" i="1"/>
  <c r="AG1044" i="1"/>
  <c r="AK1044" i="1"/>
  <c r="AI1044" i="1"/>
  <c r="AF1044" i="1"/>
  <c r="AM1044" i="1"/>
  <c r="AE1044" i="1"/>
  <c r="AN1044" i="1"/>
  <c r="AB1046" i="1" l="1"/>
  <c r="AJ1045" i="1"/>
  <c r="AH1045" i="1"/>
  <c r="AC1045" i="1"/>
  <c r="AD1045" i="1"/>
  <c r="AG1045" i="1"/>
  <c r="AK1045" i="1"/>
  <c r="AI1045" i="1"/>
  <c r="AL1045" i="1"/>
  <c r="AN1045" i="1"/>
  <c r="AE1045" i="1"/>
  <c r="AF1045" i="1"/>
  <c r="AM1045" i="1"/>
  <c r="AB1047" i="1" l="1"/>
  <c r="AJ1046" i="1"/>
  <c r="AH1046" i="1"/>
  <c r="AC1046" i="1"/>
  <c r="AD1046" i="1"/>
  <c r="AL1046" i="1"/>
  <c r="AG1046" i="1"/>
  <c r="AN1046" i="1"/>
  <c r="AI1046" i="1"/>
  <c r="AF1046" i="1"/>
  <c r="AK1046" i="1"/>
  <c r="AE1046" i="1"/>
  <c r="AM1046" i="1"/>
  <c r="AB1048" i="1" l="1"/>
  <c r="AJ1047" i="1"/>
  <c r="AH1047" i="1"/>
  <c r="AC1047" i="1"/>
  <c r="AD1047" i="1"/>
  <c r="AG1047" i="1"/>
  <c r="AN1047" i="1"/>
  <c r="AF1047" i="1"/>
  <c r="AL1047" i="1"/>
  <c r="AE1047" i="1"/>
  <c r="AK1047" i="1"/>
  <c r="AI1047" i="1"/>
  <c r="AM1047" i="1"/>
  <c r="AB1049" i="1" l="1"/>
  <c r="AJ1048" i="1"/>
  <c r="AH1048" i="1"/>
  <c r="AC1048" i="1"/>
  <c r="AE1048" i="1"/>
  <c r="AL1048" i="1"/>
  <c r="AN1048" i="1"/>
  <c r="AK1048" i="1"/>
  <c r="AI1048" i="1"/>
  <c r="AD1048" i="1"/>
  <c r="AG1048" i="1"/>
  <c r="AF1048" i="1"/>
  <c r="AM1048" i="1"/>
  <c r="AB1050" i="1" l="1"/>
  <c r="AJ1049" i="1"/>
  <c r="AH1049" i="1"/>
  <c r="AC1049" i="1"/>
  <c r="AD1049" i="1"/>
  <c r="AE1049" i="1"/>
  <c r="AG1049" i="1"/>
  <c r="AK1049" i="1"/>
  <c r="AI1049" i="1"/>
  <c r="AL1049" i="1"/>
  <c r="AN1049" i="1"/>
  <c r="AF1049" i="1"/>
  <c r="AM1049" i="1"/>
  <c r="AB1051" i="1" l="1"/>
  <c r="AJ1050" i="1"/>
  <c r="AH1050" i="1"/>
  <c r="AC1050" i="1"/>
  <c r="AE1050" i="1"/>
  <c r="AG1050" i="1"/>
  <c r="AK1050" i="1"/>
  <c r="AI1050" i="1"/>
  <c r="AF1050" i="1"/>
  <c r="AM1050" i="1"/>
  <c r="AD1050" i="1"/>
  <c r="AL1050" i="1"/>
  <c r="AN1050" i="1"/>
  <c r="AB1052" i="1" l="1"/>
  <c r="AJ1051" i="1"/>
  <c r="AH1051" i="1"/>
  <c r="AC1051" i="1"/>
  <c r="AD1051" i="1"/>
  <c r="AE1051" i="1"/>
  <c r="AG1051" i="1"/>
  <c r="AK1051" i="1"/>
  <c r="AI1051" i="1"/>
  <c r="AM1051" i="1"/>
  <c r="AL1051" i="1"/>
  <c r="AN1051" i="1"/>
  <c r="AF1051" i="1"/>
  <c r="AB1053" i="1" l="1"/>
  <c r="AJ1052" i="1"/>
  <c r="AH1052" i="1"/>
  <c r="AC1052" i="1"/>
  <c r="AD1052" i="1"/>
  <c r="AE1052" i="1"/>
  <c r="AL1052" i="1"/>
  <c r="AG1052" i="1"/>
  <c r="AK1052" i="1"/>
  <c r="AI1052" i="1"/>
  <c r="AM1052" i="1"/>
  <c r="AN1052" i="1"/>
  <c r="AF1052" i="1"/>
  <c r="AB1054" i="1" l="1"/>
  <c r="AJ1053" i="1"/>
  <c r="AH1053" i="1"/>
  <c r="AC1053" i="1"/>
  <c r="AN1053" i="1"/>
  <c r="AI1053" i="1"/>
  <c r="AD1053" i="1"/>
  <c r="AE1053" i="1"/>
  <c r="AG1053" i="1"/>
  <c r="AK1053" i="1"/>
  <c r="AM1053" i="1"/>
  <c r="AF1053" i="1"/>
  <c r="AL1053" i="1"/>
  <c r="AB1055" i="1" l="1"/>
  <c r="AJ1054" i="1"/>
  <c r="AH1054" i="1"/>
  <c r="AC1054" i="1"/>
  <c r="AL1054" i="1"/>
  <c r="AG1054" i="1"/>
  <c r="AN1054" i="1"/>
  <c r="AK1054" i="1"/>
  <c r="AI1054" i="1"/>
  <c r="AD1054" i="1"/>
  <c r="AE1054" i="1"/>
  <c r="AF1054" i="1"/>
  <c r="AM1054" i="1"/>
  <c r="AB1056" i="1" l="1"/>
  <c r="AJ1055" i="1"/>
  <c r="AH1055" i="1"/>
  <c r="AC1055" i="1"/>
  <c r="AD1055" i="1"/>
  <c r="AL1055" i="1"/>
  <c r="AG1055" i="1"/>
  <c r="AN1055" i="1"/>
  <c r="AF1055" i="1"/>
  <c r="AM1055" i="1"/>
  <c r="AK1055" i="1"/>
  <c r="AE1055" i="1"/>
  <c r="AI1055" i="1"/>
  <c r="AB1057" i="1" l="1"/>
  <c r="AJ1056" i="1"/>
  <c r="AH1056" i="1"/>
  <c r="AC1056" i="1"/>
  <c r="AD1056" i="1"/>
  <c r="AK1056" i="1"/>
  <c r="AI1056" i="1"/>
  <c r="AF1056" i="1"/>
  <c r="AE1056" i="1"/>
  <c r="AG1056" i="1"/>
  <c r="AN1056" i="1"/>
  <c r="AL1056" i="1"/>
  <c r="AM1056" i="1"/>
  <c r="AB1058" i="1" l="1"/>
  <c r="AJ1057" i="1"/>
  <c r="AH1057" i="1"/>
  <c r="AC1057" i="1"/>
  <c r="AD1057" i="1"/>
  <c r="AE1057" i="1"/>
  <c r="AL1057" i="1"/>
  <c r="AG1057" i="1"/>
  <c r="AN1057" i="1"/>
  <c r="AK1057" i="1"/>
  <c r="AI1057" i="1"/>
  <c r="AM1057" i="1"/>
  <c r="AF1057" i="1"/>
  <c r="AB1059" i="1" l="1"/>
  <c r="AJ1058" i="1"/>
  <c r="AH1058" i="1"/>
  <c r="AC1058" i="1"/>
  <c r="AG1058" i="1"/>
  <c r="AN1058" i="1"/>
  <c r="AK1058" i="1"/>
  <c r="AI1058" i="1"/>
  <c r="AD1058" i="1"/>
  <c r="AE1058" i="1"/>
  <c r="AF1058" i="1"/>
  <c r="AL1058" i="1"/>
  <c r="AM1058" i="1"/>
  <c r="AB1060" i="1" l="1"/>
  <c r="AJ1059" i="1"/>
  <c r="AH1059" i="1"/>
  <c r="AC1059" i="1"/>
  <c r="AD1059" i="1"/>
  <c r="AL1059" i="1"/>
  <c r="AG1059" i="1"/>
  <c r="AK1059" i="1"/>
  <c r="AI1059" i="1"/>
  <c r="AF1059" i="1"/>
  <c r="AM1059" i="1"/>
  <c r="AE1059" i="1"/>
  <c r="AN1059" i="1"/>
  <c r="AB1061" i="1" l="1"/>
  <c r="AJ1060" i="1"/>
  <c r="AH1060" i="1"/>
  <c r="AC1060" i="1"/>
  <c r="AD1060" i="1"/>
  <c r="AE1060" i="1"/>
  <c r="AG1060" i="1"/>
  <c r="AN1060" i="1"/>
  <c r="AK1060" i="1"/>
  <c r="AL1060" i="1"/>
  <c r="AF1060" i="1"/>
  <c r="AM1060" i="1"/>
  <c r="AI1060" i="1"/>
  <c r="AB1062" i="1" l="1"/>
  <c r="AJ1061" i="1"/>
  <c r="AH1061" i="1"/>
  <c r="AC1061" i="1"/>
  <c r="AD1061" i="1"/>
  <c r="AL1061" i="1"/>
  <c r="AG1061" i="1"/>
  <c r="AN1061" i="1"/>
  <c r="AK1061" i="1"/>
  <c r="AF1061" i="1"/>
  <c r="AM1061" i="1"/>
  <c r="AE1061" i="1"/>
  <c r="AI1061" i="1"/>
  <c r="AB1063" i="1" l="1"/>
  <c r="AJ1062" i="1"/>
  <c r="AH1062" i="1"/>
  <c r="AC1062" i="1"/>
  <c r="AD1062" i="1"/>
  <c r="AE1062" i="1"/>
  <c r="AL1062" i="1"/>
  <c r="AG1062" i="1"/>
  <c r="AK1062" i="1"/>
  <c r="AI1062" i="1"/>
  <c r="AN1062" i="1"/>
  <c r="AM1062" i="1"/>
  <c r="AF1062" i="1"/>
  <c r="AB1064" i="1" l="1"/>
  <c r="AJ1063" i="1"/>
  <c r="AH1063" i="1"/>
  <c r="AC1063" i="1"/>
  <c r="AD1063" i="1"/>
  <c r="AE1063" i="1"/>
  <c r="AL1063" i="1"/>
  <c r="AK1063" i="1"/>
  <c r="AF1063" i="1"/>
  <c r="AN1063" i="1"/>
  <c r="AI1063" i="1"/>
  <c r="AM1063" i="1"/>
  <c r="AG1063" i="1"/>
  <c r="AB1065" i="1" l="1"/>
  <c r="AJ1064" i="1"/>
  <c r="AH1064" i="1"/>
  <c r="AC1064" i="1"/>
  <c r="AD1064" i="1"/>
  <c r="AE1064" i="1"/>
  <c r="AG1064" i="1"/>
  <c r="AK1064" i="1"/>
  <c r="AI1064" i="1"/>
  <c r="AF1064" i="1"/>
  <c r="AM1064" i="1"/>
  <c r="AL1064" i="1"/>
  <c r="AN1064" i="1"/>
  <c r="AB1066" i="1" l="1"/>
  <c r="AJ1065" i="1"/>
  <c r="AH1065" i="1"/>
  <c r="AC1065" i="1"/>
  <c r="AE1065" i="1"/>
  <c r="AL1065" i="1"/>
  <c r="AG1065" i="1"/>
  <c r="AN1065" i="1"/>
  <c r="AF1065" i="1"/>
  <c r="AD1065" i="1"/>
  <c r="AK1065" i="1"/>
  <c r="AI1065" i="1"/>
  <c r="AM1065" i="1"/>
  <c r="AB1067" i="1" l="1"/>
  <c r="AJ1066" i="1"/>
  <c r="AH1066" i="1"/>
  <c r="AC1066" i="1"/>
  <c r="AD1066" i="1"/>
  <c r="AE1066" i="1"/>
  <c r="AL1066" i="1"/>
  <c r="AN1066" i="1"/>
  <c r="AK1066" i="1"/>
  <c r="AF1066" i="1"/>
  <c r="AM1066" i="1"/>
  <c r="AG1066" i="1"/>
  <c r="AI1066" i="1"/>
  <c r="AB1068" i="1" l="1"/>
  <c r="AJ1067" i="1"/>
  <c r="AH1067" i="1"/>
  <c r="AC1067" i="1"/>
  <c r="AD1067" i="1"/>
  <c r="AG1067" i="1"/>
  <c r="AM1067" i="1"/>
  <c r="AL1067" i="1"/>
  <c r="AN1067" i="1"/>
  <c r="AI1067" i="1"/>
  <c r="AE1067" i="1"/>
  <c r="AK1067" i="1"/>
  <c r="AF1067" i="1"/>
  <c r="AB1069" i="1" l="1"/>
  <c r="AJ1068" i="1"/>
  <c r="AH1068" i="1"/>
  <c r="AC1068" i="1"/>
  <c r="AD1068" i="1"/>
  <c r="AE1068" i="1"/>
  <c r="AL1068" i="1"/>
  <c r="AG1068" i="1"/>
  <c r="AN1068" i="1"/>
  <c r="AI1068" i="1"/>
  <c r="AF1068" i="1"/>
  <c r="AK1068" i="1"/>
  <c r="AM1068" i="1"/>
  <c r="AB1070" i="1" l="1"/>
  <c r="AJ1069" i="1"/>
  <c r="AH1069" i="1"/>
  <c r="AC1069" i="1"/>
  <c r="AD1069" i="1"/>
  <c r="AE1069" i="1"/>
  <c r="AL1069" i="1"/>
  <c r="AG1069" i="1"/>
  <c r="AF1069" i="1"/>
  <c r="AM1069" i="1"/>
  <c r="AK1069" i="1"/>
  <c r="AI1069" i="1"/>
  <c r="AN1069" i="1"/>
  <c r="AB1071" i="1" l="1"/>
  <c r="AJ1070" i="1"/>
  <c r="AH1070" i="1"/>
  <c r="AC1070" i="1"/>
  <c r="AE1070" i="1"/>
  <c r="AL1070" i="1"/>
  <c r="AG1070" i="1"/>
  <c r="AD1070" i="1"/>
  <c r="AK1070" i="1"/>
  <c r="AI1070" i="1"/>
  <c r="AF1070" i="1"/>
  <c r="AN1070" i="1"/>
  <c r="AM1070" i="1"/>
  <c r="AB1072" i="1" l="1"/>
  <c r="AJ1071" i="1"/>
  <c r="AH1071" i="1"/>
  <c r="AC1071" i="1"/>
  <c r="AF1071" i="1"/>
  <c r="AD1071" i="1"/>
  <c r="AE1071" i="1"/>
  <c r="AL1071" i="1"/>
  <c r="AN1071" i="1"/>
  <c r="AI1071" i="1"/>
  <c r="AM1071" i="1"/>
  <c r="AG1071" i="1"/>
  <c r="AK1071" i="1"/>
  <c r="AB1073" i="1" l="1"/>
  <c r="AJ1072" i="1"/>
  <c r="AH1072" i="1"/>
  <c r="AC1072" i="1"/>
  <c r="AE1072" i="1"/>
  <c r="AF1072" i="1"/>
  <c r="AD1072" i="1"/>
  <c r="AL1072" i="1"/>
  <c r="AN1072" i="1"/>
  <c r="AK1072" i="1"/>
  <c r="AI1072" i="1"/>
  <c r="AG1072" i="1"/>
  <c r="AM1072" i="1"/>
  <c r="AB1074" i="1" l="1"/>
  <c r="AJ1073" i="1"/>
  <c r="AH1073" i="1"/>
  <c r="AC1073" i="1"/>
  <c r="AD1073" i="1"/>
  <c r="AE1073" i="1"/>
  <c r="AL1073" i="1"/>
  <c r="AK1073" i="1"/>
  <c r="AI1073" i="1"/>
  <c r="AM1073" i="1"/>
  <c r="AG1073" i="1"/>
  <c r="AF1073" i="1"/>
  <c r="AN1073" i="1"/>
  <c r="AB1075" i="1" l="1"/>
  <c r="AJ1074" i="1"/>
  <c r="AH1074" i="1"/>
  <c r="AC1074" i="1"/>
  <c r="AD1074" i="1"/>
  <c r="AE1074" i="1"/>
  <c r="AL1074" i="1"/>
  <c r="AN1074" i="1"/>
  <c r="AF1074" i="1"/>
  <c r="AG1074" i="1"/>
  <c r="AI1074" i="1"/>
  <c r="AM1074" i="1"/>
  <c r="AK1074" i="1"/>
  <c r="AB1076" i="1" l="1"/>
  <c r="AJ1075" i="1"/>
  <c r="AH1075" i="1"/>
  <c r="AC1075" i="1"/>
  <c r="AD1075" i="1"/>
  <c r="AE1075" i="1"/>
  <c r="AG1075" i="1"/>
  <c r="AN1075" i="1"/>
  <c r="AK1075" i="1"/>
  <c r="AF1075" i="1"/>
  <c r="AM1075" i="1"/>
  <c r="AL1075" i="1"/>
  <c r="AI1075" i="1"/>
  <c r="AB1077" i="1" l="1"/>
  <c r="AJ1076" i="1"/>
  <c r="AH1076" i="1"/>
  <c r="AC1076" i="1"/>
  <c r="AE1076" i="1"/>
  <c r="AL1076" i="1"/>
  <c r="AK1076" i="1"/>
  <c r="AD1076" i="1"/>
  <c r="AG1076" i="1"/>
  <c r="AN1076" i="1"/>
  <c r="AI1076" i="1"/>
  <c r="AM1076" i="1"/>
  <c r="AF1076" i="1"/>
  <c r="AB1078" i="1" l="1"/>
  <c r="AJ1077" i="1"/>
  <c r="AH1077" i="1"/>
  <c r="AC1077" i="1"/>
  <c r="AD1077" i="1"/>
  <c r="AE1077" i="1"/>
  <c r="AN1077" i="1"/>
  <c r="AM1077" i="1"/>
  <c r="AL1077" i="1"/>
  <c r="AG1077" i="1"/>
  <c r="AK1077" i="1"/>
  <c r="AI1077" i="1"/>
  <c r="AF1077" i="1"/>
  <c r="AB1079" i="1" l="1"/>
  <c r="AJ1078" i="1"/>
  <c r="AH1078" i="1"/>
  <c r="AC1078" i="1"/>
  <c r="AD1078" i="1"/>
  <c r="AE1078" i="1"/>
  <c r="AL1078" i="1"/>
  <c r="AG1078" i="1"/>
  <c r="AN1078" i="1"/>
  <c r="AK1078" i="1"/>
  <c r="AI1078" i="1"/>
  <c r="AM1078" i="1"/>
  <c r="AF1078" i="1"/>
  <c r="AB1080" i="1" l="1"/>
  <c r="AJ1079" i="1"/>
  <c r="AH1079" i="1"/>
  <c r="AC1079" i="1"/>
  <c r="AD1079" i="1"/>
  <c r="AE1079" i="1"/>
  <c r="AG1079" i="1"/>
  <c r="AN1079" i="1"/>
  <c r="AK1079" i="1"/>
  <c r="AI1079" i="1"/>
  <c r="AL1079" i="1"/>
  <c r="AF1079" i="1"/>
  <c r="AM1079" i="1"/>
  <c r="AB1081" i="1" l="1"/>
  <c r="AJ1080" i="1"/>
  <c r="AH1080" i="1"/>
  <c r="AC1080" i="1"/>
  <c r="AD1080" i="1"/>
  <c r="AE1080" i="1"/>
  <c r="AG1080" i="1"/>
  <c r="AN1080" i="1"/>
  <c r="AK1080" i="1"/>
  <c r="AI1080" i="1"/>
  <c r="AL1080" i="1"/>
  <c r="AF1080" i="1"/>
  <c r="AM1080" i="1"/>
  <c r="AB1082" i="1" l="1"/>
  <c r="AJ1081" i="1"/>
  <c r="AH1081" i="1"/>
  <c r="AC1081" i="1"/>
  <c r="AD1081" i="1"/>
  <c r="AE1081" i="1"/>
  <c r="AG1081" i="1"/>
  <c r="AI1081" i="1"/>
  <c r="AL1081" i="1"/>
  <c r="AN1081" i="1"/>
  <c r="AM1081" i="1"/>
  <c r="AK1081" i="1"/>
  <c r="AF1081" i="1"/>
  <c r="AB1083" i="1" l="1"/>
  <c r="AJ1082" i="1"/>
  <c r="AH1082" i="1"/>
  <c r="AC1082" i="1"/>
  <c r="AD1082" i="1"/>
  <c r="AE1082" i="1"/>
  <c r="AG1082" i="1"/>
  <c r="AN1082" i="1"/>
  <c r="AF1082" i="1"/>
  <c r="AL1082" i="1"/>
  <c r="AI1082" i="1"/>
  <c r="AK1082" i="1"/>
  <c r="AM1082" i="1"/>
  <c r="AB1084" i="1" l="1"/>
  <c r="AJ1083" i="1"/>
  <c r="AH1083" i="1"/>
  <c r="AC1083" i="1"/>
  <c r="AD1083" i="1"/>
  <c r="AE1083" i="1"/>
  <c r="AL1083" i="1"/>
  <c r="AG1083" i="1"/>
  <c r="AN1083" i="1"/>
  <c r="AK1083" i="1"/>
  <c r="AF1083" i="1"/>
  <c r="AI1083" i="1"/>
  <c r="AM1083" i="1"/>
  <c r="AB1085" i="1" l="1"/>
  <c r="AJ1084" i="1"/>
  <c r="AH1084" i="1"/>
  <c r="AC1084" i="1"/>
  <c r="AD1084" i="1"/>
  <c r="AE1084" i="1"/>
  <c r="AL1084" i="1"/>
  <c r="AN1084" i="1"/>
  <c r="AK1084" i="1"/>
  <c r="AF1084" i="1"/>
  <c r="AM1084" i="1"/>
  <c r="AG1084" i="1"/>
  <c r="AI1084" i="1"/>
  <c r="AB1086" i="1" l="1"/>
  <c r="AJ1085" i="1"/>
  <c r="AH1085" i="1"/>
  <c r="AC1085" i="1"/>
  <c r="AD1085" i="1"/>
  <c r="AE1085" i="1"/>
  <c r="AL1085" i="1"/>
  <c r="AK1085" i="1"/>
  <c r="AI1085" i="1"/>
  <c r="AM1085" i="1"/>
  <c r="AG1085" i="1"/>
  <c r="AF1085" i="1"/>
  <c r="AN1085" i="1"/>
  <c r="AB1087" i="1" l="1"/>
  <c r="AJ1086" i="1"/>
  <c r="AH1086" i="1"/>
  <c r="AC1086" i="1"/>
  <c r="AD1086" i="1"/>
  <c r="AE1086" i="1"/>
  <c r="AL1086" i="1"/>
  <c r="AN1086" i="1"/>
  <c r="AF1086" i="1"/>
  <c r="AG1086" i="1"/>
  <c r="AI1086" i="1"/>
  <c r="AK1086" i="1"/>
  <c r="AM1086" i="1"/>
  <c r="AB1088" i="1" l="1"/>
  <c r="AJ1087" i="1"/>
  <c r="AH1087" i="1"/>
  <c r="AC1087" i="1"/>
  <c r="AD1087" i="1"/>
  <c r="AE1087" i="1"/>
  <c r="AL1087" i="1"/>
  <c r="AN1087" i="1"/>
  <c r="AI1087" i="1"/>
  <c r="AM1087" i="1"/>
  <c r="AG1087" i="1"/>
  <c r="AF1087" i="1"/>
  <c r="AK1087" i="1"/>
  <c r="AB1089" i="1" l="1"/>
  <c r="AJ1088" i="1"/>
  <c r="AH1088" i="1"/>
  <c r="AC1088" i="1"/>
  <c r="AD1088" i="1"/>
  <c r="AL1088" i="1"/>
  <c r="AG1088" i="1"/>
  <c r="AN1088" i="1"/>
  <c r="AE1088" i="1"/>
  <c r="AK1088" i="1"/>
  <c r="AF1088" i="1"/>
  <c r="AI1088" i="1"/>
  <c r="AM1088" i="1"/>
  <c r="AB1090" i="1" l="1"/>
  <c r="AJ1089" i="1"/>
  <c r="AH1089" i="1"/>
  <c r="AC1089" i="1"/>
  <c r="AD1089" i="1"/>
  <c r="AE1089" i="1"/>
  <c r="AG1089" i="1"/>
  <c r="AK1089" i="1"/>
  <c r="AF1089" i="1"/>
  <c r="AL1089" i="1"/>
  <c r="AI1089" i="1"/>
  <c r="AM1089" i="1"/>
  <c r="AN1089" i="1"/>
  <c r="AB1091" i="1" l="1"/>
  <c r="AJ1090" i="1"/>
  <c r="AH1090" i="1"/>
  <c r="AC1090" i="1"/>
  <c r="AD1090" i="1"/>
  <c r="AE1090" i="1"/>
  <c r="AL1090" i="1"/>
  <c r="AN1090" i="1"/>
  <c r="AI1090" i="1"/>
  <c r="AM1090" i="1"/>
  <c r="AG1090" i="1"/>
  <c r="AF1090" i="1"/>
  <c r="AK1090" i="1"/>
  <c r="AB1092" i="1" l="1"/>
  <c r="AJ1091" i="1"/>
  <c r="AH1091" i="1"/>
  <c r="AC1091" i="1"/>
  <c r="AD1091" i="1"/>
  <c r="AE1091" i="1"/>
  <c r="AL1091" i="1"/>
  <c r="AN1091" i="1"/>
  <c r="AF1091" i="1"/>
  <c r="AM1091" i="1"/>
  <c r="AG1091" i="1"/>
  <c r="AI1091" i="1"/>
  <c r="AK1091" i="1"/>
  <c r="AB1093" i="1" l="1"/>
  <c r="AJ1092" i="1"/>
  <c r="AH1092" i="1"/>
  <c r="AC1092" i="1"/>
  <c r="AD1092" i="1"/>
  <c r="AE1092" i="1"/>
  <c r="AL1092" i="1"/>
  <c r="AN1092" i="1"/>
  <c r="AI1092" i="1"/>
  <c r="AM1092" i="1"/>
  <c r="AG1092" i="1"/>
  <c r="AF1092" i="1"/>
  <c r="AK1092" i="1"/>
  <c r="AB1094" i="1" l="1"/>
  <c r="AJ1093" i="1"/>
  <c r="AH1093" i="1"/>
  <c r="AC1093" i="1"/>
  <c r="AD1093" i="1"/>
  <c r="AE1093" i="1"/>
  <c r="AL1093" i="1"/>
  <c r="AG1093" i="1"/>
  <c r="AN1093" i="1"/>
  <c r="AF1093" i="1"/>
  <c r="AI1093" i="1"/>
  <c r="AK1093" i="1"/>
  <c r="AM1093" i="1"/>
  <c r="AB1095" i="1" l="1"/>
  <c r="AJ1094" i="1"/>
  <c r="AH1094" i="1"/>
  <c r="AC1094" i="1"/>
  <c r="AD1094" i="1"/>
  <c r="AE1094" i="1"/>
  <c r="AL1094" i="1"/>
  <c r="AK1094" i="1"/>
  <c r="AI1094" i="1"/>
  <c r="AG1094" i="1"/>
  <c r="AF1094" i="1"/>
  <c r="AM1094" i="1"/>
  <c r="AN1094" i="1"/>
  <c r="AB1096" i="1" l="1"/>
  <c r="AJ1095" i="1"/>
  <c r="AH1095" i="1"/>
  <c r="AC1095" i="1"/>
  <c r="AD1095" i="1"/>
  <c r="AE1095" i="1"/>
  <c r="AL1095" i="1"/>
  <c r="AN1095" i="1"/>
  <c r="AF1095" i="1"/>
  <c r="AG1095" i="1"/>
  <c r="AI1095" i="1"/>
  <c r="AK1095" i="1"/>
  <c r="AM1095" i="1"/>
  <c r="AB1097" i="1" l="1"/>
  <c r="AJ1096" i="1"/>
  <c r="AH1096" i="1"/>
  <c r="AC1096" i="1"/>
  <c r="AD1096" i="1"/>
  <c r="AL1096" i="1"/>
  <c r="AN1096" i="1"/>
  <c r="AK1096" i="1"/>
  <c r="AI1096" i="1"/>
  <c r="AF1096" i="1"/>
  <c r="AE1096" i="1"/>
  <c r="AG1096" i="1"/>
  <c r="AM1096" i="1"/>
  <c r="AB1098" i="1" l="1"/>
  <c r="AJ1097" i="1"/>
  <c r="AH1097" i="1"/>
  <c r="AC1097" i="1"/>
  <c r="AD1097" i="1"/>
  <c r="AE1097" i="1"/>
  <c r="AL1097" i="1"/>
  <c r="AN1097" i="1"/>
  <c r="AI1097" i="1"/>
  <c r="AM1097" i="1"/>
  <c r="AG1097" i="1"/>
  <c r="AF1097" i="1"/>
  <c r="AK1097" i="1"/>
  <c r="AB1099" i="1" l="1"/>
  <c r="AJ1098" i="1"/>
  <c r="AH1098" i="1"/>
  <c r="AC1098" i="1"/>
  <c r="AD1098" i="1"/>
  <c r="AE1098" i="1"/>
  <c r="AL1098" i="1"/>
  <c r="AN1098" i="1"/>
  <c r="AF1098" i="1"/>
  <c r="AM1098" i="1"/>
  <c r="AG1098" i="1"/>
  <c r="AI1098" i="1"/>
  <c r="AK1098" i="1"/>
  <c r="AB1100" i="1" l="1"/>
  <c r="AJ1099" i="1"/>
  <c r="AH1099" i="1"/>
  <c r="AC1099" i="1"/>
  <c r="AD1099" i="1"/>
  <c r="AE1099" i="1"/>
  <c r="AG1099" i="1"/>
  <c r="AK1099" i="1"/>
  <c r="AM1099" i="1"/>
  <c r="AL1099" i="1"/>
  <c r="AN1099" i="1"/>
  <c r="AI1099" i="1"/>
  <c r="AF1099" i="1"/>
  <c r="AB1101" i="1" l="1"/>
  <c r="AJ1100" i="1"/>
  <c r="AH1100" i="1"/>
  <c r="AC1100" i="1"/>
  <c r="AD1100" i="1"/>
  <c r="AE1100" i="1"/>
  <c r="AL1100" i="1"/>
  <c r="AG1100" i="1"/>
  <c r="AN1100" i="1"/>
  <c r="AI1100" i="1"/>
  <c r="AF1100" i="1"/>
  <c r="AM1100" i="1"/>
  <c r="AK1100" i="1"/>
  <c r="AB1102" i="1" l="1"/>
  <c r="AJ1101" i="1"/>
  <c r="AH1101" i="1"/>
  <c r="AC1101" i="1"/>
  <c r="AD1101" i="1"/>
  <c r="AE1101" i="1"/>
  <c r="AL1101" i="1"/>
  <c r="AG1101" i="1"/>
  <c r="AN1101" i="1"/>
  <c r="AK1101" i="1"/>
  <c r="AF1101" i="1"/>
  <c r="AM1101" i="1"/>
  <c r="AI1101" i="1"/>
  <c r="AB1103" i="1" l="1"/>
  <c r="AJ1102" i="1"/>
  <c r="AH1102" i="1"/>
  <c r="AC1102" i="1"/>
  <c r="AD1102" i="1"/>
  <c r="AE1102" i="1"/>
  <c r="AL1102" i="1"/>
  <c r="AN1102" i="1"/>
  <c r="AK1102" i="1"/>
  <c r="AI1102" i="1"/>
  <c r="AM1102" i="1"/>
  <c r="AG1102" i="1"/>
  <c r="AF1102" i="1"/>
  <c r="AB1104" i="1" l="1"/>
  <c r="AJ1103" i="1"/>
  <c r="AH1103" i="1"/>
  <c r="AC1103" i="1"/>
  <c r="AD1103" i="1"/>
  <c r="AE1103" i="1"/>
  <c r="AG1103" i="1"/>
  <c r="AK1103" i="1"/>
  <c r="AI1103" i="1"/>
  <c r="AM1103" i="1"/>
  <c r="AL1103" i="1"/>
  <c r="AN1103" i="1"/>
  <c r="AF1103" i="1"/>
  <c r="AB1105" i="1" l="1"/>
  <c r="AJ1104" i="1"/>
  <c r="AH1104" i="1"/>
  <c r="AC1104" i="1"/>
  <c r="AD1104" i="1"/>
  <c r="AG1104" i="1"/>
  <c r="AF1104" i="1"/>
  <c r="AM1104" i="1"/>
  <c r="AE1104" i="1"/>
  <c r="AL1104" i="1"/>
  <c r="AN1104" i="1"/>
  <c r="AK1104" i="1"/>
  <c r="AI1104" i="1"/>
  <c r="AB1106" i="1" l="1"/>
  <c r="AJ1105" i="1"/>
  <c r="AH1105" i="1"/>
  <c r="AC1105" i="1"/>
  <c r="AD1105" i="1"/>
  <c r="AG1105" i="1"/>
  <c r="AN1105" i="1"/>
  <c r="AK1105" i="1"/>
  <c r="AI1105" i="1"/>
  <c r="AE1105" i="1"/>
  <c r="AM1105" i="1"/>
  <c r="AL1105" i="1"/>
  <c r="AF1105" i="1"/>
  <c r="AB1107" i="1" l="1"/>
  <c r="AJ1106" i="1"/>
  <c r="AH1106" i="1"/>
  <c r="AC1106" i="1"/>
  <c r="AD1106" i="1"/>
  <c r="AE1106" i="1"/>
  <c r="AL1106" i="1"/>
  <c r="AG1106" i="1"/>
  <c r="AN1106" i="1"/>
  <c r="AK1106" i="1"/>
  <c r="AI1106" i="1"/>
  <c r="AF1106" i="1"/>
  <c r="AM1106" i="1"/>
  <c r="AB1108" i="1" l="1"/>
  <c r="AJ1107" i="1"/>
  <c r="AH1107" i="1"/>
  <c r="AC1107" i="1"/>
  <c r="AL1107" i="1"/>
  <c r="AG1107" i="1"/>
  <c r="AN1107" i="1"/>
  <c r="AM1107" i="1"/>
  <c r="AD1107" i="1"/>
  <c r="AE1107" i="1"/>
  <c r="AK1107" i="1"/>
  <c r="AI1107" i="1"/>
  <c r="AF1107" i="1"/>
  <c r="AB1109" i="1" l="1"/>
  <c r="AJ1108" i="1"/>
  <c r="AH1108" i="1"/>
  <c r="AC1108" i="1"/>
  <c r="AD1108" i="1"/>
  <c r="AL1108" i="1"/>
  <c r="AN1108" i="1"/>
  <c r="AK1108" i="1"/>
  <c r="AF1108" i="1"/>
  <c r="AE1108" i="1"/>
  <c r="AI1108" i="1"/>
  <c r="AM1108" i="1"/>
  <c r="AG1108" i="1"/>
  <c r="AB1110" i="1" l="1"/>
  <c r="AJ1109" i="1"/>
  <c r="AH1109" i="1"/>
  <c r="AC1109" i="1"/>
  <c r="AD1109" i="1"/>
  <c r="AE1109" i="1"/>
  <c r="AL1109" i="1"/>
  <c r="AN1109" i="1"/>
  <c r="AK1109" i="1"/>
  <c r="AI1109" i="1"/>
  <c r="AF1109" i="1"/>
  <c r="AG1109" i="1"/>
  <c r="AM1109" i="1"/>
  <c r="AB1111" i="1" l="1"/>
  <c r="AJ1110" i="1"/>
  <c r="AH1110" i="1"/>
  <c r="AC1110" i="1"/>
  <c r="AG1110" i="1"/>
  <c r="AN1110" i="1"/>
  <c r="AD1110" i="1"/>
  <c r="AE1110" i="1"/>
  <c r="AK1110" i="1"/>
  <c r="AF1110" i="1"/>
  <c r="AL1110" i="1"/>
  <c r="AI1110" i="1"/>
  <c r="AM1110" i="1"/>
  <c r="AB1112" i="1" l="1"/>
  <c r="AJ1111" i="1"/>
  <c r="AH1111" i="1"/>
  <c r="AC1111" i="1"/>
  <c r="AD1111" i="1"/>
  <c r="AE1111" i="1"/>
  <c r="AL1111" i="1"/>
  <c r="AN1111" i="1"/>
  <c r="AF1111" i="1"/>
  <c r="AG1111" i="1"/>
  <c r="AI1111" i="1"/>
  <c r="AM1111" i="1"/>
  <c r="AK1111" i="1"/>
  <c r="AB1113" i="1" l="1"/>
  <c r="AJ1112" i="1"/>
  <c r="AH1112" i="1"/>
  <c r="AC1112" i="1"/>
  <c r="AD1112" i="1"/>
  <c r="AE1112" i="1"/>
  <c r="AL1112" i="1"/>
  <c r="AK1112" i="1"/>
  <c r="AI1112" i="1"/>
  <c r="AG1112" i="1"/>
  <c r="AF1112" i="1"/>
  <c r="AM1112" i="1"/>
  <c r="AN1112" i="1"/>
  <c r="AB1114" i="1" l="1"/>
  <c r="AJ1113" i="1"/>
  <c r="AH1113" i="1"/>
  <c r="AC1113" i="1"/>
  <c r="AD1113" i="1"/>
  <c r="AE1113" i="1"/>
  <c r="AL1113" i="1"/>
  <c r="AN1113" i="1"/>
  <c r="AK1113" i="1"/>
  <c r="AI1113" i="1"/>
  <c r="AG1113" i="1"/>
  <c r="AF1113" i="1"/>
  <c r="AM1113" i="1"/>
  <c r="AB1115" i="1" l="1"/>
  <c r="AJ1114" i="1"/>
  <c r="AH1114" i="1"/>
  <c r="AC1114" i="1"/>
  <c r="AD1114" i="1"/>
  <c r="AE1114" i="1"/>
  <c r="AN1114" i="1"/>
  <c r="AI1114" i="1"/>
  <c r="AM1114" i="1"/>
  <c r="AL1114" i="1"/>
  <c r="AG1114" i="1"/>
  <c r="AF1114" i="1"/>
  <c r="AK1114" i="1"/>
  <c r="AB1116" i="1" l="1"/>
  <c r="AJ1115" i="1"/>
  <c r="AH1115" i="1"/>
  <c r="AC1115" i="1"/>
  <c r="AD1115" i="1"/>
  <c r="AE1115" i="1"/>
  <c r="AL1115" i="1"/>
  <c r="AG1115" i="1"/>
  <c r="AN1115" i="1"/>
  <c r="AK1115" i="1"/>
  <c r="AI1115" i="1"/>
  <c r="AF1115" i="1"/>
  <c r="AM1115" i="1"/>
  <c r="AB1117" i="1" l="1"/>
  <c r="AJ1116" i="1"/>
  <c r="AH1116" i="1"/>
  <c r="AC1116" i="1"/>
  <c r="AL1116" i="1"/>
  <c r="AG1116" i="1"/>
  <c r="AN1116" i="1"/>
  <c r="AD1116" i="1"/>
  <c r="AI1116" i="1"/>
  <c r="AM1116" i="1"/>
  <c r="AE1116" i="1"/>
  <c r="AK1116" i="1"/>
  <c r="AF1116" i="1"/>
  <c r="AB1118" i="1" l="1"/>
  <c r="AJ1117" i="1"/>
  <c r="AH1117" i="1"/>
  <c r="AC1117" i="1"/>
  <c r="AD1117" i="1"/>
  <c r="AE1117" i="1"/>
  <c r="AL1117" i="1"/>
  <c r="AK1117" i="1"/>
  <c r="AF1117" i="1"/>
  <c r="AG1117" i="1"/>
  <c r="AI1117" i="1"/>
  <c r="AN1117" i="1"/>
  <c r="AM1117" i="1"/>
  <c r="AB1119" i="1" l="1"/>
  <c r="AJ1118" i="1"/>
  <c r="AH1118" i="1"/>
  <c r="AC1118" i="1"/>
  <c r="AD1118" i="1"/>
  <c r="AE1118" i="1"/>
  <c r="AG1118" i="1"/>
  <c r="AN1118" i="1"/>
  <c r="AL1118" i="1"/>
  <c r="AI1118" i="1"/>
  <c r="AM1118" i="1"/>
  <c r="AK1118" i="1"/>
  <c r="AF1118" i="1"/>
  <c r="AB1120" i="1" l="1"/>
  <c r="AJ1119" i="1"/>
  <c r="AH1119" i="1"/>
  <c r="AC1119" i="1"/>
  <c r="AE1119" i="1"/>
  <c r="AL1119" i="1"/>
  <c r="AG1119" i="1"/>
  <c r="AD1119" i="1"/>
  <c r="AK1119" i="1"/>
  <c r="AI1119" i="1"/>
  <c r="AM1119" i="1"/>
  <c r="AN1119" i="1"/>
  <c r="AF1119" i="1"/>
  <c r="AB1121" i="1" l="1"/>
  <c r="AJ1120" i="1"/>
  <c r="AH1120" i="1"/>
  <c r="AC1120" i="1"/>
  <c r="AD1120" i="1"/>
  <c r="AE1120" i="1"/>
  <c r="AL1120" i="1"/>
  <c r="AN1120" i="1"/>
  <c r="AI1120" i="1"/>
  <c r="AG1120" i="1"/>
  <c r="AF1120" i="1"/>
  <c r="AK1120" i="1"/>
  <c r="AM1120" i="1"/>
  <c r="AB1122" i="1" l="1"/>
  <c r="AJ1121" i="1"/>
  <c r="AH1121" i="1"/>
  <c r="AC1121" i="1"/>
  <c r="AD1121" i="1"/>
  <c r="AE1121" i="1"/>
  <c r="AL1121" i="1"/>
  <c r="AN1121" i="1"/>
  <c r="AI1121" i="1"/>
  <c r="AG1121" i="1"/>
  <c r="AF1121" i="1"/>
  <c r="AM1121" i="1"/>
  <c r="AK1121" i="1"/>
  <c r="AB1123" i="1" l="1"/>
  <c r="AJ1122" i="1"/>
  <c r="AH1122" i="1"/>
  <c r="AC1122" i="1"/>
  <c r="AD1122" i="1"/>
  <c r="AE1122" i="1"/>
  <c r="AK1122" i="1"/>
  <c r="AF1122" i="1"/>
  <c r="AM1122" i="1"/>
  <c r="AL1122" i="1"/>
  <c r="AN1122" i="1"/>
  <c r="AG1122" i="1"/>
  <c r="AI1122" i="1"/>
  <c r="AB1124" i="1" l="1"/>
  <c r="AJ1123" i="1"/>
  <c r="AH1123" i="1"/>
  <c r="AC1123" i="1"/>
  <c r="AD1123" i="1"/>
  <c r="AL1123" i="1"/>
  <c r="AN1123" i="1"/>
  <c r="AE1123" i="1"/>
  <c r="AK1123" i="1"/>
  <c r="AI1123" i="1"/>
  <c r="AF1123" i="1"/>
  <c r="AM1123" i="1"/>
  <c r="AG1123" i="1"/>
  <c r="AB1125" i="1" l="1"/>
  <c r="AJ1124" i="1"/>
  <c r="AH1124" i="1"/>
  <c r="AC1124" i="1"/>
  <c r="AD1124" i="1"/>
  <c r="AE1124" i="1"/>
  <c r="AG1124" i="1"/>
  <c r="AN1124" i="1"/>
  <c r="AF1124" i="1"/>
  <c r="AL1124" i="1"/>
  <c r="AI1124" i="1"/>
  <c r="AK1124" i="1"/>
  <c r="AM1124" i="1"/>
  <c r="AB1126" i="1" l="1"/>
  <c r="AJ1125" i="1"/>
  <c r="AH1125" i="1"/>
  <c r="AC1125" i="1"/>
  <c r="AD1125" i="1"/>
  <c r="AE1125" i="1"/>
  <c r="AG1125" i="1"/>
  <c r="AL1125" i="1"/>
  <c r="AN1125" i="1"/>
  <c r="AI1125" i="1"/>
  <c r="AF1125" i="1"/>
  <c r="AK1125" i="1"/>
  <c r="AM1125" i="1"/>
  <c r="AB1127" i="1" l="1"/>
  <c r="AJ1126" i="1"/>
  <c r="AH1126" i="1"/>
  <c r="AC1126" i="1"/>
  <c r="AD1126" i="1"/>
  <c r="AE1126" i="1"/>
  <c r="AG1126" i="1"/>
  <c r="AN1126" i="1"/>
  <c r="AK1126" i="1"/>
  <c r="AM1126" i="1"/>
  <c r="AL1126" i="1"/>
  <c r="AI1126" i="1"/>
  <c r="AF1126" i="1"/>
  <c r="AB1128" i="1" l="1"/>
  <c r="AJ1127" i="1"/>
  <c r="AH1127" i="1"/>
  <c r="AC1127" i="1"/>
  <c r="AD1127" i="1"/>
  <c r="AE1127" i="1"/>
  <c r="AN1127" i="1"/>
  <c r="AF1127" i="1"/>
  <c r="AM1127" i="1"/>
  <c r="AL1127" i="1"/>
  <c r="AG1127" i="1"/>
  <c r="AK1127" i="1"/>
  <c r="AI1127" i="1"/>
  <c r="AB1129" i="1" l="1"/>
  <c r="AJ1128" i="1"/>
  <c r="AH1128" i="1"/>
  <c r="AC1128" i="1"/>
  <c r="AD1128" i="1"/>
  <c r="AE1128" i="1"/>
  <c r="AL1128" i="1"/>
  <c r="AK1128" i="1"/>
  <c r="AI1128" i="1"/>
  <c r="AM1128" i="1"/>
  <c r="AG1128" i="1"/>
  <c r="AF1128" i="1"/>
  <c r="AN1128" i="1"/>
  <c r="AB1130" i="1" l="1"/>
  <c r="AJ1129" i="1"/>
  <c r="AH1129" i="1"/>
  <c r="AC1129" i="1"/>
  <c r="AD1129" i="1"/>
  <c r="AE1129" i="1"/>
  <c r="AL1129" i="1"/>
  <c r="AK1129" i="1"/>
  <c r="AF1129" i="1"/>
  <c r="AM1129" i="1"/>
  <c r="AG1129" i="1"/>
  <c r="AI1129" i="1"/>
  <c r="AN1129" i="1"/>
  <c r="AB1131" i="1" l="1"/>
  <c r="AJ1130" i="1"/>
  <c r="AH1130" i="1"/>
  <c r="AC1130" i="1"/>
  <c r="AD1130" i="1"/>
  <c r="AE1130" i="1"/>
  <c r="AL1130" i="1"/>
  <c r="AN1130" i="1"/>
  <c r="AK1130" i="1"/>
  <c r="AI1130" i="1"/>
  <c r="AF1130" i="1"/>
  <c r="AG1130" i="1"/>
  <c r="AM1130" i="1"/>
  <c r="AB1132" i="1" l="1"/>
  <c r="AJ1131" i="1"/>
  <c r="AH1131" i="1"/>
  <c r="AC1131" i="1"/>
  <c r="AD1131" i="1"/>
  <c r="AE1131" i="1"/>
  <c r="AL1131" i="1"/>
  <c r="AG1131" i="1"/>
  <c r="AN1131" i="1"/>
  <c r="AF1131" i="1"/>
  <c r="AK1131" i="1"/>
  <c r="AI1131" i="1"/>
  <c r="AM1131" i="1"/>
  <c r="AB1133" i="1" l="1"/>
  <c r="AJ1132" i="1"/>
  <c r="AH1132" i="1"/>
  <c r="AC1132" i="1"/>
  <c r="AD1132" i="1"/>
  <c r="AE1132" i="1"/>
  <c r="AL1132" i="1"/>
  <c r="AN1132" i="1"/>
  <c r="AI1132" i="1"/>
  <c r="AG1132" i="1"/>
  <c r="AF1132" i="1"/>
  <c r="AM1132" i="1"/>
  <c r="AK1132" i="1"/>
  <c r="AB1134" i="1" l="1"/>
  <c r="AJ1133" i="1"/>
  <c r="AH1133" i="1"/>
  <c r="AC1133" i="1"/>
  <c r="AD1133" i="1"/>
  <c r="AE1133" i="1"/>
  <c r="AG1133" i="1"/>
  <c r="AK1133" i="1"/>
  <c r="AM1133" i="1"/>
  <c r="AL1133" i="1"/>
  <c r="AN1133" i="1"/>
  <c r="AI1133" i="1"/>
  <c r="AF1133" i="1"/>
  <c r="AB1135" i="1" l="1"/>
  <c r="AJ1134" i="1"/>
  <c r="AH1134" i="1"/>
  <c r="AC1134" i="1"/>
  <c r="AE1134" i="1"/>
  <c r="AK1134" i="1"/>
  <c r="AF1134" i="1"/>
  <c r="AD1134" i="1"/>
  <c r="AL1134" i="1"/>
  <c r="AN1134" i="1"/>
  <c r="AI1134" i="1"/>
  <c r="AM1134" i="1"/>
  <c r="AG1134" i="1"/>
  <c r="AB1136" i="1" l="1"/>
  <c r="AJ1135" i="1"/>
  <c r="AH1135" i="1"/>
  <c r="AC1135" i="1"/>
  <c r="AD1135" i="1"/>
  <c r="AL1135" i="1"/>
  <c r="AG1135" i="1"/>
  <c r="AN1135" i="1"/>
  <c r="AE1135" i="1"/>
  <c r="AK1135" i="1"/>
  <c r="AI1135" i="1"/>
  <c r="AM1135" i="1"/>
  <c r="AF1135" i="1"/>
  <c r="AB1137" i="1" l="1"/>
  <c r="AJ1136" i="1"/>
  <c r="AH1136" i="1"/>
  <c r="AC1136" i="1"/>
  <c r="AD1136" i="1"/>
  <c r="AL1136" i="1"/>
  <c r="AK1136" i="1"/>
  <c r="AF1136" i="1"/>
  <c r="AE1136" i="1"/>
  <c r="AN1136" i="1"/>
  <c r="AG1136" i="1"/>
  <c r="AM1136" i="1"/>
  <c r="AI1136" i="1"/>
  <c r="AB1138" i="1" l="1"/>
  <c r="AJ1137" i="1"/>
  <c r="AH1137" i="1"/>
  <c r="AC1137" i="1"/>
  <c r="AD1137" i="1"/>
  <c r="AE1137" i="1"/>
  <c r="AL1137" i="1"/>
  <c r="AN1137" i="1"/>
  <c r="AF1137" i="1"/>
  <c r="AM1137" i="1"/>
  <c r="AG1137" i="1"/>
  <c r="AI1137" i="1"/>
  <c r="AK1137" i="1"/>
  <c r="AB1139" i="1" l="1"/>
  <c r="AJ1138" i="1"/>
  <c r="AH1138" i="1"/>
  <c r="AC1138" i="1"/>
  <c r="AD1138" i="1"/>
  <c r="AE1138" i="1"/>
  <c r="AL1138" i="1"/>
  <c r="AN1138" i="1"/>
  <c r="AK1138" i="1"/>
  <c r="AI1138" i="1"/>
  <c r="AG1138" i="1"/>
  <c r="AF1138" i="1"/>
  <c r="AM1138" i="1"/>
  <c r="AB1140" i="1" l="1"/>
  <c r="AJ1139" i="1"/>
  <c r="AH1139" i="1"/>
  <c r="AC1139" i="1"/>
  <c r="AD1139" i="1"/>
  <c r="AE1139" i="1"/>
  <c r="AL1139" i="1"/>
  <c r="AN1139" i="1"/>
  <c r="AI1139" i="1"/>
  <c r="AM1139" i="1"/>
  <c r="AG1139" i="1"/>
  <c r="AF1139" i="1"/>
  <c r="AK1139" i="1"/>
  <c r="AB1141" i="1" l="1"/>
  <c r="AJ1140" i="1"/>
  <c r="AH1140" i="1"/>
  <c r="AC1140" i="1"/>
  <c r="AD1140" i="1"/>
  <c r="AE1140" i="1"/>
  <c r="AK1140" i="1"/>
  <c r="AF1140" i="1"/>
  <c r="AL1140" i="1"/>
  <c r="AG1140" i="1"/>
  <c r="AN1140" i="1"/>
  <c r="AI1140" i="1"/>
  <c r="AM1140" i="1"/>
  <c r="AB1142" i="1" l="1"/>
  <c r="AJ1141" i="1"/>
  <c r="AH1141" i="1"/>
  <c r="AC1141" i="1"/>
  <c r="AD1141" i="1"/>
  <c r="AE1141" i="1"/>
  <c r="AL1141" i="1"/>
  <c r="AK1141" i="1"/>
  <c r="AI1141" i="1"/>
  <c r="AM1141" i="1"/>
  <c r="AG1141" i="1"/>
  <c r="AF1141" i="1"/>
  <c r="AN1141" i="1"/>
  <c r="AB1143" i="1" l="1"/>
  <c r="AJ1142" i="1"/>
  <c r="AH1142" i="1"/>
  <c r="AC1142" i="1"/>
  <c r="AD1142" i="1"/>
  <c r="AL1142" i="1"/>
  <c r="AG1142" i="1"/>
  <c r="AN1142" i="1"/>
  <c r="AK1142" i="1"/>
  <c r="AI1142" i="1"/>
  <c r="AE1142" i="1"/>
  <c r="AF1142" i="1"/>
  <c r="AM1142" i="1"/>
  <c r="AB1144" i="1" l="1"/>
  <c r="AJ1143" i="1"/>
  <c r="AH1143" i="1"/>
  <c r="AC1143" i="1"/>
  <c r="AE1143" i="1"/>
  <c r="AK1143" i="1"/>
  <c r="AI1143" i="1"/>
  <c r="AD1143" i="1"/>
  <c r="AG1143" i="1"/>
  <c r="AN1143" i="1"/>
  <c r="AM1143" i="1"/>
  <c r="AF1143" i="1"/>
  <c r="AL1143" i="1"/>
  <c r="AB1145" i="1" l="1"/>
  <c r="AJ1144" i="1"/>
  <c r="AH1144" i="1"/>
  <c r="AC1144" i="1"/>
  <c r="AD1144" i="1"/>
  <c r="AE1144" i="1"/>
  <c r="AL1144" i="1"/>
  <c r="AN1144" i="1"/>
  <c r="AI1144" i="1"/>
  <c r="AM1144" i="1"/>
  <c r="AG1144" i="1"/>
  <c r="AF1144" i="1"/>
  <c r="AK1144" i="1"/>
  <c r="AB1146" i="1" l="1"/>
  <c r="AJ1145" i="1"/>
  <c r="AH1145" i="1"/>
  <c r="AC1145" i="1"/>
  <c r="AE1145" i="1"/>
  <c r="AL1145" i="1"/>
  <c r="AD1145" i="1"/>
  <c r="AG1145" i="1"/>
  <c r="AK1145" i="1"/>
  <c r="AI1145" i="1"/>
  <c r="AM1145" i="1"/>
  <c r="AF1145" i="1"/>
  <c r="AN1145" i="1"/>
  <c r="AB1147" i="1" l="1"/>
  <c r="AJ1146" i="1"/>
  <c r="AH1146" i="1"/>
  <c r="AC1146" i="1"/>
  <c r="AD1146" i="1"/>
  <c r="AE1146" i="1"/>
  <c r="AG1146" i="1"/>
  <c r="AF1146" i="1"/>
  <c r="AL1146" i="1"/>
  <c r="AN1146" i="1"/>
  <c r="AI1146" i="1"/>
  <c r="AM1146" i="1"/>
  <c r="AK1146" i="1"/>
  <c r="AB1148" i="1" l="1"/>
  <c r="AJ1147" i="1"/>
  <c r="AH1147" i="1"/>
  <c r="AC1147" i="1"/>
  <c r="AD1147" i="1"/>
  <c r="AL1147" i="1"/>
  <c r="AK1147" i="1"/>
  <c r="AF1147" i="1"/>
  <c r="AM1147" i="1"/>
  <c r="AE1147" i="1"/>
  <c r="AN1147" i="1"/>
  <c r="AG1147" i="1"/>
  <c r="AI1147" i="1"/>
  <c r="AB1149" i="1" l="1"/>
  <c r="AJ1148" i="1"/>
  <c r="AH1148" i="1"/>
  <c r="AC1148" i="1"/>
  <c r="AD1148" i="1"/>
  <c r="AE1148" i="1"/>
  <c r="AL1148" i="1"/>
  <c r="AN1148" i="1"/>
  <c r="AF1148" i="1"/>
  <c r="AG1148" i="1"/>
  <c r="AI1148" i="1"/>
  <c r="AM1148" i="1"/>
  <c r="AK1148" i="1"/>
  <c r="AB1150" i="1" l="1"/>
  <c r="AJ1149" i="1"/>
  <c r="AH1149" i="1"/>
  <c r="AC1149" i="1"/>
  <c r="AD1149" i="1"/>
  <c r="AI1149" i="1"/>
  <c r="AL1149" i="1"/>
  <c r="AG1149" i="1"/>
  <c r="AN1149" i="1"/>
  <c r="AE1149" i="1"/>
  <c r="AK1149" i="1"/>
  <c r="AF1149" i="1"/>
  <c r="AM1149" i="1"/>
  <c r="AB1151" i="1" l="1"/>
  <c r="AJ1150" i="1"/>
  <c r="AH1150" i="1"/>
  <c r="AC1150" i="1"/>
  <c r="AD1150" i="1"/>
  <c r="AE1150" i="1"/>
  <c r="AG1150" i="1"/>
  <c r="AK1150" i="1"/>
  <c r="AL1150" i="1"/>
  <c r="AF1150" i="1"/>
  <c r="AM1150" i="1"/>
  <c r="AN1150" i="1"/>
  <c r="AI1150" i="1"/>
  <c r="AB1152" i="1" l="1"/>
  <c r="AJ1151" i="1"/>
  <c r="AH1151" i="1"/>
  <c r="AC1151" i="1"/>
  <c r="AD1151" i="1"/>
  <c r="AL1151" i="1"/>
  <c r="AN1151" i="1"/>
  <c r="AF1151" i="1"/>
  <c r="AE1151" i="1"/>
  <c r="AK1151" i="1"/>
  <c r="AI1151" i="1"/>
  <c r="AM1151" i="1"/>
  <c r="AG1151" i="1"/>
  <c r="AB1153" i="1" l="1"/>
  <c r="AJ1152" i="1"/>
  <c r="AH1152" i="1"/>
  <c r="AC1152" i="1"/>
  <c r="AD1152" i="1"/>
  <c r="AN1152" i="1"/>
  <c r="AI1152" i="1"/>
  <c r="AM1152" i="1"/>
  <c r="AE1152" i="1"/>
  <c r="AG1152" i="1"/>
  <c r="AF1152" i="1"/>
  <c r="AL1152" i="1"/>
  <c r="AK1152" i="1"/>
  <c r="AB1154" i="1" l="1"/>
  <c r="AJ1153" i="1"/>
  <c r="AH1153" i="1"/>
  <c r="AC1153" i="1"/>
  <c r="AD1153" i="1"/>
  <c r="AE1153" i="1"/>
  <c r="AG1153" i="1"/>
  <c r="AN1153" i="1"/>
  <c r="AF1153" i="1"/>
  <c r="AM1153" i="1"/>
  <c r="AI1153" i="1"/>
  <c r="AL1153" i="1"/>
  <c r="AK1153" i="1"/>
  <c r="AB1155" i="1" l="1"/>
  <c r="AJ1154" i="1"/>
  <c r="AH1154" i="1"/>
  <c r="AC1154" i="1"/>
  <c r="AD1154" i="1"/>
  <c r="AL1154" i="1"/>
  <c r="AK1154" i="1"/>
  <c r="AF1154" i="1"/>
  <c r="AN1154" i="1"/>
  <c r="AE1154" i="1"/>
  <c r="AG1154" i="1"/>
  <c r="AI1154" i="1"/>
  <c r="AM1154" i="1"/>
  <c r="AB1156" i="1" l="1"/>
  <c r="AJ1155" i="1"/>
  <c r="AH1155" i="1"/>
  <c r="AC1155" i="1"/>
  <c r="AD1155" i="1"/>
  <c r="AL1155" i="1"/>
  <c r="AE1155" i="1"/>
  <c r="AK1155" i="1"/>
  <c r="AI1155" i="1"/>
  <c r="AM1155" i="1"/>
  <c r="AG1155" i="1"/>
  <c r="AF1155" i="1"/>
  <c r="AN1155" i="1"/>
  <c r="AB1157" i="1" l="1"/>
  <c r="AJ1156" i="1"/>
  <c r="AH1156" i="1"/>
  <c r="AC1156" i="1"/>
  <c r="AD1156" i="1"/>
  <c r="AE1156" i="1"/>
  <c r="AL1156" i="1"/>
  <c r="AN1156" i="1"/>
  <c r="AK1156" i="1"/>
  <c r="AG1156" i="1"/>
  <c r="AM1156" i="1"/>
  <c r="AI1156" i="1"/>
  <c r="AF1156" i="1"/>
  <c r="AB1158" i="1" l="1"/>
  <c r="AJ1157" i="1"/>
  <c r="AH1157" i="1"/>
  <c r="AC1157" i="1"/>
  <c r="AD1157" i="1"/>
  <c r="AE1157" i="1"/>
  <c r="AK1157" i="1"/>
  <c r="AI1157" i="1"/>
  <c r="AF1157" i="1"/>
  <c r="AL1157" i="1"/>
  <c r="AG1157" i="1"/>
  <c r="AN1157" i="1"/>
  <c r="AM1157" i="1"/>
  <c r="AB1159" i="1" l="1"/>
  <c r="AJ1158" i="1"/>
  <c r="AH1158" i="1"/>
  <c r="AC1158" i="1"/>
  <c r="AD1158" i="1"/>
  <c r="AE1158" i="1"/>
  <c r="AK1158" i="1"/>
  <c r="AI1158" i="1"/>
  <c r="AM1158" i="1"/>
  <c r="AL1158" i="1"/>
  <c r="AN1158" i="1"/>
  <c r="AG1158" i="1"/>
  <c r="AF1158" i="1"/>
  <c r="AB1160" i="1" l="1"/>
  <c r="AJ1159" i="1"/>
  <c r="AH1159" i="1"/>
  <c r="AC1159" i="1"/>
  <c r="AD1159" i="1"/>
  <c r="AG1159" i="1"/>
  <c r="AN1159" i="1"/>
  <c r="AM1159" i="1"/>
  <c r="AE1159" i="1"/>
  <c r="AL1159" i="1"/>
  <c r="AK1159" i="1"/>
  <c r="AI1159" i="1"/>
  <c r="AF1159" i="1"/>
  <c r="AB1161" i="1" l="1"/>
  <c r="AJ1160" i="1"/>
  <c r="AH1160" i="1"/>
  <c r="AC1160" i="1"/>
  <c r="AE1160" i="1"/>
  <c r="AL1160" i="1"/>
  <c r="AI1160" i="1"/>
  <c r="AD1160" i="1"/>
  <c r="AG1160" i="1"/>
  <c r="AN1160" i="1"/>
  <c r="AM1160" i="1"/>
  <c r="AK1160" i="1"/>
  <c r="AF1160" i="1"/>
  <c r="AB1162" i="1" l="1"/>
  <c r="AJ1161" i="1"/>
  <c r="AH1161" i="1"/>
  <c r="AC1161" i="1"/>
  <c r="AD1161" i="1"/>
  <c r="AE1161" i="1"/>
  <c r="AL1161" i="1"/>
  <c r="AN1161" i="1"/>
  <c r="AF1161" i="1"/>
  <c r="AG1161" i="1"/>
  <c r="AI1161" i="1"/>
  <c r="AK1161" i="1"/>
  <c r="AM1161" i="1"/>
  <c r="AB1163" i="1" l="1"/>
  <c r="AJ1162" i="1"/>
  <c r="AH1162" i="1"/>
  <c r="AC1162" i="1"/>
  <c r="AD1162" i="1"/>
  <c r="AE1162" i="1"/>
  <c r="AL1162" i="1"/>
  <c r="AN1162" i="1"/>
  <c r="AI1162" i="1"/>
  <c r="AG1162" i="1"/>
  <c r="AF1162" i="1"/>
  <c r="AK1162" i="1"/>
  <c r="AM1162" i="1"/>
  <c r="AB1164" i="1" l="1"/>
  <c r="AJ1163" i="1"/>
  <c r="AH1163" i="1"/>
  <c r="AC1163" i="1"/>
  <c r="AE1163" i="1"/>
  <c r="AG1163" i="1"/>
  <c r="AI1163" i="1"/>
  <c r="AD1163" i="1"/>
  <c r="AN1163" i="1"/>
  <c r="AF1163" i="1"/>
  <c r="AM1163" i="1"/>
  <c r="AL1163" i="1"/>
  <c r="AK1163" i="1"/>
  <c r="AB1165" i="1" l="1"/>
  <c r="AJ1164" i="1"/>
  <c r="AH1164" i="1"/>
  <c r="AC1164" i="1"/>
  <c r="AD1164" i="1"/>
  <c r="AE1164" i="1"/>
  <c r="AL1164" i="1"/>
  <c r="AG1164" i="1"/>
  <c r="AN1164" i="1"/>
  <c r="AI1164" i="1"/>
  <c r="AF1164" i="1"/>
  <c r="AM1164" i="1"/>
  <c r="AK1164" i="1"/>
  <c r="AB1166" i="1" l="1"/>
  <c r="AJ1165" i="1"/>
  <c r="AH1165" i="1"/>
  <c r="AC1165" i="1"/>
  <c r="AD1165" i="1"/>
  <c r="AE1165" i="1"/>
  <c r="AM1165" i="1"/>
  <c r="AL1165" i="1"/>
  <c r="AG1165" i="1"/>
  <c r="AN1165" i="1"/>
  <c r="AI1165" i="1"/>
  <c r="AF1165" i="1"/>
  <c r="AK1165" i="1"/>
  <c r="AB1167" i="1" l="1"/>
  <c r="AJ1166" i="1"/>
  <c r="AH1166" i="1"/>
  <c r="AC1166" i="1"/>
  <c r="AD1166" i="1"/>
  <c r="AE1166" i="1"/>
  <c r="AL1166" i="1"/>
  <c r="AN1166" i="1"/>
  <c r="AF1166" i="1"/>
  <c r="AG1166" i="1"/>
  <c r="AI1166" i="1"/>
  <c r="AK1166" i="1"/>
  <c r="AM1166" i="1"/>
  <c r="AB1168" i="1" l="1"/>
  <c r="AJ1167" i="1"/>
  <c r="AH1167" i="1"/>
  <c r="AC1167" i="1"/>
  <c r="AD1167" i="1"/>
  <c r="AE1167" i="1"/>
  <c r="AL1167" i="1"/>
  <c r="AN1167" i="1"/>
  <c r="AI1167" i="1"/>
  <c r="AG1167" i="1"/>
  <c r="AF1167" i="1"/>
  <c r="AK1167" i="1"/>
  <c r="AM1167" i="1"/>
  <c r="AB1169" i="1" l="1"/>
  <c r="AJ1168" i="1"/>
  <c r="AH1168" i="1"/>
  <c r="AC1168" i="1"/>
  <c r="AD1168" i="1"/>
  <c r="AE1168" i="1"/>
  <c r="AL1168" i="1"/>
  <c r="AN1168" i="1"/>
  <c r="AI1168" i="1"/>
  <c r="AM1168" i="1"/>
  <c r="AG1168" i="1"/>
  <c r="AF1168" i="1"/>
  <c r="AK1168" i="1"/>
  <c r="AB1170" i="1" l="1"/>
  <c r="AJ1169" i="1"/>
  <c r="AH1169" i="1"/>
  <c r="AC1169" i="1"/>
  <c r="AD1169" i="1"/>
  <c r="AE1169" i="1"/>
  <c r="AL1169" i="1"/>
  <c r="AN1169" i="1"/>
  <c r="AI1169" i="1"/>
  <c r="AM1169" i="1"/>
  <c r="AG1169" i="1"/>
  <c r="AF1169" i="1"/>
  <c r="AK1169" i="1"/>
  <c r="AB1171" i="1" l="1"/>
  <c r="AJ1170" i="1"/>
  <c r="AH1170" i="1"/>
  <c r="AC1170" i="1"/>
  <c r="AE1170" i="1"/>
  <c r="AL1170" i="1"/>
  <c r="AI1170" i="1"/>
  <c r="AD1170" i="1"/>
  <c r="AG1170" i="1"/>
  <c r="AN1170" i="1"/>
  <c r="AF1170" i="1"/>
  <c r="AM1170" i="1"/>
  <c r="AK1170" i="1"/>
  <c r="AB1172" i="1" l="1"/>
  <c r="AJ1171" i="1"/>
  <c r="AH1171" i="1"/>
  <c r="AC1171" i="1"/>
  <c r="AD1171" i="1"/>
  <c r="AE1171" i="1"/>
  <c r="AL1171" i="1"/>
  <c r="AK1171" i="1"/>
  <c r="AF1171" i="1"/>
  <c r="AG1171" i="1"/>
  <c r="AI1171" i="1"/>
  <c r="AN1171" i="1"/>
  <c r="AM1171" i="1"/>
  <c r="AB1173" i="1" l="1"/>
  <c r="AJ1172" i="1"/>
  <c r="AH1172" i="1"/>
  <c r="AC1172" i="1"/>
  <c r="AD1172" i="1"/>
  <c r="AE1172" i="1"/>
  <c r="AG1172" i="1"/>
  <c r="AN1172" i="1"/>
  <c r="AF1172" i="1"/>
  <c r="AL1172" i="1"/>
  <c r="AI1172" i="1"/>
  <c r="AM1172" i="1"/>
  <c r="AK1172" i="1"/>
  <c r="AB1174" i="1" l="1"/>
  <c r="AJ1173" i="1"/>
  <c r="AH1173" i="1"/>
  <c r="AC1173" i="1"/>
  <c r="AD1173" i="1"/>
  <c r="AE1173" i="1"/>
  <c r="AK1173" i="1"/>
  <c r="AF1173" i="1"/>
  <c r="AM1173" i="1"/>
  <c r="AL1173" i="1"/>
  <c r="AG1173" i="1"/>
  <c r="AN1173" i="1"/>
  <c r="AI1173" i="1"/>
  <c r="AB1175" i="1" l="1"/>
  <c r="AJ1174" i="1"/>
  <c r="AH1174" i="1"/>
  <c r="AC1174" i="1"/>
  <c r="AD1174" i="1"/>
  <c r="AE1174" i="1"/>
  <c r="AL1174" i="1"/>
  <c r="AK1174" i="1"/>
  <c r="AF1174" i="1"/>
  <c r="AG1174" i="1"/>
  <c r="AI1174" i="1"/>
  <c r="AN1174" i="1"/>
  <c r="AM1174" i="1"/>
  <c r="AB1176" i="1" l="1"/>
  <c r="AJ1175" i="1"/>
  <c r="AH1175" i="1"/>
  <c r="AC1175" i="1"/>
  <c r="AD1175" i="1"/>
  <c r="AG1175" i="1"/>
  <c r="AK1175" i="1"/>
  <c r="AI1175" i="1"/>
  <c r="AE1175" i="1"/>
  <c r="AN1175" i="1"/>
  <c r="AL1175" i="1"/>
  <c r="AF1175" i="1"/>
  <c r="AM1175" i="1"/>
  <c r="AB1177" i="1" l="1"/>
  <c r="AJ1176" i="1"/>
  <c r="AH1176" i="1"/>
  <c r="AC1176" i="1"/>
  <c r="AE1176" i="1"/>
  <c r="AK1176" i="1"/>
  <c r="AF1176" i="1"/>
  <c r="AD1176" i="1"/>
  <c r="AL1176" i="1"/>
  <c r="AN1176" i="1"/>
  <c r="AI1176" i="1"/>
  <c r="AG1176" i="1"/>
  <c r="AM1176" i="1"/>
  <c r="AB1178" i="1" l="1"/>
  <c r="AJ1177" i="1"/>
  <c r="AH1177" i="1"/>
  <c r="AC1177" i="1"/>
  <c r="AD1177" i="1"/>
  <c r="AE1177" i="1"/>
  <c r="AG1177" i="1"/>
  <c r="AN1177" i="1"/>
  <c r="AK1177" i="1"/>
  <c r="AI1177" i="1"/>
  <c r="AF1177" i="1"/>
  <c r="AM1177" i="1"/>
  <c r="AL1177" i="1"/>
  <c r="AB1179" i="1" l="1"/>
  <c r="AJ1178" i="1"/>
  <c r="AH1178" i="1"/>
  <c r="AC1178" i="1"/>
  <c r="AD1178" i="1"/>
  <c r="AE1178" i="1"/>
  <c r="AL1178" i="1"/>
  <c r="AN1178" i="1"/>
  <c r="AK1178" i="1"/>
  <c r="AI1178" i="1"/>
  <c r="AM1178" i="1"/>
  <c r="AG1178" i="1"/>
  <c r="AF1178" i="1"/>
  <c r="AB1180" i="1" l="1"/>
  <c r="AJ1179" i="1"/>
  <c r="AH1179" i="1"/>
  <c r="AC1179" i="1"/>
  <c r="AD1179" i="1"/>
  <c r="AE1179" i="1"/>
  <c r="AG1179" i="1"/>
  <c r="AN1179" i="1"/>
  <c r="AM1179" i="1"/>
  <c r="AL1179" i="1"/>
  <c r="AK1179" i="1"/>
  <c r="AI1179" i="1"/>
  <c r="AF1179" i="1"/>
  <c r="AB1181" i="1" l="1"/>
  <c r="AJ1180" i="1"/>
  <c r="AH1180" i="1"/>
  <c r="AC1180" i="1"/>
  <c r="AD1180" i="1"/>
  <c r="AE1180" i="1"/>
  <c r="AL1180" i="1"/>
  <c r="AG1180" i="1"/>
  <c r="AN1180" i="1"/>
  <c r="AF1180" i="1"/>
  <c r="AK1180" i="1"/>
  <c r="AI1180" i="1"/>
  <c r="AM1180" i="1"/>
  <c r="AB1182" i="1" l="1"/>
  <c r="AJ1181" i="1"/>
  <c r="AH1181" i="1"/>
  <c r="AC1181" i="1"/>
  <c r="AD1181" i="1"/>
  <c r="AE1181" i="1"/>
  <c r="AF1181" i="1"/>
  <c r="AM1181" i="1"/>
  <c r="AL1181" i="1"/>
  <c r="AG1181" i="1"/>
  <c r="AN1181" i="1"/>
  <c r="AI1181" i="1"/>
  <c r="AK1181" i="1"/>
  <c r="AB1183" i="1" l="1"/>
  <c r="AJ1182" i="1"/>
  <c r="AH1182" i="1"/>
  <c r="AC1182" i="1"/>
  <c r="AD1182" i="1"/>
  <c r="AE1182" i="1"/>
  <c r="AL1182" i="1"/>
  <c r="AN1182" i="1"/>
  <c r="AF1182" i="1"/>
  <c r="AG1182" i="1"/>
  <c r="AI1182" i="1"/>
  <c r="AM1182" i="1"/>
  <c r="AK1182" i="1"/>
  <c r="AB1184" i="1" l="1"/>
  <c r="AJ1183" i="1"/>
  <c r="AH1183" i="1"/>
  <c r="AC1183" i="1"/>
  <c r="AD1183" i="1"/>
  <c r="AE1183" i="1"/>
  <c r="AL1183" i="1"/>
  <c r="AN1183" i="1"/>
  <c r="AK1183" i="1"/>
  <c r="AI1183" i="1"/>
  <c r="AF1183" i="1"/>
  <c r="AM1183" i="1"/>
  <c r="AG1183" i="1"/>
  <c r="AB1185" i="1" l="1"/>
  <c r="AJ1184" i="1"/>
  <c r="AH1184" i="1"/>
  <c r="AC1184" i="1"/>
  <c r="AD1184" i="1"/>
  <c r="AE1184" i="1"/>
  <c r="AG1184" i="1"/>
  <c r="AN1184" i="1"/>
  <c r="AF1184" i="1"/>
  <c r="AM1184" i="1"/>
  <c r="AL1184" i="1"/>
  <c r="AI1184" i="1"/>
  <c r="AK1184" i="1"/>
  <c r="AB1186" i="1" l="1"/>
  <c r="AJ1185" i="1"/>
  <c r="AH1185" i="1"/>
  <c r="AC1185" i="1"/>
  <c r="AE1185" i="1"/>
  <c r="AI1185" i="1"/>
  <c r="AF1185" i="1"/>
  <c r="AD1185" i="1"/>
  <c r="AL1185" i="1"/>
  <c r="AG1185" i="1"/>
  <c r="AN1185" i="1"/>
  <c r="AM1185" i="1"/>
  <c r="AK1185" i="1"/>
  <c r="AB1187" i="1" l="1"/>
  <c r="AJ1186" i="1"/>
  <c r="AH1186" i="1"/>
  <c r="AC1186" i="1"/>
  <c r="AE1186" i="1"/>
  <c r="AL1186" i="1"/>
  <c r="AN1186" i="1"/>
  <c r="AI1186" i="1"/>
  <c r="AD1186" i="1"/>
  <c r="AF1186" i="1"/>
  <c r="AG1186" i="1"/>
  <c r="AM1186" i="1"/>
  <c r="AK1186" i="1"/>
  <c r="AB1188" i="1" l="1"/>
  <c r="AJ1187" i="1"/>
  <c r="AH1187" i="1"/>
  <c r="AC1187" i="1"/>
  <c r="AD1187" i="1"/>
  <c r="AE1187" i="1"/>
  <c r="AL1187" i="1"/>
  <c r="AN1187" i="1"/>
  <c r="AK1187" i="1"/>
  <c r="AF1187" i="1"/>
  <c r="AG1187" i="1"/>
  <c r="AI1187" i="1"/>
  <c r="AM1187" i="1"/>
  <c r="AB1189" i="1" l="1"/>
  <c r="AJ1188" i="1"/>
  <c r="AH1188" i="1"/>
  <c r="AC1188" i="1"/>
  <c r="AD1188" i="1"/>
  <c r="AE1188" i="1"/>
  <c r="AL1188" i="1"/>
  <c r="AG1188" i="1"/>
  <c r="AN1188" i="1"/>
  <c r="AK1188" i="1"/>
  <c r="AF1188" i="1"/>
  <c r="AI1188" i="1"/>
  <c r="AM1188" i="1"/>
  <c r="AB1190" i="1" l="1"/>
  <c r="AJ1189" i="1"/>
  <c r="AH1189" i="1"/>
  <c r="AC1189" i="1"/>
  <c r="AD1189" i="1"/>
  <c r="AE1189" i="1"/>
  <c r="AL1189" i="1"/>
  <c r="AG1189" i="1"/>
  <c r="AN1189" i="1"/>
  <c r="AF1189" i="1"/>
  <c r="AK1189" i="1"/>
  <c r="AI1189" i="1"/>
  <c r="AM1189" i="1"/>
  <c r="AB1191" i="1" l="1"/>
  <c r="AJ1190" i="1"/>
  <c r="AH1190" i="1"/>
  <c r="AC1190" i="1"/>
  <c r="AD1190" i="1"/>
  <c r="AE1190" i="1"/>
  <c r="AL1190" i="1"/>
  <c r="AG1190" i="1"/>
  <c r="AN1190" i="1"/>
  <c r="AF1190" i="1"/>
  <c r="AK1190" i="1"/>
  <c r="AI1190" i="1"/>
  <c r="AM1190" i="1"/>
  <c r="AB1192" i="1" l="1"/>
  <c r="AJ1191" i="1"/>
  <c r="AH1191" i="1"/>
  <c r="AC1191" i="1"/>
  <c r="AD1191" i="1"/>
  <c r="AE1191" i="1"/>
  <c r="AL1191" i="1"/>
  <c r="AN1191" i="1"/>
  <c r="AF1191" i="1"/>
  <c r="AG1191" i="1"/>
  <c r="AI1191" i="1"/>
  <c r="AM1191" i="1"/>
  <c r="AK1191" i="1"/>
  <c r="AB1193" i="1" l="1"/>
  <c r="AJ1192" i="1"/>
  <c r="AH1192" i="1"/>
  <c r="AC1192" i="1"/>
  <c r="AD1192" i="1"/>
  <c r="AE1192" i="1"/>
  <c r="AL1192" i="1"/>
  <c r="AG1192" i="1"/>
  <c r="AN1192" i="1"/>
  <c r="AI1192" i="1"/>
  <c r="AF1192" i="1"/>
  <c r="AK1192" i="1"/>
  <c r="AM1192" i="1"/>
  <c r="AB1194" i="1" l="1"/>
  <c r="AJ1193" i="1"/>
  <c r="AH1193" i="1"/>
  <c r="AC1193" i="1"/>
  <c r="AD1193" i="1"/>
  <c r="AE1193" i="1"/>
  <c r="AL1193" i="1"/>
  <c r="AN1193" i="1"/>
  <c r="AI1193" i="1"/>
  <c r="AG1193" i="1"/>
  <c r="AF1193" i="1"/>
  <c r="AM1193" i="1"/>
  <c r="AK1193" i="1"/>
  <c r="AB1195" i="1" l="1"/>
  <c r="AJ1194" i="1"/>
  <c r="AH1194" i="1"/>
  <c r="AC1194" i="1"/>
  <c r="AD1194" i="1"/>
  <c r="AE1194" i="1"/>
  <c r="AF1194" i="1"/>
  <c r="AM1194" i="1"/>
  <c r="AL1194" i="1"/>
  <c r="AG1194" i="1"/>
  <c r="AK1194" i="1"/>
  <c r="AI1194" i="1"/>
  <c r="AN1194" i="1"/>
  <c r="AB1196" i="1" l="1"/>
  <c r="AJ1195" i="1"/>
  <c r="AH1195" i="1"/>
  <c r="AC1195" i="1"/>
  <c r="AD1195" i="1"/>
  <c r="AE1195" i="1"/>
  <c r="AF1195" i="1"/>
  <c r="AL1195" i="1"/>
  <c r="AG1195" i="1"/>
  <c r="AK1195" i="1"/>
  <c r="AI1195" i="1"/>
  <c r="AN1195" i="1"/>
  <c r="AM1195" i="1"/>
  <c r="AB1197" i="1" l="1"/>
  <c r="AJ1196" i="1"/>
  <c r="AH1196" i="1"/>
  <c r="AC1196" i="1"/>
  <c r="AD1196" i="1"/>
  <c r="AE1196" i="1"/>
  <c r="AL1196" i="1"/>
  <c r="AN1196" i="1"/>
  <c r="AK1196" i="1"/>
  <c r="AI1196" i="1"/>
  <c r="AG1196" i="1"/>
  <c r="AF1196" i="1"/>
  <c r="AM1196" i="1"/>
  <c r="AB1198" i="1" l="1"/>
  <c r="AJ1197" i="1"/>
  <c r="AH1197" i="1"/>
  <c r="AC1197" i="1"/>
  <c r="AD1197" i="1"/>
  <c r="AE1197" i="1"/>
  <c r="AG1197" i="1"/>
  <c r="AN1197" i="1"/>
  <c r="AF1197" i="1"/>
  <c r="AL1197" i="1"/>
  <c r="AI1197" i="1"/>
  <c r="AK1197" i="1"/>
  <c r="AM1197" i="1"/>
  <c r="AB1199" i="1" l="1"/>
  <c r="AJ1198" i="1"/>
  <c r="AH1198" i="1"/>
  <c r="AC1198" i="1"/>
  <c r="AD1198" i="1"/>
  <c r="AL1198" i="1"/>
  <c r="AK1198" i="1"/>
  <c r="AM1198" i="1"/>
  <c r="AG1198" i="1"/>
  <c r="AF1198" i="1"/>
  <c r="AE1198" i="1"/>
  <c r="AN1198" i="1"/>
  <c r="AI1198" i="1"/>
  <c r="AB1200" i="1" l="1"/>
  <c r="AJ1199" i="1"/>
  <c r="AH1199" i="1"/>
  <c r="AC1199" i="1"/>
  <c r="AD1199" i="1"/>
  <c r="AE1199" i="1"/>
  <c r="AL1199" i="1"/>
  <c r="AN1199" i="1"/>
  <c r="AI1199" i="1"/>
  <c r="AM1199" i="1"/>
  <c r="AG1199" i="1"/>
  <c r="AF1199" i="1"/>
  <c r="AK1199" i="1"/>
  <c r="AB1201" i="1" l="1"/>
  <c r="AJ1200" i="1"/>
  <c r="AH1200" i="1"/>
  <c r="AC1200" i="1"/>
  <c r="AD1200" i="1"/>
  <c r="AE1200" i="1"/>
  <c r="AL1200" i="1"/>
  <c r="AN1200" i="1"/>
  <c r="AK1200" i="1"/>
  <c r="AI1200" i="1"/>
  <c r="AG1200" i="1"/>
  <c r="AM1200" i="1"/>
  <c r="AF1200" i="1"/>
  <c r="AB1202" i="1" l="1"/>
  <c r="AJ1201" i="1"/>
  <c r="AH1201" i="1"/>
  <c r="AC1201" i="1"/>
  <c r="AD1201" i="1"/>
  <c r="AL1201" i="1"/>
  <c r="AG1201" i="1"/>
  <c r="AK1201" i="1"/>
  <c r="AE1201" i="1"/>
  <c r="AN1201" i="1"/>
  <c r="AI1201" i="1"/>
  <c r="AM1201" i="1"/>
  <c r="AF1201" i="1"/>
  <c r="AB1203" i="1" l="1"/>
  <c r="AJ1202" i="1"/>
  <c r="AH1202" i="1"/>
  <c r="AC1202" i="1"/>
  <c r="AD1202" i="1"/>
  <c r="AE1202" i="1"/>
  <c r="AL1202" i="1"/>
  <c r="AG1202" i="1"/>
  <c r="AN1202" i="1"/>
  <c r="AI1202" i="1"/>
  <c r="AF1202" i="1"/>
  <c r="AK1202" i="1"/>
  <c r="AM1202" i="1"/>
  <c r="AB1204" i="1" l="1"/>
  <c r="AJ1203" i="1"/>
  <c r="AH1203" i="1"/>
  <c r="AC1203" i="1"/>
  <c r="AD1203" i="1"/>
  <c r="AE1203" i="1"/>
  <c r="AG1203" i="1"/>
  <c r="AK1203" i="1"/>
  <c r="AF1203" i="1"/>
  <c r="AM1203" i="1"/>
  <c r="AL1203" i="1"/>
  <c r="AI1203" i="1"/>
  <c r="AN1203" i="1"/>
  <c r="AB1205" i="1" l="1"/>
  <c r="AJ1204" i="1"/>
  <c r="AH1204" i="1"/>
  <c r="AC1204" i="1"/>
  <c r="AD1204" i="1"/>
  <c r="AL1204" i="1"/>
  <c r="AN1204" i="1"/>
  <c r="AE1204" i="1"/>
  <c r="AG1204" i="1"/>
  <c r="AK1204" i="1"/>
  <c r="AF1204" i="1"/>
  <c r="AM1204" i="1"/>
  <c r="AI1204" i="1"/>
  <c r="AB1206" i="1" l="1"/>
  <c r="AJ1205" i="1"/>
  <c r="AH1205" i="1"/>
  <c r="AC1205" i="1"/>
  <c r="AD1205" i="1"/>
  <c r="AE1205" i="1"/>
  <c r="AN1205" i="1"/>
  <c r="AI1205" i="1"/>
  <c r="AM1205" i="1"/>
  <c r="AL1205" i="1"/>
  <c r="AG1205" i="1"/>
  <c r="AF1205" i="1"/>
  <c r="AK1205" i="1"/>
  <c r="AB1207" i="1" l="1"/>
  <c r="AJ1206" i="1"/>
  <c r="AH1206" i="1"/>
  <c r="AC1206" i="1"/>
  <c r="AD1206" i="1"/>
  <c r="AE1206" i="1"/>
  <c r="AL1206" i="1"/>
  <c r="AK1206" i="1"/>
  <c r="AF1206" i="1"/>
  <c r="AM1206" i="1"/>
  <c r="AG1206" i="1"/>
  <c r="AN1206" i="1"/>
  <c r="AI1206" i="1"/>
  <c r="AB1208" i="1" l="1"/>
  <c r="AJ1207" i="1"/>
  <c r="AH1207" i="1"/>
  <c r="AC1207" i="1"/>
  <c r="AD1207" i="1"/>
  <c r="AE1207" i="1"/>
  <c r="AG1207" i="1"/>
  <c r="AN1207" i="1"/>
  <c r="AL1207" i="1"/>
  <c r="AK1207" i="1"/>
  <c r="AI1207" i="1"/>
  <c r="AM1207" i="1"/>
  <c r="AF1207" i="1"/>
  <c r="AB1209" i="1" l="1"/>
  <c r="AJ1208" i="1"/>
  <c r="AH1208" i="1"/>
  <c r="AC1208" i="1"/>
  <c r="AD1208" i="1"/>
  <c r="AE1208" i="1"/>
  <c r="AG1208" i="1"/>
  <c r="AN1208" i="1"/>
  <c r="AK1208" i="1"/>
  <c r="AL1208" i="1"/>
  <c r="AI1208" i="1"/>
  <c r="AF1208" i="1"/>
  <c r="AM1208" i="1"/>
  <c r="AB1210" i="1" l="1"/>
  <c r="AJ1209" i="1"/>
  <c r="AH1209" i="1"/>
  <c r="AC1209" i="1"/>
  <c r="AD1209" i="1"/>
  <c r="AG1209" i="1"/>
  <c r="AK1209" i="1"/>
  <c r="AI1209" i="1"/>
  <c r="AE1209" i="1"/>
  <c r="AN1209" i="1"/>
  <c r="AM1209" i="1"/>
  <c r="AF1209" i="1"/>
  <c r="AL1209" i="1"/>
  <c r="AB1211" i="1" l="1"/>
  <c r="AJ1210" i="1"/>
  <c r="AH1210" i="1"/>
  <c r="AC1210" i="1"/>
  <c r="AE1210" i="1"/>
  <c r="AL1210" i="1"/>
  <c r="AM1210" i="1"/>
  <c r="AD1210" i="1"/>
  <c r="AG1210" i="1"/>
  <c r="AN1210" i="1"/>
  <c r="AK1210" i="1"/>
  <c r="AF1210" i="1"/>
  <c r="AI1210" i="1"/>
  <c r="AB1212" i="1" l="1"/>
  <c r="AJ1211" i="1"/>
  <c r="AH1211" i="1"/>
  <c r="AC1211" i="1"/>
  <c r="AD1211" i="1"/>
  <c r="AE1211" i="1"/>
  <c r="AL1211" i="1"/>
  <c r="AN1211" i="1"/>
  <c r="AK1211" i="1"/>
  <c r="AI1211" i="1"/>
  <c r="AM1211" i="1"/>
  <c r="AG1211" i="1"/>
  <c r="AF1211" i="1"/>
  <c r="AB1213" i="1" l="1"/>
  <c r="AJ1212" i="1"/>
  <c r="AH1212" i="1"/>
  <c r="AC1212" i="1"/>
  <c r="AD1212" i="1"/>
  <c r="AE1212" i="1"/>
  <c r="AG1212" i="1"/>
  <c r="AN1212" i="1"/>
  <c r="AF1212" i="1"/>
  <c r="AL1212" i="1"/>
  <c r="AI1212" i="1"/>
  <c r="AK1212" i="1"/>
  <c r="AM1212" i="1"/>
  <c r="AB1214" i="1" l="1"/>
  <c r="AJ1213" i="1"/>
  <c r="AH1213" i="1"/>
  <c r="AC1213" i="1"/>
  <c r="AD1213" i="1"/>
  <c r="AE1213" i="1"/>
  <c r="AL1213" i="1"/>
  <c r="AG1213" i="1"/>
  <c r="AN1213" i="1"/>
  <c r="AK1213" i="1"/>
  <c r="AF1213" i="1"/>
  <c r="AI1213" i="1"/>
  <c r="AM1213" i="1"/>
  <c r="AB1215" i="1" l="1"/>
  <c r="AJ1214" i="1"/>
  <c r="AH1214" i="1"/>
  <c r="AC1214" i="1"/>
  <c r="AE1214" i="1"/>
  <c r="AG1214" i="1"/>
  <c r="AN1214" i="1"/>
  <c r="AM1214" i="1"/>
  <c r="AD1214" i="1"/>
  <c r="AF1214" i="1"/>
  <c r="AL1214" i="1"/>
  <c r="AI1214" i="1"/>
  <c r="AK1214" i="1"/>
  <c r="AB1216" i="1" l="1"/>
  <c r="AJ1215" i="1"/>
  <c r="AH1215" i="1"/>
  <c r="AC1215" i="1"/>
  <c r="AD1215" i="1"/>
  <c r="AK1215" i="1"/>
  <c r="AF1215" i="1"/>
  <c r="AE1215" i="1"/>
  <c r="AL1215" i="1"/>
  <c r="AN1215" i="1"/>
  <c r="AI1215" i="1"/>
  <c r="AG1215" i="1"/>
  <c r="AM1215" i="1"/>
  <c r="AB1217" i="1" l="1"/>
  <c r="AJ1216" i="1"/>
  <c r="AH1216" i="1"/>
  <c r="AC1216" i="1"/>
  <c r="AD1216" i="1"/>
  <c r="AF1216" i="1"/>
  <c r="AM1216" i="1"/>
  <c r="AE1216" i="1"/>
  <c r="AL1216" i="1"/>
  <c r="AG1216" i="1"/>
  <c r="AN1216" i="1"/>
  <c r="AI1216" i="1"/>
  <c r="AK1216" i="1"/>
  <c r="AB1218" i="1" l="1"/>
  <c r="AJ1217" i="1"/>
  <c r="AH1217" i="1"/>
  <c r="AC1217" i="1"/>
  <c r="AD1217" i="1"/>
  <c r="AE1217" i="1"/>
  <c r="AL1217" i="1"/>
  <c r="AN1217" i="1"/>
  <c r="AI1217" i="1"/>
  <c r="AM1217" i="1"/>
  <c r="AG1217" i="1"/>
  <c r="AK1217" i="1"/>
  <c r="AF1217" i="1"/>
  <c r="AB1219" i="1" l="1"/>
  <c r="AJ1218" i="1"/>
  <c r="AH1218" i="1"/>
  <c r="AC1218" i="1"/>
  <c r="AD1218" i="1"/>
  <c r="AE1218" i="1"/>
  <c r="AL1218" i="1"/>
  <c r="AN1218" i="1"/>
  <c r="AK1218" i="1"/>
  <c r="AI1218" i="1"/>
  <c r="AM1218" i="1"/>
  <c r="AG1218" i="1"/>
  <c r="AF1218" i="1"/>
  <c r="AB1220" i="1" l="1"/>
  <c r="AJ1219" i="1"/>
  <c r="AH1219" i="1"/>
  <c r="AC1219" i="1"/>
  <c r="AD1219" i="1"/>
  <c r="AE1219" i="1"/>
  <c r="AL1219" i="1"/>
  <c r="AN1219" i="1"/>
  <c r="AF1219" i="1"/>
  <c r="AG1219" i="1"/>
  <c r="AI1219" i="1"/>
  <c r="AM1219" i="1"/>
  <c r="AK1219" i="1"/>
  <c r="AB1221" i="1" l="1"/>
  <c r="AJ1220" i="1"/>
  <c r="AH1220" i="1"/>
  <c r="AC1220" i="1"/>
  <c r="AD1220" i="1"/>
  <c r="AE1220" i="1"/>
  <c r="AG1220" i="1"/>
  <c r="AN1220" i="1"/>
  <c r="AL1220" i="1"/>
  <c r="AK1220" i="1"/>
  <c r="AI1220" i="1"/>
  <c r="AM1220" i="1"/>
  <c r="AF1220" i="1"/>
  <c r="AB1222" i="1" l="1"/>
  <c r="AJ1221" i="1"/>
  <c r="AH1221" i="1"/>
  <c r="AC1221" i="1"/>
  <c r="AD1221" i="1"/>
  <c r="AE1221" i="1"/>
  <c r="AG1221" i="1"/>
  <c r="AN1221" i="1"/>
  <c r="AK1221" i="1"/>
  <c r="AI1221" i="1"/>
  <c r="AF1221" i="1"/>
  <c r="AL1221" i="1"/>
  <c r="AM1221" i="1"/>
  <c r="AB1223" i="1" l="1"/>
  <c r="AJ1222" i="1"/>
  <c r="AH1222" i="1"/>
  <c r="AC1222" i="1"/>
  <c r="AE1222" i="1"/>
  <c r="AG1222" i="1"/>
  <c r="AK1222" i="1"/>
  <c r="AM1222" i="1"/>
  <c r="AD1222" i="1"/>
  <c r="AL1222" i="1"/>
  <c r="AI1222" i="1"/>
  <c r="AF1222" i="1"/>
  <c r="AN1222" i="1"/>
  <c r="AB1224" i="1" l="1"/>
  <c r="AJ1223" i="1"/>
  <c r="AH1223" i="1"/>
  <c r="AC1223" i="1"/>
  <c r="AE1223" i="1"/>
  <c r="AG1223" i="1"/>
  <c r="AN1223" i="1"/>
  <c r="AI1223" i="1"/>
  <c r="AD1223" i="1"/>
  <c r="AL1223" i="1"/>
  <c r="AF1223" i="1"/>
  <c r="AM1223" i="1"/>
  <c r="AK1223" i="1"/>
  <c r="AB1225" i="1" l="1"/>
  <c r="AJ1224" i="1"/>
  <c r="AH1224" i="1"/>
  <c r="AC1224" i="1"/>
  <c r="AD1224" i="1"/>
  <c r="AE1224" i="1"/>
  <c r="AL1224" i="1"/>
  <c r="AG1224" i="1"/>
  <c r="AN1224" i="1"/>
  <c r="AI1224" i="1"/>
  <c r="AF1224" i="1"/>
  <c r="AK1224" i="1"/>
  <c r="AM1224" i="1"/>
  <c r="AB1226" i="1" l="1"/>
  <c r="AJ1225" i="1"/>
  <c r="AH1225" i="1"/>
  <c r="AC1225" i="1"/>
  <c r="AD1225" i="1"/>
  <c r="AG1225" i="1"/>
  <c r="AK1225" i="1"/>
  <c r="AI1225" i="1"/>
  <c r="AL1225" i="1"/>
  <c r="AN1225" i="1"/>
  <c r="AE1225" i="1"/>
  <c r="AF1225" i="1"/>
  <c r="AM1225" i="1"/>
  <c r="AB1227" i="1" l="1"/>
  <c r="AJ1226" i="1"/>
  <c r="AH1226" i="1"/>
  <c r="AC1226" i="1"/>
  <c r="AE1226" i="1"/>
  <c r="AL1226" i="1"/>
  <c r="AG1226" i="1"/>
  <c r="AF1226" i="1"/>
  <c r="AD1226" i="1"/>
  <c r="AN1226" i="1"/>
  <c r="AK1226" i="1"/>
  <c r="AI1226" i="1"/>
  <c r="AM1226" i="1"/>
  <c r="AB1228" i="1" l="1"/>
  <c r="AJ1227" i="1"/>
  <c r="AH1227" i="1"/>
  <c r="AC1227" i="1"/>
  <c r="AD1227" i="1"/>
  <c r="AL1227" i="1"/>
  <c r="AN1227" i="1"/>
  <c r="AK1227" i="1"/>
  <c r="AF1227" i="1"/>
  <c r="AE1227" i="1"/>
  <c r="AI1227" i="1"/>
  <c r="AM1227" i="1"/>
  <c r="AG1227" i="1"/>
  <c r="AB1229" i="1" l="1"/>
  <c r="AJ1228" i="1"/>
  <c r="AH1228" i="1"/>
  <c r="AC1228" i="1"/>
  <c r="AD1228" i="1"/>
  <c r="AE1228" i="1"/>
  <c r="AL1228" i="1"/>
  <c r="AG1228" i="1"/>
  <c r="AN1228" i="1"/>
  <c r="AI1228" i="1"/>
  <c r="AM1228" i="1"/>
  <c r="AK1228" i="1"/>
  <c r="AF1228" i="1"/>
  <c r="AB1230" i="1" l="1"/>
  <c r="AJ1229" i="1"/>
  <c r="AH1229" i="1"/>
  <c r="AC1229" i="1"/>
  <c r="AE1229" i="1"/>
  <c r="AG1229" i="1"/>
  <c r="AK1229" i="1"/>
  <c r="AI1229" i="1"/>
  <c r="AF1229" i="1"/>
  <c r="AM1229" i="1"/>
  <c r="AD1229" i="1"/>
  <c r="AL1229" i="1"/>
  <c r="AN1229" i="1"/>
  <c r="AB1231" i="1" l="1"/>
  <c r="AJ1230" i="1"/>
  <c r="AH1230" i="1"/>
  <c r="AC1230" i="1"/>
  <c r="AD1230" i="1"/>
  <c r="AE1230" i="1"/>
  <c r="AL1230" i="1"/>
  <c r="AN1230" i="1"/>
  <c r="AI1230" i="1"/>
  <c r="AM1230" i="1"/>
  <c r="AG1230" i="1"/>
  <c r="AF1230" i="1"/>
  <c r="AK1230" i="1"/>
  <c r="AB1232" i="1" l="1"/>
  <c r="AJ1231" i="1"/>
  <c r="AH1231" i="1"/>
  <c r="AC1231" i="1"/>
  <c r="AD1231" i="1"/>
  <c r="AE1231" i="1"/>
  <c r="AL1231" i="1"/>
  <c r="AG1231" i="1"/>
  <c r="AN1231" i="1"/>
  <c r="AI1231" i="1"/>
  <c r="AM1231" i="1"/>
  <c r="AK1231" i="1"/>
  <c r="AF1231" i="1"/>
  <c r="AB1233" i="1" l="1"/>
  <c r="AJ1232" i="1"/>
  <c r="AH1232" i="1"/>
  <c r="AC1232" i="1"/>
  <c r="AD1232" i="1"/>
  <c r="AE1232" i="1"/>
  <c r="AL1232" i="1"/>
  <c r="AN1232" i="1"/>
  <c r="AK1232" i="1"/>
  <c r="AF1232" i="1"/>
  <c r="AM1232" i="1"/>
  <c r="AG1232" i="1"/>
  <c r="AI1232" i="1"/>
  <c r="AB1234" i="1" l="1"/>
  <c r="AJ1233" i="1"/>
  <c r="AH1233" i="1"/>
  <c r="AC1233" i="1"/>
  <c r="AD1233" i="1"/>
  <c r="AE1233" i="1"/>
  <c r="AL1233" i="1"/>
  <c r="AN1233" i="1"/>
  <c r="AK1233" i="1"/>
  <c r="AI1233" i="1"/>
  <c r="AF1233" i="1"/>
  <c r="AM1233" i="1"/>
  <c r="AG1233" i="1"/>
  <c r="AB1235" i="1" l="1"/>
  <c r="AJ1234" i="1"/>
  <c r="AH1234" i="1"/>
  <c r="AC1234" i="1"/>
  <c r="AD1234" i="1"/>
  <c r="AG1234" i="1"/>
  <c r="AK1234" i="1"/>
  <c r="AF1234" i="1"/>
  <c r="AL1234" i="1"/>
  <c r="AN1234" i="1"/>
  <c r="AI1234" i="1"/>
  <c r="AM1234" i="1"/>
  <c r="AE1234" i="1"/>
  <c r="AB1236" i="1" l="1"/>
  <c r="AJ1235" i="1"/>
  <c r="AH1235" i="1"/>
  <c r="AC1235" i="1"/>
  <c r="AE1235" i="1"/>
  <c r="AL1235" i="1"/>
  <c r="AG1235" i="1"/>
  <c r="AD1235" i="1"/>
  <c r="AN1235" i="1"/>
  <c r="AK1235" i="1"/>
  <c r="AI1235" i="1"/>
  <c r="AF1235" i="1"/>
  <c r="AM1235" i="1"/>
  <c r="AB1237" i="1" l="1"/>
  <c r="AJ1236" i="1"/>
  <c r="AH1236" i="1"/>
  <c r="AC1236" i="1"/>
  <c r="AD1236" i="1"/>
  <c r="AL1236" i="1"/>
  <c r="AN1236" i="1"/>
  <c r="AK1236" i="1"/>
  <c r="AG1236" i="1"/>
  <c r="AE1236" i="1"/>
  <c r="AI1236" i="1"/>
  <c r="AM1236" i="1"/>
  <c r="AF1236" i="1"/>
  <c r="AB1238" i="1" l="1"/>
  <c r="AJ1237" i="1"/>
  <c r="AH1237" i="1"/>
  <c r="AC1237" i="1"/>
  <c r="AD1237" i="1"/>
  <c r="AE1237" i="1"/>
  <c r="AL1237" i="1"/>
  <c r="AN1237" i="1"/>
  <c r="AI1237" i="1"/>
  <c r="AF1237" i="1"/>
  <c r="AK1237" i="1"/>
  <c r="AM1237" i="1"/>
  <c r="AG1237" i="1"/>
  <c r="AB1239" i="1" l="1"/>
  <c r="AJ1238" i="1"/>
  <c r="AH1238" i="1"/>
  <c r="AC1238" i="1"/>
  <c r="AD1238" i="1"/>
  <c r="AL1238" i="1"/>
  <c r="AN1238" i="1"/>
  <c r="AI1238" i="1"/>
  <c r="AG1238" i="1"/>
  <c r="AE1238" i="1"/>
  <c r="AK1238" i="1"/>
  <c r="AF1238" i="1"/>
  <c r="AM1238" i="1"/>
  <c r="AB1240" i="1" l="1"/>
  <c r="AJ1239" i="1"/>
  <c r="AH1239" i="1"/>
  <c r="AC1239" i="1"/>
  <c r="AD1239" i="1"/>
  <c r="AG1239" i="1"/>
  <c r="AN1239" i="1"/>
  <c r="AK1239" i="1"/>
  <c r="AF1239" i="1"/>
  <c r="AL1239" i="1"/>
  <c r="AM1239" i="1"/>
  <c r="AE1239" i="1"/>
  <c r="AI1239" i="1"/>
  <c r="AB1241" i="1" l="1"/>
  <c r="AJ1240" i="1"/>
  <c r="AH1240" i="1"/>
  <c r="AC1240" i="1"/>
  <c r="AD1240" i="1"/>
  <c r="AL1240" i="1"/>
  <c r="AN1240" i="1"/>
  <c r="AK1240" i="1"/>
  <c r="AI1240" i="1"/>
  <c r="AM1240" i="1"/>
  <c r="AG1240" i="1"/>
  <c r="AF1240" i="1"/>
  <c r="AE1240" i="1"/>
  <c r="AB1242" i="1" l="1"/>
  <c r="AJ1241" i="1"/>
  <c r="AH1241" i="1"/>
  <c r="AC1241" i="1"/>
  <c r="AD1241" i="1"/>
  <c r="AE1241" i="1"/>
  <c r="AG1241" i="1"/>
  <c r="AK1241" i="1"/>
  <c r="AI1241" i="1"/>
  <c r="AF1241" i="1"/>
  <c r="AL1241" i="1"/>
  <c r="AN1241" i="1"/>
  <c r="AM1241" i="1"/>
  <c r="AB1243" i="1" l="1"/>
  <c r="AJ1242" i="1"/>
  <c r="AH1242" i="1"/>
  <c r="AC1242" i="1"/>
  <c r="AD1242" i="1"/>
  <c r="AL1242" i="1"/>
  <c r="AF1242" i="1"/>
  <c r="AM1242" i="1"/>
  <c r="AG1242" i="1"/>
  <c r="AE1242" i="1"/>
  <c r="AK1242" i="1"/>
  <c r="AI1242" i="1"/>
  <c r="AN1242" i="1"/>
  <c r="AB1244" i="1" l="1"/>
  <c r="AJ1243" i="1"/>
  <c r="AH1243" i="1"/>
  <c r="AC1243" i="1"/>
  <c r="AL1243" i="1"/>
  <c r="AK1243" i="1"/>
  <c r="AF1243" i="1"/>
  <c r="AD1243" i="1"/>
  <c r="AG1243" i="1"/>
  <c r="AN1243" i="1"/>
  <c r="AE1243" i="1"/>
  <c r="AI1243" i="1"/>
  <c r="AM1243" i="1"/>
  <c r="AB1245" i="1" l="1"/>
  <c r="AJ1244" i="1"/>
  <c r="AH1244" i="1"/>
  <c r="AC1244" i="1"/>
  <c r="AD1244" i="1"/>
  <c r="AE1244" i="1"/>
  <c r="AG1244" i="1"/>
  <c r="AN1244" i="1"/>
  <c r="AK1244" i="1"/>
  <c r="AI1244" i="1"/>
  <c r="AL1244" i="1"/>
  <c r="AM1244" i="1"/>
  <c r="AF1244" i="1"/>
  <c r="AB1246" i="1" l="1"/>
  <c r="AJ1245" i="1"/>
  <c r="AH1245" i="1"/>
  <c r="AC1245" i="1"/>
  <c r="AE1245" i="1"/>
  <c r="AG1245" i="1"/>
  <c r="AI1245" i="1"/>
  <c r="AD1245" i="1"/>
  <c r="AL1245" i="1"/>
  <c r="AK1245" i="1"/>
  <c r="AF1245" i="1"/>
  <c r="AM1245" i="1"/>
  <c r="AN1245" i="1"/>
  <c r="AB1247" i="1" l="1"/>
  <c r="AJ1246" i="1"/>
  <c r="AH1246" i="1"/>
  <c r="AC1246" i="1"/>
  <c r="AE1246" i="1"/>
  <c r="AG1246" i="1"/>
  <c r="AI1246" i="1"/>
  <c r="AF1246" i="1"/>
  <c r="AM1246" i="1"/>
  <c r="AD1246" i="1"/>
  <c r="AL1246" i="1"/>
  <c r="AK1246" i="1"/>
  <c r="AN1246" i="1"/>
  <c r="AB1248" i="1" l="1"/>
  <c r="AJ1247" i="1"/>
  <c r="AH1247" i="1"/>
  <c r="AC1247" i="1"/>
  <c r="AD1247" i="1"/>
  <c r="AE1247" i="1"/>
  <c r="AL1247" i="1"/>
  <c r="AG1247" i="1"/>
  <c r="AK1247" i="1"/>
  <c r="AI1247" i="1"/>
  <c r="AM1247" i="1"/>
  <c r="AF1247" i="1"/>
  <c r="AN1247" i="1"/>
  <c r="AB1249" i="1" l="1"/>
  <c r="AJ1248" i="1"/>
  <c r="AH1248" i="1"/>
  <c r="AC1248" i="1"/>
  <c r="AL1248" i="1"/>
  <c r="AI1248" i="1"/>
  <c r="AF1248" i="1"/>
  <c r="AD1248" i="1"/>
  <c r="AE1248" i="1"/>
  <c r="AG1248" i="1"/>
  <c r="AN1248" i="1"/>
  <c r="AM1248" i="1"/>
  <c r="AK1248" i="1"/>
  <c r="AB1250" i="1" l="1"/>
  <c r="AJ1249" i="1"/>
  <c r="AH1249" i="1"/>
  <c r="AC1249" i="1"/>
  <c r="AD1249" i="1"/>
  <c r="AL1249" i="1"/>
  <c r="AN1249" i="1"/>
  <c r="AF1249" i="1"/>
  <c r="AM1249" i="1"/>
  <c r="AE1249" i="1"/>
  <c r="AK1249" i="1"/>
  <c r="AI1249" i="1"/>
  <c r="AG1249" i="1"/>
  <c r="AB1251" i="1" l="1"/>
  <c r="AJ1250" i="1"/>
  <c r="AH1250" i="1"/>
  <c r="AC1250" i="1"/>
  <c r="AD1250" i="1"/>
  <c r="AE1250" i="1"/>
  <c r="AG1250" i="1"/>
  <c r="AN1250" i="1"/>
  <c r="AI1250" i="1"/>
  <c r="AK1250" i="1"/>
  <c r="AL1250" i="1"/>
  <c r="AF1250" i="1"/>
  <c r="AM1250" i="1"/>
  <c r="AB1252" i="1" l="1"/>
  <c r="AJ1251" i="1"/>
  <c r="AH1251" i="1"/>
  <c r="AC1251" i="1"/>
  <c r="AG1251" i="1"/>
  <c r="AN1251" i="1"/>
  <c r="AD1251" i="1"/>
  <c r="AL1251" i="1"/>
  <c r="AI1251" i="1"/>
  <c r="AM1251" i="1"/>
  <c r="AE1251" i="1"/>
  <c r="AF1251" i="1"/>
  <c r="AK1251" i="1"/>
  <c r="AB1253" i="1" l="1"/>
  <c r="AJ1252" i="1"/>
  <c r="AH1252" i="1"/>
  <c r="AC1252" i="1"/>
  <c r="AG1252" i="1"/>
  <c r="AN1252" i="1"/>
  <c r="AD1252" i="1"/>
  <c r="AL1252" i="1"/>
  <c r="AF1252" i="1"/>
  <c r="AE1252" i="1"/>
  <c r="AI1252" i="1"/>
  <c r="AM1252" i="1"/>
  <c r="AK1252" i="1"/>
  <c r="AB1254" i="1" l="1"/>
  <c r="AJ1253" i="1"/>
  <c r="AH1253" i="1"/>
  <c r="AC1253" i="1"/>
  <c r="AD1253" i="1"/>
  <c r="AE1253" i="1"/>
  <c r="AL1253" i="1"/>
  <c r="AN1253" i="1"/>
  <c r="AK1253" i="1"/>
  <c r="AI1253" i="1"/>
  <c r="AM1253" i="1"/>
  <c r="AF1253" i="1"/>
  <c r="AG1253" i="1"/>
  <c r="AB1255" i="1" l="1"/>
  <c r="AJ1254" i="1"/>
  <c r="AH1254" i="1"/>
  <c r="AC1254" i="1"/>
  <c r="AD1254" i="1"/>
  <c r="AE1254" i="1"/>
  <c r="AG1254" i="1"/>
  <c r="AN1254" i="1"/>
  <c r="AI1254" i="1"/>
  <c r="AF1254" i="1"/>
  <c r="AK1254" i="1"/>
  <c r="AL1254" i="1"/>
  <c r="AM1254" i="1"/>
  <c r="AB1256" i="1" l="1"/>
  <c r="AJ1255" i="1"/>
  <c r="AH1255" i="1"/>
  <c r="AC1255" i="1"/>
  <c r="AE1255" i="1"/>
  <c r="AG1255" i="1"/>
  <c r="AK1255" i="1"/>
  <c r="AF1255" i="1"/>
  <c r="AM1255" i="1"/>
  <c r="AD1255" i="1"/>
  <c r="AL1255" i="1"/>
  <c r="AI1255" i="1"/>
  <c r="AN1255" i="1"/>
  <c r="AB1257" i="1" l="1"/>
  <c r="AJ1256" i="1"/>
  <c r="AH1256" i="1"/>
  <c r="AC1256" i="1"/>
  <c r="AD1256" i="1"/>
  <c r="AE1256" i="1"/>
  <c r="AL1256" i="1"/>
  <c r="AG1256" i="1"/>
  <c r="AK1256" i="1"/>
  <c r="AI1256" i="1"/>
  <c r="AN1256" i="1"/>
  <c r="AF1256" i="1"/>
  <c r="AM1256" i="1"/>
  <c r="AB1258" i="1" l="1"/>
  <c r="AJ1257" i="1"/>
  <c r="AH1257" i="1"/>
  <c r="AC1257" i="1"/>
  <c r="AD1257" i="1"/>
  <c r="AL1257" i="1"/>
  <c r="AG1257" i="1"/>
  <c r="AK1257" i="1"/>
  <c r="AI1257" i="1"/>
  <c r="AE1257" i="1"/>
  <c r="AN1257" i="1"/>
  <c r="AF1257" i="1"/>
  <c r="AM1257" i="1"/>
  <c r="AB1259" i="1" l="1"/>
  <c r="AJ1258" i="1"/>
  <c r="AH1258" i="1"/>
  <c r="AC1258" i="1"/>
  <c r="AD1258" i="1"/>
  <c r="AE1258" i="1"/>
  <c r="AL1258" i="1"/>
  <c r="AG1258" i="1"/>
  <c r="AN1258" i="1"/>
  <c r="AK1258" i="1"/>
  <c r="AI1258" i="1"/>
  <c r="AM1258" i="1"/>
  <c r="AF1258" i="1"/>
  <c r="AB1260" i="1" l="1"/>
  <c r="AJ1259" i="1"/>
  <c r="AH1259" i="1"/>
  <c r="AC1259" i="1"/>
  <c r="AE1259" i="1"/>
  <c r="AG1259" i="1"/>
  <c r="AD1259" i="1"/>
  <c r="AN1259" i="1"/>
  <c r="AI1259" i="1"/>
  <c r="AF1259" i="1"/>
  <c r="AM1259" i="1"/>
  <c r="AL1259" i="1"/>
  <c r="AK1259" i="1"/>
  <c r="AJ1260" i="1" l="1"/>
  <c r="AH1260" i="1"/>
  <c r="AG1260" i="1"/>
  <c r="AN1260" i="1"/>
  <c r="AM1260" i="1"/>
  <c r="AD1260" i="1"/>
  <c r="AE1260" i="1"/>
  <c r="AI1260" i="1"/>
  <c r="AC1260" i="1"/>
  <c r="AK1260" i="1"/>
  <c r="AL1260" i="1"/>
  <c r="AF1260" i="1"/>
</calcChain>
</file>

<file path=xl/sharedStrings.xml><?xml version="1.0" encoding="utf-8"?>
<sst xmlns="http://schemas.openxmlformats.org/spreadsheetml/2006/main" count="47" uniqueCount="22">
  <si>
    <t>VLO</t>
  </si>
  <si>
    <t>RHI</t>
  </si>
  <si>
    <t>RL</t>
  </si>
  <si>
    <t>Kezdő dátum:</t>
  </si>
  <si>
    <t>Végső dátum:</t>
  </si>
  <si>
    <t>Dátum</t>
  </si>
  <si>
    <t>Loghozamok</t>
  </si>
  <si>
    <t>Adatok</t>
  </si>
  <si>
    <t>Kiválasztott loghozamok</t>
  </si>
  <si>
    <t>Nap</t>
  </si>
  <si>
    <t>Átlag</t>
  </si>
  <si>
    <t>Szórás</t>
  </si>
  <si>
    <t>Minta elemszám</t>
  </si>
  <si>
    <t>Osztásközök</t>
  </si>
  <si>
    <t>Ív hossz (h)</t>
  </si>
  <si>
    <t>A kezdő és végső dátum az Ábrázolás lapon módosítható</t>
  </si>
  <si>
    <t>u</t>
  </si>
  <si>
    <t>c</t>
  </si>
  <si>
    <t>DB</t>
  </si>
  <si>
    <t>edf</t>
  </si>
  <si>
    <t>Sorszám</t>
  </si>
  <si>
    <t>Dátumok kiválasztása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</si>
</sst>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0000"/>
    <numFmt numFmtId="167" formatCode="0.000000000"/>
  </numFmts>
  <fonts count="5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vertical="center"/>
    </xf>
    <xf numFmtId="14" fontId="0" fillId="0" borderId="1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4" fontId="0" fillId="0" borderId="1" xfId="0" applyNumberFormat="1" applyBorder="1"/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/>
    </xf>
    <xf numFmtId="166" fontId="0" fillId="3" borderId="3" xfId="0" applyNumberFormat="1" applyFill="1" applyBorder="1" applyAlignment="1">
      <alignment horizontal="center"/>
    </xf>
    <xf numFmtId="167" fontId="0" fillId="3" borderId="3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14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 vertical="center"/>
    </xf>
    <xf numFmtId="0" fontId="0" fillId="0" borderId="8" xfId="0" applyBorder="1"/>
    <xf numFmtId="14" fontId="0" fillId="0" borderId="0" xfId="0" applyNumberFormat="1"/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ál" xfId="0" builtinId="0"/>
  </cellStyles>
  <dxfs count="5"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 sz="1200"/>
              <a:t>RHI,</a:t>
            </a:r>
            <a:r>
              <a:rPr lang="hu-HU" sz="1200" baseline="0"/>
              <a:t> RL, VLO részvények napi loghozamainak átlaga és szórása a kiválasztott időszakra</a:t>
            </a:r>
            <a:endParaRPr lang="hu-HU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'RHI, RL, VLO'!$X$4</c:f>
              <c:numCache>
                <c:formatCode>General</c:formatCode>
                <c:ptCount val="1"/>
                <c:pt idx="0">
                  <c:v>2.1684284820750861E-2</c:v>
                </c:pt>
              </c:numCache>
            </c:numRef>
          </c:xVal>
          <c:yVal>
            <c:numRef>
              <c:f>'RHI, RL, VLO'!$X$3</c:f>
              <c:numCache>
                <c:formatCode>0.00000000</c:formatCode>
                <c:ptCount val="1"/>
                <c:pt idx="0">
                  <c:v>3.5121632251024421E-4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1-4ED5-B6FA-493D88022EDA}"/>
            </c:ext>
          </c:extLst>
        </c:ser>
        <c:ser>
          <c:idx val="1"/>
          <c:order val="1"/>
          <c:tx>
            <c:v>RL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'RHI, RL, VLO'!$Y$4</c:f>
              <c:numCache>
                <c:formatCode>General</c:formatCode>
                <c:ptCount val="1"/>
                <c:pt idx="0">
                  <c:v>2.678525982581632E-2</c:v>
                </c:pt>
              </c:numCache>
            </c:numRef>
          </c:xVal>
          <c:yVal>
            <c:numRef>
              <c:f>'RHI, RL, VLO'!$Y$3</c:f>
              <c:numCache>
                <c:formatCode>0.000000000</c:formatCode>
                <c:ptCount val="1"/>
                <c:pt idx="0">
                  <c:v>2.4905259691653068E-4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1-4ED5-B6FA-493D88022EDA}"/>
            </c:ext>
          </c:extLst>
        </c:ser>
        <c:ser>
          <c:idx val="2"/>
          <c:order val="2"/>
          <c:tx>
            <c:v>VLO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'RHI, RL, VLO'!$Z$4</c:f>
              <c:numCache>
                <c:formatCode>General</c:formatCode>
                <c:ptCount val="1"/>
                <c:pt idx="0">
                  <c:v>3.040222218271809E-2</c:v>
                </c:pt>
              </c:numCache>
            </c:numRef>
          </c:xVal>
          <c:yVal>
            <c:numRef>
              <c:f>'RHI, RL, VLO'!$Z$3</c:f>
              <c:numCache>
                <c:formatCode>0.000000000</c:formatCode>
                <c:ptCount val="1"/>
                <c:pt idx="0">
                  <c:v>4.3166860325481824E-4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1-4ED5-B6FA-493D8802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256480"/>
        <c:axId val="1123256000"/>
      </c:scatterChart>
      <c:valAx>
        <c:axId val="1123256480"/>
        <c:scaling>
          <c:orientation val="minMax"/>
          <c:max val="5.00000000000000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Szórások</a:t>
                </a:r>
              </a:p>
            </c:rich>
          </c:tx>
          <c:layout>
            <c:manualLayout>
              <c:xMode val="edge"/>
              <c:yMode val="edge"/>
              <c:x val="0.51223717424666182"/>
              <c:y val="0.868377154047311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23256000"/>
        <c:crosses val="autoZero"/>
        <c:crossBetween val="midCat"/>
        <c:majorUnit val="1.0000000000000002E-2"/>
      </c:valAx>
      <c:valAx>
        <c:axId val="1123256000"/>
        <c:scaling>
          <c:orientation val="minMax"/>
          <c:max val="3.0000000000000009E-3"/>
          <c:min val="-3.000000000000000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Á</a:t>
                </a:r>
                <a:r>
                  <a:rPr lang="hu-HU"/>
                  <a:t>tlagok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23256480"/>
        <c:crosses val="autoZero"/>
        <c:crossBetween val="midCat"/>
        <c:majorUnit val="1.0000000000000002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RHI,</a:t>
            </a:r>
            <a:r>
              <a:rPr lang="hu-HU" baseline="0"/>
              <a:t> RI, VLO részvények napi loghozamainak  empirikus sűrűségfüggvényei a kiválasztott időszakra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RHI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'RHI, RL, VLO'!$AD$4:$AD$1260</c:f>
              <c:numCache>
                <c:formatCode>0.00000</c:formatCode>
                <c:ptCount val="1257"/>
                <c:pt idx="0">
                  <c:v>-6.656029112437814E-2</c:v>
                </c:pt>
                <c:pt idx="1">
                  <c:v>-6.2842985155106557E-2</c:v>
                </c:pt>
                <c:pt idx="2">
                  <c:v>-5.9125679185834987E-2</c:v>
                </c:pt>
                <c:pt idx="3">
                  <c:v>-5.5408373216563403E-2</c:v>
                </c:pt>
                <c:pt idx="4">
                  <c:v>-5.1691067247291833E-2</c:v>
                </c:pt>
                <c:pt idx="5">
                  <c:v>-4.7973761278020249E-2</c:v>
                </c:pt>
                <c:pt idx="6">
                  <c:v>-4.425645530874868E-2</c:v>
                </c:pt>
                <c:pt idx="7">
                  <c:v>-4.0539149339477096E-2</c:v>
                </c:pt>
                <c:pt idx="8">
                  <c:v>-3.6821843370205526E-2</c:v>
                </c:pt>
                <c:pt idx="9">
                  <c:v>-3.3104537400933942E-2</c:v>
                </c:pt>
                <c:pt idx="10">
                  <c:v>-2.9387231431662369E-2</c:v>
                </c:pt>
                <c:pt idx="11">
                  <c:v>-2.5669925462390792E-2</c:v>
                </c:pt>
                <c:pt idx="12">
                  <c:v>-2.1952619493119215E-2</c:v>
                </c:pt>
                <c:pt idx="13">
                  <c:v>-1.8235313523847638E-2</c:v>
                </c:pt>
                <c:pt idx="14">
                  <c:v>-1.4518007554576062E-2</c:v>
                </c:pt>
                <c:pt idx="15">
                  <c:v>-1.0800701585304485E-2</c:v>
                </c:pt>
                <c:pt idx="16">
                  <c:v>-7.083395616032908E-3</c:v>
                </c:pt>
                <c:pt idx="17">
                  <c:v>-3.3660896467613312E-3</c:v>
                </c:pt>
                <c:pt idx="18">
                  <c:v>3.5121632251024562E-4</c:v>
                </c:pt>
                <c:pt idx="19">
                  <c:v>4.0685222917818224E-3</c:v>
                </c:pt>
                <c:pt idx="20">
                  <c:v>7.7858282610533992E-3</c:v>
                </c:pt>
                <c:pt idx="21">
                  <c:v>1.1503134230324976E-2</c:v>
                </c:pt>
                <c:pt idx="22">
                  <c:v>1.5220440199596553E-2</c:v>
                </c:pt>
                <c:pt idx="23">
                  <c:v>1.893774616886813E-2</c:v>
                </c:pt>
                <c:pt idx="24">
                  <c:v>2.2655052138139706E-2</c:v>
                </c:pt>
                <c:pt idx="25">
                  <c:v>2.6372358107411283E-2</c:v>
                </c:pt>
                <c:pt idx="26">
                  <c:v>3.008966407668286E-2</c:v>
                </c:pt>
                <c:pt idx="27">
                  <c:v>3.380697004595444E-2</c:v>
                </c:pt>
                <c:pt idx="28">
                  <c:v>3.752427601522601E-2</c:v>
                </c:pt>
                <c:pt idx="29">
                  <c:v>4.1241581984497594E-2</c:v>
                </c:pt>
                <c:pt idx="30">
                  <c:v>4.4958887953769164E-2</c:v>
                </c:pt>
                <c:pt idx="31">
                  <c:v>4.8676193923040748E-2</c:v>
                </c:pt>
                <c:pt idx="32">
                  <c:v>5.2393499892312317E-2</c:v>
                </c:pt>
                <c:pt idx="33">
                  <c:v>5.6110805861583901E-2</c:v>
                </c:pt>
                <c:pt idx="34">
                  <c:v>5.9828111830855471E-2</c:v>
                </c:pt>
                <c:pt idx="35">
                  <c:v>6.3545417800127055E-2</c:v>
                </c:pt>
                <c:pt idx="36">
                  <c:v>6.7262723769398639E-2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xVal>
          <c:yVal>
            <c:numRef>
              <c:f>'RHI, RL, VLO'!$AF$4:$AF$1260</c:f>
              <c:numCache>
                <c:formatCode>0.00000</c:formatCode>
                <c:ptCount val="1257"/>
                <c:pt idx="0">
                  <c:v>2.9961561862599564</c:v>
                </c:pt>
                <c:pt idx="1">
                  <c:v>0.42802231232285087</c:v>
                </c:pt>
                <c:pt idx="2">
                  <c:v>0.42802231232285087</c:v>
                </c:pt>
                <c:pt idx="3">
                  <c:v>0.64203346848427634</c:v>
                </c:pt>
                <c:pt idx="4">
                  <c:v>1.0700557808071272</c:v>
                </c:pt>
                <c:pt idx="5">
                  <c:v>1.4980780931299782</c:v>
                </c:pt>
                <c:pt idx="6">
                  <c:v>0.21401115616142544</c:v>
                </c:pt>
                <c:pt idx="7">
                  <c:v>1.0700557808071272</c:v>
                </c:pt>
                <c:pt idx="8">
                  <c:v>2.1401115616142543</c:v>
                </c:pt>
                <c:pt idx="9">
                  <c:v>3.6381896547442323</c:v>
                </c:pt>
                <c:pt idx="10">
                  <c:v>5.1362677478742107</c:v>
                </c:pt>
                <c:pt idx="11">
                  <c:v>5.7783012163584866</c:v>
                </c:pt>
                <c:pt idx="12">
                  <c:v>8.9884685587798678</c:v>
                </c:pt>
                <c:pt idx="13">
                  <c:v>9.4164908711027184</c:v>
                </c:pt>
                <c:pt idx="14">
                  <c:v>12.626658213524102</c:v>
                </c:pt>
                <c:pt idx="15">
                  <c:v>17.976937117559736</c:v>
                </c:pt>
                <c:pt idx="16">
                  <c:v>18.190948273721162</c:v>
                </c:pt>
                <c:pt idx="17">
                  <c:v>27.393427988662456</c:v>
                </c:pt>
                <c:pt idx="18">
                  <c:v>27.821450300985305</c:v>
                </c:pt>
                <c:pt idx="19">
                  <c:v>22.899193709272524</c:v>
                </c:pt>
                <c:pt idx="20">
                  <c:v>19.475015210689715</c:v>
                </c:pt>
                <c:pt idx="21">
                  <c:v>17.976937117559736</c:v>
                </c:pt>
                <c:pt idx="22">
                  <c:v>15.194792087461206</c:v>
                </c:pt>
                <c:pt idx="23">
                  <c:v>14.338747462815505</c:v>
                </c:pt>
                <c:pt idx="24">
                  <c:v>8.1324239341341666</c:v>
                </c:pt>
                <c:pt idx="25">
                  <c:v>7.704401621811316</c:v>
                </c:pt>
                <c:pt idx="26">
                  <c:v>2.9961561862599564</c:v>
                </c:pt>
                <c:pt idx="27">
                  <c:v>4.2802231232285086</c:v>
                </c:pt>
                <c:pt idx="28">
                  <c:v>2.5681338739371053</c:v>
                </c:pt>
                <c:pt idx="29">
                  <c:v>1.0700557808071272</c:v>
                </c:pt>
                <c:pt idx="30">
                  <c:v>0.64203346848427634</c:v>
                </c:pt>
                <c:pt idx="31">
                  <c:v>0.42802231232285087</c:v>
                </c:pt>
                <c:pt idx="32">
                  <c:v>0.64203346848427634</c:v>
                </c:pt>
                <c:pt idx="33">
                  <c:v>0.21401115616142544</c:v>
                </c:pt>
                <c:pt idx="34">
                  <c:v>0.21401115616142544</c:v>
                </c:pt>
                <c:pt idx="35">
                  <c:v>0.42802231232285087</c:v>
                </c:pt>
                <c:pt idx="36">
                  <c:v>0.21401115616142544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D4-4D48-ACC1-34C15B7F6C3E}"/>
            </c:ext>
          </c:extLst>
        </c:ser>
        <c:ser>
          <c:idx val="1"/>
          <c:order val="1"/>
          <c:tx>
            <c:v>RL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'RHI, RL, VLO'!$AH$4:$AH$1260</c:f>
              <c:numCache>
                <c:formatCode>0.00000</c:formatCode>
                <c:ptCount val="1257"/>
                <c:pt idx="0">
                  <c:v>-8.2402606294173827E-2</c:v>
                </c:pt>
                <c:pt idx="1">
                  <c:v>-7.7810847466891028E-2</c:v>
                </c:pt>
                <c:pt idx="2">
                  <c:v>-7.3219088639608229E-2</c:v>
                </c:pt>
                <c:pt idx="3">
                  <c:v>-6.862732981232543E-2</c:v>
                </c:pt>
                <c:pt idx="4">
                  <c:v>-6.4035570985042631E-2</c:v>
                </c:pt>
                <c:pt idx="5">
                  <c:v>-5.9443812157759832E-2</c:v>
                </c:pt>
                <c:pt idx="6">
                  <c:v>-5.4852053330477032E-2</c:v>
                </c:pt>
                <c:pt idx="7">
                  <c:v>-5.0260294503194233E-2</c:v>
                </c:pt>
                <c:pt idx="8">
                  <c:v>-4.5668535675911434E-2</c:v>
                </c:pt>
                <c:pt idx="9">
                  <c:v>-4.1076776848628635E-2</c:v>
                </c:pt>
                <c:pt idx="10">
                  <c:v>-3.6485018021345836E-2</c:v>
                </c:pt>
                <c:pt idx="11">
                  <c:v>-3.1893259194063037E-2</c:v>
                </c:pt>
                <c:pt idx="12">
                  <c:v>-2.7301500366780238E-2</c:v>
                </c:pt>
                <c:pt idx="13">
                  <c:v>-2.2709741539497438E-2</c:v>
                </c:pt>
                <c:pt idx="14">
                  <c:v>-1.8117982712214639E-2</c:v>
                </c:pt>
                <c:pt idx="15">
                  <c:v>-1.352622388493184E-2</c:v>
                </c:pt>
                <c:pt idx="16">
                  <c:v>-8.9344650576490443E-3</c:v>
                </c:pt>
                <c:pt idx="17">
                  <c:v>-4.342706230366246E-3</c:v>
                </c:pt>
                <c:pt idx="18">
                  <c:v>2.4905259691655138E-4</c:v>
                </c:pt>
                <c:pt idx="19">
                  <c:v>4.8408114241993488E-3</c:v>
                </c:pt>
                <c:pt idx="20">
                  <c:v>9.4325702514821454E-3</c:v>
                </c:pt>
                <c:pt idx="21">
                  <c:v>1.4024329078764941E-2</c:v>
                </c:pt>
                <c:pt idx="22">
                  <c:v>1.861608790604774E-2</c:v>
                </c:pt>
                <c:pt idx="23">
                  <c:v>2.3207846733330539E-2</c:v>
                </c:pt>
                <c:pt idx="24">
                  <c:v>2.7799605560613339E-2</c:v>
                </c:pt>
                <c:pt idx="25">
                  <c:v>3.2391364387896138E-2</c:v>
                </c:pt>
                <c:pt idx="26">
                  <c:v>3.6983123215178937E-2</c:v>
                </c:pt>
                <c:pt idx="27">
                  <c:v>4.1574882042461736E-2</c:v>
                </c:pt>
                <c:pt idx="28">
                  <c:v>4.6166640869744535E-2</c:v>
                </c:pt>
                <c:pt idx="29">
                  <c:v>5.0758399697027334E-2</c:v>
                </c:pt>
                <c:pt idx="30">
                  <c:v>5.5350158524310134E-2</c:v>
                </c:pt>
                <c:pt idx="31">
                  <c:v>5.9941917351592933E-2</c:v>
                </c:pt>
                <c:pt idx="32">
                  <c:v>6.4533676178875732E-2</c:v>
                </c:pt>
                <c:pt idx="33">
                  <c:v>6.9125435006158531E-2</c:v>
                </c:pt>
                <c:pt idx="34">
                  <c:v>7.371719383344133E-2</c:v>
                </c:pt>
                <c:pt idx="35">
                  <c:v>7.8308952660724129E-2</c:v>
                </c:pt>
                <c:pt idx="36">
                  <c:v>8.2900711488006928E-2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xVal>
          <c:yVal>
            <c:numRef>
              <c:f>'RHI, RL, VLO'!$AJ$4:$AJ$1260</c:f>
              <c:numCache>
                <c:formatCode>0.00000</c:formatCode>
                <c:ptCount val="1257"/>
                <c:pt idx="0">
                  <c:v>1.905804455405995</c:v>
                </c:pt>
                <c:pt idx="1">
                  <c:v>0.17325495049145409</c:v>
                </c:pt>
                <c:pt idx="2">
                  <c:v>0.34650990098290818</c:v>
                </c:pt>
                <c:pt idx="3">
                  <c:v>0.69301980196581636</c:v>
                </c:pt>
                <c:pt idx="4">
                  <c:v>0.86627475245727048</c:v>
                </c:pt>
                <c:pt idx="5">
                  <c:v>1.0395297029487245</c:v>
                </c:pt>
                <c:pt idx="6">
                  <c:v>1.732549504914541</c:v>
                </c:pt>
                <c:pt idx="7">
                  <c:v>0.86627475245727048</c:v>
                </c:pt>
                <c:pt idx="8">
                  <c:v>2.079059405897449</c:v>
                </c:pt>
                <c:pt idx="9">
                  <c:v>2.252314356388903</c:v>
                </c:pt>
                <c:pt idx="10">
                  <c:v>3.9848638613034444</c:v>
                </c:pt>
                <c:pt idx="11">
                  <c:v>5.5441584157265309</c:v>
                </c:pt>
                <c:pt idx="12">
                  <c:v>5.8906683167094389</c:v>
                </c:pt>
                <c:pt idx="13">
                  <c:v>8.6627475245727048</c:v>
                </c:pt>
                <c:pt idx="14">
                  <c:v>11.608081682927425</c:v>
                </c:pt>
                <c:pt idx="15">
                  <c:v>13.16737623735051</c:v>
                </c:pt>
                <c:pt idx="16">
                  <c:v>16.80573019767105</c:v>
                </c:pt>
                <c:pt idx="17">
                  <c:v>21.65686881143176</c:v>
                </c:pt>
                <c:pt idx="18">
                  <c:v>19.231299504551405</c:v>
                </c:pt>
                <c:pt idx="19">
                  <c:v>19.751064356025765</c:v>
                </c:pt>
                <c:pt idx="20">
                  <c:v>16.80573019767105</c:v>
                </c:pt>
                <c:pt idx="21">
                  <c:v>12.647611385876148</c:v>
                </c:pt>
                <c:pt idx="22">
                  <c:v>11.781336633418878</c:v>
                </c:pt>
                <c:pt idx="23">
                  <c:v>10.395297029487246</c:v>
                </c:pt>
                <c:pt idx="24">
                  <c:v>7.2767079206410719</c:v>
                </c:pt>
                <c:pt idx="25">
                  <c:v>5.0243935642521684</c:v>
                </c:pt>
                <c:pt idx="26">
                  <c:v>3.9848638613034444</c:v>
                </c:pt>
                <c:pt idx="27">
                  <c:v>2.5988242573718114</c:v>
                </c:pt>
                <c:pt idx="28">
                  <c:v>1.559294554423087</c:v>
                </c:pt>
                <c:pt idx="29">
                  <c:v>2.4255693068803574</c:v>
                </c:pt>
                <c:pt idx="30">
                  <c:v>1.2127846534401787</c:v>
                </c:pt>
                <c:pt idx="31">
                  <c:v>1.0395297029487245</c:v>
                </c:pt>
                <c:pt idx="32">
                  <c:v>0.34650990098290818</c:v>
                </c:pt>
                <c:pt idx="33">
                  <c:v>0.34650990098290818</c:v>
                </c:pt>
                <c:pt idx="34">
                  <c:v>0.34650990098290818</c:v>
                </c:pt>
                <c:pt idx="35">
                  <c:v>0.34650990098290818</c:v>
                </c:pt>
                <c:pt idx="36">
                  <c:v>0.17325495049145409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D4-4D48-ACC1-34C15B7F6C3E}"/>
            </c:ext>
          </c:extLst>
        </c:ser>
        <c:ser>
          <c:idx val="2"/>
          <c:order val="2"/>
          <c:tx>
            <c:v>VLO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'RHI, RL, VLO'!$AL$4:$AL$1260</c:f>
              <c:numCache>
                <c:formatCode>0.00000</c:formatCode>
                <c:ptCount val="1257"/>
                <c:pt idx="0">
                  <c:v>-9.3380902703418145E-2</c:v>
                </c:pt>
                <c:pt idx="1">
                  <c:v>-8.8169093186380762E-2</c:v>
                </c:pt>
                <c:pt idx="2">
                  <c:v>-8.2957283669343379E-2</c:v>
                </c:pt>
                <c:pt idx="3">
                  <c:v>-7.7745474152305996E-2</c:v>
                </c:pt>
                <c:pt idx="4">
                  <c:v>-7.2533664635268613E-2</c:v>
                </c:pt>
                <c:pt idx="5">
                  <c:v>-6.732185511823123E-2</c:v>
                </c:pt>
                <c:pt idx="6">
                  <c:v>-6.211004560119384E-2</c:v>
                </c:pt>
                <c:pt idx="7">
                  <c:v>-5.6898236084156457E-2</c:v>
                </c:pt>
                <c:pt idx="8">
                  <c:v>-5.1686426567119075E-2</c:v>
                </c:pt>
                <c:pt idx="9">
                  <c:v>-4.6474617050081692E-2</c:v>
                </c:pt>
                <c:pt idx="10">
                  <c:v>-4.1262807533044309E-2</c:v>
                </c:pt>
                <c:pt idx="11">
                  <c:v>-3.6050998016006926E-2</c:v>
                </c:pt>
                <c:pt idx="12">
                  <c:v>-3.0839188498969543E-2</c:v>
                </c:pt>
                <c:pt idx="13">
                  <c:v>-2.5627378981932153E-2</c:v>
                </c:pt>
                <c:pt idx="14">
                  <c:v>-2.041556946489477E-2</c:v>
                </c:pt>
                <c:pt idx="15">
                  <c:v>-1.5203759947857382E-2</c:v>
                </c:pt>
                <c:pt idx="16">
                  <c:v>-9.9919504308199954E-3</c:v>
                </c:pt>
                <c:pt idx="17">
                  <c:v>-4.780140913782609E-3</c:v>
                </c:pt>
                <c:pt idx="18">
                  <c:v>4.3166860325477736E-4</c:v>
                </c:pt>
                <c:pt idx="19">
                  <c:v>5.6434781202921638E-3</c:v>
                </c:pt>
                <c:pt idx="20">
                  <c:v>1.085528763732955E-2</c:v>
                </c:pt>
                <c:pt idx="21">
                  <c:v>1.6067097154366938E-2</c:v>
                </c:pt>
                <c:pt idx="22">
                  <c:v>2.1278906671404321E-2</c:v>
                </c:pt>
                <c:pt idx="23">
                  <c:v>2.6490716188441711E-2</c:v>
                </c:pt>
                <c:pt idx="24">
                  <c:v>3.1702525705479094E-2</c:v>
                </c:pt>
                <c:pt idx="25">
                  <c:v>3.6914335222516477E-2</c:v>
                </c:pt>
                <c:pt idx="26">
                  <c:v>4.212614473955386E-2</c:v>
                </c:pt>
                <c:pt idx="27">
                  <c:v>4.7337954256591243E-2</c:v>
                </c:pt>
                <c:pt idx="28">
                  <c:v>5.2549763773628626E-2</c:v>
                </c:pt>
                <c:pt idx="29">
                  <c:v>5.7761573290666009E-2</c:v>
                </c:pt>
                <c:pt idx="30">
                  <c:v>6.2973382807703385E-2</c:v>
                </c:pt>
                <c:pt idx="31">
                  <c:v>6.8185192324740768E-2</c:v>
                </c:pt>
                <c:pt idx="32">
                  <c:v>7.3397001841778151E-2</c:v>
                </c:pt>
                <c:pt idx="33">
                  <c:v>7.8608811358815533E-2</c:v>
                </c:pt>
                <c:pt idx="34">
                  <c:v>8.3820620875852916E-2</c:v>
                </c:pt>
                <c:pt idx="35">
                  <c:v>8.9032430392890299E-2</c:v>
                </c:pt>
                <c:pt idx="36">
                  <c:v>9.4244239909927682E-2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xVal>
          <c:yVal>
            <c:numRef>
              <c:f>'RHI, RL, VLO'!$AN$4:$AN$1260</c:f>
              <c:numCache>
                <c:formatCode>0.00000</c:formatCode>
                <c:ptCount val="1257"/>
                <c:pt idx="0">
                  <c:v>1.0684992649525302</c:v>
                </c:pt>
                <c:pt idx="1">
                  <c:v>0.30528550427215151</c:v>
                </c:pt>
                <c:pt idx="2">
                  <c:v>0.15264275213607575</c:v>
                </c:pt>
                <c:pt idx="3">
                  <c:v>1.0684992649525302</c:v>
                </c:pt>
                <c:pt idx="4">
                  <c:v>0.91585651281645442</c:v>
                </c:pt>
                <c:pt idx="5">
                  <c:v>0.61057100854430302</c:v>
                </c:pt>
                <c:pt idx="6">
                  <c:v>0.91585651281645442</c:v>
                </c:pt>
                <c:pt idx="7">
                  <c:v>1.8317130256329088</c:v>
                </c:pt>
                <c:pt idx="8">
                  <c:v>1.221142017088606</c:v>
                </c:pt>
                <c:pt idx="9">
                  <c:v>2.1369985299050605</c:v>
                </c:pt>
                <c:pt idx="10">
                  <c:v>2.7475695384493632</c:v>
                </c:pt>
                <c:pt idx="11">
                  <c:v>3.9687115555379688</c:v>
                </c:pt>
                <c:pt idx="12">
                  <c:v>6.4109955897151805</c:v>
                </c:pt>
                <c:pt idx="13">
                  <c:v>7.6321376068037869</c:v>
                </c:pt>
                <c:pt idx="14">
                  <c:v>8.0900658632120148</c:v>
                </c:pt>
                <c:pt idx="15">
                  <c:v>10.6849926495253</c:v>
                </c:pt>
                <c:pt idx="16">
                  <c:v>17.553916495648711</c:v>
                </c:pt>
                <c:pt idx="17">
                  <c:v>17.859201999920863</c:v>
                </c:pt>
                <c:pt idx="18">
                  <c:v>20.148843281961998</c:v>
                </c:pt>
                <c:pt idx="19">
                  <c:v>17.706559247784785</c:v>
                </c:pt>
                <c:pt idx="20">
                  <c:v>16.027488974287952</c:v>
                </c:pt>
                <c:pt idx="21">
                  <c:v>10.6849926495253</c:v>
                </c:pt>
                <c:pt idx="22">
                  <c:v>12.058777418749983</c:v>
                </c:pt>
                <c:pt idx="23">
                  <c:v>8.5479941196202418</c:v>
                </c:pt>
                <c:pt idx="24">
                  <c:v>4.4266398119461963</c:v>
                </c:pt>
                <c:pt idx="25">
                  <c:v>4.4266398119461963</c:v>
                </c:pt>
                <c:pt idx="26">
                  <c:v>2.9002122905854391</c:v>
                </c:pt>
                <c:pt idx="27">
                  <c:v>2.7475695384493632</c:v>
                </c:pt>
                <c:pt idx="28">
                  <c:v>2.1369985299050605</c:v>
                </c:pt>
                <c:pt idx="29">
                  <c:v>1.3737847692246816</c:v>
                </c:pt>
                <c:pt idx="30">
                  <c:v>0.61057100854430302</c:v>
                </c:pt>
                <c:pt idx="31">
                  <c:v>0.30528550427215151</c:v>
                </c:pt>
                <c:pt idx="32">
                  <c:v>0.76321376068037872</c:v>
                </c:pt>
                <c:pt idx="33">
                  <c:v>0.30528550427215151</c:v>
                </c:pt>
                <c:pt idx="34">
                  <c:v>0</c:v>
                </c:pt>
                <c:pt idx="35">
                  <c:v>0.30528550427215151</c:v>
                </c:pt>
                <c:pt idx="36">
                  <c:v>0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D4-4D48-ACC1-34C15B7F6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65632"/>
        <c:axId val="442963712"/>
      </c:scatterChart>
      <c:valAx>
        <c:axId val="442965632"/>
        <c:scaling>
          <c:orientation val="minMax"/>
          <c:max val="0.11000000000000001"/>
          <c:min val="-0.110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Napi loghozam,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42963712"/>
        <c:crosses val="autoZero"/>
        <c:crossBetween val="midCat"/>
        <c:majorUnit val="4.0000000000000008E-2"/>
      </c:valAx>
      <c:valAx>
        <c:axId val="442963712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edf(y)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42965632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403860</xdr:colOff>
      <xdr:row>4</xdr:row>
      <xdr:rowOff>68580</xdr:rowOff>
    </xdr:from>
    <xdr:to>
      <xdr:col>8</xdr:col>
      <xdr:colOff>541020</xdr:colOff>
      <xdr:row>26</xdr:row>
      <xdr:rowOff>167640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A092B927-E959-433A-A95A-8D46F3FA0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99060</xdr:colOff>
      <xdr:row>4</xdr:row>
      <xdr:rowOff>68580</xdr:rowOff>
    </xdr:from>
    <xdr:to>
      <xdr:col>20</xdr:col>
      <xdr:colOff>335280</xdr:colOff>
      <xdr:row>26</xdr:row>
      <xdr:rowOff>175260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2B32C3AD-F7F4-4E8E-AFBC-B7F57D0F1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AFA68-AC88-40F6-AEAD-1C2C628F47D7}">
  <sheetPr codeName="Munka1"/>
  <dimension ref="A1:AN1260"/>
  <sheetViews>
    <sheetView showGridLines="0" tabSelected="1" topLeftCell="A1234" workbookViewId="0">
      <selection activeCell="A760" sqref="A760:D1260"/>
    </sheetView>
  </sheetViews>
  <sheetFormatPr defaultRowHeight="14.4" x14ac:dyDescent="0.3"/>
  <cols>
    <col min="1" max="6" width="13" style="1" customWidth="1"/>
    <col min="7" max="10" width="12.6640625" customWidth="1"/>
    <col min="12" max="12" width="14.109375" customWidth="1"/>
    <col min="13" max="14" width="16.5546875" customWidth="1"/>
    <col min="15" max="15" width="10.109375" bestFit="1" customWidth="1"/>
    <col min="17" max="21" width="12.6640625" customWidth="1"/>
    <col min="23" max="26" width="15.109375" customWidth="1"/>
    <col min="28" max="40" width="10.21875" customWidth="1"/>
  </cols>
  <sheetData>
    <row r="1" spans="1:40" x14ac:dyDescent="0.3">
      <c r="A1" s="43" t="s">
        <v>7</v>
      </c>
      <c r="B1" s="43"/>
      <c r="C1" s="43"/>
      <c r="D1" s="43"/>
      <c r="E1" s="11"/>
      <c r="F1" s="42" t="s">
        <v>6</v>
      </c>
      <c r="G1" s="42"/>
      <c r="H1" s="42"/>
      <c r="I1" s="42"/>
      <c r="J1" s="42"/>
      <c r="Q1" s="42" t="s">
        <v>8</v>
      </c>
      <c r="R1" s="42"/>
      <c r="S1" s="42"/>
      <c r="T1" s="42"/>
      <c r="U1" s="42"/>
      <c r="W1" s="45"/>
      <c r="X1" s="44"/>
      <c r="Y1" s="44"/>
      <c r="Z1" s="44"/>
    </row>
    <row r="2" spans="1:40" ht="15" thickBot="1" x14ac:dyDescent="0.35">
      <c r="A2" s="4" t="s">
        <v>5</v>
      </c>
      <c r="B2" s="4" t="s">
        <v>1</v>
      </c>
      <c r="C2" s="4" t="s">
        <v>2</v>
      </c>
      <c r="D2" s="4" t="s">
        <v>0</v>
      </c>
      <c r="E2" s="11"/>
      <c r="F2" s="4" t="s">
        <v>9</v>
      </c>
      <c r="G2" s="4" t="s">
        <v>5</v>
      </c>
      <c r="H2" s="4" t="s">
        <v>1</v>
      </c>
      <c r="I2" s="4" t="s">
        <v>2</v>
      </c>
      <c r="J2" s="4" t="s">
        <v>0</v>
      </c>
      <c r="L2" s="41" t="s">
        <v>15</v>
      </c>
      <c r="M2" s="5" t="s">
        <v>3</v>
      </c>
      <c r="N2" s="7">
        <f>Ábrázolás!B2</f>
        <v>43466</v>
      </c>
      <c r="O2" s="37">
        <f>_xlfn.MINIFS(G3:G1260,G3:G1260,"&gt;="&amp;$N$2)</f>
        <v>43467</v>
      </c>
      <c r="Q2" s="4" t="s">
        <v>9</v>
      </c>
      <c r="R2" s="4" t="s">
        <v>5</v>
      </c>
      <c r="S2" s="4" t="s">
        <v>1</v>
      </c>
      <c r="T2" s="4" t="s">
        <v>2</v>
      </c>
      <c r="U2" s="4" t="s">
        <v>0</v>
      </c>
      <c r="W2" s="45"/>
      <c r="X2" s="4" t="s">
        <v>1</v>
      </c>
      <c r="Y2" s="4" t="s">
        <v>2</v>
      </c>
      <c r="Z2" s="4" t="s">
        <v>0</v>
      </c>
      <c r="AC2" s="38" t="s">
        <v>1</v>
      </c>
      <c r="AD2" s="39"/>
      <c r="AE2" s="39"/>
      <c r="AF2" s="40"/>
      <c r="AG2" s="38" t="s">
        <v>2</v>
      </c>
      <c r="AH2" s="39"/>
      <c r="AI2" s="39"/>
      <c r="AJ2" s="40"/>
      <c r="AK2" s="38" t="s">
        <v>0</v>
      </c>
      <c r="AL2" s="39"/>
      <c r="AM2" s="39"/>
      <c r="AN2" s="40"/>
    </row>
    <row r="3" spans="1:40" ht="15" thickBot="1" x14ac:dyDescent="0.35">
      <c r="A3" s="3">
        <v>43467</v>
      </c>
      <c r="B3" s="8">
        <v>56.540000999999997</v>
      </c>
      <c r="C3" s="8">
        <v>105.44000200000001</v>
      </c>
      <c r="D3" s="8">
        <v>75.559997999999993</v>
      </c>
      <c r="E3" s="10"/>
      <c r="F3" s="17">
        <v>0</v>
      </c>
      <c r="G3" s="18">
        <v>43467</v>
      </c>
      <c r="H3" s="19"/>
      <c r="I3" s="20"/>
      <c r="J3" s="21"/>
      <c r="K3" s="22">
        <v>0</v>
      </c>
      <c r="L3" s="41"/>
      <c r="M3" s="6" t="s">
        <v>4</v>
      </c>
      <c r="N3" s="7">
        <f>Ábrázolás!B3</f>
        <v>45291</v>
      </c>
      <c r="O3" s="37">
        <f>_xlfn.MAXIFS(G3:G1260,G3:G1260,"&lt;="&amp;N3)</f>
        <v>45289</v>
      </c>
      <c r="Q3" s="35">
        <f>IF(N2&lt;=N3,M5,"")</f>
        <v>0</v>
      </c>
      <c r="R3" s="3">
        <f>IF(Q3="","",VLOOKUP(Q3,F3:J1260,2))</f>
        <v>43467</v>
      </c>
      <c r="S3" s="8" t="str">
        <f ca="1">IF($Q$3=0,"",OFFSET(H$3,$Q3,0))</f>
        <v/>
      </c>
      <c r="T3" s="8" t="str">
        <f t="shared" ref="T3:U3" ca="1" si="0">IF($Q$3=0,"",OFFSET(I$3,$Q3,0))</f>
        <v/>
      </c>
      <c r="U3" s="8" t="str">
        <f t="shared" ca="1" si="0"/>
        <v/>
      </c>
      <c r="W3" s="23" t="s">
        <v>10</v>
      </c>
      <c r="X3" s="24">
        <f ca="1">AVERAGE(S3:S1260)</f>
        <v>3.5121632251024421E-4</v>
      </c>
      <c r="Y3" s="25">
        <f t="shared" ref="Y3:Z3" ca="1" si="1">AVERAGE(T3:T1260)</f>
        <v>2.4905259691653068E-4</v>
      </c>
      <c r="Z3" s="25">
        <f t="shared" ca="1" si="1"/>
        <v>4.3166860325481824E-4</v>
      </c>
      <c r="AB3" s="28" t="s">
        <v>20</v>
      </c>
      <c r="AC3" s="28" t="s">
        <v>16</v>
      </c>
      <c r="AD3" s="28" t="s">
        <v>17</v>
      </c>
      <c r="AE3" s="28" t="s">
        <v>18</v>
      </c>
      <c r="AF3" s="28" t="s">
        <v>19</v>
      </c>
      <c r="AG3" s="28" t="s">
        <v>16</v>
      </c>
      <c r="AH3" s="28" t="s">
        <v>17</v>
      </c>
      <c r="AI3" s="28" t="s">
        <v>18</v>
      </c>
      <c r="AJ3" s="28" t="s">
        <v>19</v>
      </c>
      <c r="AK3" s="28" t="s">
        <v>16</v>
      </c>
      <c r="AL3" s="28" t="s">
        <v>17</v>
      </c>
      <c r="AM3" s="28" t="s">
        <v>18</v>
      </c>
      <c r="AN3" s="28" t="s">
        <v>19</v>
      </c>
    </row>
    <row r="4" spans="1:40" x14ac:dyDescent="0.3">
      <c r="A4" s="2">
        <v>43468</v>
      </c>
      <c r="B4" s="9">
        <v>52.900002000000001</v>
      </c>
      <c r="C4" s="9">
        <v>100.68</v>
      </c>
      <c r="D4" s="9">
        <v>74.199996999999996</v>
      </c>
      <c r="E4" s="10"/>
      <c r="F4" s="13">
        <v>1</v>
      </c>
      <c r="G4" s="2">
        <v>43468</v>
      </c>
      <c r="H4" s="16">
        <f>LN(B4/B3)</f>
        <v>-6.6544993280601317E-2</v>
      </c>
      <c r="I4" s="16">
        <f t="shared" ref="I4:J4" si="2">LN(C4/C3)</f>
        <v>-4.6194919455215366E-2</v>
      </c>
      <c r="J4" s="16">
        <f t="shared" si="2"/>
        <v>-1.8162906422210117E-2</v>
      </c>
      <c r="K4" s="22">
        <v>1</v>
      </c>
      <c r="L4" s="41"/>
      <c r="M4" s="36"/>
      <c r="N4" s="36"/>
      <c r="Q4" s="15">
        <f>IF(Q3="","",IF(Q3+1&lt;=$M$6,Q3+1,""))</f>
        <v>1</v>
      </c>
      <c r="R4" s="2">
        <f>IF(Q4="","",VLOOKUP(Q4,F4:J1261,2))</f>
        <v>43468</v>
      </c>
      <c r="S4" s="9">
        <f ca="1">IF(Q4="","",OFFSET(H$3,$Q4,0))</f>
        <v>-6.6544993280601317E-2</v>
      </c>
      <c r="T4" s="9">
        <f ca="1">IF(R4="","",OFFSET(I$3,$Q4,0))</f>
        <v>-4.6194919455215366E-2</v>
      </c>
      <c r="U4" s="9">
        <f ca="1">IF(S4="","",OFFSET(J$3,$Q4,0))</f>
        <v>-1.8162906422210117E-2</v>
      </c>
      <c r="W4" s="23" t="s">
        <v>11</v>
      </c>
      <c r="X4" s="26">
        <f ca="1">_xlfn.STDEV.S(S3:S1260)</f>
        <v>2.1684284820750861E-2</v>
      </c>
      <c r="Y4" s="26">
        <f t="shared" ref="Y4:Z4" ca="1" si="3">_xlfn.STDEV.S(T3:T1260)</f>
        <v>2.678525982581632E-2</v>
      </c>
      <c r="Z4" s="26">
        <f t="shared" ca="1" si="3"/>
        <v>3.040222218271809E-2</v>
      </c>
      <c r="AB4" s="27">
        <f ca="1">IF(X5&lt;&gt;0,1,NA())</f>
        <v>1</v>
      </c>
      <c r="AC4" s="31">
        <f ca="1">X3-3*X4</f>
        <v>-6.4701638139742348E-2</v>
      </c>
      <c r="AD4" s="31">
        <f ca="1">AC4-$X$7/2</f>
        <v>-6.656029112437814E-2</v>
      </c>
      <c r="AE4" s="27">
        <f ca="1">IF(AB4&lt;=$X$6,COUNTIFS(S3:S1260,"&lt;="&amp;AC4),"")</f>
        <v>14</v>
      </c>
      <c r="AF4" s="31">
        <f ca="1">(AE4/$X$5)/$X$7</f>
        <v>2.9961561862599564</v>
      </c>
      <c r="AG4" s="31">
        <f ca="1">Y3-3*Y4</f>
        <v>-8.0106726880532428E-2</v>
      </c>
      <c r="AH4" s="31">
        <f ca="1">AG4-$Y$7/2</f>
        <v>-8.2402606294173827E-2</v>
      </c>
      <c r="AI4" s="27">
        <f ca="1">IF(AB4&lt;=$Y$6,COUNTIFS(T3:T1260,"&lt;="&amp;AG4),"")</f>
        <v>11</v>
      </c>
      <c r="AJ4" s="31">
        <f ca="1">(AI4/$Y$5)/$Y$7</f>
        <v>1.905804455405995</v>
      </c>
      <c r="AK4" s="32">
        <f ca="1">Z3-3*Z4</f>
        <v>-9.0774997944899447E-2</v>
      </c>
      <c r="AL4" s="31">
        <f ca="1">AK4-$Z$7/2</f>
        <v>-9.3380902703418145E-2</v>
      </c>
      <c r="AM4" s="27">
        <f ca="1">IF(AB4&lt;=$Z$6,COUNTIFS(U3:U1260,"&lt;="&amp;AK4),"")</f>
        <v>7</v>
      </c>
      <c r="AN4" s="31">
        <f ca="1">(AM4/$Z$5)/$Z$7</f>
        <v>1.0684992649525302</v>
      </c>
    </row>
    <row r="5" spans="1:40" x14ac:dyDescent="0.3">
      <c r="A5" s="2">
        <v>43469</v>
      </c>
      <c r="B5" s="9">
        <v>56.09</v>
      </c>
      <c r="C5" s="9">
        <v>104.790001</v>
      </c>
      <c r="D5" s="9">
        <v>77.010002</v>
      </c>
      <c r="E5" s="10"/>
      <c r="F5" s="13">
        <v>2</v>
      </c>
      <c r="G5" s="2">
        <v>43469</v>
      </c>
      <c r="H5" s="14">
        <f t="shared" ref="H5:H68" si="4">LN(B5/B4)</f>
        <v>5.8554166848809146E-2</v>
      </c>
      <c r="I5" s="14">
        <f t="shared" ref="I5:I68" si="5">LN(C5/C4)</f>
        <v>4.0011186762630463E-2</v>
      </c>
      <c r="J5" s="14">
        <f t="shared" ref="J5:J68" si="6">LN(D5/D4)</f>
        <v>3.7171199779744431E-2</v>
      </c>
      <c r="K5" s="22">
        <v>2</v>
      </c>
      <c r="L5" s="12"/>
      <c r="M5">
        <f>VLOOKUP(O2,G3:K1260,5)</f>
        <v>0</v>
      </c>
      <c r="Q5" s="15">
        <f t="shared" ref="Q5:Q68" si="7">IF(Q4="","",IF(Q4+1&lt;=$M$6,Q4+1,""))</f>
        <v>2</v>
      </c>
      <c r="R5" s="2">
        <f t="shared" ref="R5:R67" si="8">IF(Q5="","",VLOOKUP(Q5,F5:J1262,2))</f>
        <v>43469</v>
      </c>
      <c r="S5" s="9">
        <f t="shared" ref="S5:S68" ca="1" si="9">IF(Q5="","",OFFSET(H$3,$Q5,0))</f>
        <v>5.8554166848809146E-2</v>
      </c>
      <c r="T5" s="9">
        <f t="shared" ref="T5:T68" ca="1" si="10">IF(R5="","",OFFSET(I$3,$Q5,0))</f>
        <v>4.0011186762630463E-2</v>
      </c>
      <c r="U5" s="9">
        <f t="shared" ref="U5:U68" ca="1" si="11">IF(S5="","",OFFSET(J$3,$Q5,0))</f>
        <v>3.7171199779744431E-2</v>
      </c>
      <c r="W5" s="23" t="s">
        <v>12</v>
      </c>
      <c r="X5" s="26">
        <f ca="1">COUNT(S3:S1260)</f>
        <v>1257</v>
      </c>
      <c r="Y5" s="26">
        <f t="shared" ref="Y5:Z5" ca="1" si="12">COUNT(T3:T1260)</f>
        <v>1257</v>
      </c>
      <c r="Z5" s="26">
        <f t="shared" ca="1" si="12"/>
        <v>1257</v>
      </c>
      <c r="AB5" s="33">
        <f ca="1">IF(AB4&lt;$X$6,AB4+1,NA())</f>
        <v>2</v>
      </c>
      <c r="AC5" s="34">
        <f ca="1">IF(AB5&lt;=$X$6,AC4+$X$7,"")</f>
        <v>-6.0984332170470772E-2</v>
      </c>
      <c r="AD5" s="34">
        <f ca="1">IF(AB5&lt;=$X$6,AC5-$X$7/2,"")</f>
        <v>-6.2842985155106557E-2</v>
      </c>
      <c r="AE5" s="33">
        <f ca="1">IF(AB5&lt;=$X$6,COUNTIFS($S$3:$S$1260,"&gt;"&amp;AC4,$S$3:$S$1260,"&lt;="&amp;AC5),"")</f>
        <v>2</v>
      </c>
      <c r="AF5" s="34">
        <f t="shared" ref="AF5:AF68" ca="1" si="13">IF(AB5&lt;=$X$6,(AE5/$X$5)/$X$7,"")</f>
        <v>0.42802231232285087</v>
      </c>
      <c r="AG5" s="34">
        <f t="shared" ref="AG5:AG68" ca="1" si="14">IF(AB5&lt;=$Y$6,AG4+$Y$7,"")</f>
        <v>-7.5514968053249629E-2</v>
      </c>
      <c r="AH5" s="34">
        <f t="shared" ref="AH5:AH68" ca="1" si="15">IF(AB5&lt;=$Y$6,AG5-$Y$7/2,"")</f>
        <v>-7.7810847466891028E-2</v>
      </c>
      <c r="AI5" s="33">
        <f ca="1">IF(AB5&lt;=$Y$6,COUNTIFS($T$3:$T$1260,"&gt;"&amp;AG4,$T$3:$T$1260,"&lt;="&amp;AG5),"")</f>
        <v>1</v>
      </c>
      <c r="AJ5" s="34">
        <f ca="1">IF(AB5&lt;=$Y$6,(AI5/$Y$5)/$Y$7,"")</f>
        <v>0.17325495049145409</v>
      </c>
      <c r="AK5" s="34">
        <f t="shared" ref="AK5:AK68" ca="1" si="16">IF(AB5&lt;=$Z$6,AK4+$Z$7,"")</f>
        <v>-8.5563188427862064E-2</v>
      </c>
      <c r="AL5" s="34">
        <f t="shared" ref="AL5:AL68" ca="1" si="17">IF(AB5&lt;=$Z$6,AK5-$Z$7/2,"")</f>
        <v>-8.8169093186380762E-2</v>
      </c>
      <c r="AM5" s="33">
        <f ca="1">IF(AB5&lt;=$Z$6,COUNTIFS($U$3:$U$1260,"&gt;"&amp;AK4,$U$3:$U$1260,"&lt;="&amp;AK5),"")</f>
        <v>2</v>
      </c>
      <c r="AN5" s="34">
        <f ca="1">IF(AB5&lt;=$Z$6,(AM5/$Z$5)/$Z$7,"")</f>
        <v>0.30528550427215151</v>
      </c>
    </row>
    <row r="6" spans="1:40" x14ac:dyDescent="0.3">
      <c r="A6" s="2">
        <v>43472</v>
      </c>
      <c r="B6" s="9">
        <v>55.900002000000001</v>
      </c>
      <c r="C6" s="9">
        <v>106.699997</v>
      </c>
      <c r="D6" s="9">
        <v>77.089995999999999</v>
      </c>
      <c r="E6" s="10"/>
      <c r="F6" s="13">
        <v>3</v>
      </c>
      <c r="G6" s="2">
        <v>43472</v>
      </c>
      <c r="H6" s="14">
        <f t="shared" si="4"/>
        <v>-3.3931275810174014E-3</v>
      </c>
      <c r="I6" s="14">
        <f t="shared" si="5"/>
        <v>1.8062773161748029E-2</v>
      </c>
      <c r="J6" s="14">
        <f t="shared" si="6"/>
        <v>1.0382090619536419E-3</v>
      </c>
      <c r="K6" s="22">
        <v>3</v>
      </c>
      <c r="L6" s="12"/>
      <c r="M6">
        <f>VLOOKUP(O3,G3:K1260,5)</f>
        <v>1257</v>
      </c>
      <c r="Q6" s="15">
        <f t="shared" si="7"/>
        <v>3</v>
      </c>
      <c r="R6" s="2">
        <f t="shared" si="8"/>
        <v>43472</v>
      </c>
      <c r="S6" s="9">
        <f t="shared" ca="1" si="9"/>
        <v>-3.3931275810174014E-3</v>
      </c>
      <c r="T6" s="9">
        <f t="shared" ca="1" si="10"/>
        <v>1.8062773161748029E-2</v>
      </c>
      <c r="U6" s="9">
        <f t="shared" ca="1" si="11"/>
        <v>1.0382090619536419E-3</v>
      </c>
      <c r="W6" s="23" t="s">
        <v>13</v>
      </c>
      <c r="X6" s="26">
        <f ca="1">INT(X5^0.5)+1+MOD(INT(X5^0.5),2)</f>
        <v>37</v>
      </c>
      <c r="Y6" s="26">
        <f t="shared" ref="Y6:Z6" ca="1" si="18">INT(Y5^0.5)+1+MOD(INT(Y5^0.5),2)</f>
        <v>37</v>
      </c>
      <c r="Z6" s="26">
        <f t="shared" ca="1" si="18"/>
        <v>37</v>
      </c>
      <c r="AB6" s="33">
        <f t="shared" ref="AB6:AB69" ca="1" si="19">IF(AB5&lt;$X$6,AB5+1,NA())</f>
        <v>3</v>
      </c>
      <c r="AC6" s="34">
        <f t="shared" ref="AC6:AC69" ca="1" si="20">IF(AB6&lt;=$X$6,AC5+$X$7,"")</f>
        <v>-5.7267026201199195E-2</v>
      </c>
      <c r="AD6" s="34">
        <f t="shared" ref="AD6:AD69" ca="1" si="21">IF(AB6&lt;=$X$6,AC6-$X$7/2,"")</f>
        <v>-5.9125679185834987E-2</v>
      </c>
      <c r="AE6" s="33">
        <f ca="1">IF(AB6&lt;=$X$6,COUNTIFS($S$3:$S$1260,"&gt;"&amp;AC5,$S$3:$S$1260,"&lt;="&amp;AC6),"")</f>
        <v>2</v>
      </c>
      <c r="AF6" s="34">
        <f t="shared" ca="1" si="13"/>
        <v>0.42802231232285087</v>
      </c>
      <c r="AG6" s="34">
        <f t="shared" ca="1" si="14"/>
        <v>-7.092320922596683E-2</v>
      </c>
      <c r="AH6" s="34">
        <f t="shared" ca="1" si="15"/>
        <v>-7.3219088639608229E-2</v>
      </c>
      <c r="AI6" s="33">
        <f t="shared" ref="AI6:AI69" ca="1" si="22">IF(AB6&lt;=$Y$6,COUNTIFS($T$3:$T$1260,"&gt;"&amp;AG5,$T$3:$T$1260,"&lt;="&amp;AG6),"")</f>
        <v>2</v>
      </c>
      <c r="AJ6" s="34">
        <f t="shared" ref="AJ6:AJ69" ca="1" si="23">IF(AB6&lt;=$Y$6,(AI6/$Y$5)/$Y$7,"")</f>
        <v>0.34650990098290818</v>
      </c>
      <c r="AK6" s="34">
        <f t="shared" ca="1" si="16"/>
        <v>-8.0351378910824681E-2</v>
      </c>
      <c r="AL6" s="34">
        <f t="shared" ca="1" si="17"/>
        <v>-8.2957283669343379E-2</v>
      </c>
      <c r="AM6" s="33">
        <f t="shared" ref="AM6:AM69" ca="1" si="24">IF(AB6&lt;=$Z$6,COUNTIFS($U$3:$U$1260,"&gt;"&amp;AK5,$U$3:$U$1260,"&lt;="&amp;AK6),"")</f>
        <v>1</v>
      </c>
      <c r="AN6" s="34">
        <f t="shared" ref="AN6:AN69" ca="1" si="25">IF(AB6&lt;=$Z$6,(AM6/$Z$5)/$Z$7,"")</f>
        <v>0.15264275213607575</v>
      </c>
    </row>
    <row r="7" spans="1:40" x14ac:dyDescent="0.3">
      <c r="A7" s="2">
        <v>43473</v>
      </c>
      <c r="B7" s="9">
        <v>57.34</v>
      </c>
      <c r="C7" s="9">
        <v>108.33000199999999</v>
      </c>
      <c r="D7" s="9">
        <v>77.360000999999997</v>
      </c>
      <c r="E7" s="10"/>
      <c r="F7" s="13">
        <v>4</v>
      </c>
      <c r="G7" s="2">
        <v>43473</v>
      </c>
      <c r="H7" s="14">
        <f>LN(B7/B6)</f>
        <v>2.5434044515995593E-2</v>
      </c>
      <c r="I7" s="14">
        <f t="shared" si="5"/>
        <v>1.5161012228088853E-2</v>
      </c>
      <c r="J7" s="14">
        <f t="shared" si="6"/>
        <v>3.4963454878507291E-3</v>
      </c>
      <c r="K7" s="22">
        <v>4</v>
      </c>
      <c r="L7" s="12"/>
      <c r="Q7" s="15">
        <f t="shared" si="7"/>
        <v>4</v>
      </c>
      <c r="R7" s="2">
        <f t="shared" si="8"/>
        <v>43473</v>
      </c>
      <c r="S7" s="9">
        <f t="shared" ca="1" si="9"/>
        <v>2.5434044515995593E-2</v>
      </c>
      <c r="T7" s="9">
        <f t="shared" ca="1" si="10"/>
        <v>1.5161012228088853E-2</v>
      </c>
      <c r="U7" s="9">
        <f t="shared" ca="1" si="11"/>
        <v>3.4963454878507291E-3</v>
      </c>
      <c r="W7" s="23" t="s">
        <v>14</v>
      </c>
      <c r="X7" s="26">
        <f ca="1">6*X4/(X6-2)</f>
        <v>3.7173059692715768E-3</v>
      </c>
      <c r="Y7" s="26">
        <f t="shared" ref="Y7:Z7" ca="1" si="26">6*Y4/(Y6-2)</f>
        <v>4.5917588272827974E-3</v>
      </c>
      <c r="Z7" s="26">
        <f t="shared" ca="1" si="26"/>
        <v>5.2118095170373864E-3</v>
      </c>
      <c r="AB7" s="33">
        <f t="shared" ca="1" si="19"/>
        <v>4</v>
      </c>
      <c r="AC7" s="34">
        <f t="shared" ca="1" si="20"/>
        <v>-5.3549720231927618E-2</v>
      </c>
      <c r="AD7" s="34">
        <f t="shared" ca="1" si="21"/>
        <v>-5.5408373216563403E-2</v>
      </c>
      <c r="AE7" s="33">
        <f t="shared" ref="AE7:AE69" ca="1" si="27">IF(AB7&lt;=$X$6,COUNTIFS($S$3:$S$1260,"&gt;"&amp;AC6,$S$3:$S$1260,"&lt;="&amp;AC7),"")</f>
        <v>3</v>
      </c>
      <c r="AF7" s="34">
        <f t="shared" ca="1" si="13"/>
        <v>0.64203346848427634</v>
      </c>
      <c r="AG7" s="34">
        <f t="shared" ca="1" si="14"/>
        <v>-6.633145039868403E-2</v>
      </c>
      <c r="AH7" s="34">
        <f t="shared" ca="1" si="15"/>
        <v>-6.862732981232543E-2</v>
      </c>
      <c r="AI7" s="33">
        <f t="shared" ca="1" si="22"/>
        <v>4</v>
      </c>
      <c r="AJ7" s="34">
        <f ca="1">IF(AB7&lt;=$Y$6,(AI7/$Y$5)/$Y$7,"")</f>
        <v>0.69301980196581636</v>
      </c>
      <c r="AK7" s="34">
        <f t="shared" ca="1" si="16"/>
        <v>-7.5139569393787298E-2</v>
      </c>
      <c r="AL7" s="34">
        <f t="shared" ca="1" si="17"/>
        <v>-7.7745474152305996E-2</v>
      </c>
      <c r="AM7" s="33">
        <f t="shared" ca="1" si="24"/>
        <v>7</v>
      </c>
      <c r="AN7" s="34">
        <f ca="1">IF(AB7&lt;=$Z$6,(AM7/$Z$5)/$Z$7,"")</f>
        <v>1.0684992649525302</v>
      </c>
    </row>
    <row r="8" spans="1:40" x14ac:dyDescent="0.3">
      <c r="A8" s="2">
        <v>43474</v>
      </c>
      <c r="B8" s="9">
        <v>58.330002</v>
      </c>
      <c r="C8" s="9">
        <v>109.459999</v>
      </c>
      <c r="D8" s="9">
        <v>77.290001000000004</v>
      </c>
      <c r="E8" s="10"/>
      <c r="F8" s="13">
        <v>5</v>
      </c>
      <c r="G8" s="2">
        <v>43474</v>
      </c>
      <c r="H8" s="14">
        <f t="shared" si="4"/>
        <v>1.7118114597995306E-2</v>
      </c>
      <c r="I8" s="14">
        <f t="shared" si="5"/>
        <v>1.0377034160432314E-2</v>
      </c>
      <c r="J8" s="14">
        <f t="shared" si="6"/>
        <v>-9.0527001455185669E-4</v>
      </c>
      <c r="K8" s="22">
        <v>5</v>
      </c>
      <c r="L8" s="12"/>
      <c r="Q8" s="15">
        <f t="shared" si="7"/>
        <v>5</v>
      </c>
      <c r="R8" s="2">
        <f t="shared" si="8"/>
        <v>43474</v>
      </c>
      <c r="S8" s="9">
        <f t="shared" ca="1" si="9"/>
        <v>1.7118114597995306E-2</v>
      </c>
      <c r="T8" s="9">
        <f t="shared" ca="1" si="10"/>
        <v>1.0377034160432314E-2</v>
      </c>
      <c r="U8" s="9">
        <f t="shared" ca="1" si="11"/>
        <v>-9.0527001455185669E-4</v>
      </c>
      <c r="AB8" s="33">
        <f t="shared" ca="1" si="19"/>
        <v>5</v>
      </c>
      <c r="AC8" s="34">
        <f t="shared" ca="1" si="20"/>
        <v>-4.9832414262656041E-2</v>
      </c>
      <c r="AD8" s="34">
        <f t="shared" ca="1" si="21"/>
        <v>-5.1691067247291833E-2</v>
      </c>
      <c r="AE8" s="33">
        <f t="shared" ca="1" si="27"/>
        <v>5</v>
      </c>
      <c r="AF8" s="34">
        <f t="shared" ca="1" si="13"/>
        <v>1.0700557808071272</v>
      </c>
      <c r="AG8" s="34">
        <f t="shared" ca="1" si="14"/>
        <v>-6.1739691571401231E-2</v>
      </c>
      <c r="AH8" s="34">
        <f t="shared" ca="1" si="15"/>
        <v>-6.4035570985042631E-2</v>
      </c>
      <c r="AI8" s="33">
        <f t="shared" ca="1" si="22"/>
        <v>5</v>
      </c>
      <c r="AJ8" s="34">
        <f t="shared" ca="1" si="23"/>
        <v>0.86627475245727048</v>
      </c>
      <c r="AK8" s="34">
        <f t="shared" ca="1" si="16"/>
        <v>-6.9927759876749915E-2</v>
      </c>
      <c r="AL8" s="34">
        <f t="shared" ca="1" si="17"/>
        <v>-7.2533664635268613E-2</v>
      </c>
      <c r="AM8" s="33">
        <f t="shared" ca="1" si="24"/>
        <v>6</v>
      </c>
      <c r="AN8" s="34">
        <f t="shared" ca="1" si="25"/>
        <v>0.91585651281645442</v>
      </c>
    </row>
    <row r="9" spans="1:40" x14ac:dyDescent="0.3">
      <c r="A9" s="2">
        <v>43475</v>
      </c>
      <c r="B9" s="9">
        <v>58.189999</v>
      </c>
      <c r="C9" s="9">
        <v>106.860001</v>
      </c>
      <c r="D9" s="9">
        <v>77.419998000000007</v>
      </c>
      <c r="E9" s="10"/>
      <c r="F9" s="13">
        <v>6</v>
      </c>
      <c r="G9" s="2">
        <v>43475</v>
      </c>
      <c r="H9" s="14">
        <f t="shared" si="4"/>
        <v>-2.4030735697242222E-3</v>
      </c>
      <c r="I9" s="14">
        <f t="shared" si="5"/>
        <v>-2.4039600692350945E-2</v>
      </c>
      <c r="J9" s="14">
        <f t="shared" si="6"/>
        <v>1.680525259319833E-3</v>
      </c>
      <c r="K9" s="22">
        <v>6</v>
      </c>
      <c r="L9" s="12"/>
      <c r="Q9" s="15">
        <f t="shared" si="7"/>
        <v>6</v>
      </c>
      <c r="R9" s="2">
        <f t="shared" si="8"/>
        <v>43475</v>
      </c>
      <c r="S9" s="9">
        <f t="shared" ca="1" si="9"/>
        <v>-2.4030735697242222E-3</v>
      </c>
      <c r="T9" s="9">
        <f t="shared" ca="1" si="10"/>
        <v>-2.4039600692350945E-2</v>
      </c>
      <c r="U9" s="9">
        <f t="shared" ca="1" si="11"/>
        <v>1.680525259319833E-3</v>
      </c>
      <c r="AB9" s="33">
        <f t="shared" ca="1" si="19"/>
        <v>6</v>
      </c>
      <c r="AC9" s="34">
        <f t="shared" ca="1" si="20"/>
        <v>-4.6115108293384464E-2</v>
      </c>
      <c r="AD9" s="34">
        <f t="shared" ca="1" si="21"/>
        <v>-4.7973761278020249E-2</v>
      </c>
      <c r="AE9" s="33">
        <f t="shared" ca="1" si="27"/>
        <v>7</v>
      </c>
      <c r="AF9" s="34">
        <f t="shared" ca="1" si="13"/>
        <v>1.4980780931299782</v>
      </c>
      <c r="AG9" s="34">
        <f t="shared" ca="1" si="14"/>
        <v>-5.7147932744118432E-2</v>
      </c>
      <c r="AH9" s="34">
        <f t="shared" ca="1" si="15"/>
        <v>-5.9443812157759832E-2</v>
      </c>
      <c r="AI9" s="33">
        <f t="shared" ca="1" si="22"/>
        <v>6</v>
      </c>
      <c r="AJ9" s="34">
        <f t="shared" ca="1" si="23"/>
        <v>1.0395297029487245</v>
      </c>
      <c r="AK9" s="34">
        <f t="shared" ca="1" si="16"/>
        <v>-6.4715950359712532E-2</v>
      </c>
      <c r="AL9" s="34">
        <f t="shared" ca="1" si="17"/>
        <v>-6.732185511823123E-2</v>
      </c>
      <c r="AM9" s="33">
        <f t="shared" ca="1" si="24"/>
        <v>4</v>
      </c>
      <c r="AN9" s="34">
        <f t="shared" ca="1" si="25"/>
        <v>0.61057100854430302</v>
      </c>
    </row>
    <row r="10" spans="1:40" x14ac:dyDescent="0.3">
      <c r="A10" s="2">
        <v>43476</v>
      </c>
      <c r="B10" s="9">
        <v>58.380001</v>
      </c>
      <c r="C10" s="9">
        <v>105.43</v>
      </c>
      <c r="D10" s="9">
        <v>78.470000999999996</v>
      </c>
      <c r="E10" s="10"/>
      <c r="F10" s="13">
        <v>7</v>
      </c>
      <c r="G10" s="2">
        <v>43476</v>
      </c>
      <c r="H10" s="14">
        <f t="shared" si="4"/>
        <v>3.2598810716272459E-3</v>
      </c>
      <c r="I10" s="14">
        <f t="shared" si="5"/>
        <v>-1.3472350298805374E-2</v>
      </c>
      <c r="J10" s="14">
        <f t="shared" si="6"/>
        <v>1.347127956672173E-2</v>
      </c>
      <c r="K10" s="22">
        <v>7</v>
      </c>
      <c r="L10" s="12"/>
      <c r="Q10" s="15">
        <f t="shared" si="7"/>
        <v>7</v>
      </c>
      <c r="R10" s="2">
        <f t="shared" si="8"/>
        <v>43476</v>
      </c>
      <c r="S10" s="9">
        <f t="shared" ca="1" si="9"/>
        <v>3.2598810716272459E-3</v>
      </c>
      <c r="T10" s="9">
        <f t="shared" ca="1" si="10"/>
        <v>-1.3472350298805374E-2</v>
      </c>
      <c r="U10" s="9">
        <f t="shared" ca="1" si="11"/>
        <v>1.347127956672173E-2</v>
      </c>
      <c r="AB10" s="33">
        <f t="shared" ca="1" si="19"/>
        <v>7</v>
      </c>
      <c r="AC10" s="34">
        <f t="shared" ca="1" si="20"/>
        <v>-4.2397802324112888E-2</v>
      </c>
      <c r="AD10" s="34">
        <f t="shared" ca="1" si="21"/>
        <v>-4.425645530874868E-2</v>
      </c>
      <c r="AE10" s="33">
        <f t="shared" ca="1" si="27"/>
        <v>1</v>
      </c>
      <c r="AF10" s="34">
        <f t="shared" ca="1" si="13"/>
        <v>0.21401115616142544</v>
      </c>
      <c r="AG10" s="34">
        <f t="shared" ca="1" si="14"/>
        <v>-5.2556173916835633E-2</v>
      </c>
      <c r="AH10" s="34">
        <f t="shared" ca="1" si="15"/>
        <v>-5.4852053330477032E-2</v>
      </c>
      <c r="AI10" s="33">
        <f t="shared" ca="1" si="22"/>
        <v>10</v>
      </c>
      <c r="AJ10" s="34">
        <f t="shared" ca="1" si="23"/>
        <v>1.732549504914541</v>
      </c>
      <c r="AK10" s="34">
        <f t="shared" ca="1" si="16"/>
        <v>-5.9504140842675149E-2</v>
      </c>
      <c r="AL10" s="34">
        <f t="shared" ca="1" si="17"/>
        <v>-6.211004560119384E-2</v>
      </c>
      <c r="AM10" s="33">
        <f t="shared" ca="1" si="24"/>
        <v>6</v>
      </c>
      <c r="AN10" s="34">
        <f t="shared" ca="1" si="25"/>
        <v>0.91585651281645442</v>
      </c>
    </row>
    <row r="11" spans="1:40" x14ac:dyDescent="0.3">
      <c r="A11" s="2">
        <v>43479</v>
      </c>
      <c r="B11" s="9">
        <v>58.299999</v>
      </c>
      <c r="C11" s="9">
        <v>106.66999800000001</v>
      </c>
      <c r="D11" s="9">
        <v>78.949996999999996</v>
      </c>
      <c r="E11" s="10"/>
      <c r="F11" s="13">
        <v>8</v>
      </c>
      <c r="G11" s="2">
        <v>43479</v>
      </c>
      <c r="H11" s="14">
        <f t="shared" si="4"/>
        <v>-1.3713063513345137E-3</v>
      </c>
      <c r="I11" s="14">
        <f t="shared" si="5"/>
        <v>1.1692712299118892E-2</v>
      </c>
      <c r="J11" s="14">
        <f t="shared" si="6"/>
        <v>6.0983038198115912E-3</v>
      </c>
      <c r="K11" s="22">
        <v>8</v>
      </c>
      <c r="L11" s="12"/>
      <c r="Q11" s="15">
        <f t="shared" si="7"/>
        <v>8</v>
      </c>
      <c r="R11" s="2">
        <f t="shared" si="8"/>
        <v>43479</v>
      </c>
      <c r="S11" s="9">
        <f t="shared" ca="1" si="9"/>
        <v>-1.3713063513345137E-3</v>
      </c>
      <c r="T11" s="9">
        <f t="shared" ca="1" si="10"/>
        <v>1.1692712299118892E-2</v>
      </c>
      <c r="U11" s="9">
        <f t="shared" ca="1" si="11"/>
        <v>6.0983038198115912E-3</v>
      </c>
      <c r="AB11" s="33">
        <f t="shared" ca="1" si="19"/>
        <v>8</v>
      </c>
      <c r="AC11" s="34">
        <f t="shared" ca="1" si="20"/>
        <v>-3.8680496354841311E-2</v>
      </c>
      <c r="AD11" s="34">
        <f t="shared" ca="1" si="21"/>
        <v>-4.0539149339477096E-2</v>
      </c>
      <c r="AE11" s="33">
        <f t="shared" ca="1" si="27"/>
        <v>5</v>
      </c>
      <c r="AF11" s="34">
        <f t="shared" ca="1" si="13"/>
        <v>1.0700557808071272</v>
      </c>
      <c r="AG11" s="34">
        <f t="shared" ca="1" si="14"/>
        <v>-4.7964415089552834E-2</v>
      </c>
      <c r="AH11" s="34">
        <f t="shared" ca="1" si="15"/>
        <v>-5.0260294503194233E-2</v>
      </c>
      <c r="AI11" s="33">
        <f t="shared" ca="1" si="22"/>
        <v>5</v>
      </c>
      <c r="AJ11" s="34">
        <f t="shared" ca="1" si="23"/>
        <v>0.86627475245727048</v>
      </c>
      <c r="AK11" s="34">
        <f t="shared" ca="1" si="16"/>
        <v>-5.4292331325637766E-2</v>
      </c>
      <c r="AL11" s="34">
        <f t="shared" ca="1" si="17"/>
        <v>-5.6898236084156457E-2</v>
      </c>
      <c r="AM11" s="33">
        <f t="shared" ca="1" si="24"/>
        <v>12</v>
      </c>
      <c r="AN11" s="34">
        <f t="shared" ca="1" si="25"/>
        <v>1.8317130256329088</v>
      </c>
    </row>
    <row r="12" spans="1:40" x14ac:dyDescent="0.3">
      <c r="A12" s="2">
        <v>43480</v>
      </c>
      <c r="B12" s="9">
        <v>58.610000999999997</v>
      </c>
      <c r="C12" s="9">
        <v>106.16999800000001</v>
      </c>
      <c r="D12" s="9">
        <v>78.769997000000004</v>
      </c>
      <c r="E12" s="10"/>
      <c r="F12" s="13">
        <v>9</v>
      </c>
      <c r="G12" s="2">
        <v>43480</v>
      </c>
      <c r="H12" s="14">
        <f t="shared" si="4"/>
        <v>5.3032713464845147E-3</v>
      </c>
      <c r="I12" s="14">
        <f t="shared" si="5"/>
        <v>-4.6983737002087387E-3</v>
      </c>
      <c r="J12" s="14">
        <f t="shared" si="6"/>
        <v>-2.2825270732501949E-3</v>
      </c>
      <c r="K12" s="22">
        <v>9</v>
      </c>
      <c r="L12" s="12"/>
      <c r="Q12" s="15">
        <f t="shared" si="7"/>
        <v>9</v>
      </c>
      <c r="R12" s="2">
        <f t="shared" si="8"/>
        <v>43480</v>
      </c>
      <c r="S12" s="9">
        <f t="shared" ca="1" si="9"/>
        <v>5.3032713464845147E-3</v>
      </c>
      <c r="T12" s="9">
        <f t="shared" ca="1" si="10"/>
        <v>-4.6983737002087387E-3</v>
      </c>
      <c r="U12" s="9">
        <f t="shared" ca="1" si="11"/>
        <v>-2.2825270732501949E-3</v>
      </c>
      <c r="AB12" s="33">
        <f t="shared" ca="1" si="19"/>
        <v>9</v>
      </c>
      <c r="AC12" s="34">
        <f t="shared" ca="1" si="20"/>
        <v>-3.4963190385569734E-2</v>
      </c>
      <c r="AD12" s="34">
        <f t="shared" ca="1" si="21"/>
        <v>-3.6821843370205526E-2</v>
      </c>
      <c r="AE12" s="33">
        <f t="shared" ca="1" si="27"/>
        <v>10</v>
      </c>
      <c r="AF12" s="34">
        <f t="shared" ca="1" si="13"/>
        <v>2.1401115616142543</v>
      </c>
      <c r="AG12" s="34">
        <f t="shared" ca="1" si="14"/>
        <v>-4.3372656262270035E-2</v>
      </c>
      <c r="AH12" s="34">
        <f t="shared" ca="1" si="15"/>
        <v>-4.5668535675911434E-2</v>
      </c>
      <c r="AI12" s="33">
        <f t="shared" ca="1" si="22"/>
        <v>12</v>
      </c>
      <c r="AJ12" s="34">
        <f t="shared" ca="1" si="23"/>
        <v>2.079059405897449</v>
      </c>
      <c r="AK12" s="34">
        <f t="shared" ca="1" si="16"/>
        <v>-4.9080521808600383E-2</v>
      </c>
      <c r="AL12" s="34">
        <f t="shared" ca="1" si="17"/>
        <v>-5.1686426567119075E-2</v>
      </c>
      <c r="AM12" s="33">
        <f t="shared" ca="1" si="24"/>
        <v>8</v>
      </c>
      <c r="AN12" s="34">
        <f t="shared" ca="1" si="25"/>
        <v>1.221142017088606</v>
      </c>
    </row>
    <row r="13" spans="1:40" x14ac:dyDescent="0.3">
      <c r="A13" s="2">
        <v>43481</v>
      </c>
      <c r="B13" s="9">
        <v>58.790000999999997</v>
      </c>
      <c r="C13" s="9">
        <v>105.629997</v>
      </c>
      <c r="D13" s="9">
        <v>79</v>
      </c>
      <c r="E13" s="10"/>
      <c r="F13" s="13">
        <v>10</v>
      </c>
      <c r="G13" s="2">
        <v>43481</v>
      </c>
      <c r="H13" s="14">
        <f t="shared" si="4"/>
        <v>3.0664418735864194E-3</v>
      </c>
      <c r="I13" s="14">
        <f t="shared" si="5"/>
        <v>-5.0991707537205045E-3</v>
      </c>
      <c r="J13" s="14">
        <f t="shared" si="6"/>
        <v>2.915676837354901E-3</v>
      </c>
      <c r="K13" s="22">
        <v>10</v>
      </c>
      <c r="L13" s="12"/>
      <c r="Q13" s="15">
        <f t="shared" si="7"/>
        <v>10</v>
      </c>
      <c r="R13" s="2">
        <f t="shared" si="8"/>
        <v>43481</v>
      </c>
      <c r="S13" s="9">
        <f t="shared" ca="1" si="9"/>
        <v>3.0664418735864194E-3</v>
      </c>
      <c r="T13" s="9">
        <f t="shared" ca="1" si="10"/>
        <v>-5.0991707537205045E-3</v>
      </c>
      <c r="U13" s="9">
        <f t="shared" ca="1" si="11"/>
        <v>2.915676837354901E-3</v>
      </c>
      <c r="AB13" s="33">
        <f t="shared" ca="1" si="19"/>
        <v>10</v>
      </c>
      <c r="AC13" s="34">
        <f t="shared" ca="1" si="20"/>
        <v>-3.1245884416298157E-2</v>
      </c>
      <c r="AD13" s="34">
        <f t="shared" ca="1" si="21"/>
        <v>-3.3104537400933942E-2</v>
      </c>
      <c r="AE13" s="33">
        <f t="shared" ca="1" si="27"/>
        <v>17</v>
      </c>
      <c r="AF13" s="34">
        <f t="shared" ca="1" si="13"/>
        <v>3.6381896547442323</v>
      </c>
      <c r="AG13" s="34">
        <f t="shared" ca="1" si="14"/>
        <v>-3.8780897434987235E-2</v>
      </c>
      <c r="AH13" s="34">
        <f t="shared" ca="1" si="15"/>
        <v>-4.1076776848628635E-2</v>
      </c>
      <c r="AI13" s="33">
        <f t="shared" ca="1" si="22"/>
        <v>13</v>
      </c>
      <c r="AJ13" s="34">
        <f t="shared" ca="1" si="23"/>
        <v>2.252314356388903</v>
      </c>
      <c r="AK13" s="34">
        <f t="shared" ca="1" si="16"/>
        <v>-4.3868712291563E-2</v>
      </c>
      <c r="AL13" s="34">
        <f t="shared" ca="1" si="17"/>
        <v>-4.6474617050081692E-2</v>
      </c>
      <c r="AM13" s="33">
        <f t="shared" ca="1" si="24"/>
        <v>14</v>
      </c>
      <c r="AN13" s="34">
        <f t="shared" ca="1" si="25"/>
        <v>2.1369985299050605</v>
      </c>
    </row>
    <row r="14" spans="1:40" x14ac:dyDescent="0.3">
      <c r="A14" s="2">
        <v>43482</v>
      </c>
      <c r="B14" s="9">
        <v>60.18</v>
      </c>
      <c r="C14" s="9">
        <v>107.879997</v>
      </c>
      <c r="D14" s="9">
        <v>80.489998</v>
      </c>
      <c r="E14" s="10"/>
      <c r="F14" s="13">
        <v>11</v>
      </c>
      <c r="G14" s="2">
        <v>43482</v>
      </c>
      <c r="H14" s="14">
        <f t="shared" si="4"/>
        <v>2.3368281778040373E-2</v>
      </c>
      <c r="I14" s="14">
        <f t="shared" si="5"/>
        <v>2.1077077028804528E-2</v>
      </c>
      <c r="J14" s="14">
        <f t="shared" si="6"/>
        <v>1.868507579081341E-2</v>
      </c>
      <c r="K14" s="22">
        <v>11</v>
      </c>
      <c r="L14" s="12"/>
      <c r="Q14" s="15">
        <f t="shared" si="7"/>
        <v>11</v>
      </c>
      <c r="R14" s="2">
        <f t="shared" si="8"/>
        <v>43482</v>
      </c>
      <c r="S14" s="9">
        <f t="shared" ca="1" si="9"/>
        <v>2.3368281778040373E-2</v>
      </c>
      <c r="T14" s="9">
        <f t="shared" ca="1" si="10"/>
        <v>2.1077077028804528E-2</v>
      </c>
      <c r="U14" s="9">
        <f t="shared" ca="1" si="11"/>
        <v>1.868507579081341E-2</v>
      </c>
      <c r="AB14" s="33">
        <f t="shared" ca="1" si="19"/>
        <v>11</v>
      </c>
      <c r="AC14" s="34">
        <f t="shared" ca="1" si="20"/>
        <v>-2.752857844702658E-2</v>
      </c>
      <c r="AD14" s="34">
        <f t="shared" ca="1" si="21"/>
        <v>-2.9387231431662369E-2</v>
      </c>
      <c r="AE14" s="33">
        <f t="shared" ca="1" si="27"/>
        <v>24</v>
      </c>
      <c r="AF14" s="34">
        <f t="shared" ca="1" si="13"/>
        <v>5.1362677478742107</v>
      </c>
      <c r="AG14" s="34">
        <f t="shared" ca="1" si="14"/>
        <v>-3.4189138607704436E-2</v>
      </c>
      <c r="AH14" s="34">
        <f t="shared" ca="1" si="15"/>
        <v>-3.6485018021345836E-2</v>
      </c>
      <c r="AI14" s="33">
        <f t="shared" ca="1" si="22"/>
        <v>23</v>
      </c>
      <c r="AJ14" s="34">
        <f t="shared" ca="1" si="23"/>
        <v>3.9848638613034444</v>
      </c>
      <c r="AK14" s="34">
        <f t="shared" ca="1" si="16"/>
        <v>-3.8656902774525617E-2</v>
      </c>
      <c r="AL14" s="34">
        <f t="shared" ca="1" si="17"/>
        <v>-4.1262807533044309E-2</v>
      </c>
      <c r="AM14" s="33">
        <f t="shared" ca="1" si="24"/>
        <v>18</v>
      </c>
      <c r="AN14" s="34">
        <f t="shared" ca="1" si="25"/>
        <v>2.7475695384493632</v>
      </c>
    </row>
    <row r="15" spans="1:40" x14ac:dyDescent="0.3">
      <c r="A15" s="2">
        <v>43483</v>
      </c>
      <c r="B15" s="9">
        <v>60.869999</v>
      </c>
      <c r="C15" s="9">
        <v>111.57</v>
      </c>
      <c r="D15" s="9">
        <v>82.589995999999999</v>
      </c>
      <c r="E15" s="10"/>
      <c r="F15" s="13">
        <v>12</v>
      </c>
      <c r="G15" s="2">
        <v>43483</v>
      </c>
      <c r="H15" s="14">
        <f t="shared" si="4"/>
        <v>1.1400354875479598E-2</v>
      </c>
      <c r="I15" s="14">
        <f t="shared" si="5"/>
        <v>3.363272614223578E-2</v>
      </c>
      <c r="J15" s="14">
        <f t="shared" si="6"/>
        <v>2.575563113277585E-2</v>
      </c>
      <c r="K15" s="22">
        <v>12</v>
      </c>
      <c r="L15" s="12"/>
      <c r="Q15" s="15">
        <f t="shared" si="7"/>
        <v>12</v>
      </c>
      <c r="R15" s="2">
        <f t="shared" si="8"/>
        <v>43483</v>
      </c>
      <c r="S15" s="9">
        <f t="shared" ca="1" si="9"/>
        <v>1.1400354875479598E-2</v>
      </c>
      <c r="T15" s="9">
        <f t="shared" ca="1" si="10"/>
        <v>3.363272614223578E-2</v>
      </c>
      <c r="U15" s="9">
        <f t="shared" ca="1" si="11"/>
        <v>2.575563113277585E-2</v>
      </c>
      <c r="AB15" s="33">
        <f t="shared" ca="1" si="19"/>
        <v>12</v>
      </c>
      <c r="AC15" s="34">
        <f t="shared" ca="1" si="20"/>
        <v>-2.3811272477755004E-2</v>
      </c>
      <c r="AD15" s="34">
        <f t="shared" ca="1" si="21"/>
        <v>-2.5669925462390792E-2</v>
      </c>
      <c r="AE15" s="33">
        <f t="shared" ca="1" si="27"/>
        <v>27</v>
      </c>
      <c r="AF15" s="34">
        <f t="shared" ca="1" si="13"/>
        <v>5.7783012163584866</v>
      </c>
      <c r="AG15" s="34">
        <f t="shared" ca="1" si="14"/>
        <v>-2.9597379780421637E-2</v>
      </c>
      <c r="AH15" s="34">
        <f t="shared" ca="1" si="15"/>
        <v>-3.1893259194063037E-2</v>
      </c>
      <c r="AI15" s="33">
        <f t="shared" ca="1" si="22"/>
        <v>32</v>
      </c>
      <c r="AJ15" s="34">
        <f t="shared" ca="1" si="23"/>
        <v>5.5441584157265309</v>
      </c>
      <c r="AK15" s="34">
        <f t="shared" ca="1" si="16"/>
        <v>-3.3445093257488234E-2</v>
      </c>
      <c r="AL15" s="34">
        <f t="shared" ca="1" si="17"/>
        <v>-3.6050998016006926E-2</v>
      </c>
      <c r="AM15" s="33">
        <f t="shared" ca="1" si="24"/>
        <v>26</v>
      </c>
      <c r="AN15" s="34">
        <f t="shared" ca="1" si="25"/>
        <v>3.9687115555379688</v>
      </c>
    </row>
    <row r="16" spans="1:40" x14ac:dyDescent="0.3">
      <c r="A16" s="2">
        <v>43487</v>
      </c>
      <c r="B16" s="9">
        <v>59.759998000000003</v>
      </c>
      <c r="C16" s="9">
        <v>109.33000199999999</v>
      </c>
      <c r="D16" s="9">
        <v>82.010002</v>
      </c>
      <c r="E16" s="10"/>
      <c r="F16" s="13">
        <v>13</v>
      </c>
      <c r="G16" s="2">
        <v>43487</v>
      </c>
      <c r="H16" s="14">
        <f t="shared" si="4"/>
        <v>-1.8403918720019657E-2</v>
      </c>
      <c r="I16" s="14">
        <f t="shared" si="5"/>
        <v>-2.0281346865454471E-2</v>
      </c>
      <c r="J16" s="14">
        <f t="shared" si="6"/>
        <v>-7.0473439550215351E-3</v>
      </c>
      <c r="K16" s="22">
        <v>13</v>
      </c>
      <c r="L16" s="12"/>
      <c r="Q16" s="15">
        <f t="shared" si="7"/>
        <v>13</v>
      </c>
      <c r="R16" s="2">
        <f t="shared" si="8"/>
        <v>43487</v>
      </c>
      <c r="S16" s="9">
        <f t="shared" ca="1" si="9"/>
        <v>-1.8403918720019657E-2</v>
      </c>
      <c r="T16" s="9">
        <f t="shared" ca="1" si="10"/>
        <v>-2.0281346865454471E-2</v>
      </c>
      <c r="U16" s="9">
        <f t="shared" ca="1" si="11"/>
        <v>-7.0473439550215351E-3</v>
      </c>
      <c r="AB16" s="33">
        <f t="shared" ca="1" si="19"/>
        <v>13</v>
      </c>
      <c r="AC16" s="34">
        <f t="shared" ca="1" si="20"/>
        <v>-2.0093966508483427E-2</v>
      </c>
      <c r="AD16" s="34">
        <f t="shared" ca="1" si="21"/>
        <v>-2.1952619493119215E-2</v>
      </c>
      <c r="AE16" s="33">
        <f t="shared" ca="1" si="27"/>
        <v>42</v>
      </c>
      <c r="AF16" s="34">
        <f t="shared" ca="1" si="13"/>
        <v>8.9884685587798678</v>
      </c>
      <c r="AG16" s="34">
        <f t="shared" ca="1" si="14"/>
        <v>-2.5005620953138838E-2</v>
      </c>
      <c r="AH16" s="34">
        <f t="shared" ca="1" si="15"/>
        <v>-2.7301500366780238E-2</v>
      </c>
      <c r="AI16" s="33">
        <f t="shared" ca="1" si="22"/>
        <v>34</v>
      </c>
      <c r="AJ16" s="34">
        <f t="shared" ca="1" si="23"/>
        <v>5.8906683167094389</v>
      </c>
      <c r="AK16" s="34">
        <f t="shared" ca="1" si="16"/>
        <v>-2.8233283740450848E-2</v>
      </c>
      <c r="AL16" s="34">
        <f t="shared" ca="1" si="17"/>
        <v>-3.0839188498969543E-2</v>
      </c>
      <c r="AM16" s="33">
        <f t="shared" ca="1" si="24"/>
        <v>42</v>
      </c>
      <c r="AN16" s="34">
        <f t="shared" ca="1" si="25"/>
        <v>6.4109955897151805</v>
      </c>
    </row>
    <row r="17" spans="1:40" x14ac:dyDescent="0.3">
      <c r="A17" s="2">
        <v>43488</v>
      </c>
      <c r="B17" s="9">
        <v>59.400002000000001</v>
      </c>
      <c r="C17" s="9">
        <v>110.279999</v>
      </c>
      <c r="D17" s="9">
        <v>79.779999000000004</v>
      </c>
      <c r="E17" s="10"/>
      <c r="F17" s="13">
        <v>14</v>
      </c>
      <c r="G17" s="2">
        <v>43488</v>
      </c>
      <c r="H17" s="14">
        <f t="shared" si="4"/>
        <v>-6.0422473187268034E-3</v>
      </c>
      <c r="I17" s="14">
        <f t="shared" si="5"/>
        <v>8.6517273481348401E-3</v>
      </c>
      <c r="J17" s="14">
        <f t="shared" si="6"/>
        <v>-2.7568381492798597E-2</v>
      </c>
      <c r="K17" s="22">
        <v>14</v>
      </c>
      <c r="L17" s="12"/>
      <c r="Q17" s="15">
        <f t="shared" si="7"/>
        <v>14</v>
      </c>
      <c r="R17" s="2">
        <f t="shared" si="8"/>
        <v>43488</v>
      </c>
      <c r="S17" s="9">
        <f t="shared" ca="1" si="9"/>
        <v>-6.0422473187268034E-3</v>
      </c>
      <c r="T17" s="9">
        <f t="shared" ca="1" si="10"/>
        <v>8.6517273481348401E-3</v>
      </c>
      <c r="U17" s="9">
        <f t="shared" ca="1" si="11"/>
        <v>-2.7568381492798597E-2</v>
      </c>
      <c r="AB17" s="33">
        <f t="shared" ca="1" si="19"/>
        <v>14</v>
      </c>
      <c r="AC17" s="34">
        <f t="shared" ca="1" si="20"/>
        <v>-1.637666053921185E-2</v>
      </c>
      <c r="AD17" s="34">
        <f t="shared" ca="1" si="21"/>
        <v>-1.8235313523847638E-2</v>
      </c>
      <c r="AE17" s="33">
        <f t="shared" ca="1" si="27"/>
        <v>44</v>
      </c>
      <c r="AF17" s="34">
        <f t="shared" ca="1" si="13"/>
        <v>9.4164908711027184</v>
      </c>
      <c r="AG17" s="34">
        <f t="shared" ca="1" si="14"/>
        <v>-2.0413862125856039E-2</v>
      </c>
      <c r="AH17" s="34">
        <f t="shared" ca="1" si="15"/>
        <v>-2.2709741539497438E-2</v>
      </c>
      <c r="AI17" s="33">
        <f t="shared" ca="1" si="22"/>
        <v>50</v>
      </c>
      <c r="AJ17" s="34">
        <f t="shared" ca="1" si="23"/>
        <v>8.6627475245727048</v>
      </c>
      <c r="AK17" s="34">
        <f t="shared" ca="1" si="16"/>
        <v>-2.3021474223413461E-2</v>
      </c>
      <c r="AL17" s="34">
        <f t="shared" ca="1" si="17"/>
        <v>-2.5627378981932153E-2</v>
      </c>
      <c r="AM17" s="33">
        <f t="shared" ca="1" si="24"/>
        <v>50</v>
      </c>
      <c r="AN17" s="34">
        <f t="shared" ca="1" si="25"/>
        <v>7.6321376068037869</v>
      </c>
    </row>
    <row r="18" spans="1:40" x14ac:dyDescent="0.3">
      <c r="A18" s="2">
        <v>43489</v>
      </c>
      <c r="B18" s="9">
        <v>60.34</v>
      </c>
      <c r="C18" s="9">
        <v>110.94000200000001</v>
      </c>
      <c r="D18" s="9">
        <v>78.949996999999996</v>
      </c>
      <c r="E18" s="10"/>
      <c r="F18" s="13">
        <v>15</v>
      </c>
      <c r="G18" s="2">
        <v>43489</v>
      </c>
      <c r="H18" s="14">
        <f t="shared" si="4"/>
        <v>1.5700973692282693E-2</v>
      </c>
      <c r="I18" s="14">
        <f t="shared" si="5"/>
        <v>5.9669555670826017E-3</v>
      </c>
      <c r="J18" s="14">
        <f t="shared" si="6"/>
        <v>-1.045813123987376E-2</v>
      </c>
      <c r="K18" s="22">
        <v>15</v>
      </c>
      <c r="L18" s="12"/>
      <c r="Q18" s="15">
        <f t="shared" si="7"/>
        <v>15</v>
      </c>
      <c r="R18" s="2">
        <f t="shared" si="8"/>
        <v>43489</v>
      </c>
      <c r="S18" s="9">
        <f t="shared" ca="1" si="9"/>
        <v>1.5700973692282693E-2</v>
      </c>
      <c r="T18" s="9">
        <f t="shared" ca="1" si="10"/>
        <v>5.9669555670826017E-3</v>
      </c>
      <c r="U18" s="9">
        <f t="shared" ca="1" si="11"/>
        <v>-1.045813123987376E-2</v>
      </c>
      <c r="AB18" s="33">
        <f t="shared" ca="1" si="19"/>
        <v>15</v>
      </c>
      <c r="AC18" s="34">
        <f t="shared" ca="1" si="20"/>
        <v>-1.2659354569940273E-2</v>
      </c>
      <c r="AD18" s="34">
        <f t="shared" ca="1" si="21"/>
        <v>-1.4518007554576062E-2</v>
      </c>
      <c r="AE18" s="33">
        <f t="shared" ca="1" si="27"/>
        <v>59</v>
      </c>
      <c r="AF18" s="34">
        <f t="shared" ca="1" si="13"/>
        <v>12.626658213524102</v>
      </c>
      <c r="AG18" s="34">
        <f t="shared" ca="1" si="14"/>
        <v>-1.582210329857324E-2</v>
      </c>
      <c r="AH18" s="34">
        <f t="shared" ca="1" si="15"/>
        <v>-1.8117982712214639E-2</v>
      </c>
      <c r="AI18" s="33">
        <f t="shared" ca="1" si="22"/>
        <v>67</v>
      </c>
      <c r="AJ18" s="34">
        <f t="shared" ca="1" si="23"/>
        <v>11.608081682927425</v>
      </c>
      <c r="AK18" s="34">
        <f t="shared" ca="1" si="16"/>
        <v>-1.7809664706376075E-2</v>
      </c>
      <c r="AL18" s="34">
        <f t="shared" ca="1" si="17"/>
        <v>-2.041556946489477E-2</v>
      </c>
      <c r="AM18" s="33">
        <f t="shared" ca="1" si="24"/>
        <v>53</v>
      </c>
      <c r="AN18" s="34">
        <f t="shared" ca="1" si="25"/>
        <v>8.0900658632120148</v>
      </c>
    </row>
    <row r="19" spans="1:40" x14ac:dyDescent="0.3">
      <c r="A19" s="2">
        <v>43490</v>
      </c>
      <c r="B19" s="9">
        <v>60.990001999999997</v>
      </c>
      <c r="C19" s="9">
        <v>113.639999</v>
      </c>
      <c r="D19" s="9">
        <v>82.190002000000007</v>
      </c>
      <c r="E19" s="10"/>
      <c r="F19" s="13">
        <v>16</v>
      </c>
      <c r="G19" s="2">
        <v>43490</v>
      </c>
      <c r="H19" s="14">
        <f t="shared" si="4"/>
        <v>1.0714715369710234E-2</v>
      </c>
      <c r="I19" s="14">
        <f t="shared" si="5"/>
        <v>2.4046015531417737E-2</v>
      </c>
      <c r="J19" s="14">
        <f t="shared" si="6"/>
        <v>4.0218961791352148E-2</v>
      </c>
      <c r="K19" s="22">
        <v>16</v>
      </c>
      <c r="L19" s="12"/>
      <c r="Q19" s="15">
        <f t="shared" si="7"/>
        <v>16</v>
      </c>
      <c r="R19" s="2">
        <f t="shared" si="8"/>
        <v>43490</v>
      </c>
      <c r="S19" s="9">
        <f t="shared" ca="1" si="9"/>
        <v>1.0714715369710234E-2</v>
      </c>
      <c r="T19" s="9">
        <f t="shared" ca="1" si="10"/>
        <v>2.4046015531417737E-2</v>
      </c>
      <c r="U19" s="9">
        <f t="shared" ca="1" si="11"/>
        <v>4.0218961791352148E-2</v>
      </c>
      <c r="AB19" s="33">
        <f t="shared" ca="1" si="19"/>
        <v>16</v>
      </c>
      <c r="AC19" s="34">
        <f t="shared" ca="1" si="20"/>
        <v>-8.9420486006686964E-3</v>
      </c>
      <c r="AD19" s="34">
        <f t="shared" ca="1" si="21"/>
        <v>-1.0800701585304485E-2</v>
      </c>
      <c r="AE19" s="33">
        <f t="shared" ca="1" si="27"/>
        <v>84</v>
      </c>
      <c r="AF19" s="34">
        <f t="shared" ca="1" si="13"/>
        <v>17.976937117559736</v>
      </c>
      <c r="AG19" s="34">
        <f t="shared" ca="1" si="14"/>
        <v>-1.1230344471290442E-2</v>
      </c>
      <c r="AH19" s="34">
        <f t="shared" ca="1" si="15"/>
        <v>-1.352622388493184E-2</v>
      </c>
      <c r="AI19" s="33">
        <f t="shared" ca="1" si="22"/>
        <v>76</v>
      </c>
      <c r="AJ19" s="34">
        <f t="shared" ca="1" si="23"/>
        <v>13.16737623735051</v>
      </c>
      <c r="AK19" s="34">
        <f t="shared" ca="1" si="16"/>
        <v>-1.2597855189338689E-2</v>
      </c>
      <c r="AL19" s="34">
        <f t="shared" ca="1" si="17"/>
        <v>-1.5203759947857382E-2</v>
      </c>
      <c r="AM19" s="33">
        <f t="shared" ca="1" si="24"/>
        <v>70</v>
      </c>
      <c r="AN19" s="34">
        <f t="shared" ca="1" si="25"/>
        <v>10.6849926495253</v>
      </c>
    </row>
    <row r="20" spans="1:40" x14ac:dyDescent="0.3">
      <c r="A20" s="2">
        <v>43493</v>
      </c>
      <c r="B20" s="9">
        <v>60.779998999999997</v>
      </c>
      <c r="C20" s="9">
        <v>115.089996</v>
      </c>
      <c r="D20" s="9">
        <v>81.029999000000004</v>
      </c>
      <c r="E20" s="10"/>
      <c r="F20" s="13">
        <v>17</v>
      </c>
      <c r="G20" s="2">
        <v>43493</v>
      </c>
      <c r="H20" s="14">
        <f t="shared" si="4"/>
        <v>-3.4491780647591353E-3</v>
      </c>
      <c r="I20" s="14">
        <f t="shared" si="5"/>
        <v>1.2678848038721539E-2</v>
      </c>
      <c r="J20" s="14">
        <f t="shared" si="6"/>
        <v>-1.4214220362743337E-2</v>
      </c>
      <c r="K20" s="22">
        <v>17</v>
      </c>
      <c r="L20" s="12"/>
      <c r="Q20" s="15">
        <f t="shared" si="7"/>
        <v>17</v>
      </c>
      <c r="R20" s="2">
        <f t="shared" si="8"/>
        <v>43493</v>
      </c>
      <c r="S20" s="9">
        <f t="shared" ca="1" si="9"/>
        <v>-3.4491780647591353E-3</v>
      </c>
      <c r="T20" s="9">
        <f t="shared" ca="1" si="10"/>
        <v>1.2678848038721539E-2</v>
      </c>
      <c r="U20" s="9">
        <f t="shared" ca="1" si="11"/>
        <v>-1.4214220362743337E-2</v>
      </c>
      <c r="AB20" s="33">
        <f t="shared" ca="1" si="19"/>
        <v>17</v>
      </c>
      <c r="AC20" s="34">
        <f t="shared" ca="1" si="20"/>
        <v>-5.2247426313971196E-3</v>
      </c>
      <c r="AD20" s="34">
        <f t="shared" ca="1" si="21"/>
        <v>-7.083395616032908E-3</v>
      </c>
      <c r="AE20" s="33">
        <f t="shared" ca="1" si="27"/>
        <v>85</v>
      </c>
      <c r="AF20" s="34">
        <f t="shared" ca="1" si="13"/>
        <v>18.190948273721162</v>
      </c>
      <c r="AG20" s="34">
        <f t="shared" ca="1" si="14"/>
        <v>-6.6385856440076448E-3</v>
      </c>
      <c r="AH20" s="34">
        <f t="shared" ca="1" si="15"/>
        <v>-8.9344650576490443E-3</v>
      </c>
      <c r="AI20" s="33">
        <f t="shared" ca="1" si="22"/>
        <v>97</v>
      </c>
      <c r="AJ20" s="34">
        <f t="shared" ca="1" si="23"/>
        <v>16.80573019767105</v>
      </c>
      <c r="AK20" s="34">
        <f t="shared" ca="1" si="16"/>
        <v>-7.3860456723013022E-3</v>
      </c>
      <c r="AL20" s="34">
        <f t="shared" ca="1" si="17"/>
        <v>-9.9919504308199954E-3</v>
      </c>
      <c r="AM20" s="33">
        <f t="shared" ca="1" si="24"/>
        <v>115</v>
      </c>
      <c r="AN20" s="34">
        <f t="shared" ca="1" si="25"/>
        <v>17.553916495648711</v>
      </c>
    </row>
    <row r="21" spans="1:40" x14ac:dyDescent="0.3">
      <c r="A21" s="2">
        <v>43494</v>
      </c>
      <c r="B21" s="9">
        <v>60.720001000000003</v>
      </c>
      <c r="C21" s="9">
        <v>116.150002</v>
      </c>
      <c r="D21" s="9">
        <v>81.139999000000003</v>
      </c>
      <c r="E21" s="10"/>
      <c r="F21" s="13">
        <v>18</v>
      </c>
      <c r="G21" s="2">
        <v>43494</v>
      </c>
      <c r="H21" s="14">
        <f t="shared" si="4"/>
        <v>-9.8762147945370953E-4</v>
      </c>
      <c r="I21" s="14">
        <f t="shared" si="5"/>
        <v>9.1680802105408993E-3</v>
      </c>
      <c r="J21" s="14">
        <f t="shared" si="6"/>
        <v>1.3566013223978389E-3</v>
      </c>
      <c r="K21" s="22">
        <v>18</v>
      </c>
      <c r="L21" s="12"/>
      <c r="Q21" s="15">
        <f t="shared" si="7"/>
        <v>18</v>
      </c>
      <c r="R21" s="2">
        <f t="shared" si="8"/>
        <v>43494</v>
      </c>
      <c r="S21" s="9">
        <f t="shared" ca="1" si="9"/>
        <v>-9.8762147945370953E-4</v>
      </c>
      <c r="T21" s="9">
        <f t="shared" ca="1" si="10"/>
        <v>9.1680802105408993E-3</v>
      </c>
      <c r="U21" s="9">
        <f t="shared" ca="1" si="11"/>
        <v>1.3566013223978389E-3</v>
      </c>
      <c r="AB21" s="33">
        <f t="shared" ca="1" si="19"/>
        <v>18</v>
      </c>
      <c r="AC21" s="34">
        <f t="shared" ca="1" si="20"/>
        <v>-1.5074366621255428E-3</v>
      </c>
      <c r="AD21" s="34">
        <f t="shared" ca="1" si="21"/>
        <v>-3.3660896467613312E-3</v>
      </c>
      <c r="AE21" s="33">
        <f t="shared" ca="1" si="27"/>
        <v>128</v>
      </c>
      <c r="AF21" s="34">
        <f t="shared" ca="1" si="13"/>
        <v>27.393427988662456</v>
      </c>
      <c r="AG21" s="34">
        <f t="shared" ca="1" si="14"/>
        <v>-2.0468268167248473E-3</v>
      </c>
      <c r="AH21" s="34">
        <f t="shared" ca="1" si="15"/>
        <v>-4.342706230366246E-3</v>
      </c>
      <c r="AI21" s="33">
        <f t="shared" ca="1" si="22"/>
        <v>125</v>
      </c>
      <c r="AJ21" s="34">
        <f t="shared" ca="1" si="23"/>
        <v>21.65686881143176</v>
      </c>
      <c r="AK21" s="34">
        <f t="shared" ca="1" si="16"/>
        <v>-2.1742361552639158E-3</v>
      </c>
      <c r="AL21" s="34">
        <f t="shared" ca="1" si="17"/>
        <v>-4.780140913782609E-3</v>
      </c>
      <c r="AM21" s="33">
        <f t="shared" ca="1" si="24"/>
        <v>117</v>
      </c>
      <c r="AN21" s="34">
        <f t="shared" ca="1" si="25"/>
        <v>17.859201999920863</v>
      </c>
    </row>
    <row r="22" spans="1:40" x14ac:dyDescent="0.3">
      <c r="A22" s="2">
        <v>43495</v>
      </c>
      <c r="B22" s="9">
        <v>65.190002000000007</v>
      </c>
      <c r="C22" s="9">
        <v>116.949997</v>
      </c>
      <c r="D22" s="9">
        <v>83.279999000000004</v>
      </c>
      <c r="E22" s="10"/>
      <c r="F22" s="13">
        <v>19</v>
      </c>
      <c r="G22" s="2">
        <v>43495</v>
      </c>
      <c r="H22" s="14">
        <f t="shared" si="4"/>
        <v>7.103296405958702E-2</v>
      </c>
      <c r="I22" s="14">
        <f t="shared" si="5"/>
        <v>6.863990942668402E-3</v>
      </c>
      <c r="J22" s="14">
        <f t="shared" si="6"/>
        <v>2.6032366845105015E-2</v>
      </c>
      <c r="K22" s="22">
        <v>19</v>
      </c>
      <c r="L22" s="12"/>
      <c r="Q22" s="15">
        <f t="shared" si="7"/>
        <v>19</v>
      </c>
      <c r="R22" s="2">
        <f t="shared" si="8"/>
        <v>43495</v>
      </c>
      <c r="S22" s="9">
        <f t="shared" ca="1" si="9"/>
        <v>7.103296405958702E-2</v>
      </c>
      <c r="T22" s="9">
        <f t="shared" ca="1" si="10"/>
        <v>6.863990942668402E-3</v>
      </c>
      <c r="U22" s="9">
        <f t="shared" ca="1" si="11"/>
        <v>2.6032366845105015E-2</v>
      </c>
      <c r="AB22" s="33">
        <f t="shared" ca="1" si="19"/>
        <v>19</v>
      </c>
      <c r="AC22" s="34">
        <f t="shared" ca="1" si="20"/>
        <v>2.209869307146034E-3</v>
      </c>
      <c r="AD22" s="34">
        <f t="shared" ca="1" si="21"/>
        <v>3.5121632251024562E-4</v>
      </c>
      <c r="AE22" s="33">
        <f t="shared" ca="1" si="27"/>
        <v>130</v>
      </c>
      <c r="AF22" s="34">
        <f t="shared" ca="1" si="13"/>
        <v>27.821450300985305</v>
      </c>
      <c r="AG22" s="34">
        <f t="shared" ca="1" si="14"/>
        <v>2.5449320105579501E-3</v>
      </c>
      <c r="AH22" s="34">
        <f t="shared" ca="1" si="15"/>
        <v>2.4905259691655138E-4</v>
      </c>
      <c r="AI22" s="33">
        <f t="shared" ca="1" si="22"/>
        <v>111</v>
      </c>
      <c r="AJ22" s="34">
        <f t="shared" ca="1" si="23"/>
        <v>19.231299504551405</v>
      </c>
      <c r="AK22" s="34">
        <f t="shared" ca="1" si="16"/>
        <v>3.0375733617734706E-3</v>
      </c>
      <c r="AL22" s="34">
        <f t="shared" ca="1" si="17"/>
        <v>4.3166860325477736E-4</v>
      </c>
      <c r="AM22" s="33">
        <f t="shared" ca="1" si="24"/>
        <v>132</v>
      </c>
      <c r="AN22" s="34">
        <f t="shared" ca="1" si="25"/>
        <v>20.148843281961998</v>
      </c>
    </row>
    <row r="23" spans="1:40" x14ac:dyDescent="0.3">
      <c r="A23" s="2">
        <v>43496</v>
      </c>
      <c r="B23" s="9">
        <v>64.430000000000007</v>
      </c>
      <c r="C23" s="9">
        <v>116.139999</v>
      </c>
      <c r="D23" s="9">
        <v>87.82</v>
      </c>
      <c r="E23" s="10"/>
      <c r="F23" s="13">
        <v>20</v>
      </c>
      <c r="G23" s="2">
        <v>43496</v>
      </c>
      <c r="H23" s="14">
        <f t="shared" si="4"/>
        <v>-1.1726750465448554E-2</v>
      </c>
      <c r="I23" s="14">
        <f t="shared" si="5"/>
        <v>-6.9501160445937602E-3</v>
      </c>
      <c r="J23" s="14">
        <f t="shared" si="6"/>
        <v>5.3080852834542891E-2</v>
      </c>
      <c r="K23" s="22">
        <v>20</v>
      </c>
      <c r="L23" s="12"/>
      <c r="Q23" s="15">
        <f t="shared" si="7"/>
        <v>20</v>
      </c>
      <c r="R23" s="2">
        <f t="shared" si="8"/>
        <v>43496</v>
      </c>
      <c r="S23" s="9">
        <f t="shared" ca="1" si="9"/>
        <v>-1.1726750465448554E-2</v>
      </c>
      <c r="T23" s="9">
        <f t="shared" ca="1" si="10"/>
        <v>-6.9501160445937602E-3</v>
      </c>
      <c r="U23" s="9">
        <f t="shared" ca="1" si="11"/>
        <v>5.3080852834542891E-2</v>
      </c>
      <c r="AB23" s="33">
        <f t="shared" ca="1" si="19"/>
        <v>20</v>
      </c>
      <c r="AC23" s="34">
        <f t="shared" ca="1" si="20"/>
        <v>5.9271752764176108E-3</v>
      </c>
      <c r="AD23" s="34">
        <f t="shared" ca="1" si="21"/>
        <v>4.0685222917818224E-3</v>
      </c>
      <c r="AE23" s="33">
        <f t="shared" ca="1" si="27"/>
        <v>107</v>
      </c>
      <c r="AF23" s="34">
        <f t="shared" ca="1" si="13"/>
        <v>22.899193709272524</v>
      </c>
      <c r="AG23" s="34">
        <f t="shared" ca="1" si="14"/>
        <v>7.1366908378407475E-3</v>
      </c>
      <c r="AH23" s="34">
        <f t="shared" ca="1" si="15"/>
        <v>4.8408114241993488E-3</v>
      </c>
      <c r="AI23" s="33">
        <f t="shared" ca="1" si="22"/>
        <v>114</v>
      </c>
      <c r="AJ23" s="34">
        <f t="shared" ca="1" si="23"/>
        <v>19.751064356025765</v>
      </c>
      <c r="AK23" s="34">
        <f t="shared" ca="1" si="16"/>
        <v>8.249382878810857E-3</v>
      </c>
      <c r="AL23" s="34">
        <f t="shared" ca="1" si="17"/>
        <v>5.6434781202921638E-3</v>
      </c>
      <c r="AM23" s="33">
        <f t="shared" ca="1" si="24"/>
        <v>116</v>
      </c>
      <c r="AN23" s="34">
        <f t="shared" ca="1" si="25"/>
        <v>17.706559247784785</v>
      </c>
    </row>
    <row r="24" spans="1:40" x14ac:dyDescent="0.3">
      <c r="A24" s="2">
        <v>43497</v>
      </c>
      <c r="B24" s="9">
        <v>63.5</v>
      </c>
      <c r="C24" s="9">
        <v>115.779999</v>
      </c>
      <c r="D24" s="9">
        <v>85.260002</v>
      </c>
      <c r="E24" s="10"/>
      <c r="F24" s="13">
        <v>21</v>
      </c>
      <c r="G24" s="2">
        <v>43497</v>
      </c>
      <c r="H24" s="14">
        <f t="shared" si="4"/>
        <v>-1.4539457251905218E-2</v>
      </c>
      <c r="I24" s="14">
        <f t="shared" si="5"/>
        <v>-3.1045213198176739E-3</v>
      </c>
      <c r="J24" s="14">
        <f t="shared" si="6"/>
        <v>-2.9583830338848417E-2</v>
      </c>
      <c r="K24" s="22">
        <v>21</v>
      </c>
      <c r="L24" s="12"/>
      <c r="Q24" s="15">
        <f t="shared" si="7"/>
        <v>21</v>
      </c>
      <c r="R24" s="2">
        <f t="shared" si="8"/>
        <v>43497</v>
      </c>
      <c r="S24" s="9">
        <f t="shared" ca="1" si="9"/>
        <v>-1.4539457251905218E-2</v>
      </c>
      <c r="T24" s="9">
        <f t="shared" ca="1" si="10"/>
        <v>-3.1045213198176739E-3</v>
      </c>
      <c r="U24" s="9">
        <f t="shared" ca="1" si="11"/>
        <v>-2.9583830338848417E-2</v>
      </c>
      <c r="AB24" s="33">
        <f t="shared" ca="1" si="19"/>
        <v>21</v>
      </c>
      <c r="AC24" s="34">
        <f t="shared" ca="1" si="20"/>
        <v>9.6444812456891876E-3</v>
      </c>
      <c r="AD24" s="34">
        <f t="shared" ca="1" si="21"/>
        <v>7.7858282610533992E-3</v>
      </c>
      <c r="AE24" s="33">
        <f t="shared" ca="1" si="27"/>
        <v>91</v>
      </c>
      <c r="AF24" s="34">
        <f t="shared" ca="1" si="13"/>
        <v>19.475015210689715</v>
      </c>
      <c r="AG24" s="34">
        <f t="shared" ca="1" si="14"/>
        <v>1.1728449665123545E-2</v>
      </c>
      <c r="AH24" s="34">
        <f t="shared" ca="1" si="15"/>
        <v>9.4325702514821454E-3</v>
      </c>
      <c r="AI24" s="33">
        <f t="shared" ca="1" si="22"/>
        <v>97</v>
      </c>
      <c r="AJ24" s="34">
        <f t="shared" ca="1" si="23"/>
        <v>16.80573019767105</v>
      </c>
      <c r="AK24" s="34">
        <f t="shared" ca="1" si="16"/>
        <v>1.3461192395848243E-2</v>
      </c>
      <c r="AL24" s="34">
        <f t="shared" ca="1" si="17"/>
        <v>1.085528763732955E-2</v>
      </c>
      <c r="AM24" s="33">
        <f t="shared" ca="1" si="24"/>
        <v>105</v>
      </c>
      <c r="AN24" s="34">
        <f t="shared" ca="1" si="25"/>
        <v>16.027488974287952</v>
      </c>
    </row>
    <row r="25" spans="1:40" x14ac:dyDescent="0.3">
      <c r="A25" s="2">
        <v>43500</v>
      </c>
      <c r="B25" s="9">
        <v>64.230002999999996</v>
      </c>
      <c r="C25" s="9">
        <v>114.550003</v>
      </c>
      <c r="D25" s="9">
        <v>84.790001000000004</v>
      </c>
      <c r="E25" s="10"/>
      <c r="F25" s="13">
        <v>22</v>
      </c>
      <c r="G25" s="2">
        <v>43500</v>
      </c>
      <c r="H25" s="14">
        <f t="shared" si="4"/>
        <v>1.1430532078200113E-2</v>
      </c>
      <c r="I25" s="14">
        <f t="shared" si="5"/>
        <v>-1.0680394924847065E-2</v>
      </c>
      <c r="J25" s="14">
        <f t="shared" si="6"/>
        <v>-5.527811684967663E-3</v>
      </c>
      <c r="K25" s="22">
        <v>22</v>
      </c>
      <c r="L25" s="12"/>
      <c r="Q25" s="15">
        <f t="shared" si="7"/>
        <v>22</v>
      </c>
      <c r="R25" s="2">
        <f t="shared" si="8"/>
        <v>43500</v>
      </c>
      <c r="S25" s="9">
        <f t="shared" ca="1" si="9"/>
        <v>1.1430532078200113E-2</v>
      </c>
      <c r="T25" s="9">
        <f t="shared" ca="1" si="10"/>
        <v>-1.0680394924847065E-2</v>
      </c>
      <c r="U25" s="9">
        <f t="shared" ca="1" si="11"/>
        <v>-5.527811684967663E-3</v>
      </c>
      <c r="AB25" s="33">
        <f t="shared" ca="1" si="19"/>
        <v>22</v>
      </c>
      <c r="AC25" s="34">
        <f t="shared" ca="1" si="20"/>
        <v>1.3361787214960764E-2</v>
      </c>
      <c r="AD25" s="34">
        <f t="shared" ca="1" si="21"/>
        <v>1.1503134230324976E-2</v>
      </c>
      <c r="AE25" s="33">
        <f t="shared" ca="1" si="27"/>
        <v>84</v>
      </c>
      <c r="AF25" s="34">
        <f t="shared" ca="1" si="13"/>
        <v>17.976937117559736</v>
      </c>
      <c r="AG25" s="34">
        <f t="shared" ca="1" si="14"/>
        <v>1.6320208492406341E-2</v>
      </c>
      <c r="AH25" s="34">
        <f t="shared" ca="1" si="15"/>
        <v>1.4024329078764941E-2</v>
      </c>
      <c r="AI25" s="33">
        <f t="shared" ca="1" si="22"/>
        <v>73</v>
      </c>
      <c r="AJ25" s="34">
        <f t="shared" ca="1" si="23"/>
        <v>12.647611385876148</v>
      </c>
      <c r="AK25" s="34">
        <f t="shared" ca="1" si="16"/>
        <v>1.867300191288563E-2</v>
      </c>
      <c r="AL25" s="34">
        <f t="shared" ca="1" si="17"/>
        <v>1.6067097154366938E-2</v>
      </c>
      <c r="AM25" s="33">
        <f t="shared" ca="1" si="24"/>
        <v>70</v>
      </c>
      <c r="AN25" s="34">
        <f t="shared" ca="1" si="25"/>
        <v>10.6849926495253</v>
      </c>
    </row>
    <row r="26" spans="1:40" x14ac:dyDescent="0.3">
      <c r="A26" s="2">
        <v>43501</v>
      </c>
      <c r="B26" s="9">
        <v>63.610000999999997</v>
      </c>
      <c r="C26" s="9">
        <v>124.160004</v>
      </c>
      <c r="D26" s="9">
        <v>85.959998999999996</v>
      </c>
      <c r="E26" s="10"/>
      <c r="F26" s="13">
        <v>23</v>
      </c>
      <c r="G26" s="2">
        <v>43501</v>
      </c>
      <c r="H26" s="14">
        <f t="shared" si="4"/>
        <v>-9.6997315653348376E-3</v>
      </c>
      <c r="I26" s="14">
        <f t="shared" si="5"/>
        <v>8.0559653562461864E-2</v>
      </c>
      <c r="J26" s="14">
        <f t="shared" si="6"/>
        <v>1.3704437031236576E-2</v>
      </c>
      <c r="K26" s="22">
        <v>23</v>
      </c>
      <c r="L26" s="12"/>
      <c r="Q26" s="15">
        <f t="shared" si="7"/>
        <v>23</v>
      </c>
      <c r="R26" s="2">
        <f t="shared" si="8"/>
        <v>43501</v>
      </c>
      <c r="S26" s="9">
        <f t="shared" ca="1" si="9"/>
        <v>-9.6997315653348376E-3</v>
      </c>
      <c r="T26" s="9">
        <f t="shared" ca="1" si="10"/>
        <v>8.0559653562461864E-2</v>
      </c>
      <c r="U26" s="9">
        <f t="shared" ca="1" si="11"/>
        <v>1.3704437031236576E-2</v>
      </c>
      <c r="AB26" s="33">
        <f t="shared" ca="1" si="19"/>
        <v>23</v>
      </c>
      <c r="AC26" s="34">
        <f t="shared" ca="1" si="20"/>
        <v>1.7079093184232341E-2</v>
      </c>
      <c r="AD26" s="34">
        <f t="shared" ca="1" si="21"/>
        <v>1.5220440199596553E-2</v>
      </c>
      <c r="AE26" s="33">
        <f t="shared" ca="1" si="27"/>
        <v>71</v>
      </c>
      <c r="AF26" s="34">
        <f t="shared" ca="1" si="13"/>
        <v>15.194792087461206</v>
      </c>
      <c r="AG26" s="34">
        <f t="shared" ca="1" si="14"/>
        <v>2.091196731968914E-2</v>
      </c>
      <c r="AH26" s="34">
        <f t="shared" ca="1" si="15"/>
        <v>1.861608790604774E-2</v>
      </c>
      <c r="AI26" s="33">
        <f t="shared" ca="1" si="22"/>
        <v>68</v>
      </c>
      <c r="AJ26" s="34">
        <f t="shared" ca="1" si="23"/>
        <v>11.781336633418878</v>
      </c>
      <c r="AK26" s="34">
        <f t="shared" ca="1" si="16"/>
        <v>2.3884811429923016E-2</v>
      </c>
      <c r="AL26" s="34">
        <f t="shared" ca="1" si="17"/>
        <v>2.1278906671404321E-2</v>
      </c>
      <c r="AM26" s="33">
        <f t="shared" ca="1" si="24"/>
        <v>79</v>
      </c>
      <c r="AN26" s="34">
        <f t="shared" ca="1" si="25"/>
        <v>12.058777418749983</v>
      </c>
    </row>
    <row r="27" spans="1:40" x14ac:dyDescent="0.3">
      <c r="A27" s="2">
        <v>43502</v>
      </c>
      <c r="B27" s="9">
        <v>63.66</v>
      </c>
      <c r="C27" s="9">
        <v>126.08000199999999</v>
      </c>
      <c r="D27" s="9">
        <v>85.919998000000007</v>
      </c>
      <c r="E27" s="10"/>
      <c r="F27" s="13">
        <v>24</v>
      </c>
      <c r="G27" s="2">
        <v>43502</v>
      </c>
      <c r="H27" s="14">
        <f t="shared" si="4"/>
        <v>7.8571544243539809E-4</v>
      </c>
      <c r="I27" s="14">
        <f t="shared" si="5"/>
        <v>1.5345553321109918E-2</v>
      </c>
      <c r="J27" s="14">
        <f t="shared" si="6"/>
        <v>-4.6545265790484089E-4</v>
      </c>
      <c r="K27" s="22">
        <v>24</v>
      </c>
      <c r="L27" s="12"/>
      <c r="Q27" s="15">
        <f t="shared" si="7"/>
        <v>24</v>
      </c>
      <c r="R27" s="2">
        <f t="shared" si="8"/>
        <v>43502</v>
      </c>
      <c r="S27" s="9">
        <f t="shared" ca="1" si="9"/>
        <v>7.8571544243539809E-4</v>
      </c>
      <c r="T27" s="9">
        <f t="shared" ca="1" si="10"/>
        <v>1.5345553321109918E-2</v>
      </c>
      <c r="U27" s="9">
        <f t="shared" ca="1" si="11"/>
        <v>-4.6545265790484089E-4</v>
      </c>
      <c r="AB27" s="33">
        <f t="shared" ca="1" si="19"/>
        <v>24</v>
      </c>
      <c r="AC27" s="34">
        <f t="shared" ca="1" si="20"/>
        <v>2.0796399153503918E-2</v>
      </c>
      <c r="AD27" s="34">
        <f t="shared" ca="1" si="21"/>
        <v>1.893774616886813E-2</v>
      </c>
      <c r="AE27" s="33">
        <f t="shared" ca="1" si="27"/>
        <v>67</v>
      </c>
      <c r="AF27" s="34">
        <f t="shared" ca="1" si="13"/>
        <v>14.338747462815505</v>
      </c>
      <c r="AG27" s="34">
        <f t="shared" ca="1" si="14"/>
        <v>2.5503726146971939E-2</v>
      </c>
      <c r="AH27" s="34">
        <f t="shared" ca="1" si="15"/>
        <v>2.3207846733330539E-2</v>
      </c>
      <c r="AI27" s="33">
        <f t="shared" ca="1" si="22"/>
        <v>60</v>
      </c>
      <c r="AJ27" s="34">
        <f t="shared" ca="1" si="23"/>
        <v>10.395297029487246</v>
      </c>
      <c r="AK27" s="34">
        <f t="shared" ca="1" si="16"/>
        <v>2.9096620946960403E-2</v>
      </c>
      <c r="AL27" s="34">
        <f t="shared" ca="1" si="17"/>
        <v>2.6490716188441711E-2</v>
      </c>
      <c r="AM27" s="33">
        <f t="shared" ca="1" si="24"/>
        <v>56</v>
      </c>
      <c r="AN27" s="34">
        <f t="shared" ca="1" si="25"/>
        <v>8.5479941196202418</v>
      </c>
    </row>
    <row r="28" spans="1:40" x14ac:dyDescent="0.3">
      <c r="A28" s="2">
        <v>43503</v>
      </c>
      <c r="B28" s="9">
        <v>63.060001</v>
      </c>
      <c r="C28" s="9">
        <v>125.5</v>
      </c>
      <c r="D28" s="9">
        <v>83.910004000000001</v>
      </c>
      <c r="E28" s="10"/>
      <c r="F28" s="13">
        <v>25</v>
      </c>
      <c r="G28" s="2">
        <v>43503</v>
      </c>
      <c r="H28" s="14">
        <f t="shared" si="4"/>
        <v>-9.4697518791190399E-3</v>
      </c>
      <c r="I28" s="14">
        <f t="shared" si="5"/>
        <v>-4.6108834006744473E-3</v>
      </c>
      <c r="J28" s="14">
        <f t="shared" si="6"/>
        <v>-2.3671763930987234E-2</v>
      </c>
      <c r="K28" s="22">
        <v>25</v>
      </c>
      <c r="L28" s="12"/>
      <c r="Q28" s="15">
        <f t="shared" si="7"/>
        <v>25</v>
      </c>
      <c r="R28" s="2">
        <f t="shared" si="8"/>
        <v>43503</v>
      </c>
      <c r="S28" s="9">
        <f t="shared" ca="1" si="9"/>
        <v>-9.4697518791190399E-3</v>
      </c>
      <c r="T28" s="9">
        <f t="shared" ca="1" si="10"/>
        <v>-4.6108834006744473E-3</v>
      </c>
      <c r="U28" s="9">
        <f t="shared" ca="1" si="11"/>
        <v>-2.3671763930987234E-2</v>
      </c>
      <c r="AB28" s="33">
        <f t="shared" ca="1" si="19"/>
        <v>25</v>
      </c>
      <c r="AC28" s="34">
        <f t="shared" ca="1" si="20"/>
        <v>2.4513705122775495E-2</v>
      </c>
      <c r="AD28" s="34">
        <f t="shared" ca="1" si="21"/>
        <v>2.2655052138139706E-2</v>
      </c>
      <c r="AE28" s="33">
        <f t="shared" ca="1" si="27"/>
        <v>38</v>
      </c>
      <c r="AF28" s="34">
        <f t="shared" ca="1" si="13"/>
        <v>8.1324239341341666</v>
      </c>
      <c r="AG28" s="34">
        <f t="shared" ca="1" si="14"/>
        <v>3.0095484974254738E-2</v>
      </c>
      <c r="AH28" s="34">
        <f t="shared" ca="1" si="15"/>
        <v>2.7799605560613339E-2</v>
      </c>
      <c r="AI28" s="33">
        <f t="shared" ca="1" si="22"/>
        <v>42</v>
      </c>
      <c r="AJ28" s="34">
        <f t="shared" ca="1" si="23"/>
        <v>7.2767079206410719</v>
      </c>
      <c r="AK28" s="34">
        <f t="shared" ca="1" si="16"/>
        <v>3.4308430463997786E-2</v>
      </c>
      <c r="AL28" s="34">
        <f t="shared" ca="1" si="17"/>
        <v>3.1702525705479094E-2</v>
      </c>
      <c r="AM28" s="33">
        <f t="shared" ca="1" si="24"/>
        <v>29</v>
      </c>
      <c r="AN28" s="34">
        <f t="shared" ca="1" si="25"/>
        <v>4.4266398119461963</v>
      </c>
    </row>
    <row r="29" spans="1:40" x14ac:dyDescent="0.3">
      <c r="A29" s="2">
        <v>43504</v>
      </c>
      <c r="B29" s="9">
        <v>63.400002000000001</v>
      </c>
      <c r="C29" s="9">
        <v>125.029999</v>
      </c>
      <c r="D29" s="9">
        <v>84.139999000000003</v>
      </c>
      <c r="E29" s="10"/>
      <c r="F29" s="13">
        <v>26</v>
      </c>
      <c r="G29" s="2">
        <v>43504</v>
      </c>
      <c r="H29" s="14">
        <f t="shared" si="4"/>
        <v>5.3772230140934421E-3</v>
      </c>
      <c r="I29" s="14">
        <f t="shared" si="5"/>
        <v>-3.7520580630107771E-3</v>
      </c>
      <c r="J29" s="14">
        <f t="shared" si="6"/>
        <v>2.7372227253215373E-3</v>
      </c>
      <c r="K29" s="22">
        <v>26</v>
      </c>
      <c r="L29" s="12"/>
      <c r="Q29" s="15">
        <f t="shared" si="7"/>
        <v>26</v>
      </c>
      <c r="R29" s="2">
        <f t="shared" si="8"/>
        <v>43504</v>
      </c>
      <c r="S29" s="9">
        <f t="shared" ca="1" si="9"/>
        <v>5.3772230140934421E-3</v>
      </c>
      <c r="T29" s="9">
        <f t="shared" ca="1" si="10"/>
        <v>-3.7520580630107771E-3</v>
      </c>
      <c r="U29" s="9">
        <f t="shared" ca="1" si="11"/>
        <v>2.7372227253215373E-3</v>
      </c>
      <c r="AB29" s="33">
        <f t="shared" ca="1" si="19"/>
        <v>26</v>
      </c>
      <c r="AC29" s="34">
        <f t="shared" ca="1" si="20"/>
        <v>2.8231011092047072E-2</v>
      </c>
      <c r="AD29" s="34">
        <f t="shared" ca="1" si="21"/>
        <v>2.6372358107411283E-2</v>
      </c>
      <c r="AE29" s="33">
        <f t="shared" ca="1" si="27"/>
        <v>36</v>
      </c>
      <c r="AF29" s="34">
        <f t="shared" ca="1" si="13"/>
        <v>7.704401621811316</v>
      </c>
      <c r="AG29" s="34">
        <f t="shared" ca="1" si="14"/>
        <v>3.4687243801537537E-2</v>
      </c>
      <c r="AH29" s="34">
        <f t="shared" ca="1" si="15"/>
        <v>3.2391364387896138E-2</v>
      </c>
      <c r="AI29" s="33">
        <f t="shared" ca="1" si="22"/>
        <v>29</v>
      </c>
      <c r="AJ29" s="34">
        <f t="shared" ca="1" si="23"/>
        <v>5.0243935642521684</v>
      </c>
      <c r="AK29" s="34">
        <f t="shared" ca="1" si="16"/>
        <v>3.9520239981035168E-2</v>
      </c>
      <c r="AL29" s="34">
        <f t="shared" ca="1" si="17"/>
        <v>3.6914335222516477E-2</v>
      </c>
      <c r="AM29" s="33">
        <f t="shared" ca="1" si="24"/>
        <v>29</v>
      </c>
      <c r="AN29" s="34">
        <f t="shared" ca="1" si="25"/>
        <v>4.4266398119461963</v>
      </c>
    </row>
    <row r="30" spans="1:40" x14ac:dyDescent="0.3">
      <c r="A30" s="2">
        <v>43507</v>
      </c>
      <c r="B30" s="9">
        <v>64.739998</v>
      </c>
      <c r="C30" s="9">
        <v>125.599998</v>
      </c>
      <c r="D30" s="9">
        <v>83.339995999999999</v>
      </c>
      <c r="E30" s="10"/>
      <c r="F30" s="13">
        <v>27</v>
      </c>
      <c r="G30" s="2">
        <v>43507</v>
      </c>
      <c r="H30" s="14">
        <f t="shared" si="4"/>
        <v>2.0915324616374707E-2</v>
      </c>
      <c r="I30" s="14">
        <f t="shared" si="5"/>
        <v>4.5485376017035126E-3</v>
      </c>
      <c r="J30" s="14">
        <f t="shared" si="6"/>
        <v>-9.5534882792752216E-3</v>
      </c>
      <c r="K30" s="22">
        <v>27</v>
      </c>
      <c r="L30" s="12"/>
      <c r="Q30" s="15">
        <f t="shared" si="7"/>
        <v>27</v>
      </c>
      <c r="R30" s="2">
        <f t="shared" si="8"/>
        <v>43507</v>
      </c>
      <c r="S30" s="9">
        <f t="shared" ca="1" si="9"/>
        <v>2.0915324616374707E-2</v>
      </c>
      <c r="T30" s="9">
        <f t="shared" ca="1" si="10"/>
        <v>4.5485376017035126E-3</v>
      </c>
      <c r="U30" s="9">
        <f t="shared" ca="1" si="11"/>
        <v>-9.5534882792752216E-3</v>
      </c>
      <c r="AB30" s="33">
        <f t="shared" ca="1" si="19"/>
        <v>27</v>
      </c>
      <c r="AC30" s="34">
        <f t="shared" ca="1" si="20"/>
        <v>3.1948317061318648E-2</v>
      </c>
      <c r="AD30" s="34">
        <f t="shared" ca="1" si="21"/>
        <v>3.008966407668286E-2</v>
      </c>
      <c r="AE30" s="33">
        <f t="shared" ca="1" si="27"/>
        <v>14</v>
      </c>
      <c r="AF30" s="34">
        <f t="shared" ca="1" si="13"/>
        <v>2.9961561862599564</v>
      </c>
      <c r="AG30" s="34">
        <f t="shared" ca="1" si="14"/>
        <v>3.9279002628820336E-2</v>
      </c>
      <c r="AH30" s="34">
        <f t="shared" ca="1" si="15"/>
        <v>3.6983123215178937E-2</v>
      </c>
      <c r="AI30" s="33">
        <f t="shared" ca="1" si="22"/>
        <v>23</v>
      </c>
      <c r="AJ30" s="34">
        <f t="shared" ca="1" si="23"/>
        <v>3.9848638613034444</v>
      </c>
      <c r="AK30" s="34">
        <f t="shared" ca="1" si="16"/>
        <v>4.4732049498072551E-2</v>
      </c>
      <c r="AL30" s="34">
        <f t="shared" ca="1" si="17"/>
        <v>4.212614473955386E-2</v>
      </c>
      <c r="AM30" s="33">
        <f t="shared" ca="1" si="24"/>
        <v>19</v>
      </c>
      <c r="AN30" s="34">
        <f t="shared" ca="1" si="25"/>
        <v>2.9002122905854391</v>
      </c>
    </row>
    <row r="31" spans="1:40" x14ac:dyDescent="0.3">
      <c r="A31" s="2">
        <v>43508</v>
      </c>
      <c r="B31" s="9">
        <v>65.489998</v>
      </c>
      <c r="C31" s="9">
        <v>126.660004</v>
      </c>
      <c r="D31" s="9">
        <v>82.330001999999993</v>
      </c>
      <c r="E31" s="10"/>
      <c r="F31" s="13">
        <v>28</v>
      </c>
      <c r="G31" s="2">
        <v>43508</v>
      </c>
      <c r="H31" s="14">
        <f t="shared" si="4"/>
        <v>1.1518211085652368E-2</v>
      </c>
      <c r="I31" s="14">
        <f t="shared" si="5"/>
        <v>8.4041245583620187E-3</v>
      </c>
      <c r="J31" s="14">
        <f t="shared" si="6"/>
        <v>-1.2192992395330213E-2</v>
      </c>
      <c r="K31" s="22">
        <v>28</v>
      </c>
      <c r="L31" s="12"/>
      <c r="Q31" s="15">
        <f t="shared" si="7"/>
        <v>28</v>
      </c>
      <c r="R31" s="2">
        <f t="shared" si="8"/>
        <v>43508</v>
      </c>
      <c r="S31" s="9">
        <f t="shared" ca="1" si="9"/>
        <v>1.1518211085652368E-2</v>
      </c>
      <c r="T31" s="9">
        <f t="shared" ca="1" si="10"/>
        <v>8.4041245583620187E-3</v>
      </c>
      <c r="U31" s="9">
        <f t="shared" ca="1" si="11"/>
        <v>-1.2192992395330213E-2</v>
      </c>
      <c r="AB31" s="33">
        <f t="shared" ca="1" si="19"/>
        <v>28</v>
      </c>
      <c r="AC31" s="34">
        <f t="shared" ca="1" si="20"/>
        <v>3.5665623030590225E-2</v>
      </c>
      <c r="AD31" s="34">
        <f t="shared" ca="1" si="21"/>
        <v>3.380697004595444E-2</v>
      </c>
      <c r="AE31" s="33">
        <f t="shared" ca="1" si="27"/>
        <v>20</v>
      </c>
      <c r="AF31" s="34">
        <f t="shared" ca="1" si="13"/>
        <v>4.2802231232285086</v>
      </c>
      <c r="AG31" s="34">
        <f t="shared" ca="1" si="14"/>
        <v>4.3870761456103136E-2</v>
      </c>
      <c r="AH31" s="34">
        <f t="shared" ca="1" si="15"/>
        <v>4.1574882042461736E-2</v>
      </c>
      <c r="AI31" s="33">
        <f t="shared" ca="1" si="22"/>
        <v>15</v>
      </c>
      <c r="AJ31" s="34">
        <f t="shared" ca="1" si="23"/>
        <v>2.5988242573718114</v>
      </c>
      <c r="AK31" s="34">
        <f t="shared" ca="1" si="16"/>
        <v>4.9943859015109934E-2</v>
      </c>
      <c r="AL31" s="34">
        <f t="shared" ca="1" si="17"/>
        <v>4.7337954256591243E-2</v>
      </c>
      <c r="AM31" s="33">
        <f t="shared" ca="1" si="24"/>
        <v>18</v>
      </c>
      <c r="AN31" s="34">
        <f t="shared" ca="1" si="25"/>
        <v>2.7475695384493632</v>
      </c>
    </row>
    <row r="32" spans="1:40" x14ac:dyDescent="0.3">
      <c r="A32" s="2">
        <v>43509</v>
      </c>
      <c r="B32" s="9">
        <v>66.279999000000004</v>
      </c>
      <c r="C32" s="9">
        <v>123.239998</v>
      </c>
      <c r="D32" s="9">
        <v>83.459998999999996</v>
      </c>
      <c r="E32" s="10"/>
      <c r="F32" s="13">
        <v>29</v>
      </c>
      <c r="G32" s="2">
        <v>43509</v>
      </c>
      <c r="H32" s="14">
        <f t="shared" si="4"/>
        <v>1.1990748779906335E-2</v>
      </c>
      <c r="I32" s="14">
        <f t="shared" si="5"/>
        <v>-2.7372705168923407E-2</v>
      </c>
      <c r="J32" s="14">
        <f t="shared" si="6"/>
        <v>1.3631877578803084E-2</v>
      </c>
      <c r="K32" s="22">
        <v>29</v>
      </c>
      <c r="L32" s="12"/>
      <c r="Q32" s="15">
        <f t="shared" si="7"/>
        <v>29</v>
      </c>
      <c r="R32" s="2">
        <f t="shared" si="8"/>
        <v>43509</v>
      </c>
      <c r="S32" s="9">
        <f t="shared" ca="1" si="9"/>
        <v>1.1990748779906335E-2</v>
      </c>
      <c r="T32" s="9">
        <f t="shared" ca="1" si="10"/>
        <v>-2.7372705168923407E-2</v>
      </c>
      <c r="U32" s="9">
        <f t="shared" ca="1" si="11"/>
        <v>1.3631877578803084E-2</v>
      </c>
      <c r="AB32" s="33">
        <f t="shared" ca="1" si="19"/>
        <v>29</v>
      </c>
      <c r="AC32" s="34">
        <f t="shared" ca="1" si="20"/>
        <v>3.9382928999861802E-2</v>
      </c>
      <c r="AD32" s="34">
        <f t="shared" ca="1" si="21"/>
        <v>3.752427601522601E-2</v>
      </c>
      <c r="AE32" s="33">
        <f t="shared" ca="1" si="27"/>
        <v>12</v>
      </c>
      <c r="AF32" s="34">
        <f t="shared" ca="1" si="13"/>
        <v>2.5681338739371053</v>
      </c>
      <c r="AG32" s="34">
        <f t="shared" ca="1" si="14"/>
        <v>4.8462520283385935E-2</v>
      </c>
      <c r="AH32" s="34">
        <f t="shared" ca="1" si="15"/>
        <v>4.6166640869744535E-2</v>
      </c>
      <c r="AI32" s="33">
        <f t="shared" ca="1" si="22"/>
        <v>9</v>
      </c>
      <c r="AJ32" s="34">
        <f t="shared" ca="1" si="23"/>
        <v>1.559294554423087</v>
      </c>
      <c r="AK32" s="34">
        <f t="shared" ca="1" si="16"/>
        <v>5.5155668532147317E-2</v>
      </c>
      <c r="AL32" s="34">
        <f t="shared" ca="1" si="17"/>
        <v>5.2549763773628626E-2</v>
      </c>
      <c r="AM32" s="33">
        <f t="shared" ca="1" si="24"/>
        <v>14</v>
      </c>
      <c r="AN32" s="34">
        <f t="shared" ca="1" si="25"/>
        <v>2.1369985299050605</v>
      </c>
    </row>
    <row r="33" spans="1:40" x14ac:dyDescent="0.3">
      <c r="A33" s="2">
        <v>43510</v>
      </c>
      <c r="B33" s="9">
        <v>66.279999000000004</v>
      </c>
      <c r="C33" s="9">
        <v>122.790001</v>
      </c>
      <c r="D33" s="9">
        <v>83.610000999999997</v>
      </c>
      <c r="E33" s="10"/>
      <c r="F33" s="13">
        <v>30</v>
      </c>
      <c r="G33" s="2">
        <v>43510</v>
      </c>
      <c r="H33" s="14">
        <f t="shared" si="4"/>
        <v>0</v>
      </c>
      <c r="I33" s="14">
        <f t="shared" si="5"/>
        <v>-3.6580701835628496E-3</v>
      </c>
      <c r="J33" s="14">
        <f t="shared" si="6"/>
        <v>1.7956789406394734E-3</v>
      </c>
      <c r="K33" s="22">
        <v>30</v>
      </c>
      <c r="L33" s="12"/>
      <c r="Q33" s="15">
        <f t="shared" si="7"/>
        <v>30</v>
      </c>
      <c r="R33" s="2">
        <f t="shared" si="8"/>
        <v>43510</v>
      </c>
      <c r="S33" s="9">
        <f t="shared" ca="1" si="9"/>
        <v>0</v>
      </c>
      <c r="T33" s="9">
        <f t="shared" ca="1" si="10"/>
        <v>-3.6580701835628496E-3</v>
      </c>
      <c r="U33" s="9">
        <f t="shared" ca="1" si="11"/>
        <v>1.7956789406394734E-3</v>
      </c>
      <c r="AB33" s="33">
        <f t="shared" ca="1" si="19"/>
        <v>30</v>
      </c>
      <c r="AC33" s="34">
        <f t="shared" ca="1" si="20"/>
        <v>4.3100234969133379E-2</v>
      </c>
      <c r="AD33" s="34">
        <f t="shared" ca="1" si="21"/>
        <v>4.1241581984497594E-2</v>
      </c>
      <c r="AE33" s="33">
        <f t="shared" ca="1" si="27"/>
        <v>5</v>
      </c>
      <c r="AF33" s="34">
        <f t="shared" ca="1" si="13"/>
        <v>1.0700557808071272</v>
      </c>
      <c r="AG33" s="34">
        <f t="shared" ca="1" si="14"/>
        <v>5.3054279110668734E-2</v>
      </c>
      <c r="AH33" s="34">
        <f t="shared" ca="1" si="15"/>
        <v>5.0758399697027334E-2</v>
      </c>
      <c r="AI33" s="33">
        <f t="shared" ca="1" si="22"/>
        <v>14</v>
      </c>
      <c r="AJ33" s="34">
        <f t="shared" ca="1" si="23"/>
        <v>2.4255693068803574</v>
      </c>
      <c r="AK33" s="34">
        <f t="shared" ca="1" si="16"/>
        <v>6.03674780491847E-2</v>
      </c>
      <c r="AL33" s="34">
        <f t="shared" ca="1" si="17"/>
        <v>5.7761573290666009E-2</v>
      </c>
      <c r="AM33" s="33">
        <f t="shared" ca="1" si="24"/>
        <v>9</v>
      </c>
      <c r="AN33" s="34">
        <f t="shared" ca="1" si="25"/>
        <v>1.3737847692246816</v>
      </c>
    </row>
    <row r="34" spans="1:40" x14ac:dyDescent="0.3">
      <c r="A34" s="2">
        <v>43511</v>
      </c>
      <c r="B34" s="9">
        <v>66.980002999999996</v>
      </c>
      <c r="C34" s="9">
        <v>125.089996</v>
      </c>
      <c r="D34" s="9">
        <v>84.400002000000001</v>
      </c>
      <c r="E34" s="10"/>
      <c r="F34" s="13">
        <v>31</v>
      </c>
      <c r="G34" s="2">
        <v>43511</v>
      </c>
      <c r="H34" s="14">
        <f t="shared" si="4"/>
        <v>1.0505934684692419E-2</v>
      </c>
      <c r="I34" s="14">
        <f t="shared" si="5"/>
        <v>1.8557858933265788E-2</v>
      </c>
      <c r="J34" s="14">
        <f t="shared" si="6"/>
        <v>9.4042831763353416E-3</v>
      </c>
      <c r="K34" s="22">
        <v>31</v>
      </c>
      <c r="L34" s="12"/>
      <c r="Q34" s="15">
        <f t="shared" si="7"/>
        <v>31</v>
      </c>
      <c r="R34" s="2">
        <f t="shared" si="8"/>
        <v>43511</v>
      </c>
      <c r="S34" s="9">
        <f t="shared" ca="1" si="9"/>
        <v>1.0505934684692419E-2</v>
      </c>
      <c r="T34" s="9">
        <f t="shared" ca="1" si="10"/>
        <v>1.8557858933265788E-2</v>
      </c>
      <c r="U34" s="9">
        <f t="shared" ca="1" si="11"/>
        <v>9.4042831763353416E-3</v>
      </c>
      <c r="AB34" s="33">
        <f t="shared" ca="1" si="19"/>
        <v>31</v>
      </c>
      <c r="AC34" s="34">
        <f t="shared" ca="1" si="20"/>
        <v>4.6817540938404956E-2</v>
      </c>
      <c r="AD34" s="34">
        <f t="shared" ca="1" si="21"/>
        <v>4.4958887953769164E-2</v>
      </c>
      <c r="AE34" s="33">
        <f t="shared" ca="1" si="27"/>
        <v>3</v>
      </c>
      <c r="AF34" s="34">
        <f t="shared" ca="1" si="13"/>
        <v>0.64203346848427634</v>
      </c>
      <c r="AG34" s="34">
        <f t="shared" ca="1" si="14"/>
        <v>5.7646037937951533E-2</v>
      </c>
      <c r="AH34" s="34">
        <f t="shared" ca="1" si="15"/>
        <v>5.5350158524310134E-2</v>
      </c>
      <c r="AI34" s="33">
        <f t="shared" ca="1" si="22"/>
        <v>7</v>
      </c>
      <c r="AJ34" s="34">
        <f t="shared" ca="1" si="23"/>
        <v>1.2127846534401787</v>
      </c>
      <c r="AK34" s="34">
        <f t="shared" ca="1" si="16"/>
        <v>6.5579287566222083E-2</v>
      </c>
      <c r="AL34" s="34">
        <f t="shared" ca="1" si="17"/>
        <v>6.2973382807703385E-2</v>
      </c>
      <c r="AM34" s="33">
        <f t="shared" ca="1" si="24"/>
        <v>4</v>
      </c>
      <c r="AN34" s="34">
        <f t="shared" ca="1" si="25"/>
        <v>0.61057100854430302</v>
      </c>
    </row>
    <row r="35" spans="1:40" x14ac:dyDescent="0.3">
      <c r="A35" s="2">
        <v>43515</v>
      </c>
      <c r="B35" s="9">
        <v>67.449996999999996</v>
      </c>
      <c r="C35" s="9">
        <v>125.449997</v>
      </c>
      <c r="D35" s="9">
        <v>84.790001000000004</v>
      </c>
      <c r="E35" s="10"/>
      <c r="F35" s="13">
        <v>32</v>
      </c>
      <c r="G35" s="2">
        <v>43515</v>
      </c>
      <c r="H35" s="14">
        <f t="shared" si="4"/>
        <v>6.9924260208262187E-3</v>
      </c>
      <c r="I35" s="14">
        <f t="shared" si="5"/>
        <v>2.8738026488481783E-3</v>
      </c>
      <c r="J35" s="14">
        <f t="shared" si="6"/>
        <v>4.6101978111615536E-3</v>
      </c>
      <c r="K35" s="22">
        <v>32</v>
      </c>
      <c r="L35" s="12"/>
      <c r="Q35" s="15">
        <f t="shared" si="7"/>
        <v>32</v>
      </c>
      <c r="R35" s="2">
        <f t="shared" si="8"/>
        <v>43515</v>
      </c>
      <c r="S35" s="9">
        <f t="shared" ca="1" si="9"/>
        <v>6.9924260208262187E-3</v>
      </c>
      <c r="T35" s="9">
        <f t="shared" ca="1" si="10"/>
        <v>2.8738026488481783E-3</v>
      </c>
      <c r="U35" s="9">
        <f t="shared" ca="1" si="11"/>
        <v>4.6101978111615536E-3</v>
      </c>
      <c r="AB35" s="33">
        <f t="shared" ca="1" si="19"/>
        <v>32</v>
      </c>
      <c r="AC35" s="34">
        <f t="shared" ca="1" si="20"/>
        <v>5.0534846907676532E-2</v>
      </c>
      <c r="AD35" s="34">
        <f t="shared" ca="1" si="21"/>
        <v>4.8676193923040748E-2</v>
      </c>
      <c r="AE35" s="33">
        <f t="shared" ca="1" si="27"/>
        <v>2</v>
      </c>
      <c r="AF35" s="34">
        <f t="shared" ca="1" si="13"/>
        <v>0.42802231232285087</v>
      </c>
      <c r="AG35" s="34">
        <f t="shared" ca="1" si="14"/>
        <v>6.2237796765234332E-2</v>
      </c>
      <c r="AH35" s="34">
        <f t="shared" ca="1" si="15"/>
        <v>5.9941917351592933E-2</v>
      </c>
      <c r="AI35" s="33">
        <f t="shared" ca="1" si="22"/>
        <v>6</v>
      </c>
      <c r="AJ35" s="34">
        <f t="shared" ca="1" si="23"/>
        <v>1.0395297029487245</v>
      </c>
      <c r="AK35" s="34">
        <f t="shared" ca="1" si="16"/>
        <v>7.0791097083259466E-2</v>
      </c>
      <c r="AL35" s="34">
        <f t="shared" ca="1" si="17"/>
        <v>6.8185192324740768E-2</v>
      </c>
      <c r="AM35" s="33">
        <f t="shared" ca="1" si="24"/>
        <v>2</v>
      </c>
      <c r="AN35" s="34">
        <f t="shared" ca="1" si="25"/>
        <v>0.30528550427215151</v>
      </c>
    </row>
    <row r="36" spans="1:40" x14ac:dyDescent="0.3">
      <c r="A36" s="2">
        <v>43516</v>
      </c>
      <c r="B36" s="9">
        <v>67.730002999999996</v>
      </c>
      <c r="C36" s="9">
        <v>125.33000199999999</v>
      </c>
      <c r="D36" s="9">
        <v>85.43</v>
      </c>
      <c r="E36" s="10"/>
      <c r="F36" s="13">
        <v>33</v>
      </c>
      <c r="G36" s="2">
        <v>43516</v>
      </c>
      <c r="H36" s="14">
        <f t="shared" si="4"/>
        <v>4.1427193439564124E-3</v>
      </c>
      <c r="I36" s="14">
        <f t="shared" si="5"/>
        <v>-9.5697431721909439E-4</v>
      </c>
      <c r="J36" s="14">
        <f t="shared" si="6"/>
        <v>7.5197040537721841E-3</v>
      </c>
      <c r="K36" s="22">
        <v>33</v>
      </c>
      <c r="L36" s="12"/>
      <c r="Q36" s="15">
        <f t="shared" si="7"/>
        <v>33</v>
      </c>
      <c r="R36" s="2">
        <f t="shared" si="8"/>
        <v>43516</v>
      </c>
      <c r="S36" s="9">
        <f t="shared" ca="1" si="9"/>
        <v>4.1427193439564124E-3</v>
      </c>
      <c r="T36" s="9">
        <f t="shared" ca="1" si="10"/>
        <v>-9.5697431721909439E-4</v>
      </c>
      <c r="U36" s="9">
        <f t="shared" ca="1" si="11"/>
        <v>7.5197040537721841E-3</v>
      </c>
      <c r="AB36" s="33">
        <f t="shared" ca="1" si="19"/>
        <v>33</v>
      </c>
      <c r="AC36" s="34">
        <f t="shared" ca="1" si="20"/>
        <v>5.4252152876948109E-2</v>
      </c>
      <c r="AD36" s="34">
        <f t="shared" ca="1" si="21"/>
        <v>5.2393499892312317E-2</v>
      </c>
      <c r="AE36" s="33">
        <f t="shared" ca="1" si="27"/>
        <v>3</v>
      </c>
      <c r="AF36" s="34">
        <f t="shared" ca="1" si="13"/>
        <v>0.64203346848427634</v>
      </c>
      <c r="AG36" s="34">
        <f t="shared" ca="1" si="14"/>
        <v>6.6829555592517131E-2</v>
      </c>
      <c r="AH36" s="34">
        <f t="shared" ca="1" si="15"/>
        <v>6.4533676178875732E-2</v>
      </c>
      <c r="AI36" s="33">
        <f t="shared" ca="1" si="22"/>
        <v>2</v>
      </c>
      <c r="AJ36" s="34">
        <f t="shared" ca="1" si="23"/>
        <v>0.34650990098290818</v>
      </c>
      <c r="AK36" s="34">
        <f t="shared" ca="1" si="16"/>
        <v>7.6002906600296849E-2</v>
      </c>
      <c r="AL36" s="34">
        <f t="shared" ca="1" si="17"/>
        <v>7.3397001841778151E-2</v>
      </c>
      <c r="AM36" s="33">
        <f t="shared" ca="1" si="24"/>
        <v>5</v>
      </c>
      <c r="AN36" s="34">
        <f t="shared" ca="1" si="25"/>
        <v>0.76321376068037872</v>
      </c>
    </row>
    <row r="37" spans="1:40" x14ac:dyDescent="0.3">
      <c r="A37" s="2">
        <v>43517</v>
      </c>
      <c r="B37" s="9">
        <v>67.389999000000003</v>
      </c>
      <c r="C37" s="9">
        <v>126.239998</v>
      </c>
      <c r="D37" s="9">
        <v>84.480002999999996</v>
      </c>
      <c r="E37" s="10"/>
      <c r="F37" s="13">
        <v>34</v>
      </c>
      <c r="G37" s="2">
        <v>43517</v>
      </c>
      <c r="H37" s="14">
        <f t="shared" si="4"/>
        <v>-5.0326334012009057E-3</v>
      </c>
      <c r="I37" s="14">
        <f t="shared" si="5"/>
        <v>7.2345666734229836E-3</v>
      </c>
      <c r="J37" s="14">
        <f t="shared" si="6"/>
        <v>-1.1182471694213061E-2</v>
      </c>
      <c r="K37" s="22">
        <v>34</v>
      </c>
      <c r="L37" s="12"/>
      <c r="Q37" s="15">
        <f t="shared" si="7"/>
        <v>34</v>
      </c>
      <c r="R37" s="2">
        <f t="shared" si="8"/>
        <v>43517</v>
      </c>
      <c r="S37" s="9">
        <f t="shared" ca="1" si="9"/>
        <v>-5.0326334012009057E-3</v>
      </c>
      <c r="T37" s="9">
        <f t="shared" ca="1" si="10"/>
        <v>7.2345666734229836E-3</v>
      </c>
      <c r="U37" s="9">
        <f t="shared" ca="1" si="11"/>
        <v>-1.1182471694213061E-2</v>
      </c>
      <c r="AB37" s="33">
        <f t="shared" ca="1" si="19"/>
        <v>34</v>
      </c>
      <c r="AC37" s="34">
        <f t="shared" ca="1" si="20"/>
        <v>5.7969458846219686E-2</v>
      </c>
      <c r="AD37" s="34">
        <f t="shared" ca="1" si="21"/>
        <v>5.6110805861583901E-2</v>
      </c>
      <c r="AE37" s="33">
        <f t="shared" ca="1" si="27"/>
        <v>1</v>
      </c>
      <c r="AF37" s="34">
        <f t="shared" ca="1" si="13"/>
        <v>0.21401115616142544</v>
      </c>
      <c r="AG37" s="34">
        <f t="shared" ca="1" si="14"/>
        <v>7.1421314419799931E-2</v>
      </c>
      <c r="AH37" s="34">
        <f t="shared" ca="1" si="15"/>
        <v>6.9125435006158531E-2</v>
      </c>
      <c r="AI37" s="33">
        <f t="shared" ca="1" si="22"/>
        <v>2</v>
      </c>
      <c r="AJ37" s="34">
        <f t="shared" ca="1" si="23"/>
        <v>0.34650990098290818</v>
      </c>
      <c r="AK37" s="34">
        <f t="shared" ca="1" si="16"/>
        <v>8.1214716117334232E-2</v>
      </c>
      <c r="AL37" s="34">
        <f t="shared" ca="1" si="17"/>
        <v>7.8608811358815533E-2</v>
      </c>
      <c r="AM37" s="33">
        <f t="shared" ca="1" si="24"/>
        <v>2</v>
      </c>
      <c r="AN37" s="34">
        <f t="shared" ca="1" si="25"/>
        <v>0.30528550427215151</v>
      </c>
    </row>
    <row r="38" spans="1:40" x14ac:dyDescent="0.3">
      <c r="A38" s="2">
        <v>43518</v>
      </c>
      <c r="B38" s="9">
        <v>68.260002</v>
      </c>
      <c r="C38" s="9">
        <v>127.120003</v>
      </c>
      <c r="D38" s="9">
        <v>85.32</v>
      </c>
      <c r="E38" s="10"/>
      <c r="F38" s="13">
        <v>35</v>
      </c>
      <c r="G38" s="2">
        <v>43518</v>
      </c>
      <c r="H38" s="14">
        <f t="shared" si="4"/>
        <v>1.2827348659168274E-2</v>
      </c>
      <c r="I38" s="14">
        <f t="shared" si="5"/>
        <v>6.9467045734835095E-3</v>
      </c>
      <c r="J38" s="14">
        <f t="shared" si="6"/>
        <v>9.8940381338353256E-3</v>
      </c>
      <c r="K38" s="22">
        <v>35</v>
      </c>
      <c r="L38" s="12"/>
      <c r="Q38" s="15">
        <f t="shared" si="7"/>
        <v>35</v>
      </c>
      <c r="R38" s="2">
        <f t="shared" si="8"/>
        <v>43518</v>
      </c>
      <c r="S38" s="9">
        <f t="shared" ca="1" si="9"/>
        <v>1.2827348659168274E-2</v>
      </c>
      <c r="T38" s="9">
        <f t="shared" ca="1" si="10"/>
        <v>6.9467045734835095E-3</v>
      </c>
      <c r="U38" s="9">
        <f t="shared" ca="1" si="11"/>
        <v>9.8940381338353256E-3</v>
      </c>
      <c r="AB38" s="33">
        <f t="shared" ca="1" si="19"/>
        <v>35</v>
      </c>
      <c r="AC38" s="34">
        <f t="shared" ca="1" si="20"/>
        <v>6.1686764815491263E-2</v>
      </c>
      <c r="AD38" s="34">
        <f t="shared" ca="1" si="21"/>
        <v>5.9828111830855471E-2</v>
      </c>
      <c r="AE38" s="33">
        <f t="shared" ca="1" si="27"/>
        <v>1</v>
      </c>
      <c r="AF38" s="34">
        <f t="shared" ca="1" si="13"/>
        <v>0.21401115616142544</v>
      </c>
      <c r="AG38" s="34">
        <f t="shared" ca="1" si="14"/>
        <v>7.601307324708273E-2</v>
      </c>
      <c r="AH38" s="34">
        <f t="shared" ca="1" si="15"/>
        <v>7.371719383344133E-2</v>
      </c>
      <c r="AI38" s="33">
        <f t="shared" ca="1" si="22"/>
        <v>2</v>
      </c>
      <c r="AJ38" s="34">
        <f t="shared" ca="1" si="23"/>
        <v>0.34650990098290818</v>
      </c>
      <c r="AK38" s="34">
        <f t="shared" ca="1" si="16"/>
        <v>8.6426525634371615E-2</v>
      </c>
      <c r="AL38" s="34">
        <f t="shared" ca="1" si="17"/>
        <v>8.3820620875852916E-2</v>
      </c>
      <c r="AM38" s="33">
        <f t="shared" ca="1" si="24"/>
        <v>0</v>
      </c>
      <c r="AN38" s="34">
        <f t="shared" ca="1" si="25"/>
        <v>0</v>
      </c>
    </row>
    <row r="39" spans="1:40" x14ac:dyDescent="0.3">
      <c r="A39" s="2">
        <v>43521</v>
      </c>
      <c r="B39" s="9">
        <v>67.819999999999993</v>
      </c>
      <c r="C39" s="9">
        <v>127.150002</v>
      </c>
      <c r="D39" s="9">
        <v>84.980002999999996</v>
      </c>
      <c r="E39" s="10"/>
      <c r="F39" s="13">
        <v>36</v>
      </c>
      <c r="G39" s="2">
        <v>43521</v>
      </c>
      <c r="H39" s="14">
        <f t="shared" si="4"/>
        <v>-6.4668360808044422E-3</v>
      </c>
      <c r="I39" s="14">
        <f t="shared" si="5"/>
        <v>2.3596176937342131E-4</v>
      </c>
      <c r="J39" s="14">
        <f t="shared" si="6"/>
        <v>-3.9929236140608341E-3</v>
      </c>
      <c r="K39" s="22">
        <v>36</v>
      </c>
      <c r="L39" s="12"/>
      <c r="Q39" s="15">
        <f t="shared" si="7"/>
        <v>36</v>
      </c>
      <c r="R39" s="2">
        <f t="shared" si="8"/>
        <v>43521</v>
      </c>
      <c r="S39" s="9">
        <f t="shared" ca="1" si="9"/>
        <v>-6.4668360808044422E-3</v>
      </c>
      <c r="T39" s="9">
        <f t="shared" ca="1" si="10"/>
        <v>2.3596176937342131E-4</v>
      </c>
      <c r="U39" s="9">
        <f t="shared" ca="1" si="11"/>
        <v>-3.9929236140608341E-3</v>
      </c>
      <c r="AB39" s="33">
        <f t="shared" ca="1" si="19"/>
        <v>36</v>
      </c>
      <c r="AC39" s="34">
        <f t="shared" ca="1" si="20"/>
        <v>6.5404070784762847E-2</v>
      </c>
      <c r="AD39" s="34">
        <f t="shared" ca="1" si="21"/>
        <v>6.3545417800127055E-2</v>
      </c>
      <c r="AE39" s="33">
        <f t="shared" ca="1" si="27"/>
        <v>2</v>
      </c>
      <c r="AF39" s="34">
        <f t="shared" ca="1" si="13"/>
        <v>0.42802231232285087</v>
      </c>
      <c r="AG39" s="34">
        <f t="shared" ca="1" si="14"/>
        <v>8.0604832074365529E-2</v>
      </c>
      <c r="AH39" s="34">
        <f t="shared" ca="1" si="15"/>
        <v>7.8308952660724129E-2</v>
      </c>
      <c r="AI39" s="33">
        <f t="shared" ca="1" si="22"/>
        <v>2</v>
      </c>
      <c r="AJ39" s="34">
        <f t="shared" ca="1" si="23"/>
        <v>0.34650990098290818</v>
      </c>
      <c r="AK39" s="34">
        <f t="shared" ca="1" si="16"/>
        <v>9.1638335151408998E-2</v>
      </c>
      <c r="AL39" s="34">
        <f t="shared" ca="1" si="17"/>
        <v>8.9032430392890299E-2</v>
      </c>
      <c r="AM39" s="33">
        <f t="shared" ca="1" si="24"/>
        <v>2</v>
      </c>
      <c r="AN39" s="34">
        <f t="shared" ca="1" si="25"/>
        <v>0.30528550427215151</v>
      </c>
    </row>
    <row r="40" spans="1:40" x14ac:dyDescent="0.3">
      <c r="A40" s="2">
        <v>43522</v>
      </c>
      <c r="B40" s="9">
        <v>67.580001999999993</v>
      </c>
      <c r="C40" s="9">
        <v>126.510002</v>
      </c>
      <c r="D40" s="9">
        <v>84.410004000000001</v>
      </c>
      <c r="E40" s="10"/>
      <c r="F40" s="13">
        <v>37</v>
      </c>
      <c r="G40" s="2">
        <v>43522</v>
      </c>
      <c r="H40" s="14">
        <f t="shared" si="4"/>
        <v>-3.5450258167944526E-3</v>
      </c>
      <c r="I40" s="14">
        <f t="shared" si="5"/>
        <v>-5.0461353619769035E-3</v>
      </c>
      <c r="J40" s="14">
        <f t="shared" si="6"/>
        <v>-6.7300446057112374E-3</v>
      </c>
      <c r="K40" s="22">
        <v>37</v>
      </c>
      <c r="L40" s="12"/>
      <c r="Q40" s="15">
        <f t="shared" si="7"/>
        <v>37</v>
      </c>
      <c r="R40" s="2">
        <f t="shared" si="8"/>
        <v>43522</v>
      </c>
      <c r="S40" s="9">
        <f t="shared" ca="1" si="9"/>
        <v>-3.5450258167944526E-3</v>
      </c>
      <c r="T40" s="9">
        <f t="shared" ca="1" si="10"/>
        <v>-5.0461353619769035E-3</v>
      </c>
      <c r="U40" s="9">
        <f t="shared" ca="1" si="11"/>
        <v>-6.7300446057112374E-3</v>
      </c>
      <c r="AB40" s="33">
        <f t="shared" ca="1" si="19"/>
        <v>37</v>
      </c>
      <c r="AC40" s="34">
        <f t="shared" ca="1" si="20"/>
        <v>6.912137675403443E-2</v>
      </c>
      <c r="AD40" s="34">
        <f t="shared" ca="1" si="21"/>
        <v>6.7262723769398639E-2</v>
      </c>
      <c r="AE40" s="33">
        <f t="shared" ca="1" si="27"/>
        <v>1</v>
      </c>
      <c r="AF40" s="34">
        <f t="shared" ca="1" si="13"/>
        <v>0.21401115616142544</v>
      </c>
      <c r="AG40" s="34">
        <f t="shared" ca="1" si="14"/>
        <v>8.5196590901648328E-2</v>
      </c>
      <c r="AH40" s="34">
        <f t="shared" ca="1" si="15"/>
        <v>8.2900711488006928E-2</v>
      </c>
      <c r="AI40" s="33">
        <f t="shared" ca="1" si="22"/>
        <v>1</v>
      </c>
      <c r="AJ40" s="34">
        <f t="shared" ca="1" si="23"/>
        <v>0.17325495049145409</v>
      </c>
      <c r="AK40" s="34">
        <f t="shared" ca="1" si="16"/>
        <v>9.6850144668446381E-2</v>
      </c>
      <c r="AL40" s="34">
        <f t="shared" ca="1" si="17"/>
        <v>9.4244239909927682E-2</v>
      </c>
      <c r="AM40" s="33">
        <f t="shared" ca="1" si="24"/>
        <v>0</v>
      </c>
      <c r="AN40" s="34">
        <f t="shared" ca="1" si="25"/>
        <v>0</v>
      </c>
    </row>
    <row r="41" spans="1:40" x14ac:dyDescent="0.3">
      <c r="A41" s="2">
        <v>43523</v>
      </c>
      <c r="B41" s="9">
        <v>68.269997000000004</v>
      </c>
      <c r="C41" s="9">
        <v>127.230003</v>
      </c>
      <c r="D41" s="9">
        <v>83.089995999999999</v>
      </c>
      <c r="E41" s="10"/>
      <c r="F41" s="13">
        <v>38</v>
      </c>
      <c r="G41" s="2">
        <v>43523</v>
      </c>
      <c r="H41" s="14">
        <f t="shared" si="4"/>
        <v>1.015827660632327E-2</v>
      </c>
      <c r="I41" s="14">
        <f t="shared" si="5"/>
        <v>5.6751234983482019E-3</v>
      </c>
      <c r="J41" s="14">
        <f t="shared" si="6"/>
        <v>-1.576161584705937E-2</v>
      </c>
      <c r="K41" s="22">
        <v>38</v>
      </c>
      <c r="L41" s="12"/>
      <c r="Q41" s="15">
        <f t="shared" si="7"/>
        <v>38</v>
      </c>
      <c r="R41" s="2">
        <f t="shared" si="8"/>
        <v>43523</v>
      </c>
      <c r="S41" s="9">
        <f t="shared" ca="1" si="9"/>
        <v>1.015827660632327E-2</v>
      </c>
      <c r="T41" s="9">
        <f t="shared" ca="1" si="10"/>
        <v>5.6751234983482019E-3</v>
      </c>
      <c r="U41" s="9">
        <f t="shared" ca="1" si="11"/>
        <v>-1.576161584705937E-2</v>
      </c>
      <c r="AB41" s="33" t="e">
        <f t="shared" ca="1" si="19"/>
        <v>#N/A</v>
      </c>
      <c r="AC41" s="34" t="e">
        <f t="shared" ca="1" si="20"/>
        <v>#N/A</v>
      </c>
      <c r="AD41" s="34" t="e">
        <f t="shared" ca="1" si="21"/>
        <v>#N/A</v>
      </c>
      <c r="AE41" s="33" t="e">
        <f t="shared" ca="1" si="27"/>
        <v>#N/A</v>
      </c>
      <c r="AF41" s="34" t="e">
        <f t="shared" ca="1" si="13"/>
        <v>#N/A</v>
      </c>
      <c r="AG41" s="34" t="e">
        <f t="shared" ca="1" si="14"/>
        <v>#N/A</v>
      </c>
      <c r="AH41" s="34" t="e">
        <f t="shared" ca="1" si="15"/>
        <v>#N/A</v>
      </c>
      <c r="AI41" s="33" t="e">
        <f t="shared" ca="1" si="22"/>
        <v>#N/A</v>
      </c>
      <c r="AJ41" s="34" t="e">
        <f t="shared" ca="1" si="23"/>
        <v>#N/A</v>
      </c>
      <c r="AK41" s="34" t="e">
        <f t="shared" ca="1" si="16"/>
        <v>#N/A</v>
      </c>
      <c r="AL41" s="34" t="e">
        <f t="shared" ca="1" si="17"/>
        <v>#N/A</v>
      </c>
      <c r="AM41" s="33" t="e">
        <f t="shared" ca="1" si="24"/>
        <v>#N/A</v>
      </c>
      <c r="AN41" s="34" t="e">
        <f t="shared" ca="1" si="25"/>
        <v>#N/A</v>
      </c>
    </row>
    <row r="42" spans="1:40" x14ac:dyDescent="0.3">
      <c r="A42" s="2">
        <v>43524</v>
      </c>
      <c r="B42" s="9">
        <v>68.190002000000007</v>
      </c>
      <c r="C42" s="9">
        <v>125.16999800000001</v>
      </c>
      <c r="D42" s="9">
        <v>81.559997999999993</v>
      </c>
      <c r="E42" s="10"/>
      <c r="F42" s="13">
        <v>39</v>
      </c>
      <c r="G42" s="2">
        <v>43524</v>
      </c>
      <c r="H42" s="14">
        <f t="shared" si="4"/>
        <v>-1.1724316246461794E-3</v>
      </c>
      <c r="I42" s="14">
        <f t="shared" si="5"/>
        <v>-1.632369837229071E-2</v>
      </c>
      <c r="J42" s="14">
        <f t="shared" si="6"/>
        <v>-1.8585388351888738E-2</v>
      </c>
      <c r="K42" s="22">
        <v>39</v>
      </c>
      <c r="L42" s="12"/>
      <c r="Q42" s="15">
        <f t="shared" si="7"/>
        <v>39</v>
      </c>
      <c r="R42" s="2">
        <f t="shared" si="8"/>
        <v>43524</v>
      </c>
      <c r="S42" s="9">
        <f t="shared" ca="1" si="9"/>
        <v>-1.1724316246461794E-3</v>
      </c>
      <c r="T42" s="9">
        <f t="shared" ca="1" si="10"/>
        <v>-1.632369837229071E-2</v>
      </c>
      <c r="U42" s="9">
        <f t="shared" ca="1" si="11"/>
        <v>-1.8585388351888738E-2</v>
      </c>
      <c r="AB42" s="33" t="e">
        <f t="shared" ca="1" si="19"/>
        <v>#N/A</v>
      </c>
      <c r="AC42" s="34" t="e">
        <f t="shared" ca="1" si="20"/>
        <v>#N/A</v>
      </c>
      <c r="AD42" s="34" t="e">
        <f t="shared" ca="1" si="21"/>
        <v>#N/A</v>
      </c>
      <c r="AE42" s="33" t="e">
        <f t="shared" ca="1" si="27"/>
        <v>#N/A</v>
      </c>
      <c r="AF42" s="34" t="e">
        <f t="shared" ca="1" si="13"/>
        <v>#N/A</v>
      </c>
      <c r="AG42" s="34" t="e">
        <f t="shared" ca="1" si="14"/>
        <v>#N/A</v>
      </c>
      <c r="AH42" s="34" t="e">
        <f t="shared" ca="1" si="15"/>
        <v>#N/A</v>
      </c>
      <c r="AI42" s="33" t="e">
        <f t="shared" ca="1" si="22"/>
        <v>#N/A</v>
      </c>
      <c r="AJ42" s="34" t="e">
        <f t="shared" ca="1" si="23"/>
        <v>#N/A</v>
      </c>
      <c r="AK42" s="34" t="e">
        <f t="shared" ca="1" si="16"/>
        <v>#N/A</v>
      </c>
      <c r="AL42" s="34" t="e">
        <f t="shared" ca="1" si="17"/>
        <v>#N/A</v>
      </c>
      <c r="AM42" s="33" t="e">
        <f t="shared" ca="1" si="24"/>
        <v>#N/A</v>
      </c>
      <c r="AN42" s="34" t="e">
        <f t="shared" ca="1" si="25"/>
        <v>#N/A</v>
      </c>
    </row>
    <row r="43" spans="1:40" x14ac:dyDescent="0.3">
      <c r="A43" s="2">
        <v>43525</v>
      </c>
      <c r="B43" s="9">
        <v>68.199996999999996</v>
      </c>
      <c r="C43" s="9">
        <v>126.970001</v>
      </c>
      <c r="D43" s="9">
        <v>82.889999000000003</v>
      </c>
      <c r="E43" s="10"/>
      <c r="F43" s="13">
        <v>40</v>
      </c>
      <c r="G43" s="2">
        <v>43525</v>
      </c>
      <c r="H43" s="14">
        <f t="shared" si="4"/>
        <v>1.4656499877062381E-4</v>
      </c>
      <c r="I43" s="14">
        <f t="shared" si="5"/>
        <v>1.4278048595913667E-2</v>
      </c>
      <c r="J43" s="14">
        <f t="shared" si="6"/>
        <v>1.61754943548237E-2</v>
      </c>
      <c r="K43" s="22">
        <v>40</v>
      </c>
      <c r="L43" s="12"/>
      <c r="Q43" s="15">
        <f t="shared" si="7"/>
        <v>40</v>
      </c>
      <c r="R43" s="2">
        <f t="shared" si="8"/>
        <v>43525</v>
      </c>
      <c r="S43" s="9">
        <f t="shared" ca="1" si="9"/>
        <v>1.4656499877062381E-4</v>
      </c>
      <c r="T43" s="9">
        <f t="shared" ca="1" si="10"/>
        <v>1.4278048595913667E-2</v>
      </c>
      <c r="U43" s="9">
        <f t="shared" ca="1" si="11"/>
        <v>1.61754943548237E-2</v>
      </c>
      <c r="AB43" s="33" t="e">
        <f t="shared" ca="1" si="19"/>
        <v>#N/A</v>
      </c>
      <c r="AC43" s="34" t="e">
        <f t="shared" ca="1" si="20"/>
        <v>#N/A</v>
      </c>
      <c r="AD43" s="34" t="e">
        <f t="shared" ca="1" si="21"/>
        <v>#N/A</v>
      </c>
      <c r="AE43" s="33" t="e">
        <f t="shared" ca="1" si="27"/>
        <v>#N/A</v>
      </c>
      <c r="AF43" s="34" t="e">
        <f t="shared" ca="1" si="13"/>
        <v>#N/A</v>
      </c>
      <c r="AG43" s="34" t="e">
        <f t="shared" ca="1" si="14"/>
        <v>#N/A</v>
      </c>
      <c r="AH43" s="34" t="e">
        <f t="shared" ca="1" si="15"/>
        <v>#N/A</v>
      </c>
      <c r="AI43" s="33" t="e">
        <f t="shared" ca="1" si="22"/>
        <v>#N/A</v>
      </c>
      <c r="AJ43" s="34" t="e">
        <f t="shared" ca="1" si="23"/>
        <v>#N/A</v>
      </c>
      <c r="AK43" s="34" t="e">
        <f t="shared" ca="1" si="16"/>
        <v>#N/A</v>
      </c>
      <c r="AL43" s="34" t="e">
        <f t="shared" ca="1" si="17"/>
        <v>#N/A</v>
      </c>
      <c r="AM43" s="33" t="e">
        <f t="shared" ca="1" si="24"/>
        <v>#N/A</v>
      </c>
      <c r="AN43" s="34" t="e">
        <f t="shared" ca="1" si="25"/>
        <v>#N/A</v>
      </c>
    </row>
    <row r="44" spans="1:40" x14ac:dyDescent="0.3">
      <c r="A44" s="2">
        <v>43528</v>
      </c>
      <c r="B44" s="9">
        <v>67.589995999999999</v>
      </c>
      <c r="C44" s="9">
        <v>125.41999800000001</v>
      </c>
      <c r="D44" s="9">
        <v>82.529999000000004</v>
      </c>
      <c r="E44" s="10"/>
      <c r="F44" s="13">
        <v>41</v>
      </c>
      <c r="G44" s="2">
        <v>43528</v>
      </c>
      <c r="H44" s="14">
        <f t="shared" si="4"/>
        <v>-8.9845369292367392E-3</v>
      </c>
      <c r="I44" s="14">
        <f t="shared" si="5"/>
        <v>-1.2282756789121493E-2</v>
      </c>
      <c r="J44" s="14">
        <f t="shared" si="6"/>
        <v>-4.3525640514665278E-3</v>
      </c>
      <c r="K44" s="22">
        <v>41</v>
      </c>
      <c r="L44" s="12"/>
      <c r="Q44" s="15">
        <f t="shared" si="7"/>
        <v>41</v>
      </c>
      <c r="R44" s="2">
        <f t="shared" si="8"/>
        <v>43528</v>
      </c>
      <c r="S44" s="9">
        <f t="shared" ca="1" si="9"/>
        <v>-8.9845369292367392E-3</v>
      </c>
      <c r="T44" s="9">
        <f t="shared" ca="1" si="10"/>
        <v>-1.2282756789121493E-2</v>
      </c>
      <c r="U44" s="9">
        <f t="shared" ca="1" si="11"/>
        <v>-4.3525640514665278E-3</v>
      </c>
      <c r="AB44" s="33" t="e">
        <f t="shared" ca="1" si="19"/>
        <v>#N/A</v>
      </c>
      <c r="AC44" s="34" t="e">
        <f t="shared" ca="1" si="20"/>
        <v>#N/A</v>
      </c>
      <c r="AD44" s="34" t="e">
        <f t="shared" ca="1" si="21"/>
        <v>#N/A</v>
      </c>
      <c r="AE44" s="33" t="e">
        <f t="shared" ca="1" si="27"/>
        <v>#N/A</v>
      </c>
      <c r="AF44" s="34" t="e">
        <f t="shared" ca="1" si="13"/>
        <v>#N/A</v>
      </c>
      <c r="AG44" s="34" t="e">
        <f t="shared" ca="1" si="14"/>
        <v>#N/A</v>
      </c>
      <c r="AH44" s="34" t="e">
        <f t="shared" ca="1" si="15"/>
        <v>#N/A</v>
      </c>
      <c r="AI44" s="33" t="e">
        <f t="shared" ca="1" si="22"/>
        <v>#N/A</v>
      </c>
      <c r="AJ44" s="34" t="e">
        <f t="shared" ca="1" si="23"/>
        <v>#N/A</v>
      </c>
      <c r="AK44" s="34" t="e">
        <f t="shared" ca="1" si="16"/>
        <v>#N/A</v>
      </c>
      <c r="AL44" s="34" t="e">
        <f t="shared" ca="1" si="17"/>
        <v>#N/A</v>
      </c>
      <c r="AM44" s="33" t="e">
        <f t="shared" ca="1" si="24"/>
        <v>#N/A</v>
      </c>
      <c r="AN44" s="34" t="e">
        <f t="shared" ca="1" si="25"/>
        <v>#N/A</v>
      </c>
    </row>
    <row r="45" spans="1:40" x14ac:dyDescent="0.3">
      <c r="A45" s="2">
        <v>43529</v>
      </c>
      <c r="B45" s="9">
        <v>67.089995999999999</v>
      </c>
      <c r="C45" s="9">
        <v>124.870003</v>
      </c>
      <c r="D45" s="9">
        <v>81.150002000000001</v>
      </c>
      <c r="E45" s="10"/>
      <c r="F45" s="13">
        <v>42</v>
      </c>
      <c r="G45" s="2">
        <v>43529</v>
      </c>
      <c r="H45" s="14">
        <f t="shared" si="4"/>
        <v>-7.4250419785180845E-3</v>
      </c>
      <c r="I45" s="14">
        <f t="shared" si="5"/>
        <v>-4.3948690164152425E-3</v>
      </c>
      <c r="J45" s="14">
        <f t="shared" si="6"/>
        <v>-1.6862532881469123E-2</v>
      </c>
      <c r="K45" s="22">
        <v>42</v>
      </c>
      <c r="L45" s="12"/>
      <c r="Q45" s="15">
        <f t="shared" si="7"/>
        <v>42</v>
      </c>
      <c r="R45" s="2">
        <f t="shared" si="8"/>
        <v>43529</v>
      </c>
      <c r="S45" s="9">
        <f t="shared" ca="1" si="9"/>
        <v>-7.4250419785180845E-3</v>
      </c>
      <c r="T45" s="9">
        <f t="shared" ca="1" si="10"/>
        <v>-4.3948690164152425E-3</v>
      </c>
      <c r="U45" s="9">
        <f t="shared" ca="1" si="11"/>
        <v>-1.6862532881469123E-2</v>
      </c>
      <c r="AB45" s="33" t="e">
        <f t="shared" ca="1" si="19"/>
        <v>#N/A</v>
      </c>
      <c r="AC45" s="34" t="e">
        <f t="shared" ca="1" si="20"/>
        <v>#N/A</v>
      </c>
      <c r="AD45" s="34" t="e">
        <f t="shared" ca="1" si="21"/>
        <v>#N/A</v>
      </c>
      <c r="AE45" s="33" t="e">
        <f t="shared" ca="1" si="27"/>
        <v>#N/A</v>
      </c>
      <c r="AF45" s="34" t="e">
        <f t="shared" ca="1" si="13"/>
        <v>#N/A</v>
      </c>
      <c r="AG45" s="34" t="e">
        <f t="shared" ca="1" si="14"/>
        <v>#N/A</v>
      </c>
      <c r="AH45" s="34" t="e">
        <f t="shared" ca="1" si="15"/>
        <v>#N/A</v>
      </c>
      <c r="AI45" s="33" t="e">
        <f t="shared" ca="1" si="22"/>
        <v>#N/A</v>
      </c>
      <c r="AJ45" s="34" t="e">
        <f t="shared" ca="1" si="23"/>
        <v>#N/A</v>
      </c>
      <c r="AK45" s="34" t="e">
        <f t="shared" ca="1" si="16"/>
        <v>#N/A</v>
      </c>
      <c r="AL45" s="34" t="e">
        <f t="shared" ca="1" si="17"/>
        <v>#N/A</v>
      </c>
      <c r="AM45" s="33" t="e">
        <f t="shared" ca="1" si="24"/>
        <v>#N/A</v>
      </c>
      <c r="AN45" s="34" t="e">
        <f t="shared" ca="1" si="25"/>
        <v>#N/A</v>
      </c>
    </row>
    <row r="46" spans="1:40" x14ac:dyDescent="0.3">
      <c r="A46" s="2">
        <v>43530</v>
      </c>
      <c r="B46" s="9">
        <v>65.779999000000004</v>
      </c>
      <c r="C46" s="9">
        <v>124.089996</v>
      </c>
      <c r="D46" s="9">
        <v>81.349997999999999</v>
      </c>
      <c r="E46" s="10"/>
      <c r="F46" s="13">
        <v>43</v>
      </c>
      <c r="G46" s="2">
        <v>43530</v>
      </c>
      <c r="H46" s="14">
        <f t="shared" si="4"/>
        <v>-1.971911639466907E-2</v>
      </c>
      <c r="I46" s="14">
        <f t="shared" si="5"/>
        <v>-6.2661436001800672E-3</v>
      </c>
      <c r="J46" s="14">
        <f t="shared" si="6"/>
        <v>2.4614904736028186E-3</v>
      </c>
      <c r="K46" s="22">
        <v>43</v>
      </c>
      <c r="L46" s="12"/>
      <c r="Q46" s="15">
        <f t="shared" si="7"/>
        <v>43</v>
      </c>
      <c r="R46" s="2">
        <f t="shared" si="8"/>
        <v>43530</v>
      </c>
      <c r="S46" s="9">
        <f t="shared" ca="1" si="9"/>
        <v>-1.971911639466907E-2</v>
      </c>
      <c r="T46" s="9">
        <f t="shared" ca="1" si="10"/>
        <v>-6.2661436001800672E-3</v>
      </c>
      <c r="U46" s="9">
        <f t="shared" ca="1" si="11"/>
        <v>2.4614904736028186E-3</v>
      </c>
      <c r="AB46" s="33" t="e">
        <f t="shared" ca="1" si="19"/>
        <v>#N/A</v>
      </c>
      <c r="AC46" s="34" t="e">
        <f t="shared" ca="1" si="20"/>
        <v>#N/A</v>
      </c>
      <c r="AD46" s="34" t="e">
        <f t="shared" ca="1" si="21"/>
        <v>#N/A</v>
      </c>
      <c r="AE46" s="33" t="e">
        <f t="shared" ca="1" si="27"/>
        <v>#N/A</v>
      </c>
      <c r="AF46" s="34" t="e">
        <f t="shared" ca="1" si="13"/>
        <v>#N/A</v>
      </c>
      <c r="AG46" s="34" t="e">
        <f t="shared" ca="1" si="14"/>
        <v>#N/A</v>
      </c>
      <c r="AH46" s="34" t="e">
        <f t="shared" ca="1" si="15"/>
        <v>#N/A</v>
      </c>
      <c r="AI46" s="33" t="e">
        <f t="shared" ca="1" si="22"/>
        <v>#N/A</v>
      </c>
      <c r="AJ46" s="34" t="e">
        <f t="shared" ca="1" si="23"/>
        <v>#N/A</v>
      </c>
      <c r="AK46" s="34" t="e">
        <f t="shared" ca="1" si="16"/>
        <v>#N/A</v>
      </c>
      <c r="AL46" s="34" t="e">
        <f t="shared" ca="1" si="17"/>
        <v>#N/A</v>
      </c>
      <c r="AM46" s="33" t="e">
        <f t="shared" ca="1" si="24"/>
        <v>#N/A</v>
      </c>
      <c r="AN46" s="34" t="e">
        <f t="shared" ca="1" si="25"/>
        <v>#N/A</v>
      </c>
    </row>
    <row r="47" spans="1:40" x14ac:dyDescent="0.3">
      <c r="A47" s="2">
        <v>43531</v>
      </c>
      <c r="B47" s="9">
        <v>65.440002000000007</v>
      </c>
      <c r="C47" s="9">
        <v>123.349998</v>
      </c>
      <c r="D47" s="9">
        <v>80.589995999999999</v>
      </c>
      <c r="E47" s="10"/>
      <c r="F47" s="13">
        <v>44</v>
      </c>
      <c r="G47" s="2">
        <v>43531</v>
      </c>
      <c r="H47" s="14">
        <f t="shared" si="4"/>
        <v>-5.1821027018832694E-3</v>
      </c>
      <c r="I47" s="14">
        <f t="shared" si="5"/>
        <v>-5.9812497905188337E-3</v>
      </c>
      <c r="J47" s="14">
        <f t="shared" si="6"/>
        <v>-9.3862863774513521E-3</v>
      </c>
      <c r="K47" s="22">
        <v>44</v>
      </c>
      <c r="L47" s="12"/>
      <c r="Q47" s="15">
        <f t="shared" si="7"/>
        <v>44</v>
      </c>
      <c r="R47" s="2">
        <f t="shared" si="8"/>
        <v>43531</v>
      </c>
      <c r="S47" s="9">
        <f t="shared" ca="1" si="9"/>
        <v>-5.1821027018832694E-3</v>
      </c>
      <c r="T47" s="9">
        <f t="shared" ca="1" si="10"/>
        <v>-5.9812497905188337E-3</v>
      </c>
      <c r="U47" s="9">
        <f t="shared" ca="1" si="11"/>
        <v>-9.3862863774513521E-3</v>
      </c>
      <c r="AB47" s="33" t="e">
        <f t="shared" ca="1" si="19"/>
        <v>#N/A</v>
      </c>
      <c r="AC47" s="34" t="e">
        <f t="shared" ca="1" si="20"/>
        <v>#N/A</v>
      </c>
      <c r="AD47" s="34" t="e">
        <f t="shared" ca="1" si="21"/>
        <v>#N/A</v>
      </c>
      <c r="AE47" s="33" t="e">
        <f t="shared" ca="1" si="27"/>
        <v>#N/A</v>
      </c>
      <c r="AF47" s="34" t="e">
        <f t="shared" ca="1" si="13"/>
        <v>#N/A</v>
      </c>
      <c r="AG47" s="34" t="e">
        <f t="shared" ca="1" si="14"/>
        <v>#N/A</v>
      </c>
      <c r="AH47" s="34" t="e">
        <f t="shared" ca="1" si="15"/>
        <v>#N/A</v>
      </c>
      <c r="AI47" s="33" t="e">
        <f t="shared" ca="1" si="22"/>
        <v>#N/A</v>
      </c>
      <c r="AJ47" s="34" t="e">
        <f t="shared" ca="1" si="23"/>
        <v>#N/A</v>
      </c>
      <c r="AK47" s="34" t="e">
        <f t="shared" ca="1" si="16"/>
        <v>#N/A</v>
      </c>
      <c r="AL47" s="34" t="e">
        <f t="shared" ca="1" si="17"/>
        <v>#N/A</v>
      </c>
      <c r="AM47" s="33" t="e">
        <f t="shared" ca="1" si="24"/>
        <v>#N/A</v>
      </c>
      <c r="AN47" s="34" t="e">
        <f t="shared" ca="1" si="25"/>
        <v>#N/A</v>
      </c>
    </row>
    <row r="48" spans="1:40" x14ac:dyDescent="0.3">
      <c r="A48" s="2">
        <v>43532</v>
      </c>
      <c r="B48" s="9">
        <v>64.680000000000007</v>
      </c>
      <c r="C48" s="9">
        <v>122.05999799999999</v>
      </c>
      <c r="D48" s="9">
        <v>79.75</v>
      </c>
      <c r="E48" s="10"/>
      <c r="F48" s="13">
        <v>45</v>
      </c>
      <c r="G48" s="2">
        <v>43532</v>
      </c>
      <c r="H48" s="14">
        <f t="shared" si="4"/>
        <v>-1.1681688147932278E-2</v>
      </c>
      <c r="I48" s="14">
        <f t="shared" si="5"/>
        <v>-1.0513116030376E-2</v>
      </c>
      <c r="J48" s="14">
        <f t="shared" si="6"/>
        <v>-1.0477781037515187E-2</v>
      </c>
      <c r="K48" s="22">
        <v>45</v>
      </c>
      <c r="L48" s="12"/>
      <c r="Q48" s="15">
        <f t="shared" si="7"/>
        <v>45</v>
      </c>
      <c r="R48" s="2">
        <f t="shared" si="8"/>
        <v>43532</v>
      </c>
      <c r="S48" s="9">
        <f t="shared" ca="1" si="9"/>
        <v>-1.1681688147932278E-2</v>
      </c>
      <c r="T48" s="9">
        <f t="shared" ca="1" si="10"/>
        <v>-1.0513116030376E-2</v>
      </c>
      <c r="U48" s="9">
        <f t="shared" ca="1" si="11"/>
        <v>-1.0477781037515187E-2</v>
      </c>
      <c r="AB48" s="33" t="e">
        <f t="shared" ca="1" si="19"/>
        <v>#N/A</v>
      </c>
      <c r="AC48" s="34" t="e">
        <f t="shared" ca="1" si="20"/>
        <v>#N/A</v>
      </c>
      <c r="AD48" s="34" t="e">
        <f t="shared" ca="1" si="21"/>
        <v>#N/A</v>
      </c>
      <c r="AE48" s="33" t="e">
        <f t="shared" ca="1" si="27"/>
        <v>#N/A</v>
      </c>
      <c r="AF48" s="34" t="e">
        <f t="shared" ca="1" si="13"/>
        <v>#N/A</v>
      </c>
      <c r="AG48" s="34" t="e">
        <f t="shared" ca="1" si="14"/>
        <v>#N/A</v>
      </c>
      <c r="AH48" s="34" t="e">
        <f t="shared" ca="1" si="15"/>
        <v>#N/A</v>
      </c>
      <c r="AI48" s="33" t="e">
        <f t="shared" ca="1" si="22"/>
        <v>#N/A</v>
      </c>
      <c r="AJ48" s="34" t="e">
        <f t="shared" ca="1" si="23"/>
        <v>#N/A</v>
      </c>
      <c r="AK48" s="34" t="e">
        <f t="shared" ca="1" si="16"/>
        <v>#N/A</v>
      </c>
      <c r="AL48" s="34" t="e">
        <f t="shared" ca="1" si="17"/>
        <v>#N/A</v>
      </c>
      <c r="AM48" s="33" t="e">
        <f t="shared" ca="1" si="24"/>
        <v>#N/A</v>
      </c>
      <c r="AN48" s="34" t="e">
        <f t="shared" ca="1" si="25"/>
        <v>#N/A</v>
      </c>
    </row>
    <row r="49" spans="1:40" x14ac:dyDescent="0.3">
      <c r="A49" s="2">
        <v>43535</v>
      </c>
      <c r="B49" s="9">
        <v>65.010002</v>
      </c>
      <c r="C49" s="9">
        <v>123.459999</v>
      </c>
      <c r="D49" s="9">
        <v>83.480002999999996</v>
      </c>
      <c r="E49" s="10"/>
      <c r="F49" s="13">
        <v>46</v>
      </c>
      <c r="G49" s="2">
        <v>43535</v>
      </c>
      <c r="H49" s="14">
        <f t="shared" si="4"/>
        <v>5.0891002719684253E-3</v>
      </c>
      <c r="I49" s="14">
        <f t="shared" si="5"/>
        <v>1.1404498134995958E-2</v>
      </c>
      <c r="J49" s="14">
        <f t="shared" si="6"/>
        <v>4.5710376480796677E-2</v>
      </c>
      <c r="K49" s="22">
        <v>46</v>
      </c>
      <c r="L49" s="12"/>
      <c r="Q49" s="15">
        <f t="shared" si="7"/>
        <v>46</v>
      </c>
      <c r="R49" s="2">
        <f t="shared" si="8"/>
        <v>43535</v>
      </c>
      <c r="S49" s="9">
        <f t="shared" ca="1" si="9"/>
        <v>5.0891002719684253E-3</v>
      </c>
      <c r="T49" s="9">
        <f t="shared" ca="1" si="10"/>
        <v>1.1404498134995958E-2</v>
      </c>
      <c r="U49" s="9">
        <f t="shared" ca="1" si="11"/>
        <v>4.5710376480796677E-2</v>
      </c>
      <c r="AB49" s="33" t="e">
        <f t="shared" ca="1" si="19"/>
        <v>#N/A</v>
      </c>
      <c r="AC49" s="34" t="e">
        <f t="shared" ca="1" si="20"/>
        <v>#N/A</v>
      </c>
      <c r="AD49" s="34" t="e">
        <f t="shared" ca="1" si="21"/>
        <v>#N/A</v>
      </c>
      <c r="AE49" s="33" t="e">
        <f t="shared" ca="1" si="27"/>
        <v>#N/A</v>
      </c>
      <c r="AF49" s="34" t="e">
        <f t="shared" ca="1" si="13"/>
        <v>#N/A</v>
      </c>
      <c r="AG49" s="34" t="e">
        <f t="shared" ca="1" si="14"/>
        <v>#N/A</v>
      </c>
      <c r="AH49" s="34" t="e">
        <f t="shared" ca="1" si="15"/>
        <v>#N/A</v>
      </c>
      <c r="AI49" s="33" t="e">
        <f t="shared" ca="1" si="22"/>
        <v>#N/A</v>
      </c>
      <c r="AJ49" s="34" t="e">
        <f t="shared" ca="1" si="23"/>
        <v>#N/A</v>
      </c>
      <c r="AK49" s="34" t="e">
        <f t="shared" ca="1" si="16"/>
        <v>#N/A</v>
      </c>
      <c r="AL49" s="34" t="e">
        <f t="shared" ca="1" si="17"/>
        <v>#N/A</v>
      </c>
      <c r="AM49" s="33" t="e">
        <f t="shared" ca="1" si="24"/>
        <v>#N/A</v>
      </c>
      <c r="AN49" s="34" t="e">
        <f t="shared" ca="1" si="25"/>
        <v>#N/A</v>
      </c>
    </row>
    <row r="50" spans="1:40" x14ac:dyDescent="0.3">
      <c r="A50" s="2">
        <v>43536</v>
      </c>
      <c r="B50" s="9">
        <v>65.160004000000001</v>
      </c>
      <c r="C50" s="9">
        <v>122.849998</v>
      </c>
      <c r="D50" s="9">
        <v>83.849997999999999</v>
      </c>
      <c r="E50" s="10"/>
      <c r="F50" s="13">
        <v>47</v>
      </c>
      <c r="G50" s="2">
        <v>43536</v>
      </c>
      <c r="H50" s="14">
        <f t="shared" si="4"/>
        <v>2.3047101403221187E-3</v>
      </c>
      <c r="I50" s="14">
        <f t="shared" si="5"/>
        <v>-4.9531261787886744E-3</v>
      </c>
      <c r="J50" s="14">
        <f t="shared" si="6"/>
        <v>4.4223462713499813E-3</v>
      </c>
      <c r="K50" s="22">
        <v>47</v>
      </c>
      <c r="L50" s="12"/>
      <c r="Q50" s="15">
        <f t="shared" si="7"/>
        <v>47</v>
      </c>
      <c r="R50" s="2">
        <f t="shared" si="8"/>
        <v>43536</v>
      </c>
      <c r="S50" s="9">
        <f t="shared" ca="1" si="9"/>
        <v>2.3047101403221187E-3</v>
      </c>
      <c r="T50" s="9">
        <f t="shared" ca="1" si="10"/>
        <v>-4.9531261787886744E-3</v>
      </c>
      <c r="U50" s="9">
        <f t="shared" ca="1" si="11"/>
        <v>4.4223462713499813E-3</v>
      </c>
      <c r="AB50" s="33" t="e">
        <f t="shared" ca="1" si="19"/>
        <v>#N/A</v>
      </c>
      <c r="AC50" s="34" t="e">
        <f t="shared" ca="1" si="20"/>
        <v>#N/A</v>
      </c>
      <c r="AD50" s="34" t="e">
        <f t="shared" ca="1" si="21"/>
        <v>#N/A</v>
      </c>
      <c r="AE50" s="33" t="e">
        <f t="shared" ca="1" si="27"/>
        <v>#N/A</v>
      </c>
      <c r="AF50" s="34" t="e">
        <f t="shared" ca="1" si="13"/>
        <v>#N/A</v>
      </c>
      <c r="AG50" s="34" t="e">
        <f t="shared" ca="1" si="14"/>
        <v>#N/A</v>
      </c>
      <c r="AH50" s="34" t="e">
        <f t="shared" ca="1" si="15"/>
        <v>#N/A</v>
      </c>
      <c r="AI50" s="33" t="e">
        <f t="shared" ca="1" si="22"/>
        <v>#N/A</v>
      </c>
      <c r="AJ50" s="34" t="e">
        <f t="shared" ca="1" si="23"/>
        <v>#N/A</v>
      </c>
      <c r="AK50" s="34" t="e">
        <f t="shared" ca="1" si="16"/>
        <v>#N/A</v>
      </c>
      <c r="AL50" s="34" t="e">
        <f t="shared" ca="1" si="17"/>
        <v>#N/A</v>
      </c>
      <c r="AM50" s="33" t="e">
        <f t="shared" ca="1" si="24"/>
        <v>#N/A</v>
      </c>
      <c r="AN50" s="34" t="e">
        <f t="shared" ca="1" si="25"/>
        <v>#N/A</v>
      </c>
    </row>
    <row r="51" spans="1:40" x14ac:dyDescent="0.3">
      <c r="A51" s="2">
        <v>43537</v>
      </c>
      <c r="B51" s="9">
        <v>65.620002999999997</v>
      </c>
      <c r="C51" s="9">
        <v>121.68</v>
      </c>
      <c r="D51" s="9">
        <v>84.220000999999996</v>
      </c>
      <c r="E51" s="10"/>
      <c r="F51" s="13">
        <v>48</v>
      </c>
      <c r="G51" s="2">
        <v>43537</v>
      </c>
      <c r="H51" s="14">
        <f t="shared" si="4"/>
        <v>7.0347281295267778E-3</v>
      </c>
      <c r="I51" s="14">
        <f t="shared" si="5"/>
        <v>-9.5694347361342229E-3</v>
      </c>
      <c r="J51" s="14">
        <f t="shared" si="6"/>
        <v>4.4029701903451979E-3</v>
      </c>
      <c r="K51" s="22">
        <v>48</v>
      </c>
      <c r="L51" s="12"/>
      <c r="Q51" s="15">
        <f t="shared" si="7"/>
        <v>48</v>
      </c>
      <c r="R51" s="2">
        <f t="shared" si="8"/>
        <v>43537</v>
      </c>
      <c r="S51" s="9">
        <f t="shared" ca="1" si="9"/>
        <v>7.0347281295267778E-3</v>
      </c>
      <c r="T51" s="9">
        <f t="shared" ca="1" si="10"/>
        <v>-9.5694347361342229E-3</v>
      </c>
      <c r="U51" s="9">
        <f t="shared" ca="1" si="11"/>
        <v>4.4029701903451979E-3</v>
      </c>
      <c r="AB51" s="33" t="e">
        <f t="shared" ca="1" si="19"/>
        <v>#N/A</v>
      </c>
      <c r="AC51" s="34" t="e">
        <f t="shared" ca="1" si="20"/>
        <v>#N/A</v>
      </c>
      <c r="AD51" s="34" t="e">
        <f t="shared" ca="1" si="21"/>
        <v>#N/A</v>
      </c>
      <c r="AE51" s="33" t="e">
        <f t="shared" ca="1" si="27"/>
        <v>#N/A</v>
      </c>
      <c r="AF51" s="34" t="e">
        <f t="shared" ca="1" si="13"/>
        <v>#N/A</v>
      </c>
      <c r="AG51" s="34" t="e">
        <f t="shared" ca="1" si="14"/>
        <v>#N/A</v>
      </c>
      <c r="AH51" s="34" t="e">
        <f t="shared" ca="1" si="15"/>
        <v>#N/A</v>
      </c>
      <c r="AI51" s="33" t="e">
        <f t="shared" ca="1" si="22"/>
        <v>#N/A</v>
      </c>
      <c r="AJ51" s="34" t="e">
        <f t="shared" ca="1" si="23"/>
        <v>#N/A</v>
      </c>
      <c r="AK51" s="34" t="e">
        <f t="shared" ca="1" si="16"/>
        <v>#N/A</v>
      </c>
      <c r="AL51" s="34" t="e">
        <f t="shared" ca="1" si="17"/>
        <v>#N/A</v>
      </c>
      <c r="AM51" s="33" t="e">
        <f t="shared" ca="1" si="24"/>
        <v>#N/A</v>
      </c>
      <c r="AN51" s="34" t="e">
        <f t="shared" ca="1" si="25"/>
        <v>#N/A</v>
      </c>
    </row>
    <row r="52" spans="1:40" x14ac:dyDescent="0.3">
      <c r="A52" s="2">
        <v>43538</v>
      </c>
      <c r="B52" s="9">
        <v>65.339995999999999</v>
      </c>
      <c r="C52" s="9">
        <v>121.529999</v>
      </c>
      <c r="D52" s="9">
        <v>84.940002000000007</v>
      </c>
      <c r="E52" s="10"/>
      <c r="F52" s="13">
        <v>49</v>
      </c>
      <c r="G52" s="2">
        <v>43538</v>
      </c>
      <c r="H52" s="14">
        <f t="shared" si="4"/>
        <v>-4.2762282960442993E-3</v>
      </c>
      <c r="I52" s="14">
        <f t="shared" si="5"/>
        <v>-1.2335102967495667E-3</v>
      </c>
      <c r="J52" s="14">
        <f t="shared" si="6"/>
        <v>8.5127138237116942E-3</v>
      </c>
      <c r="K52" s="22">
        <v>49</v>
      </c>
      <c r="L52" s="12"/>
      <c r="Q52" s="15">
        <f t="shared" si="7"/>
        <v>49</v>
      </c>
      <c r="R52" s="2">
        <f t="shared" si="8"/>
        <v>43538</v>
      </c>
      <c r="S52" s="9">
        <f t="shared" ca="1" si="9"/>
        <v>-4.2762282960442993E-3</v>
      </c>
      <c r="T52" s="9">
        <f t="shared" ca="1" si="10"/>
        <v>-1.2335102967495667E-3</v>
      </c>
      <c r="U52" s="9">
        <f t="shared" ca="1" si="11"/>
        <v>8.5127138237116942E-3</v>
      </c>
      <c r="AB52" s="33" t="e">
        <f t="shared" ca="1" si="19"/>
        <v>#N/A</v>
      </c>
      <c r="AC52" s="34" t="e">
        <f t="shared" ca="1" si="20"/>
        <v>#N/A</v>
      </c>
      <c r="AD52" s="34" t="e">
        <f t="shared" ca="1" si="21"/>
        <v>#N/A</v>
      </c>
      <c r="AE52" s="33" t="e">
        <f t="shared" ca="1" si="27"/>
        <v>#N/A</v>
      </c>
      <c r="AF52" s="34" t="e">
        <f t="shared" ca="1" si="13"/>
        <v>#N/A</v>
      </c>
      <c r="AG52" s="34" t="e">
        <f t="shared" ca="1" si="14"/>
        <v>#N/A</v>
      </c>
      <c r="AH52" s="34" t="e">
        <f t="shared" ca="1" si="15"/>
        <v>#N/A</v>
      </c>
      <c r="AI52" s="33" t="e">
        <f t="shared" ca="1" si="22"/>
        <v>#N/A</v>
      </c>
      <c r="AJ52" s="34" t="e">
        <f t="shared" ca="1" si="23"/>
        <v>#N/A</v>
      </c>
      <c r="AK52" s="34" t="e">
        <f t="shared" ca="1" si="16"/>
        <v>#N/A</v>
      </c>
      <c r="AL52" s="34" t="e">
        <f t="shared" ca="1" si="17"/>
        <v>#N/A</v>
      </c>
      <c r="AM52" s="33" t="e">
        <f t="shared" ca="1" si="24"/>
        <v>#N/A</v>
      </c>
      <c r="AN52" s="34" t="e">
        <f t="shared" ca="1" si="25"/>
        <v>#N/A</v>
      </c>
    </row>
    <row r="53" spans="1:40" x14ac:dyDescent="0.3">
      <c r="A53" s="2">
        <v>43539</v>
      </c>
      <c r="B53" s="9">
        <v>65.930000000000007</v>
      </c>
      <c r="C53" s="9">
        <v>120.779999</v>
      </c>
      <c r="D53" s="9">
        <v>85.080001999999993</v>
      </c>
      <c r="E53" s="10"/>
      <c r="F53" s="13">
        <v>50</v>
      </c>
      <c r="G53" s="2">
        <v>43539</v>
      </c>
      <c r="H53" s="14">
        <f t="shared" si="4"/>
        <v>8.9892281705291743E-3</v>
      </c>
      <c r="I53" s="14">
        <f t="shared" si="5"/>
        <v>-6.1904370540492425E-3</v>
      </c>
      <c r="J53" s="14">
        <f t="shared" si="6"/>
        <v>1.6468654081659229E-3</v>
      </c>
      <c r="K53" s="22">
        <v>50</v>
      </c>
      <c r="L53" s="12"/>
      <c r="Q53" s="15">
        <f t="shared" si="7"/>
        <v>50</v>
      </c>
      <c r="R53" s="2">
        <f t="shared" si="8"/>
        <v>43539</v>
      </c>
      <c r="S53" s="9">
        <f t="shared" ca="1" si="9"/>
        <v>8.9892281705291743E-3</v>
      </c>
      <c r="T53" s="9">
        <f t="shared" ca="1" si="10"/>
        <v>-6.1904370540492425E-3</v>
      </c>
      <c r="U53" s="9">
        <f t="shared" ca="1" si="11"/>
        <v>1.6468654081659229E-3</v>
      </c>
      <c r="AB53" s="33" t="e">
        <f t="shared" ca="1" si="19"/>
        <v>#N/A</v>
      </c>
      <c r="AC53" s="34" t="e">
        <f t="shared" ca="1" si="20"/>
        <v>#N/A</v>
      </c>
      <c r="AD53" s="34" t="e">
        <f t="shared" ca="1" si="21"/>
        <v>#N/A</v>
      </c>
      <c r="AE53" s="33" t="e">
        <f t="shared" ca="1" si="27"/>
        <v>#N/A</v>
      </c>
      <c r="AF53" s="34" t="e">
        <f t="shared" ca="1" si="13"/>
        <v>#N/A</v>
      </c>
      <c r="AG53" s="34" t="e">
        <f t="shared" ca="1" si="14"/>
        <v>#N/A</v>
      </c>
      <c r="AH53" s="34" t="e">
        <f t="shared" ca="1" si="15"/>
        <v>#N/A</v>
      </c>
      <c r="AI53" s="33" t="e">
        <f t="shared" ca="1" si="22"/>
        <v>#N/A</v>
      </c>
      <c r="AJ53" s="34" t="e">
        <f t="shared" ca="1" si="23"/>
        <v>#N/A</v>
      </c>
      <c r="AK53" s="34" t="e">
        <f t="shared" ca="1" si="16"/>
        <v>#N/A</v>
      </c>
      <c r="AL53" s="34" t="e">
        <f t="shared" ca="1" si="17"/>
        <v>#N/A</v>
      </c>
      <c r="AM53" s="33" t="e">
        <f t="shared" ca="1" si="24"/>
        <v>#N/A</v>
      </c>
      <c r="AN53" s="34" t="e">
        <f t="shared" ca="1" si="25"/>
        <v>#N/A</v>
      </c>
    </row>
    <row r="54" spans="1:40" x14ac:dyDescent="0.3">
      <c r="A54" s="2">
        <v>43542</v>
      </c>
      <c r="B54" s="9">
        <v>66.620002999999997</v>
      </c>
      <c r="C54" s="9">
        <v>124.209999</v>
      </c>
      <c r="D54" s="9">
        <v>86.75</v>
      </c>
      <c r="E54" s="10"/>
      <c r="F54" s="13">
        <v>51</v>
      </c>
      <c r="G54" s="2">
        <v>43542</v>
      </c>
      <c r="H54" s="14">
        <f t="shared" si="4"/>
        <v>1.0411304671846238E-2</v>
      </c>
      <c r="I54" s="14">
        <f t="shared" si="5"/>
        <v>2.8002972904982035E-2</v>
      </c>
      <c r="J54" s="14">
        <f t="shared" si="6"/>
        <v>1.9438404987645291E-2</v>
      </c>
      <c r="K54" s="22">
        <v>51</v>
      </c>
      <c r="L54" s="12"/>
      <c r="Q54" s="15">
        <f t="shared" si="7"/>
        <v>51</v>
      </c>
      <c r="R54" s="2">
        <f t="shared" si="8"/>
        <v>43542</v>
      </c>
      <c r="S54" s="9">
        <f t="shared" ca="1" si="9"/>
        <v>1.0411304671846238E-2</v>
      </c>
      <c r="T54" s="9">
        <f t="shared" ca="1" si="10"/>
        <v>2.8002972904982035E-2</v>
      </c>
      <c r="U54" s="9">
        <f t="shared" ca="1" si="11"/>
        <v>1.9438404987645291E-2</v>
      </c>
      <c r="AB54" s="33" t="e">
        <f t="shared" ca="1" si="19"/>
        <v>#N/A</v>
      </c>
      <c r="AC54" s="34" t="e">
        <f t="shared" ca="1" si="20"/>
        <v>#N/A</v>
      </c>
      <c r="AD54" s="34" t="e">
        <f t="shared" ca="1" si="21"/>
        <v>#N/A</v>
      </c>
      <c r="AE54" s="33" t="e">
        <f t="shared" ca="1" si="27"/>
        <v>#N/A</v>
      </c>
      <c r="AF54" s="34" t="e">
        <f t="shared" ca="1" si="13"/>
        <v>#N/A</v>
      </c>
      <c r="AG54" s="34" t="e">
        <f t="shared" ca="1" si="14"/>
        <v>#N/A</v>
      </c>
      <c r="AH54" s="34" t="e">
        <f t="shared" ca="1" si="15"/>
        <v>#N/A</v>
      </c>
      <c r="AI54" s="33" t="e">
        <f t="shared" ca="1" si="22"/>
        <v>#N/A</v>
      </c>
      <c r="AJ54" s="34" t="e">
        <f t="shared" ca="1" si="23"/>
        <v>#N/A</v>
      </c>
      <c r="AK54" s="34" t="e">
        <f t="shared" ca="1" si="16"/>
        <v>#N/A</v>
      </c>
      <c r="AL54" s="34" t="e">
        <f t="shared" ca="1" si="17"/>
        <v>#N/A</v>
      </c>
      <c r="AM54" s="33" t="e">
        <f t="shared" ca="1" si="24"/>
        <v>#N/A</v>
      </c>
      <c r="AN54" s="34" t="e">
        <f t="shared" ca="1" si="25"/>
        <v>#N/A</v>
      </c>
    </row>
    <row r="55" spans="1:40" x14ac:dyDescent="0.3">
      <c r="A55" s="2">
        <v>43543</v>
      </c>
      <c r="B55" s="9">
        <v>66.690002000000007</v>
      </c>
      <c r="C55" s="9">
        <v>124.80999799999999</v>
      </c>
      <c r="D55" s="9">
        <v>86.43</v>
      </c>
      <c r="E55" s="10"/>
      <c r="F55" s="13">
        <v>52</v>
      </c>
      <c r="G55" s="2">
        <v>43543</v>
      </c>
      <c r="H55" s="14">
        <f t="shared" si="4"/>
        <v>1.0501688366635544E-3</v>
      </c>
      <c r="I55" s="14">
        <f t="shared" si="5"/>
        <v>4.8188914007844166E-3</v>
      </c>
      <c r="J55" s="14">
        <f t="shared" si="6"/>
        <v>-3.6955810624217204E-3</v>
      </c>
      <c r="K55" s="22">
        <v>52</v>
      </c>
      <c r="L55" s="12"/>
      <c r="Q55" s="15">
        <f t="shared" si="7"/>
        <v>52</v>
      </c>
      <c r="R55" s="2">
        <f t="shared" si="8"/>
        <v>43543</v>
      </c>
      <c r="S55" s="9">
        <f t="shared" ca="1" si="9"/>
        <v>1.0501688366635544E-3</v>
      </c>
      <c r="T55" s="9">
        <f t="shared" ca="1" si="10"/>
        <v>4.8188914007844166E-3</v>
      </c>
      <c r="U55" s="9">
        <f t="shared" ca="1" si="11"/>
        <v>-3.6955810624217204E-3</v>
      </c>
      <c r="AB55" s="33" t="e">
        <f t="shared" ca="1" si="19"/>
        <v>#N/A</v>
      </c>
      <c r="AC55" s="34" t="e">
        <f t="shared" ca="1" si="20"/>
        <v>#N/A</v>
      </c>
      <c r="AD55" s="34" t="e">
        <f t="shared" ca="1" si="21"/>
        <v>#N/A</v>
      </c>
      <c r="AE55" s="33" t="e">
        <f t="shared" ca="1" si="27"/>
        <v>#N/A</v>
      </c>
      <c r="AF55" s="34" t="e">
        <f t="shared" ca="1" si="13"/>
        <v>#N/A</v>
      </c>
      <c r="AG55" s="34" t="e">
        <f t="shared" ca="1" si="14"/>
        <v>#N/A</v>
      </c>
      <c r="AH55" s="34" t="e">
        <f t="shared" ca="1" si="15"/>
        <v>#N/A</v>
      </c>
      <c r="AI55" s="33" t="e">
        <f t="shared" ca="1" si="22"/>
        <v>#N/A</v>
      </c>
      <c r="AJ55" s="34" t="e">
        <f t="shared" ca="1" si="23"/>
        <v>#N/A</v>
      </c>
      <c r="AK55" s="34" t="e">
        <f t="shared" ca="1" si="16"/>
        <v>#N/A</v>
      </c>
      <c r="AL55" s="34" t="e">
        <f t="shared" ca="1" si="17"/>
        <v>#N/A</v>
      </c>
      <c r="AM55" s="33" t="e">
        <f t="shared" ca="1" si="24"/>
        <v>#N/A</v>
      </c>
      <c r="AN55" s="34" t="e">
        <f t="shared" ca="1" si="25"/>
        <v>#N/A</v>
      </c>
    </row>
    <row r="56" spans="1:40" x14ac:dyDescent="0.3">
      <c r="A56" s="2">
        <v>43544</v>
      </c>
      <c r="B56" s="9">
        <v>65.199996999999996</v>
      </c>
      <c r="C56" s="9">
        <v>122.75</v>
      </c>
      <c r="D56" s="9">
        <v>86.440002000000007</v>
      </c>
      <c r="E56" s="10"/>
      <c r="F56" s="13">
        <v>53</v>
      </c>
      <c r="G56" s="2">
        <v>43544</v>
      </c>
      <c r="H56" s="14">
        <f t="shared" si="4"/>
        <v>-2.2595623713382033E-2</v>
      </c>
      <c r="I56" s="14">
        <f t="shared" si="5"/>
        <v>-1.6642798231375225E-2</v>
      </c>
      <c r="J56" s="14">
        <f t="shared" si="6"/>
        <v>1.157170115745145E-4</v>
      </c>
      <c r="K56" s="22">
        <v>53</v>
      </c>
      <c r="L56" s="12"/>
      <c r="Q56" s="15">
        <f t="shared" si="7"/>
        <v>53</v>
      </c>
      <c r="R56" s="2">
        <f t="shared" si="8"/>
        <v>43544</v>
      </c>
      <c r="S56" s="9">
        <f t="shared" ca="1" si="9"/>
        <v>-2.2595623713382033E-2</v>
      </c>
      <c r="T56" s="9">
        <f t="shared" ca="1" si="10"/>
        <v>-1.6642798231375225E-2</v>
      </c>
      <c r="U56" s="9">
        <f t="shared" ca="1" si="11"/>
        <v>1.157170115745145E-4</v>
      </c>
      <c r="AB56" s="33" t="e">
        <f t="shared" ca="1" si="19"/>
        <v>#N/A</v>
      </c>
      <c r="AC56" s="34" t="e">
        <f t="shared" ca="1" si="20"/>
        <v>#N/A</v>
      </c>
      <c r="AD56" s="34" t="e">
        <f t="shared" ca="1" si="21"/>
        <v>#N/A</v>
      </c>
      <c r="AE56" s="33" t="e">
        <f t="shared" ca="1" si="27"/>
        <v>#N/A</v>
      </c>
      <c r="AF56" s="34" t="e">
        <f t="shared" ca="1" si="13"/>
        <v>#N/A</v>
      </c>
      <c r="AG56" s="34" t="e">
        <f t="shared" ca="1" si="14"/>
        <v>#N/A</v>
      </c>
      <c r="AH56" s="34" t="e">
        <f t="shared" ca="1" si="15"/>
        <v>#N/A</v>
      </c>
      <c r="AI56" s="33" t="e">
        <f t="shared" ca="1" si="22"/>
        <v>#N/A</v>
      </c>
      <c r="AJ56" s="34" t="e">
        <f t="shared" ca="1" si="23"/>
        <v>#N/A</v>
      </c>
      <c r="AK56" s="34" t="e">
        <f t="shared" ca="1" si="16"/>
        <v>#N/A</v>
      </c>
      <c r="AL56" s="34" t="e">
        <f t="shared" ca="1" si="17"/>
        <v>#N/A</v>
      </c>
      <c r="AM56" s="33" t="e">
        <f t="shared" ca="1" si="24"/>
        <v>#N/A</v>
      </c>
      <c r="AN56" s="34" t="e">
        <f t="shared" ca="1" si="25"/>
        <v>#N/A</v>
      </c>
    </row>
    <row r="57" spans="1:40" x14ac:dyDescent="0.3">
      <c r="A57" s="2">
        <v>43545</v>
      </c>
      <c r="B57" s="9">
        <v>66.370002999999997</v>
      </c>
      <c r="C57" s="9">
        <v>124.639999</v>
      </c>
      <c r="D57" s="9">
        <v>86.379997000000003</v>
      </c>
      <c r="E57" s="10"/>
      <c r="F57" s="13">
        <v>54</v>
      </c>
      <c r="G57" s="2">
        <v>43545</v>
      </c>
      <c r="H57" s="14">
        <f t="shared" si="4"/>
        <v>1.7785769438641408E-2</v>
      </c>
      <c r="I57" s="14">
        <f t="shared" si="5"/>
        <v>1.5279807424701697E-2</v>
      </c>
      <c r="J57" s="14">
        <f t="shared" si="6"/>
        <v>-6.9442197382853417E-4</v>
      </c>
      <c r="K57" s="22">
        <v>54</v>
      </c>
      <c r="L57" s="12"/>
      <c r="Q57" s="15">
        <f t="shared" si="7"/>
        <v>54</v>
      </c>
      <c r="R57" s="2">
        <f t="shared" si="8"/>
        <v>43545</v>
      </c>
      <c r="S57" s="9">
        <f t="shared" ca="1" si="9"/>
        <v>1.7785769438641408E-2</v>
      </c>
      <c r="T57" s="9">
        <f t="shared" ca="1" si="10"/>
        <v>1.5279807424701697E-2</v>
      </c>
      <c r="U57" s="9">
        <f t="shared" ca="1" si="11"/>
        <v>-6.9442197382853417E-4</v>
      </c>
      <c r="AB57" s="33" t="e">
        <f t="shared" ca="1" si="19"/>
        <v>#N/A</v>
      </c>
      <c r="AC57" s="34" t="e">
        <f t="shared" ca="1" si="20"/>
        <v>#N/A</v>
      </c>
      <c r="AD57" s="34" t="e">
        <f t="shared" ca="1" si="21"/>
        <v>#N/A</v>
      </c>
      <c r="AE57" s="33" t="e">
        <f t="shared" ca="1" si="27"/>
        <v>#N/A</v>
      </c>
      <c r="AF57" s="34" t="e">
        <f t="shared" ca="1" si="13"/>
        <v>#N/A</v>
      </c>
      <c r="AG57" s="34" t="e">
        <f t="shared" ca="1" si="14"/>
        <v>#N/A</v>
      </c>
      <c r="AH57" s="34" t="e">
        <f t="shared" ca="1" si="15"/>
        <v>#N/A</v>
      </c>
      <c r="AI57" s="33" t="e">
        <f t="shared" ca="1" si="22"/>
        <v>#N/A</v>
      </c>
      <c r="AJ57" s="34" t="e">
        <f t="shared" ca="1" si="23"/>
        <v>#N/A</v>
      </c>
      <c r="AK57" s="34" t="e">
        <f t="shared" ca="1" si="16"/>
        <v>#N/A</v>
      </c>
      <c r="AL57" s="34" t="e">
        <f t="shared" ca="1" si="17"/>
        <v>#N/A</v>
      </c>
      <c r="AM57" s="33" t="e">
        <f t="shared" ca="1" si="24"/>
        <v>#N/A</v>
      </c>
      <c r="AN57" s="34" t="e">
        <f t="shared" ca="1" si="25"/>
        <v>#N/A</v>
      </c>
    </row>
    <row r="58" spans="1:40" x14ac:dyDescent="0.3">
      <c r="A58" s="2">
        <v>43546</v>
      </c>
      <c r="B58" s="9">
        <v>63.73</v>
      </c>
      <c r="C58" s="9">
        <v>120.230003</v>
      </c>
      <c r="D58" s="9">
        <v>84.629997000000003</v>
      </c>
      <c r="E58" s="10"/>
      <c r="F58" s="13">
        <v>55</v>
      </c>
      <c r="G58" s="2">
        <v>43546</v>
      </c>
      <c r="H58" s="14">
        <f t="shared" si="4"/>
        <v>-4.0589783032774919E-2</v>
      </c>
      <c r="I58" s="14">
        <f t="shared" si="5"/>
        <v>-3.6022974160339165E-2</v>
      </c>
      <c r="J58" s="14">
        <f t="shared" si="6"/>
        <v>-2.0467354568701412E-2</v>
      </c>
      <c r="K58" s="22">
        <v>55</v>
      </c>
      <c r="L58" s="12"/>
      <c r="Q58" s="15">
        <f t="shared" si="7"/>
        <v>55</v>
      </c>
      <c r="R58" s="2">
        <f t="shared" si="8"/>
        <v>43546</v>
      </c>
      <c r="S58" s="9">
        <f t="shared" ca="1" si="9"/>
        <v>-4.0589783032774919E-2</v>
      </c>
      <c r="T58" s="9">
        <f t="shared" ca="1" si="10"/>
        <v>-3.6022974160339165E-2</v>
      </c>
      <c r="U58" s="9">
        <f t="shared" ca="1" si="11"/>
        <v>-2.0467354568701412E-2</v>
      </c>
      <c r="AB58" s="33" t="e">
        <f t="shared" ca="1" si="19"/>
        <v>#N/A</v>
      </c>
      <c r="AC58" s="34" t="e">
        <f t="shared" ca="1" si="20"/>
        <v>#N/A</v>
      </c>
      <c r="AD58" s="34" t="e">
        <f t="shared" ca="1" si="21"/>
        <v>#N/A</v>
      </c>
      <c r="AE58" s="33" t="e">
        <f t="shared" ca="1" si="27"/>
        <v>#N/A</v>
      </c>
      <c r="AF58" s="34" t="e">
        <f t="shared" ca="1" si="13"/>
        <v>#N/A</v>
      </c>
      <c r="AG58" s="34" t="e">
        <f t="shared" ca="1" si="14"/>
        <v>#N/A</v>
      </c>
      <c r="AH58" s="34" t="e">
        <f t="shared" ca="1" si="15"/>
        <v>#N/A</v>
      </c>
      <c r="AI58" s="33" t="e">
        <f t="shared" ca="1" si="22"/>
        <v>#N/A</v>
      </c>
      <c r="AJ58" s="34" t="e">
        <f t="shared" ca="1" si="23"/>
        <v>#N/A</v>
      </c>
      <c r="AK58" s="34" t="e">
        <f t="shared" ca="1" si="16"/>
        <v>#N/A</v>
      </c>
      <c r="AL58" s="34" t="e">
        <f t="shared" ca="1" si="17"/>
        <v>#N/A</v>
      </c>
      <c r="AM58" s="33" t="e">
        <f t="shared" ca="1" si="24"/>
        <v>#N/A</v>
      </c>
      <c r="AN58" s="34" t="e">
        <f t="shared" ca="1" si="25"/>
        <v>#N/A</v>
      </c>
    </row>
    <row r="59" spans="1:40" x14ac:dyDescent="0.3">
      <c r="A59" s="2">
        <v>43549</v>
      </c>
      <c r="B59" s="9">
        <v>63.150002000000001</v>
      </c>
      <c r="C59" s="9">
        <v>122.589996</v>
      </c>
      <c r="D59" s="9">
        <v>85.480002999999996</v>
      </c>
      <c r="E59" s="10"/>
      <c r="F59" s="13">
        <v>56</v>
      </c>
      <c r="G59" s="2">
        <v>43549</v>
      </c>
      <c r="H59" s="14">
        <f t="shared" si="4"/>
        <v>-9.1425288590775387E-3</v>
      </c>
      <c r="I59" s="14">
        <f t="shared" si="5"/>
        <v>1.9438821538821163E-2</v>
      </c>
      <c r="J59" s="14">
        <f t="shared" si="6"/>
        <v>9.9936873132835061E-3</v>
      </c>
      <c r="K59" s="22">
        <v>56</v>
      </c>
      <c r="L59" s="12"/>
      <c r="Q59" s="15">
        <f t="shared" si="7"/>
        <v>56</v>
      </c>
      <c r="R59" s="2">
        <f t="shared" si="8"/>
        <v>43549</v>
      </c>
      <c r="S59" s="9">
        <f t="shared" ca="1" si="9"/>
        <v>-9.1425288590775387E-3</v>
      </c>
      <c r="T59" s="9">
        <f t="shared" ca="1" si="10"/>
        <v>1.9438821538821163E-2</v>
      </c>
      <c r="U59" s="9">
        <f t="shared" ca="1" si="11"/>
        <v>9.9936873132835061E-3</v>
      </c>
      <c r="AB59" s="33" t="e">
        <f t="shared" ca="1" si="19"/>
        <v>#N/A</v>
      </c>
      <c r="AC59" s="34" t="e">
        <f t="shared" ca="1" si="20"/>
        <v>#N/A</v>
      </c>
      <c r="AD59" s="34" t="e">
        <f t="shared" ca="1" si="21"/>
        <v>#N/A</v>
      </c>
      <c r="AE59" s="33" t="e">
        <f t="shared" ca="1" si="27"/>
        <v>#N/A</v>
      </c>
      <c r="AF59" s="34" t="e">
        <f t="shared" ca="1" si="13"/>
        <v>#N/A</v>
      </c>
      <c r="AG59" s="34" t="e">
        <f t="shared" ca="1" si="14"/>
        <v>#N/A</v>
      </c>
      <c r="AH59" s="34" t="e">
        <f t="shared" ca="1" si="15"/>
        <v>#N/A</v>
      </c>
      <c r="AI59" s="33" t="e">
        <f t="shared" ca="1" si="22"/>
        <v>#N/A</v>
      </c>
      <c r="AJ59" s="34" t="e">
        <f t="shared" ca="1" si="23"/>
        <v>#N/A</v>
      </c>
      <c r="AK59" s="34" t="e">
        <f t="shared" ca="1" si="16"/>
        <v>#N/A</v>
      </c>
      <c r="AL59" s="34" t="e">
        <f t="shared" ca="1" si="17"/>
        <v>#N/A</v>
      </c>
      <c r="AM59" s="33" t="e">
        <f t="shared" ca="1" si="24"/>
        <v>#N/A</v>
      </c>
      <c r="AN59" s="34" t="e">
        <f t="shared" ca="1" si="25"/>
        <v>#N/A</v>
      </c>
    </row>
    <row r="60" spans="1:40" x14ac:dyDescent="0.3">
      <c r="A60" s="2">
        <v>43550</v>
      </c>
      <c r="B60" s="9">
        <v>63.5</v>
      </c>
      <c r="C60" s="9">
        <v>122.269997</v>
      </c>
      <c r="D60" s="9">
        <v>87</v>
      </c>
      <c r="E60" s="10"/>
      <c r="F60" s="13">
        <v>57</v>
      </c>
      <c r="G60" s="2">
        <v>43550</v>
      </c>
      <c r="H60" s="14">
        <f t="shared" si="4"/>
        <v>5.5270254315208959E-3</v>
      </c>
      <c r="I60" s="14">
        <f t="shared" si="5"/>
        <v>-2.6137318575782634E-3</v>
      </c>
      <c r="J60" s="14">
        <f t="shared" si="6"/>
        <v>1.7625653107708555E-2</v>
      </c>
      <c r="K60" s="22">
        <v>57</v>
      </c>
      <c r="L60" s="12"/>
      <c r="Q60" s="15">
        <f t="shared" si="7"/>
        <v>57</v>
      </c>
      <c r="R60" s="2">
        <f t="shared" si="8"/>
        <v>43550</v>
      </c>
      <c r="S60" s="9">
        <f t="shared" ca="1" si="9"/>
        <v>5.5270254315208959E-3</v>
      </c>
      <c r="T60" s="9">
        <f t="shared" ca="1" si="10"/>
        <v>-2.6137318575782634E-3</v>
      </c>
      <c r="U60" s="9">
        <f t="shared" ca="1" si="11"/>
        <v>1.7625653107708555E-2</v>
      </c>
      <c r="AB60" s="33" t="e">
        <f t="shared" ca="1" si="19"/>
        <v>#N/A</v>
      </c>
      <c r="AC60" s="34" t="e">
        <f t="shared" ca="1" si="20"/>
        <v>#N/A</v>
      </c>
      <c r="AD60" s="34" t="e">
        <f t="shared" ca="1" si="21"/>
        <v>#N/A</v>
      </c>
      <c r="AE60" s="33" t="e">
        <f t="shared" ca="1" si="27"/>
        <v>#N/A</v>
      </c>
      <c r="AF60" s="34" t="e">
        <f t="shared" ca="1" si="13"/>
        <v>#N/A</v>
      </c>
      <c r="AG60" s="34" t="e">
        <f t="shared" ca="1" si="14"/>
        <v>#N/A</v>
      </c>
      <c r="AH60" s="34" t="e">
        <f t="shared" ca="1" si="15"/>
        <v>#N/A</v>
      </c>
      <c r="AI60" s="33" t="e">
        <f t="shared" ca="1" si="22"/>
        <v>#N/A</v>
      </c>
      <c r="AJ60" s="34" t="e">
        <f t="shared" ca="1" si="23"/>
        <v>#N/A</v>
      </c>
      <c r="AK60" s="34" t="e">
        <f t="shared" ca="1" si="16"/>
        <v>#N/A</v>
      </c>
      <c r="AL60" s="34" t="e">
        <f t="shared" ca="1" si="17"/>
        <v>#N/A</v>
      </c>
      <c r="AM60" s="33" t="e">
        <f t="shared" ca="1" si="24"/>
        <v>#N/A</v>
      </c>
      <c r="AN60" s="34" t="e">
        <f t="shared" ca="1" si="25"/>
        <v>#N/A</v>
      </c>
    </row>
    <row r="61" spans="1:40" x14ac:dyDescent="0.3">
      <c r="A61" s="2">
        <v>43551</v>
      </c>
      <c r="B61" s="9">
        <v>63.23</v>
      </c>
      <c r="C61" s="9">
        <v>125.339996</v>
      </c>
      <c r="D61" s="9">
        <v>86.019997000000004</v>
      </c>
      <c r="E61" s="10"/>
      <c r="F61" s="13">
        <v>58</v>
      </c>
      <c r="G61" s="2">
        <v>43551</v>
      </c>
      <c r="H61" s="14">
        <f t="shared" si="4"/>
        <v>-4.2610338281241725E-3</v>
      </c>
      <c r="I61" s="14">
        <f t="shared" si="5"/>
        <v>2.4798323263097586E-2</v>
      </c>
      <c r="J61" s="14">
        <f t="shared" si="6"/>
        <v>-1.1328326174604324E-2</v>
      </c>
      <c r="K61" s="22">
        <v>58</v>
      </c>
      <c r="L61" s="12"/>
      <c r="Q61" s="15">
        <f t="shared" si="7"/>
        <v>58</v>
      </c>
      <c r="R61" s="2">
        <f t="shared" si="8"/>
        <v>43551</v>
      </c>
      <c r="S61" s="9">
        <f t="shared" ca="1" si="9"/>
        <v>-4.2610338281241725E-3</v>
      </c>
      <c r="T61" s="9">
        <f t="shared" ca="1" si="10"/>
        <v>2.4798323263097586E-2</v>
      </c>
      <c r="U61" s="9">
        <f t="shared" ca="1" si="11"/>
        <v>-1.1328326174604324E-2</v>
      </c>
      <c r="AB61" s="33" t="e">
        <f t="shared" ca="1" si="19"/>
        <v>#N/A</v>
      </c>
      <c r="AC61" s="34" t="e">
        <f t="shared" ca="1" si="20"/>
        <v>#N/A</v>
      </c>
      <c r="AD61" s="34" t="e">
        <f t="shared" ca="1" si="21"/>
        <v>#N/A</v>
      </c>
      <c r="AE61" s="33" t="e">
        <f t="shared" ca="1" si="27"/>
        <v>#N/A</v>
      </c>
      <c r="AF61" s="34" t="e">
        <f t="shared" ca="1" si="13"/>
        <v>#N/A</v>
      </c>
      <c r="AG61" s="34" t="e">
        <f t="shared" ca="1" si="14"/>
        <v>#N/A</v>
      </c>
      <c r="AH61" s="34" t="e">
        <f t="shared" ca="1" si="15"/>
        <v>#N/A</v>
      </c>
      <c r="AI61" s="33" t="e">
        <f t="shared" ca="1" si="22"/>
        <v>#N/A</v>
      </c>
      <c r="AJ61" s="34" t="e">
        <f t="shared" ca="1" si="23"/>
        <v>#N/A</v>
      </c>
      <c r="AK61" s="34" t="e">
        <f t="shared" ca="1" si="16"/>
        <v>#N/A</v>
      </c>
      <c r="AL61" s="34" t="e">
        <f t="shared" ca="1" si="17"/>
        <v>#N/A</v>
      </c>
      <c r="AM61" s="33" t="e">
        <f t="shared" ca="1" si="24"/>
        <v>#N/A</v>
      </c>
      <c r="AN61" s="34" t="e">
        <f t="shared" ca="1" si="25"/>
        <v>#N/A</v>
      </c>
    </row>
    <row r="62" spans="1:40" x14ac:dyDescent="0.3">
      <c r="A62" s="2">
        <v>43552</v>
      </c>
      <c r="B62" s="9">
        <v>64.449996999999996</v>
      </c>
      <c r="C62" s="9">
        <v>129.39999399999999</v>
      </c>
      <c r="D62" s="9">
        <v>84.830001999999993</v>
      </c>
      <c r="E62" s="10"/>
      <c r="F62" s="13">
        <v>59</v>
      </c>
      <c r="G62" s="2">
        <v>43552</v>
      </c>
      <c r="H62" s="14">
        <f t="shared" si="4"/>
        <v>1.9110810766961986E-2</v>
      </c>
      <c r="I62" s="14">
        <f t="shared" si="5"/>
        <v>3.1878322815614694E-2</v>
      </c>
      <c r="J62" s="14">
        <f t="shared" si="6"/>
        <v>-1.3930515083771508E-2</v>
      </c>
      <c r="K62" s="22">
        <v>59</v>
      </c>
      <c r="L62" s="12"/>
      <c r="Q62" s="15">
        <f t="shared" si="7"/>
        <v>59</v>
      </c>
      <c r="R62" s="2">
        <f t="shared" si="8"/>
        <v>43552</v>
      </c>
      <c r="S62" s="9">
        <f t="shared" ca="1" si="9"/>
        <v>1.9110810766961986E-2</v>
      </c>
      <c r="T62" s="9">
        <f t="shared" ca="1" si="10"/>
        <v>3.1878322815614694E-2</v>
      </c>
      <c r="U62" s="9">
        <f t="shared" ca="1" si="11"/>
        <v>-1.3930515083771508E-2</v>
      </c>
      <c r="AB62" s="33" t="e">
        <f t="shared" ca="1" si="19"/>
        <v>#N/A</v>
      </c>
      <c r="AC62" s="34" t="e">
        <f t="shared" ca="1" si="20"/>
        <v>#N/A</v>
      </c>
      <c r="AD62" s="34" t="e">
        <f t="shared" ca="1" si="21"/>
        <v>#N/A</v>
      </c>
      <c r="AE62" s="33" t="e">
        <f t="shared" ca="1" si="27"/>
        <v>#N/A</v>
      </c>
      <c r="AF62" s="34" t="e">
        <f t="shared" ca="1" si="13"/>
        <v>#N/A</v>
      </c>
      <c r="AG62" s="34" t="e">
        <f t="shared" ca="1" si="14"/>
        <v>#N/A</v>
      </c>
      <c r="AH62" s="34" t="e">
        <f t="shared" ca="1" si="15"/>
        <v>#N/A</v>
      </c>
      <c r="AI62" s="33" t="e">
        <f t="shared" ca="1" si="22"/>
        <v>#N/A</v>
      </c>
      <c r="AJ62" s="34" t="e">
        <f t="shared" ca="1" si="23"/>
        <v>#N/A</v>
      </c>
      <c r="AK62" s="34" t="e">
        <f t="shared" ca="1" si="16"/>
        <v>#N/A</v>
      </c>
      <c r="AL62" s="34" t="e">
        <f t="shared" ca="1" si="17"/>
        <v>#N/A</v>
      </c>
      <c r="AM62" s="33" t="e">
        <f t="shared" ca="1" si="24"/>
        <v>#N/A</v>
      </c>
      <c r="AN62" s="34" t="e">
        <f t="shared" ca="1" si="25"/>
        <v>#N/A</v>
      </c>
    </row>
    <row r="63" spans="1:40" x14ac:dyDescent="0.3">
      <c r="A63" s="2">
        <v>43553</v>
      </c>
      <c r="B63" s="9">
        <v>65.160004000000001</v>
      </c>
      <c r="C63" s="9">
        <v>129.679993</v>
      </c>
      <c r="D63" s="9">
        <v>84.830001999999993</v>
      </c>
      <c r="E63" s="10"/>
      <c r="F63" s="13">
        <v>60</v>
      </c>
      <c r="G63" s="2">
        <v>43553</v>
      </c>
      <c r="H63" s="14">
        <f t="shared" si="4"/>
        <v>1.0956162283712869E-2</v>
      </c>
      <c r="I63" s="14">
        <f t="shared" si="5"/>
        <v>2.1614877494465019E-3</v>
      </c>
      <c r="J63" s="14">
        <f t="shared" si="6"/>
        <v>0</v>
      </c>
      <c r="K63" s="22">
        <v>60</v>
      </c>
      <c r="L63" s="12"/>
      <c r="Q63" s="15">
        <f t="shared" si="7"/>
        <v>60</v>
      </c>
      <c r="R63" s="2">
        <f t="shared" si="8"/>
        <v>43553</v>
      </c>
      <c r="S63" s="9">
        <f t="shared" ca="1" si="9"/>
        <v>1.0956162283712869E-2</v>
      </c>
      <c r="T63" s="9">
        <f t="shared" ca="1" si="10"/>
        <v>2.1614877494465019E-3</v>
      </c>
      <c r="U63" s="9">
        <f t="shared" ca="1" si="11"/>
        <v>0</v>
      </c>
      <c r="AB63" s="33" t="e">
        <f t="shared" ca="1" si="19"/>
        <v>#N/A</v>
      </c>
      <c r="AC63" s="34" t="e">
        <f t="shared" ca="1" si="20"/>
        <v>#N/A</v>
      </c>
      <c r="AD63" s="34" t="e">
        <f t="shared" ca="1" si="21"/>
        <v>#N/A</v>
      </c>
      <c r="AE63" s="33" t="e">
        <f t="shared" ca="1" si="27"/>
        <v>#N/A</v>
      </c>
      <c r="AF63" s="34" t="e">
        <f t="shared" ca="1" si="13"/>
        <v>#N/A</v>
      </c>
      <c r="AG63" s="34" t="e">
        <f t="shared" ca="1" si="14"/>
        <v>#N/A</v>
      </c>
      <c r="AH63" s="34" t="e">
        <f t="shared" ca="1" si="15"/>
        <v>#N/A</v>
      </c>
      <c r="AI63" s="33" t="e">
        <f t="shared" ca="1" si="22"/>
        <v>#N/A</v>
      </c>
      <c r="AJ63" s="34" t="e">
        <f t="shared" ca="1" si="23"/>
        <v>#N/A</v>
      </c>
      <c r="AK63" s="34" t="e">
        <f t="shared" ca="1" si="16"/>
        <v>#N/A</v>
      </c>
      <c r="AL63" s="34" t="e">
        <f t="shared" ca="1" si="17"/>
        <v>#N/A</v>
      </c>
      <c r="AM63" s="33" t="e">
        <f t="shared" ca="1" si="24"/>
        <v>#N/A</v>
      </c>
      <c r="AN63" s="34" t="e">
        <f t="shared" ca="1" si="25"/>
        <v>#N/A</v>
      </c>
    </row>
    <row r="64" spans="1:40" x14ac:dyDescent="0.3">
      <c r="A64" s="2">
        <v>43556</v>
      </c>
      <c r="B64" s="9">
        <v>66.569999999999993</v>
      </c>
      <c r="C64" s="9">
        <v>128.990005</v>
      </c>
      <c r="D64" s="9">
        <v>86.43</v>
      </c>
      <c r="E64" s="10"/>
      <c r="F64" s="13">
        <v>61</v>
      </c>
      <c r="G64" s="2">
        <v>43556</v>
      </c>
      <c r="H64" s="14">
        <f t="shared" si="4"/>
        <v>2.1408180491415418E-2</v>
      </c>
      <c r="I64" s="14">
        <f t="shared" si="5"/>
        <v>-5.3349027086551778E-3</v>
      </c>
      <c r="J64" s="14">
        <f t="shared" si="6"/>
        <v>1.8685560368339064E-2</v>
      </c>
      <c r="K64" s="22">
        <v>61</v>
      </c>
      <c r="L64" s="12"/>
      <c r="Q64" s="15">
        <f t="shared" si="7"/>
        <v>61</v>
      </c>
      <c r="R64" s="2">
        <f t="shared" si="8"/>
        <v>43556</v>
      </c>
      <c r="S64" s="9">
        <f t="shared" ca="1" si="9"/>
        <v>2.1408180491415418E-2</v>
      </c>
      <c r="T64" s="9">
        <f t="shared" ca="1" si="10"/>
        <v>-5.3349027086551778E-3</v>
      </c>
      <c r="U64" s="9">
        <f t="shared" ca="1" si="11"/>
        <v>1.8685560368339064E-2</v>
      </c>
      <c r="AB64" s="33" t="e">
        <f t="shared" ca="1" si="19"/>
        <v>#N/A</v>
      </c>
      <c r="AC64" s="34" t="e">
        <f t="shared" ca="1" si="20"/>
        <v>#N/A</v>
      </c>
      <c r="AD64" s="34" t="e">
        <f t="shared" ca="1" si="21"/>
        <v>#N/A</v>
      </c>
      <c r="AE64" s="33" t="e">
        <f t="shared" ca="1" si="27"/>
        <v>#N/A</v>
      </c>
      <c r="AF64" s="34" t="e">
        <f t="shared" ca="1" si="13"/>
        <v>#N/A</v>
      </c>
      <c r="AG64" s="34" t="e">
        <f t="shared" ca="1" si="14"/>
        <v>#N/A</v>
      </c>
      <c r="AH64" s="34" t="e">
        <f t="shared" ca="1" si="15"/>
        <v>#N/A</v>
      </c>
      <c r="AI64" s="33" t="e">
        <f t="shared" ca="1" si="22"/>
        <v>#N/A</v>
      </c>
      <c r="AJ64" s="34" t="e">
        <f t="shared" ca="1" si="23"/>
        <v>#N/A</v>
      </c>
      <c r="AK64" s="34" t="e">
        <f t="shared" ca="1" si="16"/>
        <v>#N/A</v>
      </c>
      <c r="AL64" s="34" t="e">
        <f t="shared" ca="1" si="17"/>
        <v>#N/A</v>
      </c>
      <c r="AM64" s="33" t="e">
        <f t="shared" ca="1" si="24"/>
        <v>#N/A</v>
      </c>
      <c r="AN64" s="34" t="e">
        <f t="shared" ca="1" si="25"/>
        <v>#N/A</v>
      </c>
    </row>
    <row r="65" spans="1:40" x14ac:dyDescent="0.3">
      <c r="A65" s="2">
        <v>43557</v>
      </c>
      <c r="B65" s="9">
        <v>66.209998999999996</v>
      </c>
      <c r="C65" s="9">
        <v>127.290001</v>
      </c>
      <c r="D65" s="9">
        <v>84.449996999999996</v>
      </c>
      <c r="E65" s="10"/>
      <c r="F65" s="13">
        <v>62</v>
      </c>
      <c r="G65" s="2">
        <v>43557</v>
      </c>
      <c r="H65" s="14">
        <f t="shared" si="4"/>
        <v>-5.4225317793162569E-3</v>
      </c>
      <c r="I65" s="14">
        <f t="shared" si="5"/>
        <v>-1.3266965001318895E-2</v>
      </c>
      <c r="J65" s="14">
        <f t="shared" si="6"/>
        <v>-2.3175230034717199E-2</v>
      </c>
      <c r="K65" s="22">
        <v>62</v>
      </c>
      <c r="L65" s="12"/>
      <c r="Q65" s="15">
        <f t="shared" si="7"/>
        <v>62</v>
      </c>
      <c r="R65" s="2">
        <f t="shared" si="8"/>
        <v>43557</v>
      </c>
      <c r="S65" s="9">
        <f t="shared" ca="1" si="9"/>
        <v>-5.4225317793162569E-3</v>
      </c>
      <c r="T65" s="9">
        <f t="shared" ca="1" si="10"/>
        <v>-1.3266965001318895E-2</v>
      </c>
      <c r="U65" s="9">
        <f t="shared" ca="1" si="11"/>
        <v>-2.3175230034717199E-2</v>
      </c>
      <c r="AB65" s="33" t="e">
        <f t="shared" ca="1" si="19"/>
        <v>#N/A</v>
      </c>
      <c r="AC65" s="34" t="e">
        <f t="shared" ca="1" si="20"/>
        <v>#N/A</v>
      </c>
      <c r="AD65" s="34" t="e">
        <f t="shared" ca="1" si="21"/>
        <v>#N/A</v>
      </c>
      <c r="AE65" s="33" t="e">
        <f t="shared" ca="1" si="27"/>
        <v>#N/A</v>
      </c>
      <c r="AF65" s="34" t="e">
        <f t="shared" ca="1" si="13"/>
        <v>#N/A</v>
      </c>
      <c r="AG65" s="34" t="e">
        <f t="shared" ca="1" si="14"/>
        <v>#N/A</v>
      </c>
      <c r="AH65" s="34" t="e">
        <f t="shared" ca="1" si="15"/>
        <v>#N/A</v>
      </c>
      <c r="AI65" s="33" t="e">
        <f t="shared" ca="1" si="22"/>
        <v>#N/A</v>
      </c>
      <c r="AJ65" s="34" t="e">
        <f t="shared" ca="1" si="23"/>
        <v>#N/A</v>
      </c>
      <c r="AK65" s="34" t="e">
        <f t="shared" ca="1" si="16"/>
        <v>#N/A</v>
      </c>
      <c r="AL65" s="34" t="e">
        <f t="shared" ca="1" si="17"/>
        <v>#N/A</v>
      </c>
      <c r="AM65" s="33" t="e">
        <f t="shared" ca="1" si="24"/>
        <v>#N/A</v>
      </c>
      <c r="AN65" s="34" t="e">
        <f t="shared" ca="1" si="25"/>
        <v>#N/A</v>
      </c>
    </row>
    <row r="66" spans="1:40" x14ac:dyDescent="0.3">
      <c r="A66" s="2">
        <v>43558</v>
      </c>
      <c r="B66" s="9">
        <v>67.639999000000003</v>
      </c>
      <c r="C66" s="9">
        <v>127.32</v>
      </c>
      <c r="D66" s="9">
        <v>84.260002</v>
      </c>
      <c r="E66" s="10"/>
      <c r="F66" s="13">
        <v>63</v>
      </c>
      <c r="G66" s="2">
        <v>43558</v>
      </c>
      <c r="H66" s="14">
        <f t="shared" si="4"/>
        <v>2.1368015412932127E-2</v>
      </c>
      <c r="I66" s="14">
        <f t="shared" si="5"/>
        <v>2.3564667547223598E-4</v>
      </c>
      <c r="J66" s="14">
        <f t="shared" si="6"/>
        <v>-2.2523274429044702E-3</v>
      </c>
      <c r="K66" s="22">
        <v>63</v>
      </c>
      <c r="L66" s="12"/>
      <c r="Q66" s="15">
        <f t="shared" si="7"/>
        <v>63</v>
      </c>
      <c r="R66" s="2">
        <f t="shared" si="8"/>
        <v>43558</v>
      </c>
      <c r="S66" s="9">
        <f t="shared" ca="1" si="9"/>
        <v>2.1368015412932127E-2</v>
      </c>
      <c r="T66" s="9">
        <f t="shared" ca="1" si="10"/>
        <v>2.3564667547223598E-4</v>
      </c>
      <c r="U66" s="9">
        <f t="shared" ca="1" si="11"/>
        <v>-2.2523274429044702E-3</v>
      </c>
      <c r="AB66" s="33" t="e">
        <f t="shared" ca="1" si="19"/>
        <v>#N/A</v>
      </c>
      <c r="AC66" s="34" t="e">
        <f t="shared" ca="1" si="20"/>
        <v>#N/A</v>
      </c>
      <c r="AD66" s="34" t="e">
        <f t="shared" ca="1" si="21"/>
        <v>#N/A</v>
      </c>
      <c r="AE66" s="33" t="e">
        <f t="shared" ca="1" si="27"/>
        <v>#N/A</v>
      </c>
      <c r="AF66" s="34" t="e">
        <f t="shared" ca="1" si="13"/>
        <v>#N/A</v>
      </c>
      <c r="AG66" s="34" t="e">
        <f t="shared" ca="1" si="14"/>
        <v>#N/A</v>
      </c>
      <c r="AH66" s="34" t="e">
        <f t="shared" ca="1" si="15"/>
        <v>#N/A</v>
      </c>
      <c r="AI66" s="33" t="e">
        <f t="shared" ca="1" si="22"/>
        <v>#N/A</v>
      </c>
      <c r="AJ66" s="34" t="e">
        <f t="shared" ca="1" si="23"/>
        <v>#N/A</v>
      </c>
      <c r="AK66" s="34" t="e">
        <f t="shared" ca="1" si="16"/>
        <v>#N/A</v>
      </c>
      <c r="AL66" s="34" t="e">
        <f t="shared" ca="1" si="17"/>
        <v>#N/A</v>
      </c>
      <c r="AM66" s="33" t="e">
        <f t="shared" ca="1" si="24"/>
        <v>#N/A</v>
      </c>
      <c r="AN66" s="34" t="e">
        <f t="shared" ca="1" si="25"/>
        <v>#N/A</v>
      </c>
    </row>
    <row r="67" spans="1:40" x14ac:dyDescent="0.3">
      <c r="A67" s="2">
        <v>43559</v>
      </c>
      <c r="B67" s="9">
        <v>67.319999999999993</v>
      </c>
      <c r="C67" s="9">
        <v>128.36999499999999</v>
      </c>
      <c r="D67" s="9">
        <v>84.349997999999999</v>
      </c>
      <c r="E67" s="10"/>
      <c r="F67" s="13">
        <v>64</v>
      </c>
      <c r="G67" s="2">
        <v>43559</v>
      </c>
      <c r="H67" s="14">
        <f t="shared" si="4"/>
        <v>-4.7421399236229735E-3</v>
      </c>
      <c r="I67" s="14">
        <f t="shared" si="5"/>
        <v>8.2130777330318584E-3</v>
      </c>
      <c r="J67" s="14">
        <f t="shared" si="6"/>
        <v>1.0675049943225671E-3</v>
      </c>
      <c r="K67" s="22">
        <v>64</v>
      </c>
      <c r="L67" s="12"/>
      <c r="Q67" s="15">
        <f t="shared" si="7"/>
        <v>64</v>
      </c>
      <c r="R67" s="2">
        <f t="shared" si="8"/>
        <v>43559</v>
      </c>
      <c r="S67" s="9">
        <f t="shared" ca="1" si="9"/>
        <v>-4.7421399236229735E-3</v>
      </c>
      <c r="T67" s="9">
        <f t="shared" ca="1" si="10"/>
        <v>8.2130777330318584E-3</v>
      </c>
      <c r="U67" s="9">
        <f t="shared" ca="1" si="11"/>
        <v>1.0675049943225671E-3</v>
      </c>
      <c r="AB67" s="33" t="e">
        <f t="shared" ca="1" si="19"/>
        <v>#N/A</v>
      </c>
      <c r="AC67" s="34" t="e">
        <f t="shared" ca="1" si="20"/>
        <v>#N/A</v>
      </c>
      <c r="AD67" s="34" t="e">
        <f t="shared" ca="1" si="21"/>
        <v>#N/A</v>
      </c>
      <c r="AE67" s="33" t="e">
        <f t="shared" ca="1" si="27"/>
        <v>#N/A</v>
      </c>
      <c r="AF67" s="34" t="e">
        <f t="shared" ca="1" si="13"/>
        <v>#N/A</v>
      </c>
      <c r="AG67" s="34" t="e">
        <f t="shared" ca="1" si="14"/>
        <v>#N/A</v>
      </c>
      <c r="AH67" s="34" t="e">
        <f t="shared" ca="1" si="15"/>
        <v>#N/A</v>
      </c>
      <c r="AI67" s="33" t="e">
        <f t="shared" ca="1" si="22"/>
        <v>#N/A</v>
      </c>
      <c r="AJ67" s="34" t="e">
        <f t="shared" ca="1" si="23"/>
        <v>#N/A</v>
      </c>
      <c r="AK67" s="34" t="e">
        <f t="shared" ca="1" si="16"/>
        <v>#N/A</v>
      </c>
      <c r="AL67" s="34" t="e">
        <f t="shared" ca="1" si="17"/>
        <v>#N/A</v>
      </c>
      <c r="AM67" s="33" t="e">
        <f t="shared" ca="1" si="24"/>
        <v>#N/A</v>
      </c>
      <c r="AN67" s="34" t="e">
        <f t="shared" ca="1" si="25"/>
        <v>#N/A</v>
      </c>
    </row>
    <row r="68" spans="1:40" x14ac:dyDescent="0.3">
      <c r="A68" s="2">
        <v>43560</v>
      </c>
      <c r="B68" s="9">
        <v>67.449996999999996</v>
      </c>
      <c r="C68" s="9">
        <v>127.589996</v>
      </c>
      <c r="D68" s="9">
        <v>86.690002000000007</v>
      </c>
      <c r="E68" s="10"/>
      <c r="F68" s="13">
        <v>65</v>
      </c>
      <c r="G68" s="2">
        <v>43560</v>
      </c>
      <c r="H68" s="14">
        <f t="shared" si="4"/>
        <v>1.9291688537679775E-3</v>
      </c>
      <c r="I68" s="14">
        <f t="shared" si="5"/>
        <v>-6.0947135636918474E-3</v>
      </c>
      <c r="J68" s="14">
        <f t="shared" si="6"/>
        <v>2.7363774670012601E-2</v>
      </c>
      <c r="K68" s="22">
        <v>65</v>
      </c>
      <c r="L68" s="12"/>
      <c r="Q68" s="15">
        <f t="shared" si="7"/>
        <v>65</v>
      </c>
      <c r="R68" s="2">
        <f t="shared" ref="R68:R131" si="28">IF(Q68="","",VLOOKUP(Q68,F68:J1325,2))</f>
        <v>43560</v>
      </c>
      <c r="S68" s="9">
        <f t="shared" ca="1" si="9"/>
        <v>1.9291688537679775E-3</v>
      </c>
      <c r="T68" s="9">
        <f t="shared" ca="1" si="10"/>
        <v>-6.0947135636918474E-3</v>
      </c>
      <c r="U68" s="9">
        <f t="shared" ca="1" si="11"/>
        <v>2.7363774670012601E-2</v>
      </c>
      <c r="AB68" s="33" t="e">
        <f t="shared" ca="1" si="19"/>
        <v>#N/A</v>
      </c>
      <c r="AC68" s="34" t="e">
        <f t="shared" ca="1" si="20"/>
        <v>#N/A</v>
      </c>
      <c r="AD68" s="34" t="e">
        <f t="shared" ca="1" si="21"/>
        <v>#N/A</v>
      </c>
      <c r="AE68" s="33" t="e">
        <f t="shared" ca="1" si="27"/>
        <v>#N/A</v>
      </c>
      <c r="AF68" s="34" t="e">
        <f t="shared" ca="1" si="13"/>
        <v>#N/A</v>
      </c>
      <c r="AG68" s="34" t="e">
        <f t="shared" ca="1" si="14"/>
        <v>#N/A</v>
      </c>
      <c r="AH68" s="34" t="e">
        <f t="shared" ca="1" si="15"/>
        <v>#N/A</v>
      </c>
      <c r="AI68" s="33" t="e">
        <f t="shared" ca="1" si="22"/>
        <v>#N/A</v>
      </c>
      <c r="AJ68" s="34" t="e">
        <f t="shared" ca="1" si="23"/>
        <v>#N/A</v>
      </c>
      <c r="AK68" s="34" t="e">
        <f t="shared" ca="1" si="16"/>
        <v>#N/A</v>
      </c>
      <c r="AL68" s="34" t="e">
        <f t="shared" ca="1" si="17"/>
        <v>#N/A</v>
      </c>
      <c r="AM68" s="33" t="e">
        <f t="shared" ca="1" si="24"/>
        <v>#N/A</v>
      </c>
      <c r="AN68" s="34" t="e">
        <f t="shared" ca="1" si="25"/>
        <v>#N/A</v>
      </c>
    </row>
    <row r="69" spans="1:40" x14ac:dyDescent="0.3">
      <c r="A69" s="2">
        <v>43563</v>
      </c>
      <c r="B69" s="9">
        <v>67.139999000000003</v>
      </c>
      <c r="C69" s="9">
        <v>127.400002</v>
      </c>
      <c r="D69" s="9">
        <v>86.199996999999996</v>
      </c>
      <c r="E69" s="10"/>
      <c r="F69" s="13">
        <v>66</v>
      </c>
      <c r="G69" s="2">
        <v>43563</v>
      </c>
      <c r="H69" s="14">
        <f t="shared" ref="H69:H132" si="29">LN(B69/B68)</f>
        <v>-4.6065615187351489E-3</v>
      </c>
      <c r="I69" s="14">
        <f t="shared" ref="I69:I132" si="30">LN(C69/C68)</f>
        <v>-1.4902077465820897E-3</v>
      </c>
      <c r="J69" s="14">
        <f t="shared" ref="J69:J132" si="31">LN(D69/D68)</f>
        <v>-5.6684170843980365E-3</v>
      </c>
      <c r="K69" s="22">
        <v>66</v>
      </c>
      <c r="L69" s="12"/>
      <c r="Q69" s="15">
        <f t="shared" ref="Q69:Q132" si="32">IF(Q68="","",IF(Q68+1&lt;=$M$6,Q68+1,""))</f>
        <v>66</v>
      </c>
      <c r="R69" s="2">
        <f t="shared" si="28"/>
        <v>43563</v>
      </c>
      <c r="S69" s="9">
        <f t="shared" ref="S69:S132" ca="1" si="33">IF(Q69="","",OFFSET(H$3,$Q69,0))</f>
        <v>-4.6065615187351489E-3</v>
      </c>
      <c r="T69" s="9">
        <f t="shared" ref="T69:T132" ca="1" si="34">IF(R69="","",OFFSET(I$3,$Q69,0))</f>
        <v>-1.4902077465820897E-3</v>
      </c>
      <c r="U69" s="9">
        <f t="shared" ref="U69:U132" ca="1" si="35">IF(S69="","",OFFSET(J$3,$Q69,0))</f>
        <v>-5.6684170843980365E-3</v>
      </c>
      <c r="AB69" s="33" t="e">
        <f t="shared" ca="1" si="19"/>
        <v>#N/A</v>
      </c>
      <c r="AC69" s="34" t="e">
        <f t="shared" ca="1" si="20"/>
        <v>#N/A</v>
      </c>
      <c r="AD69" s="34" t="e">
        <f t="shared" ca="1" si="21"/>
        <v>#N/A</v>
      </c>
      <c r="AE69" s="33" t="e">
        <f t="shared" ca="1" si="27"/>
        <v>#N/A</v>
      </c>
      <c r="AF69" s="34" t="e">
        <f t="shared" ref="AF69:AF132" ca="1" si="36">IF(AB69&lt;=$X$6,(AE69/$X$5)/$X$7,"")</f>
        <v>#N/A</v>
      </c>
      <c r="AG69" s="34" t="e">
        <f t="shared" ref="AG69:AG132" ca="1" si="37">IF(AB69&lt;=$Y$6,AG68+$Y$7,"")</f>
        <v>#N/A</v>
      </c>
      <c r="AH69" s="34" t="e">
        <f t="shared" ref="AH69:AH132" ca="1" si="38">IF(AB69&lt;=$Y$6,AG69-$Y$7/2,"")</f>
        <v>#N/A</v>
      </c>
      <c r="AI69" s="33" t="e">
        <f t="shared" ca="1" si="22"/>
        <v>#N/A</v>
      </c>
      <c r="AJ69" s="34" t="e">
        <f t="shared" ca="1" si="23"/>
        <v>#N/A</v>
      </c>
      <c r="AK69" s="34" t="e">
        <f t="shared" ref="AK69:AK132" ca="1" si="39">IF(AB69&lt;=$Z$6,AK68+$Z$7,"")</f>
        <v>#N/A</v>
      </c>
      <c r="AL69" s="34" t="e">
        <f t="shared" ref="AL69:AL132" ca="1" si="40">IF(AB69&lt;=$Z$6,AK69-$Z$7/2,"")</f>
        <v>#N/A</v>
      </c>
      <c r="AM69" s="33" t="e">
        <f t="shared" ca="1" si="24"/>
        <v>#N/A</v>
      </c>
      <c r="AN69" s="34" t="e">
        <f t="shared" ca="1" si="25"/>
        <v>#N/A</v>
      </c>
    </row>
    <row r="70" spans="1:40" x14ac:dyDescent="0.3">
      <c r="A70" s="2">
        <v>43564</v>
      </c>
      <c r="B70" s="9">
        <v>65.599997999999999</v>
      </c>
      <c r="C70" s="9">
        <v>125.949997</v>
      </c>
      <c r="D70" s="9">
        <v>85.110000999999997</v>
      </c>
      <c r="E70" s="10"/>
      <c r="F70" s="13">
        <v>67</v>
      </c>
      <c r="G70" s="2">
        <v>43564</v>
      </c>
      <c r="H70" s="14">
        <f t="shared" si="29"/>
        <v>-2.3204311195399972E-2</v>
      </c>
      <c r="I70" s="14">
        <f t="shared" si="30"/>
        <v>-1.1446779857006829E-2</v>
      </c>
      <c r="J70" s="14">
        <f t="shared" si="31"/>
        <v>-1.2725593628492328E-2</v>
      </c>
      <c r="K70" s="22">
        <v>67</v>
      </c>
      <c r="L70" s="12"/>
      <c r="Q70" s="15">
        <f t="shared" si="32"/>
        <v>67</v>
      </c>
      <c r="R70" s="2">
        <f t="shared" si="28"/>
        <v>43564</v>
      </c>
      <c r="S70" s="9">
        <f t="shared" ca="1" si="33"/>
        <v>-2.3204311195399972E-2</v>
      </c>
      <c r="T70" s="9">
        <f t="shared" ca="1" si="34"/>
        <v>-1.1446779857006829E-2</v>
      </c>
      <c r="U70" s="9">
        <f t="shared" ca="1" si="35"/>
        <v>-1.2725593628492328E-2</v>
      </c>
      <c r="AB70" s="33" t="e">
        <f t="shared" ref="AB70:AB133" ca="1" si="41">IF(AB69&lt;$X$6,AB69+1,NA())</f>
        <v>#N/A</v>
      </c>
      <c r="AC70" s="34" t="e">
        <f t="shared" ref="AC70:AC133" ca="1" si="42">IF(AB70&lt;=$X$6,AC69+$X$7,"")</f>
        <v>#N/A</v>
      </c>
      <c r="AD70" s="34" t="e">
        <f t="shared" ref="AD70:AD133" ca="1" si="43">IF(AB70&lt;=$X$6,AC70-$X$7/2,"")</f>
        <v>#N/A</v>
      </c>
      <c r="AE70" s="33" t="e">
        <f t="shared" ref="AE70:AE133" ca="1" si="44">IF(AB70&lt;=$X$6,COUNTIFS($S$3:$S$1260,"&gt;"&amp;AC69,$S$3:$S$1260,"&lt;="&amp;AC70),"")</f>
        <v>#N/A</v>
      </c>
      <c r="AF70" s="34" t="e">
        <f t="shared" ca="1" si="36"/>
        <v>#N/A</v>
      </c>
      <c r="AG70" s="34" t="e">
        <f t="shared" ca="1" si="37"/>
        <v>#N/A</v>
      </c>
      <c r="AH70" s="34" t="e">
        <f t="shared" ca="1" si="38"/>
        <v>#N/A</v>
      </c>
      <c r="AI70" s="33" t="e">
        <f t="shared" ref="AI70:AI133" ca="1" si="45">IF(AB70&lt;=$Y$6,COUNTIFS($T$3:$T$1260,"&gt;"&amp;AG69,$T$3:$T$1260,"&lt;="&amp;AG70),"")</f>
        <v>#N/A</v>
      </c>
      <c r="AJ70" s="34" t="e">
        <f t="shared" ref="AJ70:AJ133" ca="1" si="46">IF(AB70&lt;=$Y$6,(AI70/$Y$5)/$Y$7,"")</f>
        <v>#N/A</v>
      </c>
      <c r="AK70" s="34" t="e">
        <f t="shared" ca="1" si="39"/>
        <v>#N/A</v>
      </c>
      <c r="AL70" s="34" t="e">
        <f t="shared" ca="1" si="40"/>
        <v>#N/A</v>
      </c>
      <c r="AM70" s="33" t="e">
        <f t="shared" ref="AM70:AM133" ca="1" si="47">IF(AB70&lt;=$Z$6,COUNTIFS($U$3:$U$1260,"&gt;"&amp;AK69,$U$3:$U$1260,"&lt;="&amp;AK70),"")</f>
        <v>#N/A</v>
      </c>
      <c r="AN70" s="34" t="e">
        <f t="shared" ref="AN70:AN133" ca="1" si="48">IF(AB70&lt;=$Z$6,(AM70/$Z$5)/$Z$7,"")</f>
        <v>#N/A</v>
      </c>
    </row>
    <row r="71" spans="1:40" x14ac:dyDescent="0.3">
      <c r="A71" s="2">
        <v>43565</v>
      </c>
      <c r="B71" s="9">
        <v>65.599997999999999</v>
      </c>
      <c r="C71" s="9">
        <v>126.459999</v>
      </c>
      <c r="D71" s="9">
        <v>88.43</v>
      </c>
      <c r="E71" s="10"/>
      <c r="F71" s="13">
        <v>68</v>
      </c>
      <c r="G71" s="2">
        <v>43565</v>
      </c>
      <c r="H71" s="14">
        <f t="shared" si="29"/>
        <v>0</v>
      </c>
      <c r="I71" s="14">
        <f t="shared" si="30"/>
        <v>4.04106574318518E-3</v>
      </c>
      <c r="J71" s="14">
        <f t="shared" si="31"/>
        <v>3.8266729349273533E-2</v>
      </c>
      <c r="K71" s="22">
        <v>68</v>
      </c>
      <c r="L71" s="12"/>
      <c r="Q71" s="15">
        <f t="shared" si="32"/>
        <v>68</v>
      </c>
      <c r="R71" s="2">
        <f t="shared" si="28"/>
        <v>43565</v>
      </c>
      <c r="S71" s="9">
        <f t="shared" ca="1" si="33"/>
        <v>0</v>
      </c>
      <c r="T71" s="9">
        <f t="shared" ca="1" si="34"/>
        <v>4.04106574318518E-3</v>
      </c>
      <c r="U71" s="9">
        <f t="shared" ca="1" si="35"/>
        <v>3.8266729349273533E-2</v>
      </c>
      <c r="AB71" s="33" t="e">
        <f t="shared" ca="1" si="41"/>
        <v>#N/A</v>
      </c>
      <c r="AC71" s="34" t="e">
        <f t="shared" ca="1" si="42"/>
        <v>#N/A</v>
      </c>
      <c r="AD71" s="34" t="e">
        <f t="shared" ca="1" si="43"/>
        <v>#N/A</v>
      </c>
      <c r="AE71" s="33" t="e">
        <f t="shared" ca="1" si="44"/>
        <v>#N/A</v>
      </c>
      <c r="AF71" s="34" t="e">
        <f t="shared" ca="1" si="36"/>
        <v>#N/A</v>
      </c>
      <c r="AG71" s="34" t="e">
        <f t="shared" ca="1" si="37"/>
        <v>#N/A</v>
      </c>
      <c r="AH71" s="34" t="e">
        <f t="shared" ca="1" si="38"/>
        <v>#N/A</v>
      </c>
      <c r="AI71" s="33" t="e">
        <f t="shared" ca="1" si="45"/>
        <v>#N/A</v>
      </c>
      <c r="AJ71" s="34" t="e">
        <f t="shared" ca="1" si="46"/>
        <v>#N/A</v>
      </c>
      <c r="AK71" s="34" t="e">
        <f t="shared" ca="1" si="39"/>
        <v>#N/A</v>
      </c>
      <c r="AL71" s="34" t="e">
        <f t="shared" ca="1" si="40"/>
        <v>#N/A</v>
      </c>
      <c r="AM71" s="33" t="e">
        <f t="shared" ca="1" si="47"/>
        <v>#N/A</v>
      </c>
      <c r="AN71" s="34" t="e">
        <f t="shared" ca="1" si="48"/>
        <v>#N/A</v>
      </c>
    </row>
    <row r="72" spans="1:40" x14ac:dyDescent="0.3">
      <c r="A72" s="2">
        <v>43566</v>
      </c>
      <c r="B72" s="9">
        <v>66.489998</v>
      </c>
      <c r="C72" s="9">
        <v>126.55999799999999</v>
      </c>
      <c r="D72" s="9">
        <v>89.040001000000004</v>
      </c>
      <c r="E72" s="10"/>
      <c r="F72" s="13">
        <v>69</v>
      </c>
      <c r="G72" s="2">
        <v>43566</v>
      </c>
      <c r="H72" s="14">
        <f t="shared" si="29"/>
        <v>1.3475864872413923E-2</v>
      </c>
      <c r="I72" s="14">
        <f t="shared" si="30"/>
        <v>7.9044349373404285E-4</v>
      </c>
      <c r="J72" s="14">
        <f t="shared" si="31"/>
        <v>6.8744396105530547E-3</v>
      </c>
      <c r="K72" s="22">
        <v>69</v>
      </c>
      <c r="L72" s="12"/>
      <c r="Q72" s="15">
        <f t="shared" si="32"/>
        <v>69</v>
      </c>
      <c r="R72" s="2">
        <f t="shared" si="28"/>
        <v>43566</v>
      </c>
      <c r="S72" s="9">
        <f t="shared" ca="1" si="33"/>
        <v>1.3475864872413923E-2</v>
      </c>
      <c r="T72" s="9">
        <f t="shared" ca="1" si="34"/>
        <v>7.9044349373404285E-4</v>
      </c>
      <c r="U72" s="9">
        <f t="shared" ca="1" si="35"/>
        <v>6.8744396105530547E-3</v>
      </c>
      <c r="AB72" s="33" t="e">
        <f t="shared" ca="1" si="41"/>
        <v>#N/A</v>
      </c>
      <c r="AC72" s="34" t="e">
        <f t="shared" ca="1" si="42"/>
        <v>#N/A</v>
      </c>
      <c r="AD72" s="34" t="e">
        <f t="shared" ca="1" si="43"/>
        <v>#N/A</v>
      </c>
      <c r="AE72" s="33" t="e">
        <f t="shared" ca="1" si="44"/>
        <v>#N/A</v>
      </c>
      <c r="AF72" s="34" t="e">
        <f t="shared" ca="1" si="36"/>
        <v>#N/A</v>
      </c>
      <c r="AG72" s="34" t="e">
        <f t="shared" ca="1" si="37"/>
        <v>#N/A</v>
      </c>
      <c r="AH72" s="34" t="e">
        <f t="shared" ca="1" si="38"/>
        <v>#N/A</v>
      </c>
      <c r="AI72" s="33" t="e">
        <f t="shared" ca="1" si="45"/>
        <v>#N/A</v>
      </c>
      <c r="AJ72" s="34" t="e">
        <f t="shared" ca="1" si="46"/>
        <v>#N/A</v>
      </c>
      <c r="AK72" s="34" t="e">
        <f t="shared" ca="1" si="39"/>
        <v>#N/A</v>
      </c>
      <c r="AL72" s="34" t="e">
        <f t="shared" ca="1" si="40"/>
        <v>#N/A</v>
      </c>
      <c r="AM72" s="33" t="e">
        <f t="shared" ca="1" si="47"/>
        <v>#N/A</v>
      </c>
      <c r="AN72" s="34" t="e">
        <f t="shared" ca="1" si="48"/>
        <v>#N/A</v>
      </c>
    </row>
    <row r="73" spans="1:40" x14ac:dyDescent="0.3">
      <c r="A73" s="2">
        <v>43567</v>
      </c>
      <c r="B73" s="9">
        <v>66.959998999999996</v>
      </c>
      <c r="C73" s="9">
        <v>128.14999399999999</v>
      </c>
      <c r="D73" s="9">
        <v>88.410004000000001</v>
      </c>
      <c r="E73" s="10"/>
      <c r="F73" s="13">
        <v>70</v>
      </c>
      <c r="G73" s="2">
        <v>43567</v>
      </c>
      <c r="H73" s="14">
        <f t="shared" si="29"/>
        <v>7.0438809122787471E-3</v>
      </c>
      <c r="I73" s="14">
        <f t="shared" si="30"/>
        <v>1.2484917773384107E-2</v>
      </c>
      <c r="J73" s="14">
        <f t="shared" si="31"/>
        <v>-7.1005875367340498E-3</v>
      </c>
      <c r="K73" s="22">
        <v>70</v>
      </c>
      <c r="L73" s="12"/>
      <c r="Q73" s="15">
        <f t="shared" si="32"/>
        <v>70</v>
      </c>
      <c r="R73" s="2">
        <f t="shared" si="28"/>
        <v>43567</v>
      </c>
      <c r="S73" s="9">
        <f t="shared" ca="1" si="33"/>
        <v>7.0438809122787471E-3</v>
      </c>
      <c r="T73" s="9">
        <f t="shared" ca="1" si="34"/>
        <v>1.2484917773384107E-2</v>
      </c>
      <c r="U73" s="9">
        <f t="shared" ca="1" si="35"/>
        <v>-7.1005875367340498E-3</v>
      </c>
      <c r="AB73" s="33" t="e">
        <f t="shared" ca="1" si="41"/>
        <v>#N/A</v>
      </c>
      <c r="AC73" s="34" t="e">
        <f t="shared" ca="1" si="42"/>
        <v>#N/A</v>
      </c>
      <c r="AD73" s="34" t="e">
        <f t="shared" ca="1" si="43"/>
        <v>#N/A</v>
      </c>
      <c r="AE73" s="33" t="e">
        <f t="shared" ca="1" si="44"/>
        <v>#N/A</v>
      </c>
      <c r="AF73" s="34" t="e">
        <f t="shared" ca="1" si="36"/>
        <v>#N/A</v>
      </c>
      <c r="AG73" s="34" t="e">
        <f t="shared" ca="1" si="37"/>
        <v>#N/A</v>
      </c>
      <c r="AH73" s="34" t="e">
        <f t="shared" ca="1" si="38"/>
        <v>#N/A</v>
      </c>
      <c r="AI73" s="33" t="e">
        <f t="shared" ca="1" si="45"/>
        <v>#N/A</v>
      </c>
      <c r="AJ73" s="34" t="e">
        <f t="shared" ca="1" si="46"/>
        <v>#N/A</v>
      </c>
      <c r="AK73" s="34" t="e">
        <f t="shared" ca="1" si="39"/>
        <v>#N/A</v>
      </c>
      <c r="AL73" s="34" t="e">
        <f t="shared" ca="1" si="40"/>
        <v>#N/A</v>
      </c>
      <c r="AM73" s="33" t="e">
        <f t="shared" ca="1" si="47"/>
        <v>#N/A</v>
      </c>
      <c r="AN73" s="34" t="e">
        <f t="shared" ca="1" si="48"/>
        <v>#N/A</v>
      </c>
    </row>
    <row r="74" spans="1:40" x14ac:dyDescent="0.3">
      <c r="A74" s="2">
        <v>43570</v>
      </c>
      <c r="B74" s="9">
        <v>66.989998</v>
      </c>
      <c r="C74" s="9">
        <v>127.18</v>
      </c>
      <c r="D74" s="9">
        <v>87.650002000000001</v>
      </c>
      <c r="E74" s="10"/>
      <c r="F74" s="13">
        <v>71</v>
      </c>
      <c r="G74" s="2">
        <v>43570</v>
      </c>
      <c r="H74" s="14">
        <f t="shared" si="29"/>
        <v>4.4791341804289905E-4</v>
      </c>
      <c r="I74" s="14">
        <f t="shared" si="30"/>
        <v>-7.5980001506845496E-3</v>
      </c>
      <c r="J74" s="14">
        <f t="shared" si="31"/>
        <v>-8.6334964761932385E-3</v>
      </c>
      <c r="K74" s="22">
        <v>71</v>
      </c>
      <c r="L74" s="12"/>
      <c r="Q74" s="15">
        <f t="shared" si="32"/>
        <v>71</v>
      </c>
      <c r="R74" s="2">
        <f t="shared" si="28"/>
        <v>43570</v>
      </c>
      <c r="S74" s="9">
        <f t="shared" ca="1" si="33"/>
        <v>4.4791341804289905E-4</v>
      </c>
      <c r="T74" s="9">
        <f t="shared" ca="1" si="34"/>
        <v>-7.5980001506845496E-3</v>
      </c>
      <c r="U74" s="9">
        <f t="shared" ca="1" si="35"/>
        <v>-8.6334964761932385E-3</v>
      </c>
      <c r="AB74" s="33" t="e">
        <f t="shared" ca="1" si="41"/>
        <v>#N/A</v>
      </c>
      <c r="AC74" s="34" t="e">
        <f t="shared" ca="1" si="42"/>
        <v>#N/A</v>
      </c>
      <c r="AD74" s="34" t="e">
        <f t="shared" ca="1" si="43"/>
        <v>#N/A</v>
      </c>
      <c r="AE74" s="33" t="e">
        <f t="shared" ca="1" si="44"/>
        <v>#N/A</v>
      </c>
      <c r="AF74" s="34" t="e">
        <f t="shared" ca="1" si="36"/>
        <v>#N/A</v>
      </c>
      <c r="AG74" s="34" t="e">
        <f t="shared" ca="1" si="37"/>
        <v>#N/A</v>
      </c>
      <c r="AH74" s="34" t="e">
        <f t="shared" ca="1" si="38"/>
        <v>#N/A</v>
      </c>
      <c r="AI74" s="33" t="e">
        <f t="shared" ca="1" si="45"/>
        <v>#N/A</v>
      </c>
      <c r="AJ74" s="34" t="e">
        <f t="shared" ca="1" si="46"/>
        <v>#N/A</v>
      </c>
      <c r="AK74" s="34" t="e">
        <f t="shared" ca="1" si="39"/>
        <v>#N/A</v>
      </c>
      <c r="AL74" s="34" t="e">
        <f t="shared" ca="1" si="40"/>
        <v>#N/A</v>
      </c>
      <c r="AM74" s="33" t="e">
        <f t="shared" ca="1" si="47"/>
        <v>#N/A</v>
      </c>
      <c r="AN74" s="34" t="e">
        <f t="shared" ca="1" si="48"/>
        <v>#N/A</v>
      </c>
    </row>
    <row r="75" spans="1:40" x14ac:dyDescent="0.3">
      <c r="A75" s="2">
        <v>43571</v>
      </c>
      <c r="B75" s="9">
        <v>67.220000999999996</v>
      </c>
      <c r="C75" s="9">
        <v>129.55999800000001</v>
      </c>
      <c r="D75" s="9">
        <v>88.32</v>
      </c>
      <c r="E75" s="10"/>
      <c r="F75" s="13">
        <v>72</v>
      </c>
      <c r="G75" s="2">
        <v>43571</v>
      </c>
      <c r="H75" s="14">
        <f t="shared" si="29"/>
        <v>3.4275125085108031E-3</v>
      </c>
      <c r="I75" s="14">
        <f t="shared" si="30"/>
        <v>1.8540673027003407E-2</v>
      </c>
      <c r="J75" s="14">
        <f t="shared" si="31"/>
        <v>7.6149483435156368E-3</v>
      </c>
      <c r="K75" s="22">
        <v>72</v>
      </c>
      <c r="L75" s="12"/>
      <c r="Q75" s="15">
        <f t="shared" si="32"/>
        <v>72</v>
      </c>
      <c r="R75" s="2">
        <f t="shared" si="28"/>
        <v>43571</v>
      </c>
      <c r="S75" s="9">
        <f t="shared" ca="1" si="33"/>
        <v>3.4275125085108031E-3</v>
      </c>
      <c r="T75" s="9">
        <f t="shared" ca="1" si="34"/>
        <v>1.8540673027003407E-2</v>
      </c>
      <c r="U75" s="9">
        <f t="shared" ca="1" si="35"/>
        <v>7.6149483435156368E-3</v>
      </c>
      <c r="AB75" s="33" t="e">
        <f t="shared" ca="1" si="41"/>
        <v>#N/A</v>
      </c>
      <c r="AC75" s="34" t="e">
        <f t="shared" ca="1" si="42"/>
        <v>#N/A</v>
      </c>
      <c r="AD75" s="34" t="e">
        <f t="shared" ca="1" si="43"/>
        <v>#N/A</v>
      </c>
      <c r="AE75" s="33" t="e">
        <f t="shared" ca="1" si="44"/>
        <v>#N/A</v>
      </c>
      <c r="AF75" s="34" t="e">
        <f t="shared" ca="1" si="36"/>
        <v>#N/A</v>
      </c>
      <c r="AG75" s="34" t="e">
        <f t="shared" ca="1" si="37"/>
        <v>#N/A</v>
      </c>
      <c r="AH75" s="34" t="e">
        <f t="shared" ca="1" si="38"/>
        <v>#N/A</v>
      </c>
      <c r="AI75" s="33" t="e">
        <f t="shared" ca="1" si="45"/>
        <v>#N/A</v>
      </c>
      <c r="AJ75" s="34" t="e">
        <f t="shared" ca="1" si="46"/>
        <v>#N/A</v>
      </c>
      <c r="AK75" s="34" t="e">
        <f t="shared" ca="1" si="39"/>
        <v>#N/A</v>
      </c>
      <c r="AL75" s="34" t="e">
        <f t="shared" ca="1" si="40"/>
        <v>#N/A</v>
      </c>
      <c r="AM75" s="33" t="e">
        <f t="shared" ca="1" si="47"/>
        <v>#N/A</v>
      </c>
      <c r="AN75" s="34" t="e">
        <f t="shared" ca="1" si="48"/>
        <v>#N/A</v>
      </c>
    </row>
    <row r="76" spans="1:40" x14ac:dyDescent="0.3">
      <c r="A76" s="2">
        <v>43572</v>
      </c>
      <c r="B76" s="9">
        <v>67.199996999999996</v>
      </c>
      <c r="C76" s="9">
        <v>131.759995</v>
      </c>
      <c r="D76" s="9">
        <v>89.419998000000007</v>
      </c>
      <c r="E76" s="10"/>
      <c r="F76" s="13">
        <v>73</v>
      </c>
      <c r="G76" s="2">
        <v>43572</v>
      </c>
      <c r="H76" s="14">
        <f t="shared" si="29"/>
        <v>-2.9763428723864787E-4</v>
      </c>
      <c r="I76" s="14">
        <f t="shared" si="30"/>
        <v>1.6837969055334981E-2</v>
      </c>
      <c r="J76" s="14">
        <f t="shared" si="31"/>
        <v>1.2377765910688374E-2</v>
      </c>
      <c r="K76" s="22">
        <v>73</v>
      </c>
      <c r="L76" s="12"/>
      <c r="Q76" s="15">
        <f t="shared" si="32"/>
        <v>73</v>
      </c>
      <c r="R76" s="2">
        <f t="shared" si="28"/>
        <v>43572</v>
      </c>
      <c r="S76" s="9">
        <f t="shared" ca="1" si="33"/>
        <v>-2.9763428723864787E-4</v>
      </c>
      <c r="T76" s="9">
        <f t="shared" ca="1" si="34"/>
        <v>1.6837969055334981E-2</v>
      </c>
      <c r="U76" s="9">
        <f t="shared" ca="1" si="35"/>
        <v>1.2377765910688374E-2</v>
      </c>
      <c r="AB76" s="33" t="e">
        <f t="shared" ca="1" si="41"/>
        <v>#N/A</v>
      </c>
      <c r="AC76" s="34" t="e">
        <f t="shared" ca="1" si="42"/>
        <v>#N/A</v>
      </c>
      <c r="AD76" s="34" t="e">
        <f t="shared" ca="1" si="43"/>
        <v>#N/A</v>
      </c>
      <c r="AE76" s="33" t="e">
        <f t="shared" ca="1" si="44"/>
        <v>#N/A</v>
      </c>
      <c r="AF76" s="34" t="e">
        <f t="shared" ca="1" si="36"/>
        <v>#N/A</v>
      </c>
      <c r="AG76" s="34" t="e">
        <f t="shared" ca="1" si="37"/>
        <v>#N/A</v>
      </c>
      <c r="AH76" s="34" t="e">
        <f t="shared" ca="1" si="38"/>
        <v>#N/A</v>
      </c>
      <c r="AI76" s="33" t="e">
        <f t="shared" ca="1" si="45"/>
        <v>#N/A</v>
      </c>
      <c r="AJ76" s="34" t="e">
        <f t="shared" ca="1" si="46"/>
        <v>#N/A</v>
      </c>
      <c r="AK76" s="34" t="e">
        <f t="shared" ca="1" si="39"/>
        <v>#N/A</v>
      </c>
      <c r="AL76" s="34" t="e">
        <f t="shared" ca="1" si="40"/>
        <v>#N/A</v>
      </c>
      <c r="AM76" s="33" t="e">
        <f t="shared" ca="1" si="47"/>
        <v>#N/A</v>
      </c>
      <c r="AN76" s="34" t="e">
        <f t="shared" ca="1" si="48"/>
        <v>#N/A</v>
      </c>
    </row>
    <row r="77" spans="1:40" x14ac:dyDescent="0.3">
      <c r="A77" s="2">
        <v>43573</v>
      </c>
      <c r="B77" s="9">
        <v>68.150002000000001</v>
      </c>
      <c r="C77" s="9">
        <v>131.10000600000001</v>
      </c>
      <c r="D77" s="9">
        <v>88.040001000000004</v>
      </c>
      <c r="E77" s="10"/>
      <c r="F77" s="13">
        <v>74</v>
      </c>
      <c r="G77" s="2">
        <v>43573</v>
      </c>
      <c r="H77" s="14">
        <f t="shared" si="29"/>
        <v>1.4037984603324191E-2</v>
      </c>
      <c r="I77" s="14">
        <f t="shared" si="30"/>
        <v>-5.0216113853567435E-3</v>
      </c>
      <c r="J77" s="14">
        <f t="shared" si="31"/>
        <v>-1.5553080422739033E-2</v>
      </c>
      <c r="K77" s="22">
        <v>74</v>
      </c>
      <c r="L77" s="12"/>
      <c r="Q77" s="15">
        <f t="shared" si="32"/>
        <v>74</v>
      </c>
      <c r="R77" s="2">
        <f t="shared" si="28"/>
        <v>43573</v>
      </c>
      <c r="S77" s="9">
        <f t="shared" ca="1" si="33"/>
        <v>1.4037984603324191E-2</v>
      </c>
      <c r="T77" s="9">
        <f t="shared" ca="1" si="34"/>
        <v>-5.0216113853567435E-3</v>
      </c>
      <c r="U77" s="9">
        <f t="shared" ca="1" si="35"/>
        <v>-1.5553080422739033E-2</v>
      </c>
      <c r="AB77" s="33" t="e">
        <f t="shared" ca="1" si="41"/>
        <v>#N/A</v>
      </c>
      <c r="AC77" s="34" t="e">
        <f t="shared" ca="1" si="42"/>
        <v>#N/A</v>
      </c>
      <c r="AD77" s="34" t="e">
        <f t="shared" ca="1" si="43"/>
        <v>#N/A</v>
      </c>
      <c r="AE77" s="33" t="e">
        <f t="shared" ca="1" si="44"/>
        <v>#N/A</v>
      </c>
      <c r="AF77" s="34" t="e">
        <f t="shared" ca="1" si="36"/>
        <v>#N/A</v>
      </c>
      <c r="AG77" s="34" t="e">
        <f t="shared" ca="1" si="37"/>
        <v>#N/A</v>
      </c>
      <c r="AH77" s="34" t="e">
        <f t="shared" ca="1" si="38"/>
        <v>#N/A</v>
      </c>
      <c r="AI77" s="33" t="e">
        <f t="shared" ca="1" si="45"/>
        <v>#N/A</v>
      </c>
      <c r="AJ77" s="34" t="e">
        <f t="shared" ca="1" si="46"/>
        <v>#N/A</v>
      </c>
      <c r="AK77" s="34" t="e">
        <f t="shared" ca="1" si="39"/>
        <v>#N/A</v>
      </c>
      <c r="AL77" s="34" t="e">
        <f t="shared" ca="1" si="40"/>
        <v>#N/A</v>
      </c>
      <c r="AM77" s="33" t="e">
        <f t="shared" ca="1" si="47"/>
        <v>#N/A</v>
      </c>
      <c r="AN77" s="34" t="e">
        <f t="shared" ca="1" si="48"/>
        <v>#N/A</v>
      </c>
    </row>
    <row r="78" spans="1:40" x14ac:dyDescent="0.3">
      <c r="A78" s="2">
        <v>43577</v>
      </c>
      <c r="B78" s="9">
        <v>67.389999000000003</v>
      </c>
      <c r="C78" s="9">
        <v>130.75</v>
      </c>
      <c r="D78" s="9">
        <v>91.150002000000001</v>
      </c>
      <c r="E78" s="10"/>
      <c r="F78" s="13">
        <v>75</v>
      </c>
      <c r="G78" s="2">
        <v>43577</v>
      </c>
      <c r="H78" s="14">
        <f t="shared" si="29"/>
        <v>-1.1214563370441162E-2</v>
      </c>
      <c r="I78" s="14">
        <f t="shared" si="30"/>
        <v>-2.6733335912113233E-3</v>
      </c>
      <c r="J78" s="14">
        <f t="shared" si="31"/>
        <v>3.4715255049791588E-2</v>
      </c>
      <c r="K78" s="22">
        <v>75</v>
      </c>
      <c r="L78" s="12"/>
      <c r="Q78" s="15">
        <f t="shared" si="32"/>
        <v>75</v>
      </c>
      <c r="R78" s="2">
        <f t="shared" si="28"/>
        <v>43577</v>
      </c>
      <c r="S78" s="9">
        <f t="shared" ca="1" si="33"/>
        <v>-1.1214563370441162E-2</v>
      </c>
      <c r="T78" s="9">
        <f t="shared" ca="1" si="34"/>
        <v>-2.6733335912113233E-3</v>
      </c>
      <c r="U78" s="9">
        <f t="shared" ca="1" si="35"/>
        <v>3.4715255049791588E-2</v>
      </c>
      <c r="AB78" s="33" t="e">
        <f t="shared" ca="1" si="41"/>
        <v>#N/A</v>
      </c>
      <c r="AC78" s="34" t="e">
        <f t="shared" ca="1" si="42"/>
        <v>#N/A</v>
      </c>
      <c r="AD78" s="34" t="e">
        <f t="shared" ca="1" si="43"/>
        <v>#N/A</v>
      </c>
      <c r="AE78" s="33" t="e">
        <f t="shared" ca="1" si="44"/>
        <v>#N/A</v>
      </c>
      <c r="AF78" s="34" t="e">
        <f t="shared" ca="1" si="36"/>
        <v>#N/A</v>
      </c>
      <c r="AG78" s="34" t="e">
        <f t="shared" ca="1" si="37"/>
        <v>#N/A</v>
      </c>
      <c r="AH78" s="34" t="e">
        <f t="shared" ca="1" si="38"/>
        <v>#N/A</v>
      </c>
      <c r="AI78" s="33" t="e">
        <f t="shared" ca="1" si="45"/>
        <v>#N/A</v>
      </c>
      <c r="AJ78" s="34" t="e">
        <f t="shared" ca="1" si="46"/>
        <v>#N/A</v>
      </c>
      <c r="AK78" s="34" t="e">
        <f t="shared" ca="1" si="39"/>
        <v>#N/A</v>
      </c>
      <c r="AL78" s="34" t="e">
        <f t="shared" ca="1" si="40"/>
        <v>#N/A</v>
      </c>
      <c r="AM78" s="33" t="e">
        <f t="shared" ca="1" si="47"/>
        <v>#N/A</v>
      </c>
      <c r="AN78" s="34" t="e">
        <f t="shared" ca="1" si="48"/>
        <v>#N/A</v>
      </c>
    </row>
    <row r="79" spans="1:40" x14ac:dyDescent="0.3">
      <c r="A79" s="2">
        <v>43578</v>
      </c>
      <c r="B79" s="9">
        <v>68.790001000000004</v>
      </c>
      <c r="C79" s="9">
        <v>132.070007</v>
      </c>
      <c r="D79" s="9">
        <v>90.279999000000004</v>
      </c>
      <c r="E79" s="10"/>
      <c r="F79" s="13">
        <v>76</v>
      </c>
      <c r="G79" s="2">
        <v>43578</v>
      </c>
      <c r="H79" s="14">
        <f t="shared" si="29"/>
        <v>2.0561775955790607E-2</v>
      </c>
      <c r="I79" s="14">
        <f t="shared" si="30"/>
        <v>1.0045035112875132E-2</v>
      </c>
      <c r="J79" s="14">
        <f t="shared" si="31"/>
        <v>-9.5905821938413495E-3</v>
      </c>
      <c r="K79" s="22">
        <v>76</v>
      </c>
      <c r="L79" s="12"/>
      <c r="Q79" s="15">
        <f t="shared" si="32"/>
        <v>76</v>
      </c>
      <c r="R79" s="2">
        <f t="shared" si="28"/>
        <v>43578</v>
      </c>
      <c r="S79" s="9">
        <f t="shared" ca="1" si="33"/>
        <v>2.0561775955790607E-2</v>
      </c>
      <c r="T79" s="9">
        <f t="shared" ca="1" si="34"/>
        <v>1.0045035112875132E-2</v>
      </c>
      <c r="U79" s="9">
        <f t="shared" ca="1" si="35"/>
        <v>-9.5905821938413495E-3</v>
      </c>
      <c r="AB79" s="33" t="e">
        <f t="shared" ca="1" si="41"/>
        <v>#N/A</v>
      </c>
      <c r="AC79" s="34" t="e">
        <f t="shared" ca="1" si="42"/>
        <v>#N/A</v>
      </c>
      <c r="AD79" s="34" t="e">
        <f t="shared" ca="1" si="43"/>
        <v>#N/A</v>
      </c>
      <c r="AE79" s="33" t="e">
        <f t="shared" ca="1" si="44"/>
        <v>#N/A</v>
      </c>
      <c r="AF79" s="34" t="e">
        <f t="shared" ca="1" si="36"/>
        <v>#N/A</v>
      </c>
      <c r="AG79" s="34" t="e">
        <f t="shared" ca="1" si="37"/>
        <v>#N/A</v>
      </c>
      <c r="AH79" s="34" t="e">
        <f t="shared" ca="1" si="38"/>
        <v>#N/A</v>
      </c>
      <c r="AI79" s="33" t="e">
        <f t="shared" ca="1" si="45"/>
        <v>#N/A</v>
      </c>
      <c r="AJ79" s="34" t="e">
        <f t="shared" ca="1" si="46"/>
        <v>#N/A</v>
      </c>
      <c r="AK79" s="34" t="e">
        <f t="shared" ca="1" si="39"/>
        <v>#N/A</v>
      </c>
      <c r="AL79" s="34" t="e">
        <f t="shared" ca="1" si="40"/>
        <v>#N/A</v>
      </c>
      <c r="AM79" s="33" t="e">
        <f t="shared" ca="1" si="47"/>
        <v>#N/A</v>
      </c>
      <c r="AN79" s="34" t="e">
        <f t="shared" ca="1" si="48"/>
        <v>#N/A</v>
      </c>
    </row>
    <row r="80" spans="1:40" x14ac:dyDescent="0.3">
      <c r="A80" s="2">
        <v>43579</v>
      </c>
      <c r="B80" s="9">
        <v>63</v>
      </c>
      <c r="C80" s="9">
        <v>132.029999</v>
      </c>
      <c r="D80" s="9">
        <v>87.730002999999996</v>
      </c>
      <c r="E80" s="10"/>
      <c r="F80" s="13">
        <v>77</v>
      </c>
      <c r="G80" s="2">
        <v>43579</v>
      </c>
      <c r="H80" s="14">
        <f t="shared" si="29"/>
        <v>-8.7923673683386688E-2</v>
      </c>
      <c r="I80" s="14">
        <f t="shared" si="30"/>
        <v>-3.0297614083387922E-4</v>
      </c>
      <c r="J80" s="14">
        <f t="shared" si="31"/>
        <v>-2.865199053656451E-2</v>
      </c>
      <c r="K80" s="22">
        <v>77</v>
      </c>
      <c r="L80" s="12"/>
      <c r="Q80" s="15">
        <f t="shared" si="32"/>
        <v>77</v>
      </c>
      <c r="R80" s="2">
        <f t="shared" si="28"/>
        <v>43579</v>
      </c>
      <c r="S80" s="9">
        <f t="shared" ca="1" si="33"/>
        <v>-8.7923673683386688E-2</v>
      </c>
      <c r="T80" s="9">
        <f t="shared" ca="1" si="34"/>
        <v>-3.0297614083387922E-4</v>
      </c>
      <c r="U80" s="9">
        <f t="shared" ca="1" si="35"/>
        <v>-2.865199053656451E-2</v>
      </c>
      <c r="AB80" s="33" t="e">
        <f t="shared" ca="1" si="41"/>
        <v>#N/A</v>
      </c>
      <c r="AC80" s="34" t="e">
        <f t="shared" ca="1" si="42"/>
        <v>#N/A</v>
      </c>
      <c r="AD80" s="34" t="e">
        <f t="shared" ca="1" si="43"/>
        <v>#N/A</v>
      </c>
      <c r="AE80" s="33" t="e">
        <f t="shared" ca="1" si="44"/>
        <v>#N/A</v>
      </c>
      <c r="AF80" s="34" t="e">
        <f t="shared" ca="1" si="36"/>
        <v>#N/A</v>
      </c>
      <c r="AG80" s="34" t="e">
        <f t="shared" ca="1" si="37"/>
        <v>#N/A</v>
      </c>
      <c r="AH80" s="34" t="e">
        <f t="shared" ca="1" si="38"/>
        <v>#N/A</v>
      </c>
      <c r="AI80" s="33" t="e">
        <f t="shared" ca="1" si="45"/>
        <v>#N/A</v>
      </c>
      <c r="AJ80" s="34" t="e">
        <f t="shared" ca="1" si="46"/>
        <v>#N/A</v>
      </c>
      <c r="AK80" s="34" t="e">
        <f t="shared" ca="1" si="39"/>
        <v>#N/A</v>
      </c>
      <c r="AL80" s="34" t="e">
        <f t="shared" ca="1" si="40"/>
        <v>#N/A</v>
      </c>
      <c r="AM80" s="33" t="e">
        <f t="shared" ca="1" si="47"/>
        <v>#N/A</v>
      </c>
      <c r="AN80" s="34" t="e">
        <f t="shared" ca="1" si="48"/>
        <v>#N/A</v>
      </c>
    </row>
    <row r="81" spans="1:40" x14ac:dyDescent="0.3">
      <c r="A81" s="2">
        <v>43580</v>
      </c>
      <c r="B81" s="9">
        <v>62.099997999999999</v>
      </c>
      <c r="C81" s="9">
        <v>129.729996</v>
      </c>
      <c r="D81" s="9">
        <v>90.830001999999993</v>
      </c>
      <c r="E81" s="10"/>
      <c r="F81" s="13">
        <v>78</v>
      </c>
      <c r="G81" s="2">
        <v>43580</v>
      </c>
      <c r="H81" s="14">
        <f t="shared" si="29"/>
        <v>-1.4388769658219294E-2</v>
      </c>
      <c r="I81" s="14">
        <f t="shared" si="30"/>
        <v>-1.7573825167422071E-2</v>
      </c>
      <c r="J81" s="14">
        <f t="shared" si="31"/>
        <v>3.4725699197158538E-2</v>
      </c>
      <c r="K81" s="22">
        <v>78</v>
      </c>
      <c r="L81" s="12"/>
      <c r="Q81" s="15">
        <f t="shared" si="32"/>
        <v>78</v>
      </c>
      <c r="R81" s="2">
        <f t="shared" si="28"/>
        <v>43580</v>
      </c>
      <c r="S81" s="9">
        <f t="shared" ca="1" si="33"/>
        <v>-1.4388769658219294E-2</v>
      </c>
      <c r="T81" s="9">
        <f t="shared" ca="1" si="34"/>
        <v>-1.7573825167422071E-2</v>
      </c>
      <c r="U81" s="9">
        <f t="shared" ca="1" si="35"/>
        <v>3.4725699197158538E-2</v>
      </c>
      <c r="AB81" s="33" t="e">
        <f t="shared" ca="1" si="41"/>
        <v>#N/A</v>
      </c>
      <c r="AC81" s="34" t="e">
        <f t="shared" ca="1" si="42"/>
        <v>#N/A</v>
      </c>
      <c r="AD81" s="34" t="e">
        <f t="shared" ca="1" si="43"/>
        <v>#N/A</v>
      </c>
      <c r="AE81" s="33" t="e">
        <f t="shared" ca="1" si="44"/>
        <v>#N/A</v>
      </c>
      <c r="AF81" s="34" t="e">
        <f t="shared" ca="1" si="36"/>
        <v>#N/A</v>
      </c>
      <c r="AG81" s="34" t="e">
        <f t="shared" ca="1" si="37"/>
        <v>#N/A</v>
      </c>
      <c r="AH81" s="34" t="e">
        <f t="shared" ca="1" si="38"/>
        <v>#N/A</v>
      </c>
      <c r="AI81" s="33" t="e">
        <f t="shared" ca="1" si="45"/>
        <v>#N/A</v>
      </c>
      <c r="AJ81" s="34" t="e">
        <f t="shared" ca="1" si="46"/>
        <v>#N/A</v>
      </c>
      <c r="AK81" s="34" t="e">
        <f t="shared" ca="1" si="39"/>
        <v>#N/A</v>
      </c>
      <c r="AL81" s="34" t="e">
        <f t="shared" ca="1" si="40"/>
        <v>#N/A</v>
      </c>
      <c r="AM81" s="33" t="e">
        <f t="shared" ca="1" si="47"/>
        <v>#N/A</v>
      </c>
      <c r="AN81" s="34" t="e">
        <f t="shared" ca="1" si="48"/>
        <v>#N/A</v>
      </c>
    </row>
    <row r="82" spans="1:40" x14ac:dyDescent="0.3">
      <c r="A82" s="2">
        <v>43581</v>
      </c>
      <c r="B82" s="9">
        <v>62.450001</v>
      </c>
      <c r="C82" s="9">
        <v>131.19000199999999</v>
      </c>
      <c r="D82" s="9">
        <v>90.080001999999993</v>
      </c>
      <c r="E82" s="10"/>
      <c r="F82" s="13">
        <v>79</v>
      </c>
      <c r="G82" s="2">
        <v>43581</v>
      </c>
      <c r="H82" s="14">
        <f t="shared" si="29"/>
        <v>5.6202958510834988E-3</v>
      </c>
      <c r="I82" s="14">
        <f t="shared" si="30"/>
        <v>1.1191332588351754E-2</v>
      </c>
      <c r="J82" s="14">
        <f t="shared" si="31"/>
        <v>-8.2914629394119296E-3</v>
      </c>
      <c r="K82" s="22">
        <v>79</v>
      </c>
      <c r="L82" s="12"/>
      <c r="Q82" s="15">
        <f t="shared" si="32"/>
        <v>79</v>
      </c>
      <c r="R82" s="2">
        <f t="shared" si="28"/>
        <v>43581</v>
      </c>
      <c r="S82" s="9">
        <f t="shared" ca="1" si="33"/>
        <v>5.6202958510834988E-3</v>
      </c>
      <c r="T82" s="9">
        <f t="shared" ca="1" si="34"/>
        <v>1.1191332588351754E-2</v>
      </c>
      <c r="U82" s="9">
        <f t="shared" ca="1" si="35"/>
        <v>-8.2914629394119296E-3</v>
      </c>
      <c r="AB82" s="33" t="e">
        <f t="shared" ca="1" si="41"/>
        <v>#N/A</v>
      </c>
      <c r="AC82" s="34" t="e">
        <f t="shared" ca="1" si="42"/>
        <v>#N/A</v>
      </c>
      <c r="AD82" s="34" t="e">
        <f t="shared" ca="1" si="43"/>
        <v>#N/A</v>
      </c>
      <c r="AE82" s="33" t="e">
        <f t="shared" ca="1" si="44"/>
        <v>#N/A</v>
      </c>
      <c r="AF82" s="34" t="e">
        <f t="shared" ca="1" si="36"/>
        <v>#N/A</v>
      </c>
      <c r="AG82" s="34" t="e">
        <f t="shared" ca="1" si="37"/>
        <v>#N/A</v>
      </c>
      <c r="AH82" s="34" t="e">
        <f t="shared" ca="1" si="38"/>
        <v>#N/A</v>
      </c>
      <c r="AI82" s="33" t="e">
        <f t="shared" ca="1" si="45"/>
        <v>#N/A</v>
      </c>
      <c r="AJ82" s="34" t="e">
        <f t="shared" ca="1" si="46"/>
        <v>#N/A</v>
      </c>
      <c r="AK82" s="34" t="e">
        <f t="shared" ca="1" si="39"/>
        <v>#N/A</v>
      </c>
      <c r="AL82" s="34" t="e">
        <f t="shared" ca="1" si="40"/>
        <v>#N/A</v>
      </c>
      <c r="AM82" s="33" t="e">
        <f t="shared" ca="1" si="47"/>
        <v>#N/A</v>
      </c>
      <c r="AN82" s="34" t="e">
        <f t="shared" ca="1" si="48"/>
        <v>#N/A</v>
      </c>
    </row>
    <row r="83" spans="1:40" x14ac:dyDescent="0.3">
      <c r="A83" s="2">
        <v>43584</v>
      </c>
      <c r="B83" s="9">
        <v>62.290000999999997</v>
      </c>
      <c r="C83" s="9">
        <v>132.08999600000001</v>
      </c>
      <c r="D83" s="9">
        <v>89.599997999999999</v>
      </c>
      <c r="E83" s="10"/>
      <c r="F83" s="13">
        <v>80</v>
      </c>
      <c r="G83" s="2">
        <v>43584</v>
      </c>
      <c r="H83" s="14">
        <f t="shared" si="29"/>
        <v>-2.5653372644015987E-3</v>
      </c>
      <c r="I83" s="14">
        <f t="shared" si="30"/>
        <v>6.8368088153855011E-3</v>
      </c>
      <c r="J83" s="14">
        <f t="shared" si="31"/>
        <v>-5.3428889344106717E-3</v>
      </c>
      <c r="K83" s="22">
        <v>80</v>
      </c>
      <c r="L83" s="12"/>
      <c r="Q83" s="15">
        <f t="shared" si="32"/>
        <v>80</v>
      </c>
      <c r="R83" s="2">
        <f t="shared" si="28"/>
        <v>43584</v>
      </c>
      <c r="S83" s="9">
        <f t="shared" ca="1" si="33"/>
        <v>-2.5653372644015987E-3</v>
      </c>
      <c r="T83" s="9">
        <f t="shared" ca="1" si="34"/>
        <v>6.8368088153855011E-3</v>
      </c>
      <c r="U83" s="9">
        <f t="shared" ca="1" si="35"/>
        <v>-5.3428889344106717E-3</v>
      </c>
      <c r="AB83" s="33" t="e">
        <f t="shared" ca="1" si="41"/>
        <v>#N/A</v>
      </c>
      <c r="AC83" s="34" t="e">
        <f t="shared" ca="1" si="42"/>
        <v>#N/A</v>
      </c>
      <c r="AD83" s="34" t="e">
        <f t="shared" ca="1" si="43"/>
        <v>#N/A</v>
      </c>
      <c r="AE83" s="33" t="e">
        <f t="shared" ca="1" si="44"/>
        <v>#N/A</v>
      </c>
      <c r="AF83" s="34" t="e">
        <f t="shared" ca="1" si="36"/>
        <v>#N/A</v>
      </c>
      <c r="AG83" s="34" t="e">
        <f t="shared" ca="1" si="37"/>
        <v>#N/A</v>
      </c>
      <c r="AH83" s="34" t="e">
        <f t="shared" ca="1" si="38"/>
        <v>#N/A</v>
      </c>
      <c r="AI83" s="33" t="e">
        <f t="shared" ca="1" si="45"/>
        <v>#N/A</v>
      </c>
      <c r="AJ83" s="34" t="e">
        <f t="shared" ca="1" si="46"/>
        <v>#N/A</v>
      </c>
      <c r="AK83" s="34" t="e">
        <f t="shared" ca="1" si="39"/>
        <v>#N/A</v>
      </c>
      <c r="AL83" s="34" t="e">
        <f t="shared" ca="1" si="40"/>
        <v>#N/A</v>
      </c>
      <c r="AM83" s="33" t="e">
        <f t="shared" ca="1" si="47"/>
        <v>#N/A</v>
      </c>
      <c r="AN83" s="34" t="e">
        <f t="shared" ca="1" si="48"/>
        <v>#N/A</v>
      </c>
    </row>
    <row r="84" spans="1:40" x14ac:dyDescent="0.3">
      <c r="A84" s="2">
        <v>43585</v>
      </c>
      <c r="B84" s="9">
        <v>62.09</v>
      </c>
      <c r="C84" s="9">
        <v>131.58000200000001</v>
      </c>
      <c r="D84" s="9">
        <v>90.660004000000001</v>
      </c>
      <c r="E84" s="10"/>
      <c r="F84" s="13">
        <v>81</v>
      </c>
      <c r="G84" s="2">
        <v>43585</v>
      </c>
      <c r="H84" s="14">
        <f t="shared" si="29"/>
        <v>-3.2159699431936789E-3</v>
      </c>
      <c r="I84" s="14">
        <f t="shared" si="30"/>
        <v>-3.8684312956583987E-3</v>
      </c>
      <c r="J84" s="14">
        <f t="shared" si="31"/>
        <v>1.1760991974137517E-2</v>
      </c>
      <c r="K84" s="22">
        <v>81</v>
      </c>
      <c r="L84" s="12"/>
      <c r="Q84" s="15">
        <f t="shared" si="32"/>
        <v>81</v>
      </c>
      <c r="R84" s="2">
        <f t="shared" si="28"/>
        <v>43585</v>
      </c>
      <c r="S84" s="9">
        <f t="shared" ca="1" si="33"/>
        <v>-3.2159699431936789E-3</v>
      </c>
      <c r="T84" s="9">
        <f t="shared" ca="1" si="34"/>
        <v>-3.8684312956583987E-3</v>
      </c>
      <c r="U84" s="9">
        <f t="shared" ca="1" si="35"/>
        <v>1.1760991974137517E-2</v>
      </c>
      <c r="AB84" s="33" t="e">
        <f t="shared" ca="1" si="41"/>
        <v>#N/A</v>
      </c>
      <c r="AC84" s="34" t="e">
        <f t="shared" ca="1" si="42"/>
        <v>#N/A</v>
      </c>
      <c r="AD84" s="34" t="e">
        <f t="shared" ca="1" si="43"/>
        <v>#N/A</v>
      </c>
      <c r="AE84" s="33" t="e">
        <f t="shared" ca="1" si="44"/>
        <v>#N/A</v>
      </c>
      <c r="AF84" s="34" t="e">
        <f t="shared" ca="1" si="36"/>
        <v>#N/A</v>
      </c>
      <c r="AG84" s="34" t="e">
        <f t="shared" ca="1" si="37"/>
        <v>#N/A</v>
      </c>
      <c r="AH84" s="34" t="e">
        <f t="shared" ca="1" si="38"/>
        <v>#N/A</v>
      </c>
      <c r="AI84" s="33" t="e">
        <f t="shared" ca="1" si="45"/>
        <v>#N/A</v>
      </c>
      <c r="AJ84" s="34" t="e">
        <f t="shared" ca="1" si="46"/>
        <v>#N/A</v>
      </c>
      <c r="AK84" s="34" t="e">
        <f t="shared" ca="1" si="39"/>
        <v>#N/A</v>
      </c>
      <c r="AL84" s="34" t="e">
        <f t="shared" ca="1" si="40"/>
        <v>#N/A</v>
      </c>
      <c r="AM84" s="33" t="e">
        <f t="shared" ca="1" si="47"/>
        <v>#N/A</v>
      </c>
      <c r="AN84" s="34" t="e">
        <f t="shared" ca="1" si="48"/>
        <v>#N/A</v>
      </c>
    </row>
    <row r="85" spans="1:40" x14ac:dyDescent="0.3">
      <c r="A85" s="2">
        <v>43586</v>
      </c>
      <c r="B85" s="9">
        <v>60.889999000000003</v>
      </c>
      <c r="C85" s="9">
        <v>129.71000699999999</v>
      </c>
      <c r="D85" s="9">
        <v>89.769997000000004</v>
      </c>
      <c r="E85" s="10"/>
      <c r="F85" s="13">
        <v>82</v>
      </c>
      <c r="G85" s="2">
        <v>43586</v>
      </c>
      <c r="H85" s="14">
        <f t="shared" si="29"/>
        <v>-1.9516004179376795E-2</v>
      </c>
      <c r="I85" s="14">
        <f t="shared" si="30"/>
        <v>-1.4313803538609202E-2</v>
      </c>
      <c r="J85" s="14">
        <f t="shared" si="31"/>
        <v>-9.8654792837336771E-3</v>
      </c>
      <c r="K85" s="22">
        <v>82</v>
      </c>
      <c r="L85" s="12"/>
      <c r="Q85" s="15">
        <f t="shared" si="32"/>
        <v>82</v>
      </c>
      <c r="R85" s="2">
        <f t="shared" si="28"/>
        <v>43586</v>
      </c>
      <c r="S85" s="9">
        <f t="shared" ca="1" si="33"/>
        <v>-1.9516004179376795E-2</v>
      </c>
      <c r="T85" s="9">
        <f t="shared" ca="1" si="34"/>
        <v>-1.4313803538609202E-2</v>
      </c>
      <c r="U85" s="9">
        <f t="shared" ca="1" si="35"/>
        <v>-9.8654792837336771E-3</v>
      </c>
      <c r="AB85" s="33" t="e">
        <f t="shared" ca="1" si="41"/>
        <v>#N/A</v>
      </c>
      <c r="AC85" s="34" t="e">
        <f t="shared" ca="1" si="42"/>
        <v>#N/A</v>
      </c>
      <c r="AD85" s="34" t="e">
        <f t="shared" ca="1" si="43"/>
        <v>#N/A</v>
      </c>
      <c r="AE85" s="33" t="e">
        <f t="shared" ca="1" si="44"/>
        <v>#N/A</v>
      </c>
      <c r="AF85" s="34" t="e">
        <f t="shared" ca="1" si="36"/>
        <v>#N/A</v>
      </c>
      <c r="AG85" s="34" t="e">
        <f t="shared" ca="1" si="37"/>
        <v>#N/A</v>
      </c>
      <c r="AH85" s="34" t="e">
        <f t="shared" ca="1" si="38"/>
        <v>#N/A</v>
      </c>
      <c r="AI85" s="33" t="e">
        <f t="shared" ca="1" si="45"/>
        <v>#N/A</v>
      </c>
      <c r="AJ85" s="34" t="e">
        <f t="shared" ca="1" si="46"/>
        <v>#N/A</v>
      </c>
      <c r="AK85" s="34" t="e">
        <f t="shared" ca="1" si="39"/>
        <v>#N/A</v>
      </c>
      <c r="AL85" s="34" t="e">
        <f t="shared" ca="1" si="40"/>
        <v>#N/A</v>
      </c>
      <c r="AM85" s="33" t="e">
        <f t="shared" ca="1" si="47"/>
        <v>#N/A</v>
      </c>
      <c r="AN85" s="34" t="e">
        <f t="shared" ca="1" si="48"/>
        <v>#N/A</v>
      </c>
    </row>
    <row r="86" spans="1:40" x14ac:dyDescent="0.3">
      <c r="A86" s="2">
        <v>43587</v>
      </c>
      <c r="B86" s="9">
        <v>61.32</v>
      </c>
      <c r="C86" s="9">
        <v>131.88999899999999</v>
      </c>
      <c r="D86" s="9">
        <v>88.25</v>
      </c>
      <c r="E86" s="10"/>
      <c r="F86" s="13">
        <v>83</v>
      </c>
      <c r="G86" s="2">
        <v>43587</v>
      </c>
      <c r="H86" s="14">
        <f t="shared" si="29"/>
        <v>7.0371128061887432E-3</v>
      </c>
      <c r="I86" s="14">
        <f t="shared" si="30"/>
        <v>1.6666990936596369E-2</v>
      </c>
      <c r="J86" s="14">
        <f t="shared" si="31"/>
        <v>-1.7077114536453705E-2</v>
      </c>
      <c r="K86" s="22">
        <v>83</v>
      </c>
      <c r="L86" s="12"/>
      <c r="Q86" s="15">
        <f t="shared" si="32"/>
        <v>83</v>
      </c>
      <c r="R86" s="2">
        <f t="shared" si="28"/>
        <v>43587</v>
      </c>
      <c r="S86" s="9">
        <f t="shared" ca="1" si="33"/>
        <v>7.0371128061887432E-3</v>
      </c>
      <c r="T86" s="9">
        <f t="shared" ca="1" si="34"/>
        <v>1.6666990936596369E-2</v>
      </c>
      <c r="U86" s="9">
        <f t="shared" ca="1" si="35"/>
        <v>-1.7077114536453705E-2</v>
      </c>
      <c r="AB86" s="33" t="e">
        <f t="shared" ca="1" si="41"/>
        <v>#N/A</v>
      </c>
      <c r="AC86" s="34" t="e">
        <f t="shared" ca="1" si="42"/>
        <v>#N/A</v>
      </c>
      <c r="AD86" s="34" t="e">
        <f t="shared" ca="1" si="43"/>
        <v>#N/A</v>
      </c>
      <c r="AE86" s="33" t="e">
        <f t="shared" ca="1" si="44"/>
        <v>#N/A</v>
      </c>
      <c r="AF86" s="34" t="e">
        <f t="shared" ca="1" si="36"/>
        <v>#N/A</v>
      </c>
      <c r="AG86" s="34" t="e">
        <f t="shared" ca="1" si="37"/>
        <v>#N/A</v>
      </c>
      <c r="AH86" s="34" t="e">
        <f t="shared" ca="1" si="38"/>
        <v>#N/A</v>
      </c>
      <c r="AI86" s="33" t="e">
        <f t="shared" ca="1" si="45"/>
        <v>#N/A</v>
      </c>
      <c r="AJ86" s="34" t="e">
        <f t="shared" ca="1" si="46"/>
        <v>#N/A</v>
      </c>
      <c r="AK86" s="34" t="e">
        <f t="shared" ca="1" si="39"/>
        <v>#N/A</v>
      </c>
      <c r="AL86" s="34" t="e">
        <f t="shared" ca="1" si="40"/>
        <v>#N/A</v>
      </c>
      <c r="AM86" s="33" t="e">
        <f t="shared" ca="1" si="47"/>
        <v>#N/A</v>
      </c>
      <c r="AN86" s="34" t="e">
        <f t="shared" ca="1" si="48"/>
        <v>#N/A</v>
      </c>
    </row>
    <row r="87" spans="1:40" x14ac:dyDescent="0.3">
      <c r="A87" s="2">
        <v>43588</v>
      </c>
      <c r="B87" s="9">
        <v>61.57</v>
      </c>
      <c r="C87" s="9">
        <v>131.28999300000001</v>
      </c>
      <c r="D87" s="9">
        <v>88.440002000000007</v>
      </c>
      <c r="E87" s="10"/>
      <c r="F87" s="13">
        <v>84</v>
      </c>
      <c r="G87" s="2">
        <v>43588</v>
      </c>
      <c r="H87" s="14">
        <f t="shared" si="29"/>
        <v>4.0686849195053446E-3</v>
      </c>
      <c r="I87" s="14">
        <f t="shared" si="30"/>
        <v>-4.5596706267840032E-3</v>
      </c>
      <c r="J87" s="14">
        <f t="shared" si="31"/>
        <v>2.1506827900408428E-3</v>
      </c>
      <c r="K87" s="22">
        <v>84</v>
      </c>
      <c r="L87" s="12"/>
      <c r="Q87" s="15">
        <f t="shared" si="32"/>
        <v>84</v>
      </c>
      <c r="R87" s="2">
        <f t="shared" si="28"/>
        <v>43588</v>
      </c>
      <c r="S87" s="9">
        <f t="shared" ca="1" si="33"/>
        <v>4.0686849195053446E-3</v>
      </c>
      <c r="T87" s="9">
        <f t="shared" ca="1" si="34"/>
        <v>-4.5596706267840032E-3</v>
      </c>
      <c r="U87" s="9">
        <f t="shared" ca="1" si="35"/>
        <v>2.1506827900408428E-3</v>
      </c>
      <c r="AB87" s="33" t="e">
        <f t="shared" ca="1" si="41"/>
        <v>#N/A</v>
      </c>
      <c r="AC87" s="34" t="e">
        <f t="shared" ca="1" si="42"/>
        <v>#N/A</v>
      </c>
      <c r="AD87" s="34" t="e">
        <f t="shared" ca="1" si="43"/>
        <v>#N/A</v>
      </c>
      <c r="AE87" s="33" t="e">
        <f t="shared" ca="1" si="44"/>
        <v>#N/A</v>
      </c>
      <c r="AF87" s="34" t="e">
        <f t="shared" ca="1" si="36"/>
        <v>#N/A</v>
      </c>
      <c r="AG87" s="34" t="e">
        <f t="shared" ca="1" si="37"/>
        <v>#N/A</v>
      </c>
      <c r="AH87" s="34" t="e">
        <f t="shared" ca="1" si="38"/>
        <v>#N/A</v>
      </c>
      <c r="AI87" s="33" t="e">
        <f t="shared" ca="1" si="45"/>
        <v>#N/A</v>
      </c>
      <c r="AJ87" s="34" t="e">
        <f t="shared" ca="1" si="46"/>
        <v>#N/A</v>
      </c>
      <c r="AK87" s="34" t="e">
        <f t="shared" ca="1" si="39"/>
        <v>#N/A</v>
      </c>
      <c r="AL87" s="34" t="e">
        <f t="shared" ca="1" si="40"/>
        <v>#N/A</v>
      </c>
      <c r="AM87" s="33" t="e">
        <f t="shared" ca="1" si="47"/>
        <v>#N/A</v>
      </c>
      <c r="AN87" s="34" t="e">
        <f t="shared" ca="1" si="48"/>
        <v>#N/A</v>
      </c>
    </row>
    <row r="88" spans="1:40" x14ac:dyDescent="0.3">
      <c r="A88" s="2">
        <v>43591</v>
      </c>
      <c r="B88" s="9">
        <v>60.889999000000003</v>
      </c>
      <c r="C88" s="9">
        <v>128.220001</v>
      </c>
      <c r="D88" s="9">
        <v>86.389999000000003</v>
      </c>
      <c r="E88" s="10"/>
      <c r="F88" s="13">
        <v>85</v>
      </c>
      <c r="G88" s="2">
        <v>43591</v>
      </c>
      <c r="H88" s="14">
        <f t="shared" si="29"/>
        <v>-1.1105797725694096E-2</v>
      </c>
      <c r="I88" s="14">
        <f t="shared" si="30"/>
        <v>-2.3661017270726881E-2</v>
      </c>
      <c r="J88" s="14">
        <f t="shared" si="31"/>
        <v>-2.3452461808068165E-2</v>
      </c>
      <c r="K88" s="22">
        <v>85</v>
      </c>
      <c r="L88" s="12"/>
      <c r="Q88" s="15">
        <f t="shared" si="32"/>
        <v>85</v>
      </c>
      <c r="R88" s="2">
        <f t="shared" si="28"/>
        <v>43591</v>
      </c>
      <c r="S88" s="9">
        <f t="shared" ca="1" si="33"/>
        <v>-1.1105797725694096E-2</v>
      </c>
      <c r="T88" s="9">
        <f t="shared" ca="1" si="34"/>
        <v>-2.3661017270726881E-2</v>
      </c>
      <c r="U88" s="9">
        <f t="shared" ca="1" si="35"/>
        <v>-2.3452461808068165E-2</v>
      </c>
      <c r="AB88" s="33" t="e">
        <f t="shared" ca="1" si="41"/>
        <v>#N/A</v>
      </c>
      <c r="AC88" s="34" t="e">
        <f t="shared" ca="1" si="42"/>
        <v>#N/A</v>
      </c>
      <c r="AD88" s="34" t="e">
        <f t="shared" ca="1" si="43"/>
        <v>#N/A</v>
      </c>
      <c r="AE88" s="33" t="e">
        <f t="shared" ca="1" si="44"/>
        <v>#N/A</v>
      </c>
      <c r="AF88" s="34" t="e">
        <f t="shared" ca="1" si="36"/>
        <v>#N/A</v>
      </c>
      <c r="AG88" s="34" t="e">
        <f t="shared" ca="1" si="37"/>
        <v>#N/A</v>
      </c>
      <c r="AH88" s="34" t="e">
        <f t="shared" ca="1" si="38"/>
        <v>#N/A</v>
      </c>
      <c r="AI88" s="33" t="e">
        <f t="shared" ca="1" si="45"/>
        <v>#N/A</v>
      </c>
      <c r="AJ88" s="34" t="e">
        <f t="shared" ca="1" si="46"/>
        <v>#N/A</v>
      </c>
      <c r="AK88" s="34" t="e">
        <f t="shared" ca="1" si="39"/>
        <v>#N/A</v>
      </c>
      <c r="AL88" s="34" t="e">
        <f t="shared" ca="1" si="40"/>
        <v>#N/A</v>
      </c>
      <c r="AM88" s="33" t="e">
        <f t="shared" ca="1" si="47"/>
        <v>#N/A</v>
      </c>
      <c r="AN88" s="34" t="e">
        <f t="shared" ca="1" si="48"/>
        <v>#N/A</v>
      </c>
    </row>
    <row r="89" spans="1:40" x14ac:dyDescent="0.3">
      <c r="A89" s="2">
        <v>43592</v>
      </c>
      <c r="B89" s="9">
        <v>59.41</v>
      </c>
      <c r="C89" s="9">
        <v>123.910004</v>
      </c>
      <c r="D89" s="9">
        <v>84.360000999999997</v>
      </c>
      <c r="E89" s="10"/>
      <c r="F89" s="13">
        <v>86</v>
      </c>
      <c r="G89" s="2">
        <v>43592</v>
      </c>
      <c r="H89" s="14">
        <f t="shared" si="29"/>
        <v>-2.460637882977464E-2</v>
      </c>
      <c r="I89" s="14">
        <f t="shared" si="30"/>
        <v>-3.419201844831081E-2</v>
      </c>
      <c r="J89" s="14">
        <f t="shared" si="31"/>
        <v>-2.3778549330846003E-2</v>
      </c>
      <c r="K89" s="22">
        <v>86</v>
      </c>
      <c r="L89" s="12"/>
      <c r="Q89" s="15">
        <f t="shared" si="32"/>
        <v>86</v>
      </c>
      <c r="R89" s="2">
        <f t="shared" si="28"/>
        <v>43592</v>
      </c>
      <c r="S89" s="9">
        <f t="shared" ca="1" si="33"/>
        <v>-2.460637882977464E-2</v>
      </c>
      <c r="T89" s="9">
        <f t="shared" ca="1" si="34"/>
        <v>-3.419201844831081E-2</v>
      </c>
      <c r="U89" s="9">
        <f t="shared" ca="1" si="35"/>
        <v>-2.3778549330846003E-2</v>
      </c>
      <c r="AB89" s="33" t="e">
        <f t="shared" ca="1" si="41"/>
        <v>#N/A</v>
      </c>
      <c r="AC89" s="34" t="e">
        <f t="shared" ca="1" si="42"/>
        <v>#N/A</v>
      </c>
      <c r="AD89" s="34" t="e">
        <f t="shared" ca="1" si="43"/>
        <v>#N/A</v>
      </c>
      <c r="AE89" s="33" t="e">
        <f t="shared" ca="1" si="44"/>
        <v>#N/A</v>
      </c>
      <c r="AF89" s="34" t="e">
        <f t="shared" ca="1" si="36"/>
        <v>#N/A</v>
      </c>
      <c r="AG89" s="34" t="e">
        <f t="shared" ca="1" si="37"/>
        <v>#N/A</v>
      </c>
      <c r="AH89" s="34" t="e">
        <f t="shared" ca="1" si="38"/>
        <v>#N/A</v>
      </c>
      <c r="AI89" s="33" t="e">
        <f t="shared" ca="1" si="45"/>
        <v>#N/A</v>
      </c>
      <c r="AJ89" s="34" t="e">
        <f t="shared" ca="1" si="46"/>
        <v>#N/A</v>
      </c>
      <c r="AK89" s="34" t="e">
        <f t="shared" ca="1" si="39"/>
        <v>#N/A</v>
      </c>
      <c r="AL89" s="34" t="e">
        <f t="shared" ca="1" si="40"/>
        <v>#N/A</v>
      </c>
      <c r="AM89" s="33" t="e">
        <f t="shared" ca="1" si="47"/>
        <v>#N/A</v>
      </c>
      <c r="AN89" s="34" t="e">
        <f t="shared" ca="1" si="48"/>
        <v>#N/A</v>
      </c>
    </row>
    <row r="90" spans="1:40" x14ac:dyDescent="0.3">
      <c r="A90" s="2">
        <v>43593</v>
      </c>
      <c r="B90" s="9">
        <v>58.549999</v>
      </c>
      <c r="C90" s="9">
        <v>124.389999</v>
      </c>
      <c r="D90" s="9">
        <v>82.400002000000001</v>
      </c>
      <c r="E90" s="10"/>
      <c r="F90" s="13">
        <v>87</v>
      </c>
      <c r="G90" s="2">
        <v>43593</v>
      </c>
      <c r="H90" s="14">
        <f t="shared" si="29"/>
        <v>-1.4581489403343124E-2</v>
      </c>
      <c r="I90" s="14">
        <f t="shared" si="30"/>
        <v>3.8662552727460543E-3</v>
      </c>
      <c r="J90" s="14">
        <f t="shared" si="31"/>
        <v>-2.3507906277262531E-2</v>
      </c>
      <c r="K90" s="22">
        <v>87</v>
      </c>
      <c r="L90" s="12"/>
      <c r="Q90" s="15">
        <f t="shared" si="32"/>
        <v>87</v>
      </c>
      <c r="R90" s="2">
        <f t="shared" si="28"/>
        <v>43593</v>
      </c>
      <c r="S90" s="9">
        <f t="shared" ca="1" si="33"/>
        <v>-1.4581489403343124E-2</v>
      </c>
      <c r="T90" s="9">
        <f t="shared" ca="1" si="34"/>
        <v>3.8662552727460543E-3</v>
      </c>
      <c r="U90" s="9">
        <f t="shared" ca="1" si="35"/>
        <v>-2.3507906277262531E-2</v>
      </c>
      <c r="AB90" s="33" t="e">
        <f t="shared" ca="1" si="41"/>
        <v>#N/A</v>
      </c>
      <c r="AC90" s="34" t="e">
        <f t="shared" ca="1" si="42"/>
        <v>#N/A</v>
      </c>
      <c r="AD90" s="34" t="e">
        <f t="shared" ca="1" si="43"/>
        <v>#N/A</v>
      </c>
      <c r="AE90" s="33" t="e">
        <f t="shared" ca="1" si="44"/>
        <v>#N/A</v>
      </c>
      <c r="AF90" s="34" t="e">
        <f t="shared" ca="1" si="36"/>
        <v>#N/A</v>
      </c>
      <c r="AG90" s="34" t="e">
        <f t="shared" ca="1" si="37"/>
        <v>#N/A</v>
      </c>
      <c r="AH90" s="34" t="e">
        <f t="shared" ca="1" si="38"/>
        <v>#N/A</v>
      </c>
      <c r="AI90" s="33" t="e">
        <f t="shared" ca="1" si="45"/>
        <v>#N/A</v>
      </c>
      <c r="AJ90" s="34" t="e">
        <f t="shared" ca="1" si="46"/>
        <v>#N/A</v>
      </c>
      <c r="AK90" s="34" t="e">
        <f t="shared" ca="1" si="39"/>
        <v>#N/A</v>
      </c>
      <c r="AL90" s="34" t="e">
        <f t="shared" ca="1" si="40"/>
        <v>#N/A</v>
      </c>
      <c r="AM90" s="33" t="e">
        <f t="shared" ca="1" si="47"/>
        <v>#N/A</v>
      </c>
      <c r="AN90" s="34" t="e">
        <f t="shared" ca="1" si="48"/>
        <v>#N/A</v>
      </c>
    </row>
    <row r="91" spans="1:40" x14ac:dyDescent="0.3">
      <c r="A91" s="2">
        <v>43594</v>
      </c>
      <c r="B91" s="9">
        <v>57.450001</v>
      </c>
      <c r="C91" s="9">
        <v>125.68</v>
      </c>
      <c r="D91" s="9">
        <v>81.739998</v>
      </c>
      <c r="E91" s="10"/>
      <c r="F91" s="13">
        <v>88</v>
      </c>
      <c r="G91" s="2">
        <v>43594</v>
      </c>
      <c r="H91" s="14">
        <f t="shared" si="29"/>
        <v>-1.896605126310201E-2</v>
      </c>
      <c r="I91" s="14">
        <f t="shared" si="30"/>
        <v>1.0317210764723972E-2</v>
      </c>
      <c r="J91" s="14">
        <f t="shared" si="31"/>
        <v>-8.0420075189642226E-3</v>
      </c>
      <c r="K91" s="22">
        <v>88</v>
      </c>
      <c r="L91" s="12"/>
      <c r="Q91" s="15">
        <f t="shared" si="32"/>
        <v>88</v>
      </c>
      <c r="R91" s="2">
        <f t="shared" si="28"/>
        <v>43594</v>
      </c>
      <c r="S91" s="9">
        <f t="shared" ca="1" si="33"/>
        <v>-1.896605126310201E-2</v>
      </c>
      <c r="T91" s="9">
        <f t="shared" ca="1" si="34"/>
        <v>1.0317210764723972E-2</v>
      </c>
      <c r="U91" s="9">
        <f t="shared" ca="1" si="35"/>
        <v>-8.0420075189642226E-3</v>
      </c>
      <c r="AB91" s="33" t="e">
        <f t="shared" ca="1" si="41"/>
        <v>#N/A</v>
      </c>
      <c r="AC91" s="34" t="e">
        <f t="shared" ca="1" si="42"/>
        <v>#N/A</v>
      </c>
      <c r="AD91" s="34" t="e">
        <f t="shared" ca="1" si="43"/>
        <v>#N/A</v>
      </c>
      <c r="AE91" s="33" t="e">
        <f t="shared" ca="1" si="44"/>
        <v>#N/A</v>
      </c>
      <c r="AF91" s="34" t="e">
        <f t="shared" ca="1" si="36"/>
        <v>#N/A</v>
      </c>
      <c r="AG91" s="34" t="e">
        <f t="shared" ca="1" si="37"/>
        <v>#N/A</v>
      </c>
      <c r="AH91" s="34" t="e">
        <f t="shared" ca="1" si="38"/>
        <v>#N/A</v>
      </c>
      <c r="AI91" s="33" t="e">
        <f t="shared" ca="1" si="45"/>
        <v>#N/A</v>
      </c>
      <c r="AJ91" s="34" t="e">
        <f t="shared" ca="1" si="46"/>
        <v>#N/A</v>
      </c>
      <c r="AK91" s="34" t="e">
        <f t="shared" ca="1" si="39"/>
        <v>#N/A</v>
      </c>
      <c r="AL91" s="34" t="e">
        <f t="shared" ca="1" si="40"/>
        <v>#N/A</v>
      </c>
      <c r="AM91" s="33" t="e">
        <f t="shared" ca="1" si="47"/>
        <v>#N/A</v>
      </c>
      <c r="AN91" s="34" t="e">
        <f t="shared" ca="1" si="48"/>
        <v>#N/A</v>
      </c>
    </row>
    <row r="92" spans="1:40" x14ac:dyDescent="0.3">
      <c r="A92" s="2">
        <v>43595</v>
      </c>
      <c r="B92" s="9">
        <v>57.700001</v>
      </c>
      <c r="C92" s="9">
        <v>124.269997</v>
      </c>
      <c r="D92" s="9">
        <v>83.730002999999996</v>
      </c>
      <c r="E92" s="10"/>
      <c r="F92" s="13">
        <v>89</v>
      </c>
      <c r="G92" s="2">
        <v>43595</v>
      </c>
      <c r="H92" s="14">
        <f t="shared" si="29"/>
        <v>4.3421691438713609E-3</v>
      </c>
      <c r="I92" s="14">
        <f t="shared" si="30"/>
        <v>-1.1282400270446215E-2</v>
      </c>
      <c r="J92" s="14">
        <f t="shared" si="31"/>
        <v>2.405391837748545E-2</v>
      </c>
      <c r="K92" s="22">
        <v>89</v>
      </c>
      <c r="L92" s="12"/>
      <c r="Q92" s="15">
        <f t="shared" si="32"/>
        <v>89</v>
      </c>
      <c r="R92" s="2">
        <f t="shared" si="28"/>
        <v>43595</v>
      </c>
      <c r="S92" s="9">
        <f t="shared" ca="1" si="33"/>
        <v>4.3421691438713609E-3</v>
      </c>
      <c r="T92" s="9">
        <f t="shared" ca="1" si="34"/>
        <v>-1.1282400270446215E-2</v>
      </c>
      <c r="U92" s="9">
        <f t="shared" ca="1" si="35"/>
        <v>2.405391837748545E-2</v>
      </c>
      <c r="AB92" s="33" t="e">
        <f t="shared" ca="1" si="41"/>
        <v>#N/A</v>
      </c>
      <c r="AC92" s="34" t="e">
        <f t="shared" ca="1" si="42"/>
        <v>#N/A</v>
      </c>
      <c r="AD92" s="34" t="e">
        <f t="shared" ca="1" si="43"/>
        <v>#N/A</v>
      </c>
      <c r="AE92" s="33" t="e">
        <f t="shared" ca="1" si="44"/>
        <v>#N/A</v>
      </c>
      <c r="AF92" s="34" t="e">
        <f t="shared" ca="1" si="36"/>
        <v>#N/A</v>
      </c>
      <c r="AG92" s="34" t="e">
        <f t="shared" ca="1" si="37"/>
        <v>#N/A</v>
      </c>
      <c r="AH92" s="34" t="e">
        <f t="shared" ca="1" si="38"/>
        <v>#N/A</v>
      </c>
      <c r="AI92" s="33" t="e">
        <f t="shared" ca="1" si="45"/>
        <v>#N/A</v>
      </c>
      <c r="AJ92" s="34" t="e">
        <f t="shared" ca="1" si="46"/>
        <v>#N/A</v>
      </c>
      <c r="AK92" s="34" t="e">
        <f t="shared" ca="1" si="39"/>
        <v>#N/A</v>
      </c>
      <c r="AL92" s="34" t="e">
        <f t="shared" ca="1" si="40"/>
        <v>#N/A</v>
      </c>
      <c r="AM92" s="33" t="e">
        <f t="shared" ca="1" si="47"/>
        <v>#N/A</v>
      </c>
      <c r="AN92" s="34" t="e">
        <f t="shared" ca="1" si="48"/>
        <v>#N/A</v>
      </c>
    </row>
    <row r="93" spans="1:40" x14ac:dyDescent="0.3">
      <c r="A93" s="2">
        <v>43598</v>
      </c>
      <c r="B93" s="9">
        <v>55.650002000000001</v>
      </c>
      <c r="C93" s="9">
        <v>118.279999</v>
      </c>
      <c r="D93" s="9">
        <v>81.410004000000001</v>
      </c>
      <c r="E93" s="10"/>
      <c r="F93" s="13">
        <v>90</v>
      </c>
      <c r="G93" s="2">
        <v>43598</v>
      </c>
      <c r="H93" s="14">
        <f t="shared" si="29"/>
        <v>-3.6175077184619174E-2</v>
      </c>
      <c r="I93" s="14">
        <f t="shared" si="30"/>
        <v>-4.9401907147157913E-2</v>
      </c>
      <c r="J93" s="14">
        <f t="shared" si="31"/>
        <v>-2.8099207325893404E-2</v>
      </c>
      <c r="K93" s="22">
        <v>90</v>
      </c>
      <c r="L93" s="12"/>
      <c r="Q93" s="15">
        <f t="shared" si="32"/>
        <v>90</v>
      </c>
      <c r="R93" s="2">
        <f t="shared" si="28"/>
        <v>43598</v>
      </c>
      <c r="S93" s="9">
        <f t="shared" ca="1" si="33"/>
        <v>-3.6175077184619174E-2</v>
      </c>
      <c r="T93" s="9">
        <f t="shared" ca="1" si="34"/>
        <v>-4.9401907147157913E-2</v>
      </c>
      <c r="U93" s="9">
        <f t="shared" ca="1" si="35"/>
        <v>-2.8099207325893404E-2</v>
      </c>
      <c r="AB93" s="33" t="e">
        <f t="shared" ca="1" si="41"/>
        <v>#N/A</v>
      </c>
      <c r="AC93" s="34" t="e">
        <f t="shared" ca="1" si="42"/>
        <v>#N/A</v>
      </c>
      <c r="AD93" s="34" t="e">
        <f t="shared" ca="1" si="43"/>
        <v>#N/A</v>
      </c>
      <c r="AE93" s="33" t="e">
        <f t="shared" ca="1" si="44"/>
        <v>#N/A</v>
      </c>
      <c r="AF93" s="34" t="e">
        <f t="shared" ca="1" si="36"/>
        <v>#N/A</v>
      </c>
      <c r="AG93" s="34" t="e">
        <f t="shared" ca="1" si="37"/>
        <v>#N/A</v>
      </c>
      <c r="AH93" s="34" t="e">
        <f t="shared" ca="1" si="38"/>
        <v>#N/A</v>
      </c>
      <c r="AI93" s="33" t="e">
        <f t="shared" ca="1" si="45"/>
        <v>#N/A</v>
      </c>
      <c r="AJ93" s="34" t="e">
        <f t="shared" ca="1" si="46"/>
        <v>#N/A</v>
      </c>
      <c r="AK93" s="34" t="e">
        <f t="shared" ca="1" si="39"/>
        <v>#N/A</v>
      </c>
      <c r="AL93" s="34" t="e">
        <f t="shared" ca="1" si="40"/>
        <v>#N/A</v>
      </c>
      <c r="AM93" s="33" t="e">
        <f t="shared" ca="1" si="47"/>
        <v>#N/A</v>
      </c>
      <c r="AN93" s="34" t="e">
        <f t="shared" ca="1" si="48"/>
        <v>#N/A</v>
      </c>
    </row>
    <row r="94" spans="1:40" x14ac:dyDescent="0.3">
      <c r="A94" s="2">
        <v>43599</v>
      </c>
      <c r="B94" s="9">
        <v>56.080002</v>
      </c>
      <c r="C94" s="9">
        <v>113.949997</v>
      </c>
      <c r="D94" s="9">
        <v>82.959998999999996</v>
      </c>
      <c r="E94" s="10"/>
      <c r="F94" s="13">
        <v>91</v>
      </c>
      <c r="G94" s="2">
        <v>43599</v>
      </c>
      <c r="H94" s="14">
        <f t="shared" si="29"/>
        <v>7.6971647292150298E-3</v>
      </c>
      <c r="I94" s="14">
        <f t="shared" si="30"/>
        <v>-3.7294957165405415E-2</v>
      </c>
      <c r="J94" s="14">
        <f t="shared" si="31"/>
        <v>1.8860387147371638E-2</v>
      </c>
      <c r="K94" s="22">
        <v>91</v>
      </c>
      <c r="L94" s="12"/>
      <c r="Q94" s="15">
        <f t="shared" si="32"/>
        <v>91</v>
      </c>
      <c r="R94" s="2">
        <f t="shared" si="28"/>
        <v>43599</v>
      </c>
      <c r="S94" s="9">
        <f t="shared" ca="1" si="33"/>
        <v>7.6971647292150298E-3</v>
      </c>
      <c r="T94" s="9">
        <f t="shared" ca="1" si="34"/>
        <v>-3.7294957165405415E-2</v>
      </c>
      <c r="U94" s="9">
        <f t="shared" ca="1" si="35"/>
        <v>1.8860387147371638E-2</v>
      </c>
      <c r="AB94" s="33" t="e">
        <f t="shared" ca="1" si="41"/>
        <v>#N/A</v>
      </c>
      <c r="AC94" s="34" t="e">
        <f t="shared" ca="1" si="42"/>
        <v>#N/A</v>
      </c>
      <c r="AD94" s="34" t="e">
        <f t="shared" ca="1" si="43"/>
        <v>#N/A</v>
      </c>
      <c r="AE94" s="33" t="e">
        <f t="shared" ca="1" si="44"/>
        <v>#N/A</v>
      </c>
      <c r="AF94" s="34" t="e">
        <f t="shared" ca="1" si="36"/>
        <v>#N/A</v>
      </c>
      <c r="AG94" s="34" t="e">
        <f t="shared" ca="1" si="37"/>
        <v>#N/A</v>
      </c>
      <c r="AH94" s="34" t="e">
        <f t="shared" ca="1" si="38"/>
        <v>#N/A</v>
      </c>
      <c r="AI94" s="33" t="e">
        <f t="shared" ca="1" si="45"/>
        <v>#N/A</v>
      </c>
      <c r="AJ94" s="34" t="e">
        <f t="shared" ca="1" si="46"/>
        <v>#N/A</v>
      </c>
      <c r="AK94" s="34" t="e">
        <f t="shared" ca="1" si="39"/>
        <v>#N/A</v>
      </c>
      <c r="AL94" s="34" t="e">
        <f t="shared" ca="1" si="40"/>
        <v>#N/A</v>
      </c>
      <c r="AM94" s="33" t="e">
        <f t="shared" ca="1" si="47"/>
        <v>#N/A</v>
      </c>
      <c r="AN94" s="34" t="e">
        <f t="shared" ca="1" si="48"/>
        <v>#N/A</v>
      </c>
    </row>
    <row r="95" spans="1:40" x14ac:dyDescent="0.3">
      <c r="A95" s="2">
        <v>43600</v>
      </c>
      <c r="B95" s="9">
        <v>56.02</v>
      </c>
      <c r="C95" s="9">
        <v>115.68</v>
      </c>
      <c r="D95" s="9">
        <v>83.370002999999997</v>
      </c>
      <c r="E95" s="10"/>
      <c r="F95" s="13">
        <v>92</v>
      </c>
      <c r="G95" s="2">
        <v>43600</v>
      </c>
      <c r="H95" s="14">
        <f t="shared" si="29"/>
        <v>-1.0705085577095517E-3</v>
      </c>
      <c r="I95" s="14">
        <f t="shared" si="30"/>
        <v>1.5068029046098375E-2</v>
      </c>
      <c r="J95" s="14">
        <f t="shared" si="31"/>
        <v>4.9300165394185625E-3</v>
      </c>
      <c r="K95" s="22">
        <v>92</v>
      </c>
      <c r="L95" s="12"/>
      <c r="Q95" s="15">
        <f t="shared" si="32"/>
        <v>92</v>
      </c>
      <c r="R95" s="2">
        <f t="shared" si="28"/>
        <v>43600</v>
      </c>
      <c r="S95" s="9">
        <f t="shared" ca="1" si="33"/>
        <v>-1.0705085577095517E-3</v>
      </c>
      <c r="T95" s="9">
        <f t="shared" ca="1" si="34"/>
        <v>1.5068029046098375E-2</v>
      </c>
      <c r="U95" s="9">
        <f t="shared" ca="1" si="35"/>
        <v>4.9300165394185625E-3</v>
      </c>
      <c r="AB95" s="33" t="e">
        <f t="shared" ca="1" si="41"/>
        <v>#N/A</v>
      </c>
      <c r="AC95" s="34" t="e">
        <f t="shared" ca="1" si="42"/>
        <v>#N/A</v>
      </c>
      <c r="AD95" s="34" t="e">
        <f t="shared" ca="1" si="43"/>
        <v>#N/A</v>
      </c>
      <c r="AE95" s="33" t="e">
        <f t="shared" ca="1" si="44"/>
        <v>#N/A</v>
      </c>
      <c r="AF95" s="34" t="e">
        <f t="shared" ca="1" si="36"/>
        <v>#N/A</v>
      </c>
      <c r="AG95" s="34" t="e">
        <f t="shared" ca="1" si="37"/>
        <v>#N/A</v>
      </c>
      <c r="AH95" s="34" t="e">
        <f t="shared" ca="1" si="38"/>
        <v>#N/A</v>
      </c>
      <c r="AI95" s="33" t="e">
        <f t="shared" ca="1" si="45"/>
        <v>#N/A</v>
      </c>
      <c r="AJ95" s="34" t="e">
        <f t="shared" ca="1" si="46"/>
        <v>#N/A</v>
      </c>
      <c r="AK95" s="34" t="e">
        <f t="shared" ca="1" si="39"/>
        <v>#N/A</v>
      </c>
      <c r="AL95" s="34" t="e">
        <f t="shared" ca="1" si="40"/>
        <v>#N/A</v>
      </c>
      <c r="AM95" s="33" t="e">
        <f t="shared" ca="1" si="47"/>
        <v>#N/A</v>
      </c>
      <c r="AN95" s="34" t="e">
        <f t="shared" ca="1" si="48"/>
        <v>#N/A</v>
      </c>
    </row>
    <row r="96" spans="1:40" x14ac:dyDescent="0.3">
      <c r="A96" s="2">
        <v>43601</v>
      </c>
      <c r="B96" s="9">
        <v>56.18</v>
      </c>
      <c r="C96" s="9">
        <v>114.75</v>
      </c>
      <c r="D96" s="9">
        <v>85.470000999999996</v>
      </c>
      <c r="E96" s="10"/>
      <c r="F96" s="13">
        <v>93</v>
      </c>
      <c r="G96" s="2">
        <v>43601</v>
      </c>
      <c r="H96" s="14">
        <f t="shared" si="29"/>
        <v>2.8520518441350214E-3</v>
      </c>
      <c r="I96" s="14">
        <f t="shared" si="30"/>
        <v>-8.0719094698001037E-3</v>
      </c>
      <c r="J96" s="14">
        <f t="shared" si="31"/>
        <v>2.4876880471249897E-2</v>
      </c>
      <c r="K96" s="22">
        <v>93</v>
      </c>
      <c r="L96" s="12"/>
      <c r="Q96" s="15">
        <f t="shared" si="32"/>
        <v>93</v>
      </c>
      <c r="R96" s="2">
        <f t="shared" si="28"/>
        <v>43601</v>
      </c>
      <c r="S96" s="9">
        <f t="shared" ca="1" si="33"/>
        <v>2.8520518441350214E-3</v>
      </c>
      <c r="T96" s="9">
        <f t="shared" ca="1" si="34"/>
        <v>-8.0719094698001037E-3</v>
      </c>
      <c r="U96" s="9">
        <f t="shared" ca="1" si="35"/>
        <v>2.4876880471249897E-2</v>
      </c>
      <c r="AB96" s="33" t="e">
        <f t="shared" ca="1" si="41"/>
        <v>#N/A</v>
      </c>
      <c r="AC96" s="34" t="e">
        <f t="shared" ca="1" si="42"/>
        <v>#N/A</v>
      </c>
      <c r="AD96" s="34" t="e">
        <f t="shared" ca="1" si="43"/>
        <v>#N/A</v>
      </c>
      <c r="AE96" s="33" t="e">
        <f t="shared" ca="1" si="44"/>
        <v>#N/A</v>
      </c>
      <c r="AF96" s="34" t="e">
        <f t="shared" ca="1" si="36"/>
        <v>#N/A</v>
      </c>
      <c r="AG96" s="34" t="e">
        <f t="shared" ca="1" si="37"/>
        <v>#N/A</v>
      </c>
      <c r="AH96" s="34" t="e">
        <f t="shared" ca="1" si="38"/>
        <v>#N/A</v>
      </c>
      <c r="AI96" s="33" t="e">
        <f t="shared" ca="1" si="45"/>
        <v>#N/A</v>
      </c>
      <c r="AJ96" s="34" t="e">
        <f t="shared" ca="1" si="46"/>
        <v>#N/A</v>
      </c>
      <c r="AK96" s="34" t="e">
        <f t="shared" ca="1" si="39"/>
        <v>#N/A</v>
      </c>
      <c r="AL96" s="34" t="e">
        <f t="shared" ca="1" si="40"/>
        <v>#N/A</v>
      </c>
      <c r="AM96" s="33" t="e">
        <f t="shared" ca="1" si="47"/>
        <v>#N/A</v>
      </c>
      <c r="AN96" s="34" t="e">
        <f t="shared" ca="1" si="48"/>
        <v>#N/A</v>
      </c>
    </row>
    <row r="97" spans="1:40" x14ac:dyDescent="0.3">
      <c r="A97" s="2">
        <v>43602</v>
      </c>
      <c r="B97" s="9">
        <v>56</v>
      </c>
      <c r="C97" s="9">
        <v>112.510002</v>
      </c>
      <c r="D97" s="9">
        <v>83.709998999999996</v>
      </c>
      <c r="E97" s="10"/>
      <c r="F97" s="13">
        <v>94</v>
      </c>
      <c r="G97" s="2">
        <v>43602</v>
      </c>
      <c r="H97" s="14">
        <f t="shared" si="29"/>
        <v>-3.2091309409483502E-3</v>
      </c>
      <c r="I97" s="14">
        <f t="shared" si="30"/>
        <v>-1.9713724581476494E-2</v>
      </c>
      <c r="J97" s="14">
        <f t="shared" si="31"/>
        <v>-2.0807016151977425E-2</v>
      </c>
      <c r="K97" s="22">
        <v>94</v>
      </c>
      <c r="L97" s="12"/>
      <c r="Q97" s="15">
        <f t="shared" si="32"/>
        <v>94</v>
      </c>
      <c r="R97" s="2">
        <f t="shared" si="28"/>
        <v>43602</v>
      </c>
      <c r="S97" s="9">
        <f t="shared" ca="1" si="33"/>
        <v>-3.2091309409483502E-3</v>
      </c>
      <c r="T97" s="9">
        <f t="shared" ca="1" si="34"/>
        <v>-1.9713724581476494E-2</v>
      </c>
      <c r="U97" s="9">
        <f t="shared" ca="1" si="35"/>
        <v>-2.0807016151977425E-2</v>
      </c>
      <c r="AB97" s="33" t="e">
        <f t="shared" ca="1" si="41"/>
        <v>#N/A</v>
      </c>
      <c r="AC97" s="34" t="e">
        <f t="shared" ca="1" si="42"/>
        <v>#N/A</v>
      </c>
      <c r="AD97" s="34" t="e">
        <f t="shared" ca="1" si="43"/>
        <v>#N/A</v>
      </c>
      <c r="AE97" s="33" t="e">
        <f t="shared" ca="1" si="44"/>
        <v>#N/A</v>
      </c>
      <c r="AF97" s="34" t="e">
        <f t="shared" ca="1" si="36"/>
        <v>#N/A</v>
      </c>
      <c r="AG97" s="34" t="e">
        <f t="shared" ca="1" si="37"/>
        <v>#N/A</v>
      </c>
      <c r="AH97" s="34" t="e">
        <f t="shared" ca="1" si="38"/>
        <v>#N/A</v>
      </c>
      <c r="AI97" s="33" t="e">
        <f t="shared" ca="1" si="45"/>
        <v>#N/A</v>
      </c>
      <c r="AJ97" s="34" t="e">
        <f t="shared" ca="1" si="46"/>
        <v>#N/A</v>
      </c>
      <c r="AK97" s="34" t="e">
        <f t="shared" ca="1" si="39"/>
        <v>#N/A</v>
      </c>
      <c r="AL97" s="34" t="e">
        <f t="shared" ca="1" si="40"/>
        <v>#N/A</v>
      </c>
      <c r="AM97" s="33" t="e">
        <f t="shared" ca="1" si="47"/>
        <v>#N/A</v>
      </c>
      <c r="AN97" s="34" t="e">
        <f t="shared" ca="1" si="48"/>
        <v>#N/A</v>
      </c>
    </row>
    <row r="98" spans="1:40" x14ac:dyDescent="0.3">
      <c r="A98" s="2">
        <v>43605</v>
      </c>
      <c r="B98" s="9">
        <v>55.84</v>
      </c>
      <c r="C98" s="9">
        <v>111.91999800000001</v>
      </c>
      <c r="D98" s="9">
        <v>82.080001999999993</v>
      </c>
      <c r="E98" s="10"/>
      <c r="F98" s="13">
        <v>95</v>
      </c>
      <c r="G98" s="2">
        <v>43605</v>
      </c>
      <c r="H98" s="14">
        <f t="shared" si="29"/>
        <v>-2.8612322810321234E-3</v>
      </c>
      <c r="I98" s="14">
        <f t="shared" si="30"/>
        <v>-5.2578118718594833E-3</v>
      </c>
      <c r="J98" s="14">
        <f t="shared" si="31"/>
        <v>-1.9664026937030028E-2</v>
      </c>
      <c r="K98" s="22">
        <v>95</v>
      </c>
      <c r="L98" s="12"/>
      <c r="Q98" s="15">
        <f t="shared" si="32"/>
        <v>95</v>
      </c>
      <c r="R98" s="2">
        <f t="shared" si="28"/>
        <v>43605</v>
      </c>
      <c r="S98" s="9">
        <f t="shared" ca="1" si="33"/>
        <v>-2.8612322810321234E-3</v>
      </c>
      <c r="T98" s="9">
        <f t="shared" ca="1" si="34"/>
        <v>-5.2578118718594833E-3</v>
      </c>
      <c r="U98" s="9">
        <f t="shared" ca="1" si="35"/>
        <v>-1.9664026937030028E-2</v>
      </c>
      <c r="AB98" s="33" t="e">
        <f t="shared" ca="1" si="41"/>
        <v>#N/A</v>
      </c>
      <c r="AC98" s="34" t="e">
        <f t="shared" ca="1" si="42"/>
        <v>#N/A</v>
      </c>
      <c r="AD98" s="34" t="e">
        <f t="shared" ca="1" si="43"/>
        <v>#N/A</v>
      </c>
      <c r="AE98" s="33" t="e">
        <f t="shared" ca="1" si="44"/>
        <v>#N/A</v>
      </c>
      <c r="AF98" s="34" t="e">
        <f t="shared" ca="1" si="36"/>
        <v>#N/A</v>
      </c>
      <c r="AG98" s="34" t="e">
        <f t="shared" ca="1" si="37"/>
        <v>#N/A</v>
      </c>
      <c r="AH98" s="34" t="e">
        <f t="shared" ca="1" si="38"/>
        <v>#N/A</v>
      </c>
      <c r="AI98" s="33" t="e">
        <f t="shared" ca="1" si="45"/>
        <v>#N/A</v>
      </c>
      <c r="AJ98" s="34" t="e">
        <f t="shared" ca="1" si="46"/>
        <v>#N/A</v>
      </c>
      <c r="AK98" s="34" t="e">
        <f t="shared" ca="1" si="39"/>
        <v>#N/A</v>
      </c>
      <c r="AL98" s="34" t="e">
        <f t="shared" ca="1" si="40"/>
        <v>#N/A</v>
      </c>
      <c r="AM98" s="33" t="e">
        <f t="shared" ca="1" si="47"/>
        <v>#N/A</v>
      </c>
      <c r="AN98" s="34" t="e">
        <f t="shared" ca="1" si="48"/>
        <v>#N/A</v>
      </c>
    </row>
    <row r="99" spans="1:40" x14ac:dyDescent="0.3">
      <c r="A99" s="2">
        <v>43606</v>
      </c>
      <c r="B99" s="9">
        <v>57.009998000000003</v>
      </c>
      <c r="C99" s="9">
        <v>113.970001</v>
      </c>
      <c r="D99" s="9">
        <v>82.470000999999996</v>
      </c>
      <c r="E99" s="10"/>
      <c r="F99" s="13">
        <v>96</v>
      </c>
      <c r="G99" s="2">
        <v>43606</v>
      </c>
      <c r="H99" s="14">
        <f t="shared" si="29"/>
        <v>2.0736197507808311E-2</v>
      </c>
      <c r="I99" s="14">
        <f t="shared" si="30"/>
        <v>1.8150952154564012E-2</v>
      </c>
      <c r="J99" s="14">
        <f t="shared" si="31"/>
        <v>4.7401971819545944E-3</v>
      </c>
      <c r="K99" s="22">
        <v>96</v>
      </c>
      <c r="L99" s="12"/>
      <c r="Q99" s="15">
        <f t="shared" si="32"/>
        <v>96</v>
      </c>
      <c r="R99" s="2">
        <f t="shared" si="28"/>
        <v>43606</v>
      </c>
      <c r="S99" s="9">
        <f t="shared" ca="1" si="33"/>
        <v>2.0736197507808311E-2</v>
      </c>
      <c r="T99" s="9">
        <f t="shared" ca="1" si="34"/>
        <v>1.8150952154564012E-2</v>
      </c>
      <c r="U99" s="9">
        <f t="shared" ca="1" si="35"/>
        <v>4.7401971819545944E-3</v>
      </c>
      <c r="AB99" s="33" t="e">
        <f t="shared" ca="1" si="41"/>
        <v>#N/A</v>
      </c>
      <c r="AC99" s="34" t="e">
        <f t="shared" ca="1" si="42"/>
        <v>#N/A</v>
      </c>
      <c r="AD99" s="34" t="e">
        <f t="shared" ca="1" si="43"/>
        <v>#N/A</v>
      </c>
      <c r="AE99" s="33" t="e">
        <f t="shared" ca="1" si="44"/>
        <v>#N/A</v>
      </c>
      <c r="AF99" s="34" t="e">
        <f t="shared" ca="1" si="36"/>
        <v>#N/A</v>
      </c>
      <c r="AG99" s="34" t="e">
        <f t="shared" ca="1" si="37"/>
        <v>#N/A</v>
      </c>
      <c r="AH99" s="34" t="e">
        <f t="shared" ca="1" si="38"/>
        <v>#N/A</v>
      </c>
      <c r="AI99" s="33" t="e">
        <f t="shared" ca="1" si="45"/>
        <v>#N/A</v>
      </c>
      <c r="AJ99" s="34" t="e">
        <f t="shared" ca="1" si="46"/>
        <v>#N/A</v>
      </c>
      <c r="AK99" s="34" t="e">
        <f t="shared" ca="1" si="39"/>
        <v>#N/A</v>
      </c>
      <c r="AL99" s="34" t="e">
        <f t="shared" ca="1" si="40"/>
        <v>#N/A</v>
      </c>
      <c r="AM99" s="33" t="e">
        <f t="shared" ca="1" si="47"/>
        <v>#N/A</v>
      </c>
      <c r="AN99" s="34" t="e">
        <f t="shared" ca="1" si="48"/>
        <v>#N/A</v>
      </c>
    </row>
    <row r="100" spans="1:40" x14ac:dyDescent="0.3">
      <c r="A100" s="2">
        <v>43607</v>
      </c>
      <c r="B100" s="9">
        <v>56.549999</v>
      </c>
      <c r="C100" s="9">
        <v>112.790001</v>
      </c>
      <c r="D100" s="9">
        <v>80.349997999999999</v>
      </c>
      <c r="E100" s="10"/>
      <c r="F100" s="13">
        <v>97</v>
      </c>
      <c r="G100" s="2">
        <v>43607</v>
      </c>
      <c r="H100" s="14">
        <f t="shared" si="29"/>
        <v>-8.1014710832619952E-3</v>
      </c>
      <c r="I100" s="14">
        <f t="shared" si="30"/>
        <v>-1.0407573124022991E-2</v>
      </c>
      <c r="J100" s="14">
        <f t="shared" si="31"/>
        <v>-2.6042535678465522E-2</v>
      </c>
      <c r="K100" s="22">
        <v>97</v>
      </c>
      <c r="L100" s="12"/>
      <c r="Q100" s="15">
        <f t="shared" si="32"/>
        <v>97</v>
      </c>
      <c r="R100" s="2">
        <f t="shared" si="28"/>
        <v>43607</v>
      </c>
      <c r="S100" s="9">
        <f t="shared" ca="1" si="33"/>
        <v>-8.1014710832619952E-3</v>
      </c>
      <c r="T100" s="9">
        <f t="shared" ca="1" si="34"/>
        <v>-1.0407573124022991E-2</v>
      </c>
      <c r="U100" s="9">
        <f t="shared" ca="1" si="35"/>
        <v>-2.6042535678465522E-2</v>
      </c>
      <c r="AB100" s="33" t="e">
        <f t="shared" ca="1" si="41"/>
        <v>#N/A</v>
      </c>
      <c r="AC100" s="34" t="e">
        <f t="shared" ca="1" si="42"/>
        <v>#N/A</v>
      </c>
      <c r="AD100" s="34" t="e">
        <f t="shared" ca="1" si="43"/>
        <v>#N/A</v>
      </c>
      <c r="AE100" s="33" t="e">
        <f t="shared" ca="1" si="44"/>
        <v>#N/A</v>
      </c>
      <c r="AF100" s="34" t="e">
        <f t="shared" ca="1" si="36"/>
        <v>#N/A</v>
      </c>
      <c r="AG100" s="34" t="e">
        <f t="shared" ca="1" si="37"/>
        <v>#N/A</v>
      </c>
      <c r="AH100" s="34" t="e">
        <f t="shared" ca="1" si="38"/>
        <v>#N/A</v>
      </c>
      <c r="AI100" s="33" t="e">
        <f t="shared" ca="1" si="45"/>
        <v>#N/A</v>
      </c>
      <c r="AJ100" s="34" t="e">
        <f t="shared" ca="1" si="46"/>
        <v>#N/A</v>
      </c>
      <c r="AK100" s="34" t="e">
        <f t="shared" ca="1" si="39"/>
        <v>#N/A</v>
      </c>
      <c r="AL100" s="34" t="e">
        <f t="shared" ca="1" si="40"/>
        <v>#N/A</v>
      </c>
      <c r="AM100" s="33" t="e">
        <f t="shared" ca="1" si="47"/>
        <v>#N/A</v>
      </c>
      <c r="AN100" s="34" t="e">
        <f t="shared" ca="1" si="48"/>
        <v>#N/A</v>
      </c>
    </row>
    <row r="101" spans="1:40" x14ac:dyDescent="0.3">
      <c r="A101" s="2">
        <v>43608</v>
      </c>
      <c r="B101" s="9">
        <v>56.200001</v>
      </c>
      <c r="C101" s="9">
        <v>109.239998</v>
      </c>
      <c r="D101" s="9">
        <v>75.410004000000001</v>
      </c>
      <c r="E101" s="10"/>
      <c r="F101" s="13">
        <v>98</v>
      </c>
      <c r="G101" s="2">
        <v>43608</v>
      </c>
      <c r="H101" s="14">
        <f t="shared" si="29"/>
        <v>-6.2084101854237919E-3</v>
      </c>
      <c r="I101" s="14">
        <f t="shared" si="30"/>
        <v>-3.1980413220667588E-2</v>
      </c>
      <c r="J101" s="14">
        <f t="shared" si="31"/>
        <v>-6.3452122034502678E-2</v>
      </c>
      <c r="K101" s="22">
        <v>98</v>
      </c>
      <c r="L101" s="12"/>
      <c r="Q101" s="15">
        <f t="shared" si="32"/>
        <v>98</v>
      </c>
      <c r="R101" s="2">
        <f t="shared" si="28"/>
        <v>43608</v>
      </c>
      <c r="S101" s="9">
        <f t="shared" ca="1" si="33"/>
        <v>-6.2084101854237919E-3</v>
      </c>
      <c r="T101" s="9">
        <f t="shared" ca="1" si="34"/>
        <v>-3.1980413220667588E-2</v>
      </c>
      <c r="U101" s="9">
        <f t="shared" ca="1" si="35"/>
        <v>-6.3452122034502678E-2</v>
      </c>
      <c r="AB101" s="33" t="e">
        <f t="shared" ca="1" si="41"/>
        <v>#N/A</v>
      </c>
      <c r="AC101" s="34" t="e">
        <f t="shared" ca="1" si="42"/>
        <v>#N/A</v>
      </c>
      <c r="AD101" s="34" t="e">
        <f t="shared" ca="1" si="43"/>
        <v>#N/A</v>
      </c>
      <c r="AE101" s="33" t="e">
        <f t="shared" ca="1" si="44"/>
        <v>#N/A</v>
      </c>
      <c r="AF101" s="34" t="e">
        <f t="shared" ca="1" si="36"/>
        <v>#N/A</v>
      </c>
      <c r="AG101" s="34" t="e">
        <f t="shared" ca="1" si="37"/>
        <v>#N/A</v>
      </c>
      <c r="AH101" s="34" t="e">
        <f t="shared" ca="1" si="38"/>
        <v>#N/A</v>
      </c>
      <c r="AI101" s="33" t="e">
        <f t="shared" ca="1" si="45"/>
        <v>#N/A</v>
      </c>
      <c r="AJ101" s="34" t="e">
        <f t="shared" ca="1" si="46"/>
        <v>#N/A</v>
      </c>
      <c r="AK101" s="34" t="e">
        <f t="shared" ca="1" si="39"/>
        <v>#N/A</v>
      </c>
      <c r="AL101" s="34" t="e">
        <f t="shared" ca="1" si="40"/>
        <v>#N/A</v>
      </c>
      <c r="AM101" s="33" t="e">
        <f t="shared" ca="1" si="47"/>
        <v>#N/A</v>
      </c>
      <c r="AN101" s="34" t="e">
        <f t="shared" ca="1" si="48"/>
        <v>#N/A</v>
      </c>
    </row>
    <row r="102" spans="1:40" x14ac:dyDescent="0.3">
      <c r="A102" s="2">
        <v>43609</v>
      </c>
      <c r="B102" s="9">
        <v>56.310001</v>
      </c>
      <c r="C102" s="9">
        <v>109.239998</v>
      </c>
      <c r="D102" s="9">
        <v>76.220000999999996</v>
      </c>
      <c r="E102" s="10"/>
      <c r="F102" s="13">
        <v>99</v>
      </c>
      <c r="G102" s="2">
        <v>43609</v>
      </c>
      <c r="H102" s="14">
        <f t="shared" si="29"/>
        <v>1.9553823321225659E-3</v>
      </c>
      <c r="I102" s="14">
        <f t="shared" si="30"/>
        <v>0</v>
      </c>
      <c r="J102" s="14">
        <f t="shared" si="31"/>
        <v>1.0683963307712842E-2</v>
      </c>
      <c r="K102" s="22">
        <v>99</v>
      </c>
      <c r="L102" s="12"/>
      <c r="Q102" s="15">
        <f t="shared" si="32"/>
        <v>99</v>
      </c>
      <c r="R102" s="2">
        <f t="shared" si="28"/>
        <v>43609</v>
      </c>
      <c r="S102" s="9">
        <f t="shared" ca="1" si="33"/>
        <v>1.9553823321225659E-3</v>
      </c>
      <c r="T102" s="9">
        <f t="shared" ca="1" si="34"/>
        <v>0</v>
      </c>
      <c r="U102" s="9">
        <f t="shared" ca="1" si="35"/>
        <v>1.0683963307712842E-2</v>
      </c>
      <c r="AB102" s="33" t="e">
        <f t="shared" ca="1" si="41"/>
        <v>#N/A</v>
      </c>
      <c r="AC102" s="34" t="e">
        <f t="shared" ca="1" si="42"/>
        <v>#N/A</v>
      </c>
      <c r="AD102" s="34" t="e">
        <f t="shared" ca="1" si="43"/>
        <v>#N/A</v>
      </c>
      <c r="AE102" s="33" t="e">
        <f t="shared" ca="1" si="44"/>
        <v>#N/A</v>
      </c>
      <c r="AF102" s="34" t="e">
        <f t="shared" ca="1" si="36"/>
        <v>#N/A</v>
      </c>
      <c r="AG102" s="34" t="e">
        <f t="shared" ca="1" si="37"/>
        <v>#N/A</v>
      </c>
      <c r="AH102" s="34" t="e">
        <f t="shared" ca="1" si="38"/>
        <v>#N/A</v>
      </c>
      <c r="AI102" s="33" t="e">
        <f t="shared" ca="1" si="45"/>
        <v>#N/A</v>
      </c>
      <c r="AJ102" s="34" t="e">
        <f t="shared" ca="1" si="46"/>
        <v>#N/A</v>
      </c>
      <c r="AK102" s="34" t="e">
        <f t="shared" ca="1" si="39"/>
        <v>#N/A</v>
      </c>
      <c r="AL102" s="34" t="e">
        <f t="shared" ca="1" si="40"/>
        <v>#N/A</v>
      </c>
      <c r="AM102" s="33" t="e">
        <f t="shared" ca="1" si="47"/>
        <v>#N/A</v>
      </c>
      <c r="AN102" s="34" t="e">
        <f t="shared" ca="1" si="48"/>
        <v>#N/A</v>
      </c>
    </row>
    <row r="103" spans="1:40" x14ac:dyDescent="0.3">
      <c r="A103" s="2">
        <v>43613</v>
      </c>
      <c r="B103" s="9">
        <v>55.689999</v>
      </c>
      <c r="C103" s="9">
        <v>108.019997</v>
      </c>
      <c r="D103" s="9">
        <v>75.089995999999999</v>
      </c>
      <c r="E103" s="10"/>
      <c r="F103" s="13">
        <v>100</v>
      </c>
      <c r="G103" s="2">
        <v>43613</v>
      </c>
      <c r="H103" s="14">
        <f t="shared" si="29"/>
        <v>-1.1071577380330046E-2</v>
      </c>
      <c r="I103" s="14">
        <f t="shared" si="30"/>
        <v>-1.1230910905082114E-2</v>
      </c>
      <c r="J103" s="14">
        <f t="shared" si="31"/>
        <v>-1.4936567723248933E-2</v>
      </c>
      <c r="K103" s="22">
        <v>100</v>
      </c>
      <c r="L103" s="12"/>
      <c r="Q103" s="15">
        <f t="shared" si="32"/>
        <v>100</v>
      </c>
      <c r="R103" s="2">
        <f t="shared" si="28"/>
        <v>43613</v>
      </c>
      <c r="S103" s="9">
        <f t="shared" ca="1" si="33"/>
        <v>-1.1071577380330046E-2</v>
      </c>
      <c r="T103" s="9">
        <f t="shared" ca="1" si="34"/>
        <v>-1.1230910905082114E-2</v>
      </c>
      <c r="U103" s="9">
        <f t="shared" ca="1" si="35"/>
        <v>-1.4936567723248933E-2</v>
      </c>
      <c r="AB103" s="33" t="e">
        <f t="shared" ca="1" si="41"/>
        <v>#N/A</v>
      </c>
      <c r="AC103" s="34" t="e">
        <f t="shared" ca="1" si="42"/>
        <v>#N/A</v>
      </c>
      <c r="AD103" s="34" t="e">
        <f t="shared" ca="1" si="43"/>
        <v>#N/A</v>
      </c>
      <c r="AE103" s="33" t="e">
        <f t="shared" ca="1" si="44"/>
        <v>#N/A</v>
      </c>
      <c r="AF103" s="34" t="e">
        <f t="shared" ca="1" si="36"/>
        <v>#N/A</v>
      </c>
      <c r="AG103" s="34" t="e">
        <f t="shared" ca="1" si="37"/>
        <v>#N/A</v>
      </c>
      <c r="AH103" s="34" t="e">
        <f t="shared" ca="1" si="38"/>
        <v>#N/A</v>
      </c>
      <c r="AI103" s="33" t="e">
        <f t="shared" ca="1" si="45"/>
        <v>#N/A</v>
      </c>
      <c r="AJ103" s="34" t="e">
        <f t="shared" ca="1" si="46"/>
        <v>#N/A</v>
      </c>
      <c r="AK103" s="34" t="e">
        <f t="shared" ca="1" si="39"/>
        <v>#N/A</v>
      </c>
      <c r="AL103" s="34" t="e">
        <f t="shared" ca="1" si="40"/>
        <v>#N/A</v>
      </c>
      <c r="AM103" s="33" t="e">
        <f t="shared" ca="1" si="47"/>
        <v>#N/A</v>
      </c>
      <c r="AN103" s="34" t="e">
        <f t="shared" ca="1" si="48"/>
        <v>#N/A</v>
      </c>
    </row>
    <row r="104" spans="1:40" x14ac:dyDescent="0.3">
      <c r="A104" s="2">
        <v>43614</v>
      </c>
      <c r="B104" s="9">
        <v>55.509998000000003</v>
      </c>
      <c r="C104" s="9">
        <v>105.989998</v>
      </c>
      <c r="D104" s="9">
        <v>74.860000999999997</v>
      </c>
      <c r="E104" s="10"/>
      <c r="F104" s="13">
        <v>101</v>
      </c>
      <c r="G104" s="2">
        <v>43614</v>
      </c>
      <c r="H104" s="14">
        <f t="shared" si="29"/>
        <v>-3.237430972506861E-3</v>
      </c>
      <c r="I104" s="14">
        <f t="shared" si="30"/>
        <v>-1.8971636222651387E-2</v>
      </c>
      <c r="J104" s="14">
        <f t="shared" si="31"/>
        <v>-3.0676250078294828E-3</v>
      </c>
      <c r="K104" s="22">
        <v>101</v>
      </c>
      <c r="L104" s="12"/>
      <c r="Q104" s="15">
        <f t="shared" si="32"/>
        <v>101</v>
      </c>
      <c r="R104" s="2">
        <f t="shared" si="28"/>
        <v>43614</v>
      </c>
      <c r="S104" s="9">
        <f t="shared" ca="1" si="33"/>
        <v>-3.237430972506861E-3</v>
      </c>
      <c r="T104" s="9">
        <f t="shared" ca="1" si="34"/>
        <v>-1.8971636222651387E-2</v>
      </c>
      <c r="U104" s="9">
        <f t="shared" ca="1" si="35"/>
        <v>-3.0676250078294828E-3</v>
      </c>
      <c r="AB104" s="33" t="e">
        <f t="shared" ca="1" si="41"/>
        <v>#N/A</v>
      </c>
      <c r="AC104" s="34" t="e">
        <f t="shared" ca="1" si="42"/>
        <v>#N/A</v>
      </c>
      <c r="AD104" s="34" t="e">
        <f t="shared" ca="1" si="43"/>
        <v>#N/A</v>
      </c>
      <c r="AE104" s="33" t="e">
        <f t="shared" ca="1" si="44"/>
        <v>#N/A</v>
      </c>
      <c r="AF104" s="34" t="e">
        <f t="shared" ca="1" si="36"/>
        <v>#N/A</v>
      </c>
      <c r="AG104" s="34" t="e">
        <f t="shared" ca="1" si="37"/>
        <v>#N/A</v>
      </c>
      <c r="AH104" s="34" t="e">
        <f t="shared" ca="1" si="38"/>
        <v>#N/A</v>
      </c>
      <c r="AI104" s="33" t="e">
        <f t="shared" ca="1" si="45"/>
        <v>#N/A</v>
      </c>
      <c r="AJ104" s="34" t="e">
        <f t="shared" ca="1" si="46"/>
        <v>#N/A</v>
      </c>
      <c r="AK104" s="34" t="e">
        <f t="shared" ca="1" si="39"/>
        <v>#N/A</v>
      </c>
      <c r="AL104" s="34" t="e">
        <f t="shared" ca="1" si="40"/>
        <v>#N/A</v>
      </c>
      <c r="AM104" s="33" t="e">
        <f t="shared" ca="1" si="47"/>
        <v>#N/A</v>
      </c>
      <c r="AN104" s="34" t="e">
        <f t="shared" ca="1" si="48"/>
        <v>#N/A</v>
      </c>
    </row>
    <row r="105" spans="1:40" x14ac:dyDescent="0.3">
      <c r="A105" s="2">
        <v>43615</v>
      </c>
      <c r="B105" s="9">
        <v>55.09</v>
      </c>
      <c r="C105" s="9">
        <v>105.029999</v>
      </c>
      <c r="D105" s="9">
        <v>72.870002999999997</v>
      </c>
      <c r="E105" s="10"/>
      <c r="F105" s="13">
        <v>102</v>
      </c>
      <c r="G105" s="2">
        <v>43615</v>
      </c>
      <c r="H105" s="14">
        <f t="shared" si="29"/>
        <v>-7.5949371878998636E-3</v>
      </c>
      <c r="I105" s="14">
        <f t="shared" si="30"/>
        <v>-9.0987170558638718E-3</v>
      </c>
      <c r="J105" s="14">
        <f t="shared" si="31"/>
        <v>-2.694264298315616E-2</v>
      </c>
      <c r="K105" s="22">
        <v>102</v>
      </c>
      <c r="L105" s="12"/>
      <c r="Q105" s="15">
        <f t="shared" si="32"/>
        <v>102</v>
      </c>
      <c r="R105" s="2">
        <f t="shared" si="28"/>
        <v>43615</v>
      </c>
      <c r="S105" s="9">
        <f t="shared" ca="1" si="33"/>
        <v>-7.5949371878998636E-3</v>
      </c>
      <c r="T105" s="9">
        <f t="shared" ca="1" si="34"/>
        <v>-9.0987170558638718E-3</v>
      </c>
      <c r="U105" s="9">
        <f t="shared" ca="1" si="35"/>
        <v>-2.694264298315616E-2</v>
      </c>
      <c r="AB105" s="33" t="e">
        <f t="shared" ca="1" si="41"/>
        <v>#N/A</v>
      </c>
      <c r="AC105" s="34" t="e">
        <f t="shared" ca="1" si="42"/>
        <v>#N/A</v>
      </c>
      <c r="AD105" s="34" t="e">
        <f t="shared" ca="1" si="43"/>
        <v>#N/A</v>
      </c>
      <c r="AE105" s="33" t="e">
        <f t="shared" ca="1" si="44"/>
        <v>#N/A</v>
      </c>
      <c r="AF105" s="34" t="e">
        <f t="shared" ca="1" si="36"/>
        <v>#N/A</v>
      </c>
      <c r="AG105" s="34" t="e">
        <f t="shared" ca="1" si="37"/>
        <v>#N/A</v>
      </c>
      <c r="AH105" s="34" t="e">
        <f t="shared" ca="1" si="38"/>
        <v>#N/A</v>
      </c>
      <c r="AI105" s="33" t="e">
        <f t="shared" ca="1" si="45"/>
        <v>#N/A</v>
      </c>
      <c r="AJ105" s="34" t="e">
        <f t="shared" ca="1" si="46"/>
        <v>#N/A</v>
      </c>
      <c r="AK105" s="34" t="e">
        <f t="shared" ca="1" si="39"/>
        <v>#N/A</v>
      </c>
      <c r="AL105" s="34" t="e">
        <f t="shared" ca="1" si="40"/>
        <v>#N/A</v>
      </c>
      <c r="AM105" s="33" t="e">
        <f t="shared" ca="1" si="47"/>
        <v>#N/A</v>
      </c>
      <c r="AN105" s="34" t="e">
        <f t="shared" ca="1" si="48"/>
        <v>#N/A</v>
      </c>
    </row>
    <row r="106" spans="1:40" x14ac:dyDescent="0.3">
      <c r="A106" s="2">
        <v>43616</v>
      </c>
      <c r="B106" s="9">
        <v>53.66</v>
      </c>
      <c r="C106" s="9">
        <v>105.129997</v>
      </c>
      <c r="D106" s="9">
        <v>70.400002000000001</v>
      </c>
      <c r="E106" s="10"/>
      <c r="F106" s="13">
        <v>103</v>
      </c>
      <c r="G106" s="2">
        <v>43616</v>
      </c>
      <c r="H106" s="14">
        <f t="shared" si="29"/>
        <v>-2.6300366487147245E-2</v>
      </c>
      <c r="I106" s="14">
        <f t="shared" si="30"/>
        <v>9.5163693804610884E-4</v>
      </c>
      <c r="J106" s="14">
        <f t="shared" si="31"/>
        <v>-3.4483781278308111E-2</v>
      </c>
      <c r="K106" s="22">
        <v>103</v>
      </c>
      <c r="L106" s="12"/>
      <c r="Q106" s="15">
        <f t="shared" si="32"/>
        <v>103</v>
      </c>
      <c r="R106" s="2">
        <f t="shared" si="28"/>
        <v>43616</v>
      </c>
      <c r="S106" s="9">
        <f t="shared" ca="1" si="33"/>
        <v>-2.6300366487147245E-2</v>
      </c>
      <c r="T106" s="9">
        <f t="shared" ca="1" si="34"/>
        <v>9.5163693804610884E-4</v>
      </c>
      <c r="U106" s="9">
        <f t="shared" ca="1" si="35"/>
        <v>-3.4483781278308111E-2</v>
      </c>
      <c r="AB106" s="33" t="e">
        <f t="shared" ca="1" si="41"/>
        <v>#N/A</v>
      </c>
      <c r="AC106" s="34" t="e">
        <f t="shared" ca="1" si="42"/>
        <v>#N/A</v>
      </c>
      <c r="AD106" s="34" t="e">
        <f t="shared" ca="1" si="43"/>
        <v>#N/A</v>
      </c>
      <c r="AE106" s="33" t="e">
        <f t="shared" ca="1" si="44"/>
        <v>#N/A</v>
      </c>
      <c r="AF106" s="34" t="e">
        <f t="shared" ca="1" si="36"/>
        <v>#N/A</v>
      </c>
      <c r="AG106" s="34" t="e">
        <f t="shared" ca="1" si="37"/>
        <v>#N/A</v>
      </c>
      <c r="AH106" s="34" t="e">
        <f t="shared" ca="1" si="38"/>
        <v>#N/A</v>
      </c>
      <c r="AI106" s="33" t="e">
        <f t="shared" ca="1" si="45"/>
        <v>#N/A</v>
      </c>
      <c r="AJ106" s="34" t="e">
        <f t="shared" ca="1" si="46"/>
        <v>#N/A</v>
      </c>
      <c r="AK106" s="34" t="e">
        <f t="shared" ca="1" si="39"/>
        <v>#N/A</v>
      </c>
      <c r="AL106" s="34" t="e">
        <f t="shared" ca="1" si="40"/>
        <v>#N/A</v>
      </c>
      <c r="AM106" s="33" t="e">
        <f t="shared" ca="1" si="47"/>
        <v>#N/A</v>
      </c>
      <c r="AN106" s="34" t="e">
        <f t="shared" ca="1" si="48"/>
        <v>#N/A</v>
      </c>
    </row>
    <row r="107" spans="1:40" x14ac:dyDescent="0.3">
      <c r="A107" s="2">
        <v>43619</v>
      </c>
      <c r="B107" s="9">
        <v>54.59</v>
      </c>
      <c r="C107" s="9">
        <v>107.25</v>
      </c>
      <c r="D107" s="9">
        <v>72</v>
      </c>
      <c r="E107" s="10"/>
      <c r="F107" s="13">
        <v>104</v>
      </c>
      <c r="G107" s="2">
        <v>43619</v>
      </c>
      <c r="H107" s="14">
        <f t="shared" si="29"/>
        <v>1.7182870796188226E-2</v>
      </c>
      <c r="I107" s="14">
        <f t="shared" si="30"/>
        <v>1.9964906756485299E-2</v>
      </c>
      <c r="J107" s="14">
        <f t="shared" si="31"/>
        <v>2.2472827442968038E-2</v>
      </c>
      <c r="K107" s="22">
        <v>104</v>
      </c>
      <c r="L107" s="12"/>
      <c r="Q107" s="15">
        <f t="shared" si="32"/>
        <v>104</v>
      </c>
      <c r="R107" s="2">
        <f t="shared" si="28"/>
        <v>43619</v>
      </c>
      <c r="S107" s="9">
        <f t="shared" ca="1" si="33"/>
        <v>1.7182870796188226E-2</v>
      </c>
      <c r="T107" s="9">
        <f t="shared" ca="1" si="34"/>
        <v>1.9964906756485299E-2</v>
      </c>
      <c r="U107" s="9">
        <f t="shared" ca="1" si="35"/>
        <v>2.2472827442968038E-2</v>
      </c>
      <c r="AB107" s="33" t="e">
        <f t="shared" ca="1" si="41"/>
        <v>#N/A</v>
      </c>
      <c r="AC107" s="34" t="e">
        <f t="shared" ca="1" si="42"/>
        <v>#N/A</v>
      </c>
      <c r="AD107" s="34" t="e">
        <f t="shared" ca="1" si="43"/>
        <v>#N/A</v>
      </c>
      <c r="AE107" s="33" t="e">
        <f t="shared" ca="1" si="44"/>
        <v>#N/A</v>
      </c>
      <c r="AF107" s="34" t="e">
        <f t="shared" ca="1" si="36"/>
        <v>#N/A</v>
      </c>
      <c r="AG107" s="34" t="e">
        <f t="shared" ca="1" si="37"/>
        <v>#N/A</v>
      </c>
      <c r="AH107" s="34" t="e">
        <f t="shared" ca="1" si="38"/>
        <v>#N/A</v>
      </c>
      <c r="AI107" s="33" t="e">
        <f t="shared" ca="1" si="45"/>
        <v>#N/A</v>
      </c>
      <c r="AJ107" s="34" t="e">
        <f t="shared" ca="1" si="46"/>
        <v>#N/A</v>
      </c>
      <c r="AK107" s="34" t="e">
        <f t="shared" ca="1" si="39"/>
        <v>#N/A</v>
      </c>
      <c r="AL107" s="34" t="e">
        <f t="shared" ca="1" si="40"/>
        <v>#N/A</v>
      </c>
      <c r="AM107" s="33" t="e">
        <f t="shared" ca="1" si="47"/>
        <v>#N/A</v>
      </c>
      <c r="AN107" s="34" t="e">
        <f t="shared" ca="1" si="48"/>
        <v>#N/A</v>
      </c>
    </row>
    <row r="108" spans="1:40" x14ac:dyDescent="0.3">
      <c r="A108" s="2">
        <v>43620</v>
      </c>
      <c r="B108" s="9">
        <v>55.400002000000001</v>
      </c>
      <c r="C108" s="9">
        <v>111.760002</v>
      </c>
      <c r="D108" s="9">
        <v>73.849997999999999</v>
      </c>
      <c r="E108" s="10"/>
      <c r="F108" s="13">
        <v>105</v>
      </c>
      <c r="G108" s="2">
        <v>43620</v>
      </c>
      <c r="H108" s="14">
        <f t="shared" si="29"/>
        <v>1.4728914060654241E-2</v>
      </c>
      <c r="I108" s="14">
        <f t="shared" si="30"/>
        <v>4.1191175036070136E-2</v>
      </c>
      <c r="J108" s="14">
        <f t="shared" si="31"/>
        <v>2.5369862879410256E-2</v>
      </c>
      <c r="K108" s="22">
        <v>105</v>
      </c>
      <c r="L108" s="12"/>
      <c r="Q108" s="15">
        <f t="shared" si="32"/>
        <v>105</v>
      </c>
      <c r="R108" s="2">
        <f t="shared" si="28"/>
        <v>43620</v>
      </c>
      <c r="S108" s="9">
        <f t="shared" ca="1" si="33"/>
        <v>1.4728914060654241E-2</v>
      </c>
      <c r="T108" s="9">
        <f t="shared" ca="1" si="34"/>
        <v>4.1191175036070136E-2</v>
      </c>
      <c r="U108" s="9">
        <f t="shared" ca="1" si="35"/>
        <v>2.5369862879410256E-2</v>
      </c>
      <c r="AB108" s="33" t="e">
        <f t="shared" ca="1" si="41"/>
        <v>#N/A</v>
      </c>
      <c r="AC108" s="34" t="e">
        <f t="shared" ca="1" si="42"/>
        <v>#N/A</v>
      </c>
      <c r="AD108" s="34" t="e">
        <f t="shared" ca="1" si="43"/>
        <v>#N/A</v>
      </c>
      <c r="AE108" s="33" t="e">
        <f t="shared" ca="1" si="44"/>
        <v>#N/A</v>
      </c>
      <c r="AF108" s="34" t="e">
        <f t="shared" ca="1" si="36"/>
        <v>#N/A</v>
      </c>
      <c r="AG108" s="34" t="e">
        <f t="shared" ca="1" si="37"/>
        <v>#N/A</v>
      </c>
      <c r="AH108" s="34" t="e">
        <f t="shared" ca="1" si="38"/>
        <v>#N/A</v>
      </c>
      <c r="AI108" s="33" t="e">
        <f t="shared" ca="1" si="45"/>
        <v>#N/A</v>
      </c>
      <c r="AJ108" s="34" t="e">
        <f t="shared" ca="1" si="46"/>
        <v>#N/A</v>
      </c>
      <c r="AK108" s="34" t="e">
        <f t="shared" ca="1" si="39"/>
        <v>#N/A</v>
      </c>
      <c r="AL108" s="34" t="e">
        <f t="shared" ca="1" si="40"/>
        <v>#N/A</v>
      </c>
      <c r="AM108" s="33" t="e">
        <f t="shared" ca="1" si="47"/>
        <v>#N/A</v>
      </c>
      <c r="AN108" s="34" t="e">
        <f t="shared" ca="1" si="48"/>
        <v>#N/A</v>
      </c>
    </row>
    <row r="109" spans="1:40" x14ac:dyDescent="0.3">
      <c r="A109" s="2">
        <v>43621</v>
      </c>
      <c r="B109" s="9">
        <v>55.119999</v>
      </c>
      <c r="C109" s="9">
        <v>110.980003</v>
      </c>
      <c r="D109" s="9">
        <v>73.139999000000003</v>
      </c>
      <c r="E109" s="10"/>
      <c r="F109" s="13">
        <v>106</v>
      </c>
      <c r="G109" s="2">
        <v>43621</v>
      </c>
      <c r="H109" s="14">
        <f t="shared" si="29"/>
        <v>-5.0670212911526217E-3</v>
      </c>
      <c r="I109" s="14">
        <f t="shared" si="30"/>
        <v>-7.0037009145440827E-3</v>
      </c>
      <c r="J109" s="14">
        <f t="shared" si="31"/>
        <v>-9.6605828466396412E-3</v>
      </c>
      <c r="K109" s="22">
        <v>106</v>
      </c>
      <c r="L109" s="12"/>
      <c r="Q109" s="15">
        <f t="shared" si="32"/>
        <v>106</v>
      </c>
      <c r="R109" s="2">
        <f t="shared" si="28"/>
        <v>43621</v>
      </c>
      <c r="S109" s="9">
        <f t="shared" ca="1" si="33"/>
        <v>-5.0670212911526217E-3</v>
      </c>
      <c r="T109" s="9">
        <f t="shared" ca="1" si="34"/>
        <v>-7.0037009145440827E-3</v>
      </c>
      <c r="U109" s="9">
        <f t="shared" ca="1" si="35"/>
        <v>-9.6605828466396412E-3</v>
      </c>
      <c r="AB109" s="33" t="e">
        <f t="shared" ca="1" si="41"/>
        <v>#N/A</v>
      </c>
      <c r="AC109" s="34" t="e">
        <f t="shared" ca="1" si="42"/>
        <v>#N/A</v>
      </c>
      <c r="AD109" s="34" t="e">
        <f t="shared" ca="1" si="43"/>
        <v>#N/A</v>
      </c>
      <c r="AE109" s="33" t="e">
        <f t="shared" ca="1" si="44"/>
        <v>#N/A</v>
      </c>
      <c r="AF109" s="34" t="e">
        <f t="shared" ca="1" si="36"/>
        <v>#N/A</v>
      </c>
      <c r="AG109" s="34" t="e">
        <f t="shared" ca="1" si="37"/>
        <v>#N/A</v>
      </c>
      <c r="AH109" s="34" t="e">
        <f t="shared" ca="1" si="38"/>
        <v>#N/A</v>
      </c>
      <c r="AI109" s="33" t="e">
        <f t="shared" ca="1" si="45"/>
        <v>#N/A</v>
      </c>
      <c r="AJ109" s="34" t="e">
        <f t="shared" ca="1" si="46"/>
        <v>#N/A</v>
      </c>
      <c r="AK109" s="34" t="e">
        <f t="shared" ca="1" si="39"/>
        <v>#N/A</v>
      </c>
      <c r="AL109" s="34" t="e">
        <f t="shared" ca="1" si="40"/>
        <v>#N/A</v>
      </c>
      <c r="AM109" s="33" t="e">
        <f t="shared" ca="1" si="47"/>
        <v>#N/A</v>
      </c>
      <c r="AN109" s="34" t="e">
        <f t="shared" ca="1" si="48"/>
        <v>#N/A</v>
      </c>
    </row>
    <row r="110" spans="1:40" x14ac:dyDescent="0.3">
      <c r="A110" s="2">
        <v>43622</v>
      </c>
      <c r="B110" s="9">
        <v>54.209999000000003</v>
      </c>
      <c r="C110" s="9">
        <v>109.470001</v>
      </c>
      <c r="D110" s="9">
        <v>74.470000999999996</v>
      </c>
      <c r="E110" s="10"/>
      <c r="F110" s="13">
        <v>107</v>
      </c>
      <c r="G110" s="2">
        <v>43622</v>
      </c>
      <c r="H110" s="14">
        <f t="shared" si="29"/>
        <v>-1.6647233737702126E-2</v>
      </c>
      <c r="I110" s="14">
        <f t="shared" si="30"/>
        <v>-1.369948367826373E-2</v>
      </c>
      <c r="J110" s="14">
        <f t="shared" si="31"/>
        <v>1.8020974101954173E-2</v>
      </c>
      <c r="K110" s="22">
        <v>107</v>
      </c>
      <c r="L110" s="12"/>
      <c r="Q110" s="15">
        <f t="shared" si="32"/>
        <v>107</v>
      </c>
      <c r="R110" s="2">
        <f t="shared" si="28"/>
        <v>43622</v>
      </c>
      <c r="S110" s="9">
        <f t="shared" ca="1" si="33"/>
        <v>-1.6647233737702126E-2</v>
      </c>
      <c r="T110" s="9">
        <f t="shared" ca="1" si="34"/>
        <v>-1.369948367826373E-2</v>
      </c>
      <c r="U110" s="9">
        <f t="shared" ca="1" si="35"/>
        <v>1.8020974101954173E-2</v>
      </c>
      <c r="AB110" s="33" t="e">
        <f t="shared" ca="1" si="41"/>
        <v>#N/A</v>
      </c>
      <c r="AC110" s="34" t="e">
        <f t="shared" ca="1" si="42"/>
        <v>#N/A</v>
      </c>
      <c r="AD110" s="34" t="e">
        <f t="shared" ca="1" si="43"/>
        <v>#N/A</v>
      </c>
      <c r="AE110" s="33" t="e">
        <f t="shared" ca="1" si="44"/>
        <v>#N/A</v>
      </c>
      <c r="AF110" s="34" t="e">
        <f t="shared" ca="1" si="36"/>
        <v>#N/A</v>
      </c>
      <c r="AG110" s="34" t="e">
        <f t="shared" ca="1" si="37"/>
        <v>#N/A</v>
      </c>
      <c r="AH110" s="34" t="e">
        <f t="shared" ca="1" si="38"/>
        <v>#N/A</v>
      </c>
      <c r="AI110" s="33" t="e">
        <f t="shared" ca="1" si="45"/>
        <v>#N/A</v>
      </c>
      <c r="AJ110" s="34" t="e">
        <f t="shared" ca="1" si="46"/>
        <v>#N/A</v>
      </c>
      <c r="AK110" s="34" t="e">
        <f t="shared" ca="1" si="39"/>
        <v>#N/A</v>
      </c>
      <c r="AL110" s="34" t="e">
        <f t="shared" ca="1" si="40"/>
        <v>#N/A</v>
      </c>
      <c r="AM110" s="33" t="e">
        <f t="shared" ca="1" si="47"/>
        <v>#N/A</v>
      </c>
      <c r="AN110" s="34" t="e">
        <f t="shared" ca="1" si="48"/>
        <v>#N/A</v>
      </c>
    </row>
    <row r="111" spans="1:40" x14ac:dyDescent="0.3">
      <c r="A111" s="2">
        <v>43623</v>
      </c>
      <c r="B111" s="9">
        <v>53.84</v>
      </c>
      <c r="C111" s="9">
        <v>110.879997</v>
      </c>
      <c r="D111" s="9">
        <v>74.730002999999996</v>
      </c>
      <c r="E111" s="10"/>
      <c r="F111" s="13">
        <v>108</v>
      </c>
      <c r="G111" s="2">
        <v>43623</v>
      </c>
      <c r="H111" s="14">
        <f t="shared" si="29"/>
        <v>-6.8486894889932598E-3</v>
      </c>
      <c r="I111" s="14">
        <f t="shared" si="30"/>
        <v>1.2797960133926926E-2</v>
      </c>
      <c r="J111" s="14">
        <f t="shared" si="31"/>
        <v>3.4852849359380605E-3</v>
      </c>
      <c r="K111" s="22">
        <v>108</v>
      </c>
      <c r="L111" s="12"/>
      <c r="Q111" s="15">
        <f t="shared" si="32"/>
        <v>108</v>
      </c>
      <c r="R111" s="2">
        <f t="shared" si="28"/>
        <v>43623</v>
      </c>
      <c r="S111" s="9">
        <f t="shared" ca="1" si="33"/>
        <v>-6.8486894889932598E-3</v>
      </c>
      <c r="T111" s="9">
        <f t="shared" ca="1" si="34"/>
        <v>1.2797960133926926E-2</v>
      </c>
      <c r="U111" s="9">
        <f t="shared" ca="1" si="35"/>
        <v>3.4852849359380605E-3</v>
      </c>
      <c r="AB111" s="33" t="e">
        <f t="shared" ca="1" si="41"/>
        <v>#N/A</v>
      </c>
      <c r="AC111" s="34" t="e">
        <f t="shared" ca="1" si="42"/>
        <v>#N/A</v>
      </c>
      <c r="AD111" s="34" t="e">
        <f t="shared" ca="1" si="43"/>
        <v>#N/A</v>
      </c>
      <c r="AE111" s="33" t="e">
        <f t="shared" ca="1" si="44"/>
        <v>#N/A</v>
      </c>
      <c r="AF111" s="34" t="e">
        <f t="shared" ca="1" si="36"/>
        <v>#N/A</v>
      </c>
      <c r="AG111" s="34" t="e">
        <f t="shared" ca="1" si="37"/>
        <v>#N/A</v>
      </c>
      <c r="AH111" s="34" t="e">
        <f t="shared" ca="1" si="38"/>
        <v>#N/A</v>
      </c>
      <c r="AI111" s="33" t="e">
        <f t="shared" ca="1" si="45"/>
        <v>#N/A</v>
      </c>
      <c r="AJ111" s="34" t="e">
        <f t="shared" ca="1" si="46"/>
        <v>#N/A</v>
      </c>
      <c r="AK111" s="34" t="e">
        <f t="shared" ca="1" si="39"/>
        <v>#N/A</v>
      </c>
      <c r="AL111" s="34" t="e">
        <f t="shared" ca="1" si="40"/>
        <v>#N/A</v>
      </c>
      <c r="AM111" s="33" t="e">
        <f t="shared" ca="1" si="47"/>
        <v>#N/A</v>
      </c>
      <c r="AN111" s="34" t="e">
        <f t="shared" ca="1" si="48"/>
        <v>#N/A</v>
      </c>
    </row>
    <row r="112" spans="1:40" x14ac:dyDescent="0.3">
      <c r="A112" s="2">
        <v>43626</v>
      </c>
      <c r="B112" s="9">
        <v>54.939999</v>
      </c>
      <c r="C112" s="9">
        <v>113.660004</v>
      </c>
      <c r="D112" s="9">
        <v>75.860000999999997</v>
      </c>
      <c r="E112" s="10"/>
      <c r="F112" s="13">
        <v>109</v>
      </c>
      <c r="G112" s="2">
        <v>43626</v>
      </c>
      <c r="H112" s="14">
        <f t="shared" si="29"/>
        <v>2.0224977128980769E-2</v>
      </c>
      <c r="I112" s="14">
        <f t="shared" si="30"/>
        <v>2.4763062676339102E-2</v>
      </c>
      <c r="J112" s="14">
        <f t="shared" si="31"/>
        <v>1.5007891356212329E-2</v>
      </c>
      <c r="K112" s="22">
        <v>109</v>
      </c>
      <c r="L112" s="12"/>
      <c r="Q112" s="15">
        <f t="shared" si="32"/>
        <v>109</v>
      </c>
      <c r="R112" s="2">
        <f t="shared" si="28"/>
        <v>43626</v>
      </c>
      <c r="S112" s="9">
        <f t="shared" ca="1" si="33"/>
        <v>2.0224977128980769E-2</v>
      </c>
      <c r="T112" s="9">
        <f t="shared" ca="1" si="34"/>
        <v>2.4763062676339102E-2</v>
      </c>
      <c r="U112" s="9">
        <f t="shared" ca="1" si="35"/>
        <v>1.5007891356212329E-2</v>
      </c>
      <c r="AB112" s="33" t="e">
        <f t="shared" ca="1" si="41"/>
        <v>#N/A</v>
      </c>
      <c r="AC112" s="34" t="e">
        <f t="shared" ca="1" si="42"/>
        <v>#N/A</v>
      </c>
      <c r="AD112" s="34" t="e">
        <f t="shared" ca="1" si="43"/>
        <v>#N/A</v>
      </c>
      <c r="AE112" s="33" t="e">
        <f t="shared" ca="1" si="44"/>
        <v>#N/A</v>
      </c>
      <c r="AF112" s="34" t="e">
        <f t="shared" ca="1" si="36"/>
        <v>#N/A</v>
      </c>
      <c r="AG112" s="34" t="e">
        <f t="shared" ca="1" si="37"/>
        <v>#N/A</v>
      </c>
      <c r="AH112" s="34" t="e">
        <f t="shared" ca="1" si="38"/>
        <v>#N/A</v>
      </c>
      <c r="AI112" s="33" t="e">
        <f t="shared" ca="1" si="45"/>
        <v>#N/A</v>
      </c>
      <c r="AJ112" s="34" t="e">
        <f t="shared" ca="1" si="46"/>
        <v>#N/A</v>
      </c>
      <c r="AK112" s="34" t="e">
        <f t="shared" ca="1" si="39"/>
        <v>#N/A</v>
      </c>
      <c r="AL112" s="34" t="e">
        <f t="shared" ca="1" si="40"/>
        <v>#N/A</v>
      </c>
      <c r="AM112" s="33" t="e">
        <f t="shared" ca="1" si="47"/>
        <v>#N/A</v>
      </c>
      <c r="AN112" s="34" t="e">
        <f t="shared" ca="1" si="48"/>
        <v>#N/A</v>
      </c>
    </row>
    <row r="113" spans="1:40" x14ac:dyDescent="0.3">
      <c r="A113" s="2">
        <v>43627</v>
      </c>
      <c r="B113" s="9">
        <v>55.950001</v>
      </c>
      <c r="C113" s="9">
        <v>113.860001</v>
      </c>
      <c r="D113" s="9">
        <v>76.360000999999997</v>
      </c>
      <c r="E113" s="10"/>
      <c r="F113" s="13">
        <v>110</v>
      </c>
      <c r="G113" s="2">
        <v>43627</v>
      </c>
      <c r="H113" s="14">
        <f t="shared" si="29"/>
        <v>1.8216790165582055E-2</v>
      </c>
      <c r="I113" s="14">
        <f t="shared" si="30"/>
        <v>1.7580612439966144E-3</v>
      </c>
      <c r="J113" s="14">
        <f t="shared" si="31"/>
        <v>6.5694625104780243E-3</v>
      </c>
      <c r="K113" s="22">
        <v>110</v>
      </c>
      <c r="L113" s="12"/>
      <c r="Q113" s="15">
        <f t="shared" si="32"/>
        <v>110</v>
      </c>
      <c r="R113" s="2">
        <f t="shared" si="28"/>
        <v>43627</v>
      </c>
      <c r="S113" s="9">
        <f t="shared" ca="1" si="33"/>
        <v>1.8216790165582055E-2</v>
      </c>
      <c r="T113" s="9">
        <f t="shared" ca="1" si="34"/>
        <v>1.7580612439966144E-3</v>
      </c>
      <c r="U113" s="9">
        <f t="shared" ca="1" si="35"/>
        <v>6.5694625104780243E-3</v>
      </c>
      <c r="AB113" s="33" t="e">
        <f t="shared" ca="1" si="41"/>
        <v>#N/A</v>
      </c>
      <c r="AC113" s="34" t="e">
        <f t="shared" ca="1" si="42"/>
        <v>#N/A</v>
      </c>
      <c r="AD113" s="34" t="e">
        <f t="shared" ca="1" si="43"/>
        <v>#N/A</v>
      </c>
      <c r="AE113" s="33" t="e">
        <f t="shared" ca="1" si="44"/>
        <v>#N/A</v>
      </c>
      <c r="AF113" s="34" t="e">
        <f t="shared" ca="1" si="36"/>
        <v>#N/A</v>
      </c>
      <c r="AG113" s="34" t="e">
        <f t="shared" ca="1" si="37"/>
        <v>#N/A</v>
      </c>
      <c r="AH113" s="34" t="e">
        <f t="shared" ca="1" si="38"/>
        <v>#N/A</v>
      </c>
      <c r="AI113" s="33" t="e">
        <f t="shared" ca="1" si="45"/>
        <v>#N/A</v>
      </c>
      <c r="AJ113" s="34" t="e">
        <f t="shared" ca="1" si="46"/>
        <v>#N/A</v>
      </c>
      <c r="AK113" s="34" t="e">
        <f t="shared" ca="1" si="39"/>
        <v>#N/A</v>
      </c>
      <c r="AL113" s="34" t="e">
        <f t="shared" ca="1" si="40"/>
        <v>#N/A</v>
      </c>
      <c r="AM113" s="33" t="e">
        <f t="shared" ca="1" si="47"/>
        <v>#N/A</v>
      </c>
      <c r="AN113" s="34" t="e">
        <f t="shared" ca="1" si="48"/>
        <v>#N/A</v>
      </c>
    </row>
    <row r="114" spans="1:40" x14ac:dyDescent="0.3">
      <c r="A114" s="2">
        <v>43628</v>
      </c>
      <c r="B114" s="9">
        <v>55.48</v>
      </c>
      <c r="C114" s="9">
        <v>112.66999800000001</v>
      </c>
      <c r="D114" s="9">
        <v>76.5</v>
      </c>
      <c r="E114" s="10"/>
      <c r="F114" s="13">
        <v>111</v>
      </c>
      <c r="G114" s="2">
        <v>43628</v>
      </c>
      <c r="H114" s="14">
        <f t="shared" si="29"/>
        <v>-8.4358571844042694E-3</v>
      </c>
      <c r="I114" s="14">
        <f t="shared" si="30"/>
        <v>-1.050645788053103E-2</v>
      </c>
      <c r="J114" s="14">
        <f t="shared" si="31"/>
        <v>1.8317288790817279E-3</v>
      </c>
      <c r="K114" s="22">
        <v>111</v>
      </c>
      <c r="L114" s="12"/>
      <c r="Q114" s="15">
        <f t="shared" si="32"/>
        <v>111</v>
      </c>
      <c r="R114" s="2">
        <f t="shared" si="28"/>
        <v>43628</v>
      </c>
      <c r="S114" s="9">
        <f t="shared" ca="1" si="33"/>
        <v>-8.4358571844042694E-3</v>
      </c>
      <c r="T114" s="9">
        <f t="shared" ca="1" si="34"/>
        <v>-1.050645788053103E-2</v>
      </c>
      <c r="U114" s="9">
        <f t="shared" ca="1" si="35"/>
        <v>1.8317288790817279E-3</v>
      </c>
      <c r="AB114" s="33" t="e">
        <f t="shared" ca="1" si="41"/>
        <v>#N/A</v>
      </c>
      <c r="AC114" s="34" t="e">
        <f t="shared" ca="1" si="42"/>
        <v>#N/A</v>
      </c>
      <c r="AD114" s="34" t="e">
        <f t="shared" ca="1" si="43"/>
        <v>#N/A</v>
      </c>
      <c r="AE114" s="33" t="e">
        <f t="shared" ca="1" si="44"/>
        <v>#N/A</v>
      </c>
      <c r="AF114" s="34" t="e">
        <f t="shared" ca="1" si="36"/>
        <v>#N/A</v>
      </c>
      <c r="AG114" s="34" t="e">
        <f t="shared" ca="1" si="37"/>
        <v>#N/A</v>
      </c>
      <c r="AH114" s="34" t="e">
        <f t="shared" ca="1" si="38"/>
        <v>#N/A</v>
      </c>
      <c r="AI114" s="33" t="e">
        <f t="shared" ca="1" si="45"/>
        <v>#N/A</v>
      </c>
      <c r="AJ114" s="34" t="e">
        <f t="shared" ca="1" si="46"/>
        <v>#N/A</v>
      </c>
      <c r="AK114" s="34" t="e">
        <f t="shared" ca="1" si="39"/>
        <v>#N/A</v>
      </c>
      <c r="AL114" s="34" t="e">
        <f t="shared" ca="1" si="40"/>
        <v>#N/A</v>
      </c>
      <c r="AM114" s="33" t="e">
        <f t="shared" ca="1" si="47"/>
        <v>#N/A</v>
      </c>
      <c r="AN114" s="34" t="e">
        <f t="shared" ca="1" si="48"/>
        <v>#N/A</v>
      </c>
    </row>
    <row r="115" spans="1:40" x14ac:dyDescent="0.3">
      <c r="A115" s="2">
        <v>43629</v>
      </c>
      <c r="B115" s="9">
        <v>56.709999000000003</v>
      </c>
      <c r="C115" s="9">
        <v>112.620003</v>
      </c>
      <c r="D115" s="9">
        <v>77.260002</v>
      </c>
      <c r="E115" s="10"/>
      <c r="F115" s="13">
        <v>112</v>
      </c>
      <c r="G115" s="2">
        <v>43629</v>
      </c>
      <c r="H115" s="14">
        <f t="shared" si="29"/>
        <v>2.1927948945731451E-2</v>
      </c>
      <c r="I115" s="14">
        <f t="shared" si="30"/>
        <v>-4.4382796039575987E-4</v>
      </c>
      <c r="J115" s="14">
        <f t="shared" si="31"/>
        <v>9.8856422922613575E-3</v>
      </c>
      <c r="K115" s="22">
        <v>112</v>
      </c>
      <c r="L115" s="12"/>
      <c r="Q115" s="15">
        <f t="shared" si="32"/>
        <v>112</v>
      </c>
      <c r="R115" s="2">
        <f t="shared" si="28"/>
        <v>43629</v>
      </c>
      <c r="S115" s="9">
        <f t="shared" ca="1" si="33"/>
        <v>2.1927948945731451E-2</v>
      </c>
      <c r="T115" s="9">
        <f t="shared" ca="1" si="34"/>
        <v>-4.4382796039575987E-4</v>
      </c>
      <c r="U115" s="9">
        <f t="shared" ca="1" si="35"/>
        <v>9.8856422922613575E-3</v>
      </c>
      <c r="AB115" s="33" t="e">
        <f t="shared" ca="1" si="41"/>
        <v>#N/A</v>
      </c>
      <c r="AC115" s="34" t="e">
        <f t="shared" ca="1" si="42"/>
        <v>#N/A</v>
      </c>
      <c r="AD115" s="34" t="e">
        <f t="shared" ca="1" si="43"/>
        <v>#N/A</v>
      </c>
      <c r="AE115" s="33" t="e">
        <f t="shared" ca="1" si="44"/>
        <v>#N/A</v>
      </c>
      <c r="AF115" s="34" t="e">
        <f t="shared" ca="1" si="36"/>
        <v>#N/A</v>
      </c>
      <c r="AG115" s="34" t="e">
        <f t="shared" ca="1" si="37"/>
        <v>#N/A</v>
      </c>
      <c r="AH115" s="34" t="e">
        <f t="shared" ca="1" si="38"/>
        <v>#N/A</v>
      </c>
      <c r="AI115" s="33" t="e">
        <f t="shared" ca="1" si="45"/>
        <v>#N/A</v>
      </c>
      <c r="AJ115" s="34" t="e">
        <f t="shared" ca="1" si="46"/>
        <v>#N/A</v>
      </c>
      <c r="AK115" s="34" t="e">
        <f t="shared" ca="1" si="39"/>
        <v>#N/A</v>
      </c>
      <c r="AL115" s="34" t="e">
        <f t="shared" ca="1" si="40"/>
        <v>#N/A</v>
      </c>
      <c r="AM115" s="33" t="e">
        <f t="shared" ca="1" si="47"/>
        <v>#N/A</v>
      </c>
      <c r="AN115" s="34" t="e">
        <f t="shared" ca="1" si="48"/>
        <v>#N/A</v>
      </c>
    </row>
    <row r="116" spans="1:40" x14ac:dyDescent="0.3">
      <c r="A116" s="2">
        <v>43630</v>
      </c>
      <c r="B116" s="9">
        <v>56.25</v>
      </c>
      <c r="C116" s="9">
        <v>112.129997</v>
      </c>
      <c r="D116" s="9">
        <v>76.760002</v>
      </c>
      <c r="E116" s="10"/>
      <c r="F116" s="13">
        <v>113</v>
      </c>
      <c r="G116" s="2">
        <v>43630</v>
      </c>
      <c r="H116" s="14">
        <f t="shared" si="29"/>
        <v>-8.1445033078326665E-3</v>
      </c>
      <c r="I116" s="14">
        <f t="shared" si="30"/>
        <v>-4.360460746595368E-3</v>
      </c>
      <c r="J116" s="14">
        <f t="shared" si="31"/>
        <v>-6.4926859300156502E-3</v>
      </c>
      <c r="K116" s="22">
        <v>113</v>
      </c>
      <c r="L116" s="12"/>
      <c r="Q116" s="15">
        <f t="shared" si="32"/>
        <v>113</v>
      </c>
      <c r="R116" s="2">
        <f t="shared" si="28"/>
        <v>43630</v>
      </c>
      <c r="S116" s="9">
        <f t="shared" ca="1" si="33"/>
        <v>-8.1445033078326665E-3</v>
      </c>
      <c r="T116" s="9">
        <f t="shared" ca="1" si="34"/>
        <v>-4.360460746595368E-3</v>
      </c>
      <c r="U116" s="9">
        <f t="shared" ca="1" si="35"/>
        <v>-6.4926859300156502E-3</v>
      </c>
      <c r="AB116" s="33" t="e">
        <f t="shared" ca="1" si="41"/>
        <v>#N/A</v>
      </c>
      <c r="AC116" s="34" t="e">
        <f t="shared" ca="1" si="42"/>
        <v>#N/A</v>
      </c>
      <c r="AD116" s="34" t="e">
        <f t="shared" ca="1" si="43"/>
        <v>#N/A</v>
      </c>
      <c r="AE116" s="33" t="e">
        <f t="shared" ca="1" si="44"/>
        <v>#N/A</v>
      </c>
      <c r="AF116" s="34" t="e">
        <f t="shared" ca="1" si="36"/>
        <v>#N/A</v>
      </c>
      <c r="AG116" s="34" t="e">
        <f t="shared" ca="1" si="37"/>
        <v>#N/A</v>
      </c>
      <c r="AH116" s="34" t="e">
        <f t="shared" ca="1" si="38"/>
        <v>#N/A</v>
      </c>
      <c r="AI116" s="33" t="e">
        <f t="shared" ca="1" si="45"/>
        <v>#N/A</v>
      </c>
      <c r="AJ116" s="34" t="e">
        <f t="shared" ca="1" si="46"/>
        <v>#N/A</v>
      </c>
      <c r="AK116" s="34" t="e">
        <f t="shared" ca="1" si="39"/>
        <v>#N/A</v>
      </c>
      <c r="AL116" s="34" t="e">
        <f t="shared" ca="1" si="40"/>
        <v>#N/A</v>
      </c>
      <c r="AM116" s="33" t="e">
        <f t="shared" ca="1" si="47"/>
        <v>#N/A</v>
      </c>
      <c r="AN116" s="34" t="e">
        <f t="shared" ca="1" si="48"/>
        <v>#N/A</v>
      </c>
    </row>
    <row r="117" spans="1:40" x14ac:dyDescent="0.3">
      <c r="A117" s="2">
        <v>43633</v>
      </c>
      <c r="B117" s="9">
        <v>55.57</v>
      </c>
      <c r="C117" s="9">
        <v>112.300003</v>
      </c>
      <c r="D117" s="9">
        <v>76.930000000000007</v>
      </c>
      <c r="E117" s="10"/>
      <c r="F117" s="13">
        <v>114</v>
      </c>
      <c r="G117" s="2">
        <v>43633</v>
      </c>
      <c r="H117" s="14">
        <f t="shared" si="29"/>
        <v>-1.2162553792699668E-2</v>
      </c>
      <c r="I117" s="14">
        <f t="shared" si="30"/>
        <v>1.5150027404265394E-3</v>
      </c>
      <c r="J117" s="14">
        <f t="shared" si="31"/>
        <v>2.2122202761074607E-3</v>
      </c>
      <c r="K117" s="22">
        <v>114</v>
      </c>
      <c r="L117" s="12"/>
      <c r="Q117" s="15">
        <f t="shared" si="32"/>
        <v>114</v>
      </c>
      <c r="R117" s="2">
        <f t="shared" si="28"/>
        <v>43633</v>
      </c>
      <c r="S117" s="9">
        <f t="shared" ca="1" si="33"/>
        <v>-1.2162553792699668E-2</v>
      </c>
      <c r="T117" s="9">
        <f t="shared" ca="1" si="34"/>
        <v>1.5150027404265394E-3</v>
      </c>
      <c r="U117" s="9">
        <f t="shared" ca="1" si="35"/>
        <v>2.2122202761074607E-3</v>
      </c>
      <c r="AB117" s="33" t="e">
        <f t="shared" ca="1" si="41"/>
        <v>#N/A</v>
      </c>
      <c r="AC117" s="34" t="e">
        <f t="shared" ca="1" si="42"/>
        <v>#N/A</v>
      </c>
      <c r="AD117" s="34" t="e">
        <f t="shared" ca="1" si="43"/>
        <v>#N/A</v>
      </c>
      <c r="AE117" s="33" t="e">
        <f t="shared" ca="1" si="44"/>
        <v>#N/A</v>
      </c>
      <c r="AF117" s="34" t="e">
        <f t="shared" ca="1" si="36"/>
        <v>#N/A</v>
      </c>
      <c r="AG117" s="34" t="e">
        <f t="shared" ca="1" si="37"/>
        <v>#N/A</v>
      </c>
      <c r="AH117" s="34" t="e">
        <f t="shared" ca="1" si="38"/>
        <v>#N/A</v>
      </c>
      <c r="AI117" s="33" t="e">
        <f t="shared" ca="1" si="45"/>
        <v>#N/A</v>
      </c>
      <c r="AJ117" s="34" t="e">
        <f t="shared" ca="1" si="46"/>
        <v>#N/A</v>
      </c>
      <c r="AK117" s="34" t="e">
        <f t="shared" ca="1" si="39"/>
        <v>#N/A</v>
      </c>
      <c r="AL117" s="34" t="e">
        <f t="shared" ca="1" si="40"/>
        <v>#N/A</v>
      </c>
      <c r="AM117" s="33" t="e">
        <f t="shared" ca="1" si="47"/>
        <v>#N/A</v>
      </c>
      <c r="AN117" s="34" t="e">
        <f t="shared" ca="1" si="48"/>
        <v>#N/A</v>
      </c>
    </row>
    <row r="118" spans="1:40" x14ac:dyDescent="0.3">
      <c r="A118" s="2">
        <v>43634</v>
      </c>
      <c r="B118" s="9">
        <v>56.98</v>
      </c>
      <c r="C118" s="9">
        <v>113.379997</v>
      </c>
      <c r="D118" s="9">
        <v>77.800003000000004</v>
      </c>
      <c r="E118" s="10"/>
      <c r="F118" s="13">
        <v>115</v>
      </c>
      <c r="G118" s="2">
        <v>43634</v>
      </c>
      <c r="H118" s="14">
        <f t="shared" si="29"/>
        <v>2.5056841777932243E-2</v>
      </c>
      <c r="I118" s="14">
        <f t="shared" si="30"/>
        <v>9.5710939779086249E-3</v>
      </c>
      <c r="J118" s="14">
        <f t="shared" si="31"/>
        <v>1.1245552273913186E-2</v>
      </c>
      <c r="K118" s="22">
        <v>115</v>
      </c>
      <c r="L118" s="12"/>
      <c r="Q118" s="15">
        <f t="shared" si="32"/>
        <v>115</v>
      </c>
      <c r="R118" s="2">
        <f t="shared" si="28"/>
        <v>43634</v>
      </c>
      <c r="S118" s="9">
        <f t="shared" ca="1" si="33"/>
        <v>2.5056841777932243E-2</v>
      </c>
      <c r="T118" s="9">
        <f t="shared" ca="1" si="34"/>
        <v>9.5710939779086249E-3</v>
      </c>
      <c r="U118" s="9">
        <f t="shared" ca="1" si="35"/>
        <v>1.1245552273913186E-2</v>
      </c>
      <c r="AB118" s="33" t="e">
        <f t="shared" ca="1" si="41"/>
        <v>#N/A</v>
      </c>
      <c r="AC118" s="34" t="e">
        <f t="shared" ca="1" si="42"/>
        <v>#N/A</v>
      </c>
      <c r="AD118" s="34" t="e">
        <f t="shared" ca="1" si="43"/>
        <v>#N/A</v>
      </c>
      <c r="AE118" s="33" t="e">
        <f t="shared" ca="1" si="44"/>
        <v>#N/A</v>
      </c>
      <c r="AF118" s="34" t="e">
        <f t="shared" ca="1" si="36"/>
        <v>#N/A</v>
      </c>
      <c r="AG118" s="34" t="e">
        <f t="shared" ca="1" si="37"/>
        <v>#N/A</v>
      </c>
      <c r="AH118" s="34" t="e">
        <f t="shared" ca="1" si="38"/>
        <v>#N/A</v>
      </c>
      <c r="AI118" s="33" t="e">
        <f t="shared" ca="1" si="45"/>
        <v>#N/A</v>
      </c>
      <c r="AJ118" s="34" t="e">
        <f t="shared" ca="1" si="46"/>
        <v>#N/A</v>
      </c>
      <c r="AK118" s="34" t="e">
        <f t="shared" ca="1" si="39"/>
        <v>#N/A</v>
      </c>
      <c r="AL118" s="34" t="e">
        <f t="shared" ca="1" si="40"/>
        <v>#N/A</v>
      </c>
      <c r="AM118" s="33" t="e">
        <f t="shared" ca="1" si="47"/>
        <v>#N/A</v>
      </c>
      <c r="AN118" s="34" t="e">
        <f t="shared" ca="1" si="48"/>
        <v>#N/A</v>
      </c>
    </row>
    <row r="119" spans="1:40" x14ac:dyDescent="0.3">
      <c r="A119" s="2">
        <v>43635</v>
      </c>
      <c r="B119" s="9">
        <v>56.810001</v>
      </c>
      <c r="C119" s="9">
        <v>112.650002</v>
      </c>
      <c r="D119" s="9">
        <v>78.160004000000001</v>
      </c>
      <c r="E119" s="10"/>
      <c r="F119" s="13">
        <v>116</v>
      </c>
      <c r="G119" s="2">
        <v>43635</v>
      </c>
      <c r="H119" s="14">
        <f t="shared" si="29"/>
        <v>-2.9879448981920392E-3</v>
      </c>
      <c r="I119" s="14">
        <f t="shared" si="30"/>
        <v>-6.4592978041053137E-3</v>
      </c>
      <c r="J119" s="14">
        <f t="shared" si="31"/>
        <v>4.6165891668421295E-3</v>
      </c>
      <c r="K119" s="22">
        <v>116</v>
      </c>
      <c r="L119" s="12"/>
      <c r="Q119" s="15">
        <f t="shared" si="32"/>
        <v>116</v>
      </c>
      <c r="R119" s="2">
        <f t="shared" si="28"/>
        <v>43635</v>
      </c>
      <c r="S119" s="9">
        <f t="shared" ca="1" si="33"/>
        <v>-2.9879448981920392E-3</v>
      </c>
      <c r="T119" s="9">
        <f t="shared" ca="1" si="34"/>
        <v>-6.4592978041053137E-3</v>
      </c>
      <c r="U119" s="9">
        <f t="shared" ca="1" si="35"/>
        <v>4.6165891668421295E-3</v>
      </c>
      <c r="AB119" s="33" t="e">
        <f t="shared" ca="1" si="41"/>
        <v>#N/A</v>
      </c>
      <c r="AC119" s="34" t="e">
        <f t="shared" ca="1" si="42"/>
        <v>#N/A</v>
      </c>
      <c r="AD119" s="34" t="e">
        <f t="shared" ca="1" si="43"/>
        <v>#N/A</v>
      </c>
      <c r="AE119" s="33" t="e">
        <f t="shared" ca="1" si="44"/>
        <v>#N/A</v>
      </c>
      <c r="AF119" s="34" t="e">
        <f t="shared" ca="1" si="36"/>
        <v>#N/A</v>
      </c>
      <c r="AG119" s="34" t="e">
        <f t="shared" ca="1" si="37"/>
        <v>#N/A</v>
      </c>
      <c r="AH119" s="34" t="e">
        <f t="shared" ca="1" si="38"/>
        <v>#N/A</v>
      </c>
      <c r="AI119" s="33" t="e">
        <f t="shared" ca="1" si="45"/>
        <v>#N/A</v>
      </c>
      <c r="AJ119" s="34" t="e">
        <f t="shared" ca="1" si="46"/>
        <v>#N/A</v>
      </c>
      <c r="AK119" s="34" t="e">
        <f t="shared" ca="1" si="39"/>
        <v>#N/A</v>
      </c>
      <c r="AL119" s="34" t="e">
        <f t="shared" ca="1" si="40"/>
        <v>#N/A</v>
      </c>
      <c r="AM119" s="33" t="e">
        <f t="shared" ca="1" si="47"/>
        <v>#N/A</v>
      </c>
      <c r="AN119" s="34" t="e">
        <f t="shared" ca="1" si="48"/>
        <v>#N/A</v>
      </c>
    </row>
    <row r="120" spans="1:40" x14ac:dyDescent="0.3">
      <c r="A120" s="2">
        <v>43636</v>
      </c>
      <c r="B120" s="9">
        <v>57.32</v>
      </c>
      <c r="C120" s="9">
        <v>114.910004</v>
      </c>
      <c r="D120" s="9">
        <v>79.75</v>
      </c>
      <c r="E120" s="10"/>
      <c r="F120" s="13">
        <v>117</v>
      </c>
      <c r="G120" s="2">
        <v>43636</v>
      </c>
      <c r="H120" s="14">
        <f t="shared" si="29"/>
        <v>8.9372187884009403E-3</v>
      </c>
      <c r="I120" s="14">
        <f t="shared" si="30"/>
        <v>1.9863563447034105E-2</v>
      </c>
      <c r="J120" s="14">
        <f t="shared" si="31"/>
        <v>2.0138682753355272E-2</v>
      </c>
      <c r="K120" s="22">
        <v>117</v>
      </c>
      <c r="L120" s="12"/>
      <c r="Q120" s="15">
        <f t="shared" si="32"/>
        <v>117</v>
      </c>
      <c r="R120" s="2">
        <f t="shared" si="28"/>
        <v>43636</v>
      </c>
      <c r="S120" s="9">
        <f t="shared" ca="1" si="33"/>
        <v>8.9372187884009403E-3</v>
      </c>
      <c r="T120" s="9">
        <f t="shared" ca="1" si="34"/>
        <v>1.9863563447034105E-2</v>
      </c>
      <c r="U120" s="9">
        <f t="shared" ca="1" si="35"/>
        <v>2.0138682753355272E-2</v>
      </c>
      <c r="AB120" s="33" t="e">
        <f t="shared" ca="1" si="41"/>
        <v>#N/A</v>
      </c>
      <c r="AC120" s="34" t="e">
        <f t="shared" ca="1" si="42"/>
        <v>#N/A</v>
      </c>
      <c r="AD120" s="34" t="e">
        <f t="shared" ca="1" si="43"/>
        <v>#N/A</v>
      </c>
      <c r="AE120" s="33" t="e">
        <f t="shared" ca="1" si="44"/>
        <v>#N/A</v>
      </c>
      <c r="AF120" s="34" t="e">
        <f t="shared" ca="1" si="36"/>
        <v>#N/A</v>
      </c>
      <c r="AG120" s="34" t="e">
        <f t="shared" ca="1" si="37"/>
        <v>#N/A</v>
      </c>
      <c r="AH120" s="34" t="e">
        <f t="shared" ca="1" si="38"/>
        <v>#N/A</v>
      </c>
      <c r="AI120" s="33" t="e">
        <f t="shared" ca="1" si="45"/>
        <v>#N/A</v>
      </c>
      <c r="AJ120" s="34" t="e">
        <f t="shared" ca="1" si="46"/>
        <v>#N/A</v>
      </c>
      <c r="AK120" s="34" t="e">
        <f t="shared" ca="1" si="39"/>
        <v>#N/A</v>
      </c>
      <c r="AL120" s="34" t="e">
        <f t="shared" ca="1" si="40"/>
        <v>#N/A</v>
      </c>
      <c r="AM120" s="33" t="e">
        <f t="shared" ca="1" si="47"/>
        <v>#N/A</v>
      </c>
      <c r="AN120" s="34" t="e">
        <f t="shared" ca="1" si="48"/>
        <v>#N/A</v>
      </c>
    </row>
    <row r="121" spans="1:40" x14ac:dyDescent="0.3">
      <c r="A121" s="2">
        <v>43637</v>
      </c>
      <c r="B121" s="9">
        <v>56.209999000000003</v>
      </c>
      <c r="C121" s="9">
        <v>117.779999</v>
      </c>
      <c r="D121" s="9">
        <v>81.910004000000001</v>
      </c>
      <c r="E121" s="10"/>
      <c r="F121" s="13">
        <v>118</v>
      </c>
      <c r="G121" s="2">
        <v>43637</v>
      </c>
      <c r="H121" s="14">
        <f t="shared" si="29"/>
        <v>-1.9554943736416384E-2</v>
      </c>
      <c r="I121" s="14">
        <f t="shared" si="30"/>
        <v>2.4669220946625943E-2</v>
      </c>
      <c r="J121" s="14">
        <f t="shared" si="31"/>
        <v>2.6724390696641717E-2</v>
      </c>
      <c r="K121" s="22">
        <v>118</v>
      </c>
      <c r="L121" s="12"/>
      <c r="Q121" s="15">
        <f t="shared" si="32"/>
        <v>118</v>
      </c>
      <c r="R121" s="2">
        <f t="shared" si="28"/>
        <v>43637</v>
      </c>
      <c r="S121" s="9">
        <f t="shared" ca="1" si="33"/>
        <v>-1.9554943736416384E-2</v>
      </c>
      <c r="T121" s="9">
        <f t="shared" ca="1" si="34"/>
        <v>2.4669220946625943E-2</v>
      </c>
      <c r="U121" s="9">
        <f t="shared" ca="1" si="35"/>
        <v>2.6724390696641717E-2</v>
      </c>
      <c r="AB121" s="33" t="e">
        <f t="shared" ca="1" si="41"/>
        <v>#N/A</v>
      </c>
      <c r="AC121" s="34" t="e">
        <f t="shared" ca="1" si="42"/>
        <v>#N/A</v>
      </c>
      <c r="AD121" s="34" t="e">
        <f t="shared" ca="1" si="43"/>
        <v>#N/A</v>
      </c>
      <c r="AE121" s="33" t="e">
        <f t="shared" ca="1" si="44"/>
        <v>#N/A</v>
      </c>
      <c r="AF121" s="34" t="e">
        <f t="shared" ca="1" si="36"/>
        <v>#N/A</v>
      </c>
      <c r="AG121" s="34" t="e">
        <f t="shared" ca="1" si="37"/>
        <v>#N/A</v>
      </c>
      <c r="AH121" s="34" t="e">
        <f t="shared" ca="1" si="38"/>
        <v>#N/A</v>
      </c>
      <c r="AI121" s="33" t="e">
        <f t="shared" ca="1" si="45"/>
        <v>#N/A</v>
      </c>
      <c r="AJ121" s="34" t="e">
        <f t="shared" ca="1" si="46"/>
        <v>#N/A</v>
      </c>
      <c r="AK121" s="34" t="e">
        <f t="shared" ca="1" si="39"/>
        <v>#N/A</v>
      </c>
      <c r="AL121" s="34" t="e">
        <f t="shared" ca="1" si="40"/>
        <v>#N/A</v>
      </c>
      <c r="AM121" s="33" t="e">
        <f t="shared" ca="1" si="47"/>
        <v>#N/A</v>
      </c>
      <c r="AN121" s="34" t="e">
        <f t="shared" ca="1" si="48"/>
        <v>#N/A</v>
      </c>
    </row>
    <row r="122" spans="1:40" x14ac:dyDescent="0.3">
      <c r="A122" s="2">
        <v>43640</v>
      </c>
      <c r="B122" s="9">
        <v>55.68</v>
      </c>
      <c r="C122" s="9">
        <v>116.94000200000001</v>
      </c>
      <c r="D122" s="9">
        <v>80.760002</v>
      </c>
      <c r="E122" s="10"/>
      <c r="F122" s="13">
        <v>119</v>
      </c>
      <c r="G122" s="2">
        <v>43640</v>
      </c>
      <c r="H122" s="14">
        <f t="shared" si="29"/>
        <v>-9.4736431973905626E-3</v>
      </c>
      <c r="I122" s="14">
        <f t="shared" si="30"/>
        <v>-7.1574691757067882E-3</v>
      </c>
      <c r="J122" s="14">
        <f t="shared" si="31"/>
        <v>-1.4139314152224228E-2</v>
      </c>
      <c r="K122" s="22">
        <v>119</v>
      </c>
      <c r="L122" s="12"/>
      <c r="Q122" s="15">
        <f t="shared" si="32"/>
        <v>119</v>
      </c>
      <c r="R122" s="2">
        <f t="shared" si="28"/>
        <v>43640</v>
      </c>
      <c r="S122" s="9">
        <f t="shared" ca="1" si="33"/>
        <v>-9.4736431973905626E-3</v>
      </c>
      <c r="T122" s="9">
        <f t="shared" ca="1" si="34"/>
        <v>-7.1574691757067882E-3</v>
      </c>
      <c r="U122" s="9">
        <f t="shared" ca="1" si="35"/>
        <v>-1.4139314152224228E-2</v>
      </c>
      <c r="AB122" s="33" t="e">
        <f t="shared" ca="1" si="41"/>
        <v>#N/A</v>
      </c>
      <c r="AC122" s="34" t="e">
        <f t="shared" ca="1" si="42"/>
        <v>#N/A</v>
      </c>
      <c r="AD122" s="34" t="e">
        <f t="shared" ca="1" si="43"/>
        <v>#N/A</v>
      </c>
      <c r="AE122" s="33" t="e">
        <f t="shared" ca="1" si="44"/>
        <v>#N/A</v>
      </c>
      <c r="AF122" s="34" t="e">
        <f t="shared" ca="1" si="36"/>
        <v>#N/A</v>
      </c>
      <c r="AG122" s="34" t="e">
        <f t="shared" ca="1" si="37"/>
        <v>#N/A</v>
      </c>
      <c r="AH122" s="34" t="e">
        <f t="shared" ca="1" si="38"/>
        <v>#N/A</v>
      </c>
      <c r="AI122" s="33" t="e">
        <f t="shared" ca="1" si="45"/>
        <v>#N/A</v>
      </c>
      <c r="AJ122" s="34" t="e">
        <f t="shared" ca="1" si="46"/>
        <v>#N/A</v>
      </c>
      <c r="AK122" s="34" t="e">
        <f t="shared" ca="1" si="39"/>
        <v>#N/A</v>
      </c>
      <c r="AL122" s="34" t="e">
        <f t="shared" ca="1" si="40"/>
        <v>#N/A</v>
      </c>
      <c r="AM122" s="33" t="e">
        <f t="shared" ca="1" si="47"/>
        <v>#N/A</v>
      </c>
      <c r="AN122" s="34" t="e">
        <f t="shared" ca="1" si="48"/>
        <v>#N/A</v>
      </c>
    </row>
    <row r="123" spans="1:40" x14ac:dyDescent="0.3">
      <c r="A123" s="2">
        <v>43641</v>
      </c>
      <c r="B123" s="9">
        <v>55.470001000000003</v>
      </c>
      <c r="C123" s="9">
        <v>113.68</v>
      </c>
      <c r="D123" s="9">
        <v>81.629997000000003</v>
      </c>
      <c r="E123" s="10"/>
      <c r="F123" s="13">
        <v>120</v>
      </c>
      <c r="G123" s="2">
        <v>43641</v>
      </c>
      <c r="H123" s="14">
        <f t="shared" si="29"/>
        <v>-3.7786639312584131E-3</v>
      </c>
      <c r="I123" s="14">
        <f t="shared" si="30"/>
        <v>-2.8273516061466893E-2</v>
      </c>
      <c r="J123" s="14">
        <f t="shared" si="31"/>
        <v>1.0714986502698068E-2</v>
      </c>
      <c r="K123" s="22">
        <v>120</v>
      </c>
      <c r="L123" s="12"/>
      <c r="Q123" s="15">
        <f t="shared" si="32"/>
        <v>120</v>
      </c>
      <c r="R123" s="2">
        <f t="shared" si="28"/>
        <v>43641</v>
      </c>
      <c r="S123" s="9">
        <f t="shared" ca="1" si="33"/>
        <v>-3.7786639312584131E-3</v>
      </c>
      <c r="T123" s="9">
        <f t="shared" ca="1" si="34"/>
        <v>-2.8273516061466893E-2</v>
      </c>
      <c r="U123" s="9">
        <f t="shared" ca="1" si="35"/>
        <v>1.0714986502698068E-2</v>
      </c>
      <c r="AB123" s="33" t="e">
        <f t="shared" ca="1" si="41"/>
        <v>#N/A</v>
      </c>
      <c r="AC123" s="34" t="e">
        <f t="shared" ca="1" si="42"/>
        <v>#N/A</v>
      </c>
      <c r="AD123" s="34" t="e">
        <f t="shared" ca="1" si="43"/>
        <v>#N/A</v>
      </c>
      <c r="AE123" s="33" t="e">
        <f t="shared" ca="1" si="44"/>
        <v>#N/A</v>
      </c>
      <c r="AF123" s="34" t="e">
        <f t="shared" ca="1" si="36"/>
        <v>#N/A</v>
      </c>
      <c r="AG123" s="34" t="e">
        <f t="shared" ca="1" si="37"/>
        <v>#N/A</v>
      </c>
      <c r="AH123" s="34" t="e">
        <f t="shared" ca="1" si="38"/>
        <v>#N/A</v>
      </c>
      <c r="AI123" s="33" t="e">
        <f t="shared" ca="1" si="45"/>
        <v>#N/A</v>
      </c>
      <c r="AJ123" s="34" t="e">
        <f t="shared" ca="1" si="46"/>
        <v>#N/A</v>
      </c>
      <c r="AK123" s="34" t="e">
        <f t="shared" ca="1" si="39"/>
        <v>#N/A</v>
      </c>
      <c r="AL123" s="34" t="e">
        <f t="shared" ca="1" si="40"/>
        <v>#N/A</v>
      </c>
      <c r="AM123" s="33" t="e">
        <f t="shared" ca="1" si="47"/>
        <v>#N/A</v>
      </c>
      <c r="AN123" s="34" t="e">
        <f t="shared" ca="1" si="48"/>
        <v>#N/A</v>
      </c>
    </row>
    <row r="124" spans="1:40" x14ac:dyDescent="0.3">
      <c r="A124" s="2">
        <v>43642</v>
      </c>
      <c r="B124" s="9">
        <v>55.860000999999997</v>
      </c>
      <c r="C124" s="9">
        <v>115.360001</v>
      </c>
      <c r="D124" s="9">
        <v>84.93</v>
      </c>
      <c r="E124" s="10"/>
      <c r="F124" s="13">
        <v>121</v>
      </c>
      <c r="G124" s="2">
        <v>43642</v>
      </c>
      <c r="H124" s="14">
        <f t="shared" si="29"/>
        <v>7.0062263240223618E-3</v>
      </c>
      <c r="I124" s="14">
        <f t="shared" si="30"/>
        <v>1.4670198416309534E-2</v>
      </c>
      <c r="J124" s="14">
        <f t="shared" si="31"/>
        <v>3.96305830798485E-2</v>
      </c>
      <c r="K124" s="22">
        <v>121</v>
      </c>
      <c r="L124" s="12"/>
      <c r="Q124" s="15">
        <f t="shared" si="32"/>
        <v>121</v>
      </c>
      <c r="R124" s="2">
        <f t="shared" si="28"/>
        <v>43642</v>
      </c>
      <c r="S124" s="9">
        <f t="shared" ca="1" si="33"/>
        <v>7.0062263240223618E-3</v>
      </c>
      <c r="T124" s="9">
        <f t="shared" ca="1" si="34"/>
        <v>1.4670198416309534E-2</v>
      </c>
      <c r="U124" s="9">
        <f t="shared" ca="1" si="35"/>
        <v>3.96305830798485E-2</v>
      </c>
      <c r="AB124" s="33" t="e">
        <f t="shared" ca="1" si="41"/>
        <v>#N/A</v>
      </c>
      <c r="AC124" s="34" t="e">
        <f t="shared" ca="1" si="42"/>
        <v>#N/A</v>
      </c>
      <c r="AD124" s="34" t="e">
        <f t="shared" ca="1" si="43"/>
        <v>#N/A</v>
      </c>
      <c r="AE124" s="33" t="e">
        <f t="shared" ca="1" si="44"/>
        <v>#N/A</v>
      </c>
      <c r="AF124" s="34" t="e">
        <f t="shared" ca="1" si="36"/>
        <v>#N/A</v>
      </c>
      <c r="AG124" s="34" t="e">
        <f t="shared" ca="1" si="37"/>
        <v>#N/A</v>
      </c>
      <c r="AH124" s="34" t="e">
        <f t="shared" ca="1" si="38"/>
        <v>#N/A</v>
      </c>
      <c r="AI124" s="33" t="e">
        <f t="shared" ca="1" si="45"/>
        <v>#N/A</v>
      </c>
      <c r="AJ124" s="34" t="e">
        <f t="shared" ca="1" si="46"/>
        <v>#N/A</v>
      </c>
      <c r="AK124" s="34" t="e">
        <f t="shared" ca="1" si="39"/>
        <v>#N/A</v>
      </c>
      <c r="AL124" s="34" t="e">
        <f t="shared" ca="1" si="40"/>
        <v>#N/A</v>
      </c>
      <c r="AM124" s="33" t="e">
        <f t="shared" ca="1" si="47"/>
        <v>#N/A</v>
      </c>
      <c r="AN124" s="34" t="e">
        <f t="shared" ca="1" si="48"/>
        <v>#N/A</v>
      </c>
    </row>
    <row r="125" spans="1:40" x14ac:dyDescent="0.3">
      <c r="A125" s="2">
        <v>43643</v>
      </c>
      <c r="B125" s="9">
        <v>56.48</v>
      </c>
      <c r="C125" s="9">
        <v>113.099998</v>
      </c>
      <c r="D125" s="9">
        <v>83.93</v>
      </c>
      <c r="E125" s="10"/>
      <c r="F125" s="13">
        <v>122</v>
      </c>
      <c r="G125" s="2">
        <v>43643</v>
      </c>
      <c r="H125" s="14">
        <f t="shared" si="29"/>
        <v>1.1038014766058472E-2</v>
      </c>
      <c r="I125" s="14">
        <f t="shared" si="30"/>
        <v>-1.9785316766546188E-2</v>
      </c>
      <c r="J125" s="14">
        <f t="shared" si="31"/>
        <v>-1.1844269697181716E-2</v>
      </c>
      <c r="K125" s="22">
        <v>122</v>
      </c>
      <c r="L125" s="12"/>
      <c r="Q125" s="15">
        <f t="shared" si="32"/>
        <v>122</v>
      </c>
      <c r="R125" s="2">
        <f t="shared" si="28"/>
        <v>43643</v>
      </c>
      <c r="S125" s="9">
        <f t="shared" ca="1" si="33"/>
        <v>1.1038014766058472E-2</v>
      </c>
      <c r="T125" s="9">
        <f t="shared" ca="1" si="34"/>
        <v>-1.9785316766546188E-2</v>
      </c>
      <c r="U125" s="9">
        <f t="shared" ca="1" si="35"/>
        <v>-1.1844269697181716E-2</v>
      </c>
      <c r="AB125" s="33" t="e">
        <f t="shared" ca="1" si="41"/>
        <v>#N/A</v>
      </c>
      <c r="AC125" s="34" t="e">
        <f t="shared" ca="1" si="42"/>
        <v>#N/A</v>
      </c>
      <c r="AD125" s="34" t="e">
        <f t="shared" ca="1" si="43"/>
        <v>#N/A</v>
      </c>
      <c r="AE125" s="33" t="e">
        <f t="shared" ca="1" si="44"/>
        <v>#N/A</v>
      </c>
      <c r="AF125" s="34" t="e">
        <f t="shared" ca="1" si="36"/>
        <v>#N/A</v>
      </c>
      <c r="AG125" s="34" t="e">
        <f t="shared" ca="1" si="37"/>
        <v>#N/A</v>
      </c>
      <c r="AH125" s="34" t="e">
        <f t="shared" ca="1" si="38"/>
        <v>#N/A</v>
      </c>
      <c r="AI125" s="33" t="e">
        <f t="shared" ca="1" si="45"/>
        <v>#N/A</v>
      </c>
      <c r="AJ125" s="34" t="e">
        <f t="shared" ca="1" si="46"/>
        <v>#N/A</v>
      </c>
      <c r="AK125" s="34" t="e">
        <f t="shared" ca="1" si="39"/>
        <v>#N/A</v>
      </c>
      <c r="AL125" s="34" t="e">
        <f t="shared" ca="1" si="40"/>
        <v>#N/A</v>
      </c>
      <c r="AM125" s="33" t="e">
        <f t="shared" ca="1" si="47"/>
        <v>#N/A</v>
      </c>
      <c r="AN125" s="34" t="e">
        <f t="shared" ca="1" si="48"/>
        <v>#N/A</v>
      </c>
    </row>
    <row r="126" spans="1:40" x14ac:dyDescent="0.3">
      <c r="A126" s="2">
        <v>43644</v>
      </c>
      <c r="B126" s="9">
        <v>57.009998000000003</v>
      </c>
      <c r="C126" s="9">
        <v>113.589996</v>
      </c>
      <c r="D126" s="9">
        <v>85.610000999999997</v>
      </c>
      <c r="E126" s="10"/>
      <c r="F126" s="13">
        <v>123</v>
      </c>
      <c r="G126" s="2">
        <v>43644</v>
      </c>
      <c r="H126" s="14">
        <f t="shared" si="29"/>
        <v>9.3400627769388029E-3</v>
      </c>
      <c r="I126" s="14">
        <f t="shared" si="30"/>
        <v>4.3230735903535388E-3</v>
      </c>
      <c r="J126" s="14">
        <f t="shared" si="31"/>
        <v>1.9818992340536263E-2</v>
      </c>
      <c r="K126" s="22">
        <v>123</v>
      </c>
      <c r="L126" s="12"/>
      <c r="Q126" s="15">
        <f t="shared" si="32"/>
        <v>123</v>
      </c>
      <c r="R126" s="2">
        <f t="shared" si="28"/>
        <v>43644</v>
      </c>
      <c r="S126" s="9">
        <f t="shared" ca="1" si="33"/>
        <v>9.3400627769388029E-3</v>
      </c>
      <c r="T126" s="9">
        <f t="shared" ca="1" si="34"/>
        <v>4.3230735903535388E-3</v>
      </c>
      <c r="U126" s="9">
        <f t="shared" ca="1" si="35"/>
        <v>1.9818992340536263E-2</v>
      </c>
      <c r="AB126" s="33" t="e">
        <f t="shared" ca="1" si="41"/>
        <v>#N/A</v>
      </c>
      <c r="AC126" s="34" t="e">
        <f t="shared" ca="1" si="42"/>
        <v>#N/A</v>
      </c>
      <c r="AD126" s="34" t="e">
        <f t="shared" ca="1" si="43"/>
        <v>#N/A</v>
      </c>
      <c r="AE126" s="33" t="e">
        <f t="shared" ca="1" si="44"/>
        <v>#N/A</v>
      </c>
      <c r="AF126" s="34" t="e">
        <f t="shared" ca="1" si="36"/>
        <v>#N/A</v>
      </c>
      <c r="AG126" s="34" t="e">
        <f t="shared" ca="1" si="37"/>
        <v>#N/A</v>
      </c>
      <c r="AH126" s="34" t="e">
        <f t="shared" ca="1" si="38"/>
        <v>#N/A</v>
      </c>
      <c r="AI126" s="33" t="e">
        <f t="shared" ca="1" si="45"/>
        <v>#N/A</v>
      </c>
      <c r="AJ126" s="34" t="e">
        <f t="shared" ca="1" si="46"/>
        <v>#N/A</v>
      </c>
      <c r="AK126" s="34" t="e">
        <f t="shared" ca="1" si="39"/>
        <v>#N/A</v>
      </c>
      <c r="AL126" s="34" t="e">
        <f t="shared" ca="1" si="40"/>
        <v>#N/A</v>
      </c>
      <c r="AM126" s="33" t="e">
        <f t="shared" ca="1" si="47"/>
        <v>#N/A</v>
      </c>
      <c r="AN126" s="34" t="e">
        <f t="shared" ca="1" si="48"/>
        <v>#N/A</v>
      </c>
    </row>
    <row r="127" spans="1:40" x14ac:dyDescent="0.3">
      <c r="A127" s="2">
        <v>43647</v>
      </c>
      <c r="B127" s="9">
        <v>57.029998999999997</v>
      </c>
      <c r="C127" s="9">
        <v>113.660004</v>
      </c>
      <c r="D127" s="9">
        <v>84.25</v>
      </c>
      <c r="E127" s="10"/>
      <c r="F127" s="13">
        <v>124</v>
      </c>
      <c r="G127" s="2">
        <v>43647</v>
      </c>
      <c r="H127" s="14">
        <f t="shared" si="29"/>
        <v>3.50771671890981E-4</v>
      </c>
      <c r="I127" s="14">
        <f t="shared" si="30"/>
        <v>6.1613203269260972E-4</v>
      </c>
      <c r="J127" s="14">
        <f t="shared" si="31"/>
        <v>-1.6013541202801462E-2</v>
      </c>
      <c r="K127" s="22">
        <v>124</v>
      </c>
      <c r="L127" s="12"/>
      <c r="Q127" s="15">
        <f t="shared" si="32"/>
        <v>124</v>
      </c>
      <c r="R127" s="2">
        <f t="shared" si="28"/>
        <v>43647</v>
      </c>
      <c r="S127" s="9">
        <f t="shared" ca="1" si="33"/>
        <v>3.50771671890981E-4</v>
      </c>
      <c r="T127" s="9">
        <f t="shared" ca="1" si="34"/>
        <v>6.1613203269260972E-4</v>
      </c>
      <c r="U127" s="9">
        <f t="shared" ca="1" si="35"/>
        <v>-1.6013541202801462E-2</v>
      </c>
      <c r="AB127" s="33" t="e">
        <f t="shared" ca="1" si="41"/>
        <v>#N/A</v>
      </c>
      <c r="AC127" s="34" t="e">
        <f t="shared" ca="1" si="42"/>
        <v>#N/A</v>
      </c>
      <c r="AD127" s="34" t="e">
        <f t="shared" ca="1" si="43"/>
        <v>#N/A</v>
      </c>
      <c r="AE127" s="33" t="e">
        <f t="shared" ca="1" si="44"/>
        <v>#N/A</v>
      </c>
      <c r="AF127" s="34" t="e">
        <f t="shared" ca="1" si="36"/>
        <v>#N/A</v>
      </c>
      <c r="AG127" s="34" t="e">
        <f t="shared" ca="1" si="37"/>
        <v>#N/A</v>
      </c>
      <c r="AH127" s="34" t="e">
        <f t="shared" ca="1" si="38"/>
        <v>#N/A</v>
      </c>
      <c r="AI127" s="33" t="e">
        <f t="shared" ca="1" si="45"/>
        <v>#N/A</v>
      </c>
      <c r="AJ127" s="34" t="e">
        <f t="shared" ca="1" si="46"/>
        <v>#N/A</v>
      </c>
      <c r="AK127" s="34" t="e">
        <f t="shared" ca="1" si="39"/>
        <v>#N/A</v>
      </c>
      <c r="AL127" s="34" t="e">
        <f t="shared" ca="1" si="40"/>
        <v>#N/A</v>
      </c>
      <c r="AM127" s="33" t="e">
        <f t="shared" ca="1" si="47"/>
        <v>#N/A</v>
      </c>
      <c r="AN127" s="34" t="e">
        <f t="shared" ca="1" si="48"/>
        <v>#N/A</v>
      </c>
    </row>
    <row r="128" spans="1:40" x14ac:dyDescent="0.3">
      <c r="A128" s="2">
        <v>43648</v>
      </c>
      <c r="B128" s="9">
        <v>58.119999</v>
      </c>
      <c r="C128" s="9">
        <v>110.269997</v>
      </c>
      <c r="D128" s="9">
        <v>80.699996999999996</v>
      </c>
      <c r="E128" s="10"/>
      <c r="F128" s="13">
        <v>125</v>
      </c>
      <c r="G128" s="2">
        <v>43648</v>
      </c>
      <c r="H128" s="14">
        <f t="shared" si="29"/>
        <v>1.8932393862484558E-2</v>
      </c>
      <c r="I128" s="14">
        <f t="shared" si="30"/>
        <v>-3.0279694497017021E-2</v>
      </c>
      <c r="J128" s="14">
        <f t="shared" si="31"/>
        <v>-4.305003113128994E-2</v>
      </c>
      <c r="K128" s="22">
        <v>125</v>
      </c>
      <c r="L128" s="12"/>
      <c r="Q128" s="15">
        <f t="shared" si="32"/>
        <v>125</v>
      </c>
      <c r="R128" s="2">
        <f t="shared" si="28"/>
        <v>43648</v>
      </c>
      <c r="S128" s="9">
        <f t="shared" ca="1" si="33"/>
        <v>1.8932393862484558E-2</v>
      </c>
      <c r="T128" s="9">
        <f t="shared" ca="1" si="34"/>
        <v>-3.0279694497017021E-2</v>
      </c>
      <c r="U128" s="9">
        <f t="shared" ca="1" si="35"/>
        <v>-4.305003113128994E-2</v>
      </c>
      <c r="AB128" s="33" t="e">
        <f t="shared" ca="1" si="41"/>
        <v>#N/A</v>
      </c>
      <c r="AC128" s="34" t="e">
        <f t="shared" ca="1" si="42"/>
        <v>#N/A</v>
      </c>
      <c r="AD128" s="34" t="e">
        <f t="shared" ca="1" si="43"/>
        <v>#N/A</v>
      </c>
      <c r="AE128" s="33" t="e">
        <f t="shared" ca="1" si="44"/>
        <v>#N/A</v>
      </c>
      <c r="AF128" s="34" t="e">
        <f t="shared" ca="1" si="36"/>
        <v>#N/A</v>
      </c>
      <c r="AG128" s="34" t="e">
        <f t="shared" ca="1" si="37"/>
        <v>#N/A</v>
      </c>
      <c r="AH128" s="34" t="e">
        <f t="shared" ca="1" si="38"/>
        <v>#N/A</v>
      </c>
      <c r="AI128" s="33" t="e">
        <f t="shared" ca="1" si="45"/>
        <v>#N/A</v>
      </c>
      <c r="AJ128" s="34" t="e">
        <f t="shared" ca="1" si="46"/>
        <v>#N/A</v>
      </c>
      <c r="AK128" s="34" t="e">
        <f t="shared" ca="1" si="39"/>
        <v>#N/A</v>
      </c>
      <c r="AL128" s="34" t="e">
        <f t="shared" ca="1" si="40"/>
        <v>#N/A</v>
      </c>
      <c r="AM128" s="33" t="e">
        <f t="shared" ca="1" si="47"/>
        <v>#N/A</v>
      </c>
      <c r="AN128" s="34" t="e">
        <f t="shared" ca="1" si="48"/>
        <v>#N/A</v>
      </c>
    </row>
    <row r="129" spans="1:40" x14ac:dyDescent="0.3">
      <c r="A129" s="2">
        <v>43649</v>
      </c>
      <c r="B129" s="9">
        <v>58</v>
      </c>
      <c r="C129" s="9">
        <v>110.489998</v>
      </c>
      <c r="D129" s="9">
        <v>81.980002999999996</v>
      </c>
      <c r="E129" s="10"/>
      <c r="F129" s="13">
        <v>126</v>
      </c>
      <c r="G129" s="2">
        <v>43649</v>
      </c>
      <c r="H129" s="14">
        <f t="shared" si="29"/>
        <v>-2.0668109498814735E-3</v>
      </c>
      <c r="I129" s="14">
        <f t="shared" si="30"/>
        <v>1.9931244592601245E-3</v>
      </c>
      <c r="J129" s="14">
        <f t="shared" si="31"/>
        <v>1.5736813569300966E-2</v>
      </c>
      <c r="K129" s="22">
        <v>126</v>
      </c>
      <c r="L129" s="12"/>
      <c r="Q129" s="15">
        <f t="shared" si="32"/>
        <v>126</v>
      </c>
      <c r="R129" s="2">
        <f t="shared" si="28"/>
        <v>43649</v>
      </c>
      <c r="S129" s="9">
        <f t="shared" ca="1" si="33"/>
        <v>-2.0668109498814735E-3</v>
      </c>
      <c r="T129" s="9">
        <f t="shared" ca="1" si="34"/>
        <v>1.9931244592601245E-3</v>
      </c>
      <c r="U129" s="9">
        <f t="shared" ca="1" si="35"/>
        <v>1.5736813569300966E-2</v>
      </c>
      <c r="AB129" s="33" t="e">
        <f t="shared" ca="1" si="41"/>
        <v>#N/A</v>
      </c>
      <c r="AC129" s="34" t="e">
        <f t="shared" ca="1" si="42"/>
        <v>#N/A</v>
      </c>
      <c r="AD129" s="34" t="e">
        <f t="shared" ca="1" si="43"/>
        <v>#N/A</v>
      </c>
      <c r="AE129" s="33" t="e">
        <f t="shared" ca="1" si="44"/>
        <v>#N/A</v>
      </c>
      <c r="AF129" s="34" t="e">
        <f t="shared" ca="1" si="36"/>
        <v>#N/A</v>
      </c>
      <c r="AG129" s="34" t="e">
        <f t="shared" ca="1" si="37"/>
        <v>#N/A</v>
      </c>
      <c r="AH129" s="34" t="e">
        <f t="shared" ca="1" si="38"/>
        <v>#N/A</v>
      </c>
      <c r="AI129" s="33" t="e">
        <f t="shared" ca="1" si="45"/>
        <v>#N/A</v>
      </c>
      <c r="AJ129" s="34" t="e">
        <f t="shared" ca="1" si="46"/>
        <v>#N/A</v>
      </c>
      <c r="AK129" s="34" t="e">
        <f t="shared" ca="1" si="39"/>
        <v>#N/A</v>
      </c>
      <c r="AL129" s="34" t="e">
        <f t="shared" ca="1" si="40"/>
        <v>#N/A</v>
      </c>
      <c r="AM129" s="33" t="e">
        <f t="shared" ca="1" si="47"/>
        <v>#N/A</v>
      </c>
      <c r="AN129" s="34" t="e">
        <f t="shared" ca="1" si="48"/>
        <v>#N/A</v>
      </c>
    </row>
    <row r="130" spans="1:40" x14ac:dyDescent="0.3">
      <c r="A130" s="2">
        <v>43651</v>
      </c>
      <c r="B130" s="9">
        <v>57.91</v>
      </c>
      <c r="C130" s="9">
        <v>110.989998</v>
      </c>
      <c r="D130" s="9">
        <v>81.839995999999999</v>
      </c>
      <c r="E130" s="10"/>
      <c r="F130" s="13">
        <v>127</v>
      </c>
      <c r="G130" s="2">
        <v>43651</v>
      </c>
      <c r="H130" s="14">
        <f t="shared" si="29"/>
        <v>-1.5529293087210138E-3</v>
      </c>
      <c r="I130" s="14">
        <f t="shared" si="30"/>
        <v>4.5150881203486681E-3</v>
      </c>
      <c r="J130" s="14">
        <f t="shared" si="31"/>
        <v>-1.7092789029675751E-3</v>
      </c>
      <c r="K130" s="22">
        <v>127</v>
      </c>
      <c r="L130" s="12"/>
      <c r="Q130" s="15">
        <f t="shared" si="32"/>
        <v>127</v>
      </c>
      <c r="R130" s="2">
        <f t="shared" si="28"/>
        <v>43651</v>
      </c>
      <c r="S130" s="9">
        <f t="shared" ca="1" si="33"/>
        <v>-1.5529293087210138E-3</v>
      </c>
      <c r="T130" s="9">
        <f t="shared" ca="1" si="34"/>
        <v>4.5150881203486681E-3</v>
      </c>
      <c r="U130" s="9">
        <f t="shared" ca="1" si="35"/>
        <v>-1.7092789029675751E-3</v>
      </c>
      <c r="AB130" s="33" t="e">
        <f t="shared" ca="1" si="41"/>
        <v>#N/A</v>
      </c>
      <c r="AC130" s="34" t="e">
        <f t="shared" ca="1" si="42"/>
        <v>#N/A</v>
      </c>
      <c r="AD130" s="34" t="e">
        <f t="shared" ca="1" si="43"/>
        <v>#N/A</v>
      </c>
      <c r="AE130" s="33" t="e">
        <f t="shared" ca="1" si="44"/>
        <v>#N/A</v>
      </c>
      <c r="AF130" s="34" t="e">
        <f t="shared" ca="1" si="36"/>
        <v>#N/A</v>
      </c>
      <c r="AG130" s="34" t="e">
        <f t="shared" ca="1" si="37"/>
        <v>#N/A</v>
      </c>
      <c r="AH130" s="34" t="e">
        <f t="shared" ca="1" si="38"/>
        <v>#N/A</v>
      </c>
      <c r="AI130" s="33" t="e">
        <f t="shared" ca="1" si="45"/>
        <v>#N/A</v>
      </c>
      <c r="AJ130" s="34" t="e">
        <f t="shared" ca="1" si="46"/>
        <v>#N/A</v>
      </c>
      <c r="AK130" s="34" t="e">
        <f t="shared" ca="1" si="39"/>
        <v>#N/A</v>
      </c>
      <c r="AL130" s="34" t="e">
        <f t="shared" ca="1" si="40"/>
        <v>#N/A</v>
      </c>
      <c r="AM130" s="33" t="e">
        <f t="shared" ca="1" si="47"/>
        <v>#N/A</v>
      </c>
      <c r="AN130" s="34" t="e">
        <f t="shared" ca="1" si="48"/>
        <v>#N/A</v>
      </c>
    </row>
    <row r="131" spans="1:40" x14ac:dyDescent="0.3">
      <c r="A131" s="2">
        <v>43654</v>
      </c>
      <c r="B131" s="9">
        <v>57.349997999999999</v>
      </c>
      <c r="C131" s="9">
        <v>111.339996</v>
      </c>
      <c r="D131" s="9">
        <v>81.360000999999997</v>
      </c>
      <c r="E131" s="10"/>
      <c r="F131" s="13">
        <v>128</v>
      </c>
      <c r="G131" s="2">
        <v>43654</v>
      </c>
      <c r="H131" s="14">
        <f t="shared" si="29"/>
        <v>-9.7172725359025002E-3</v>
      </c>
      <c r="I131" s="14">
        <f t="shared" si="30"/>
        <v>3.1484576851219448E-3</v>
      </c>
      <c r="J131" s="14">
        <f t="shared" si="31"/>
        <v>-5.882308736158014E-3</v>
      </c>
      <c r="K131" s="22">
        <v>128</v>
      </c>
      <c r="L131" s="12"/>
      <c r="Q131" s="15">
        <f t="shared" si="32"/>
        <v>128</v>
      </c>
      <c r="R131" s="2">
        <f t="shared" si="28"/>
        <v>43654</v>
      </c>
      <c r="S131" s="9">
        <f t="shared" ca="1" si="33"/>
        <v>-9.7172725359025002E-3</v>
      </c>
      <c r="T131" s="9">
        <f t="shared" ca="1" si="34"/>
        <v>3.1484576851219448E-3</v>
      </c>
      <c r="U131" s="9">
        <f t="shared" ca="1" si="35"/>
        <v>-5.882308736158014E-3</v>
      </c>
      <c r="AB131" s="33" t="e">
        <f t="shared" ca="1" si="41"/>
        <v>#N/A</v>
      </c>
      <c r="AC131" s="34" t="e">
        <f t="shared" ca="1" si="42"/>
        <v>#N/A</v>
      </c>
      <c r="AD131" s="34" t="e">
        <f t="shared" ca="1" si="43"/>
        <v>#N/A</v>
      </c>
      <c r="AE131" s="33" t="e">
        <f t="shared" ca="1" si="44"/>
        <v>#N/A</v>
      </c>
      <c r="AF131" s="34" t="e">
        <f t="shared" ca="1" si="36"/>
        <v>#N/A</v>
      </c>
      <c r="AG131" s="34" t="e">
        <f t="shared" ca="1" si="37"/>
        <v>#N/A</v>
      </c>
      <c r="AH131" s="34" t="e">
        <f t="shared" ca="1" si="38"/>
        <v>#N/A</v>
      </c>
      <c r="AI131" s="33" t="e">
        <f t="shared" ca="1" si="45"/>
        <v>#N/A</v>
      </c>
      <c r="AJ131" s="34" t="e">
        <f t="shared" ca="1" si="46"/>
        <v>#N/A</v>
      </c>
      <c r="AK131" s="34" t="e">
        <f t="shared" ca="1" si="39"/>
        <v>#N/A</v>
      </c>
      <c r="AL131" s="34" t="e">
        <f t="shared" ca="1" si="40"/>
        <v>#N/A</v>
      </c>
      <c r="AM131" s="33" t="e">
        <f t="shared" ca="1" si="47"/>
        <v>#N/A</v>
      </c>
      <c r="AN131" s="34" t="e">
        <f t="shared" ca="1" si="48"/>
        <v>#N/A</v>
      </c>
    </row>
    <row r="132" spans="1:40" x14ac:dyDescent="0.3">
      <c r="A132" s="2">
        <v>43655</v>
      </c>
      <c r="B132" s="9">
        <v>57.439999</v>
      </c>
      <c r="C132" s="9">
        <v>110.589996</v>
      </c>
      <c r="D132" s="9">
        <v>82.239998</v>
      </c>
      <c r="E132" s="10"/>
      <c r="F132" s="13">
        <v>129</v>
      </c>
      <c r="G132" s="2">
        <v>43655</v>
      </c>
      <c r="H132" s="14">
        <f t="shared" si="29"/>
        <v>1.5680986287019934E-3</v>
      </c>
      <c r="I132" s="14">
        <f t="shared" si="30"/>
        <v>-6.7589139117362022E-3</v>
      </c>
      <c r="J132" s="14">
        <f t="shared" si="31"/>
        <v>1.0758013356432106E-2</v>
      </c>
      <c r="K132" s="22">
        <v>129</v>
      </c>
      <c r="L132" s="12"/>
      <c r="Q132" s="15">
        <f t="shared" si="32"/>
        <v>129</v>
      </c>
      <c r="R132" s="2">
        <f t="shared" ref="R132:R195" si="49">IF(Q132="","",VLOOKUP(Q132,F132:J1389,2))</f>
        <v>43655</v>
      </c>
      <c r="S132" s="9">
        <f t="shared" ca="1" si="33"/>
        <v>1.5680986287019934E-3</v>
      </c>
      <c r="T132" s="9">
        <f t="shared" ca="1" si="34"/>
        <v>-6.7589139117362022E-3</v>
      </c>
      <c r="U132" s="9">
        <f t="shared" ca="1" si="35"/>
        <v>1.0758013356432106E-2</v>
      </c>
      <c r="AB132" s="33" t="e">
        <f t="shared" ca="1" si="41"/>
        <v>#N/A</v>
      </c>
      <c r="AC132" s="34" t="e">
        <f t="shared" ca="1" si="42"/>
        <v>#N/A</v>
      </c>
      <c r="AD132" s="34" t="e">
        <f t="shared" ca="1" si="43"/>
        <v>#N/A</v>
      </c>
      <c r="AE132" s="33" t="e">
        <f t="shared" ca="1" si="44"/>
        <v>#N/A</v>
      </c>
      <c r="AF132" s="34" t="e">
        <f t="shared" ca="1" si="36"/>
        <v>#N/A</v>
      </c>
      <c r="AG132" s="34" t="e">
        <f t="shared" ca="1" si="37"/>
        <v>#N/A</v>
      </c>
      <c r="AH132" s="34" t="e">
        <f t="shared" ca="1" si="38"/>
        <v>#N/A</v>
      </c>
      <c r="AI132" s="33" t="e">
        <f t="shared" ca="1" si="45"/>
        <v>#N/A</v>
      </c>
      <c r="AJ132" s="34" t="e">
        <f t="shared" ca="1" si="46"/>
        <v>#N/A</v>
      </c>
      <c r="AK132" s="34" t="e">
        <f t="shared" ca="1" si="39"/>
        <v>#N/A</v>
      </c>
      <c r="AL132" s="34" t="e">
        <f t="shared" ca="1" si="40"/>
        <v>#N/A</v>
      </c>
      <c r="AM132" s="33" t="e">
        <f t="shared" ca="1" si="47"/>
        <v>#N/A</v>
      </c>
      <c r="AN132" s="34" t="e">
        <f t="shared" ca="1" si="48"/>
        <v>#N/A</v>
      </c>
    </row>
    <row r="133" spans="1:40" x14ac:dyDescent="0.3">
      <c r="A133" s="2">
        <v>43656</v>
      </c>
      <c r="B133" s="9">
        <v>57.279998999999997</v>
      </c>
      <c r="C133" s="9">
        <v>109.55999799999999</v>
      </c>
      <c r="D133" s="9">
        <v>83.400002000000001</v>
      </c>
      <c r="E133" s="10"/>
      <c r="F133" s="13">
        <v>130</v>
      </c>
      <c r="G133" s="2">
        <v>43656</v>
      </c>
      <c r="H133" s="14">
        <f t="shared" ref="H133:H196" si="50">LN(B133/B132)</f>
        <v>-2.7894021362084151E-3</v>
      </c>
      <c r="I133" s="14">
        <f t="shared" ref="I133:I196" si="51">LN(C133/C132)</f>
        <v>-9.3573067775927377E-3</v>
      </c>
      <c r="J133" s="14">
        <f t="shared" ref="J133:J196" si="52">LN(D133/D132)</f>
        <v>1.400655595772757E-2</v>
      </c>
      <c r="K133" s="22">
        <v>130</v>
      </c>
      <c r="L133" s="12"/>
      <c r="Q133" s="15">
        <f t="shared" ref="Q133:Q196" si="53">IF(Q132="","",IF(Q132+1&lt;=$M$6,Q132+1,""))</f>
        <v>130</v>
      </c>
      <c r="R133" s="2">
        <f t="shared" si="49"/>
        <v>43656</v>
      </c>
      <c r="S133" s="9">
        <f t="shared" ref="S133:S196" ca="1" si="54">IF(Q133="","",OFFSET(H$3,$Q133,0))</f>
        <v>-2.7894021362084151E-3</v>
      </c>
      <c r="T133" s="9">
        <f t="shared" ref="T133:T196" ca="1" si="55">IF(R133="","",OFFSET(I$3,$Q133,0))</f>
        <v>-9.3573067775927377E-3</v>
      </c>
      <c r="U133" s="9">
        <f t="shared" ref="U133:U196" ca="1" si="56">IF(S133="","",OFFSET(J$3,$Q133,0))</f>
        <v>1.400655595772757E-2</v>
      </c>
      <c r="AB133" s="33" t="e">
        <f t="shared" ca="1" si="41"/>
        <v>#N/A</v>
      </c>
      <c r="AC133" s="34" t="e">
        <f t="shared" ca="1" si="42"/>
        <v>#N/A</v>
      </c>
      <c r="AD133" s="34" t="e">
        <f t="shared" ca="1" si="43"/>
        <v>#N/A</v>
      </c>
      <c r="AE133" s="33" t="e">
        <f t="shared" ca="1" si="44"/>
        <v>#N/A</v>
      </c>
      <c r="AF133" s="34" t="e">
        <f t="shared" ref="AF133:AF196" ca="1" si="57">IF(AB133&lt;=$X$6,(AE133/$X$5)/$X$7,"")</f>
        <v>#N/A</v>
      </c>
      <c r="AG133" s="34" t="e">
        <f t="shared" ref="AG133:AG196" ca="1" si="58">IF(AB133&lt;=$Y$6,AG132+$Y$7,"")</f>
        <v>#N/A</v>
      </c>
      <c r="AH133" s="34" t="e">
        <f t="shared" ref="AH133:AH196" ca="1" si="59">IF(AB133&lt;=$Y$6,AG133-$Y$7/2,"")</f>
        <v>#N/A</v>
      </c>
      <c r="AI133" s="33" t="e">
        <f t="shared" ca="1" si="45"/>
        <v>#N/A</v>
      </c>
      <c r="AJ133" s="34" t="e">
        <f t="shared" ca="1" si="46"/>
        <v>#N/A</v>
      </c>
      <c r="AK133" s="34" t="e">
        <f t="shared" ref="AK133:AK196" ca="1" si="60">IF(AB133&lt;=$Z$6,AK132+$Z$7,"")</f>
        <v>#N/A</v>
      </c>
      <c r="AL133" s="34" t="e">
        <f t="shared" ref="AL133:AL196" ca="1" si="61">IF(AB133&lt;=$Z$6,AK133-$Z$7/2,"")</f>
        <v>#N/A</v>
      </c>
      <c r="AM133" s="33" t="e">
        <f t="shared" ca="1" si="47"/>
        <v>#N/A</v>
      </c>
      <c r="AN133" s="34" t="e">
        <f t="shared" ca="1" si="48"/>
        <v>#N/A</v>
      </c>
    </row>
    <row r="134" spans="1:40" x14ac:dyDescent="0.3">
      <c r="A134" s="2">
        <v>43657</v>
      </c>
      <c r="B134" s="9">
        <v>57.279998999999997</v>
      </c>
      <c r="C134" s="9">
        <v>111.110001</v>
      </c>
      <c r="D134" s="9">
        <v>84.43</v>
      </c>
      <c r="E134" s="10"/>
      <c r="F134" s="13">
        <v>131</v>
      </c>
      <c r="G134" s="2">
        <v>43657</v>
      </c>
      <c r="H134" s="14">
        <f t="shared" si="50"/>
        <v>0</v>
      </c>
      <c r="I134" s="14">
        <f t="shared" si="51"/>
        <v>1.4048384455967667E-2</v>
      </c>
      <c r="J134" s="14">
        <f t="shared" si="52"/>
        <v>1.2274455335892496E-2</v>
      </c>
      <c r="K134" s="22">
        <v>131</v>
      </c>
      <c r="L134" s="12"/>
      <c r="Q134" s="15">
        <f t="shared" si="53"/>
        <v>131</v>
      </c>
      <c r="R134" s="2">
        <f t="shared" si="49"/>
        <v>43657</v>
      </c>
      <c r="S134" s="9">
        <f t="shared" ca="1" si="54"/>
        <v>0</v>
      </c>
      <c r="T134" s="9">
        <f t="shared" ca="1" si="55"/>
        <v>1.4048384455967667E-2</v>
      </c>
      <c r="U134" s="9">
        <f t="shared" ca="1" si="56"/>
        <v>1.2274455335892496E-2</v>
      </c>
      <c r="AB134" s="33" t="e">
        <f t="shared" ref="AB134:AB197" ca="1" si="62">IF(AB133&lt;$X$6,AB133+1,NA())</f>
        <v>#N/A</v>
      </c>
      <c r="AC134" s="34" t="e">
        <f t="shared" ref="AC134:AC197" ca="1" si="63">IF(AB134&lt;=$X$6,AC133+$X$7,"")</f>
        <v>#N/A</v>
      </c>
      <c r="AD134" s="34" t="e">
        <f t="shared" ref="AD134:AD197" ca="1" si="64">IF(AB134&lt;=$X$6,AC134-$X$7/2,"")</f>
        <v>#N/A</v>
      </c>
      <c r="AE134" s="33" t="e">
        <f t="shared" ref="AE134:AE197" ca="1" si="65">IF(AB134&lt;=$X$6,COUNTIFS($S$3:$S$1260,"&gt;"&amp;AC133,$S$3:$S$1260,"&lt;="&amp;AC134),"")</f>
        <v>#N/A</v>
      </c>
      <c r="AF134" s="34" t="e">
        <f t="shared" ca="1" si="57"/>
        <v>#N/A</v>
      </c>
      <c r="AG134" s="34" t="e">
        <f t="shared" ca="1" si="58"/>
        <v>#N/A</v>
      </c>
      <c r="AH134" s="34" t="e">
        <f t="shared" ca="1" si="59"/>
        <v>#N/A</v>
      </c>
      <c r="AI134" s="33" t="e">
        <f t="shared" ref="AI134:AI197" ca="1" si="66">IF(AB134&lt;=$Y$6,COUNTIFS($T$3:$T$1260,"&gt;"&amp;AG133,$T$3:$T$1260,"&lt;="&amp;AG134),"")</f>
        <v>#N/A</v>
      </c>
      <c r="AJ134" s="34" t="e">
        <f t="shared" ref="AJ134:AJ197" ca="1" si="67">IF(AB134&lt;=$Y$6,(AI134/$Y$5)/$Y$7,"")</f>
        <v>#N/A</v>
      </c>
      <c r="AK134" s="34" t="e">
        <f t="shared" ca="1" si="60"/>
        <v>#N/A</v>
      </c>
      <c r="AL134" s="34" t="e">
        <f t="shared" ca="1" si="61"/>
        <v>#N/A</v>
      </c>
      <c r="AM134" s="33" t="e">
        <f t="shared" ref="AM134:AM197" ca="1" si="68">IF(AB134&lt;=$Z$6,COUNTIFS($U$3:$U$1260,"&gt;"&amp;AK133,$U$3:$U$1260,"&lt;="&amp;AK134),"")</f>
        <v>#N/A</v>
      </c>
      <c r="AN134" s="34" t="e">
        <f t="shared" ref="AN134:AN197" ca="1" si="69">IF(AB134&lt;=$Z$6,(AM134/$Z$5)/$Z$7,"")</f>
        <v>#N/A</v>
      </c>
    </row>
    <row r="135" spans="1:40" x14ac:dyDescent="0.3">
      <c r="A135" s="2">
        <v>43658</v>
      </c>
      <c r="B135" s="9">
        <v>58.59</v>
      </c>
      <c r="C135" s="9">
        <v>112.470001</v>
      </c>
      <c r="D135" s="9">
        <v>84.75</v>
      </c>
      <c r="E135" s="10"/>
      <c r="F135" s="13">
        <v>132</v>
      </c>
      <c r="G135" s="2">
        <v>43658</v>
      </c>
      <c r="H135" s="14">
        <f t="shared" si="50"/>
        <v>2.261252836240794E-2</v>
      </c>
      <c r="I135" s="14">
        <f t="shared" si="51"/>
        <v>1.2165817711182844E-2</v>
      </c>
      <c r="J135" s="14">
        <f t="shared" si="52"/>
        <v>3.7829575791509169E-3</v>
      </c>
      <c r="K135" s="22">
        <v>132</v>
      </c>
      <c r="L135" s="12"/>
      <c r="Q135" s="15">
        <f t="shared" si="53"/>
        <v>132</v>
      </c>
      <c r="R135" s="2">
        <f t="shared" si="49"/>
        <v>43658</v>
      </c>
      <c r="S135" s="9">
        <f t="shared" ca="1" si="54"/>
        <v>2.261252836240794E-2</v>
      </c>
      <c r="T135" s="9">
        <f t="shared" ca="1" si="55"/>
        <v>1.2165817711182844E-2</v>
      </c>
      <c r="U135" s="9">
        <f t="shared" ca="1" si="56"/>
        <v>3.7829575791509169E-3</v>
      </c>
      <c r="AB135" s="33" t="e">
        <f t="shared" ca="1" si="62"/>
        <v>#N/A</v>
      </c>
      <c r="AC135" s="34" t="e">
        <f t="shared" ca="1" si="63"/>
        <v>#N/A</v>
      </c>
      <c r="AD135" s="34" t="e">
        <f t="shared" ca="1" si="64"/>
        <v>#N/A</v>
      </c>
      <c r="AE135" s="33" t="e">
        <f t="shared" ca="1" si="65"/>
        <v>#N/A</v>
      </c>
      <c r="AF135" s="34" t="e">
        <f t="shared" ca="1" si="57"/>
        <v>#N/A</v>
      </c>
      <c r="AG135" s="34" t="e">
        <f t="shared" ca="1" si="58"/>
        <v>#N/A</v>
      </c>
      <c r="AH135" s="34" t="e">
        <f t="shared" ca="1" si="59"/>
        <v>#N/A</v>
      </c>
      <c r="AI135" s="33" t="e">
        <f t="shared" ca="1" si="66"/>
        <v>#N/A</v>
      </c>
      <c r="AJ135" s="34" t="e">
        <f t="shared" ca="1" si="67"/>
        <v>#N/A</v>
      </c>
      <c r="AK135" s="34" t="e">
        <f t="shared" ca="1" si="60"/>
        <v>#N/A</v>
      </c>
      <c r="AL135" s="34" t="e">
        <f t="shared" ca="1" si="61"/>
        <v>#N/A</v>
      </c>
      <c r="AM135" s="33" t="e">
        <f t="shared" ca="1" si="68"/>
        <v>#N/A</v>
      </c>
      <c r="AN135" s="34" t="e">
        <f t="shared" ca="1" si="69"/>
        <v>#N/A</v>
      </c>
    </row>
    <row r="136" spans="1:40" x14ac:dyDescent="0.3">
      <c r="A136" s="2">
        <v>43661</v>
      </c>
      <c r="B136" s="9">
        <v>58.77</v>
      </c>
      <c r="C136" s="9">
        <v>112.57</v>
      </c>
      <c r="D136" s="9">
        <v>84.32</v>
      </c>
      <c r="E136" s="10"/>
      <c r="F136" s="13">
        <v>133</v>
      </c>
      <c r="G136" s="2">
        <v>43661</v>
      </c>
      <c r="H136" s="14">
        <f t="shared" si="50"/>
        <v>3.0674870678618796E-3</v>
      </c>
      <c r="I136" s="14">
        <f t="shared" si="51"/>
        <v>8.8872205952243157E-4</v>
      </c>
      <c r="J136" s="14">
        <f t="shared" si="52"/>
        <v>-5.0866614675075042E-3</v>
      </c>
      <c r="K136" s="22">
        <v>133</v>
      </c>
      <c r="L136" s="12"/>
      <c r="Q136" s="15">
        <f t="shared" si="53"/>
        <v>133</v>
      </c>
      <c r="R136" s="2">
        <f t="shared" si="49"/>
        <v>43661</v>
      </c>
      <c r="S136" s="9">
        <f t="shared" ca="1" si="54"/>
        <v>3.0674870678618796E-3</v>
      </c>
      <c r="T136" s="9">
        <f t="shared" ca="1" si="55"/>
        <v>8.8872205952243157E-4</v>
      </c>
      <c r="U136" s="9">
        <f t="shared" ca="1" si="56"/>
        <v>-5.0866614675075042E-3</v>
      </c>
      <c r="AB136" s="33" t="e">
        <f t="shared" ca="1" si="62"/>
        <v>#N/A</v>
      </c>
      <c r="AC136" s="34" t="e">
        <f t="shared" ca="1" si="63"/>
        <v>#N/A</v>
      </c>
      <c r="AD136" s="34" t="e">
        <f t="shared" ca="1" si="64"/>
        <v>#N/A</v>
      </c>
      <c r="AE136" s="33" t="e">
        <f t="shared" ca="1" si="65"/>
        <v>#N/A</v>
      </c>
      <c r="AF136" s="34" t="e">
        <f t="shared" ca="1" si="57"/>
        <v>#N/A</v>
      </c>
      <c r="AG136" s="34" t="e">
        <f t="shared" ca="1" si="58"/>
        <v>#N/A</v>
      </c>
      <c r="AH136" s="34" t="e">
        <f t="shared" ca="1" si="59"/>
        <v>#N/A</v>
      </c>
      <c r="AI136" s="33" t="e">
        <f t="shared" ca="1" si="66"/>
        <v>#N/A</v>
      </c>
      <c r="AJ136" s="34" t="e">
        <f t="shared" ca="1" si="67"/>
        <v>#N/A</v>
      </c>
      <c r="AK136" s="34" t="e">
        <f t="shared" ca="1" si="60"/>
        <v>#N/A</v>
      </c>
      <c r="AL136" s="34" t="e">
        <f t="shared" ca="1" si="61"/>
        <v>#N/A</v>
      </c>
      <c r="AM136" s="33" t="e">
        <f t="shared" ca="1" si="68"/>
        <v>#N/A</v>
      </c>
      <c r="AN136" s="34" t="e">
        <f t="shared" ca="1" si="69"/>
        <v>#N/A</v>
      </c>
    </row>
    <row r="137" spans="1:40" x14ac:dyDescent="0.3">
      <c r="A137" s="2">
        <v>43662</v>
      </c>
      <c r="B137" s="9">
        <v>59.07</v>
      </c>
      <c r="C137" s="9">
        <v>115.199997</v>
      </c>
      <c r="D137" s="9">
        <v>84.209998999999996</v>
      </c>
      <c r="E137" s="10"/>
      <c r="F137" s="13">
        <v>134</v>
      </c>
      <c r="G137" s="2">
        <v>43662</v>
      </c>
      <c r="H137" s="14">
        <f t="shared" si="50"/>
        <v>5.0916606945846654E-3</v>
      </c>
      <c r="I137" s="14">
        <f t="shared" si="51"/>
        <v>2.3094471853411163E-2</v>
      </c>
      <c r="J137" s="14">
        <f t="shared" si="52"/>
        <v>-1.3054176262255904E-3</v>
      </c>
      <c r="K137" s="22">
        <v>134</v>
      </c>
      <c r="L137" s="12"/>
      <c r="Q137" s="15">
        <f t="shared" si="53"/>
        <v>134</v>
      </c>
      <c r="R137" s="2">
        <f t="shared" si="49"/>
        <v>43662</v>
      </c>
      <c r="S137" s="9">
        <f t="shared" ca="1" si="54"/>
        <v>5.0916606945846654E-3</v>
      </c>
      <c r="T137" s="9">
        <f t="shared" ca="1" si="55"/>
        <v>2.3094471853411163E-2</v>
      </c>
      <c r="U137" s="9">
        <f t="shared" ca="1" si="56"/>
        <v>-1.3054176262255904E-3</v>
      </c>
      <c r="AB137" s="33" t="e">
        <f t="shared" ca="1" si="62"/>
        <v>#N/A</v>
      </c>
      <c r="AC137" s="34" t="e">
        <f t="shared" ca="1" si="63"/>
        <v>#N/A</v>
      </c>
      <c r="AD137" s="34" t="e">
        <f t="shared" ca="1" si="64"/>
        <v>#N/A</v>
      </c>
      <c r="AE137" s="33" t="e">
        <f t="shared" ca="1" si="65"/>
        <v>#N/A</v>
      </c>
      <c r="AF137" s="34" t="e">
        <f t="shared" ca="1" si="57"/>
        <v>#N/A</v>
      </c>
      <c r="AG137" s="34" t="e">
        <f t="shared" ca="1" si="58"/>
        <v>#N/A</v>
      </c>
      <c r="AH137" s="34" t="e">
        <f t="shared" ca="1" si="59"/>
        <v>#N/A</v>
      </c>
      <c r="AI137" s="33" t="e">
        <f t="shared" ca="1" si="66"/>
        <v>#N/A</v>
      </c>
      <c r="AJ137" s="34" t="e">
        <f t="shared" ca="1" si="67"/>
        <v>#N/A</v>
      </c>
      <c r="AK137" s="34" t="e">
        <f t="shared" ca="1" si="60"/>
        <v>#N/A</v>
      </c>
      <c r="AL137" s="34" t="e">
        <f t="shared" ca="1" si="61"/>
        <v>#N/A</v>
      </c>
      <c r="AM137" s="33" t="e">
        <f t="shared" ca="1" si="68"/>
        <v>#N/A</v>
      </c>
      <c r="AN137" s="34" t="e">
        <f t="shared" ca="1" si="69"/>
        <v>#N/A</v>
      </c>
    </row>
    <row r="138" spans="1:40" x14ac:dyDescent="0.3">
      <c r="A138" s="2">
        <v>43663</v>
      </c>
      <c r="B138" s="9">
        <v>58.259998000000003</v>
      </c>
      <c r="C138" s="9">
        <v>110.800003</v>
      </c>
      <c r="D138" s="9">
        <v>83.239998</v>
      </c>
      <c r="E138" s="10"/>
      <c r="F138" s="13">
        <v>135</v>
      </c>
      <c r="G138" s="2">
        <v>43663</v>
      </c>
      <c r="H138" s="14">
        <f t="shared" si="50"/>
        <v>-1.380746411672649E-2</v>
      </c>
      <c r="I138" s="14">
        <f t="shared" si="51"/>
        <v>-3.8942920831128436E-2</v>
      </c>
      <c r="J138" s="14">
        <f t="shared" si="52"/>
        <v>-1.1585689668303195E-2</v>
      </c>
      <c r="K138" s="22">
        <v>135</v>
      </c>
      <c r="L138" s="12"/>
      <c r="Q138" s="15">
        <f t="shared" si="53"/>
        <v>135</v>
      </c>
      <c r="R138" s="2">
        <f t="shared" si="49"/>
        <v>43663</v>
      </c>
      <c r="S138" s="9">
        <f t="shared" ca="1" si="54"/>
        <v>-1.380746411672649E-2</v>
      </c>
      <c r="T138" s="9">
        <f t="shared" ca="1" si="55"/>
        <v>-3.8942920831128436E-2</v>
      </c>
      <c r="U138" s="9">
        <f t="shared" ca="1" si="56"/>
        <v>-1.1585689668303195E-2</v>
      </c>
      <c r="AB138" s="33" t="e">
        <f t="shared" ca="1" si="62"/>
        <v>#N/A</v>
      </c>
      <c r="AC138" s="34" t="e">
        <f t="shared" ca="1" si="63"/>
        <v>#N/A</v>
      </c>
      <c r="AD138" s="34" t="e">
        <f t="shared" ca="1" si="64"/>
        <v>#N/A</v>
      </c>
      <c r="AE138" s="33" t="e">
        <f t="shared" ca="1" si="65"/>
        <v>#N/A</v>
      </c>
      <c r="AF138" s="34" t="e">
        <f t="shared" ca="1" si="57"/>
        <v>#N/A</v>
      </c>
      <c r="AG138" s="34" t="e">
        <f t="shared" ca="1" si="58"/>
        <v>#N/A</v>
      </c>
      <c r="AH138" s="34" t="e">
        <f t="shared" ca="1" si="59"/>
        <v>#N/A</v>
      </c>
      <c r="AI138" s="33" t="e">
        <f t="shared" ca="1" si="66"/>
        <v>#N/A</v>
      </c>
      <c r="AJ138" s="34" t="e">
        <f t="shared" ca="1" si="67"/>
        <v>#N/A</v>
      </c>
      <c r="AK138" s="34" t="e">
        <f t="shared" ca="1" si="60"/>
        <v>#N/A</v>
      </c>
      <c r="AL138" s="34" t="e">
        <f t="shared" ca="1" si="61"/>
        <v>#N/A</v>
      </c>
      <c r="AM138" s="33" t="e">
        <f t="shared" ca="1" si="68"/>
        <v>#N/A</v>
      </c>
      <c r="AN138" s="34" t="e">
        <f t="shared" ca="1" si="69"/>
        <v>#N/A</v>
      </c>
    </row>
    <row r="139" spans="1:40" x14ac:dyDescent="0.3">
      <c r="A139" s="2">
        <v>43664</v>
      </c>
      <c r="B139" s="9">
        <v>58.16</v>
      </c>
      <c r="C139" s="9">
        <v>109.389999</v>
      </c>
      <c r="D139" s="9">
        <v>83.349997999999999</v>
      </c>
      <c r="E139" s="10"/>
      <c r="F139" s="13">
        <v>136</v>
      </c>
      <c r="G139" s="2">
        <v>43664</v>
      </c>
      <c r="H139" s="14">
        <f t="shared" si="50"/>
        <v>-1.7178839771535453E-3</v>
      </c>
      <c r="I139" s="14">
        <f t="shared" si="51"/>
        <v>-1.280733239889939E-2</v>
      </c>
      <c r="J139" s="14">
        <f t="shared" si="52"/>
        <v>1.3206077030785285E-3</v>
      </c>
      <c r="K139" s="22">
        <v>136</v>
      </c>
      <c r="L139" s="12"/>
      <c r="Q139" s="15">
        <f t="shared" si="53"/>
        <v>136</v>
      </c>
      <c r="R139" s="2">
        <f t="shared" si="49"/>
        <v>43664</v>
      </c>
      <c r="S139" s="9">
        <f t="shared" ca="1" si="54"/>
        <v>-1.7178839771535453E-3</v>
      </c>
      <c r="T139" s="9">
        <f t="shared" ca="1" si="55"/>
        <v>-1.280733239889939E-2</v>
      </c>
      <c r="U139" s="9">
        <f t="shared" ca="1" si="56"/>
        <v>1.3206077030785285E-3</v>
      </c>
      <c r="AB139" s="33" t="e">
        <f t="shared" ca="1" si="62"/>
        <v>#N/A</v>
      </c>
      <c r="AC139" s="34" t="e">
        <f t="shared" ca="1" si="63"/>
        <v>#N/A</v>
      </c>
      <c r="AD139" s="34" t="e">
        <f t="shared" ca="1" si="64"/>
        <v>#N/A</v>
      </c>
      <c r="AE139" s="33" t="e">
        <f t="shared" ca="1" si="65"/>
        <v>#N/A</v>
      </c>
      <c r="AF139" s="34" t="e">
        <f t="shared" ca="1" si="57"/>
        <v>#N/A</v>
      </c>
      <c r="AG139" s="34" t="e">
        <f t="shared" ca="1" si="58"/>
        <v>#N/A</v>
      </c>
      <c r="AH139" s="34" t="e">
        <f t="shared" ca="1" si="59"/>
        <v>#N/A</v>
      </c>
      <c r="AI139" s="33" t="e">
        <f t="shared" ca="1" si="66"/>
        <v>#N/A</v>
      </c>
      <c r="AJ139" s="34" t="e">
        <f t="shared" ca="1" si="67"/>
        <v>#N/A</v>
      </c>
      <c r="AK139" s="34" t="e">
        <f t="shared" ca="1" si="60"/>
        <v>#N/A</v>
      </c>
      <c r="AL139" s="34" t="e">
        <f t="shared" ca="1" si="61"/>
        <v>#N/A</v>
      </c>
      <c r="AM139" s="33" t="e">
        <f t="shared" ca="1" si="68"/>
        <v>#N/A</v>
      </c>
      <c r="AN139" s="34" t="e">
        <f t="shared" ca="1" si="69"/>
        <v>#N/A</v>
      </c>
    </row>
    <row r="140" spans="1:40" x14ac:dyDescent="0.3">
      <c r="A140" s="2">
        <v>43665</v>
      </c>
      <c r="B140" s="9">
        <v>57.639999000000003</v>
      </c>
      <c r="C140" s="9">
        <v>110.269997</v>
      </c>
      <c r="D140" s="9">
        <v>83.650002000000001</v>
      </c>
      <c r="E140" s="10"/>
      <c r="F140" s="13">
        <v>137</v>
      </c>
      <c r="G140" s="2">
        <v>43665</v>
      </c>
      <c r="H140" s="14">
        <f t="shared" si="50"/>
        <v>-8.9810794430058277E-3</v>
      </c>
      <c r="I140" s="14">
        <f t="shared" si="51"/>
        <v>8.0124075745418005E-3</v>
      </c>
      <c r="J140" s="14">
        <f t="shared" si="52"/>
        <v>3.5928661403762784E-3</v>
      </c>
      <c r="K140" s="22">
        <v>137</v>
      </c>
      <c r="L140" s="12"/>
      <c r="Q140" s="15">
        <f t="shared" si="53"/>
        <v>137</v>
      </c>
      <c r="R140" s="2">
        <f t="shared" si="49"/>
        <v>43665</v>
      </c>
      <c r="S140" s="9">
        <f t="shared" ca="1" si="54"/>
        <v>-8.9810794430058277E-3</v>
      </c>
      <c r="T140" s="9">
        <f t="shared" ca="1" si="55"/>
        <v>8.0124075745418005E-3</v>
      </c>
      <c r="U140" s="9">
        <f t="shared" ca="1" si="56"/>
        <v>3.5928661403762784E-3</v>
      </c>
      <c r="AB140" s="33" t="e">
        <f t="shared" ca="1" si="62"/>
        <v>#N/A</v>
      </c>
      <c r="AC140" s="34" t="e">
        <f t="shared" ca="1" si="63"/>
        <v>#N/A</v>
      </c>
      <c r="AD140" s="34" t="e">
        <f t="shared" ca="1" si="64"/>
        <v>#N/A</v>
      </c>
      <c r="AE140" s="33" t="e">
        <f t="shared" ca="1" si="65"/>
        <v>#N/A</v>
      </c>
      <c r="AF140" s="34" t="e">
        <f t="shared" ca="1" si="57"/>
        <v>#N/A</v>
      </c>
      <c r="AG140" s="34" t="e">
        <f t="shared" ca="1" si="58"/>
        <v>#N/A</v>
      </c>
      <c r="AH140" s="34" t="e">
        <f t="shared" ca="1" si="59"/>
        <v>#N/A</v>
      </c>
      <c r="AI140" s="33" t="e">
        <f t="shared" ca="1" si="66"/>
        <v>#N/A</v>
      </c>
      <c r="AJ140" s="34" t="e">
        <f t="shared" ca="1" si="67"/>
        <v>#N/A</v>
      </c>
      <c r="AK140" s="34" t="e">
        <f t="shared" ca="1" si="60"/>
        <v>#N/A</v>
      </c>
      <c r="AL140" s="34" t="e">
        <f t="shared" ca="1" si="61"/>
        <v>#N/A</v>
      </c>
      <c r="AM140" s="33" t="e">
        <f t="shared" ca="1" si="68"/>
        <v>#N/A</v>
      </c>
      <c r="AN140" s="34" t="e">
        <f t="shared" ca="1" si="69"/>
        <v>#N/A</v>
      </c>
    </row>
    <row r="141" spans="1:40" x14ac:dyDescent="0.3">
      <c r="A141" s="2">
        <v>43668</v>
      </c>
      <c r="B141" s="9">
        <v>57.369999</v>
      </c>
      <c r="C141" s="9">
        <v>107.400002</v>
      </c>
      <c r="D141" s="9">
        <v>84.349997999999999</v>
      </c>
      <c r="E141" s="10"/>
      <c r="F141" s="13">
        <v>138</v>
      </c>
      <c r="G141" s="2">
        <v>43668</v>
      </c>
      <c r="H141" s="14">
        <f t="shared" si="50"/>
        <v>-4.6952525991914599E-3</v>
      </c>
      <c r="I141" s="14">
        <f t="shared" si="51"/>
        <v>-2.6371675867899718E-2</v>
      </c>
      <c r="J141" s="14">
        <f t="shared" si="52"/>
        <v>8.3333339392700403E-3</v>
      </c>
      <c r="K141" s="22">
        <v>138</v>
      </c>
      <c r="L141" s="12"/>
      <c r="Q141" s="15">
        <f t="shared" si="53"/>
        <v>138</v>
      </c>
      <c r="R141" s="2">
        <f t="shared" si="49"/>
        <v>43668</v>
      </c>
      <c r="S141" s="9">
        <f t="shared" ca="1" si="54"/>
        <v>-4.6952525991914599E-3</v>
      </c>
      <c r="T141" s="9">
        <f t="shared" ca="1" si="55"/>
        <v>-2.6371675867899718E-2</v>
      </c>
      <c r="U141" s="9">
        <f t="shared" ca="1" si="56"/>
        <v>8.3333339392700403E-3</v>
      </c>
      <c r="AB141" s="33" t="e">
        <f t="shared" ca="1" si="62"/>
        <v>#N/A</v>
      </c>
      <c r="AC141" s="34" t="e">
        <f t="shared" ca="1" si="63"/>
        <v>#N/A</v>
      </c>
      <c r="AD141" s="34" t="e">
        <f t="shared" ca="1" si="64"/>
        <v>#N/A</v>
      </c>
      <c r="AE141" s="33" t="e">
        <f t="shared" ca="1" si="65"/>
        <v>#N/A</v>
      </c>
      <c r="AF141" s="34" t="e">
        <f t="shared" ca="1" si="57"/>
        <v>#N/A</v>
      </c>
      <c r="AG141" s="34" t="e">
        <f t="shared" ca="1" si="58"/>
        <v>#N/A</v>
      </c>
      <c r="AH141" s="34" t="e">
        <f t="shared" ca="1" si="59"/>
        <v>#N/A</v>
      </c>
      <c r="AI141" s="33" t="e">
        <f t="shared" ca="1" si="66"/>
        <v>#N/A</v>
      </c>
      <c r="AJ141" s="34" t="e">
        <f t="shared" ca="1" si="67"/>
        <v>#N/A</v>
      </c>
      <c r="AK141" s="34" t="e">
        <f t="shared" ca="1" si="60"/>
        <v>#N/A</v>
      </c>
      <c r="AL141" s="34" t="e">
        <f t="shared" ca="1" si="61"/>
        <v>#N/A</v>
      </c>
      <c r="AM141" s="33" t="e">
        <f t="shared" ca="1" si="68"/>
        <v>#N/A</v>
      </c>
      <c r="AN141" s="34" t="e">
        <f t="shared" ca="1" si="69"/>
        <v>#N/A</v>
      </c>
    </row>
    <row r="142" spans="1:40" x14ac:dyDescent="0.3">
      <c r="A142" s="2">
        <v>43669</v>
      </c>
      <c r="B142" s="9">
        <v>58.799999</v>
      </c>
      <c r="C142" s="9">
        <v>108.889999</v>
      </c>
      <c r="D142" s="9">
        <v>84.769997000000004</v>
      </c>
      <c r="E142" s="10"/>
      <c r="F142" s="13">
        <v>139</v>
      </c>
      <c r="G142" s="2">
        <v>43669</v>
      </c>
      <c r="H142" s="14">
        <f t="shared" si="50"/>
        <v>2.4620336714711682E-2</v>
      </c>
      <c r="I142" s="14">
        <f t="shared" si="51"/>
        <v>1.3777988477651814E-2</v>
      </c>
      <c r="J142" s="14">
        <f t="shared" si="52"/>
        <v>4.966885949187109E-3</v>
      </c>
      <c r="K142" s="22">
        <v>139</v>
      </c>
      <c r="L142" s="12"/>
      <c r="Q142" s="15">
        <f t="shared" si="53"/>
        <v>139</v>
      </c>
      <c r="R142" s="2">
        <f t="shared" si="49"/>
        <v>43669</v>
      </c>
      <c r="S142" s="9">
        <f t="shared" ca="1" si="54"/>
        <v>2.4620336714711682E-2</v>
      </c>
      <c r="T142" s="9">
        <f t="shared" ca="1" si="55"/>
        <v>1.3777988477651814E-2</v>
      </c>
      <c r="U142" s="9">
        <f t="shared" ca="1" si="56"/>
        <v>4.966885949187109E-3</v>
      </c>
      <c r="AB142" s="33" t="e">
        <f t="shared" ca="1" si="62"/>
        <v>#N/A</v>
      </c>
      <c r="AC142" s="34" t="e">
        <f t="shared" ca="1" si="63"/>
        <v>#N/A</v>
      </c>
      <c r="AD142" s="34" t="e">
        <f t="shared" ca="1" si="64"/>
        <v>#N/A</v>
      </c>
      <c r="AE142" s="33" t="e">
        <f t="shared" ca="1" si="65"/>
        <v>#N/A</v>
      </c>
      <c r="AF142" s="34" t="e">
        <f t="shared" ca="1" si="57"/>
        <v>#N/A</v>
      </c>
      <c r="AG142" s="34" t="e">
        <f t="shared" ca="1" si="58"/>
        <v>#N/A</v>
      </c>
      <c r="AH142" s="34" t="e">
        <f t="shared" ca="1" si="59"/>
        <v>#N/A</v>
      </c>
      <c r="AI142" s="33" t="e">
        <f t="shared" ca="1" si="66"/>
        <v>#N/A</v>
      </c>
      <c r="AJ142" s="34" t="e">
        <f t="shared" ca="1" si="67"/>
        <v>#N/A</v>
      </c>
      <c r="AK142" s="34" t="e">
        <f t="shared" ca="1" si="60"/>
        <v>#N/A</v>
      </c>
      <c r="AL142" s="34" t="e">
        <f t="shared" ca="1" si="61"/>
        <v>#N/A</v>
      </c>
      <c r="AM142" s="33" t="e">
        <f t="shared" ca="1" si="68"/>
        <v>#N/A</v>
      </c>
      <c r="AN142" s="34" t="e">
        <f t="shared" ca="1" si="69"/>
        <v>#N/A</v>
      </c>
    </row>
    <row r="143" spans="1:40" x14ac:dyDescent="0.3">
      <c r="A143" s="2">
        <v>43670</v>
      </c>
      <c r="B143" s="9">
        <v>62.709999000000003</v>
      </c>
      <c r="C143" s="9">
        <v>109.730003</v>
      </c>
      <c r="D143" s="9">
        <v>86.169998000000007</v>
      </c>
      <c r="E143" s="10"/>
      <c r="F143" s="13">
        <v>140</v>
      </c>
      <c r="G143" s="2">
        <v>43670</v>
      </c>
      <c r="H143" s="14">
        <f t="shared" si="50"/>
        <v>6.4379070710730971E-2</v>
      </c>
      <c r="I143" s="14">
        <f t="shared" si="51"/>
        <v>7.6846411681516322E-3</v>
      </c>
      <c r="J143" s="14">
        <f t="shared" si="52"/>
        <v>1.6380394811306192E-2</v>
      </c>
      <c r="K143" s="22">
        <v>140</v>
      </c>
      <c r="L143" s="12"/>
      <c r="Q143" s="15">
        <f t="shared" si="53"/>
        <v>140</v>
      </c>
      <c r="R143" s="2">
        <f t="shared" si="49"/>
        <v>43670</v>
      </c>
      <c r="S143" s="9">
        <f t="shared" ca="1" si="54"/>
        <v>6.4379070710730971E-2</v>
      </c>
      <c r="T143" s="9">
        <f t="shared" ca="1" si="55"/>
        <v>7.6846411681516322E-3</v>
      </c>
      <c r="U143" s="9">
        <f t="shared" ca="1" si="56"/>
        <v>1.6380394811306192E-2</v>
      </c>
      <c r="AB143" s="33" t="e">
        <f t="shared" ca="1" si="62"/>
        <v>#N/A</v>
      </c>
      <c r="AC143" s="34" t="e">
        <f t="shared" ca="1" si="63"/>
        <v>#N/A</v>
      </c>
      <c r="AD143" s="34" t="e">
        <f t="shared" ca="1" si="64"/>
        <v>#N/A</v>
      </c>
      <c r="AE143" s="33" t="e">
        <f t="shared" ca="1" si="65"/>
        <v>#N/A</v>
      </c>
      <c r="AF143" s="34" t="e">
        <f t="shared" ca="1" si="57"/>
        <v>#N/A</v>
      </c>
      <c r="AG143" s="34" t="e">
        <f t="shared" ca="1" si="58"/>
        <v>#N/A</v>
      </c>
      <c r="AH143" s="34" t="e">
        <f t="shared" ca="1" si="59"/>
        <v>#N/A</v>
      </c>
      <c r="AI143" s="33" t="e">
        <f t="shared" ca="1" si="66"/>
        <v>#N/A</v>
      </c>
      <c r="AJ143" s="34" t="e">
        <f t="shared" ca="1" si="67"/>
        <v>#N/A</v>
      </c>
      <c r="AK143" s="34" t="e">
        <f t="shared" ca="1" si="60"/>
        <v>#N/A</v>
      </c>
      <c r="AL143" s="34" t="e">
        <f t="shared" ca="1" si="61"/>
        <v>#N/A</v>
      </c>
      <c r="AM143" s="33" t="e">
        <f t="shared" ca="1" si="68"/>
        <v>#N/A</v>
      </c>
      <c r="AN143" s="34" t="e">
        <f t="shared" ca="1" si="69"/>
        <v>#N/A</v>
      </c>
    </row>
    <row r="144" spans="1:40" x14ac:dyDescent="0.3">
      <c r="A144" s="2">
        <v>43671</v>
      </c>
      <c r="B144" s="9">
        <v>60.759998000000003</v>
      </c>
      <c r="C144" s="9">
        <v>110.25</v>
      </c>
      <c r="D144" s="9">
        <v>83.449996999999996</v>
      </c>
      <c r="E144" s="10"/>
      <c r="F144" s="13">
        <v>141</v>
      </c>
      <c r="G144" s="2">
        <v>43671</v>
      </c>
      <c r="H144" s="14">
        <f t="shared" si="50"/>
        <v>-3.1589263797330056E-2</v>
      </c>
      <c r="I144" s="14">
        <f t="shared" si="51"/>
        <v>4.727683984413894E-3</v>
      </c>
      <c r="J144" s="14">
        <f t="shared" si="52"/>
        <v>-3.2074451883568514E-2</v>
      </c>
      <c r="K144" s="22">
        <v>141</v>
      </c>
      <c r="L144" s="12"/>
      <c r="Q144" s="15">
        <f t="shared" si="53"/>
        <v>141</v>
      </c>
      <c r="R144" s="2">
        <f t="shared" si="49"/>
        <v>43671</v>
      </c>
      <c r="S144" s="9">
        <f t="shared" ca="1" si="54"/>
        <v>-3.1589263797330056E-2</v>
      </c>
      <c r="T144" s="9">
        <f t="shared" ca="1" si="55"/>
        <v>4.727683984413894E-3</v>
      </c>
      <c r="U144" s="9">
        <f t="shared" ca="1" si="56"/>
        <v>-3.2074451883568514E-2</v>
      </c>
      <c r="AB144" s="33" t="e">
        <f t="shared" ca="1" si="62"/>
        <v>#N/A</v>
      </c>
      <c r="AC144" s="34" t="e">
        <f t="shared" ca="1" si="63"/>
        <v>#N/A</v>
      </c>
      <c r="AD144" s="34" t="e">
        <f t="shared" ca="1" si="64"/>
        <v>#N/A</v>
      </c>
      <c r="AE144" s="33" t="e">
        <f t="shared" ca="1" si="65"/>
        <v>#N/A</v>
      </c>
      <c r="AF144" s="34" t="e">
        <f t="shared" ca="1" si="57"/>
        <v>#N/A</v>
      </c>
      <c r="AG144" s="34" t="e">
        <f t="shared" ca="1" si="58"/>
        <v>#N/A</v>
      </c>
      <c r="AH144" s="34" t="e">
        <f t="shared" ca="1" si="59"/>
        <v>#N/A</v>
      </c>
      <c r="AI144" s="33" t="e">
        <f t="shared" ca="1" si="66"/>
        <v>#N/A</v>
      </c>
      <c r="AJ144" s="34" t="e">
        <f t="shared" ca="1" si="67"/>
        <v>#N/A</v>
      </c>
      <c r="AK144" s="34" t="e">
        <f t="shared" ca="1" si="60"/>
        <v>#N/A</v>
      </c>
      <c r="AL144" s="34" t="e">
        <f t="shared" ca="1" si="61"/>
        <v>#N/A</v>
      </c>
      <c r="AM144" s="33" t="e">
        <f t="shared" ca="1" si="68"/>
        <v>#N/A</v>
      </c>
      <c r="AN144" s="34" t="e">
        <f t="shared" ca="1" si="69"/>
        <v>#N/A</v>
      </c>
    </row>
    <row r="145" spans="1:40" x14ac:dyDescent="0.3">
      <c r="A145" s="2">
        <v>43672</v>
      </c>
      <c r="B145" s="9">
        <v>61.110000999999997</v>
      </c>
      <c r="C145" s="9">
        <v>110.08000199999999</v>
      </c>
      <c r="D145" s="9">
        <v>84.309997999999993</v>
      </c>
      <c r="E145" s="10"/>
      <c r="F145" s="13">
        <v>142</v>
      </c>
      <c r="G145" s="2">
        <v>43672</v>
      </c>
      <c r="H145" s="14">
        <f t="shared" si="50"/>
        <v>5.7438904595785451E-3</v>
      </c>
      <c r="I145" s="14">
        <f t="shared" si="51"/>
        <v>-1.5431219733174207E-3</v>
      </c>
      <c r="J145" s="14">
        <f t="shared" si="52"/>
        <v>1.0252844054432669E-2</v>
      </c>
      <c r="K145" s="22">
        <v>142</v>
      </c>
      <c r="L145" s="12"/>
      <c r="Q145" s="15">
        <f t="shared" si="53"/>
        <v>142</v>
      </c>
      <c r="R145" s="2">
        <f t="shared" si="49"/>
        <v>43672</v>
      </c>
      <c r="S145" s="9">
        <f t="shared" ca="1" si="54"/>
        <v>5.7438904595785451E-3</v>
      </c>
      <c r="T145" s="9">
        <f t="shared" ca="1" si="55"/>
        <v>-1.5431219733174207E-3</v>
      </c>
      <c r="U145" s="9">
        <f t="shared" ca="1" si="56"/>
        <v>1.0252844054432669E-2</v>
      </c>
      <c r="AB145" s="33" t="e">
        <f t="shared" ca="1" si="62"/>
        <v>#N/A</v>
      </c>
      <c r="AC145" s="34" t="e">
        <f t="shared" ca="1" si="63"/>
        <v>#N/A</v>
      </c>
      <c r="AD145" s="34" t="e">
        <f t="shared" ca="1" si="64"/>
        <v>#N/A</v>
      </c>
      <c r="AE145" s="33" t="e">
        <f t="shared" ca="1" si="65"/>
        <v>#N/A</v>
      </c>
      <c r="AF145" s="34" t="e">
        <f t="shared" ca="1" si="57"/>
        <v>#N/A</v>
      </c>
      <c r="AG145" s="34" t="e">
        <f t="shared" ca="1" si="58"/>
        <v>#N/A</v>
      </c>
      <c r="AH145" s="34" t="e">
        <f t="shared" ca="1" si="59"/>
        <v>#N/A</v>
      </c>
      <c r="AI145" s="33" t="e">
        <f t="shared" ca="1" si="66"/>
        <v>#N/A</v>
      </c>
      <c r="AJ145" s="34" t="e">
        <f t="shared" ca="1" si="67"/>
        <v>#N/A</v>
      </c>
      <c r="AK145" s="34" t="e">
        <f t="shared" ca="1" si="60"/>
        <v>#N/A</v>
      </c>
      <c r="AL145" s="34" t="e">
        <f t="shared" ca="1" si="61"/>
        <v>#N/A</v>
      </c>
      <c r="AM145" s="33" t="e">
        <f t="shared" ca="1" si="68"/>
        <v>#N/A</v>
      </c>
      <c r="AN145" s="34" t="e">
        <f t="shared" ca="1" si="69"/>
        <v>#N/A</v>
      </c>
    </row>
    <row r="146" spans="1:40" x14ac:dyDescent="0.3">
      <c r="A146" s="2">
        <v>43675</v>
      </c>
      <c r="B146" s="9">
        <v>60.360000999999997</v>
      </c>
      <c r="C146" s="9">
        <v>111.269997</v>
      </c>
      <c r="D146" s="9">
        <v>84.029999000000004</v>
      </c>
      <c r="E146" s="10"/>
      <c r="F146" s="13">
        <v>143</v>
      </c>
      <c r="G146" s="2">
        <v>43675</v>
      </c>
      <c r="H146" s="14">
        <f t="shared" si="50"/>
        <v>-1.2348884803846818E-2</v>
      </c>
      <c r="I146" s="14">
        <f t="shared" si="51"/>
        <v>1.0752260854525603E-2</v>
      </c>
      <c r="J146" s="14">
        <f t="shared" si="52"/>
        <v>-3.326592172990367E-3</v>
      </c>
      <c r="K146" s="22">
        <v>143</v>
      </c>
      <c r="L146" s="12"/>
      <c r="Q146" s="15">
        <f t="shared" si="53"/>
        <v>143</v>
      </c>
      <c r="R146" s="2">
        <f t="shared" si="49"/>
        <v>43675</v>
      </c>
      <c r="S146" s="9">
        <f t="shared" ca="1" si="54"/>
        <v>-1.2348884803846818E-2</v>
      </c>
      <c r="T146" s="9">
        <f t="shared" ca="1" si="55"/>
        <v>1.0752260854525603E-2</v>
      </c>
      <c r="U146" s="9">
        <f t="shared" ca="1" si="56"/>
        <v>-3.326592172990367E-3</v>
      </c>
      <c r="AB146" s="33" t="e">
        <f t="shared" ca="1" si="62"/>
        <v>#N/A</v>
      </c>
      <c r="AC146" s="34" t="e">
        <f t="shared" ca="1" si="63"/>
        <v>#N/A</v>
      </c>
      <c r="AD146" s="34" t="e">
        <f t="shared" ca="1" si="64"/>
        <v>#N/A</v>
      </c>
      <c r="AE146" s="33" t="e">
        <f t="shared" ca="1" si="65"/>
        <v>#N/A</v>
      </c>
      <c r="AF146" s="34" t="e">
        <f t="shared" ca="1" si="57"/>
        <v>#N/A</v>
      </c>
      <c r="AG146" s="34" t="e">
        <f t="shared" ca="1" si="58"/>
        <v>#N/A</v>
      </c>
      <c r="AH146" s="34" t="e">
        <f t="shared" ca="1" si="59"/>
        <v>#N/A</v>
      </c>
      <c r="AI146" s="33" t="e">
        <f t="shared" ca="1" si="66"/>
        <v>#N/A</v>
      </c>
      <c r="AJ146" s="34" t="e">
        <f t="shared" ca="1" si="67"/>
        <v>#N/A</v>
      </c>
      <c r="AK146" s="34" t="e">
        <f t="shared" ca="1" si="60"/>
        <v>#N/A</v>
      </c>
      <c r="AL146" s="34" t="e">
        <f t="shared" ca="1" si="61"/>
        <v>#N/A</v>
      </c>
      <c r="AM146" s="33" t="e">
        <f t="shared" ca="1" si="68"/>
        <v>#N/A</v>
      </c>
      <c r="AN146" s="34" t="e">
        <f t="shared" ca="1" si="69"/>
        <v>#N/A</v>
      </c>
    </row>
    <row r="147" spans="1:40" x14ac:dyDescent="0.3">
      <c r="A147" s="2">
        <v>43676</v>
      </c>
      <c r="B147" s="9">
        <v>61.23</v>
      </c>
      <c r="C147" s="9">
        <v>107.129997</v>
      </c>
      <c r="D147" s="9">
        <v>84.790001000000004</v>
      </c>
      <c r="E147" s="10"/>
      <c r="F147" s="13">
        <v>144</v>
      </c>
      <c r="G147" s="2">
        <v>43676</v>
      </c>
      <c r="H147" s="14">
        <f t="shared" si="50"/>
        <v>1.4310615022952106E-2</v>
      </c>
      <c r="I147" s="14">
        <f t="shared" si="51"/>
        <v>-3.7916630937057681E-2</v>
      </c>
      <c r="J147" s="14">
        <f t="shared" si="52"/>
        <v>9.0037570701401327E-3</v>
      </c>
      <c r="K147" s="22">
        <v>144</v>
      </c>
      <c r="L147" s="12"/>
      <c r="Q147" s="15">
        <f t="shared" si="53"/>
        <v>144</v>
      </c>
      <c r="R147" s="2">
        <f t="shared" si="49"/>
        <v>43676</v>
      </c>
      <c r="S147" s="9">
        <f t="shared" ca="1" si="54"/>
        <v>1.4310615022952106E-2</v>
      </c>
      <c r="T147" s="9">
        <f t="shared" ca="1" si="55"/>
        <v>-3.7916630937057681E-2</v>
      </c>
      <c r="U147" s="9">
        <f t="shared" ca="1" si="56"/>
        <v>9.0037570701401327E-3</v>
      </c>
      <c r="AB147" s="33" t="e">
        <f t="shared" ca="1" si="62"/>
        <v>#N/A</v>
      </c>
      <c r="AC147" s="34" t="e">
        <f t="shared" ca="1" si="63"/>
        <v>#N/A</v>
      </c>
      <c r="AD147" s="34" t="e">
        <f t="shared" ca="1" si="64"/>
        <v>#N/A</v>
      </c>
      <c r="AE147" s="33" t="e">
        <f t="shared" ca="1" si="65"/>
        <v>#N/A</v>
      </c>
      <c r="AF147" s="34" t="e">
        <f t="shared" ca="1" si="57"/>
        <v>#N/A</v>
      </c>
      <c r="AG147" s="34" t="e">
        <f t="shared" ca="1" si="58"/>
        <v>#N/A</v>
      </c>
      <c r="AH147" s="34" t="e">
        <f t="shared" ca="1" si="59"/>
        <v>#N/A</v>
      </c>
      <c r="AI147" s="33" t="e">
        <f t="shared" ca="1" si="66"/>
        <v>#N/A</v>
      </c>
      <c r="AJ147" s="34" t="e">
        <f t="shared" ca="1" si="67"/>
        <v>#N/A</v>
      </c>
      <c r="AK147" s="34" t="e">
        <f t="shared" ca="1" si="60"/>
        <v>#N/A</v>
      </c>
      <c r="AL147" s="34" t="e">
        <f t="shared" ca="1" si="61"/>
        <v>#N/A</v>
      </c>
      <c r="AM147" s="33" t="e">
        <f t="shared" ca="1" si="68"/>
        <v>#N/A</v>
      </c>
      <c r="AN147" s="34" t="e">
        <f t="shared" ca="1" si="69"/>
        <v>#N/A</v>
      </c>
    </row>
    <row r="148" spans="1:40" x14ac:dyDescent="0.3">
      <c r="A148" s="2">
        <v>43677</v>
      </c>
      <c r="B148" s="9">
        <v>60.41</v>
      </c>
      <c r="C148" s="9">
        <v>104.230003</v>
      </c>
      <c r="D148" s="9">
        <v>85.25</v>
      </c>
      <c r="E148" s="10"/>
      <c r="F148" s="13">
        <v>145</v>
      </c>
      <c r="G148" s="2">
        <v>43677</v>
      </c>
      <c r="H148" s="14">
        <f t="shared" si="50"/>
        <v>-1.3482611339213222E-2</v>
      </c>
      <c r="I148" s="14">
        <f t="shared" si="51"/>
        <v>-2.7442997737375296E-2</v>
      </c>
      <c r="J148" s="14">
        <f t="shared" si="52"/>
        <v>5.4104930538710558E-3</v>
      </c>
      <c r="K148" s="22">
        <v>145</v>
      </c>
      <c r="L148" s="12"/>
      <c r="Q148" s="15">
        <f t="shared" si="53"/>
        <v>145</v>
      </c>
      <c r="R148" s="2">
        <f t="shared" si="49"/>
        <v>43677</v>
      </c>
      <c r="S148" s="9">
        <f t="shared" ca="1" si="54"/>
        <v>-1.3482611339213222E-2</v>
      </c>
      <c r="T148" s="9">
        <f t="shared" ca="1" si="55"/>
        <v>-2.7442997737375296E-2</v>
      </c>
      <c r="U148" s="9">
        <f t="shared" ca="1" si="56"/>
        <v>5.4104930538710558E-3</v>
      </c>
      <c r="AB148" s="33" t="e">
        <f t="shared" ca="1" si="62"/>
        <v>#N/A</v>
      </c>
      <c r="AC148" s="34" t="e">
        <f t="shared" ca="1" si="63"/>
        <v>#N/A</v>
      </c>
      <c r="AD148" s="34" t="e">
        <f t="shared" ca="1" si="64"/>
        <v>#N/A</v>
      </c>
      <c r="AE148" s="33" t="e">
        <f t="shared" ca="1" si="65"/>
        <v>#N/A</v>
      </c>
      <c r="AF148" s="34" t="e">
        <f t="shared" ca="1" si="57"/>
        <v>#N/A</v>
      </c>
      <c r="AG148" s="34" t="e">
        <f t="shared" ca="1" si="58"/>
        <v>#N/A</v>
      </c>
      <c r="AH148" s="34" t="e">
        <f t="shared" ca="1" si="59"/>
        <v>#N/A</v>
      </c>
      <c r="AI148" s="33" t="e">
        <f t="shared" ca="1" si="66"/>
        <v>#N/A</v>
      </c>
      <c r="AJ148" s="34" t="e">
        <f t="shared" ca="1" si="67"/>
        <v>#N/A</v>
      </c>
      <c r="AK148" s="34" t="e">
        <f t="shared" ca="1" si="60"/>
        <v>#N/A</v>
      </c>
      <c r="AL148" s="34" t="e">
        <f t="shared" ca="1" si="61"/>
        <v>#N/A</v>
      </c>
      <c r="AM148" s="33" t="e">
        <f t="shared" ca="1" si="68"/>
        <v>#N/A</v>
      </c>
      <c r="AN148" s="34" t="e">
        <f t="shared" ca="1" si="69"/>
        <v>#N/A</v>
      </c>
    </row>
    <row r="149" spans="1:40" x14ac:dyDescent="0.3">
      <c r="A149" s="2">
        <v>43678</v>
      </c>
      <c r="B149" s="9">
        <v>59.07</v>
      </c>
      <c r="C149" s="9">
        <v>98.620002999999997</v>
      </c>
      <c r="D149" s="9">
        <v>84.339995999999999</v>
      </c>
      <c r="E149" s="10"/>
      <c r="F149" s="13">
        <v>146</v>
      </c>
      <c r="G149" s="2">
        <v>43678</v>
      </c>
      <c r="H149" s="14">
        <f t="shared" si="50"/>
        <v>-2.2431472831506E-2</v>
      </c>
      <c r="I149" s="14">
        <f t="shared" si="51"/>
        <v>-5.5325913317958039E-2</v>
      </c>
      <c r="J149" s="14">
        <f t="shared" si="52"/>
        <v>-1.073191527229431E-2</v>
      </c>
      <c r="K149" s="22">
        <v>146</v>
      </c>
      <c r="L149" s="12"/>
      <c r="Q149" s="15">
        <f t="shared" si="53"/>
        <v>146</v>
      </c>
      <c r="R149" s="2">
        <f t="shared" si="49"/>
        <v>43678</v>
      </c>
      <c r="S149" s="9">
        <f t="shared" ca="1" si="54"/>
        <v>-2.2431472831506E-2</v>
      </c>
      <c r="T149" s="9">
        <f t="shared" ca="1" si="55"/>
        <v>-5.5325913317958039E-2</v>
      </c>
      <c r="U149" s="9">
        <f t="shared" ca="1" si="56"/>
        <v>-1.073191527229431E-2</v>
      </c>
      <c r="AB149" s="33" t="e">
        <f t="shared" ca="1" si="62"/>
        <v>#N/A</v>
      </c>
      <c r="AC149" s="34" t="e">
        <f t="shared" ca="1" si="63"/>
        <v>#N/A</v>
      </c>
      <c r="AD149" s="34" t="e">
        <f t="shared" ca="1" si="64"/>
        <v>#N/A</v>
      </c>
      <c r="AE149" s="33" t="e">
        <f t="shared" ca="1" si="65"/>
        <v>#N/A</v>
      </c>
      <c r="AF149" s="34" t="e">
        <f t="shared" ca="1" si="57"/>
        <v>#N/A</v>
      </c>
      <c r="AG149" s="34" t="e">
        <f t="shared" ca="1" si="58"/>
        <v>#N/A</v>
      </c>
      <c r="AH149" s="34" t="e">
        <f t="shared" ca="1" si="59"/>
        <v>#N/A</v>
      </c>
      <c r="AI149" s="33" t="e">
        <f t="shared" ca="1" si="66"/>
        <v>#N/A</v>
      </c>
      <c r="AJ149" s="34" t="e">
        <f t="shared" ca="1" si="67"/>
        <v>#N/A</v>
      </c>
      <c r="AK149" s="34" t="e">
        <f t="shared" ca="1" si="60"/>
        <v>#N/A</v>
      </c>
      <c r="AL149" s="34" t="e">
        <f t="shared" ca="1" si="61"/>
        <v>#N/A</v>
      </c>
      <c r="AM149" s="33" t="e">
        <f t="shared" ca="1" si="68"/>
        <v>#N/A</v>
      </c>
      <c r="AN149" s="34" t="e">
        <f t="shared" ca="1" si="69"/>
        <v>#N/A</v>
      </c>
    </row>
    <row r="150" spans="1:40" x14ac:dyDescent="0.3">
      <c r="A150" s="2">
        <v>43679</v>
      </c>
      <c r="B150" s="9">
        <v>57.830002</v>
      </c>
      <c r="C150" s="9">
        <v>98.879997000000003</v>
      </c>
      <c r="D150" s="9">
        <v>82.07</v>
      </c>
      <c r="E150" s="10"/>
      <c r="F150" s="13">
        <v>147</v>
      </c>
      <c r="G150" s="2">
        <v>43679</v>
      </c>
      <c r="H150" s="14">
        <f t="shared" si="50"/>
        <v>-2.1215474564891736E-2</v>
      </c>
      <c r="I150" s="14">
        <f t="shared" si="51"/>
        <v>2.6328521538016595E-3</v>
      </c>
      <c r="J150" s="14">
        <f t="shared" si="52"/>
        <v>-2.7283659249711566E-2</v>
      </c>
      <c r="K150" s="22">
        <v>147</v>
      </c>
      <c r="L150" s="12"/>
      <c r="Q150" s="15">
        <f t="shared" si="53"/>
        <v>147</v>
      </c>
      <c r="R150" s="2">
        <f t="shared" si="49"/>
        <v>43679</v>
      </c>
      <c r="S150" s="9">
        <f t="shared" ca="1" si="54"/>
        <v>-2.1215474564891736E-2</v>
      </c>
      <c r="T150" s="9">
        <f t="shared" ca="1" si="55"/>
        <v>2.6328521538016595E-3</v>
      </c>
      <c r="U150" s="9">
        <f t="shared" ca="1" si="56"/>
        <v>-2.7283659249711566E-2</v>
      </c>
      <c r="AB150" s="33" t="e">
        <f t="shared" ca="1" si="62"/>
        <v>#N/A</v>
      </c>
      <c r="AC150" s="34" t="e">
        <f t="shared" ca="1" si="63"/>
        <v>#N/A</v>
      </c>
      <c r="AD150" s="34" t="e">
        <f t="shared" ca="1" si="64"/>
        <v>#N/A</v>
      </c>
      <c r="AE150" s="33" t="e">
        <f t="shared" ca="1" si="65"/>
        <v>#N/A</v>
      </c>
      <c r="AF150" s="34" t="e">
        <f t="shared" ca="1" si="57"/>
        <v>#N/A</v>
      </c>
      <c r="AG150" s="34" t="e">
        <f t="shared" ca="1" si="58"/>
        <v>#N/A</v>
      </c>
      <c r="AH150" s="34" t="e">
        <f t="shared" ca="1" si="59"/>
        <v>#N/A</v>
      </c>
      <c r="AI150" s="33" t="e">
        <f t="shared" ca="1" si="66"/>
        <v>#N/A</v>
      </c>
      <c r="AJ150" s="34" t="e">
        <f t="shared" ca="1" si="67"/>
        <v>#N/A</v>
      </c>
      <c r="AK150" s="34" t="e">
        <f t="shared" ca="1" si="60"/>
        <v>#N/A</v>
      </c>
      <c r="AL150" s="34" t="e">
        <f t="shared" ca="1" si="61"/>
        <v>#N/A</v>
      </c>
      <c r="AM150" s="33" t="e">
        <f t="shared" ca="1" si="68"/>
        <v>#N/A</v>
      </c>
      <c r="AN150" s="34" t="e">
        <f t="shared" ca="1" si="69"/>
        <v>#N/A</v>
      </c>
    </row>
    <row r="151" spans="1:40" x14ac:dyDescent="0.3">
      <c r="A151" s="2">
        <v>43682</v>
      </c>
      <c r="B151" s="9">
        <v>55.990001999999997</v>
      </c>
      <c r="C151" s="9">
        <v>95.730002999999996</v>
      </c>
      <c r="D151" s="9">
        <v>75.779999000000004</v>
      </c>
      <c r="E151" s="10"/>
      <c r="F151" s="13">
        <v>148</v>
      </c>
      <c r="G151" s="2">
        <v>43682</v>
      </c>
      <c r="H151" s="14">
        <f t="shared" si="50"/>
        <v>-3.2334567672786557E-2</v>
      </c>
      <c r="I151" s="14">
        <f t="shared" si="51"/>
        <v>-3.2375203073174562E-2</v>
      </c>
      <c r="J151" s="14">
        <f t="shared" si="52"/>
        <v>-7.9738149247259443E-2</v>
      </c>
      <c r="K151" s="22">
        <v>148</v>
      </c>
      <c r="L151" s="12"/>
      <c r="Q151" s="15">
        <f t="shared" si="53"/>
        <v>148</v>
      </c>
      <c r="R151" s="2">
        <f t="shared" si="49"/>
        <v>43682</v>
      </c>
      <c r="S151" s="9">
        <f t="shared" ca="1" si="54"/>
        <v>-3.2334567672786557E-2</v>
      </c>
      <c r="T151" s="9">
        <f t="shared" ca="1" si="55"/>
        <v>-3.2375203073174562E-2</v>
      </c>
      <c r="U151" s="9">
        <f t="shared" ca="1" si="56"/>
        <v>-7.9738149247259443E-2</v>
      </c>
      <c r="AB151" s="33" t="e">
        <f t="shared" ca="1" si="62"/>
        <v>#N/A</v>
      </c>
      <c r="AC151" s="34" t="e">
        <f t="shared" ca="1" si="63"/>
        <v>#N/A</v>
      </c>
      <c r="AD151" s="34" t="e">
        <f t="shared" ca="1" si="64"/>
        <v>#N/A</v>
      </c>
      <c r="AE151" s="33" t="e">
        <f t="shared" ca="1" si="65"/>
        <v>#N/A</v>
      </c>
      <c r="AF151" s="34" t="e">
        <f t="shared" ca="1" si="57"/>
        <v>#N/A</v>
      </c>
      <c r="AG151" s="34" t="e">
        <f t="shared" ca="1" si="58"/>
        <v>#N/A</v>
      </c>
      <c r="AH151" s="34" t="e">
        <f t="shared" ca="1" si="59"/>
        <v>#N/A</v>
      </c>
      <c r="AI151" s="33" t="e">
        <f t="shared" ca="1" si="66"/>
        <v>#N/A</v>
      </c>
      <c r="AJ151" s="34" t="e">
        <f t="shared" ca="1" si="67"/>
        <v>#N/A</v>
      </c>
      <c r="AK151" s="34" t="e">
        <f t="shared" ca="1" si="60"/>
        <v>#N/A</v>
      </c>
      <c r="AL151" s="34" t="e">
        <f t="shared" ca="1" si="61"/>
        <v>#N/A</v>
      </c>
      <c r="AM151" s="33" t="e">
        <f t="shared" ca="1" si="68"/>
        <v>#N/A</v>
      </c>
      <c r="AN151" s="34" t="e">
        <f t="shared" ca="1" si="69"/>
        <v>#N/A</v>
      </c>
    </row>
    <row r="152" spans="1:40" x14ac:dyDescent="0.3">
      <c r="A152" s="2">
        <v>43683</v>
      </c>
      <c r="B152" s="9">
        <v>55.950001</v>
      </c>
      <c r="C152" s="9">
        <v>95.690002000000007</v>
      </c>
      <c r="D152" s="9">
        <v>76.839995999999999</v>
      </c>
      <c r="E152" s="10"/>
      <c r="F152" s="13">
        <v>149</v>
      </c>
      <c r="G152" s="2">
        <v>43683</v>
      </c>
      <c r="H152" s="14">
        <f t="shared" si="50"/>
        <v>-7.1468645043058917E-4</v>
      </c>
      <c r="I152" s="14">
        <f t="shared" si="51"/>
        <v>-4.1793960440285305E-4</v>
      </c>
      <c r="J152" s="14">
        <f t="shared" si="52"/>
        <v>1.3890893449772989E-2</v>
      </c>
      <c r="K152" s="22">
        <v>149</v>
      </c>
      <c r="L152" s="12"/>
      <c r="Q152" s="15">
        <f t="shared" si="53"/>
        <v>149</v>
      </c>
      <c r="R152" s="2">
        <f t="shared" si="49"/>
        <v>43683</v>
      </c>
      <c r="S152" s="9">
        <f t="shared" ca="1" si="54"/>
        <v>-7.1468645043058917E-4</v>
      </c>
      <c r="T152" s="9">
        <f t="shared" ca="1" si="55"/>
        <v>-4.1793960440285305E-4</v>
      </c>
      <c r="U152" s="9">
        <f t="shared" ca="1" si="56"/>
        <v>1.3890893449772989E-2</v>
      </c>
      <c r="AB152" s="33" t="e">
        <f t="shared" ca="1" si="62"/>
        <v>#N/A</v>
      </c>
      <c r="AC152" s="34" t="e">
        <f t="shared" ca="1" si="63"/>
        <v>#N/A</v>
      </c>
      <c r="AD152" s="34" t="e">
        <f t="shared" ca="1" si="64"/>
        <v>#N/A</v>
      </c>
      <c r="AE152" s="33" t="e">
        <f t="shared" ca="1" si="65"/>
        <v>#N/A</v>
      </c>
      <c r="AF152" s="34" t="e">
        <f t="shared" ca="1" si="57"/>
        <v>#N/A</v>
      </c>
      <c r="AG152" s="34" t="e">
        <f t="shared" ca="1" si="58"/>
        <v>#N/A</v>
      </c>
      <c r="AH152" s="34" t="e">
        <f t="shared" ca="1" si="59"/>
        <v>#N/A</v>
      </c>
      <c r="AI152" s="33" t="e">
        <f t="shared" ca="1" si="66"/>
        <v>#N/A</v>
      </c>
      <c r="AJ152" s="34" t="e">
        <f t="shared" ca="1" si="67"/>
        <v>#N/A</v>
      </c>
      <c r="AK152" s="34" t="e">
        <f t="shared" ca="1" si="60"/>
        <v>#N/A</v>
      </c>
      <c r="AL152" s="34" t="e">
        <f t="shared" ca="1" si="61"/>
        <v>#N/A</v>
      </c>
      <c r="AM152" s="33" t="e">
        <f t="shared" ca="1" si="68"/>
        <v>#N/A</v>
      </c>
      <c r="AN152" s="34" t="e">
        <f t="shared" ca="1" si="69"/>
        <v>#N/A</v>
      </c>
    </row>
    <row r="153" spans="1:40" x14ac:dyDescent="0.3">
      <c r="A153" s="2">
        <v>43684</v>
      </c>
      <c r="B153" s="9">
        <v>56.169998</v>
      </c>
      <c r="C153" s="9">
        <v>95.199996999999996</v>
      </c>
      <c r="D153" s="9">
        <v>75.809997999999993</v>
      </c>
      <c r="E153" s="10"/>
      <c r="F153" s="13">
        <v>150</v>
      </c>
      <c r="G153" s="2">
        <v>43684</v>
      </c>
      <c r="H153" s="14">
        <f t="shared" si="50"/>
        <v>3.9243183071100973E-3</v>
      </c>
      <c r="I153" s="14">
        <f t="shared" si="51"/>
        <v>-5.1339104072828301E-3</v>
      </c>
      <c r="J153" s="14">
        <f t="shared" si="52"/>
        <v>-1.3495102157665587E-2</v>
      </c>
      <c r="K153" s="22">
        <v>150</v>
      </c>
      <c r="L153" s="12"/>
      <c r="Q153" s="15">
        <f t="shared" si="53"/>
        <v>150</v>
      </c>
      <c r="R153" s="2">
        <f t="shared" si="49"/>
        <v>43684</v>
      </c>
      <c r="S153" s="9">
        <f t="shared" ca="1" si="54"/>
        <v>3.9243183071100973E-3</v>
      </c>
      <c r="T153" s="9">
        <f t="shared" ca="1" si="55"/>
        <v>-5.1339104072828301E-3</v>
      </c>
      <c r="U153" s="9">
        <f t="shared" ca="1" si="56"/>
        <v>-1.3495102157665587E-2</v>
      </c>
      <c r="AB153" s="33" t="e">
        <f t="shared" ca="1" si="62"/>
        <v>#N/A</v>
      </c>
      <c r="AC153" s="34" t="e">
        <f t="shared" ca="1" si="63"/>
        <v>#N/A</v>
      </c>
      <c r="AD153" s="34" t="e">
        <f t="shared" ca="1" si="64"/>
        <v>#N/A</v>
      </c>
      <c r="AE153" s="33" t="e">
        <f t="shared" ca="1" si="65"/>
        <v>#N/A</v>
      </c>
      <c r="AF153" s="34" t="e">
        <f t="shared" ca="1" si="57"/>
        <v>#N/A</v>
      </c>
      <c r="AG153" s="34" t="e">
        <f t="shared" ca="1" si="58"/>
        <v>#N/A</v>
      </c>
      <c r="AH153" s="34" t="e">
        <f t="shared" ca="1" si="59"/>
        <v>#N/A</v>
      </c>
      <c r="AI153" s="33" t="e">
        <f t="shared" ca="1" si="66"/>
        <v>#N/A</v>
      </c>
      <c r="AJ153" s="34" t="e">
        <f t="shared" ca="1" si="67"/>
        <v>#N/A</v>
      </c>
      <c r="AK153" s="34" t="e">
        <f t="shared" ca="1" si="60"/>
        <v>#N/A</v>
      </c>
      <c r="AL153" s="34" t="e">
        <f t="shared" ca="1" si="61"/>
        <v>#N/A</v>
      </c>
      <c r="AM153" s="33" t="e">
        <f t="shared" ca="1" si="68"/>
        <v>#N/A</v>
      </c>
      <c r="AN153" s="34" t="e">
        <f t="shared" ca="1" si="69"/>
        <v>#N/A</v>
      </c>
    </row>
    <row r="154" spans="1:40" x14ac:dyDescent="0.3">
      <c r="A154" s="2">
        <v>43685</v>
      </c>
      <c r="B154" s="9">
        <v>57.630001</v>
      </c>
      <c r="C154" s="9">
        <v>97.010002</v>
      </c>
      <c r="D154" s="9">
        <v>78.760002</v>
      </c>
      <c r="E154" s="10"/>
      <c r="F154" s="13">
        <v>151</v>
      </c>
      <c r="G154" s="2">
        <v>43685</v>
      </c>
      <c r="H154" s="14">
        <f t="shared" si="50"/>
        <v>2.5660511862503236E-2</v>
      </c>
      <c r="I154" s="14">
        <f t="shared" si="51"/>
        <v>1.8834176304909252E-2</v>
      </c>
      <c r="J154" s="14">
        <f t="shared" si="52"/>
        <v>3.8175095478057045E-2</v>
      </c>
      <c r="K154" s="22">
        <v>151</v>
      </c>
      <c r="L154" s="12"/>
      <c r="Q154" s="15">
        <f t="shared" si="53"/>
        <v>151</v>
      </c>
      <c r="R154" s="2">
        <f t="shared" si="49"/>
        <v>43685</v>
      </c>
      <c r="S154" s="9">
        <f t="shared" ca="1" si="54"/>
        <v>2.5660511862503236E-2</v>
      </c>
      <c r="T154" s="9">
        <f t="shared" ca="1" si="55"/>
        <v>1.8834176304909252E-2</v>
      </c>
      <c r="U154" s="9">
        <f t="shared" ca="1" si="56"/>
        <v>3.8175095478057045E-2</v>
      </c>
      <c r="AB154" s="33" t="e">
        <f t="shared" ca="1" si="62"/>
        <v>#N/A</v>
      </c>
      <c r="AC154" s="34" t="e">
        <f t="shared" ca="1" si="63"/>
        <v>#N/A</v>
      </c>
      <c r="AD154" s="34" t="e">
        <f t="shared" ca="1" si="64"/>
        <v>#N/A</v>
      </c>
      <c r="AE154" s="33" t="e">
        <f t="shared" ca="1" si="65"/>
        <v>#N/A</v>
      </c>
      <c r="AF154" s="34" t="e">
        <f t="shared" ca="1" si="57"/>
        <v>#N/A</v>
      </c>
      <c r="AG154" s="34" t="e">
        <f t="shared" ca="1" si="58"/>
        <v>#N/A</v>
      </c>
      <c r="AH154" s="34" t="e">
        <f t="shared" ca="1" si="59"/>
        <v>#N/A</v>
      </c>
      <c r="AI154" s="33" t="e">
        <f t="shared" ca="1" si="66"/>
        <v>#N/A</v>
      </c>
      <c r="AJ154" s="34" t="e">
        <f t="shared" ca="1" si="67"/>
        <v>#N/A</v>
      </c>
      <c r="AK154" s="34" t="e">
        <f t="shared" ca="1" si="60"/>
        <v>#N/A</v>
      </c>
      <c r="AL154" s="34" t="e">
        <f t="shared" ca="1" si="61"/>
        <v>#N/A</v>
      </c>
      <c r="AM154" s="33" t="e">
        <f t="shared" ca="1" si="68"/>
        <v>#N/A</v>
      </c>
      <c r="AN154" s="34" t="e">
        <f t="shared" ca="1" si="69"/>
        <v>#N/A</v>
      </c>
    </row>
    <row r="155" spans="1:40" x14ac:dyDescent="0.3">
      <c r="A155" s="2">
        <v>43686</v>
      </c>
      <c r="B155" s="9">
        <v>56.77</v>
      </c>
      <c r="C155" s="9">
        <v>93.720000999999996</v>
      </c>
      <c r="D155" s="9">
        <v>78.849997999999999</v>
      </c>
      <c r="E155" s="10"/>
      <c r="F155" s="13">
        <v>152</v>
      </c>
      <c r="G155" s="2">
        <v>43686</v>
      </c>
      <c r="H155" s="14">
        <f t="shared" si="50"/>
        <v>-1.5035265618013429E-2</v>
      </c>
      <c r="I155" s="14">
        <f t="shared" si="51"/>
        <v>-3.4502462279947292E-2</v>
      </c>
      <c r="J155" s="14">
        <f t="shared" si="52"/>
        <v>1.1420088799054449E-3</v>
      </c>
      <c r="K155" s="22">
        <v>152</v>
      </c>
      <c r="L155" s="12"/>
      <c r="Q155" s="15">
        <f t="shared" si="53"/>
        <v>152</v>
      </c>
      <c r="R155" s="2">
        <f t="shared" si="49"/>
        <v>43686</v>
      </c>
      <c r="S155" s="9">
        <f t="shared" ca="1" si="54"/>
        <v>-1.5035265618013429E-2</v>
      </c>
      <c r="T155" s="9">
        <f t="shared" ca="1" si="55"/>
        <v>-3.4502462279947292E-2</v>
      </c>
      <c r="U155" s="9">
        <f t="shared" ca="1" si="56"/>
        <v>1.1420088799054449E-3</v>
      </c>
      <c r="AB155" s="33" t="e">
        <f t="shared" ca="1" si="62"/>
        <v>#N/A</v>
      </c>
      <c r="AC155" s="34" t="e">
        <f t="shared" ca="1" si="63"/>
        <v>#N/A</v>
      </c>
      <c r="AD155" s="34" t="e">
        <f t="shared" ca="1" si="64"/>
        <v>#N/A</v>
      </c>
      <c r="AE155" s="33" t="e">
        <f t="shared" ca="1" si="65"/>
        <v>#N/A</v>
      </c>
      <c r="AF155" s="34" t="e">
        <f t="shared" ca="1" si="57"/>
        <v>#N/A</v>
      </c>
      <c r="AG155" s="34" t="e">
        <f t="shared" ca="1" si="58"/>
        <v>#N/A</v>
      </c>
      <c r="AH155" s="34" t="e">
        <f t="shared" ca="1" si="59"/>
        <v>#N/A</v>
      </c>
      <c r="AI155" s="33" t="e">
        <f t="shared" ca="1" si="66"/>
        <v>#N/A</v>
      </c>
      <c r="AJ155" s="34" t="e">
        <f t="shared" ca="1" si="67"/>
        <v>#N/A</v>
      </c>
      <c r="AK155" s="34" t="e">
        <f t="shared" ca="1" si="60"/>
        <v>#N/A</v>
      </c>
      <c r="AL155" s="34" t="e">
        <f t="shared" ca="1" si="61"/>
        <v>#N/A</v>
      </c>
      <c r="AM155" s="33" t="e">
        <f t="shared" ca="1" si="68"/>
        <v>#N/A</v>
      </c>
      <c r="AN155" s="34" t="e">
        <f t="shared" ca="1" si="69"/>
        <v>#N/A</v>
      </c>
    </row>
    <row r="156" spans="1:40" x14ac:dyDescent="0.3">
      <c r="A156" s="2">
        <v>43689</v>
      </c>
      <c r="B156" s="9">
        <v>56.080002</v>
      </c>
      <c r="C156" s="9">
        <v>91.93</v>
      </c>
      <c r="D156" s="9">
        <v>77.150002000000001</v>
      </c>
      <c r="E156" s="10"/>
      <c r="F156" s="13">
        <v>153</v>
      </c>
      <c r="G156" s="2">
        <v>43689</v>
      </c>
      <c r="H156" s="14">
        <f t="shared" si="50"/>
        <v>-1.222873879296286E-2</v>
      </c>
      <c r="I156" s="14">
        <f t="shared" si="51"/>
        <v>-1.9284206434012512E-2</v>
      </c>
      <c r="J156" s="14">
        <f t="shared" si="52"/>
        <v>-2.1795683311735575E-2</v>
      </c>
      <c r="K156" s="22">
        <v>153</v>
      </c>
      <c r="L156" s="12"/>
      <c r="Q156" s="15">
        <f t="shared" si="53"/>
        <v>153</v>
      </c>
      <c r="R156" s="2">
        <f t="shared" si="49"/>
        <v>43689</v>
      </c>
      <c r="S156" s="9">
        <f t="shared" ca="1" si="54"/>
        <v>-1.222873879296286E-2</v>
      </c>
      <c r="T156" s="9">
        <f t="shared" ca="1" si="55"/>
        <v>-1.9284206434012512E-2</v>
      </c>
      <c r="U156" s="9">
        <f t="shared" ca="1" si="56"/>
        <v>-2.1795683311735575E-2</v>
      </c>
      <c r="AB156" s="33" t="e">
        <f t="shared" ca="1" si="62"/>
        <v>#N/A</v>
      </c>
      <c r="AC156" s="34" t="e">
        <f t="shared" ca="1" si="63"/>
        <v>#N/A</v>
      </c>
      <c r="AD156" s="34" t="e">
        <f t="shared" ca="1" si="64"/>
        <v>#N/A</v>
      </c>
      <c r="AE156" s="33" t="e">
        <f t="shared" ca="1" si="65"/>
        <v>#N/A</v>
      </c>
      <c r="AF156" s="34" t="e">
        <f t="shared" ca="1" si="57"/>
        <v>#N/A</v>
      </c>
      <c r="AG156" s="34" t="e">
        <f t="shared" ca="1" si="58"/>
        <v>#N/A</v>
      </c>
      <c r="AH156" s="34" t="e">
        <f t="shared" ca="1" si="59"/>
        <v>#N/A</v>
      </c>
      <c r="AI156" s="33" t="e">
        <f t="shared" ca="1" si="66"/>
        <v>#N/A</v>
      </c>
      <c r="AJ156" s="34" t="e">
        <f t="shared" ca="1" si="67"/>
        <v>#N/A</v>
      </c>
      <c r="AK156" s="34" t="e">
        <f t="shared" ca="1" si="60"/>
        <v>#N/A</v>
      </c>
      <c r="AL156" s="34" t="e">
        <f t="shared" ca="1" si="61"/>
        <v>#N/A</v>
      </c>
      <c r="AM156" s="33" t="e">
        <f t="shared" ca="1" si="68"/>
        <v>#N/A</v>
      </c>
      <c r="AN156" s="34" t="e">
        <f t="shared" ca="1" si="69"/>
        <v>#N/A</v>
      </c>
    </row>
    <row r="157" spans="1:40" x14ac:dyDescent="0.3">
      <c r="A157" s="2">
        <v>43690</v>
      </c>
      <c r="B157" s="9">
        <v>56.599997999999999</v>
      </c>
      <c r="C157" s="9">
        <v>93.410004000000001</v>
      </c>
      <c r="D157" s="9">
        <v>78.739998</v>
      </c>
      <c r="E157" s="10"/>
      <c r="F157" s="13">
        <v>154</v>
      </c>
      <c r="G157" s="2">
        <v>43690</v>
      </c>
      <c r="H157" s="14">
        <f t="shared" si="50"/>
        <v>9.229671483775452E-3</v>
      </c>
      <c r="I157" s="14">
        <f t="shared" si="51"/>
        <v>1.5971030831060686E-2</v>
      </c>
      <c r="J157" s="14">
        <f t="shared" si="52"/>
        <v>2.0399655382845234E-2</v>
      </c>
      <c r="K157" s="22">
        <v>154</v>
      </c>
      <c r="L157" s="12"/>
      <c r="Q157" s="15">
        <f t="shared" si="53"/>
        <v>154</v>
      </c>
      <c r="R157" s="2">
        <f t="shared" si="49"/>
        <v>43690</v>
      </c>
      <c r="S157" s="9">
        <f t="shared" ca="1" si="54"/>
        <v>9.229671483775452E-3</v>
      </c>
      <c r="T157" s="9">
        <f t="shared" ca="1" si="55"/>
        <v>1.5971030831060686E-2</v>
      </c>
      <c r="U157" s="9">
        <f t="shared" ca="1" si="56"/>
        <v>2.0399655382845234E-2</v>
      </c>
      <c r="AB157" s="33" t="e">
        <f t="shared" ca="1" si="62"/>
        <v>#N/A</v>
      </c>
      <c r="AC157" s="34" t="e">
        <f t="shared" ca="1" si="63"/>
        <v>#N/A</v>
      </c>
      <c r="AD157" s="34" t="e">
        <f t="shared" ca="1" si="64"/>
        <v>#N/A</v>
      </c>
      <c r="AE157" s="33" t="e">
        <f t="shared" ca="1" si="65"/>
        <v>#N/A</v>
      </c>
      <c r="AF157" s="34" t="e">
        <f t="shared" ca="1" si="57"/>
        <v>#N/A</v>
      </c>
      <c r="AG157" s="34" t="e">
        <f t="shared" ca="1" si="58"/>
        <v>#N/A</v>
      </c>
      <c r="AH157" s="34" t="e">
        <f t="shared" ca="1" si="59"/>
        <v>#N/A</v>
      </c>
      <c r="AI157" s="33" t="e">
        <f t="shared" ca="1" si="66"/>
        <v>#N/A</v>
      </c>
      <c r="AJ157" s="34" t="e">
        <f t="shared" ca="1" si="67"/>
        <v>#N/A</v>
      </c>
      <c r="AK157" s="34" t="e">
        <f t="shared" ca="1" si="60"/>
        <v>#N/A</v>
      </c>
      <c r="AL157" s="34" t="e">
        <f t="shared" ca="1" si="61"/>
        <v>#N/A</v>
      </c>
      <c r="AM157" s="33" t="e">
        <f t="shared" ca="1" si="68"/>
        <v>#N/A</v>
      </c>
      <c r="AN157" s="34" t="e">
        <f t="shared" ca="1" si="69"/>
        <v>#N/A</v>
      </c>
    </row>
    <row r="158" spans="1:40" x14ac:dyDescent="0.3">
      <c r="A158" s="2">
        <v>43691</v>
      </c>
      <c r="B158" s="9">
        <v>53.93</v>
      </c>
      <c r="C158" s="9">
        <v>87.849997999999999</v>
      </c>
      <c r="D158" s="9">
        <v>76</v>
      </c>
      <c r="E158" s="10"/>
      <c r="F158" s="13">
        <v>155</v>
      </c>
      <c r="G158" s="2">
        <v>43691</v>
      </c>
      <c r="H158" s="14">
        <f t="shared" si="50"/>
        <v>-4.8322040524311931E-2</v>
      </c>
      <c r="I158" s="14">
        <f t="shared" si="51"/>
        <v>-6.1367656839696721E-2</v>
      </c>
      <c r="J158" s="14">
        <f t="shared" si="52"/>
        <v>-3.5417919829209291E-2</v>
      </c>
      <c r="K158" s="22">
        <v>155</v>
      </c>
      <c r="L158" s="12"/>
      <c r="Q158" s="15">
        <f t="shared" si="53"/>
        <v>155</v>
      </c>
      <c r="R158" s="2">
        <f t="shared" si="49"/>
        <v>43691</v>
      </c>
      <c r="S158" s="9">
        <f t="shared" ca="1" si="54"/>
        <v>-4.8322040524311931E-2</v>
      </c>
      <c r="T158" s="9">
        <f t="shared" ca="1" si="55"/>
        <v>-6.1367656839696721E-2</v>
      </c>
      <c r="U158" s="9">
        <f t="shared" ca="1" si="56"/>
        <v>-3.5417919829209291E-2</v>
      </c>
      <c r="AB158" s="33" t="e">
        <f t="shared" ca="1" si="62"/>
        <v>#N/A</v>
      </c>
      <c r="AC158" s="34" t="e">
        <f t="shared" ca="1" si="63"/>
        <v>#N/A</v>
      </c>
      <c r="AD158" s="34" t="e">
        <f t="shared" ca="1" si="64"/>
        <v>#N/A</v>
      </c>
      <c r="AE158" s="33" t="e">
        <f t="shared" ca="1" si="65"/>
        <v>#N/A</v>
      </c>
      <c r="AF158" s="34" t="e">
        <f t="shared" ca="1" si="57"/>
        <v>#N/A</v>
      </c>
      <c r="AG158" s="34" t="e">
        <f t="shared" ca="1" si="58"/>
        <v>#N/A</v>
      </c>
      <c r="AH158" s="34" t="e">
        <f t="shared" ca="1" si="59"/>
        <v>#N/A</v>
      </c>
      <c r="AI158" s="33" t="e">
        <f t="shared" ca="1" si="66"/>
        <v>#N/A</v>
      </c>
      <c r="AJ158" s="34" t="e">
        <f t="shared" ca="1" si="67"/>
        <v>#N/A</v>
      </c>
      <c r="AK158" s="34" t="e">
        <f t="shared" ca="1" si="60"/>
        <v>#N/A</v>
      </c>
      <c r="AL158" s="34" t="e">
        <f t="shared" ca="1" si="61"/>
        <v>#N/A</v>
      </c>
      <c r="AM158" s="33" t="e">
        <f t="shared" ca="1" si="68"/>
        <v>#N/A</v>
      </c>
      <c r="AN158" s="34" t="e">
        <f t="shared" ca="1" si="69"/>
        <v>#N/A</v>
      </c>
    </row>
    <row r="159" spans="1:40" x14ac:dyDescent="0.3">
      <c r="A159" s="2">
        <v>43692</v>
      </c>
      <c r="B159" s="9">
        <v>53.66</v>
      </c>
      <c r="C159" s="9">
        <v>85.07</v>
      </c>
      <c r="D159" s="9">
        <v>76.720000999999996</v>
      </c>
      <c r="E159" s="10"/>
      <c r="F159" s="13">
        <v>156</v>
      </c>
      <c r="G159" s="2">
        <v>43692</v>
      </c>
      <c r="H159" s="14">
        <f t="shared" si="50"/>
        <v>-5.0190643516576511E-3</v>
      </c>
      <c r="I159" s="14">
        <f t="shared" si="51"/>
        <v>-3.2156344879234494E-2</v>
      </c>
      <c r="J159" s="14">
        <f t="shared" si="52"/>
        <v>9.4291033232624839E-3</v>
      </c>
      <c r="K159" s="22">
        <v>156</v>
      </c>
      <c r="L159" s="12"/>
      <c r="Q159" s="15">
        <f t="shared" si="53"/>
        <v>156</v>
      </c>
      <c r="R159" s="2">
        <f t="shared" si="49"/>
        <v>43692</v>
      </c>
      <c r="S159" s="9">
        <f t="shared" ca="1" si="54"/>
        <v>-5.0190643516576511E-3</v>
      </c>
      <c r="T159" s="9">
        <f t="shared" ca="1" si="55"/>
        <v>-3.2156344879234494E-2</v>
      </c>
      <c r="U159" s="9">
        <f t="shared" ca="1" si="56"/>
        <v>9.4291033232624839E-3</v>
      </c>
      <c r="AB159" s="33" t="e">
        <f t="shared" ca="1" si="62"/>
        <v>#N/A</v>
      </c>
      <c r="AC159" s="34" t="e">
        <f t="shared" ca="1" si="63"/>
        <v>#N/A</v>
      </c>
      <c r="AD159" s="34" t="e">
        <f t="shared" ca="1" si="64"/>
        <v>#N/A</v>
      </c>
      <c r="AE159" s="33" t="e">
        <f t="shared" ca="1" si="65"/>
        <v>#N/A</v>
      </c>
      <c r="AF159" s="34" t="e">
        <f t="shared" ca="1" si="57"/>
        <v>#N/A</v>
      </c>
      <c r="AG159" s="34" t="e">
        <f t="shared" ca="1" si="58"/>
        <v>#N/A</v>
      </c>
      <c r="AH159" s="34" t="e">
        <f t="shared" ca="1" si="59"/>
        <v>#N/A</v>
      </c>
      <c r="AI159" s="33" t="e">
        <f t="shared" ca="1" si="66"/>
        <v>#N/A</v>
      </c>
      <c r="AJ159" s="34" t="e">
        <f t="shared" ca="1" si="67"/>
        <v>#N/A</v>
      </c>
      <c r="AK159" s="34" t="e">
        <f t="shared" ca="1" si="60"/>
        <v>#N/A</v>
      </c>
      <c r="AL159" s="34" t="e">
        <f t="shared" ca="1" si="61"/>
        <v>#N/A</v>
      </c>
      <c r="AM159" s="33" t="e">
        <f t="shared" ca="1" si="68"/>
        <v>#N/A</v>
      </c>
      <c r="AN159" s="34" t="e">
        <f t="shared" ca="1" si="69"/>
        <v>#N/A</v>
      </c>
    </row>
    <row r="160" spans="1:40" x14ac:dyDescent="0.3">
      <c r="A160" s="2">
        <v>43693</v>
      </c>
      <c r="B160" s="9">
        <v>55.040000999999997</v>
      </c>
      <c r="C160" s="9">
        <v>86.940002000000007</v>
      </c>
      <c r="D160" s="9">
        <v>78.120002999999997</v>
      </c>
      <c r="E160" s="10"/>
      <c r="F160" s="13">
        <v>157</v>
      </c>
      <c r="G160" s="2">
        <v>43693</v>
      </c>
      <c r="H160" s="14">
        <f t="shared" si="50"/>
        <v>2.5392366796214594E-2</v>
      </c>
      <c r="I160" s="14">
        <f t="shared" si="51"/>
        <v>2.1743801577223765E-2</v>
      </c>
      <c r="J160" s="14">
        <f t="shared" si="52"/>
        <v>1.8083700801341591E-2</v>
      </c>
      <c r="K160" s="22">
        <v>157</v>
      </c>
      <c r="L160" s="12"/>
      <c r="Q160" s="15">
        <f t="shared" si="53"/>
        <v>157</v>
      </c>
      <c r="R160" s="2">
        <f t="shared" si="49"/>
        <v>43693</v>
      </c>
      <c r="S160" s="9">
        <f t="shared" ca="1" si="54"/>
        <v>2.5392366796214594E-2</v>
      </c>
      <c r="T160" s="9">
        <f t="shared" ca="1" si="55"/>
        <v>2.1743801577223765E-2</v>
      </c>
      <c r="U160" s="9">
        <f t="shared" ca="1" si="56"/>
        <v>1.8083700801341591E-2</v>
      </c>
      <c r="AB160" s="33" t="e">
        <f t="shared" ca="1" si="62"/>
        <v>#N/A</v>
      </c>
      <c r="AC160" s="34" t="e">
        <f t="shared" ca="1" si="63"/>
        <v>#N/A</v>
      </c>
      <c r="AD160" s="34" t="e">
        <f t="shared" ca="1" si="64"/>
        <v>#N/A</v>
      </c>
      <c r="AE160" s="33" t="e">
        <f t="shared" ca="1" si="65"/>
        <v>#N/A</v>
      </c>
      <c r="AF160" s="34" t="e">
        <f t="shared" ca="1" si="57"/>
        <v>#N/A</v>
      </c>
      <c r="AG160" s="34" t="e">
        <f t="shared" ca="1" si="58"/>
        <v>#N/A</v>
      </c>
      <c r="AH160" s="34" t="e">
        <f t="shared" ca="1" si="59"/>
        <v>#N/A</v>
      </c>
      <c r="AI160" s="33" t="e">
        <f t="shared" ca="1" si="66"/>
        <v>#N/A</v>
      </c>
      <c r="AJ160" s="34" t="e">
        <f t="shared" ca="1" si="67"/>
        <v>#N/A</v>
      </c>
      <c r="AK160" s="34" t="e">
        <f t="shared" ca="1" si="60"/>
        <v>#N/A</v>
      </c>
      <c r="AL160" s="34" t="e">
        <f t="shared" ca="1" si="61"/>
        <v>#N/A</v>
      </c>
      <c r="AM160" s="33" t="e">
        <f t="shared" ca="1" si="68"/>
        <v>#N/A</v>
      </c>
      <c r="AN160" s="34" t="e">
        <f t="shared" ca="1" si="69"/>
        <v>#N/A</v>
      </c>
    </row>
    <row r="161" spans="1:40" x14ac:dyDescent="0.3">
      <c r="A161" s="2">
        <v>43696</v>
      </c>
      <c r="B161" s="9">
        <v>55.759998000000003</v>
      </c>
      <c r="C161" s="9">
        <v>87.150002000000001</v>
      </c>
      <c r="D161" s="9">
        <v>79.699996999999996</v>
      </c>
      <c r="E161" s="10"/>
      <c r="F161" s="13">
        <v>158</v>
      </c>
      <c r="G161" s="2">
        <v>43696</v>
      </c>
      <c r="H161" s="14">
        <f t="shared" si="50"/>
        <v>1.2996518790569402E-2</v>
      </c>
      <c r="I161" s="14">
        <f t="shared" si="51"/>
        <v>2.4125463499516018E-3</v>
      </c>
      <c r="J161" s="14">
        <f t="shared" si="52"/>
        <v>2.0023403744079078E-2</v>
      </c>
      <c r="K161" s="22">
        <v>158</v>
      </c>
      <c r="L161" s="12"/>
      <c r="Q161" s="15">
        <f t="shared" si="53"/>
        <v>158</v>
      </c>
      <c r="R161" s="2">
        <f t="shared" si="49"/>
        <v>43696</v>
      </c>
      <c r="S161" s="9">
        <f t="shared" ca="1" si="54"/>
        <v>1.2996518790569402E-2</v>
      </c>
      <c r="T161" s="9">
        <f t="shared" ca="1" si="55"/>
        <v>2.4125463499516018E-3</v>
      </c>
      <c r="U161" s="9">
        <f t="shared" ca="1" si="56"/>
        <v>2.0023403744079078E-2</v>
      </c>
      <c r="AB161" s="33" t="e">
        <f t="shared" ca="1" si="62"/>
        <v>#N/A</v>
      </c>
      <c r="AC161" s="34" t="e">
        <f t="shared" ca="1" si="63"/>
        <v>#N/A</v>
      </c>
      <c r="AD161" s="34" t="e">
        <f t="shared" ca="1" si="64"/>
        <v>#N/A</v>
      </c>
      <c r="AE161" s="33" t="e">
        <f t="shared" ca="1" si="65"/>
        <v>#N/A</v>
      </c>
      <c r="AF161" s="34" t="e">
        <f t="shared" ca="1" si="57"/>
        <v>#N/A</v>
      </c>
      <c r="AG161" s="34" t="e">
        <f t="shared" ca="1" si="58"/>
        <v>#N/A</v>
      </c>
      <c r="AH161" s="34" t="e">
        <f t="shared" ca="1" si="59"/>
        <v>#N/A</v>
      </c>
      <c r="AI161" s="33" t="e">
        <f t="shared" ca="1" si="66"/>
        <v>#N/A</v>
      </c>
      <c r="AJ161" s="34" t="e">
        <f t="shared" ca="1" si="67"/>
        <v>#N/A</v>
      </c>
      <c r="AK161" s="34" t="e">
        <f t="shared" ca="1" si="60"/>
        <v>#N/A</v>
      </c>
      <c r="AL161" s="34" t="e">
        <f t="shared" ca="1" si="61"/>
        <v>#N/A</v>
      </c>
      <c r="AM161" s="33" t="e">
        <f t="shared" ca="1" si="68"/>
        <v>#N/A</v>
      </c>
      <c r="AN161" s="34" t="e">
        <f t="shared" ca="1" si="69"/>
        <v>#N/A</v>
      </c>
    </row>
    <row r="162" spans="1:40" x14ac:dyDescent="0.3">
      <c r="A162" s="2">
        <v>43697</v>
      </c>
      <c r="B162" s="9">
        <v>55.200001</v>
      </c>
      <c r="C162" s="9">
        <v>86.82</v>
      </c>
      <c r="D162" s="9">
        <v>78.010002</v>
      </c>
      <c r="E162" s="10"/>
      <c r="F162" s="13">
        <v>159</v>
      </c>
      <c r="G162" s="2">
        <v>43697</v>
      </c>
      <c r="H162" s="14">
        <f t="shared" si="50"/>
        <v>-1.0093759185270642E-2</v>
      </c>
      <c r="I162" s="14">
        <f t="shared" si="51"/>
        <v>-3.7937850435208827E-3</v>
      </c>
      <c r="J162" s="14">
        <f t="shared" si="52"/>
        <v>-2.1432498917054048E-2</v>
      </c>
      <c r="K162" s="22">
        <v>159</v>
      </c>
      <c r="L162" s="12"/>
      <c r="Q162" s="15">
        <f t="shared" si="53"/>
        <v>159</v>
      </c>
      <c r="R162" s="2">
        <f t="shared" si="49"/>
        <v>43697</v>
      </c>
      <c r="S162" s="9">
        <f t="shared" ca="1" si="54"/>
        <v>-1.0093759185270642E-2</v>
      </c>
      <c r="T162" s="9">
        <f t="shared" ca="1" si="55"/>
        <v>-3.7937850435208827E-3</v>
      </c>
      <c r="U162" s="9">
        <f t="shared" ca="1" si="56"/>
        <v>-2.1432498917054048E-2</v>
      </c>
      <c r="AB162" s="33" t="e">
        <f t="shared" ca="1" si="62"/>
        <v>#N/A</v>
      </c>
      <c r="AC162" s="34" t="e">
        <f t="shared" ca="1" si="63"/>
        <v>#N/A</v>
      </c>
      <c r="AD162" s="34" t="e">
        <f t="shared" ca="1" si="64"/>
        <v>#N/A</v>
      </c>
      <c r="AE162" s="33" t="e">
        <f t="shared" ca="1" si="65"/>
        <v>#N/A</v>
      </c>
      <c r="AF162" s="34" t="e">
        <f t="shared" ca="1" si="57"/>
        <v>#N/A</v>
      </c>
      <c r="AG162" s="34" t="e">
        <f t="shared" ca="1" si="58"/>
        <v>#N/A</v>
      </c>
      <c r="AH162" s="34" t="e">
        <f t="shared" ca="1" si="59"/>
        <v>#N/A</v>
      </c>
      <c r="AI162" s="33" t="e">
        <f t="shared" ca="1" si="66"/>
        <v>#N/A</v>
      </c>
      <c r="AJ162" s="34" t="e">
        <f t="shared" ca="1" si="67"/>
        <v>#N/A</v>
      </c>
      <c r="AK162" s="34" t="e">
        <f t="shared" ca="1" si="60"/>
        <v>#N/A</v>
      </c>
      <c r="AL162" s="34" t="e">
        <f t="shared" ca="1" si="61"/>
        <v>#N/A</v>
      </c>
      <c r="AM162" s="33" t="e">
        <f t="shared" ca="1" si="68"/>
        <v>#N/A</v>
      </c>
      <c r="AN162" s="34" t="e">
        <f t="shared" ca="1" si="69"/>
        <v>#N/A</v>
      </c>
    </row>
    <row r="163" spans="1:40" x14ac:dyDescent="0.3">
      <c r="A163" s="2">
        <v>43698</v>
      </c>
      <c r="B163" s="9">
        <v>55.220001000000003</v>
      </c>
      <c r="C163" s="9">
        <v>87.07</v>
      </c>
      <c r="D163" s="9">
        <v>78.400002000000001</v>
      </c>
      <c r="E163" s="10"/>
      <c r="F163" s="13">
        <v>160</v>
      </c>
      <c r="G163" s="2">
        <v>43698</v>
      </c>
      <c r="H163" s="14">
        <f t="shared" si="50"/>
        <v>3.6225321239746338E-4</v>
      </c>
      <c r="I163" s="14">
        <f t="shared" si="51"/>
        <v>2.8753829690768172E-3</v>
      </c>
      <c r="J163" s="14">
        <f t="shared" si="52"/>
        <v>4.9869036286057863E-3</v>
      </c>
      <c r="K163" s="22">
        <v>160</v>
      </c>
      <c r="L163" s="12"/>
      <c r="Q163" s="15">
        <f t="shared" si="53"/>
        <v>160</v>
      </c>
      <c r="R163" s="2">
        <f t="shared" si="49"/>
        <v>43698</v>
      </c>
      <c r="S163" s="9">
        <f t="shared" ca="1" si="54"/>
        <v>3.6225321239746338E-4</v>
      </c>
      <c r="T163" s="9">
        <f t="shared" ca="1" si="55"/>
        <v>2.8753829690768172E-3</v>
      </c>
      <c r="U163" s="9">
        <f t="shared" ca="1" si="56"/>
        <v>4.9869036286057863E-3</v>
      </c>
      <c r="AB163" s="33" t="e">
        <f t="shared" ca="1" si="62"/>
        <v>#N/A</v>
      </c>
      <c r="AC163" s="34" t="e">
        <f t="shared" ca="1" si="63"/>
        <v>#N/A</v>
      </c>
      <c r="AD163" s="34" t="e">
        <f t="shared" ca="1" si="64"/>
        <v>#N/A</v>
      </c>
      <c r="AE163" s="33" t="e">
        <f t="shared" ca="1" si="65"/>
        <v>#N/A</v>
      </c>
      <c r="AF163" s="34" t="e">
        <f t="shared" ca="1" si="57"/>
        <v>#N/A</v>
      </c>
      <c r="AG163" s="34" t="e">
        <f t="shared" ca="1" si="58"/>
        <v>#N/A</v>
      </c>
      <c r="AH163" s="34" t="e">
        <f t="shared" ca="1" si="59"/>
        <v>#N/A</v>
      </c>
      <c r="AI163" s="33" t="e">
        <f t="shared" ca="1" si="66"/>
        <v>#N/A</v>
      </c>
      <c r="AJ163" s="34" t="e">
        <f t="shared" ca="1" si="67"/>
        <v>#N/A</v>
      </c>
      <c r="AK163" s="34" t="e">
        <f t="shared" ca="1" si="60"/>
        <v>#N/A</v>
      </c>
      <c r="AL163" s="34" t="e">
        <f t="shared" ca="1" si="61"/>
        <v>#N/A</v>
      </c>
      <c r="AM163" s="33" t="e">
        <f t="shared" ca="1" si="68"/>
        <v>#N/A</v>
      </c>
      <c r="AN163" s="34" t="e">
        <f t="shared" ca="1" si="69"/>
        <v>#N/A</v>
      </c>
    </row>
    <row r="164" spans="1:40" x14ac:dyDescent="0.3">
      <c r="A164" s="2">
        <v>43699</v>
      </c>
      <c r="B164" s="9">
        <v>54.549999</v>
      </c>
      <c r="C164" s="9">
        <v>87.900002000000001</v>
      </c>
      <c r="D164" s="9">
        <v>77.419998000000007</v>
      </c>
      <c r="E164" s="10"/>
      <c r="F164" s="13">
        <v>161</v>
      </c>
      <c r="G164" s="2">
        <v>43699</v>
      </c>
      <c r="H164" s="14">
        <f t="shared" si="50"/>
        <v>-1.2207530664114914E-2</v>
      </c>
      <c r="I164" s="14">
        <f t="shared" si="51"/>
        <v>9.487434603735365E-3</v>
      </c>
      <c r="J164" s="14">
        <f t="shared" si="52"/>
        <v>-1.257883355018221E-2</v>
      </c>
      <c r="K164" s="22">
        <v>161</v>
      </c>
      <c r="L164" s="12"/>
      <c r="Q164" s="15">
        <f t="shared" si="53"/>
        <v>161</v>
      </c>
      <c r="R164" s="2">
        <f t="shared" si="49"/>
        <v>43699</v>
      </c>
      <c r="S164" s="9">
        <f t="shared" ca="1" si="54"/>
        <v>-1.2207530664114914E-2</v>
      </c>
      <c r="T164" s="9">
        <f t="shared" ca="1" si="55"/>
        <v>9.487434603735365E-3</v>
      </c>
      <c r="U164" s="9">
        <f t="shared" ca="1" si="56"/>
        <v>-1.257883355018221E-2</v>
      </c>
      <c r="AB164" s="33" t="e">
        <f t="shared" ca="1" si="62"/>
        <v>#N/A</v>
      </c>
      <c r="AC164" s="34" t="e">
        <f t="shared" ca="1" si="63"/>
        <v>#N/A</v>
      </c>
      <c r="AD164" s="34" t="e">
        <f t="shared" ca="1" si="64"/>
        <v>#N/A</v>
      </c>
      <c r="AE164" s="33" t="e">
        <f t="shared" ca="1" si="65"/>
        <v>#N/A</v>
      </c>
      <c r="AF164" s="34" t="e">
        <f t="shared" ca="1" si="57"/>
        <v>#N/A</v>
      </c>
      <c r="AG164" s="34" t="e">
        <f t="shared" ca="1" si="58"/>
        <v>#N/A</v>
      </c>
      <c r="AH164" s="34" t="e">
        <f t="shared" ca="1" si="59"/>
        <v>#N/A</v>
      </c>
      <c r="AI164" s="33" t="e">
        <f t="shared" ca="1" si="66"/>
        <v>#N/A</v>
      </c>
      <c r="AJ164" s="34" t="e">
        <f t="shared" ca="1" si="67"/>
        <v>#N/A</v>
      </c>
      <c r="AK164" s="34" t="e">
        <f t="shared" ca="1" si="60"/>
        <v>#N/A</v>
      </c>
      <c r="AL164" s="34" t="e">
        <f t="shared" ca="1" si="61"/>
        <v>#N/A</v>
      </c>
      <c r="AM164" s="33" t="e">
        <f t="shared" ca="1" si="68"/>
        <v>#N/A</v>
      </c>
      <c r="AN164" s="34" t="e">
        <f t="shared" ca="1" si="69"/>
        <v>#N/A</v>
      </c>
    </row>
    <row r="165" spans="1:40" x14ac:dyDescent="0.3">
      <c r="A165" s="2">
        <v>43700</v>
      </c>
      <c r="B165" s="9">
        <v>53.080002</v>
      </c>
      <c r="C165" s="9">
        <v>83.910004000000001</v>
      </c>
      <c r="D165" s="9">
        <v>74.180000000000007</v>
      </c>
      <c r="E165" s="10"/>
      <c r="F165" s="13">
        <v>162</v>
      </c>
      <c r="G165" s="2">
        <v>43700</v>
      </c>
      <c r="H165" s="14">
        <f t="shared" si="50"/>
        <v>-2.7317446804292756E-2</v>
      </c>
      <c r="I165" s="14">
        <f t="shared" si="51"/>
        <v>-4.6454983892159997E-2</v>
      </c>
      <c r="J165" s="14">
        <f t="shared" si="52"/>
        <v>-4.2750547254938924E-2</v>
      </c>
      <c r="K165" s="22">
        <v>162</v>
      </c>
      <c r="L165" s="12"/>
      <c r="Q165" s="15">
        <f t="shared" si="53"/>
        <v>162</v>
      </c>
      <c r="R165" s="2">
        <f t="shared" si="49"/>
        <v>43700</v>
      </c>
      <c r="S165" s="9">
        <f t="shared" ca="1" si="54"/>
        <v>-2.7317446804292756E-2</v>
      </c>
      <c r="T165" s="9">
        <f t="shared" ca="1" si="55"/>
        <v>-4.6454983892159997E-2</v>
      </c>
      <c r="U165" s="9">
        <f t="shared" ca="1" si="56"/>
        <v>-4.2750547254938924E-2</v>
      </c>
      <c r="AB165" s="33" t="e">
        <f t="shared" ca="1" si="62"/>
        <v>#N/A</v>
      </c>
      <c r="AC165" s="34" t="e">
        <f t="shared" ca="1" si="63"/>
        <v>#N/A</v>
      </c>
      <c r="AD165" s="34" t="e">
        <f t="shared" ca="1" si="64"/>
        <v>#N/A</v>
      </c>
      <c r="AE165" s="33" t="e">
        <f t="shared" ca="1" si="65"/>
        <v>#N/A</v>
      </c>
      <c r="AF165" s="34" t="e">
        <f t="shared" ca="1" si="57"/>
        <v>#N/A</v>
      </c>
      <c r="AG165" s="34" t="e">
        <f t="shared" ca="1" si="58"/>
        <v>#N/A</v>
      </c>
      <c r="AH165" s="34" t="e">
        <f t="shared" ca="1" si="59"/>
        <v>#N/A</v>
      </c>
      <c r="AI165" s="33" t="e">
        <f t="shared" ca="1" si="66"/>
        <v>#N/A</v>
      </c>
      <c r="AJ165" s="34" t="e">
        <f t="shared" ca="1" si="67"/>
        <v>#N/A</v>
      </c>
      <c r="AK165" s="34" t="e">
        <f t="shared" ca="1" si="60"/>
        <v>#N/A</v>
      </c>
      <c r="AL165" s="34" t="e">
        <f t="shared" ca="1" si="61"/>
        <v>#N/A</v>
      </c>
      <c r="AM165" s="33" t="e">
        <f t="shared" ca="1" si="68"/>
        <v>#N/A</v>
      </c>
      <c r="AN165" s="34" t="e">
        <f t="shared" ca="1" si="69"/>
        <v>#N/A</v>
      </c>
    </row>
    <row r="166" spans="1:40" x14ac:dyDescent="0.3">
      <c r="A166" s="2">
        <v>43703</v>
      </c>
      <c r="B166" s="9">
        <v>53.169998</v>
      </c>
      <c r="C166" s="9">
        <v>83.629997000000003</v>
      </c>
      <c r="D166" s="9">
        <v>73.709998999999996</v>
      </c>
      <c r="E166" s="10"/>
      <c r="F166" s="13">
        <v>163</v>
      </c>
      <c r="G166" s="2">
        <v>43703</v>
      </c>
      <c r="H166" s="14">
        <f t="shared" si="50"/>
        <v>1.6940427580687419E-3</v>
      </c>
      <c r="I166" s="14">
        <f t="shared" si="51"/>
        <v>-3.3425720309605512E-3</v>
      </c>
      <c r="J166" s="14">
        <f t="shared" si="52"/>
        <v>-6.35611042692773E-3</v>
      </c>
      <c r="K166" s="22">
        <v>163</v>
      </c>
      <c r="L166" s="12"/>
      <c r="Q166" s="15">
        <f t="shared" si="53"/>
        <v>163</v>
      </c>
      <c r="R166" s="2">
        <f t="shared" si="49"/>
        <v>43703</v>
      </c>
      <c r="S166" s="9">
        <f t="shared" ca="1" si="54"/>
        <v>1.6940427580687419E-3</v>
      </c>
      <c r="T166" s="9">
        <f t="shared" ca="1" si="55"/>
        <v>-3.3425720309605512E-3</v>
      </c>
      <c r="U166" s="9">
        <f t="shared" ca="1" si="56"/>
        <v>-6.35611042692773E-3</v>
      </c>
      <c r="AB166" s="33" t="e">
        <f t="shared" ca="1" si="62"/>
        <v>#N/A</v>
      </c>
      <c r="AC166" s="34" t="e">
        <f t="shared" ca="1" si="63"/>
        <v>#N/A</v>
      </c>
      <c r="AD166" s="34" t="e">
        <f t="shared" ca="1" si="64"/>
        <v>#N/A</v>
      </c>
      <c r="AE166" s="33" t="e">
        <f t="shared" ca="1" si="65"/>
        <v>#N/A</v>
      </c>
      <c r="AF166" s="34" t="e">
        <f t="shared" ca="1" si="57"/>
        <v>#N/A</v>
      </c>
      <c r="AG166" s="34" t="e">
        <f t="shared" ca="1" si="58"/>
        <v>#N/A</v>
      </c>
      <c r="AH166" s="34" t="e">
        <f t="shared" ca="1" si="59"/>
        <v>#N/A</v>
      </c>
      <c r="AI166" s="33" t="e">
        <f t="shared" ca="1" si="66"/>
        <v>#N/A</v>
      </c>
      <c r="AJ166" s="34" t="e">
        <f t="shared" ca="1" si="67"/>
        <v>#N/A</v>
      </c>
      <c r="AK166" s="34" t="e">
        <f t="shared" ca="1" si="60"/>
        <v>#N/A</v>
      </c>
      <c r="AL166" s="34" t="e">
        <f t="shared" ca="1" si="61"/>
        <v>#N/A</v>
      </c>
      <c r="AM166" s="33" t="e">
        <f t="shared" ca="1" si="68"/>
        <v>#N/A</v>
      </c>
      <c r="AN166" s="34" t="e">
        <f t="shared" ca="1" si="69"/>
        <v>#N/A</v>
      </c>
    </row>
    <row r="167" spans="1:40" x14ac:dyDescent="0.3">
      <c r="A167" s="2">
        <v>43704</v>
      </c>
      <c r="B167" s="9">
        <v>52.900002000000001</v>
      </c>
      <c r="C167" s="9">
        <v>85.419998000000007</v>
      </c>
      <c r="D167" s="9">
        <v>71.709998999999996</v>
      </c>
      <c r="E167" s="10"/>
      <c r="F167" s="13">
        <v>164</v>
      </c>
      <c r="G167" s="2">
        <v>43704</v>
      </c>
      <c r="H167" s="14">
        <f t="shared" si="50"/>
        <v>-5.0909132296134757E-3</v>
      </c>
      <c r="I167" s="14">
        <f t="shared" si="51"/>
        <v>2.1177970478460543E-2</v>
      </c>
      <c r="J167" s="14">
        <f t="shared" si="52"/>
        <v>-2.7508267685090199E-2</v>
      </c>
      <c r="K167" s="22">
        <v>164</v>
      </c>
      <c r="L167" s="12"/>
      <c r="Q167" s="15">
        <f t="shared" si="53"/>
        <v>164</v>
      </c>
      <c r="R167" s="2">
        <f t="shared" si="49"/>
        <v>43704</v>
      </c>
      <c r="S167" s="9">
        <f t="shared" ca="1" si="54"/>
        <v>-5.0909132296134757E-3</v>
      </c>
      <c r="T167" s="9">
        <f t="shared" ca="1" si="55"/>
        <v>2.1177970478460543E-2</v>
      </c>
      <c r="U167" s="9">
        <f t="shared" ca="1" si="56"/>
        <v>-2.7508267685090199E-2</v>
      </c>
      <c r="AB167" s="33" t="e">
        <f t="shared" ca="1" si="62"/>
        <v>#N/A</v>
      </c>
      <c r="AC167" s="34" t="e">
        <f t="shared" ca="1" si="63"/>
        <v>#N/A</v>
      </c>
      <c r="AD167" s="34" t="e">
        <f t="shared" ca="1" si="64"/>
        <v>#N/A</v>
      </c>
      <c r="AE167" s="33" t="e">
        <f t="shared" ca="1" si="65"/>
        <v>#N/A</v>
      </c>
      <c r="AF167" s="34" t="e">
        <f t="shared" ca="1" si="57"/>
        <v>#N/A</v>
      </c>
      <c r="AG167" s="34" t="e">
        <f t="shared" ca="1" si="58"/>
        <v>#N/A</v>
      </c>
      <c r="AH167" s="34" t="e">
        <f t="shared" ca="1" si="59"/>
        <v>#N/A</v>
      </c>
      <c r="AI167" s="33" t="e">
        <f t="shared" ca="1" si="66"/>
        <v>#N/A</v>
      </c>
      <c r="AJ167" s="34" t="e">
        <f t="shared" ca="1" si="67"/>
        <v>#N/A</v>
      </c>
      <c r="AK167" s="34" t="e">
        <f t="shared" ca="1" si="60"/>
        <v>#N/A</v>
      </c>
      <c r="AL167" s="34" t="e">
        <f t="shared" ca="1" si="61"/>
        <v>#N/A</v>
      </c>
      <c r="AM167" s="33" t="e">
        <f t="shared" ca="1" si="68"/>
        <v>#N/A</v>
      </c>
      <c r="AN167" s="34" t="e">
        <f t="shared" ca="1" si="69"/>
        <v>#N/A</v>
      </c>
    </row>
    <row r="168" spans="1:40" x14ac:dyDescent="0.3">
      <c r="A168" s="2">
        <v>43705</v>
      </c>
      <c r="B168" s="9">
        <v>53.150002000000001</v>
      </c>
      <c r="C168" s="9">
        <v>87.739998</v>
      </c>
      <c r="D168" s="9">
        <v>72.760002</v>
      </c>
      <c r="E168" s="10"/>
      <c r="F168" s="13">
        <v>165</v>
      </c>
      <c r="G168" s="2">
        <v>43705</v>
      </c>
      <c r="H168" s="14">
        <f t="shared" si="50"/>
        <v>4.7147657458707351E-3</v>
      </c>
      <c r="I168" s="14">
        <f t="shared" si="51"/>
        <v>2.6797630943847402E-2</v>
      </c>
      <c r="J168" s="14">
        <f t="shared" si="52"/>
        <v>1.4536187188124812E-2</v>
      </c>
      <c r="K168" s="22">
        <v>165</v>
      </c>
      <c r="L168" s="12"/>
      <c r="Q168" s="15">
        <f t="shared" si="53"/>
        <v>165</v>
      </c>
      <c r="R168" s="2">
        <f t="shared" si="49"/>
        <v>43705</v>
      </c>
      <c r="S168" s="9">
        <f t="shared" ca="1" si="54"/>
        <v>4.7147657458707351E-3</v>
      </c>
      <c r="T168" s="9">
        <f t="shared" ca="1" si="55"/>
        <v>2.6797630943847402E-2</v>
      </c>
      <c r="U168" s="9">
        <f t="shared" ca="1" si="56"/>
        <v>1.4536187188124812E-2</v>
      </c>
      <c r="AB168" s="33" t="e">
        <f t="shared" ca="1" si="62"/>
        <v>#N/A</v>
      </c>
      <c r="AC168" s="34" t="e">
        <f t="shared" ca="1" si="63"/>
        <v>#N/A</v>
      </c>
      <c r="AD168" s="34" t="e">
        <f t="shared" ca="1" si="64"/>
        <v>#N/A</v>
      </c>
      <c r="AE168" s="33" t="e">
        <f t="shared" ca="1" si="65"/>
        <v>#N/A</v>
      </c>
      <c r="AF168" s="34" t="e">
        <f t="shared" ca="1" si="57"/>
        <v>#N/A</v>
      </c>
      <c r="AG168" s="34" t="e">
        <f t="shared" ca="1" si="58"/>
        <v>#N/A</v>
      </c>
      <c r="AH168" s="34" t="e">
        <f t="shared" ca="1" si="59"/>
        <v>#N/A</v>
      </c>
      <c r="AI168" s="33" t="e">
        <f t="shared" ca="1" si="66"/>
        <v>#N/A</v>
      </c>
      <c r="AJ168" s="34" t="e">
        <f t="shared" ca="1" si="67"/>
        <v>#N/A</v>
      </c>
      <c r="AK168" s="34" t="e">
        <f t="shared" ca="1" si="60"/>
        <v>#N/A</v>
      </c>
      <c r="AL168" s="34" t="e">
        <f t="shared" ca="1" si="61"/>
        <v>#N/A</v>
      </c>
      <c r="AM168" s="33" t="e">
        <f t="shared" ca="1" si="68"/>
        <v>#N/A</v>
      </c>
      <c r="AN168" s="34" t="e">
        <f t="shared" ca="1" si="69"/>
        <v>#N/A</v>
      </c>
    </row>
    <row r="169" spans="1:40" x14ac:dyDescent="0.3">
      <c r="A169" s="2">
        <v>43706</v>
      </c>
      <c r="B169" s="9">
        <v>53.41</v>
      </c>
      <c r="C169" s="9">
        <v>87.989998</v>
      </c>
      <c r="D169" s="9">
        <v>75.239998</v>
      </c>
      <c r="E169" s="10"/>
      <c r="F169" s="13">
        <v>166</v>
      </c>
      <c r="G169" s="2">
        <v>43706</v>
      </c>
      <c r="H169" s="14">
        <f t="shared" si="50"/>
        <v>4.879851934371811E-3</v>
      </c>
      <c r="I169" s="14">
        <f t="shared" si="51"/>
        <v>2.845275984166183E-3</v>
      </c>
      <c r="J169" s="14">
        <f t="shared" si="52"/>
        <v>3.3516596713671978E-2</v>
      </c>
      <c r="K169" s="22">
        <v>166</v>
      </c>
      <c r="L169" s="12"/>
      <c r="Q169" s="15">
        <f t="shared" si="53"/>
        <v>166</v>
      </c>
      <c r="R169" s="2">
        <f t="shared" si="49"/>
        <v>43706</v>
      </c>
      <c r="S169" s="9">
        <f t="shared" ca="1" si="54"/>
        <v>4.879851934371811E-3</v>
      </c>
      <c r="T169" s="9">
        <f t="shared" ca="1" si="55"/>
        <v>2.845275984166183E-3</v>
      </c>
      <c r="U169" s="9">
        <f t="shared" ca="1" si="56"/>
        <v>3.3516596713671978E-2</v>
      </c>
      <c r="AB169" s="33" t="e">
        <f t="shared" ca="1" si="62"/>
        <v>#N/A</v>
      </c>
      <c r="AC169" s="34" t="e">
        <f t="shared" ca="1" si="63"/>
        <v>#N/A</v>
      </c>
      <c r="AD169" s="34" t="e">
        <f t="shared" ca="1" si="64"/>
        <v>#N/A</v>
      </c>
      <c r="AE169" s="33" t="e">
        <f t="shared" ca="1" si="65"/>
        <v>#N/A</v>
      </c>
      <c r="AF169" s="34" t="e">
        <f t="shared" ca="1" si="57"/>
        <v>#N/A</v>
      </c>
      <c r="AG169" s="34" t="e">
        <f t="shared" ca="1" si="58"/>
        <v>#N/A</v>
      </c>
      <c r="AH169" s="34" t="e">
        <f t="shared" ca="1" si="59"/>
        <v>#N/A</v>
      </c>
      <c r="AI169" s="33" t="e">
        <f t="shared" ca="1" si="66"/>
        <v>#N/A</v>
      </c>
      <c r="AJ169" s="34" t="e">
        <f t="shared" ca="1" si="67"/>
        <v>#N/A</v>
      </c>
      <c r="AK169" s="34" t="e">
        <f t="shared" ca="1" si="60"/>
        <v>#N/A</v>
      </c>
      <c r="AL169" s="34" t="e">
        <f t="shared" ca="1" si="61"/>
        <v>#N/A</v>
      </c>
      <c r="AM169" s="33" t="e">
        <f t="shared" ca="1" si="68"/>
        <v>#N/A</v>
      </c>
      <c r="AN169" s="34" t="e">
        <f t="shared" ca="1" si="69"/>
        <v>#N/A</v>
      </c>
    </row>
    <row r="170" spans="1:40" x14ac:dyDescent="0.3">
      <c r="A170" s="2">
        <v>43707</v>
      </c>
      <c r="B170" s="9">
        <v>53.470001000000003</v>
      </c>
      <c r="C170" s="9">
        <v>88.339995999999999</v>
      </c>
      <c r="D170" s="9">
        <v>75.279999000000004</v>
      </c>
      <c r="E170" s="10"/>
      <c r="F170" s="13">
        <v>167</v>
      </c>
      <c r="G170" s="2">
        <v>43707</v>
      </c>
      <c r="H170" s="14">
        <f t="shared" si="50"/>
        <v>1.1227733110372457E-3</v>
      </c>
      <c r="I170" s="14">
        <f t="shared" si="51"/>
        <v>3.9698119611644581E-3</v>
      </c>
      <c r="J170" s="14">
        <f t="shared" si="52"/>
        <v>5.3150414215962145E-4</v>
      </c>
      <c r="K170" s="22">
        <v>167</v>
      </c>
      <c r="L170" s="12"/>
      <c r="Q170" s="15">
        <f t="shared" si="53"/>
        <v>167</v>
      </c>
      <c r="R170" s="2">
        <f t="shared" si="49"/>
        <v>43707</v>
      </c>
      <c r="S170" s="9">
        <f t="shared" ca="1" si="54"/>
        <v>1.1227733110372457E-3</v>
      </c>
      <c r="T170" s="9">
        <f t="shared" ca="1" si="55"/>
        <v>3.9698119611644581E-3</v>
      </c>
      <c r="U170" s="9">
        <f t="shared" ca="1" si="56"/>
        <v>5.3150414215962145E-4</v>
      </c>
      <c r="AB170" s="33" t="e">
        <f t="shared" ca="1" si="62"/>
        <v>#N/A</v>
      </c>
      <c r="AC170" s="34" t="e">
        <f t="shared" ca="1" si="63"/>
        <v>#N/A</v>
      </c>
      <c r="AD170" s="34" t="e">
        <f t="shared" ca="1" si="64"/>
        <v>#N/A</v>
      </c>
      <c r="AE170" s="33" t="e">
        <f t="shared" ca="1" si="65"/>
        <v>#N/A</v>
      </c>
      <c r="AF170" s="34" t="e">
        <f t="shared" ca="1" si="57"/>
        <v>#N/A</v>
      </c>
      <c r="AG170" s="34" t="e">
        <f t="shared" ca="1" si="58"/>
        <v>#N/A</v>
      </c>
      <c r="AH170" s="34" t="e">
        <f t="shared" ca="1" si="59"/>
        <v>#N/A</v>
      </c>
      <c r="AI170" s="33" t="e">
        <f t="shared" ca="1" si="66"/>
        <v>#N/A</v>
      </c>
      <c r="AJ170" s="34" t="e">
        <f t="shared" ca="1" si="67"/>
        <v>#N/A</v>
      </c>
      <c r="AK170" s="34" t="e">
        <f t="shared" ca="1" si="60"/>
        <v>#N/A</v>
      </c>
      <c r="AL170" s="34" t="e">
        <f t="shared" ca="1" si="61"/>
        <v>#N/A</v>
      </c>
      <c r="AM170" s="33" t="e">
        <f t="shared" ca="1" si="68"/>
        <v>#N/A</v>
      </c>
      <c r="AN170" s="34" t="e">
        <f t="shared" ca="1" si="69"/>
        <v>#N/A</v>
      </c>
    </row>
    <row r="171" spans="1:40" x14ac:dyDescent="0.3">
      <c r="A171" s="2">
        <v>43711</v>
      </c>
      <c r="B171" s="9">
        <v>52.130001</v>
      </c>
      <c r="C171" s="9">
        <v>86.940002000000007</v>
      </c>
      <c r="D171" s="9">
        <v>74.569999999999993</v>
      </c>
      <c r="E171" s="10"/>
      <c r="F171" s="13">
        <v>168</v>
      </c>
      <c r="G171" s="2">
        <v>43711</v>
      </c>
      <c r="H171" s="14">
        <f t="shared" si="50"/>
        <v>-2.5380149699889436E-2</v>
      </c>
      <c r="I171" s="14">
        <f t="shared" si="51"/>
        <v>-1.5974712323761131E-2</v>
      </c>
      <c r="J171" s="14">
        <f t="shared" si="52"/>
        <v>-9.4762004376800647E-3</v>
      </c>
      <c r="K171" s="22">
        <v>168</v>
      </c>
      <c r="L171" s="12"/>
      <c r="Q171" s="15">
        <f t="shared" si="53"/>
        <v>168</v>
      </c>
      <c r="R171" s="2">
        <f t="shared" si="49"/>
        <v>43711</v>
      </c>
      <c r="S171" s="9">
        <f t="shared" ca="1" si="54"/>
        <v>-2.5380149699889436E-2</v>
      </c>
      <c r="T171" s="9">
        <f t="shared" ca="1" si="55"/>
        <v>-1.5974712323761131E-2</v>
      </c>
      <c r="U171" s="9">
        <f t="shared" ca="1" si="56"/>
        <v>-9.4762004376800647E-3</v>
      </c>
      <c r="AB171" s="33" t="e">
        <f t="shared" ca="1" si="62"/>
        <v>#N/A</v>
      </c>
      <c r="AC171" s="34" t="e">
        <f t="shared" ca="1" si="63"/>
        <v>#N/A</v>
      </c>
      <c r="AD171" s="34" t="e">
        <f t="shared" ca="1" si="64"/>
        <v>#N/A</v>
      </c>
      <c r="AE171" s="33" t="e">
        <f t="shared" ca="1" si="65"/>
        <v>#N/A</v>
      </c>
      <c r="AF171" s="34" t="e">
        <f t="shared" ca="1" si="57"/>
        <v>#N/A</v>
      </c>
      <c r="AG171" s="34" t="e">
        <f t="shared" ca="1" si="58"/>
        <v>#N/A</v>
      </c>
      <c r="AH171" s="34" t="e">
        <f t="shared" ca="1" si="59"/>
        <v>#N/A</v>
      </c>
      <c r="AI171" s="33" t="e">
        <f t="shared" ca="1" si="66"/>
        <v>#N/A</v>
      </c>
      <c r="AJ171" s="34" t="e">
        <f t="shared" ca="1" si="67"/>
        <v>#N/A</v>
      </c>
      <c r="AK171" s="34" t="e">
        <f t="shared" ca="1" si="60"/>
        <v>#N/A</v>
      </c>
      <c r="AL171" s="34" t="e">
        <f t="shared" ca="1" si="61"/>
        <v>#N/A</v>
      </c>
      <c r="AM171" s="33" t="e">
        <f t="shared" ca="1" si="68"/>
        <v>#N/A</v>
      </c>
      <c r="AN171" s="34" t="e">
        <f t="shared" ca="1" si="69"/>
        <v>#N/A</v>
      </c>
    </row>
    <row r="172" spans="1:40" x14ac:dyDescent="0.3">
      <c r="A172" s="2">
        <v>43712</v>
      </c>
      <c r="B172" s="9">
        <v>52.900002000000001</v>
      </c>
      <c r="C172" s="9">
        <v>89.800003000000004</v>
      </c>
      <c r="D172" s="9">
        <v>74.779999000000004</v>
      </c>
      <c r="E172" s="10"/>
      <c r="F172" s="13">
        <v>169</v>
      </c>
      <c r="G172" s="2">
        <v>43712</v>
      </c>
      <c r="H172" s="14">
        <f t="shared" si="50"/>
        <v>1.4662758708609702E-2</v>
      </c>
      <c r="I172" s="14">
        <f t="shared" si="51"/>
        <v>3.2366760150709065E-2</v>
      </c>
      <c r="J172" s="14">
        <f t="shared" si="52"/>
        <v>2.8121746207048406E-3</v>
      </c>
      <c r="K172" s="22">
        <v>169</v>
      </c>
      <c r="L172" s="12"/>
      <c r="Q172" s="15">
        <f t="shared" si="53"/>
        <v>169</v>
      </c>
      <c r="R172" s="2">
        <f t="shared" si="49"/>
        <v>43712</v>
      </c>
      <c r="S172" s="9">
        <f t="shared" ca="1" si="54"/>
        <v>1.4662758708609702E-2</v>
      </c>
      <c r="T172" s="9">
        <f t="shared" ca="1" si="55"/>
        <v>3.2366760150709065E-2</v>
      </c>
      <c r="U172" s="9">
        <f t="shared" ca="1" si="56"/>
        <v>2.8121746207048406E-3</v>
      </c>
      <c r="AB172" s="33" t="e">
        <f t="shared" ca="1" si="62"/>
        <v>#N/A</v>
      </c>
      <c r="AC172" s="34" t="e">
        <f t="shared" ca="1" si="63"/>
        <v>#N/A</v>
      </c>
      <c r="AD172" s="34" t="e">
        <f t="shared" ca="1" si="64"/>
        <v>#N/A</v>
      </c>
      <c r="AE172" s="33" t="e">
        <f t="shared" ca="1" si="65"/>
        <v>#N/A</v>
      </c>
      <c r="AF172" s="34" t="e">
        <f t="shared" ca="1" si="57"/>
        <v>#N/A</v>
      </c>
      <c r="AG172" s="34" t="e">
        <f t="shared" ca="1" si="58"/>
        <v>#N/A</v>
      </c>
      <c r="AH172" s="34" t="e">
        <f t="shared" ca="1" si="59"/>
        <v>#N/A</v>
      </c>
      <c r="AI172" s="33" t="e">
        <f t="shared" ca="1" si="66"/>
        <v>#N/A</v>
      </c>
      <c r="AJ172" s="34" t="e">
        <f t="shared" ca="1" si="67"/>
        <v>#N/A</v>
      </c>
      <c r="AK172" s="34" t="e">
        <f t="shared" ca="1" si="60"/>
        <v>#N/A</v>
      </c>
      <c r="AL172" s="34" t="e">
        <f t="shared" ca="1" si="61"/>
        <v>#N/A</v>
      </c>
      <c r="AM172" s="33" t="e">
        <f t="shared" ca="1" si="68"/>
        <v>#N/A</v>
      </c>
      <c r="AN172" s="34" t="e">
        <f t="shared" ca="1" si="69"/>
        <v>#N/A</v>
      </c>
    </row>
    <row r="173" spans="1:40" x14ac:dyDescent="0.3">
      <c r="A173" s="2">
        <v>43713</v>
      </c>
      <c r="B173" s="9">
        <v>54.169998</v>
      </c>
      <c r="C173" s="9">
        <v>94.260002</v>
      </c>
      <c r="D173" s="9">
        <v>76.790001000000004</v>
      </c>
      <c r="E173" s="10"/>
      <c r="F173" s="13">
        <v>170</v>
      </c>
      <c r="G173" s="2">
        <v>43713</v>
      </c>
      <c r="H173" s="14">
        <f t="shared" si="50"/>
        <v>2.3723836077565511E-2</v>
      </c>
      <c r="I173" s="14">
        <f t="shared" si="51"/>
        <v>4.847193399776669E-2</v>
      </c>
      <c r="J173" s="14">
        <f t="shared" si="52"/>
        <v>2.6523980188573083E-2</v>
      </c>
      <c r="K173" s="22">
        <v>170</v>
      </c>
      <c r="L173" s="12"/>
      <c r="Q173" s="15">
        <f t="shared" si="53"/>
        <v>170</v>
      </c>
      <c r="R173" s="2">
        <f t="shared" si="49"/>
        <v>43713</v>
      </c>
      <c r="S173" s="9">
        <f t="shared" ca="1" si="54"/>
        <v>2.3723836077565511E-2</v>
      </c>
      <c r="T173" s="9">
        <f t="shared" ca="1" si="55"/>
        <v>4.847193399776669E-2</v>
      </c>
      <c r="U173" s="9">
        <f t="shared" ca="1" si="56"/>
        <v>2.6523980188573083E-2</v>
      </c>
      <c r="AB173" s="33" t="e">
        <f t="shared" ca="1" si="62"/>
        <v>#N/A</v>
      </c>
      <c r="AC173" s="34" t="e">
        <f t="shared" ca="1" si="63"/>
        <v>#N/A</v>
      </c>
      <c r="AD173" s="34" t="e">
        <f t="shared" ca="1" si="64"/>
        <v>#N/A</v>
      </c>
      <c r="AE173" s="33" t="e">
        <f t="shared" ca="1" si="65"/>
        <v>#N/A</v>
      </c>
      <c r="AF173" s="34" t="e">
        <f t="shared" ca="1" si="57"/>
        <v>#N/A</v>
      </c>
      <c r="AG173" s="34" t="e">
        <f t="shared" ca="1" si="58"/>
        <v>#N/A</v>
      </c>
      <c r="AH173" s="34" t="e">
        <f t="shared" ca="1" si="59"/>
        <v>#N/A</v>
      </c>
      <c r="AI173" s="33" t="e">
        <f t="shared" ca="1" si="66"/>
        <v>#N/A</v>
      </c>
      <c r="AJ173" s="34" t="e">
        <f t="shared" ca="1" si="67"/>
        <v>#N/A</v>
      </c>
      <c r="AK173" s="34" t="e">
        <f t="shared" ca="1" si="60"/>
        <v>#N/A</v>
      </c>
      <c r="AL173" s="34" t="e">
        <f t="shared" ca="1" si="61"/>
        <v>#N/A</v>
      </c>
      <c r="AM173" s="33" t="e">
        <f t="shared" ca="1" si="68"/>
        <v>#N/A</v>
      </c>
      <c r="AN173" s="34" t="e">
        <f t="shared" ca="1" si="69"/>
        <v>#N/A</v>
      </c>
    </row>
    <row r="174" spans="1:40" x14ac:dyDescent="0.3">
      <c r="A174" s="2">
        <v>43714</v>
      </c>
      <c r="B174" s="9">
        <v>53.41</v>
      </c>
      <c r="C174" s="9">
        <v>94.580001999999993</v>
      </c>
      <c r="D174" s="9">
        <v>78.129997000000003</v>
      </c>
      <c r="E174" s="10"/>
      <c r="F174" s="13">
        <v>171</v>
      </c>
      <c r="G174" s="2">
        <v>43714</v>
      </c>
      <c r="H174" s="14">
        <f t="shared" si="50"/>
        <v>-1.4129218397323099E-2</v>
      </c>
      <c r="I174" s="14">
        <f t="shared" si="51"/>
        <v>3.3891156483567037E-3</v>
      </c>
      <c r="J174" s="14">
        <f t="shared" si="52"/>
        <v>1.7299631246128627E-2</v>
      </c>
      <c r="K174" s="22">
        <v>171</v>
      </c>
      <c r="L174" s="12"/>
      <c r="Q174" s="15">
        <f t="shared" si="53"/>
        <v>171</v>
      </c>
      <c r="R174" s="2">
        <f t="shared" si="49"/>
        <v>43714</v>
      </c>
      <c r="S174" s="9">
        <f t="shared" ca="1" si="54"/>
        <v>-1.4129218397323099E-2</v>
      </c>
      <c r="T174" s="9">
        <f t="shared" ca="1" si="55"/>
        <v>3.3891156483567037E-3</v>
      </c>
      <c r="U174" s="9">
        <f t="shared" ca="1" si="56"/>
        <v>1.7299631246128627E-2</v>
      </c>
      <c r="AB174" s="33" t="e">
        <f t="shared" ca="1" si="62"/>
        <v>#N/A</v>
      </c>
      <c r="AC174" s="34" t="e">
        <f t="shared" ca="1" si="63"/>
        <v>#N/A</v>
      </c>
      <c r="AD174" s="34" t="e">
        <f t="shared" ca="1" si="64"/>
        <v>#N/A</v>
      </c>
      <c r="AE174" s="33" t="e">
        <f t="shared" ca="1" si="65"/>
        <v>#N/A</v>
      </c>
      <c r="AF174" s="34" t="e">
        <f t="shared" ca="1" si="57"/>
        <v>#N/A</v>
      </c>
      <c r="AG174" s="34" t="e">
        <f t="shared" ca="1" si="58"/>
        <v>#N/A</v>
      </c>
      <c r="AH174" s="34" t="e">
        <f t="shared" ca="1" si="59"/>
        <v>#N/A</v>
      </c>
      <c r="AI174" s="33" t="e">
        <f t="shared" ca="1" si="66"/>
        <v>#N/A</v>
      </c>
      <c r="AJ174" s="34" t="e">
        <f t="shared" ca="1" si="67"/>
        <v>#N/A</v>
      </c>
      <c r="AK174" s="34" t="e">
        <f t="shared" ca="1" si="60"/>
        <v>#N/A</v>
      </c>
      <c r="AL174" s="34" t="e">
        <f t="shared" ca="1" si="61"/>
        <v>#N/A</v>
      </c>
      <c r="AM174" s="33" t="e">
        <f t="shared" ca="1" si="68"/>
        <v>#N/A</v>
      </c>
      <c r="AN174" s="34" t="e">
        <f t="shared" ca="1" si="69"/>
        <v>#N/A</v>
      </c>
    </row>
    <row r="175" spans="1:40" x14ac:dyDescent="0.3">
      <c r="A175" s="2">
        <v>43717</v>
      </c>
      <c r="B175" s="9">
        <v>55.220001000000003</v>
      </c>
      <c r="C175" s="9">
        <v>96.849997999999999</v>
      </c>
      <c r="D175" s="9">
        <v>79.379997000000003</v>
      </c>
      <c r="E175" s="10"/>
      <c r="F175" s="13">
        <v>172</v>
      </c>
      <c r="G175" s="2">
        <v>43717</v>
      </c>
      <c r="H175" s="14">
        <f t="shared" si="50"/>
        <v>3.3327230259710086E-2</v>
      </c>
      <c r="I175" s="14">
        <f t="shared" si="51"/>
        <v>2.371731084066506E-2</v>
      </c>
      <c r="J175" s="14">
        <f t="shared" si="52"/>
        <v>1.5872341950913992E-2</v>
      </c>
      <c r="K175" s="22">
        <v>172</v>
      </c>
      <c r="L175" s="12"/>
      <c r="Q175" s="15">
        <f t="shared" si="53"/>
        <v>172</v>
      </c>
      <c r="R175" s="2">
        <f t="shared" si="49"/>
        <v>43717</v>
      </c>
      <c r="S175" s="9">
        <f t="shared" ca="1" si="54"/>
        <v>3.3327230259710086E-2</v>
      </c>
      <c r="T175" s="9">
        <f t="shared" ca="1" si="55"/>
        <v>2.371731084066506E-2</v>
      </c>
      <c r="U175" s="9">
        <f t="shared" ca="1" si="56"/>
        <v>1.5872341950913992E-2</v>
      </c>
      <c r="AB175" s="33" t="e">
        <f t="shared" ca="1" si="62"/>
        <v>#N/A</v>
      </c>
      <c r="AC175" s="34" t="e">
        <f t="shared" ca="1" si="63"/>
        <v>#N/A</v>
      </c>
      <c r="AD175" s="34" t="e">
        <f t="shared" ca="1" si="64"/>
        <v>#N/A</v>
      </c>
      <c r="AE175" s="33" t="e">
        <f t="shared" ca="1" si="65"/>
        <v>#N/A</v>
      </c>
      <c r="AF175" s="34" t="e">
        <f t="shared" ca="1" si="57"/>
        <v>#N/A</v>
      </c>
      <c r="AG175" s="34" t="e">
        <f t="shared" ca="1" si="58"/>
        <v>#N/A</v>
      </c>
      <c r="AH175" s="34" t="e">
        <f t="shared" ca="1" si="59"/>
        <v>#N/A</v>
      </c>
      <c r="AI175" s="33" t="e">
        <f t="shared" ca="1" si="66"/>
        <v>#N/A</v>
      </c>
      <c r="AJ175" s="34" t="e">
        <f t="shared" ca="1" si="67"/>
        <v>#N/A</v>
      </c>
      <c r="AK175" s="34" t="e">
        <f t="shared" ca="1" si="60"/>
        <v>#N/A</v>
      </c>
      <c r="AL175" s="34" t="e">
        <f t="shared" ca="1" si="61"/>
        <v>#N/A</v>
      </c>
      <c r="AM175" s="33" t="e">
        <f t="shared" ca="1" si="68"/>
        <v>#N/A</v>
      </c>
      <c r="AN175" s="34" t="e">
        <f t="shared" ca="1" si="69"/>
        <v>#N/A</v>
      </c>
    </row>
    <row r="176" spans="1:40" x14ac:dyDescent="0.3">
      <c r="A176" s="2">
        <v>43718</v>
      </c>
      <c r="B176" s="9">
        <v>56.02</v>
      </c>
      <c r="C176" s="9">
        <v>98.699996999999996</v>
      </c>
      <c r="D176" s="9">
        <v>81.680000000000007</v>
      </c>
      <c r="E176" s="10"/>
      <c r="F176" s="13">
        <v>173</v>
      </c>
      <c r="G176" s="2">
        <v>43718</v>
      </c>
      <c r="H176" s="14">
        <f t="shared" si="50"/>
        <v>1.4383545220573519E-2</v>
      </c>
      <c r="I176" s="14">
        <f t="shared" si="51"/>
        <v>1.8921546841784449E-2</v>
      </c>
      <c r="J176" s="14">
        <f t="shared" si="52"/>
        <v>2.8562764294386443E-2</v>
      </c>
      <c r="K176" s="22">
        <v>173</v>
      </c>
      <c r="L176" s="12"/>
      <c r="Q176" s="15">
        <f t="shared" si="53"/>
        <v>173</v>
      </c>
      <c r="R176" s="2">
        <f t="shared" si="49"/>
        <v>43718</v>
      </c>
      <c r="S176" s="9">
        <f t="shared" ca="1" si="54"/>
        <v>1.4383545220573519E-2</v>
      </c>
      <c r="T176" s="9">
        <f t="shared" ca="1" si="55"/>
        <v>1.8921546841784449E-2</v>
      </c>
      <c r="U176" s="9">
        <f t="shared" ca="1" si="56"/>
        <v>2.8562764294386443E-2</v>
      </c>
      <c r="AB176" s="33" t="e">
        <f t="shared" ca="1" si="62"/>
        <v>#N/A</v>
      </c>
      <c r="AC176" s="34" t="e">
        <f t="shared" ca="1" si="63"/>
        <v>#N/A</v>
      </c>
      <c r="AD176" s="34" t="e">
        <f t="shared" ca="1" si="64"/>
        <v>#N/A</v>
      </c>
      <c r="AE176" s="33" t="e">
        <f t="shared" ca="1" si="65"/>
        <v>#N/A</v>
      </c>
      <c r="AF176" s="34" t="e">
        <f t="shared" ca="1" si="57"/>
        <v>#N/A</v>
      </c>
      <c r="AG176" s="34" t="e">
        <f t="shared" ca="1" si="58"/>
        <v>#N/A</v>
      </c>
      <c r="AH176" s="34" t="e">
        <f t="shared" ca="1" si="59"/>
        <v>#N/A</v>
      </c>
      <c r="AI176" s="33" t="e">
        <f t="shared" ca="1" si="66"/>
        <v>#N/A</v>
      </c>
      <c r="AJ176" s="34" t="e">
        <f t="shared" ca="1" si="67"/>
        <v>#N/A</v>
      </c>
      <c r="AK176" s="34" t="e">
        <f t="shared" ca="1" si="60"/>
        <v>#N/A</v>
      </c>
      <c r="AL176" s="34" t="e">
        <f t="shared" ca="1" si="61"/>
        <v>#N/A</v>
      </c>
      <c r="AM176" s="33" t="e">
        <f t="shared" ca="1" si="68"/>
        <v>#N/A</v>
      </c>
      <c r="AN176" s="34" t="e">
        <f t="shared" ca="1" si="69"/>
        <v>#N/A</v>
      </c>
    </row>
    <row r="177" spans="1:40" x14ac:dyDescent="0.3">
      <c r="A177" s="2">
        <v>43719</v>
      </c>
      <c r="B177" s="9">
        <v>56.869999</v>
      </c>
      <c r="C177" s="9">
        <v>100.360001</v>
      </c>
      <c r="D177" s="9">
        <v>82.669998000000007</v>
      </c>
      <c r="E177" s="10"/>
      <c r="F177" s="13">
        <v>174</v>
      </c>
      <c r="G177" s="2">
        <v>43719</v>
      </c>
      <c r="H177" s="14">
        <f t="shared" si="50"/>
        <v>1.5059173902782106E-2</v>
      </c>
      <c r="I177" s="14">
        <f t="shared" si="51"/>
        <v>1.6678815418051867E-2</v>
      </c>
      <c r="J177" s="14">
        <f t="shared" si="52"/>
        <v>1.2047581215600851E-2</v>
      </c>
      <c r="K177" s="22">
        <v>174</v>
      </c>
      <c r="L177" s="12"/>
      <c r="Q177" s="15">
        <f t="shared" si="53"/>
        <v>174</v>
      </c>
      <c r="R177" s="2">
        <f t="shared" si="49"/>
        <v>43719</v>
      </c>
      <c r="S177" s="9">
        <f t="shared" ca="1" si="54"/>
        <v>1.5059173902782106E-2</v>
      </c>
      <c r="T177" s="9">
        <f t="shared" ca="1" si="55"/>
        <v>1.6678815418051867E-2</v>
      </c>
      <c r="U177" s="9">
        <f t="shared" ca="1" si="56"/>
        <v>1.2047581215600851E-2</v>
      </c>
      <c r="AB177" s="33" t="e">
        <f t="shared" ca="1" si="62"/>
        <v>#N/A</v>
      </c>
      <c r="AC177" s="34" t="e">
        <f t="shared" ca="1" si="63"/>
        <v>#N/A</v>
      </c>
      <c r="AD177" s="34" t="e">
        <f t="shared" ca="1" si="64"/>
        <v>#N/A</v>
      </c>
      <c r="AE177" s="33" t="e">
        <f t="shared" ca="1" si="65"/>
        <v>#N/A</v>
      </c>
      <c r="AF177" s="34" t="e">
        <f t="shared" ca="1" si="57"/>
        <v>#N/A</v>
      </c>
      <c r="AG177" s="34" t="e">
        <f t="shared" ca="1" si="58"/>
        <v>#N/A</v>
      </c>
      <c r="AH177" s="34" t="e">
        <f t="shared" ca="1" si="59"/>
        <v>#N/A</v>
      </c>
      <c r="AI177" s="33" t="e">
        <f t="shared" ca="1" si="66"/>
        <v>#N/A</v>
      </c>
      <c r="AJ177" s="34" t="e">
        <f t="shared" ca="1" si="67"/>
        <v>#N/A</v>
      </c>
      <c r="AK177" s="34" t="e">
        <f t="shared" ca="1" si="60"/>
        <v>#N/A</v>
      </c>
      <c r="AL177" s="34" t="e">
        <f t="shared" ca="1" si="61"/>
        <v>#N/A</v>
      </c>
      <c r="AM177" s="33" t="e">
        <f t="shared" ca="1" si="68"/>
        <v>#N/A</v>
      </c>
      <c r="AN177" s="34" t="e">
        <f t="shared" ca="1" si="69"/>
        <v>#N/A</v>
      </c>
    </row>
    <row r="178" spans="1:40" x14ac:dyDescent="0.3">
      <c r="A178" s="2">
        <v>43720</v>
      </c>
      <c r="B178" s="9">
        <v>55.630001</v>
      </c>
      <c r="C178" s="9">
        <v>100.58000199999999</v>
      </c>
      <c r="D178" s="9">
        <v>83.699996999999996</v>
      </c>
      <c r="E178" s="10"/>
      <c r="F178" s="13">
        <v>175</v>
      </c>
      <c r="G178" s="2">
        <v>43720</v>
      </c>
      <c r="H178" s="14">
        <f t="shared" si="50"/>
        <v>-2.2045301671630709E-2</v>
      </c>
      <c r="I178" s="14">
        <f t="shared" si="51"/>
        <v>2.1897191661367213E-3</v>
      </c>
      <c r="J178" s="14">
        <f t="shared" si="52"/>
        <v>1.238218658112392E-2</v>
      </c>
      <c r="K178" s="22">
        <v>175</v>
      </c>
      <c r="L178" s="12"/>
      <c r="Q178" s="15">
        <f t="shared" si="53"/>
        <v>175</v>
      </c>
      <c r="R178" s="2">
        <f t="shared" si="49"/>
        <v>43720</v>
      </c>
      <c r="S178" s="9">
        <f t="shared" ca="1" si="54"/>
        <v>-2.2045301671630709E-2</v>
      </c>
      <c r="T178" s="9">
        <f t="shared" ca="1" si="55"/>
        <v>2.1897191661367213E-3</v>
      </c>
      <c r="U178" s="9">
        <f t="shared" ca="1" si="56"/>
        <v>1.238218658112392E-2</v>
      </c>
      <c r="AB178" s="33" t="e">
        <f t="shared" ca="1" si="62"/>
        <v>#N/A</v>
      </c>
      <c r="AC178" s="34" t="e">
        <f t="shared" ca="1" si="63"/>
        <v>#N/A</v>
      </c>
      <c r="AD178" s="34" t="e">
        <f t="shared" ca="1" si="64"/>
        <v>#N/A</v>
      </c>
      <c r="AE178" s="33" t="e">
        <f t="shared" ca="1" si="65"/>
        <v>#N/A</v>
      </c>
      <c r="AF178" s="34" t="e">
        <f t="shared" ca="1" si="57"/>
        <v>#N/A</v>
      </c>
      <c r="AG178" s="34" t="e">
        <f t="shared" ca="1" si="58"/>
        <v>#N/A</v>
      </c>
      <c r="AH178" s="34" t="e">
        <f t="shared" ca="1" si="59"/>
        <v>#N/A</v>
      </c>
      <c r="AI178" s="33" t="e">
        <f t="shared" ca="1" si="66"/>
        <v>#N/A</v>
      </c>
      <c r="AJ178" s="34" t="e">
        <f t="shared" ca="1" si="67"/>
        <v>#N/A</v>
      </c>
      <c r="AK178" s="34" t="e">
        <f t="shared" ca="1" si="60"/>
        <v>#N/A</v>
      </c>
      <c r="AL178" s="34" t="e">
        <f t="shared" ca="1" si="61"/>
        <v>#N/A</v>
      </c>
      <c r="AM178" s="33" t="e">
        <f t="shared" ca="1" si="68"/>
        <v>#N/A</v>
      </c>
      <c r="AN178" s="34" t="e">
        <f t="shared" ca="1" si="69"/>
        <v>#N/A</v>
      </c>
    </row>
    <row r="179" spans="1:40" x14ac:dyDescent="0.3">
      <c r="A179" s="2">
        <v>43721</v>
      </c>
      <c r="B179" s="9">
        <v>56.759998000000003</v>
      </c>
      <c r="C179" s="9">
        <v>102.260002</v>
      </c>
      <c r="D179" s="9">
        <v>85.529999000000004</v>
      </c>
      <c r="E179" s="10"/>
      <c r="F179" s="13">
        <v>176</v>
      </c>
      <c r="G179" s="2">
        <v>43721</v>
      </c>
      <c r="H179" s="14">
        <f t="shared" si="50"/>
        <v>2.010917499264565E-2</v>
      </c>
      <c r="I179" s="14">
        <f t="shared" si="51"/>
        <v>1.6565158581355169E-2</v>
      </c>
      <c r="J179" s="14">
        <f t="shared" si="52"/>
        <v>2.1628238247751199E-2</v>
      </c>
      <c r="K179" s="22">
        <v>176</v>
      </c>
      <c r="L179" s="12"/>
      <c r="Q179" s="15">
        <f t="shared" si="53"/>
        <v>176</v>
      </c>
      <c r="R179" s="2">
        <f t="shared" si="49"/>
        <v>43721</v>
      </c>
      <c r="S179" s="9">
        <f t="shared" ca="1" si="54"/>
        <v>2.010917499264565E-2</v>
      </c>
      <c r="T179" s="9">
        <f t="shared" ca="1" si="55"/>
        <v>1.6565158581355169E-2</v>
      </c>
      <c r="U179" s="9">
        <f t="shared" ca="1" si="56"/>
        <v>2.1628238247751199E-2</v>
      </c>
      <c r="AB179" s="33" t="e">
        <f t="shared" ca="1" si="62"/>
        <v>#N/A</v>
      </c>
      <c r="AC179" s="34" t="e">
        <f t="shared" ca="1" si="63"/>
        <v>#N/A</v>
      </c>
      <c r="AD179" s="34" t="e">
        <f t="shared" ca="1" si="64"/>
        <v>#N/A</v>
      </c>
      <c r="AE179" s="33" t="e">
        <f t="shared" ca="1" si="65"/>
        <v>#N/A</v>
      </c>
      <c r="AF179" s="34" t="e">
        <f t="shared" ca="1" si="57"/>
        <v>#N/A</v>
      </c>
      <c r="AG179" s="34" t="e">
        <f t="shared" ca="1" si="58"/>
        <v>#N/A</v>
      </c>
      <c r="AH179" s="34" t="e">
        <f t="shared" ca="1" si="59"/>
        <v>#N/A</v>
      </c>
      <c r="AI179" s="33" t="e">
        <f t="shared" ca="1" si="66"/>
        <v>#N/A</v>
      </c>
      <c r="AJ179" s="34" t="e">
        <f t="shared" ca="1" si="67"/>
        <v>#N/A</v>
      </c>
      <c r="AK179" s="34" t="e">
        <f t="shared" ca="1" si="60"/>
        <v>#N/A</v>
      </c>
      <c r="AL179" s="34" t="e">
        <f t="shared" ca="1" si="61"/>
        <v>#N/A</v>
      </c>
      <c r="AM179" s="33" t="e">
        <f t="shared" ca="1" si="68"/>
        <v>#N/A</v>
      </c>
      <c r="AN179" s="34" t="e">
        <f t="shared" ca="1" si="69"/>
        <v>#N/A</v>
      </c>
    </row>
    <row r="180" spans="1:40" x14ac:dyDescent="0.3">
      <c r="A180" s="2">
        <v>43724</v>
      </c>
      <c r="B180" s="9">
        <v>57.119999</v>
      </c>
      <c r="C180" s="9">
        <v>103.150002</v>
      </c>
      <c r="D180" s="9">
        <v>82.389999000000003</v>
      </c>
      <c r="E180" s="10"/>
      <c r="F180" s="13">
        <v>177</v>
      </c>
      <c r="G180" s="2">
        <v>43724</v>
      </c>
      <c r="H180" s="14">
        <f t="shared" si="50"/>
        <v>6.3224834685663926E-3</v>
      </c>
      <c r="I180" s="14">
        <f t="shared" si="51"/>
        <v>8.6656496966572606E-3</v>
      </c>
      <c r="J180" s="14">
        <f t="shared" si="52"/>
        <v>-3.7403121710782986E-2</v>
      </c>
      <c r="K180" s="22">
        <v>177</v>
      </c>
      <c r="L180" s="12"/>
      <c r="Q180" s="15">
        <f t="shared" si="53"/>
        <v>177</v>
      </c>
      <c r="R180" s="2">
        <f t="shared" si="49"/>
        <v>43724</v>
      </c>
      <c r="S180" s="9">
        <f t="shared" ca="1" si="54"/>
        <v>6.3224834685663926E-3</v>
      </c>
      <c r="T180" s="9">
        <f t="shared" ca="1" si="55"/>
        <v>8.6656496966572606E-3</v>
      </c>
      <c r="U180" s="9">
        <f t="shared" ca="1" si="56"/>
        <v>-3.7403121710782986E-2</v>
      </c>
      <c r="AB180" s="33" t="e">
        <f t="shared" ca="1" si="62"/>
        <v>#N/A</v>
      </c>
      <c r="AC180" s="34" t="e">
        <f t="shared" ca="1" si="63"/>
        <v>#N/A</v>
      </c>
      <c r="AD180" s="34" t="e">
        <f t="shared" ca="1" si="64"/>
        <v>#N/A</v>
      </c>
      <c r="AE180" s="33" t="e">
        <f t="shared" ca="1" si="65"/>
        <v>#N/A</v>
      </c>
      <c r="AF180" s="34" t="e">
        <f t="shared" ca="1" si="57"/>
        <v>#N/A</v>
      </c>
      <c r="AG180" s="34" t="e">
        <f t="shared" ca="1" si="58"/>
        <v>#N/A</v>
      </c>
      <c r="AH180" s="34" t="e">
        <f t="shared" ca="1" si="59"/>
        <v>#N/A</v>
      </c>
      <c r="AI180" s="33" t="e">
        <f t="shared" ca="1" si="66"/>
        <v>#N/A</v>
      </c>
      <c r="AJ180" s="34" t="e">
        <f t="shared" ca="1" si="67"/>
        <v>#N/A</v>
      </c>
      <c r="AK180" s="34" t="e">
        <f t="shared" ca="1" si="60"/>
        <v>#N/A</v>
      </c>
      <c r="AL180" s="34" t="e">
        <f t="shared" ca="1" si="61"/>
        <v>#N/A</v>
      </c>
      <c r="AM180" s="33" t="e">
        <f t="shared" ca="1" si="68"/>
        <v>#N/A</v>
      </c>
      <c r="AN180" s="34" t="e">
        <f t="shared" ca="1" si="69"/>
        <v>#N/A</v>
      </c>
    </row>
    <row r="181" spans="1:40" x14ac:dyDescent="0.3">
      <c r="A181" s="2">
        <v>43725</v>
      </c>
      <c r="B181" s="9">
        <v>55.880001</v>
      </c>
      <c r="C181" s="9">
        <v>99.050003000000004</v>
      </c>
      <c r="D181" s="9">
        <v>84.309997999999993</v>
      </c>
      <c r="E181" s="10"/>
      <c r="F181" s="13">
        <v>178</v>
      </c>
      <c r="G181" s="2">
        <v>43725</v>
      </c>
      <c r="H181" s="14">
        <f t="shared" si="50"/>
        <v>-2.1947748240074748E-2</v>
      </c>
      <c r="I181" s="14">
        <f t="shared" si="51"/>
        <v>-4.0559455474206675E-2</v>
      </c>
      <c r="J181" s="14">
        <f t="shared" si="52"/>
        <v>2.303640002250211E-2</v>
      </c>
      <c r="K181" s="22">
        <v>178</v>
      </c>
      <c r="L181" s="12"/>
      <c r="Q181" s="15">
        <f t="shared" si="53"/>
        <v>178</v>
      </c>
      <c r="R181" s="2">
        <f t="shared" si="49"/>
        <v>43725</v>
      </c>
      <c r="S181" s="9">
        <f t="shared" ca="1" si="54"/>
        <v>-2.1947748240074748E-2</v>
      </c>
      <c r="T181" s="9">
        <f t="shared" ca="1" si="55"/>
        <v>-4.0559455474206675E-2</v>
      </c>
      <c r="U181" s="9">
        <f t="shared" ca="1" si="56"/>
        <v>2.303640002250211E-2</v>
      </c>
      <c r="AB181" s="33" t="e">
        <f t="shared" ca="1" si="62"/>
        <v>#N/A</v>
      </c>
      <c r="AC181" s="34" t="e">
        <f t="shared" ca="1" si="63"/>
        <v>#N/A</v>
      </c>
      <c r="AD181" s="34" t="e">
        <f t="shared" ca="1" si="64"/>
        <v>#N/A</v>
      </c>
      <c r="AE181" s="33" t="e">
        <f t="shared" ca="1" si="65"/>
        <v>#N/A</v>
      </c>
      <c r="AF181" s="34" t="e">
        <f t="shared" ca="1" si="57"/>
        <v>#N/A</v>
      </c>
      <c r="AG181" s="34" t="e">
        <f t="shared" ca="1" si="58"/>
        <v>#N/A</v>
      </c>
      <c r="AH181" s="34" t="e">
        <f t="shared" ca="1" si="59"/>
        <v>#N/A</v>
      </c>
      <c r="AI181" s="33" t="e">
        <f t="shared" ca="1" si="66"/>
        <v>#N/A</v>
      </c>
      <c r="AJ181" s="34" t="e">
        <f t="shared" ca="1" si="67"/>
        <v>#N/A</v>
      </c>
      <c r="AK181" s="34" t="e">
        <f t="shared" ca="1" si="60"/>
        <v>#N/A</v>
      </c>
      <c r="AL181" s="34" t="e">
        <f t="shared" ca="1" si="61"/>
        <v>#N/A</v>
      </c>
      <c r="AM181" s="33" t="e">
        <f t="shared" ca="1" si="68"/>
        <v>#N/A</v>
      </c>
      <c r="AN181" s="34" t="e">
        <f t="shared" ca="1" si="69"/>
        <v>#N/A</v>
      </c>
    </row>
    <row r="182" spans="1:40" x14ac:dyDescent="0.3">
      <c r="A182" s="2">
        <v>43726</v>
      </c>
      <c r="B182" s="9">
        <v>55.5</v>
      </c>
      <c r="C182" s="9">
        <v>98.540001000000004</v>
      </c>
      <c r="D182" s="9">
        <v>83.599997999999999</v>
      </c>
      <c r="E182" s="10"/>
      <c r="F182" s="13">
        <v>179</v>
      </c>
      <c r="G182" s="2">
        <v>43726</v>
      </c>
      <c r="H182" s="14">
        <f t="shared" si="50"/>
        <v>-6.8235315318623717E-3</v>
      </c>
      <c r="I182" s="14">
        <f t="shared" si="51"/>
        <v>-5.1622361683127454E-3</v>
      </c>
      <c r="J182" s="14">
        <f t="shared" si="52"/>
        <v>-8.4569620453948131E-3</v>
      </c>
      <c r="K182" s="22">
        <v>179</v>
      </c>
      <c r="L182" s="12"/>
      <c r="Q182" s="15">
        <f t="shared" si="53"/>
        <v>179</v>
      </c>
      <c r="R182" s="2">
        <f t="shared" si="49"/>
        <v>43726</v>
      </c>
      <c r="S182" s="9">
        <f t="shared" ca="1" si="54"/>
        <v>-6.8235315318623717E-3</v>
      </c>
      <c r="T182" s="9">
        <f t="shared" ca="1" si="55"/>
        <v>-5.1622361683127454E-3</v>
      </c>
      <c r="U182" s="9">
        <f t="shared" ca="1" si="56"/>
        <v>-8.4569620453948131E-3</v>
      </c>
      <c r="AB182" s="33" t="e">
        <f t="shared" ca="1" si="62"/>
        <v>#N/A</v>
      </c>
      <c r="AC182" s="34" t="e">
        <f t="shared" ca="1" si="63"/>
        <v>#N/A</v>
      </c>
      <c r="AD182" s="34" t="e">
        <f t="shared" ca="1" si="64"/>
        <v>#N/A</v>
      </c>
      <c r="AE182" s="33" t="e">
        <f t="shared" ca="1" si="65"/>
        <v>#N/A</v>
      </c>
      <c r="AF182" s="34" t="e">
        <f t="shared" ca="1" si="57"/>
        <v>#N/A</v>
      </c>
      <c r="AG182" s="34" t="e">
        <f t="shared" ca="1" si="58"/>
        <v>#N/A</v>
      </c>
      <c r="AH182" s="34" t="e">
        <f t="shared" ca="1" si="59"/>
        <v>#N/A</v>
      </c>
      <c r="AI182" s="33" t="e">
        <f t="shared" ca="1" si="66"/>
        <v>#N/A</v>
      </c>
      <c r="AJ182" s="34" t="e">
        <f t="shared" ca="1" si="67"/>
        <v>#N/A</v>
      </c>
      <c r="AK182" s="34" t="e">
        <f t="shared" ca="1" si="60"/>
        <v>#N/A</v>
      </c>
      <c r="AL182" s="34" t="e">
        <f t="shared" ca="1" si="61"/>
        <v>#N/A</v>
      </c>
      <c r="AM182" s="33" t="e">
        <f t="shared" ca="1" si="68"/>
        <v>#N/A</v>
      </c>
      <c r="AN182" s="34" t="e">
        <f t="shared" ca="1" si="69"/>
        <v>#N/A</v>
      </c>
    </row>
    <row r="183" spans="1:40" x14ac:dyDescent="0.3">
      <c r="A183" s="2">
        <v>43727</v>
      </c>
      <c r="B183" s="9">
        <v>54.630001</v>
      </c>
      <c r="C183" s="9">
        <v>95.849997999999999</v>
      </c>
      <c r="D183" s="9">
        <v>83.550003000000004</v>
      </c>
      <c r="E183" s="10"/>
      <c r="F183" s="13">
        <v>180</v>
      </c>
      <c r="G183" s="2">
        <v>43727</v>
      </c>
      <c r="H183" s="14">
        <f t="shared" si="50"/>
        <v>-1.5799820039802074E-2</v>
      </c>
      <c r="I183" s="14">
        <f t="shared" si="51"/>
        <v>-2.7678118638263333E-2</v>
      </c>
      <c r="J183" s="14">
        <f t="shared" si="52"/>
        <v>-5.9820521916586177E-4</v>
      </c>
      <c r="K183" s="22">
        <v>180</v>
      </c>
      <c r="L183" s="12"/>
      <c r="Q183" s="15">
        <f t="shared" si="53"/>
        <v>180</v>
      </c>
      <c r="R183" s="2">
        <f t="shared" si="49"/>
        <v>43727</v>
      </c>
      <c r="S183" s="9">
        <f t="shared" ca="1" si="54"/>
        <v>-1.5799820039802074E-2</v>
      </c>
      <c r="T183" s="9">
        <f t="shared" ca="1" si="55"/>
        <v>-2.7678118638263333E-2</v>
      </c>
      <c r="U183" s="9">
        <f t="shared" ca="1" si="56"/>
        <v>-5.9820521916586177E-4</v>
      </c>
      <c r="AB183" s="33" t="e">
        <f t="shared" ca="1" si="62"/>
        <v>#N/A</v>
      </c>
      <c r="AC183" s="34" t="e">
        <f t="shared" ca="1" si="63"/>
        <v>#N/A</v>
      </c>
      <c r="AD183" s="34" t="e">
        <f t="shared" ca="1" si="64"/>
        <v>#N/A</v>
      </c>
      <c r="AE183" s="33" t="e">
        <f t="shared" ca="1" si="65"/>
        <v>#N/A</v>
      </c>
      <c r="AF183" s="34" t="e">
        <f t="shared" ca="1" si="57"/>
        <v>#N/A</v>
      </c>
      <c r="AG183" s="34" t="e">
        <f t="shared" ca="1" si="58"/>
        <v>#N/A</v>
      </c>
      <c r="AH183" s="34" t="e">
        <f t="shared" ca="1" si="59"/>
        <v>#N/A</v>
      </c>
      <c r="AI183" s="33" t="e">
        <f t="shared" ca="1" si="66"/>
        <v>#N/A</v>
      </c>
      <c r="AJ183" s="34" t="e">
        <f t="shared" ca="1" si="67"/>
        <v>#N/A</v>
      </c>
      <c r="AK183" s="34" t="e">
        <f t="shared" ca="1" si="60"/>
        <v>#N/A</v>
      </c>
      <c r="AL183" s="34" t="e">
        <f t="shared" ca="1" si="61"/>
        <v>#N/A</v>
      </c>
      <c r="AM183" s="33" t="e">
        <f t="shared" ca="1" si="68"/>
        <v>#N/A</v>
      </c>
      <c r="AN183" s="34" t="e">
        <f t="shared" ca="1" si="69"/>
        <v>#N/A</v>
      </c>
    </row>
    <row r="184" spans="1:40" x14ac:dyDescent="0.3">
      <c r="A184" s="2">
        <v>43728</v>
      </c>
      <c r="B184" s="9">
        <v>55.080002</v>
      </c>
      <c r="C184" s="9">
        <v>92.970000999999996</v>
      </c>
      <c r="D184" s="9">
        <v>82.849997999999999</v>
      </c>
      <c r="E184" s="10"/>
      <c r="F184" s="13">
        <v>181</v>
      </c>
      <c r="G184" s="2">
        <v>43728</v>
      </c>
      <c r="H184" s="14">
        <f t="shared" si="50"/>
        <v>8.20350945868723E-3</v>
      </c>
      <c r="I184" s="14">
        <f t="shared" si="51"/>
        <v>-3.0507577401792597E-2</v>
      </c>
      <c r="J184" s="14">
        <f t="shared" si="52"/>
        <v>-8.4135712154852858E-3</v>
      </c>
      <c r="K184" s="22">
        <v>181</v>
      </c>
      <c r="L184" s="12"/>
      <c r="Q184" s="15">
        <f t="shared" si="53"/>
        <v>181</v>
      </c>
      <c r="R184" s="2">
        <f t="shared" si="49"/>
        <v>43728</v>
      </c>
      <c r="S184" s="9">
        <f t="shared" ca="1" si="54"/>
        <v>8.20350945868723E-3</v>
      </c>
      <c r="T184" s="9">
        <f t="shared" ca="1" si="55"/>
        <v>-3.0507577401792597E-2</v>
      </c>
      <c r="U184" s="9">
        <f t="shared" ca="1" si="56"/>
        <v>-8.4135712154852858E-3</v>
      </c>
      <c r="AB184" s="33" t="e">
        <f t="shared" ca="1" si="62"/>
        <v>#N/A</v>
      </c>
      <c r="AC184" s="34" t="e">
        <f t="shared" ca="1" si="63"/>
        <v>#N/A</v>
      </c>
      <c r="AD184" s="34" t="e">
        <f t="shared" ca="1" si="64"/>
        <v>#N/A</v>
      </c>
      <c r="AE184" s="33" t="e">
        <f t="shared" ca="1" si="65"/>
        <v>#N/A</v>
      </c>
      <c r="AF184" s="34" t="e">
        <f t="shared" ca="1" si="57"/>
        <v>#N/A</v>
      </c>
      <c r="AG184" s="34" t="e">
        <f t="shared" ca="1" si="58"/>
        <v>#N/A</v>
      </c>
      <c r="AH184" s="34" t="e">
        <f t="shared" ca="1" si="59"/>
        <v>#N/A</v>
      </c>
      <c r="AI184" s="33" t="e">
        <f t="shared" ca="1" si="66"/>
        <v>#N/A</v>
      </c>
      <c r="AJ184" s="34" t="e">
        <f t="shared" ca="1" si="67"/>
        <v>#N/A</v>
      </c>
      <c r="AK184" s="34" t="e">
        <f t="shared" ca="1" si="60"/>
        <v>#N/A</v>
      </c>
      <c r="AL184" s="34" t="e">
        <f t="shared" ca="1" si="61"/>
        <v>#N/A</v>
      </c>
      <c r="AM184" s="33" t="e">
        <f t="shared" ca="1" si="68"/>
        <v>#N/A</v>
      </c>
      <c r="AN184" s="34" t="e">
        <f t="shared" ca="1" si="69"/>
        <v>#N/A</v>
      </c>
    </row>
    <row r="185" spans="1:40" x14ac:dyDescent="0.3">
      <c r="A185" s="2">
        <v>43731</v>
      </c>
      <c r="B185" s="9">
        <v>54.900002000000001</v>
      </c>
      <c r="C185" s="9">
        <v>92.730002999999996</v>
      </c>
      <c r="D185" s="9">
        <v>84.139999000000003</v>
      </c>
      <c r="E185" s="10"/>
      <c r="F185" s="13">
        <v>182</v>
      </c>
      <c r="G185" s="2">
        <v>43731</v>
      </c>
      <c r="H185" s="14">
        <f t="shared" si="50"/>
        <v>-3.2733252259173331E-3</v>
      </c>
      <c r="I185" s="14">
        <f t="shared" si="51"/>
        <v>-2.5847940598006311E-3</v>
      </c>
      <c r="J185" s="14">
        <f t="shared" si="52"/>
        <v>1.545034654486168E-2</v>
      </c>
      <c r="K185" s="22">
        <v>182</v>
      </c>
      <c r="L185" s="12"/>
      <c r="Q185" s="15">
        <f t="shared" si="53"/>
        <v>182</v>
      </c>
      <c r="R185" s="2">
        <f t="shared" si="49"/>
        <v>43731</v>
      </c>
      <c r="S185" s="9">
        <f t="shared" ca="1" si="54"/>
        <v>-3.2733252259173331E-3</v>
      </c>
      <c r="T185" s="9">
        <f t="shared" ca="1" si="55"/>
        <v>-2.5847940598006311E-3</v>
      </c>
      <c r="U185" s="9">
        <f t="shared" ca="1" si="56"/>
        <v>1.545034654486168E-2</v>
      </c>
      <c r="AB185" s="33" t="e">
        <f t="shared" ca="1" si="62"/>
        <v>#N/A</v>
      </c>
      <c r="AC185" s="34" t="e">
        <f t="shared" ca="1" si="63"/>
        <v>#N/A</v>
      </c>
      <c r="AD185" s="34" t="e">
        <f t="shared" ca="1" si="64"/>
        <v>#N/A</v>
      </c>
      <c r="AE185" s="33" t="e">
        <f t="shared" ca="1" si="65"/>
        <v>#N/A</v>
      </c>
      <c r="AF185" s="34" t="e">
        <f t="shared" ca="1" si="57"/>
        <v>#N/A</v>
      </c>
      <c r="AG185" s="34" t="e">
        <f t="shared" ca="1" si="58"/>
        <v>#N/A</v>
      </c>
      <c r="AH185" s="34" t="e">
        <f t="shared" ca="1" si="59"/>
        <v>#N/A</v>
      </c>
      <c r="AI185" s="33" t="e">
        <f t="shared" ca="1" si="66"/>
        <v>#N/A</v>
      </c>
      <c r="AJ185" s="34" t="e">
        <f t="shared" ca="1" si="67"/>
        <v>#N/A</v>
      </c>
      <c r="AK185" s="34" t="e">
        <f t="shared" ca="1" si="60"/>
        <v>#N/A</v>
      </c>
      <c r="AL185" s="34" t="e">
        <f t="shared" ca="1" si="61"/>
        <v>#N/A</v>
      </c>
      <c r="AM185" s="33" t="e">
        <f t="shared" ca="1" si="68"/>
        <v>#N/A</v>
      </c>
      <c r="AN185" s="34" t="e">
        <f t="shared" ca="1" si="69"/>
        <v>#N/A</v>
      </c>
    </row>
    <row r="186" spans="1:40" x14ac:dyDescent="0.3">
      <c r="A186" s="2">
        <v>43732</v>
      </c>
      <c r="B186" s="9">
        <v>54.259998000000003</v>
      </c>
      <c r="C186" s="9">
        <v>92.599997999999999</v>
      </c>
      <c r="D186" s="9">
        <v>83.099997999999999</v>
      </c>
      <c r="E186" s="10"/>
      <c r="F186" s="13">
        <v>183</v>
      </c>
      <c r="G186" s="2">
        <v>43732</v>
      </c>
      <c r="H186" s="14">
        <f t="shared" si="50"/>
        <v>-1.1726114574136739E-2</v>
      </c>
      <c r="I186" s="14">
        <f t="shared" si="51"/>
        <v>-1.4029571102623514E-3</v>
      </c>
      <c r="J186" s="14">
        <f t="shared" si="52"/>
        <v>-1.2437388483407667E-2</v>
      </c>
      <c r="K186" s="22">
        <v>183</v>
      </c>
      <c r="L186" s="12"/>
      <c r="Q186" s="15">
        <f t="shared" si="53"/>
        <v>183</v>
      </c>
      <c r="R186" s="2">
        <f t="shared" si="49"/>
        <v>43732</v>
      </c>
      <c r="S186" s="9">
        <f t="shared" ca="1" si="54"/>
        <v>-1.1726114574136739E-2</v>
      </c>
      <c r="T186" s="9">
        <f t="shared" ca="1" si="55"/>
        <v>-1.4029571102623514E-3</v>
      </c>
      <c r="U186" s="9">
        <f t="shared" ca="1" si="56"/>
        <v>-1.2437388483407667E-2</v>
      </c>
      <c r="AB186" s="33" t="e">
        <f t="shared" ca="1" si="62"/>
        <v>#N/A</v>
      </c>
      <c r="AC186" s="34" t="e">
        <f t="shared" ca="1" si="63"/>
        <v>#N/A</v>
      </c>
      <c r="AD186" s="34" t="e">
        <f t="shared" ca="1" si="64"/>
        <v>#N/A</v>
      </c>
      <c r="AE186" s="33" t="e">
        <f t="shared" ca="1" si="65"/>
        <v>#N/A</v>
      </c>
      <c r="AF186" s="34" t="e">
        <f t="shared" ca="1" si="57"/>
        <v>#N/A</v>
      </c>
      <c r="AG186" s="34" t="e">
        <f t="shared" ca="1" si="58"/>
        <v>#N/A</v>
      </c>
      <c r="AH186" s="34" t="e">
        <f t="shared" ca="1" si="59"/>
        <v>#N/A</v>
      </c>
      <c r="AI186" s="33" t="e">
        <f t="shared" ca="1" si="66"/>
        <v>#N/A</v>
      </c>
      <c r="AJ186" s="34" t="e">
        <f t="shared" ca="1" si="67"/>
        <v>#N/A</v>
      </c>
      <c r="AK186" s="34" t="e">
        <f t="shared" ca="1" si="60"/>
        <v>#N/A</v>
      </c>
      <c r="AL186" s="34" t="e">
        <f t="shared" ca="1" si="61"/>
        <v>#N/A</v>
      </c>
      <c r="AM186" s="33" t="e">
        <f t="shared" ca="1" si="68"/>
        <v>#N/A</v>
      </c>
      <c r="AN186" s="34" t="e">
        <f t="shared" ca="1" si="69"/>
        <v>#N/A</v>
      </c>
    </row>
    <row r="187" spans="1:40" x14ac:dyDescent="0.3">
      <c r="A187" s="2">
        <v>43733</v>
      </c>
      <c r="B187" s="9">
        <v>55.119999</v>
      </c>
      <c r="C187" s="9">
        <v>94.019997000000004</v>
      </c>
      <c r="D187" s="9">
        <v>83.660004000000001</v>
      </c>
      <c r="E187" s="10"/>
      <c r="F187" s="13">
        <v>184</v>
      </c>
      <c r="G187" s="2">
        <v>43733</v>
      </c>
      <c r="H187" s="14">
        <f t="shared" si="50"/>
        <v>1.5725338191947855E-2</v>
      </c>
      <c r="I187" s="14">
        <f t="shared" si="51"/>
        <v>1.5218373634018055E-2</v>
      </c>
      <c r="J187" s="14">
        <f t="shared" si="52"/>
        <v>6.7163360326123718E-3</v>
      </c>
      <c r="K187" s="22">
        <v>184</v>
      </c>
      <c r="L187" s="12"/>
      <c r="Q187" s="15">
        <f t="shared" si="53"/>
        <v>184</v>
      </c>
      <c r="R187" s="2">
        <f t="shared" si="49"/>
        <v>43733</v>
      </c>
      <c r="S187" s="9">
        <f t="shared" ca="1" si="54"/>
        <v>1.5725338191947855E-2</v>
      </c>
      <c r="T187" s="9">
        <f t="shared" ca="1" si="55"/>
        <v>1.5218373634018055E-2</v>
      </c>
      <c r="U187" s="9">
        <f t="shared" ca="1" si="56"/>
        <v>6.7163360326123718E-3</v>
      </c>
      <c r="AB187" s="33" t="e">
        <f t="shared" ca="1" si="62"/>
        <v>#N/A</v>
      </c>
      <c r="AC187" s="34" t="e">
        <f t="shared" ca="1" si="63"/>
        <v>#N/A</v>
      </c>
      <c r="AD187" s="34" t="e">
        <f t="shared" ca="1" si="64"/>
        <v>#N/A</v>
      </c>
      <c r="AE187" s="33" t="e">
        <f t="shared" ca="1" si="65"/>
        <v>#N/A</v>
      </c>
      <c r="AF187" s="34" t="e">
        <f t="shared" ca="1" si="57"/>
        <v>#N/A</v>
      </c>
      <c r="AG187" s="34" t="e">
        <f t="shared" ca="1" si="58"/>
        <v>#N/A</v>
      </c>
      <c r="AH187" s="34" t="e">
        <f t="shared" ca="1" si="59"/>
        <v>#N/A</v>
      </c>
      <c r="AI187" s="33" t="e">
        <f t="shared" ca="1" si="66"/>
        <v>#N/A</v>
      </c>
      <c r="AJ187" s="34" t="e">
        <f t="shared" ca="1" si="67"/>
        <v>#N/A</v>
      </c>
      <c r="AK187" s="34" t="e">
        <f t="shared" ca="1" si="60"/>
        <v>#N/A</v>
      </c>
      <c r="AL187" s="34" t="e">
        <f t="shared" ca="1" si="61"/>
        <v>#N/A</v>
      </c>
      <c r="AM187" s="33" t="e">
        <f t="shared" ca="1" si="68"/>
        <v>#N/A</v>
      </c>
      <c r="AN187" s="34" t="e">
        <f t="shared" ca="1" si="69"/>
        <v>#N/A</v>
      </c>
    </row>
    <row r="188" spans="1:40" x14ac:dyDescent="0.3">
      <c r="A188" s="2">
        <v>43734</v>
      </c>
      <c r="B188" s="9">
        <v>54.970001000000003</v>
      </c>
      <c r="C188" s="9">
        <v>93.129997000000003</v>
      </c>
      <c r="D188" s="9">
        <v>83.120002999999997</v>
      </c>
      <c r="E188" s="10"/>
      <c r="F188" s="13">
        <v>185</v>
      </c>
      <c r="G188" s="2">
        <v>43734</v>
      </c>
      <c r="H188" s="14">
        <f t="shared" si="50"/>
        <v>-2.7250084988580218E-3</v>
      </c>
      <c r="I188" s="14">
        <f t="shared" si="51"/>
        <v>-9.5111593673488579E-3</v>
      </c>
      <c r="J188" s="14">
        <f t="shared" si="52"/>
        <v>-6.4756309432581803E-3</v>
      </c>
      <c r="K188" s="22">
        <v>185</v>
      </c>
      <c r="L188" s="12"/>
      <c r="Q188" s="15">
        <f t="shared" si="53"/>
        <v>185</v>
      </c>
      <c r="R188" s="2">
        <f t="shared" si="49"/>
        <v>43734</v>
      </c>
      <c r="S188" s="9">
        <f t="shared" ca="1" si="54"/>
        <v>-2.7250084988580218E-3</v>
      </c>
      <c r="T188" s="9">
        <f t="shared" ca="1" si="55"/>
        <v>-9.5111593673488579E-3</v>
      </c>
      <c r="U188" s="9">
        <f t="shared" ca="1" si="56"/>
        <v>-6.4756309432581803E-3</v>
      </c>
      <c r="AB188" s="33" t="e">
        <f t="shared" ca="1" si="62"/>
        <v>#N/A</v>
      </c>
      <c r="AC188" s="34" t="e">
        <f t="shared" ca="1" si="63"/>
        <v>#N/A</v>
      </c>
      <c r="AD188" s="34" t="e">
        <f t="shared" ca="1" si="64"/>
        <v>#N/A</v>
      </c>
      <c r="AE188" s="33" t="e">
        <f t="shared" ca="1" si="65"/>
        <v>#N/A</v>
      </c>
      <c r="AF188" s="34" t="e">
        <f t="shared" ca="1" si="57"/>
        <v>#N/A</v>
      </c>
      <c r="AG188" s="34" t="e">
        <f t="shared" ca="1" si="58"/>
        <v>#N/A</v>
      </c>
      <c r="AH188" s="34" t="e">
        <f t="shared" ca="1" si="59"/>
        <v>#N/A</v>
      </c>
      <c r="AI188" s="33" t="e">
        <f t="shared" ca="1" si="66"/>
        <v>#N/A</v>
      </c>
      <c r="AJ188" s="34" t="e">
        <f t="shared" ca="1" si="67"/>
        <v>#N/A</v>
      </c>
      <c r="AK188" s="34" t="e">
        <f t="shared" ca="1" si="60"/>
        <v>#N/A</v>
      </c>
      <c r="AL188" s="34" t="e">
        <f t="shared" ca="1" si="61"/>
        <v>#N/A</v>
      </c>
      <c r="AM188" s="33" t="e">
        <f t="shared" ca="1" si="68"/>
        <v>#N/A</v>
      </c>
      <c r="AN188" s="34" t="e">
        <f t="shared" ca="1" si="69"/>
        <v>#N/A</v>
      </c>
    </row>
    <row r="189" spans="1:40" x14ac:dyDescent="0.3">
      <c r="A189" s="2">
        <v>43735</v>
      </c>
      <c r="B189" s="9">
        <v>54.619999</v>
      </c>
      <c r="C189" s="9">
        <v>94.239998</v>
      </c>
      <c r="D189" s="9">
        <v>84.440002000000007</v>
      </c>
      <c r="E189" s="10"/>
      <c r="F189" s="13">
        <v>186</v>
      </c>
      <c r="G189" s="2">
        <v>43735</v>
      </c>
      <c r="H189" s="14">
        <f t="shared" si="50"/>
        <v>-6.3875023270630344E-3</v>
      </c>
      <c r="I189" s="14">
        <f t="shared" si="51"/>
        <v>1.1848364360334965E-2</v>
      </c>
      <c r="J189" s="14">
        <f t="shared" si="52"/>
        <v>1.5755863782209046E-2</v>
      </c>
      <c r="K189" s="22">
        <v>186</v>
      </c>
      <c r="L189" s="12"/>
      <c r="Q189" s="15">
        <f t="shared" si="53"/>
        <v>186</v>
      </c>
      <c r="R189" s="2">
        <f t="shared" si="49"/>
        <v>43735</v>
      </c>
      <c r="S189" s="9">
        <f t="shared" ca="1" si="54"/>
        <v>-6.3875023270630344E-3</v>
      </c>
      <c r="T189" s="9">
        <f t="shared" ca="1" si="55"/>
        <v>1.1848364360334965E-2</v>
      </c>
      <c r="U189" s="9">
        <f t="shared" ca="1" si="56"/>
        <v>1.5755863782209046E-2</v>
      </c>
      <c r="AB189" s="33" t="e">
        <f t="shared" ca="1" si="62"/>
        <v>#N/A</v>
      </c>
      <c r="AC189" s="34" t="e">
        <f t="shared" ca="1" si="63"/>
        <v>#N/A</v>
      </c>
      <c r="AD189" s="34" t="e">
        <f t="shared" ca="1" si="64"/>
        <v>#N/A</v>
      </c>
      <c r="AE189" s="33" t="e">
        <f t="shared" ca="1" si="65"/>
        <v>#N/A</v>
      </c>
      <c r="AF189" s="34" t="e">
        <f t="shared" ca="1" si="57"/>
        <v>#N/A</v>
      </c>
      <c r="AG189" s="34" t="e">
        <f t="shared" ca="1" si="58"/>
        <v>#N/A</v>
      </c>
      <c r="AH189" s="34" t="e">
        <f t="shared" ca="1" si="59"/>
        <v>#N/A</v>
      </c>
      <c r="AI189" s="33" t="e">
        <f t="shared" ca="1" si="66"/>
        <v>#N/A</v>
      </c>
      <c r="AJ189" s="34" t="e">
        <f t="shared" ca="1" si="67"/>
        <v>#N/A</v>
      </c>
      <c r="AK189" s="34" t="e">
        <f t="shared" ca="1" si="60"/>
        <v>#N/A</v>
      </c>
      <c r="AL189" s="34" t="e">
        <f t="shared" ca="1" si="61"/>
        <v>#N/A</v>
      </c>
      <c r="AM189" s="33" t="e">
        <f t="shared" ca="1" si="68"/>
        <v>#N/A</v>
      </c>
      <c r="AN189" s="34" t="e">
        <f t="shared" ca="1" si="69"/>
        <v>#N/A</v>
      </c>
    </row>
    <row r="190" spans="1:40" x14ac:dyDescent="0.3">
      <c r="A190" s="2">
        <v>43738</v>
      </c>
      <c r="B190" s="9">
        <v>55.66</v>
      </c>
      <c r="C190" s="9">
        <v>95.470000999999996</v>
      </c>
      <c r="D190" s="9">
        <v>85.239998</v>
      </c>
      <c r="E190" s="10"/>
      <c r="F190" s="13">
        <v>187</v>
      </c>
      <c r="G190" s="2">
        <v>43738</v>
      </c>
      <c r="H190" s="14">
        <f t="shared" si="50"/>
        <v>1.886165836049777E-2</v>
      </c>
      <c r="I190" s="14">
        <f t="shared" si="51"/>
        <v>1.2967373803570882E-2</v>
      </c>
      <c r="J190" s="14">
        <f t="shared" si="52"/>
        <v>9.4295371016763999E-3</v>
      </c>
      <c r="K190" s="22">
        <v>187</v>
      </c>
      <c r="L190" s="12"/>
      <c r="Q190" s="15">
        <f t="shared" si="53"/>
        <v>187</v>
      </c>
      <c r="R190" s="2">
        <f t="shared" si="49"/>
        <v>43738</v>
      </c>
      <c r="S190" s="9">
        <f t="shared" ca="1" si="54"/>
        <v>1.886165836049777E-2</v>
      </c>
      <c r="T190" s="9">
        <f t="shared" ca="1" si="55"/>
        <v>1.2967373803570882E-2</v>
      </c>
      <c r="U190" s="9">
        <f t="shared" ca="1" si="56"/>
        <v>9.4295371016763999E-3</v>
      </c>
      <c r="AB190" s="33" t="e">
        <f t="shared" ca="1" si="62"/>
        <v>#N/A</v>
      </c>
      <c r="AC190" s="34" t="e">
        <f t="shared" ca="1" si="63"/>
        <v>#N/A</v>
      </c>
      <c r="AD190" s="34" t="e">
        <f t="shared" ca="1" si="64"/>
        <v>#N/A</v>
      </c>
      <c r="AE190" s="33" t="e">
        <f t="shared" ca="1" si="65"/>
        <v>#N/A</v>
      </c>
      <c r="AF190" s="34" t="e">
        <f t="shared" ca="1" si="57"/>
        <v>#N/A</v>
      </c>
      <c r="AG190" s="34" t="e">
        <f t="shared" ca="1" si="58"/>
        <v>#N/A</v>
      </c>
      <c r="AH190" s="34" t="e">
        <f t="shared" ca="1" si="59"/>
        <v>#N/A</v>
      </c>
      <c r="AI190" s="33" t="e">
        <f t="shared" ca="1" si="66"/>
        <v>#N/A</v>
      </c>
      <c r="AJ190" s="34" t="e">
        <f t="shared" ca="1" si="67"/>
        <v>#N/A</v>
      </c>
      <c r="AK190" s="34" t="e">
        <f t="shared" ca="1" si="60"/>
        <v>#N/A</v>
      </c>
      <c r="AL190" s="34" t="e">
        <f t="shared" ca="1" si="61"/>
        <v>#N/A</v>
      </c>
      <c r="AM190" s="33" t="e">
        <f t="shared" ca="1" si="68"/>
        <v>#N/A</v>
      </c>
      <c r="AN190" s="34" t="e">
        <f t="shared" ca="1" si="69"/>
        <v>#N/A</v>
      </c>
    </row>
    <row r="191" spans="1:40" x14ac:dyDescent="0.3">
      <c r="A191" s="2">
        <v>43739</v>
      </c>
      <c r="B191" s="9">
        <v>53.990001999999997</v>
      </c>
      <c r="C191" s="9">
        <v>91.540001000000004</v>
      </c>
      <c r="D191" s="9">
        <v>85.220000999999996</v>
      </c>
      <c r="E191" s="10"/>
      <c r="F191" s="13">
        <v>188</v>
      </c>
      <c r="G191" s="2">
        <v>43739</v>
      </c>
      <c r="H191" s="14">
        <f t="shared" si="50"/>
        <v>-3.0462874823652827E-2</v>
      </c>
      <c r="I191" s="14">
        <f t="shared" si="51"/>
        <v>-4.2036026334754159E-2</v>
      </c>
      <c r="J191" s="14">
        <f t="shared" si="52"/>
        <v>-2.3462396115270551E-4</v>
      </c>
      <c r="K191" s="22">
        <v>188</v>
      </c>
      <c r="L191" s="12"/>
      <c r="Q191" s="15">
        <f t="shared" si="53"/>
        <v>188</v>
      </c>
      <c r="R191" s="2">
        <f t="shared" si="49"/>
        <v>43739</v>
      </c>
      <c r="S191" s="9">
        <f t="shared" ca="1" si="54"/>
        <v>-3.0462874823652827E-2</v>
      </c>
      <c r="T191" s="9">
        <f t="shared" ca="1" si="55"/>
        <v>-4.2036026334754159E-2</v>
      </c>
      <c r="U191" s="9">
        <f t="shared" ca="1" si="56"/>
        <v>-2.3462396115270551E-4</v>
      </c>
      <c r="AB191" s="33" t="e">
        <f t="shared" ca="1" si="62"/>
        <v>#N/A</v>
      </c>
      <c r="AC191" s="34" t="e">
        <f t="shared" ca="1" si="63"/>
        <v>#N/A</v>
      </c>
      <c r="AD191" s="34" t="e">
        <f t="shared" ca="1" si="64"/>
        <v>#N/A</v>
      </c>
      <c r="AE191" s="33" t="e">
        <f t="shared" ca="1" si="65"/>
        <v>#N/A</v>
      </c>
      <c r="AF191" s="34" t="e">
        <f t="shared" ca="1" si="57"/>
        <v>#N/A</v>
      </c>
      <c r="AG191" s="34" t="e">
        <f t="shared" ca="1" si="58"/>
        <v>#N/A</v>
      </c>
      <c r="AH191" s="34" t="e">
        <f t="shared" ca="1" si="59"/>
        <v>#N/A</v>
      </c>
      <c r="AI191" s="33" t="e">
        <f t="shared" ca="1" si="66"/>
        <v>#N/A</v>
      </c>
      <c r="AJ191" s="34" t="e">
        <f t="shared" ca="1" si="67"/>
        <v>#N/A</v>
      </c>
      <c r="AK191" s="34" t="e">
        <f t="shared" ca="1" si="60"/>
        <v>#N/A</v>
      </c>
      <c r="AL191" s="34" t="e">
        <f t="shared" ca="1" si="61"/>
        <v>#N/A</v>
      </c>
      <c r="AM191" s="33" t="e">
        <f t="shared" ca="1" si="68"/>
        <v>#N/A</v>
      </c>
      <c r="AN191" s="34" t="e">
        <f t="shared" ca="1" si="69"/>
        <v>#N/A</v>
      </c>
    </row>
    <row r="192" spans="1:40" x14ac:dyDescent="0.3">
      <c r="A192" s="2">
        <v>43740</v>
      </c>
      <c r="B192" s="9">
        <v>53.830002</v>
      </c>
      <c r="C192" s="9">
        <v>89.480002999999996</v>
      </c>
      <c r="D192" s="9">
        <v>82.800003000000004</v>
      </c>
      <c r="E192" s="10"/>
      <c r="F192" s="13">
        <v>189</v>
      </c>
      <c r="G192" s="2">
        <v>43740</v>
      </c>
      <c r="H192" s="14">
        <f t="shared" si="50"/>
        <v>-2.9679115472232985E-3</v>
      </c>
      <c r="I192" s="14">
        <f t="shared" si="51"/>
        <v>-2.2760876000708714E-2</v>
      </c>
      <c r="J192" s="14">
        <f t="shared" si="52"/>
        <v>-2.880806218300307E-2</v>
      </c>
      <c r="K192" s="22">
        <v>189</v>
      </c>
      <c r="L192" s="12"/>
      <c r="Q192" s="15">
        <f t="shared" si="53"/>
        <v>189</v>
      </c>
      <c r="R192" s="2">
        <f t="shared" si="49"/>
        <v>43740</v>
      </c>
      <c r="S192" s="9">
        <f t="shared" ca="1" si="54"/>
        <v>-2.9679115472232985E-3</v>
      </c>
      <c r="T192" s="9">
        <f t="shared" ca="1" si="55"/>
        <v>-2.2760876000708714E-2</v>
      </c>
      <c r="U192" s="9">
        <f t="shared" ca="1" si="56"/>
        <v>-2.880806218300307E-2</v>
      </c>
      <c r="AB192" s="33" t="e">
        <f t="shared" ca="1" si="62"/>
        <v>#N/A</v>
      </c>
      <c r="AC192" s="34" t="e">
        <f t="shared" ca="1" si="63"/>
        <v>#N/A</v>
      </c>
      <c r="AD192" s="34" t="e">
        <f t="shared" ca="1" si="64"/>
        <v>#N/A</v>
      </c>
      <c r="AE192" s="33" t="e">
        <f t="shared" ca="1" si="65"/>
        <v>#N/A</v>
      </c>
      <c r="AF192" s="34" t="e">
        <f t="shared" ca="1" si="57"/>
        <v>#N/A</v>
      </c>
      <c r="AG192" s="34" t="e">
        <f t="shared" ca="1" si="58"/>
        <v>#N/A</v>
      </c>
      <c r="AH192" s="34" t="e">
        <f t="shared" ca="1" si="59"/>
        <v>#N/A</v>
      </c>
      <c r="AI192" s="33" t="e">
        <f t="shared" ca="1" si="66"/>
        <v>#N/A</v>
      </c>
      <c r="AJ192" s="34" t="e">
        <f t="shared" ca="1" si="67"/>
        <v>#N/A</v>
      </c>
      <c r="AK192" s="34" t="e">
        <f t="shared" ca="1" si="60"/>
        <v>#N/A</v>
      </c>
      <c r="AL192" s="34" t="e">
        <f t="shared" ca="1" si="61"/>
        <v>#N/A</v>
      </c>
      <c r="AM192" s="33" t="e">
        <f t="shared" ca="1" si="68"/>
        <v>#N/A</v>
      </c>
      <c r="AN192" s="34" t="e">
        <f t="shared" ca="1" si="69"/>
        <v>#N/A</v>
      </c>
    </row>
    <row r="193" spans="1:40" x14ac:dyDescent="0.3">
      <c r="A193" s="2">
        <v>43741</v>
      </c>
      <c r="B193" s="9">
        <v>52.759998000000003</v>
      </c>
      <c r="C193" s="9">
        <v>91.970000999999996</v>
      </c>
      <c r="D193" s="9">
        <v>83.540001000000004</v>
      </c>
      <c r="E193" s="10"/>
      <c r="F193" s="13">
        <v>190</v>
      </c>
      <c r="G193" s="2">
        <v>43741</v>
      </c>
      <c r="H193" s="14">
        <f t="shared" si="50"/>
        <v>-2.0077679785261066E-2</v>
      </c>
      <c r="I193" s="14">
        <f t="shared" si="51"/>
        <v>2.7447277638743536E-2</v>
      </c>
      <c r="J193" s="14">
        <f t="shared" si="52"/>
        <v>8.8974734162453155E-3</v>
      </c>
      <c r="K193" s="22">
        <v>190</v>
      </c>
      <c r="L193" s="12"/>
      <c r="Q193" s="15">
        <f t="shared" si="53"/>
        <v>190</v>
      </c>
      <c r="R193" s="2">
        <f t="shared" si="49"/>
        <v>43741</v>
      </c>
      <c r="S193" s="9">
        <f t="shared" ca="1" si="54"/>
        <v>-2.0077679785261066E-2</v>
      </c>
      <c r="T193" s="9">
        <f t="shared" ca="1" si="55"/>
        <v>2.7447277638743536E-2</v>
      </c>
      <c r="U193" s="9">
        <f t="shared" ca="1" si="56"/>
        <v>8.8974734162453155E-3</v>
      </c>
      <c r="AB193" s="33" t="e">
        <f t="shared" ca="1" si="62"/>
        <v>#N/A</v>
      </c>
      <c r="AC193" s="34" t="e">
        <f t="shared" ca="1" si="63"/>
        <v>#N/A</v>
      </c>
      <c r="AD193" s="34" t="e">
        <f t="shared" ca="1" si="64"/>
        <v>#N/A</v>
      </c>
      <c r="AE193" s="33" t="e">
        <f t="shared" ca="1" si="65"/>
        <v>#N/A</v>
      </c>
      <c r="AF193" s="34" t="e">
        <f t="shared" ca="1" si="57"/>
        <v>#N/A</v>
      </c>
      <c r="AG193" s="34" t="e">
        <f t="shared" ca="1" si="58"/>
        <v>#N/A</v>
      </c>
      <c r="AH193" s="34" t="e">
        <f t="shared" ca="1" si="59"/>
        <v>#N/A</v>
      </c>
      <c r="AI193" s="33" t="e">
        <f t="shared" ca="1" si="66"/>
        <v>#N/A</v>
      </c>
      <c r="AJ193" s="34" t="e">
        <f t="shared" ca="1" si="67"/>
        <v>#N/A</v>
      </c>
      <c r="AK193" s="34" t="e">
        <f t="shared" ca="1" si="60"/>
        <v>#N/A</v>
      </c>
      <c r="AL193" s="34" t="e">
        <f t="shared" ca="1" si="61"/>
        <v>#N/A</v>
      </c>
      <c r="AM193" s="33" t="e">
        <f t="shared" ca="1" si="68"/>
        <v>#N/A</v>
      </c>
      <c r="AN193" s="34" t="e">
        <f t="shared" ca="1" si="69"/>
        <v>#N/A</v>
      </c>
    </row>
    <row r="194" spans="1:40" x14ac:dyDescent="0.3">
      <c r="A194" s="2">
        <v>43742</v>
      </c>
      <c r="B194" s="9">
        <v>54.09</v>
      </c>
      <c r="C194" s="9">
        <v>91.449996999999996</v>
      </c>
      <c r="D194" s="9">
        <v>84.519997000000004</v>
      </c>
      <c r="E194" s="10"/>
      <c r="F194" s="13">
        <v>191</v>
      </c>
      <c r="G194" s="2">
        <v>43742</v>
      </c>
      <c r="H194" s="14">
        <f t="shared" si="50"/>
        <v>2.4896035941728126E-2</v>
      </c>
      <c r="I194" s="14">
        <f t="shared" si="51"/>
        <v>-5.6701057556541772E-3</v>
      </c>
      <c r="J194" s="14">
        <f t="shared" si="52"/>
        <v>1.1662586213955014E-2</v>
      </c>
      <c r="K194" s="22">
        <v>191</v>
      </c>
      <c r="L194" s="12"/>
      <c r="Q194" s="15">
        <f t="shared" si="53"/>
        <v>191</v>
      </c>
      <c r="R194" s="2">
        <f t="shared" si="49"/>
        <v>43742</v>
      </c>
      <c r="S194" s="9">
        <f t="shared" ca="1" si="54"/>
        <v>2.4896035941728126E-2</v>
      </c>
      <c r="T194" s="9">
        <f t="shared" ca="1" si="55"/>
        <v>-5.6701057556541772E-3</v>
      </c>
      <c r="U194" s="9">
        <f t="shared" ca="1" si="56"/>
        <v>1.1662586213955014E-2</v>
      </c>
      <c r="AB194" s="33" t="e">
        <f t="shared" ca="1" si="62"/>
        <v>#N/A</v>
      </c>
      <c r="AC194" s="34" t="e">
        <f t="shared" ca="1" si="63"/>
        <v>#N/A</v>
      </c>
      <c r="AD194" s="34" t="e">
        <f t="shared" ca="1" si="64"/>
        <v>#N/A</v>
      </c>
      <c r="AE194" s="33" t="e">
        <f t="shared" ca="1" si="65"/>
        <v>#N/A</v>
      </c>
      <c r="AF194" s="34" t="e">
        <f t="shared" ca="1" si="57"/>
        <v>#N/A</v>
      </c>
      <c r="AG194" s="34" t="e">
        <f t="shared" ca="1" si="58"/>
        <v>#N/A</v>
      </c>
      <c r="AH194" s="34" t="e">
        <f t="shared" ca="1" si="59"/>
        <v>#N/A</v>
      </c>
      <c r="AI194" s="33" t="e">
        <f t="shared" ca="1" si="66"/>
        <v>#N/A</v>
      </c>
      <c r="AJ194" s="34" t="e">
        <f t="shared" ca="1" si="67"/>
        <v>#N/A</v>
      </c>
      <c r="AK194" s="34" t="e">
        <f t="shared" ca="1" si="60"/>
        <v>#N/A</v>
      </c>
      <c r="AL194" s="34" t="e">
        <f t="shared" ca="1" si="61"/>
        <v>#N/A</v>
      </c>
      <c r="AM194" s="33" t="e">
        <f t="shared" ca="1" si="68"/>
        <v>#N/A</v>
      </c>
      <c r="AN194" s="34" t="e">
        <f t="shared" ca="1" si="69"/>
        <v>#N/A</v>
      </c>
    </row>
    <row r="195" spans="1:40" x14ac:dyDescent="0.3">
      <c r="A195" s="2">
        <v>43745</v>
      </c>
      <c r="B195" s="9">
        <v>54.009998000000003</v>
      </c>
      <c r="C195" s="9">
        <v>91.559997999999993</v>
      </c>
      <c r="D195" s="9">
        <v>83.419998000000007</v>
      </c>
      <c r="E195" s="10"/>
      <c r="F195" s="13">
        <v>192</v>
      </c>
      <c r="G195" s="2">
        <v>43745</v>
      </c>
      <c r="H195" s="14">
        <f t="shared" si="50"/>
        <v>-1.4801483087161309E-3</v>
      </c>
      <c r="I195" s="14">
        <f t="shared" si="51"/>
        <v>1.2021312087029501E-3</v>
      </c>
      <c r="J195" s="14">
        <f t="shared" si="52"/>
        <v>-1.3100092459564849E-2</v>
      </c>
      <c r="K195" s="22">
        <v>192</v>
      </c>
      <c r="L195" s="12"/>
      <c r="Q195" s="15">
        <f t="shared" si="53"/>
        <v>192</v>
      </c>
      <c r="R195" s="2">
        <f t="shared" si="49"/>
        <v>43745</v>
      </c>
      <c r="S195" s="9">
        <f t="shared" ca="1" si="54"/>
        <v>-1.4801483087161309E-3</v>
      </c>
      <c r="T195" s="9">
        <f t="shared" ca="1" si="55"/>
        <v>1.2021312087029501E-3</v>
      </c>
      <c r="U195" s="9">
        <f t="shared" ca="1" si="56"/>
        <v>-1.3100092459564849E-2</v>
      </c>
      <c r="AB195" s="33" t="e">
        <f t="shared" ca="1" si="62"/>
        <v>#N/A</v>
      </c>
      <c r="AC195" s="34" t="e">
        <f t="shared" ca="1" si="63"/>
        <v>#N/A</v>
      </c>
      <c r="AD195" s="34" t="e">
        <f t="shared" ca="1" si="64"/>
        <v>#N/A</v>
      </c>
      <c r="AE195" s="33" t="e">
        <f t="shared" ca="1" si="65"/>
        <v>#N/A</v>
      </c>
      <c r="AF195" s="34" t="e">
        <f t="shared" ca="1" si="57"/>
        <v>#N/A</v>
      </c>
      <c r="AG195" s="34" t="e">
        <f t="shared" ca="1" si="58"/>
        <v>#N/A</v>
      </c>
      <c r="AH195" s="34" t="e">
        <f t="shared" ca="1" si="59"/>
        <v>#N/A</v>
      </c>
      <c r="AI195" s="33" t="e">
        <f t="shared" ca="1" si="66"/>
        <v>#N/A</v>
      </c>
      <c r="AJ195" s="34" t="e">
        <f t="shared" ca="1" si="67"/>
        <v>#N/A</v>
      </c>
      <c r="AK195" s="34" t="e">
        <f t="shared" ca="1" si="60"/>
        <v>#N/A</v>
      </c>
      <c r="AL195" s="34" t="e">
        <f t="shared" ca="1" si="61"/>
        <v>#N/A</v>
      </c>
      <c r="AM195" s="33" t="e">
        <f t="shared" ca="1" si="68"/>
        <v>#N/A</v>
      </c>
      <c r="AN195" s="34" t="e">
        <f t="shared" ca="1" si="69"/>
        <v>#N/A</v>
      </c>
    </row>
    <row r="196" spans="1:40" x14ac:dyDescent="0.3">
      <c r="A196" s="2">
        <v>43746</v>
      </c>
      <c r="B196" s="9">
        <v>52.740001999999997</v>
      </c>
      <c r="C196" s="9">
        <v>89.980002999999996</v>
      </c>
      <c r="D196" s="9">
        <v>83.32</v>
      </c>
      <c r="E196" s="10"/>
      <c r="F196" s="13">
        <v>193</v>
      </c>
      <c r="G196" s="2">
        <v>43746</v>
      </c>
      <c r="H196" s="14">
        <f t="shared" si="50"/>
        <v>-2.379495872759874E-2</v>
      </c>
      <c r="I196" s="14">
        <f t="shared" si="51"/>
        <v>-1.7407016486997776E-2</v>
      </c>
      <c r="J196" s="14">
        <f t="shared" si="52"/>
        <v>-1.1994484009619276E-3</v>
      </c>
      <c r="K196" s="22">
        <v>193</v>
      </c>
      <c r="L196" s="12"/>
      <c r="Q196" s="15">
        <f t="shared" si="53"/>
        <v>193</v>
      </c>
      <c r="R196" s="2">
        <f t="shared" ref="R196:R259" si="70">IF(Q196="","",VLOOKUP(Q196,F196:J1453,2))</f>
        <v>43746</v>
      </c>
      <c r="S196" s="9">
        <f t="shared" ca="1" si="54"/>
        <v>-2.379495872759874E-2</v>
      </c>
      <c r="T196" s="9">
        <f t="shared" ca="1" si="55"/>
        <v>-1.7407016486997776E-2</v>
      </c>
      <c r="U196" s="9">
        <f t="shared" ca="1" si="56"/>
        <v>-1.1994484009619276E-3</v>
      </c>
      <c r="AB196" s="33" t="e">
        <f t="shared" ca="1" si="62"/>
        <v>#N/A</v>
      </c>
      <c r="AC196" s="34" t="e">
        <f t="shared" ca="1" si="63"/>
        <v>#N/A</v>
      </c>
      <c r="AD196" s="34" t="e">
        <f t="shared" ca="1" si="64"/>
        <v>#N/A</v>
      </c>
      <c r="AE196" s="33" t="e">
        <f t="shared" ca="1" si="65"/>
        <v>#N/A</v>
      </c>
      <c r="AF196" s="34" t="e">
        <f t="shared" ca="1" si="57"/>
        <v>#N/A</v>
      </c>
      <c r="AG196" s="34" t="e">
        <f t="shared" ca="1" si="58"/>
        <v>#N/A</v>
      </c>
      <c r="AH196" s="34" t="e">
        <f t="shared" ca="1" si="59"/>
        <v>#N/A</v>
      </c>
      <c r="AI196" s="33" t="e">
        <f t="shared" ca="1" si="66"/>
        <v>#N/A</v>
      </c>
      <c r="AJ196" s="34" t="e">
        <f t="shared" ca="1" si="67"/>
        <v>#N/A</v>
      </c>
      <c r="AK196" s="34" t="e">
        <f t="shared" ca="1" si="60"/>
        <v>#N/A</v>
      </c>
      <c r="AL196" s="34" t="e">
        <f t="shared" ca="1" si="61"/>
        <v>#N/A</v>
      </c>
      <c r="AM196" s="33" t="e">
        <f t="shared" ca="1" si="68"/>
        <v>#N/A</v>
      </c>
      <c r="AN196" s="34" t="e">
        <f t="shared" ca="1" si="69"/>
        <v>#N/A</v>
      </c>
    </row>
    <row r="197" spans="1:40" x14ac:dyDescent="0.3">
      <c r="A197" s="2">
        <v>43747</v>
      </c>
      <c r="B197" s="9">
        <v>52.349997999999999</v>
      </c>
      <c r="C197" s="9">
        <v>90.279999000000004</v>
      </c>
      <c r="D197" s="9">
        <v>85.07</v>
      </c>
      <c r="E197" s="10"/>
      <c r="F197" s="13">
        <v>194</v>
      </c>
      <c r="G197" s="2">
        <v>43747</v>
      </c>
      <c r="H197" s="14">
        <f t="shared" ref="H197:H260" si="71">LN(B197/B196)</f>
        <v>-7.4223197348691292E-3</v>
      </c>
      <c r="I197" s="14">
        <f t="shared" ref="I197:I260" si="72">LN(C197/C196)</f>
        <v>3.3284841189164835E-3</v>
      </c>
      <c r="J197" s="14">
        <f t="shared" ref="J197:J260" si="73">LN(D197/D196)</f>
        <v>2.0785830595021725E-2</v>
      </c>
      <c r="K197" s="22">
        <v>194</v>
      </c>
      <c r="L197" s="12"/>
      <c r="Q197" s="15">
        <f t="shared" ref="Q197:Q260" si="74">IF(Q196="","",IF(Q196+1&lt;=$M$6,Q196+1,""))</f>
        <v>194</v>
      </c>
      <c r="R197" s="2">
        <f t="shared" si="70"/>
        <v>43747</v>
      </c>
      <c r="S197" s="9">
        <f t="shared" ref="S197:S260" ca="1" si="75">IF(Q197="","",OFFSET(H$3,$Q197,0))</f>
        <v>-7.4223197348691292E-3</v>
      </c>
      <c r="T197" s="9">
        <f t="shared" ref="T197:T260" ca="1" si="76">IF(R197="","",OFFSET(I$3,$Q197,0))</f>
        <v>3.3284841189164835E-3</v>
      </c>
      <c r="U197" s="9">
        <f t="shared" ref="U197:U260" ca="1" si="77">IF(S197="","",OFFSET(J$3,$Q197,0))</f>
        <v>2.0785830595021725E-2</v>
      </c>
      <c r="AB197" s="33" t="e">
        <f t="shared" ca="1" si="62"/>
        <v>#N/A</v>
      </c>
      <c r="AC197" s="34" t="e">
        <f t="shared" ca="1" si="63"/>
        <v>#N/A</v>
      </c>
      <c r="AD197" s="34" t="e">
        <f t="shared" ca="1" si="64"/>
        <v>#N/A</v>
      </c>
      <c r="AE197" s="33" t="e">
        <f t="shared" ca="1" si="65"/>
        <v>#N/A</v>
      </c>
      <c r="AF197" s="34" t="e">
        <f t="shared" ref="AF197:AF260" ca="1" si="78">IF(AB197&lt;=$X$6,(AE197/$X$5)/$X$7,"")</f>
        <v>#N/A</v>
      </c>
      <c r="AG197" s="34" t="e">
        <f t="shared" ref="AG197:AG260" ca="1" si="79">IF(AB197&lt;=$Y$6,AG196+$Y$7,"")</f>
        <v>#N/A</v>
      </c>
      <c r="AH197" s="34" t="e">
        <f t="shared" ref="AH197:AH260" ca="1" si="80">IF(AB197&lt;=$Y$6,AG197-$Y$7/2,"")</f>
        <v>#N/A</v>
      </c>
      <c r="AI197" s="33" t="e">
        <f t="shared" ca="1" si="66"/>
        <v>#N/A</v>
      </c>
      <c r="AJ197" s="34" t="e">
        <f t="shared" ca="1" si="67"/>
        <v>#N/A</v>
      </c>
      <c r="AK197" s="34" t="e">
        <f t="shared" ref="AK197:AK260" ca="1" si="81">IF(AB197&lt;=$Z$6,AK196+$Z$7,"")</f>
        <v>#N/A</v>
      </c>
      <c r="AL197" s="34" t="e">
        <f t="shared" ref="AL197:AL260" ca="1" si="82">IF(AB197&lt;=$Z$6,AK197-$Z$7/2,"")</f>
        <v>#N/A</v>
      </c>
      <c r="AM197" s="33" t="e">
        <f t="shared" ca="1" si="68"/>
        <v>#N/A</v>
      </c>
      <c r="AN197" s="34" t="e">
        <f t="shared" ca="1" si="69"/>
        <v>#N/A</v>
      </c>
    </row>
    <row r="198" spans="1:40" x14ac:dyDescent="0.3">
      <c r="A198" s="2">
        <v>43748</v>
      </c>
      <c r="B198" s="9">
        <v>53.040000999999997</v>
      </c>
      <c r="C198" s="9">
        <v>90.019997000000004</v>
      </c>
      <c r="D198" s="9">
        <v>85.800003000000004</v>
      </c>
      <c r="E198" s="10"/>
      <c r="F198" s="13">
        <v>195</v>
      </c>
      <c r="G198" s="2">
        <v>43748</v>
      </c>
      <c r="H198" s="14">
        <f t="shared" si="71"/>
        <v>1.3094465619150534E-2</v>
      </c>
      <c r="I198" s="14">
        <f t="shared" si="72"/>
        <v>-2.8841063338259543E-3</v>
      </c>
      <c r="J198" s="14">
        <f t="shared" si="73"/>
        <v>8.5445944711580353E-3</v>
      </c>
      <c r="K198" s="22">
        <v>195</v>
      </c>
      <c r="L198" s="12"/>
      <c r="Q198" s="15">
        <f t="shared" si="74"/>
        <v>195</v>
      </c>
      <c r="R198" s="2">
        <f t="shared" si="70"/>
        <v>43748</v>
      </c>
      <c r="S198" s="9">
        <f t="shared" ca="1" si="75"/>
        <v>1.3094465619150534E-2</v>
      </c>
      <c r="T198" s="9">
        <f t="shared" ca="1" si="76"/>
        <v>-2.8841063338259543E-3</v>
      </c>
      <c r="U198" s="9">
        <f t="shared" ca="1" si="77"/>
        <v>8.5445944711580353E-3</v>
      </c>
      <c r="AB198" s="33" t="e">
        <f t="shared" ref="AB198:AB261" ca="1" si="83">IF(AB197&lt;$X$6,AB197+1,NA())</f>
        <v>#N/A</v>
      </c>
      <c r="AC198" s="34" t="e">
        <f t="shared" ref="AC198:AC261" ca="1" si="84">IF(AB198&lt;=$X$6,AC197+$X$7,"")</f>
        <v>#N/A</v>
      </c>
      <c r="AD198" s="34" t="e">
        <f t="shared" ref="AD198:AD261" ca="1" si="85">IF(AB198&lt;=$X$6,AC198-$X$7/2,"")</f>
        <v>#N/A</v>
      </c>
      <c r="AE198" s="33" t="e">
        <f t="shared" ref="AE198:AE261" ca="1" si="86">IF(AB198&lt;=$X$6,COUNTIFS($S$3:$S$1260,"&gt;"&amp;AC197,$S$3:$S$1260,"&lt;="&amp;AC198),"")</f>
        <v>#N/A</v>
      </c>
      <c r="AF198" s="34" t="e">
        <f t="shared" ca="1" si="78"/>
        <v>#N/A</v>
      </c>
      <c r="AG198" s="34" t="e">
        <f t="shared" ca="1" si="79"/>
        <v>#N/A</v>
      </c>
      <c r="AH198" s="34" t="e">
        <f t="shared" ca="1" si="80"/>
        <v>#N/A</v>
      </c>
      <c r="AI198" s="33" t="e">
        <f t="shared" ref="AI198:AI261" ca="1" si="87">IF(AB198&lt;=$Y$6,COUNTIFS($T$3:$T$1260,"&gt;"&amp;AG197,$T$3:$T$1260,"&lt;="&amp;AG198),"")</f>
        <v>#N/A</v>
      </c>
      <c r="AJ198" s="34" t="e">
        <f t="shared" ref="AJ198:AJ261" ca="1" si="88">IF(AB198&lt;=$Y$6,(AI198/$Y$5)/$Y$7,"")</f>
        <v>#N/A</v>
      </c>
      <c r="AK198" s="34" t="e">
        <f t="shared" ca="1" si="81"/>
        <v>#N/A</v>
      </c>
      <c r="AL198" s="34" t="e">
        <f t="shared" ca="1" si="82"/>
        <v>#N/A</v>
      </c>
      <c r="AM198" s="33" t="e">
        <f t="shared" ref="AM198:AM261" ca="1" si="89">IF(AB198&lt;=$Z$6,COUNTIFS($U$3:$U$1260,"&gt;"&amp;AK197,$U$3:$U$1260,"&lt;="&amp;AK198),"")</f>
        <v>#N/A</v>
      </c>
      <c r="AN198" s="34" t="e">
        <f t="shared" ref="AN198:AN261" ca="1" si="90">IF(AB198&lt;=$Z$6,(AM198/$Z$5)/$Z$7,"")</f>
        <v>#N/A</v>
      </c>
    </row>
    <row r="199" spans="1:40" x14ac:dyDescent="0.3">
      <c r="A199" s="2">
        <v>43749</v>
      </c>
      <c r="B199" s="9">
        <v>54.360000999999997</v>
      </c>
      <c r="C199" s="9">
        <v>93.720000999999996</v>
      </c>
      <c r="D199" s="9">
        <v>88</v>
      </c>
      <c r="E199" s="10"/>
      <c r="F199" s="13">
        <v>196</v>
      </c>
      <c r="G199" s="2">
        <v>43749</v>
      </c>
      <c r="H199" s="14">
        <f t="shared" si="71"/>
        <v>2.4582242947519858E-2</v>
      </c>
      <c r="I199" s="14">
        <f t="shared" si="72"/>
        <v>4.0279789770817434E-2</v>
      </c>
      <c r="J199" s="14">
        <f t="shared" si="73"/>
        <v>2.5317773019255457E-2</v>
      </c>
      <c r="K199" s="22">
        <v>196</v>
      </c>
      <c r="L199" s="12"/>
      <c r="Q199" s="15">
        <f t="shared" si="74"/>
        <v>196</v>
      </c>
      <c r="R199" s="2">
        <f t="shared" si="70"/>
        <v>43749</v>
      </c>
      <c r="S199" s="9">
        <f t="shared" ca="1" si="75"/>
        <v>2.4582242947519858E-2</v>
      </c>
      <c r="T199" s="9">
        <f t="shared" ca="1" si="76"/>
        <v>4.0279789770817434E-2</v>
      </c>
      <c r="U199" s="9">
        <f t="shared" ca="1" si="77"/>
        <v>2.5317773019255457E-2</v>
      </c>
      <c r="AB199" s="33" t="e">
        <f t="shared" ca="1" si="83"/>
        <v>#N/A</v>
      </c>
      <c r="AC199" s="34" t="e">
        <f t="shared" ca="1" si="84"/>
        <v>#N/A</v>
      </c>
      <c r="AD199" s="34" t="e">
        <f t="shared" ca="1" si="85"/>
        <v>#N/A</v>
      </c>
      <c r="AE199" s="33" t="e">
        <f t="shared" ca="1" si="86"/>
        <v>#N/A</v>
      </c>
      <c r="AF199" s="34" t="e">
        <f t="shared" ca="1" si="78"/>
        <v>#N/A</v>
      </c>
      <c r="AG199" s="34" t="e">
        <f t="shared" ca="1" si="79"/>
        <v>#N/A</v>
      </c>
      <c r="AH199" s="34" t="e">
        <f t="shared" ca="1" si="80"/>
        <v>#N/A</v>
      </c>
      <c r="AI199" s="33" t="e">
        <f t="shared" ca="1" si="87"/>
        <v>#N/A</v>
      </c>
      <c r="AJ199" s="34" t="e">
        <f t="shared" ca="1" si="88"/>
        <v>#N/A</v>
      </c>
      <c r="AK199" s="34" t="e">
        <f t="shared" ca="1" si="81"/>
        <v>#N/A</v>
      </c>
      <c r="AL199" s="34" t="e">
        <f t="shared" ca="1" si="82"/>
        <v>#N/A</v>
      </c>
      <c r="AM199" s="33" t="e">
        <f t="shared" ca="1" si="89"/>
        <v>#N/A</v>
      </c>
      <c r="AN199" s="34" t="e">
        <f t="shared" ca="1" si="90"/>
        <v>#N/A</v>
      </c>
    </row>
    <row r="200" spans="1:40" x14ac:dyDescent="0.3">
      <c r="A200" s="2">
        <v>43752</v>
      </c>
      <c r="B200" s="9">
        <v>54.41</v>
      </c>
      <c r="C200" s="9">
        <v>92.449996999999996</v>
      </c>
      <c r="D200" s="9">
        <v>88.529999000000004</v>
      </c>
      <c r="E200" s="10"/>
      <c r="F200" s="13">
        <v>197</v>
      </c>
      <c r="G200" s="2">
        <v>43752</v>
      </c>
      <c r="H200" s="14">
        <f t="shared" si="71"/>
        <v>9.1935281901177519E-4</v>
      </c>
      <c r="I200" s="14">
        <f t="shared" si="72"/>
        <v>-1.3643698926515539E-2</v>
      </c>
      <c r="J200" s="14">
        <f t="shared" si="73"/>
        <v>6.0046518491451498E-3</v>
      </c>
      <c r="K200" s="22">
        <v>197</v>
      </c>
      <c r="L200" s="12"/>
      <c r="Q200" s="15">
        <f t="shared" si="74"/>
        <v>197</v>
      </c>
      <c r="R200" s="2">
        <f t="shared" si="70"/>
        <v>43752</v>
      </c>
      <c r="S200" s="9">
        <f t="shared" ca="1" si="75"/>
        <v>9.1935281901177519E-4</v>
      </c>
      <c r="T200" s="9">
        <f t="shared" ca="1" si="76"/>
        <v>-1.3643698926515539E-2</v>
      </c>
      <c r="U200" s="9">
        <f t="shared" ca="1" si="77"/>
        <v>6.0046518491451498E-3</v>
      </c>
      <c r="AB200" s="33" t="e">
        <f t="shared" ca="1" si="83"/>
        <v>#N/A</v>
      </c>
      <c r="AC200" s="34" t="e">
        <f t="shared" ca="1" si="84"/>
        <v>#N/A</v>
      </c>
      <c r="AD200" s="34" t="e">
        <f t="shared" ca="1" si="85"/>
        <v>#N/A</v>
      </c>
      <c r="AE200" s="33" t="e">
        <f t="shared" ca="1" si="86"/>
        <v>#N/A</v>
      </c>
      <c r="AF200" s="34" t="e">
        <f t="shared" ca="1" si="78"/>
        <v>#N/A</v>
      </c>
      <c r="AG200" s="34" t="e">
        <f t="shared" ca="1" si="79"/>
        <v>#N/A</v>
      </c>
      <c r="AH200" s="34" t="e">
        <f t="shared" ca="1" si="80"/>
        <v>#N/A</v>
      </c>
      <c r="AI200" s="33" t="e">
        <f t="shared" ca="1" si="87"/>
        <v>#N/A</v>
      </c>
      <c r="AJ200" s="34" t="e">
        <f t="shared" ca="1" si="88"/>
        <v>#N/A</v>
      </c>
      <c r="AK200" s="34" t="e">
        <f t="shared" ca="1" si="81"/>
        <v>#N/A</v>
      </c>
      <c r="AL200" s="34" t="e">
        <f t="shared" ca="1" si="82"/>
        <v>#N/A</v>
      </c>
      <c r="AM200" s="33" t="e">
        <f t="shared" ca="1" si="89"/>
        <v>#N/A</v>
      </c>
      <c r="AN200" s="34" t="e">
        <f t="shared" ca="1" si="90"/>
        <v>#N/A</v>
      </c>
    </row>
    <row r="201" spans="1:40" x14ac:dyDescent="0.3">
      <c r="A201" s="2">
        <v>43753</v>
      </c>
      <c r="B201" s="9">
        <v>55.450001</v>
      </c>
      <c r="C201" s="9">
        <v>93.220000999999996</v>
      </c>
      <c r="D201" s="9">
        <v>89.449996999999996</v>
      </c>
      <c r="E201" s="10"/>
      <c r="F201" s="13">
        <v>198</v>
      </c>
      <c r="G201" s="2">
        <v>43753</v>
      </c>
      <c r="H201" s="14">
        <f t="shared" si="71"/>
        <v>1.8933771332807076E-2</v>
      </c>
      <c r="I201" s="14">
        <f t="shared" si="72"/>
        <v>8.2943762887462639E-3</v>
      </c>
      <c r="J201" s="14">
        <f t="shared" si="73"/>
        <v>1.0338310089086407E-2</v>
      </c>
      <c r="K201" s="22">
        <v>198</v>
      </c>
      <c r="L201" s="12"/>
      <c r="Q201" s="15">
        <f t="shared" si="74"/>
        <v>198</v>
      </c>
      <c r="R201" s="2">
        <f t="shared" si="70"/>
        <v>43753</v>
      </c>
      <c r="S201" s="9">
        <f t="shared" ca="1" si="75"/>
        <v>1.8933771332807076E-2</v>
      </c>
      <c r="T201" s="9">
        <f t="shared" ca="1" si="76"/>
        <v>8.2943762887462639E-3</v>
      </c>
      <c r="U201" s="9">
        <f t="shared" ca="1" si="77"/>
        <v>1.0338310089086407E-2</v>
      </c>
      <c r="AB201" s="33" t="e">
        <f t="shared" ca="1" si="83"/>
        <v>#N/A</v>
      </c>
      <c r="AC201" s="34" t="e">
        <f t="shared" ca="1" si="84"/>
        <v>#N/A</v>
      </c>
      <c r="AD201" s="34" t="e">
        <f t="shared" ca="1" si="85"/>
        <v>#N/A</v>
      </c>
      <c r="AE201" s="33" t="e">
        <f t="shared" ca="1" si="86"/>
        <v>#N/A</v>
      </c>
      <c r="AF201" s="34" t="e">
        <f t="shared" ca="1" si="78"/>
        <v>#N/A</v>
      </c>
      <c r="AG201" s="34" t="e">
        <f t="shared" ca="1" si="79"/>
        <v>#N/A</v>
      </c>
      <c r="AH201" s="34" t="e">
        <f t="shared" ca="1" si="80"/>
        <v>#N/A</v>
      </c>
      <c r="AI201" s="33" t="e">
        <f t="shared" ca="1" si="87"/>
        <v>#N/A</v>
      </c>
      <c r="AJ201" s="34" t="e">
        <f t="shared" ca="1" si="88"/>
        <v>#N/A</v>
      </c>
      <c r="AK201" s="34" t="e">
        <f t="shared" ca="1" si="81"/>
        <v>#N/A</v>
      </c>
      <c r="AL201" s="34" t="e">
        <f t="shared" ca="1" si="82"/>
        <v>#N/A</v>
      </c>
      <c r="AM201" s="33" t="e">
        <f t="shared" ca="1" si="89"/>
        <v>#N/A</v>
      </c>
      <c r="AN201" s="34" t="e">
        <f t="shared" ca="1" si="90"/>
        <v>#N/A</v>
      </c>
    </row>
    <row r="202" spans="1:40" x14ac:dyDescent="0.3">
      <c r="A202" s="2">
        <v>43754</v>
      </c>
      <c r="B202" s="9">
        <v>54.57</v>
      </c>
      <c r="C202" s="9">
        <v>94.32</v>
      </c>
      <c r="D202" s="9">
        <v>89.089995999999999</v>
      </c>
      <c r="E202" s="10"/>
      <c r="F202" s="13">
        <v>199</v>
      </c>
      <c r="G202" s="2">
        <v>43754</v>
      </c>
      <c r="H202" s="14">
        <f t="shared" si="71"/>
        <v>-1.5997450632500448E-2</v>
      </c>
      <c r="I202" s="14">
        <f t="shared" si="72"/>
        <v>1.1730954557208965E-2</v>
      </c>
      <c r="J202" s="14">
        <f t="shared" si="73"/>
        <v>-4.0327265823039129E-3</v>
      </c>
      <c r="K202" s="22">
        <v>199</v>
      </c>
      <c r="L202" s="12"/>
      <c r="Q202" s="15">
        <f t="shared" si="74"/>
        <v>199</v>
      </c>
      <c r="R202" s="2">
        <f t="shared" si="70"/>
        <v>43754</v>
      </c>
      <c r="S202" s="9">
        <f t="shared" ca="1" si="75"/>
        <v>-1.5997450632500448E-2</v>
      </c>
      <c r="T202" s="9">
        <f t="shared" ca="1" si="76"/>
        <v>1.1730954557208965E-2</v>
      </c>
      <c r="U202" s="9">
        <f t="shared" ca="1" si="77"/>
        <v>-4.0327265823039129E-3</v>
      </c>
      <c r="AB202" s="33" t="e">
        <f t="shared" ca="1" si="83"/>
        <v>#N/A</v>
      </c>
      <c r="AC202" s="34" t="e">
        <f t="shared" ca="1" si="84"/>
        <v>#N/A</v>
      </c>
      <c r="AD202" s="34" t="e">
        <f t="shared" ca="1" si="85"/>
        <v>#N/A</v>
      </c>
      <c r="AE202" s="33" t="e">
        <f t="shared" ca="1" si="86"/>
        <v>#N/A</v>
      </c>
      <c r="AF202" s="34" t="e">
        <f t="shared" ca="1" si="78"/>
        <v>#N/A</v>
      </c>
      <c r="AG202" s="34" t="e">
        <f t="shared" ca="1" si="79"/>
        <v>#N/A</v>
      </c>
      <c r="AH202" s="34" t="e">
        <f t="shared" ca="1" si="80"/>
        <v>#N/A</v>
      </c>
      <c r="AI202" s="33" t="e">
        <f t="shared" ca="1" si="87"/>
        <v>#N/A</v>
      </c>
      <c r="AJ202" s="34" t="e">
        <f t="shared" ca="1" si="88"/>
        <v>#N/A</v>
      </c>
      <c r="AK202" s="34" t="e">
        <f t="shared" ca="1" si="81"/>
        <v>#N/A</v>
      </c>
      <c r="AL202" s="34" t="e">
        <f t="shared" ca="1" si="82"/>
        <v>#N/A</v>
      </c>
      <c r="AM202" s="33" t="e">
        <f t="shared" ca="1" si="89"/>
        <v>#N/A</v>
      </c>
      <c r="AN202" s="34" t="e">
        <f t="shared" ca="1" si="90"/>
        <v>#N/A</v>
      </c>
    </row>
    <row r="203" spans="1:40" x14ac:dyDescent="0.3">
      <c r="A203" s="2">
        <v>43755</v>
      </c>
      <c r="B203" s="9">
        <v>54.459999000000003</v>
      </c>
      <c r="C203" s="9">
        <v>95.080001999999993</v>
      </c>
      <c r="D203" s="9">
        <v>90.099997999999999</v>
      </c>
      <c r="E203" s="10"/>
      <c r="F203" s="13">
        <v>200</v>
      </c>
      <c r="G203" s="2">
        <v>43755</v>
      </c>
      <c r="H203" s="14">
        <f t="shared" si="71"/>
        <v>-2.0178123146278094E-3</v>
      </c>
      <c r="I203" s="14">
        <f t="shared" si="72"/>
        <v>8.0254072977954064E-3</v>
      </c>
      <c r="J203" s="14">
        <f t="shared" si="73"/>
        <v>1.1273092582599557E-2</v>
      </c>
      <c r="K203" s="22">
        <v>200</v>
      </c>
      <c r="L203" s="12"/>
      <c r="Q203" s="15">
        <f t="shared" si="74"/>
        <v>200</v>
      </c>
      <c r="R203" s="2">
        <f t="shared" si="70"/>
        <v>43755</v>
      </c>
      <c r="S203" s="9">
        <f t="shared" ca="1" si="75"/>
        <v>-2.0178123146278094E-3</v>
      </c>
      <c r="T203" s="9">
        <f t="shared" ca="1" si="76"/>
        <v>8.0254072977954064E-3</v>
      </c>
      <c r="U203" s="9">
        <f t="shared" ca="1" si="77"/>
        <v>1.1273092582599557E-2</v>
      </c>
      <c r="AB203" s="33" t="e">
        <f t="shared" ca="1" si="83"/>
        <v>#N/A</v>
      </c>
      <c r="AC203" s="34" t="e">
        <f t="shared" ca="1" si="84"/>
        <v>#N/A</v>
      </c>
      <c r="AD203" s="34" t="e">
        <f t="shared" ca="1" si="85"/>
        <v>#N/A</v>
      </c>
      <c r="AE203" s="33" t="e">
        <f t="shared" ca="1" si="86"/>
        <v>#N/A</v>
      </c>
      <c r="AF203" s="34" t="e">
        <f t="shared" ca="1" si="78"/>
        <v>#N/A</v>
      </c>
      <c r="AG203" s="34" t="e">
        <f t="shared" ca="1" si="79"/>
        <v>#N/A</v>
      </c>
      <c r="AH203" s="34" t="e">
        <f t="shared" ca="1" si="80"/>
        <v>#N/A</v>
      </c>
      <c r="AI203" s="33" t="e">
        <f t="shared" ca="1" si="87"/>
        <v>#N/A</v>
      </c>
      <c r="AJ203" s="34" t="e">
        <f t="shared" ca="1" si="88"/>
        <v>#N/A</v>
      </c>
      <c r="AK203" s="34" t="e">
        <f t="shared" ca="1" si="81"/>
        <v>#N/A</v>
      </c>
      <c r="AL203" s="34" t="e">
        <f t="shared" ca="1" si="82"/>
        <v>#N/A</v>
      </c>
      <c r="AM203" s="33" t="e">
        <f t="shared" ca="1" si="89"/>
        <v>#N/A</v>
      </c>
      <c r="AN203" s="34" t="e">
        <f t="shared" ca="1" si="90"/>
        <v>#N/A</v>
      </c>
    </row>
    <row r="204" spans="1:40" x14ac:dyDescent="0.3">
      <c r="A204" s="2">
        <v>43756</v>
      </c>
      <c r="B204" s="9">
        <v>55.09</v>
      </c>
      <c r="C204" s="9">
        <v>94.970000999999996</v>
      </c>
      <c r="D204" s="9">
        <v>91.059997999999993</v>
      </c>
      <c r="E204" s="10"/>
      <c r="F204" s="13">
        <v>201</v>
      </c>
      <c r="G204" s="2">
        <v>43756</v>
      </c>
      <c r="H204" s="14">
        <f t="shared" si="71"/>
        <v>1.1501742601112391E-2</v>
      </c>
      <c r="I204" s="14">
        <f t="shared" si="72"/>
        <v>-1.1576007424088869E-3</v>
      </c>
      <c r="J204" s="14">
        <f t="shared" si="73"/>
        <v>1.0598465526361577E-2</v>
      </c>
      <c r="K204" s="22">
        <v>201</v>
      </c>
      <c r="L204" s="12"/>
      <c r="Q204" s="15">
        <f t="shared" si="74"/>
        <v>201</v>
      </c>
      <c r="R204" s="2">
        <f t="shared" si="70"/>
        <v>43756</v>
      </c>
      <c r="S204" s="9">
        <f t="shared" ca="1" si="75"/>
        <v>1.1501742601112391E-2</v>
      </c>
      <c r="T204" s="9">
        <f t="shared" ca="1" si="76"/>
        <v>-1.1576007424088869E-3</v>
      </c>
      <c r="U204" s="9">
        <f t="shared" ca="1" si="77"/>
        <v>1.0598465526361577E-2</v>
      </c>
      <c r="AB204" s="33" t="e">
        <f t="shared" ca="1" si="83"/>
        <v>#N/A</v>
      </c>
      <c r="AC204" s="34" t="e">
        <f t="shared" ca="1" si="84"/>
        <v>#N/A</v>
      </c>
      <c r="AD204" s="34" t="e">
        <f t="shared" ca="1" si="85"/>
        <v>#N/A</v>
      </c>
      <c r="AE204" s="33" t="e">
        <f t="shared" ca="1" si="86"/>
        <v>#N/A</v>
      </c>
      <c r="AF204" s="34" t="e">
        <f t="shared" ca="1" si="78"/>
        <v>#N/A</v>
      </c>
      <c r="AG204" s="34" t="e">
        <f t="shared" ca="1" si="79"/>
        <v>#N/A</v>
      </c>
      <c r="AH204" s="34" t="e">
        <f t="shared" ca="1" si="80"/>
        <v>#N/A</v>
      </c>
      <c r="AI204" s="33" t="e">
        <f t="shared" ca="1" si="87"/>
        <v>#N/A</v>
      </c>
      <c r="AJ204" s="34" t="e">
        <f t="shared" ca="1" si="88"/>
        <v>#N/A</v>
      </c>
      <c r="AK204" s="34" t="e">
        <f t="shared" ca="1" si="81"/>
        <v>#N/A</v>
      </c>
      <c r="AL204" s="34" t="e">
        <f t="shared" ca="1" si="82"/>
        <v>#N/A</v>
      </c>
      <c r="AM204" s="33" t="e">
        <f t="shared" ca="1" si="89"/>
        <v>#N/A</v>
      </c>
      <c r="AN204" s="34" t="e">
        <f t="shared" ca="1" si="90"/>
        <v>#N/A</v>
      </c>
    </row>
    <row r="205" spans="1:40" x14ac:dyDescent="0.3">
      <c r="A205" s="2">
        <v>43759</v>
      </c>
      <c r="B205" s="9">
        <v>55.939999</v>
      </c>
      <c r="C205" s="9">
        <v>96.470000999999996</v>
      </c>
      <c r="D205" s="9">
        <v>93.209998999999996</v>
      </c>
      <c r="E205" s="10"/>
      <c r="F205" s="13">
        <v>202</v>
      </c>
      <c r="G205" s="2">
        <v>43759</v>
      </c>
      <c r="H205" s="14">
        <f t="shared" si="71"/>
        <v>1.5311458412892295E-2</v>
      </c>
      <c r="I205" s="14">
        <f t="shared" si="72"/>
        <v>1.5671026763877067E-2</v>
      </c>
      <c r="J205" s="14">
        <f t="shared" si="73"/>
        <v>2.3336393401507869E-2</v>
      </c>
      <c r="K205" s="22">
        <v>202</v>
      </c>
      <c r="L205" s="12"/>
      <c r="Q205" s="15">
        <f t="shared" si="74"/>
        <v>202</v>
      </c>
      <c r="R205" s="2">
        <f t="shared" si="70"/>
        <v>43759</v>
      </c>
      <c r="S205" s="9">
        <f t="shared" ca="1" si="75"/>
        <v>1.5311458412892295E-2</v>
      </c>
      <c r="T205" s="9">
        <f t="shared" ca="1" si="76"/>
        <v>1.5671026763877067E-2</v>
      </c>
      <c r="U205" s="9">
        <f t="shared" ca="1" si="77"/>
        <v>2.3336393401507869E-2</v>
      </c>
      <c r="AB205" s="33" t="e">
        <f t="shared" ca="1" si="83"/>
        <v>#N/A</v>
      </c>
      <c r="AC205" s="34" t="e">
        <f t="shared" ca="1" si="84"/>
        <v>#N/A</v>
      </c>
      <c r="AD205" s="34" t="e">
        <f t="shared" ca="1" si="85"/>
        <v>#N/A</v>
      </c>
      <c r="AE205" s="33" t="e">
        <f t="shared" ca="1" si="86"/>
        <v>#N/A</v>
      </c>
      <c r="AF205" s="34" t="e">
        <f t="shared" ca="1" si="78"/>
        <v>#N/A</v>
      </c>
      <c r="AG205" s="34" t="e">
        <f t="shared" ca="1" si="79"/>
        <v>#N/A</v>
      </c>
      <c r="AH205" s="34" t="e">
        <f t="shared" ca="1" si="80"/>
        <v>#N/A</v>
      </c>
      <c r="AI205" s="33" t="e">
        <f t="shared" ca="1" si="87"/>
        <v>#N/A</v>
      </c>
      <c r="AJ205" s="34" t="e">
        <f t="shared" ca="1" si="88"/>
        <v>#N/A</v>
      </c>
      <c r="AK205" s="34" t="e">
        <f t="shared" ca="1" si="81"/>
        <v>#N/A</v>
      </c>
      <c r="AL205" s="34" t="e">
        <f t="shared" ca="1" si="82"/>
        <v>#N/A</v>
      </c>
      <c r="AM205" s="33" t="e">
        <f t="shared" ca="1" si="89"/>
        <v>#N/A</v>
      </c>
      <c r="AN205" s="34" t="e">
        <f t="shared" ca="1" si="90"/>
        <v>#N/A</v>
      </c>
    </row>
    <row r="206" spans="1:40" x14ac:dyDescent="0.3">
      <c r="A206" s="2">
        <v>43760</v>
      </c>
      <c r="B206" s="9">
        <v>55.950001</v>
      </c>
      <c r="C206" s="9">
        <v>98.599997999999999</v>
      </c>
      <c r="D206" s="9">
        <v>94.169998000000007</v>
      </c>
      <c r="E206" s="10"/>
      <c r="F206" s="13">
        <v>203</v>
      </c>
      <c r="G206" s="2">
        <v>43760</v>
      </c>
      <c r="H206" s="14">
        <f t="shared" si="71"/>
        <v>1.7878273351768783E-4</v>
      </c>
      <c r="I206" s="14">
        <f t="shared" si="72"/>
        <v>2.1839151776234845E-2</v>
      </c>
      <c r="J206" s="14">
        <f t="shared" si="73"/>
        <v>1.0246636939182341E-2</v>
      </c>
      <c r="K206" s="22">
        <v>203</v>
      </c>
      <c r="L206" s="12"/>
      <c r="Q206" s="15">
        <f t="shared" si="74"/>
        <v>203</v>
      </c>
      <c r="R206" s="2">
        <f t="shared" si="70"/>
        <v>43760</v>
      </c>
      <c r="S206" s="9">
        <f t="shared" ca="1" si="75"/>
        <v>1.7878273351768783E-4</v>
      </c>
      <c r="T206" s="9">
        <f t="shared" ca="1" si="76"/>
        <v>2.1839151776234845E-2</v>
      </c>
      <c r="U206" s="9">
        <f t="shared" ca="1" si="77"/>
        <v>1.0246636939182341E-2</v>
      </c>
      <c r="AB206" s="33" t="e">
        <f t="shared" ca="1" si="83"/>
        <v>#N/A</v>
      </c>
      <c r="AC206" s="34" t="e">
        <f t="shared" ca="1" si="84"/>
        <v>#N/A</v>
      </c>
      <c r="AD206" s="34" t="e">
        <f t="shared" ca="1" si="85"/>
        <v>#N/A</v>
      </c>
      <c r="AE206" s="33" t="e">
        <f t="shared" ca="1" si="86"/>
        <v>#N/A</v>
      </c>
      <c r="AF206" s="34" t="e">
        <f t="shared" ca="1" si="78"/>
        <v>#N/A</v>
      </c>
      <c r="AG206" s="34" t="e">
        <f t="shared" ca="1" si="79"/>
        <v>#N/A</v>
      </c>
      <c r="AH206" s="34" t="e">
        <f t="shared" ca="1" si="80"/>
        <v>#N/A</v>
      </c>
      <c r="AI206" s="33" t="e">
        <f t="shared" ca="1" si="87"/>
        <v>#N/A</v>
      </c>
      <c r="AJ206" s="34" t="e">
        <f t="shared" ca="1" si="88"/>
        <v>#N/A</v>
      </c>
      <c r="AK206" s="34" t="e">
        <f t="shared" ca="1" si="81"/>
        <v>#N/A</v>
      </c>
      <c r="AL206" s="34" t="e">
        <f t="shared" ca="1" si="82"/>
        <v>#N/A</v>
      </c>
      <c r="AM206" s="33" t="e">
        <f t="shared" ca="1" si="89"/>
        <v>#N/A</v>
      </c>
      <c r="AN206" s="34" t="e">
        <f t="shared" ca="1" si="90"/>
        <v>#N/A</v>
      </c>
    </row>
    <row r="207" spans="1:40" x14ac:dyDescent="0.3">
      <c r="A207" s="2">
        <v>43761</v>
      </c>
      <c r="B207" s="9">
        <v>55.889999000000003</v>
      </c>
      <c r="C207" s="9">
        <v>97.129997000000003</v>
      </c>
      <c r="D207" s="9">
        <v>93.849997999999999</v>
      </c>
      <c r="E207" s="10"/>
      <c r="F207" s="13">
        <v>204</v>
      </c>
      <c r="G207" s="2">
        <v>43761</v>
      </c>
      <c r="H207" s="14">
        <f t="shared" si="71"/>
        <v>-1.0729972417168018E-3</v>
      </c>
      <c r="I207" s="14">
        <f t="shared" si="72"/>
        <v>-1.5020984796816001E-2</v>
      </c>
      <c r="J207" s="14">
        <f t="shared" si="73"/>
        <v>-3.4038965618698497E-3</v>
      </c>
      <c r="K207" s="22">
        <v>204</v>
      </c>
      <c r="L207" s="12"/>
      <c r="Q207" s="15">
        <f t="shared" si="74"/>
        <v>204</v>
      </c>
      <c r="R207" s="2">
        <f t="shared" si="70"/>
        <v>43761</v>
      </c>
      <c r="S207" s="9">
        <f t="shared" ca="1" si="75"/>
        <v>-1.0729972417168018E-3</v>
      </c>
      <c r="T207" s="9">
        <f t="shared" ca="1" si="76"/>
        <v>-1.5020984796816001E-2</v>
      </c>
      <c r="U207" s="9">
        <f t="shared" ca="1" si="77"/>
        <v>-3.4038965618698497E-3</v>
      </c>
      <c r="AB207" s="33" t="e">
        <f t="shared" ca="1" si="83"/>
        <v>#N/A</v>
      </c>
      <c r="AC207" s="34" t="e">
        <f t="shared" ca="1" si="84"/>
        <v>#N/A</v>
      </c>
      <c r="AD207" s="34" t="e">
        <f t="shared" ca="1" si="85"/>
        <v>#N/A</v>
      </c>
      <c r="AE207" s="33" t="e">
        <f t="shared" ca="1" si="86"/>
        <v>#N/A</v>
      </c>
      <c r="AF207" s="34" t="e">
        <f t="shared" ca="1" si="78"/>
        <v>#N/A</v>
      </c>
      <c r="AG207" s="34" t="e">
        <f t="shared" ca="1" si="79"/>
        <v>#N/A</v>
      </c>
      <c r="AH207" s="34" t="e">
        <f t="shared" ca="1" si="80"/>
        <v>#N/A</v>
      </c>
      <c r="AI207" s="33" t="e">
        <f t="shared" ca="1" si="87"/>
        <v>#N/A</v>
      </c>
      <c r="AJ207" s="34" t="e">
        <f t="shared" ca="1" si="88"/>
        <v>#N/A</v>
      </c>
      <c r="AK207" s="34" t="e">
        <f t="shared" ca="1" si="81"/>
        <v>#N/A</v>
      </c>
      <c r="AL207" s="34" t="e">
        <f t="shared" ca="1" si="82"/>
        <v>#N/A</v>
      </c>
      <c r="AM207" s="33" t="e">
        <f t="shared" ca="1" si="89"/>
        <v>#N/A</v>
      </c>
      <c r="AN207" s="34" t="e">
        <f t="shared" ca="1" si="90"/>
        <v>#N/A</v>
      </c>
    </row>
    <row r="208" spans="1:40" x14ac:dyDescent="0.3">
      <c r="A208" s="2">
        <v>43762</v>
      </c>
      <c r="B208" s="9">
        <v>58.080002</v>
      </c>
      <c r="C208" s="9">
        <v>97.120002999999997</v>
      </c>
      <c r="D208" s="9">
        <v>96.910004000000001</v>
      </c>
      <c r="E208" s="10"/>
      <c r="F208" s="13">
        <v>205</v>
      </c>
      <c r="G208" s="2">
        <v>43762</v>
      </c>
      <c r="H208" s="14">
        <f t="shared" si="71"/>
        <v>3.8435949562483543E-2</v>
      </c>
      <c r="I208" s="14">
        <f t="shared" si="72"/>
        <v>-1.0289832698920052E-4</v>
      </c>
      <c r="J208" s="14">
        <f t="shared" si="73"/>
        <v>3.2085012299952427E-2</v>
      </c>
      <c r="K208" s="22">
        <v>205</v>
      </c>
      <c r="L208" s="12"/>
      <c r="Q208" s="15">
        <f t="shared" si="74"/>
        <v>205</v>
      </c>
      <c r="R208" s="2">
        <f t="shared" si="70"/>
        <v>43762</v>
      </c>
      <c r="S208" s="9">
        <f t="shared" ca="1" si="75"/>
        <v>3.8435949562483543E-2</v>
      </c>
      <c r="T208" s="9">
        <f t="shared" ca="1" si="76"/>
        <v>-1.0289832698920052E-4</v>
      </c>
      <c r="U208" s="9">
        <f t="shared" ca="1" si="77"/>
        <v>3.2085012299952427E-2</v>
      </c>
      <c r="AB208" s="33" t="e">
        <f t="shared" ca="1" si="83"/>
        <v>#N/A</v>
      </c>
      <c r="AC208" s="34" t="e">
        <f t="shared" ca="1" si="84"/>
        <v>#N/A</v>
      </c>
      <c r="AD208" s="34" t="e">
        <f t="shared" ca="1" si="85"/>
        <v>#N/A</v>
      </c>
      <c r="AE208" s="33" t="e">
        <f t="shared" ca="1" si="86"/>
        <v>#N/A</v>
      </c>
      <c r="AF208" s="34" t="e">
        <f t="shared" ca="1" si="78"/>
        <v>#N/A</v>
      </c>
      <c r="AG208" s="34" t="e">
        <f t="shared" ca="1" si="79"/>
        <v>#N/A</v>
      </c>
      <c r="AH208" s="34" t="e">
        <f t="shared" ca="1" si="80"/>
        <v>#N/A</v>
      </c>
      <c r="AI208" s="33" t="e">
        <f t="shared" ca="1" si="87"/>
        <v>#N/A</v>
      </c>
      <c r="AJ208" s="34" t="e">
        <f t="shared" ca="1" si="88"/>
        <v>#N/A</v>
      </c>
      <c r="AK208" s="34" t="e">
        <f t="shared" ca="1" si="81"/>
        <v>#N/A</v>
      </c>
      <c r="AL208" s="34" t="e">
        <f t="shared" ca="1" si="82"/>
        <v>#N/A</v>
      </c>
      <c r="AM208" s="33" t="e">
        <f t="shared" ca="1" si="89"/>
        <v>#N/A</v>
      </c>
      <c r="AN208" s="34" t="e">
        <f t="shared" ca="1" si="90"/>
        <v>#N/A</v>
      </c>
    </row>
    <row r="209" spans="1:40" x14ac:dyDescent="0.3">
      <c r="A209" s="2">
        <v>43763</v>
      </c>
      <c r="B209" s="9">
        <v>57.919998</v>
      </c>
      <c r="C209" s="9">
        <v>98.790001000000004</v>
      </c>
      <c r="D209" s="9">
        <v>99.269997000000004</v>
      </c>
      <c r="E209" s="10"/>
      <c r="F209" s="13">
        <v>206</v>
      </c>
      <c r="G209" s="2">
        <v>43763</v>
      </c>
      <c r="H209" s="14">
        <f t="shared" si="71"/>
        <v>-2.7586914047281925E-3</v>
      </c>
      <c r="I209" s="14">
        <f t="shared" si="72"/>
        <v>1.70490369780559E-2</v>
      </c>
      <c r="J209" s="14">
        <f t="shared" si="73"/>
        <v>2.4060626359151495E-2</v>
      </c>
      <c r="K209" s="22">
        <v>206</v>
      </c>
      <c r="L209" s="12"/>
      <c r="Q209" s="15">
        <f t="shared" si="74"/>
        <v>206</v>
      </c>
      <c r="R209" s="2">
        <f t="shared" si="70"/>
        <v>43763</v>
      </c>
      <c r="S209" s="9">
        <f t="shared" ca="1" si="75"/>
        <v>-2.7586914047281925E-3</v>
      </c>
      <c r="T209" s="9">
        <f t="shared" ca="1" si="76"/>
        <v>1.70490369780559E-2</v>
      </c>
      <c r="U209" s="9">
        <f t="shared" ca="1" si="77"/>
        <v>2.4060626359151495E-2</v>
      </c>
      <c r="AB209" s="33" t="e">
        <f t="shared" ca="1" si="83"/>
        <v>#N/A</v>
      </c>
      <c r="AC209" s="34" t="e">
        <f t="shared" ca="1" si="84"/>
        <v>#N/A</v>
      </c>
      <c r="AD209" s="34" t="e">
        <f t="shared" ca="1" si="85"/>
        <v>#N/A</v>
      </c>
      <c r="AE209" s="33" t="e">
        <f t="shared" ca="1" si="86"/>
        <v>#N/A</v>
      </c>
      <c r="AF209" s="34" t="e">
        <f t="shared" ca="1" si="78"/>
        <v>#N/A</v>
      </c>
      <c r="AG209" s="34" t="e">
        <f t="shared" ca="1" si="79"/>
        <v>#N/A</v>
      </c>
      <c r="AH209" s="34" t="e">
        <f t="shared" ca="1" si="80"/>
        <v>#N/A</v>
      </c>
      <c r="AI209" s="33" t="e">
        <f t="shared" ca="1" si="87"/>
        <v>#N/A</v>
      </c>
      <c r="AJ209" s="34" t="e">
        <f t="shared" ca="1" si="88"/>
        <v>#N/A</v>
      </c>
      <c r="AK209" s="34" t="e">
        <f t="shared" ca="1" si="81"/>
        <v>#N/A</v>
      </c>
      <c r="AL209" s="34" t="e">
        <f t="shared" ca="1" si="82"/>
        <v>#N/A</v>
      </c>
      <c r="AM209" s="33" t="e">
        <f t="shared" ca="1" si="89"/>
        <v>#N/A</v>
      </c>
      <c r="AN209" s="34" t="e">
        <f t="shared" ca="1" si="90"/>
        <v>#N/A</v>
      </c>
    </row>
    <row r="210" spans="1:40" x14ac:dyDescent="0.3">
      <c r="A210" s="2">
        <v>43766</v>
      </c>
      <c r="B210" s="9">
        <v>59.189999</v>
      </c>
      <c r="C210" s="9">
        <v>97.720000999999996</v>
      </c>
      <c r="D210" s="9">
        <v>100.07</v>
      </c>
      <c r="E210" s="10"/>
      <c r="F210" s="13">
        <v>207</v>
      </c>
      <c r="G210" s="2">
        <v>43766</v>
      </c>
      <c r="H210" s="14">
        <f t="shared" si="71"/>
        <v>2.1689878260814286E-2</v>
      </c>
      <c r="I210" s="14">
        <f t="shared" si="72"/>
        <v>-1.0890138556005296E-2</v>
      </c>
      <c r="J210" s="14">
        <f t="shared" si="73"/>
        <v>8.0265607213451211E-3</v>
      </c>
      <c r="K210" s="22">
        <v>207</v>
      </c>
      <c r="L210" s="12"/>
      <c r="Q210" s="15">
        <f t="shared" si="74"/>
        <v>207</v>
      </c>
      <c r="R210" s="2">
        <f t="shared" si="70"/>
        <v>43766</v>
      </c>
      <c r="S210" s="9">
        <f t="shared" ca="1" si="75"/>
        <v>2.1689878260814286E-2</v>
      </c>
      <c r="T210" s="9">
        <f t="shared" ca="1" si="76"/>
        <v>-1.0890138556005296E-2</v>
      </c>
      <c r="U210" s="9">
        <f t="shared" ca="1" si="77"/>
        <v>8.0265607213451211E-3</v>
      </c>
      <c r="AB210" s="33" t="e">
        <f t="shared" ca="1" si="83"/>
        <v>#N/A</v>
      </c>
      <c r="AC210" s="34" t="e">
        <f t="shared" ca="1" si="84"/>
        <v>#N/A</v>
      </c>
      <c r="AD210" s="34" t="e">
        <f t="shared" ca="1" si="85"/>
        <v>#N/A</v>
      </c>
      <c r="AE210" s="33" t="e">
        <f t="shared" ca="1" si="86"/>
        <v>#N/A</v>
      </c>
      <c r="AF210" s="34" t="e">
        <f t="shared" ca="1" si="78"/>
        <v>#N/A</v>
      </c>
      <c r="AG210" s="34" t="e">
        <f t="shared" ca="1" si="79"/>
        <v>#N/A</v>
      </c>
      <c r="AH210" s="34" t="e">
        <f t="shared" ca="1" si="80"/>
        <v>#N/A</v>
      </c>
      <c r="AI210" s="33" t="e">
        <f t="shared" ca="1" si="87"/>
        <v>#N/A</v>
      </c>
      <c r="AJ210" s="34" t="e">
        <f t="shared" ca="1" si="88"/>
        <v>#N/A</v>
      </c>
      <c r="AK210" s="34" t="e">
        <f t="shared" ca="1" si="81"/>
        <v>#N/A</v>
      </c>
      <c r="AL210" s="34" t="e">
        <f t="shared" ca="1" si="82"/>
        <v>#N/A</v>
      </c>
      <c r="AM210" s="33" t="e">
        <f t="shared" ca="1" si="89"/>
        <v>#N/A</v>
      </c>
      <c r="AN210" s="34" t="e">
        <f t="shared" ca="1" si="90"/>
        <v>#N/A</v>
      </c>
    </row>
    <row r="211" spans="1:40" x14ac:dyDescent="0.3">
      <c r="A211" s="2">
        <v>43767</v>
      </c>
      <c r="B211" s="9">
        <v>58.759998000000003</v>
      </c>
      <c r="C211" s="9">
        <v>96.099997999999999</v>
      </c>
      <c r="D211" s="9">
        <v>100.82</v>
      </c>
      <c r="E211" s="10"/>
      <c r="F211" s="13">
        <v>208</v>
      </c>
      <c r="G211" s="2">
        <v>43767</v>
      </c>
      <c r="H211" s="14">
        <f t="shared" si="71"/>
        <v>-7.2912745389715154E-3</v>
      </c>
      <c r="I211" s="14">
        <f t="shared" si="72"/>
        <v>-1.6716961458267308E-2</v>
      </c>
      <c r="J211" s="14">
        <f t="shared" si="73"/>
        <v>7.4668075521200188E-3</v>
      </c>
      <c r="K211" s="22">
        <v>208</v>
      </c>
      <c r="L211" s="12"/>
      <c r="Q211" s="15">
        <f t="shared" si="74"/>
        <v>208</v>
      </c>
      <c r="R211" s="2">
        <f t="shared" si="70"/>
        <v>43767</v>
      </c>
      <c r="S211" s="9">
        <f t="shared" ca="1" si="75"/>
        <v>-7.2912745389715154E-3</v>
      </c>
      <c r="T211" s="9">
        <f t="shared" ca="1" si="76"/>
        <v>-1.6716961458267308E-2</v>
      </c>
      <c r="U211" s="9">
        <f t="shared" ca="1" si="77"/>
        <v>7.4668075521200188E-3</v>
      </c>
      <c r="AB211" s="33" t="e">
        <f t="shared" ca="1" si="83"/>
        <v>#N/A</v>
      </c>
      <c r="AC211" s="34" t="e">
        <f t="shared" ca="1" si="84"/>
        <v>#N/A</v>
      </c>
      <c r="AD211" s="34" t="e">
        <f t="shared" ca="1" si="85"/>
        <v>#N/A</v>
      </c>
      <c r="AE211" s="33" t="e">
        <f t="shared" ca="1" si="86"/>
        <v>#N/A</v>
      </c>
      <c r="AF211" s="34" t="e">
        <f t="shared" ca="1" si="78"/>
        <v>#N/A</v>
      </c>
      <c r="AG211" s="34" t="e">
        <f t="shared" ca="1" si="79"/>
        <v>#N/A</v>
      </c>
      <c r="AH211" s="34" t="e">
        <f t="shared" ca="1" si="80"/>
        <v>#N/A</v>
      </c>
      <c r="AI211" s="33" t="e">
        <f t="shared" ca="1" si="87"/>
        <v>#N/A</v>
      </c>
      <c r="AJ211" s="34" t="e">
        <f t="shared" ca="1" si="88"/>
        <v>#N/A</v>
      </c>
      <c r="AK211" s="34" t="e">
        <f t="shared" ca="1" si="81"/>
        <v>#N/A</v>
      </c>
      <c r="AL211" s="34" t="e">
        <f t="shared" ca="1" si="82"/>
        <v>#N/A</v>
      </c>
      <c r="AM211" s="33" t="e">
        <f t="shared" ca="1" si="89"/>
        <v>#N/A</v>
      </c>
      <c r="AN211" s="34" t="e">
        <f t="shared" ca="1" si="90"/>
        <v>#N/A</v>
      </c>
    </row>
    <row r="212" spans="1:40" x14ac:dyDescent="0.3">
      <c r="A212" s="2">
        <v>43768</v>
      </c>
      <c r="B212" s="9">
        <v>58.119999</v>
      </c>
      <c r="C212" s="9">
        <v>96.599997999999999</v>
      </c>
      <c r="D212" s="9">
        <v>98.809997999999993</v>
      </c>
      <c r="E212" s="10"/>
      <c r="F212" s="13">
        <v>209</v>
      </c>
      <c r="G212" s="2">
        <v>43768</v>
      </c>
      <c r="H212" s="14">
        <f t="shared" si="71"/>
        <v>-1.0951495772615512E-2</v>
      </c>
      <c r="I212" s="14">
        <f t="shared" si="72"/>
        <v>5.189425349946322E-3</v>
      </c>
      <c r="J212" s="14">
        <f t="shared" si="73"/>
        <v>-2.0137954688479866E-2</v>
      </c>
      <c r="K212" s="22">
        <v>209</v>
      </c>
      <c r="L212" s="12"/>
      <c r="Q212" s="15">
        <f t="shared" si="74"/>
        <v>209</v>
      </c>
      <c r="R212" s="2">
        <f t="shared" si="70"/>
        <v>43768</v>
      </c>
      <c r="S212" s="9">
        <f t="shared" ca="1" si="75"/>
        <v>-1.0951495772615512E-2</v>
      </c>
      <c r="T212" s="9">
        <f t="shared" ca="1" si="76"/>
        <v>5.189425349946322E-3</v>
      </c>
      <c r="U212" s="9">
        <f t="shared" ca="1" si="77"/>
        <v>-2.0137954688479866E-2</v>
      </c>
      <c r="AB212" s="33" t="e">
        <f t="shared" ca="1" si="83"/>
        <v>#N/A</v>
      </c>
      <c r="AC212" s="34" t="e">
        <f t="shared" ca="1" si="84"/>
        <v>#N/A</v>
      </c>
      <c r="AD212" s="34" t="e">
        <f t="shared" ca="1" si="85"/>
        <v>#N/A</v>
      </c>
      <c r="AE212" s="33" t="e">
        <f t="shared" ca="1" si="86"/>
        <v>#N/A</v>
      </c>
      <c r="AF212" s="34" t="e">
        <f t="shared" ca="1" si="78"/>
        <v>#N/A</v>
      </c>
      <c r="AG212" s="34" t="e">
        <f t="shared" ca="1" si="79"/>
        <v>#N/A</v>
      </c>
      <c r="AH212" s="34" t="e">
        <f t="shared" ca="1" si="80"/>
        <v>#N/A</v>
      </c>
      <c r="AI212" s="33" t="e">
        <f t="shared" ca="1" si="87"/>
        <v>#N/A</v>
      </c>
      <c r="AJ212" s="34" t="e">
        <f t="shared" ca="1" si="88"/>
        <v>#N/A</v>
      </c>
      <c r="AK212" s="34" t="e">
        <f t="shared" ca="1" si="81"/>
        <v>#N/A</v>
      </c>
      <c r="AL212" s="34" t="e">
        <f t="shared" ca="1" si="82"/>
        <v>#N/A</v>
      </c>
      <c r="AM212" s="33" t="e">
        <f t="shared" ca="1" si="89"/>
        <v>#N/A</v>
      </c>
      <c r="AN212" s="34" t="e">
        <f t="shared" ca="1" si="90"/>
        <v>#N/A</v>
      </c>
    </row>
    <row r="213" spans="1:40" x14ac:dyDescent="0.3">
      <c r="A213" s="2">
        <v>43769</v>
      </c>
      <c r="B213" s="9">
        <v>57.27</v>
      </c>
      <c r="C213" s="9">
        <v>96.059997999999993</v>
      </c>
      <c r="D213" s="9">
        <v>96.980002999999996</v>
      </c>
      <c r="E213" s="10"/>
      <c r="F213" s="13">
        <v>210</v>
      </c>
      <c r="G213" s="2">
        <v>43769</v>
      </c>
      <c r="H213" s="14">
        <f t="shared" si="71"/>
        <v>-1.4732895090534919E-2</v>
      </c>
      <c r="I213" s="14">
        <f t="shared" si="72"/>
        <v>-5.6057450981809127E-3</v>
      </c>
      <c r="J213" s="14">
        <f t="shared" si="73"/>
        <v>-1.8693991354585913E-2</v>
      </c>
      <c r="K213" s="22">
        <v>210</v>
      </c>
      <c r="L213" s="12"/>
      <c r="Q213" s="15">
        <f t="shared" si="74"/>
        <v>210</v>
      </c>
      <c r="R213" s="2">
        <f t="shared" si="70"/>
        <v>43769</v>
      </c>
      <c r="S213" s="9">
        <f t="shared" ca="1" si="75"/>
        <v>-1.4732895090534919E-2</v>
      </c>
      <c r="T213" s="9">
        <f t="shared" ca="1" si="76"/>
        <v>-5.6057450981809127E-3</v>
      </c>
      <c r="U213" s="9">
        <f t="shared" ca="1" si="77"/>
        <v>-1.8693991354585913E-2</v>
      </c>
      <c r="AB213" s="33" t="e">
        <f t="shared" ca="1" si="83"/>
        <v>#N/A</v>
      </c>
      <c r="AC213" s="34" t="e">
        <f t="shared" ca="1" si="84"/>
        <v>#N/A</v>
      </c>
      <c r="AD213" s="34" t="e">
        <f t="shared" ca="1" si="85"/>
        <v>#N/A</v>
      </c>
      <c r="AE213" s="33" t="e">
        <f t="shared" ca="1" si="86"/>
        <v>#N/A</v>
      </c>
      <c r="AF213" s="34" t="e">
        <f t="shared" ca="1" si="78"/>
        <v>#N/A</v>
      </c>
      <c r="AG213" s="34" t="e">
        <f t="shared" ca="1" si="79"/>
        <v>#N/A</v>
      </c>
      <c r="AH213" s="34" t="e">
        <f t="shared" ca="1" si="80"/>
        <v>#N/A</v>
      </c>
      <c r="AI213" s="33" t="e">
        <f t="shared" ca="1" si="87"/>
        <v>#N/A</v>
      </c>
      <c r="AJ213" s="34" t="e">
        <f t="shared" ca="1" si="88"/>
        <v>#N/A</v>
      </c>
      <c r="AK213" s="34" t="e">
        <f t="shared" ca="1" si="81"/>
        <v>#N/A</v>
      </c>
      <c r="AL213" s="34" t="e">
        <f t="shared" ca="1" si="82"/>
        <v>#N/A</v>
      </c>
      <c r="AM213" s="33" t="e">
        <f t="shared" ca="1" si="89"/>
        <v>#N/A</v>
      </c>
      <c r="AN213" s="34" t="e">
        <f t="shared" ca="1" si="90"/>
        <v>#N/A</v>
      </c>
    </row>
    <row r="214" spans="1:40" x14ac:dyDescent="0.3">
      <c r="A214" s="2">
        <v>43770</v>
      </c>
      <c r="B214" s="9">
        <v>58.709999000000003</v>
      </c>
      <c r="C214" s="9">
        <v>97.989998</v>
      </c>
      <c r="D214" s="9">
        <v>99.860000999999997</v>
      </c>
      <c r="E214" s="10"/>
      <c r="F214" s="13">
        <v>211</v>
      </c>
      <c r="G214" s="2">
        <v>43770</v>
      </c>
      <c r="H214" s="14">
        <f t="shared" si="71"/>
        <v>2.4833126637454947E-2</v>
      </c>
      <c r="I214" s="14">
        <f t="shared" si="72"/>
        <v>1.9892436821123648E-2</v>
      </c>
      <c r="J214" s="14">
        <f t="shared" si="73"/>
        <v>2.9264412475063825E-2</v>
      </c>
      <c r="K214" s="22">
        <v>211</v>
      </c>
      <c r="L214" s="12"/>
      <c r="Q214" s="15">
        <f t="shared" si="74"/>
        <v>211</v>
      </c>
      <c r="R214" s="2">
        <f t="shared" si="70"/>
        <v>43770</v>
      </c>
      <c r="S214" s="9">
        <f t="shared" ca="1" si="75"/>
        <v>2.4833126637454947E-2</v>
      </c>
      <c r="T214" s="9">
        <f t="shared" ca="1" si="76"/>
        <v>1.9892436821123648E-2</v>
      </c>
      <c r="U214" s="9">
        <f t="shared" ca="1" si="77"/>
        <v>2.9264412475063825E-2</v>
      </c>
      <c r="AB214" s="33" t="e">
        <f t="shared" ca="1" si="83"/>
        <v>#N/A</v>
      </c>
      <c r="AC214" s="34" t="e">
        <f t="shared" ca="1" si="84"/>
        <v>#N/A</v>
      </c>
      <c r="AD214" s="34" t="e">
        <f t="shared" ca="1" si="85"/>
        <v>#N/A</v>
      </c>
      <c r="AE214" s="33" t="e">
        <f t="shared" ca="1" si="86"/>
        <v>#N/A</v>
      </c>
      <c r="AF214" s="34" t="e">
        <f t="shared" ca="1" si="78"/>
        <v>#N/A</v>
      </c>
      <c r="AG214" s="34" t="e">
        <f t="shared" ca="1" si="79"/>
        <v>#N/A</v>
      </c>
      <c r="AH214" s="34" t="e">
        <f t="shared" ca="1" si="80"/>
        <v>#N/A</v>
      </c>
      <c r="AI214" s="33" t="e">
        <f t="shared" ca="1" si="87"/>
        <v>#N/A</v>
      </c>
      <c r="AJ214" s="34" t="e">
        <f t="shared" ca="1" si="88"/>
        <v>#N/A</v>
      </c>
      <c r="AK214" s="34" t="e">
        <f t="shared" ca="1" si="81"/>
        <v>#N/A</v>
      </c>
      <c r="AL214" s="34" t="e">
        <f t="shared" ca="1" si="82"/>
        <v>#N/A</v>
      </c>
      <c r="AM214" s="33" t="e">
        <f t="shared" ca="1" si="89"/>
        <v>#N/A</v>
      </c>
      <c r="AN214" s="34" t="e">
        <f t="shared" ca="1" si="90"/>
        <v>#N/A</v>
      </c>
    </row>
    <row r="215" spans="1:40" x14ac:dyDescent="0.3">
      <c r="A215" s="2">
        <v>43773</v>
      </c>
      <c r="B215" s="9">
        <v>58.290000999999997</v>
      </c>
      <c r="C215" s="9">
        <v>99.040001000000004</v>
      </c>
      <c r="D215" s="9">
        <v>101.239998</v>
      </c>
      <c r="E215" s="10"/>
      <c r="F215" s="13">
        <v>212</v>
      </c>
      <c r="G215" s="2">
        <v>43773</v>
      </c>
      <c r="H215" s="14">
        <f t="shared" si="71"/>
        <v>-7.1794838301615007E-3</v>
      </c>
      <c r="I215" s="14">
        <f t="shared" si="72"/>
        <v>1.065840679573561E-2</v>
      </c>
      <c r="J215" s="14">
        <f t="shared" si="73"/>
        <v>1.3724700835402831E-2</v>
      </c>
      <c r="K215" s="22">
        <v>212</v>
      </c>
      <c r="L215" s="12"/>
      <c r="Q215" s="15">
        <f t="shared" si="74"/>
        <v>212</v>
      </c>
      <c r="R215" s="2">
        <f t="shared" si="70"/>
        <v>43773</v>
      </c>
      <c r="S215" s="9">
        <f t="shared" ca="1" si="75"/>
        <v>-7.1794838301615007E-3</v>
      </c>
      <c r="T215" s="9">
        <f t="shared" ca="1" si="76"/>
        <v>1.065840679573561E-2</v>
      </c>
      <c r="U215" s="9">
        <f t="shared" ca="1" si="77"/>
        <v>1.3724700835402831E-2</v>
      </c>
      <c r="AB215" s="33" t="e">
        <f t="shared" ca="1" si="83"/>
        <v>#N/A</v>
      </c>
      <c r="AC215" s="34" t="e">
        <f t="shared" ca="1" si="84"/>
        <v>#N/A</v>
      </c>
      <c r="AD215" s="34" t="e">
        <f t="shared" ca="1" si="85"/>
        <v>#N/A</v>
      </c>
      <c r="AE215" s="33" t="e">
        <f t="shared" ca="1" si="86"/>
        <v>#N/A</v>
      </c>
      <c r="AF215" s="34" t="e">
        <f t="shared" ca="1" si="78"/>
        <v>#N/A</v>
      </c>
      <c r="AG215" s="34" t="e">
        <f t="shared" ca="1" si="79"/>
        <v>#N/A</v>
      </c>
      <c r="AH215" s="34" t="e">
        <f t="shared" ca="1" si="80"/>
        <v>#N/A</v>
      </c>
      <c r="AI215" s="33" t="e">
        <f t="shared" ca="1" si="87"/>
        <v>#N/A</v>
      </c>
      <c r="AJ215" s="34" t="e">
        <f t="shared" ca="1" si="88"/>
        <v>#N/A</v>
      </c>
      <c r="AK215" s="34" t="e">
        <f t="shared" ca="1" si="81"/>
        <v>#N/A</v>
      </c>
      <c r="AL215" s="34" t="e">
        <f t="shared" ca="1" si="82"/>
        <v>#N/A</v>
      </c>
      <c r="AM215" s="33" t="e">
        <f t="shared" ca="1" si="89"/>
        <v>#N/A</v>
      </c>
      <c r="AN215" s="34" t="e">
        <f t="shared" ca="1" si="90"/>
        <v>#N/A</v>
      </c>
    </row>
    <row r="216" spans="1:40" x14ac:dyDescent="0.3">
      <c r="A216" s="2">
        <v>43774</v>
      </c>
      <c r="B216" s="9">
        <v>58.240001999999997</v>
      </c>
      <c r="C216" s="9">
        <v>102.05999799999999</v>
      </c>
      <c r="D216" s="9">
        <v>101.089996</v>
      </c>
      <c r="E216" s="10"/>
      <c r="F216" s="13">
        <v>213</v>
      </c>
      <c r="G216" s="2">
        <v>43774</v>
      </c>
      <c r="H216" s="14">
        <f t="shared" si="71"/>
        <v>-8.5813098397023529E-4</v>
      </c>
      <c r="I216" s="14">
        <f t="shared" si="72"/>
        <v>3.0037037006292688E-2</v>
      </c>
      <c r="J216" s="14">
        <f t="shared" si="73"/>
        <v>-1.4827463246212945E-3</v>
      </c>
      <c r="K216" s="22">
        <v>213</v>
      </c>
      <c r="L216" s="12"/>
      <c r="Q216" s="15">
        <f t="shared" si="74"/>
        <v>213</v>
      </c>
      <c r="R216" s="2">
        <f t="shared" si="70"/>
        <v>43774</v>
      </c>
      <c r="S216" s="9">
        <f t="shared" ca="1" si="75"/>
        <v>-8.5813098397023529E-4</v>
      </c>
      <c r="T216" s="9">
        <f t="shared" ca="1" si="76"/>
        <v>3.0037037006292688E-2</v>
      </c>
      <c r="U216" s="9">
        <f t="shared" ca="1" si="77"/>
        <v>-1.4827463246212945E-3</v>
      </c>
      <c r="AB216" s="33" t="e">
        <f t="shared" ca="1" si="83"/>
        <v>#N/A</v>
      </c>
      <c r="AC216" s="34" t="e">
        <f t="shared" ca="1" si="84"/>
        <v>#N/A</v>
      </c>
      <c r="AD216" s="34" t="e">
        <f t="shared" ca="1" si="85"/>
        <v>#N/A</v>
      </c>
      <c r="AE216" s="33" t="e">
        <f t="shared" ca="1" si="86"/>
        <v>#N/A</v>
      </c>
      <c r="AF216" s="34" t="e">
        <f t="shared" ca="1" si="78"/>
        <v>#N/A</v>
      </c>
      <c r="AG216" s="34" t="e">
        <f t="shared" ca="1" si="79"/>
        <v>#N/A</v>
      </c>
      <c r="AH216" s="34" t="e">
        <f t="shared" ca="1" si="80"/>
        <v>#N/A</v>
      </c>
      <c r="AI216" s="33" t="e">
        <f t="shared" ca="1" si="87"/>
        <v>#N/A</v>
      </c>
      <c r="AJ216" s="34" t="e">
        <f t="shared" ca="1" si="88"/>
        <v>#N/A</v>
      </c>
      <c r="AK216" s="34" t="e">
        <f t="shared" ca="1" si="81"/>
        <v>#N/A</v>
      </c>
      <c r="AL216" s="34" t="e">
        <f t="shared" ca="1" si="82"/>
        <v>#N/A</v>
      </c>
      <c r="AM216" s="33" t="e">
        <f t="shared" ca="1" si="89"/>
        <v>#N/A</v>
      </c>
      <c r="AN216" s="34" t="e">
        <f t="shared" ca="1" si="90"/>
        <v>#N/A</v>
      </c>
    </row>
    <row r="217" spans="1:40" x14ac:dyDescent="0.3">
      <c r="A217" s="2">
        <v>43775</v>
      </c>
      <c r="B217" s="9">
        <v>58.23</v>
      </c>
      <c r="C217" s="9">
        <v>100.879997</v>
      </c>
      <c r="D217" s="9">
        <v>100.349998</v>
      </c>
      <c r="E217" s="10"/>
      <c r="F217" s="13">
        <v>214</v>
      </c>
      <c r="G217" s="2">
        <v>43775</v>
      </c>
      <c r="H217" s="14">
        <f t="shared" si="71"/>
        <v>-1.7175238006069942E-4</v>
      </c>
      <c r="I217" s="14">
        <f t="shared" si="72"/>
        <v>-1.1629194121148462E-2</v>
      </c>
      <c r="J217" s="14">
        <f t="shared" si="73"/>
        <v>-7.3471142851614969E-3</v>
      </c>
      <c r="K217" s="22">
        <v>214</v>
      </c>
      <c r="L217" s="12"/>
      <c r="Q217" s="15">
        <f t="shared" si="74"/>
        <v>214</v>
      </c>
      <c r="R217" s="2">
        <f t="shared" si="70"/>
        <v>43775</v>
      </c>
      <c r="S217" s="9">
        <f t="shared" ca="1" si="75"/>
        <v>-1.7175238006069942E-4</v>
      </c>
      <c r="T217" s="9">
        <f t="shared" ca="1" si="76"/>
        <v>-1.1629194121148462E-2</v>
      </c>
      <c r="U217" s="9">
        <f t="shared" ca="1" si="77"/>
        <v>-7.3471142851614969E-3</v>
      </c>
      <c r="AB217" s="33" t="e">
        <f t="shared" ca="1" si="83"/>
        <v>#N/A</v>
      </c>
      <c r="AC217" s="34" t="e">
        <f t="shared" ca="1" si="84"/>
        <v>#N/A</v>
      </c>
      <c r="AD217" s="34" t="e">
        <f t="shared" ca="1" si="85"/>
        <v>#N/A</v>
      </c>
      <c r="AE217" s="33" t="e">
        <f t="shared" ca="1" si="86"/>
        <v>#N/A</v>
      </c>
      <c r="AF217" s="34" t="e">
        <f t="shared" ca="1" si="78"/>
        <v>#N/A</v>
      </c>
      <c r="AG217" s="34" t="e">
        <f t="shared" ca="1" si="79"/>
        <v>#N/A</v>
      </c>
      <c r="AH217" s="34" t="e">
        <f t="shared" ca="1" si="80"/>
        <v>#N/A</v>
      </c>
      <c r="AI217" s="33" t="e">
        <f t="shared" ca="1" si="87"/>
        <v>#N/A</v>
      </c>
      <c r="AJ217" s="34" t="e">
        <f t="shared" ca="1" si="88"/>
        <v>#N/A</v>
      </c>
      <c r="AK217" s="34" t="e">
        <f t="shared" ca="1" si="81"/>
        <v>#N/A</v>
      </c>
      <c r="AL217" s="34" t="e">
        <f t="shared" ca="1" si="82"/>
        <v>#N/A</v>
      </c>
      <c r="AM217" s="33" t="e">
        <f t="shared" ca="1" si="89"/>
        <v>#N/A</v>
      </c>
      <c r="AN217" s="34" t="e">
        <f t="shared" ca="1" si="90"/>
        <v>#N/A</v>
      </c>
    </row>
    <row r="218" spans="1:40" x14ac:dyDescent="0.3">
      <c r="A218" s="2">
        <v>43776</v>
      </c>
      <c r="B218" s="9">
        <v>58.099997999999999</v>
      </c>
      <c r="C218" s="9">
        <v>115.66999800000001</v>
      </c>
      <c r="D218" s="9">
        <v>101.400002</v>
      </c>
      <c r="E218" s="10"/>
      <c r="F218" s="13">
        <v>215</v>
      </c>
      <c r="G218" s="2">
        <v>43776</v>
      </c>
      <c r="H218" s="14">
        <f t="shared" si="71"/>
        <v>-2.2350564145714865E-3</v>
      </c>
      <c r="I218" s="14">
        <f t="shared" si="72"/>
        <v>0.13680963009838137</v>
      </c>
      <c r="J218" s="14">
        <f t="shared" si="73"/>
        <v>1.0409055568845764E-2</v>
      </c>
      <c r="K218" s="22">
        <v>215</v>
      </c>
      <c r="L218" s="12"/>
      <c r="Q218" s="15">
        <f t="shared" si="74"/>
        <v>215</v>
      </c>
      <c r="R218" s="2">
        <f t="shared" si="70"/>
        <v>43776</v>
      </c>
      <c r="S218" s="9">
        <f t="shared" ca="1" si="75"/>
        <v>-2.2350564145714865E-3</v>
      </c>
      <c r="T218" s="9">
        <f t="shared" ca="1" si="76"/>
        <v>0.13680963009838137</v>
      </c>
      <c r="U218" s="9">
        <f t="shared" ca="1" si="77"/>
        <v>1.0409055568845764E-2</v>
      </c>
      <c r="AB218" s="33" t="e">
        <f t="shared" ca="1" si="83"/>
        <v>#N/A</v>
      </c>
      <c r="AC218" s="34" t="e">
        <f t="shared" ca="1" si="84"/>
        <v>#N/A</v>
      </c>
      <c r="AD218" s="34" t="e">
        <f t="shared" ca="1" si="85"/>
        <v>#N/A</v>
      </c>
      <c r="AE218" s="33" t="e">
        <f t="shared" ca="1" si="86"/>
        <v>#N/A</v>
      </c>
      <c r="AF218" s="34" t="e">
        <f t="shared" ca="1" si="78"/>
        <v>#N/A</v>
      </c>
      <c r="AG218" s="34" t="e">
        <f t="shared" ca="1" si="79"/>
        <v>#N/A</v>
      </c>
      <c r="AH218" s="34" t="e">
        <f t="shared" ca="1" si="80"/>
        <v>#N/A</v>
      </c>
      <c r="AI218" s="33" t="e">
        <f t="shared" ca="1" si="87"/>
        <v>#N/A</v>
      </c>
      <c r="AJ218" s="34" t="e">
        <f t="shared" ca="1" si="88"/>
        <v>#N/A</v>
      </c>
      <c r="AK218" s="34" t="e">
        <f t="shared" ca="1" si="81"/>
        <v>#N/A</v>
      </c>
      <c r="AL218" s="34" t="e">
        <f t="shared" ca="1" si="82"/>
        <v>#N/A</v>
      </c>
      <c r="AM218" s="33" t="e">
        <f t="shared" ca="1" si="89"/>
        <v>#N/A</v>
      </c>
      <c r="AN218" s="34" t="e">
        <f t="shared" ca="1" si="90"/>
        <v>#N/A</v>
      </c>
    </row>
    <row r="219" spans="1:40" x14ac:dyDescent="0.3">
      <c r="A219" s="2">
        <v>43777</v>
      </c>
      <c r="B219" s="9">
        <v>57.939999</v>
      </c>
      <c r="C219" s="9">
        <v>113.769997</v>
      </c>
      <c r="D219" s="9">
        <v>100.860001</v>
      </c>
      <c r="E219" s="10"/>
      <c r="F219" s="13">
        <v>216</v>
      </c>
      <c r="G219" s="2">
        <v>43777</v>
      </c>
      <c r="H219" s="14">
        <f t="shared" si="71"/>
        <v>-2.7576543524864662E-3</v>
      </c>
      <c r="I219" s="14">
        <f t="shared" si="72"/>
        <v>-1.6562451834107289E-2</v>
      </c>
      <c r="J219" s="14">
        <f t="shared" si="73"/>
        <v>-5.3396843176360329E-3</v>
      </c>
      <c r="K219" s="22">
        <v>216</v>
      </c>
      <c r="L219" s="12"/>
      <c r="Q219" s="15">
        <f t="shared" si="74"/>
        <v>216</v>
      </c>
      <c r="R219" s="2">
        <f t="shared" si="70"/>
        <v>43777</v>
      </c>
      <c r="S219" s="9">
        <f t="shared" ca="1" si="75"/>
        <v>-2.7576543524864662E-3</v>
      </c>
      <c r="T219" s="9">
        <f t="shared" ca="1" si="76"/>
        <v>-1.6562451834107289E-2</v>
      </c>
      <c r="U219" s="9">
        <f t="shared" ca="1" si="77"/>
        <v>-5.3396843176360329E-3</v>
      </c>
      <c r="AB219" s="33" t="e">
        <f t="shared" ca="1" si="83"/>
        <v>#N/A</v>
      </c>
      <c r="AC219" s="34" t="e">
        <f t="shared" ca="1" si="84"/>
        <v>#N/A</v>
      </c>
      <c r="AD219" s="34" t="e">
        <f t="shared" ca="1" si="85"/>
        <v>#N/A</v>
      </c>
      <c r="AE219" s="33" t="e">
        <f t="shared" ca="1" si="86"/>
        <v>#N/A</v>
      </c>
      <c r="AF219" s="34" t="e">
        <f t="shared" ca="1" si="78"/>
        <v>#N/A</v>
      </c>
      <c r="AG219" s="34" t="e">
        <f t="shared" ca="1" si="79"/>
        <v>#N/A</v>
      </c>
      <c r="AH219" s="34" t="e">
        <f t="shared" ca="1" si="80"/>
        <v>#N/A</v>
      </c>
      <c r="AI219" s="33" t="e">
        <f t="shared" ca="1" si="87"/>
        <v>#N/A</v>
      </c>
      <c r="AJ219" s="34" t="e">
        <f t="shared" ca="1" si="88"/>
        <v>#N/A</v>
      </c>
      <c r="AK219" s="34" t="e">
        <f t="shared" ca="1" si="81"/>
        <v>#N/A</v>
      </c>
      <c r="AL219" s="34" t="e">
        <f t="shared" ca="1" si="82"/>
        <v>#N/A</v>
      </c>
      <c r="AM219" s="33" t="e">
        <f t="shared" ca="1" si="89"/>
        <v>#N/A</v>
      </c>
      <c r="AN219" s="34" t="e">
        <f t="shared" ca="1" si="90"/>
        <v>#N/A</v>
      </c>
    </row>
    <row r="220" spans="1:40" x14ac:dyDescent="0.3">
      <c r="A220" s="2">
        <v>43780</v>
      </c>
      <c r="B220" s="9">
        <v>58.02</v>
      </c>
      <c r="C220" s="9">
        <v>114.010002</v>
      </c>
      <c r="D220" s="9">
        <v>100.68</v>
      </c>
      <c r="E220" s="10"/>
      <c r="F220" s="13">
        <v>217</v>
      </c>
      <c r="G220" s="2">
        <v>43780</v>
      </c>
      <c r="H220" s="14">
        <f t="shared" si="71"/>
        <v>1.3798036112874122E-3</v>
      </c>
      <c r="I220" s="14">
        <f t="shared" si="72"/>
        <v>2.1073412053142842E-3</v>
      </c>
      <c r="J220" s="14">
        <f t="shared" si="73"/>
        <v>-1.7862562961972451E-3</v>
      </c>
      <c r="K220" s="22">
        <v>217</v>
      </c>
      <c r="L220" s="12"/>
      <c r="Q220" s="15">
        <f t="shared" si="74"/>
        <v>217</v>
      </c>
      <c r="R220" s="2">
        <f t="shared" si="70"/>
        <v>43780</v>
      </c>
      <c r="S220" s="9">
        <f t="shared" ca="1" si="75"/>
        <v>1.3798036112874122E-3</v>
      </c>
      <c r="T220" s="9">
        <f t="shared" ca="1" si="76"/>
        <v>2.1073412053142842E-3</v>
      </c>
      <c r="U220" s="9">
        <f t="shared" ca="1" si="77"/>
        <v>-1.7862562961972451E-3</v>
      </c>
      <c r="AB220" s="33" t="e">
        <f t="shared" ca="1" si="83"/>
        <v>#N/A</v>
      </c>
      <c r="AC220" s="34" t="e">
        <f t="shared" ca="1" si="84"/>
        <v>#N/A</v>
      </c>
      <c r="AD220" s="34" t="e">
        <f t="shared" ca="1" si="85"/>
        <v>#N/A</v>
      </c>
      <c r="AE220" s="33" t="e">
        <f t="shared" ca="1" si="86"/>
        <v>#N/A</v>
      </c>
      <c r="AF220" s="34" t="e">
        <f t="shared" ca="1" si="78"/>
        <v>#N/A</v>
      </c>
      <c r="AG220" s="34" t="e">
        <f t="shared" ca="1" si="79"/>
        <v>#N/A</v>
      </c>
      <c r="AH220" s="34" t="e">
        <f t="shared" ca="1" si="80"/>
        <v>#N/A</v>
      </c>
      <c r="AI220" s="33" t="e">
        <f t="shared" ca="1" si="87"/>
        <v>#N/A</v>
      </c>
      <c r="AJ220" s="34" t="e">
        <f t="shared" ca="1" si="88"/>
        <v>#N/A</v>
      </c>
      <c r="AK220" s="34" t="e">
        <f t="shared" ca="1" si="81"/>
        <v>#N/A</v>
      </c>
      <c r="AL220" s="34" t="e">
        <f t="shared" ca="1" si="82"/>
        <v>#N/A</v>
      </c>
      <c r="AM220" s="33" t="e">
        <f t="shared" ca="1" si="89"/>
        <v>#N/A</v>
      </c>
      <c r="AN220" s="34" t="e">
        <f t="shared" ca="1" si="90"/>
        <v>#N/A</v>
      </c>
    </row>
    <row r="221" spans="1:40" x14ac:dyDescent="0.3">
      <c r="A221" s="2">
        <v>43781</v>
      </c>
      <c r="B221" s="9">
        <v>57.52</v>
      </c>
      <c r="C221" s="9">
        <v>111.360001</v>
      </c>
      <c r="D221" s="9">
        <v>100.480003</v>
      </c>
      <c r="E221" s="10"/>
      <c r="F221" s="13">
        <v>218</v>
      </c>
      <c r="G221" s="2">
        <v>43781</v>
      </c>
      <c r="H221" s="14">
        <f t="shared" si="71"/>
        <v>-8.6550652804667592E-3</v>
      </c>
      <c r="I221" s="14">
        <f t="shared" si="72"/>
        <v>-2.351797582195456E-2</v>
      </c>
      <c r="J221" s="14">
        <f t="shared" si="73"/>
        <v>-1.9884376905392374E-3</v>
      </c>
      <c r="K221" s="22">
        <v>218</v>
      </c>
      <c r="L221" s="12"/>
      <c r="Q221" s="15">
        <f t="shared" si="74"/>
        <v>218</v>
      </c>
      <c r="R221" s="2">
        <f t="shared" si="70"/>
        <v>43781</v>
      </c>
      <c r="S221" s="9">
        <f t="shared" ca="1" si="75"/>
        <v>-8.6550652804667592E-3</v>
      </c>
      <c r="T221" s="9">
        <f t="shared" ca="1" si="76"/>
        <v>-2.351797582195456E-2</v>
      </c>
      <c r="U221" s="9">
        <f t="shared" ca="1" si="77"/>
        <v>-1.9884376905392374E-3</v>
      </c>
      <c r="AB221" s="33" t="e">
        <f t="shared" ca="1" si="83"/>
        <v>#N/A</v>
      </c>
      <c r="AC221" s="34" t="e">
        <f t="shared" ca="1" si="84"/>
        <v>#N/A</v>
      </c>
      <c r="AD221" s="34" t="e">
        <f t="shared" ca="1" si="85"/>
        <v>#N/A</v>
      </c>
      <c r="AE221" s="33" t="e">
        <f t="shared" ca="1" si="86"/>
        <v>#N/A</v>
      </c>
      <c r="AF221" s="34" t="e">
        <f t="shared" ca="1" si="78"/>
        <v>#N/A</v>
      </c>
      <c r="AG221" s="34" t="e">
        <f t="shared" ca="1" si="79"/>
        <v>#N/A</v>
      </c>
      <c r="AH221" s="34" t="e">
        <f t="shared" ca="1" si="80"/>
        <v>#N/A</v>
      </c>
      <c r="AI221" s="33" t="e">
        <f t="shared" ca="1" si="87"/>
        <v>#N/A</v>
      </c>
      <c r="AJ221" s="34" t="e">
        <f t="shared" ca="1" si="88"/>
        <v>#N/A</v>
      </c>
      <c r="AK221" s="34" t="e">
        <f t="shared" ca="1" si="81"/>
        <v>#N/A</v>
      </c>
      <c r="AL221" s="34" t="e">
        <f t="shared" ca="1" si="82"/>
        <v>#N/A</v>
      </c>
      <c r="AM221" s="33" t="e">
        <f t="shared" ca="1" si="89"/>
        <v>#N/A</v>
      </c>
      <c r="AN221" s="34" t="e">
        <f t="shared" ca="1" si="90"/>
        <v>#N/A</v>
      </c>
    </row>
    <row r="222" spans="1:40" x14ac:dyDescent="0.3">
      <c r="A222" s="2">
        <v>43782</v>
      </c>
      <c r="B222" s="9">
        <v>57.419998</v>
      </c>
      <c r="C222" s="9">
        <v>110.660004</v>
      </c>
      <c r="D222" s="9">
        <v>100.25</v>
      </c>
      <c r="E222" s="10"/>
      <c r="F222" s="13">
        <v>219</v>
      </c>
      <c r="G222" s="2">
        <v>43782</v>
      </c>
      <c r="H222" s="14">
        <f t="shared" si="71"/>
        <v>-1.7400735509432931E-3</v>
      </c>
      <c r="I222" s="14">
        <f t="shared" si="72"/>
        <v>-6.3057319492755811E-3</v>
      </c>
      <c r="J222" s="14">
        <f t="shared" si="73"/>
        <v>-2.29166638989734E-3</v>
      </c>
      <c r="K222" s="22">
        <v>219</v>
      </c>
      <c r="L222" s="12"/>
      <c r="Q222" s="15">
        <f t="shared" si="74"/>
        <v>219</v>
      </c>
      <c r="R222" s="2">
        <f t="shared" si="70"/>
        <v>43782</v>
      </c>
      <c r="S222" s="9">
        <f t="shared" ca="1" si="75"/>
        <v>-1.7400735509432931E-3</v>
      </c>
      <c r="T222" s="9">
        <f t="shared" ca="1" si="76"/>
        <v>-6.3057319492755811E-3</v>
      </c>
      <c r="U222" s="9">
        <f t="shared" ca="1" si="77"/>
        <v>-2.29166638989734E-3</v>
      </c>
      <c r="AB222" s="33" t="e">
        <f t="shared" ca="1" si="83"/>
        <v>#N/A</v>
      </c>
      <c r="AC222" s="34" t="e">
        <f t="shared" ca="1" si="84"/>
        <v>#N/A</v>
      </c>
      <c r="AD222" s="34" t="e">
        <f t="shared" ca="1" si="85"/>
        <v>#N/A</v>
      </c>
      <c r="AE222" s="33" t="e">
        <f t="shared" ca="1" si="86"/>
        <v>#N/A</v>
      </c>
      <c r="AF222" s="34" t="e">
        <f t="shared" ca="1" si="78"/>
        <v>#N/A</v>
      </c>
      <c r="AG222" s="34" t="e">
        <f t="shared" ca="1" si="79"/>
        <v>#N/A</v>
      </c>
      <c r="AH222" s="34" t="e">
        <f t="shared" ca="1" si="80"/>
        <v>#N/A</v>
      </c>
      <c r="AI222" s="33" t="e">
        <f t="shared" ca="1" si="87"/>
        <v>#N/A</v>
      </c>
      <c r="AJ222" s="34" t="e">
        <f t="shared" ca="1" si="88"/>
        <v>#N/A</v>
      </c>
      <c r="AK222" s="34" t="e">
        <f t="shared" ca="1" si="81"/>
        <v>#N/A</v>
      </c>
      <c r="AL222" s="34" t="e">
        <f t="shared" ca="1" si="82"/>
        <v>#N/A</v>
      </c>
      <c r="AM222" s="33" t="e">
        <f t="shared" ca="1" si="89"/>
        <v>#N/A</v>
      </c>
      <c r="AN222" s="34" t="e">
        <f t="shared" ca="1" si="90"/>
        <v>#N/A</v>
      </c>
    </row>
    <row r="223" spans="1:40" x14ac:dyDescent="0.3">
      <c r="A223" s="2">
        <v>43783</v>
      </c>
      <c r="B223" s="9">
        <v>57.799999</v>
      </c>
      <c r="C223" s="9">
        <v>111.389999</v>
      </c>
      <c r="D223" s="9">
        <v>100.82</v>
      </c>
      <c r="E223" s="10"/>
      <c r="F223" s="13">
        <v>220</v>
      </c>
      <c r="G223" s="2">
        <v>43783</v>
      </c>
      <c r="H223" s="14">
        <f t="shared" si="71"/>
        <v>6.5961185154455176E-3</v>
      </c>
      <c r="I223" s="14">
        <f t="shared" si="72"/>
        <v>6.5750742629130058E-3</v>
      </c>
      <c r="J223" s="14">
        <f t="shared" si="73"/>
        <v>5.6696824678062318E-3</v>
      </c>
      <c r="K223" s="22">
        <v>220</v>
      </c>
      <c r="L223" s="12"/>
      <c r="Q223" s="15">
        <f t="shared" si="74"/>
        <v>220</v>
      </c>
      <c r="R223" s="2">
        <f t="shared" si="70"/>
        <v>43783</v>
      </c>
      <c r="S223" s="9">
        <f t="shared" ca="1" si="75"/>
        <v>6.5961185154455176E-3</v>
      </c>
      <c r="T223" s="9">
        <f t="shared" ca="1" si="76"/>
        <v>6.5750742629130058E-3</v>
      </c>
      <c r="U223" s="9">
        <f t="shared" ca="1" si="77"/>
        <v>5.6696824678062318E-3</v>
      </c>
      <c r="AB223" s="33" t="e">
        <f t="shared" ca="1" si="83"/>
        <v>#N/A</v>
      </c>
      <c r="AC223" s="34" t="e">
        <f t="shared" ca="1" si="84"/>
        <v>#N/A</v>
      </c>
      <c r="AD223" s="34" t="e">
        <f t="shared" ca="1" si="85"/>
        <v>#N/A</v>
      </c>
      <c r="AE223" s="33" t="e">
        <f t="shared" ca="1" si="86"/>
        <v>#N/A</v>
      </c>
      <c r="AF223" s="34" t="e">
        <f t="shared" ca="1" si="78"/>
        <v>#N/A</v>
      </c>
      <c r="AG223" s="34" t="e">
        <f t="shared" ca="1" si="79"/>
        <v>#N/A</v>
      </c>
      <c r="AH223" s="34" t="e">
        <f t="shared" ca="1" si="80"/>
        <v>#N/A</v>
      </c>
      <c r="AI223" s="33" t="e">
        <f t="shared" ca="1" si="87"/>
        <v>#N/A</v>
      </c>
      <c r="AJ223" s="34" t="e">
        <f t="shared" ca="1" si="88"/>
        <v>#N/A</v>
      </c>
      <c r="AK223" s="34" t="e">
        <f t="shared" ca="1" si="81"/>
        <v>#N/A</v>
      </c>
      <c r="AL223" s="34" t="e">
        <f t="shared" ca="1" si="82"/>
        <v>#N/A</v>
      </c>
      <c r="AM223" s="33" t="e">
        <f t="shared" ca="1" si="89"/>
        <v>#N/A</v>
      </c>
      <c r="AN223" s="34" t="e">
        <f t="shared" ca="1" si="90"/>
        <v>#N/A</v>
      </c>
    </row>
    <row r="224" spans="1:40" x14ac:dyDescent="0.3">
      <c r="A224" s="2">
        <v>43784</v>
      </c>
      <c r="B224" s="9">
        <v>58.189999</v>
      </c>
      <c r="C224" s="9">
        <v>112.610001</v>
      </c>
      <c r="D224" s="9">
        <v>100.610001</v>
      </c>
      <c r="E224" s="10"/>
      <c r="F224" s="13">
        <v>221</v>
      </c>
      <c r="G224" s="2">
        <v>43784</v>
      </c>
      <c r="H224" s="14">
        <f t="shared" si="71"/>
        <v>6.7247431062016005E-3</v>
      </c>
      <c r="I224" s="14">
        <f t="shared" si="72"/>
        <v>1.0892982709508352E-2</v>
      </c>
      <c r="J224" s="14">
        <f t="shared" si="73"/>
        <v>-2.0850824111556172E-3</v>
      </c>
      <c r="K224" s="22">
        <v>221</v>
      </c>
      <c r="L224" s="12"/>
      <c r="Q224" s="15">
        <f t="shared" si="74"/>
        <v>221</v>
      </c>
      <c r="R224" s="2">
        <f t="shared" si="70"/>
        <v>43784</v>
      </c>
      <c r="S224" s="9">
        <f t="shared" ca="1" si="75"/>
        <v>6.7247431062016005E-3</v>
      </c>
      <c r="T224" s="9">
        <f t="shared" ca="1" si="76"/>
        <v>1.0892982709508352E-2</v>
      </c>
      <c r="U224" s="9">
        <f t="shared" ca="1" si="77"/>
        <v>-2.0850824111556172E-3</v>
      </c>
      <c r="AB224" s="33" t="e">
        <f t="shared" ca="1" si="83"/>
        <v>#N/A</v>
      </c>
      <c r="AC224" s="34" t="e">
        <f t="shared" ca="1" si="84"/>
        <v>#N/A</v>
      </c>
      <c r="AD224" s="34" t="e">
        <f t="shared" ca="1" si="85"/>
        <v>#N/A</v>
      </c>
      <c r="AE224" s="33" t="e">
        <f t="shared" ca="1" si="86"/>
        <v>#N/A</v>
      </c>
      <c r="AF224" s="34" t="e">
        <f t="shared" ca="1" si="78"/>
        <v>#N/A</v>
      </c>
      <c r="AG224" s="34" t="e">
        <f t="shared" ca="1" si="79"/>
        <v>#N/A</v>
      </c>
      <c r="AH224" s="34" t="e">
        <f t="shared" ca="1" si="80"/>
        <v>#N/A</v>
      </c>
      <c r="AI224" s="33" t="e">
        <f t="shared" ca="1" si="87"/>
        <v>#N/A</v>
      </c>
      <c r="AJ224" s="34" t="e">
        <f t="shared" ca="1" si="88"/>
        <v>#N/A</v>
      </c>
      <c r="AK224" s="34" t="e">
        <f t="shared" ca="1" si="81"/>
        <v>#N/A</v>
      </c>
      <c r="AL224" s="34" t="e">
        <f t="shared" ca="1" si="82"/>
        <v>#N/A</v>
      </c>
      <c r="AM224" s="33" t="e">
        <f t="shared" ca="1" si="89"/>
        <v>#N/A</v>
      </c>
      <c r="AN224" s="34" t="e">
        <f t="shared" ca="1" si="90"/>
        <v>#N/A</v>
      </c>
    </row>
    <row r="225" spans="1:40" x14ac:dyDescent="0.3">
      <c r="A225" s="2">
        <v>43787</v>
      </c>
      <c r="B225" s="9">
        <v>58.400002000000001</v>
      </c>
      <c r="C225" s="9">
        <v>113.360001</v>
      </c>
      <c r="D225" s="9">
        <v>101.05999799999999</v>
      </c>
      <c r="E225" s="10"/>
      <c r="F225" s="13">
        <v>222</v>
      </c>
      <c r="G225" s="2">
        <v>43787</v>
      </c>
      <c r="H225" s="14">
        <f t="shared" si="71"/>
        <v>3.6024225972611126E-3</v>
      </c>
      <c r="I225" s="14">
        <f t="shared" si="72"/>
        <v>6.6380736147386432E-3</v>
      </c>
      <c r="J225" s="14">
        <f t="shared" si="73"/>
        <v>4.462713830209554E-3</v>
      </c>
      <c r="K225" s="22">
        <v>222</v>
      </c>
      <c r="L225" s="12"/>
      <c r="Q225" s="15">
        <f t="shared" si="74"/>
        <v>222</v>
      </c>
      <c r="R225" s="2">
        <f t="shared" si="70"/>
        <v>43787</v>
      </c>
      <c r="S225" s="9">
        <f t="shared" ca="1" si="75"/>
        <v>3.6024225972611126E-3</v>
      </c>
      <c r="T225" s="9">
        <f t="shared" ca="1" si="76"/>
        <v>6.6380736147386432E-3</v>
      </c>
      <c r="U225" s="9">
        <f t="shared" ca="1" si="77"/>
        <v>4.462713830209554E-3</v>
      </c>
      <c r="AB225" s="33" t="e">
        <f t="shared" ca="1" si="83"/>
        <v>#N/A</v>
      </c>
      <c r="AC225" s="34" t="e">
        <f t="shared" ca="1" si="84"/>
        <v>#N/A</v>
      </c>
      <c r="AD225" s="34" t="e">
        <f t="shared" ca="1" si="85"/>
        <v>#N/A</v>
      </c>
      <c r="AE225" s="33" t="e">
        <f t="shared" ca="1" si="86"/>
        <v>#N/A</v>
      </c>
      <c r="AF225" s="34" t="e">
        <f t="shared" ca="1" si="78"/>
        <v>#N/A</v>
      </c>
      <c r="AG225" s="34" t="e">
        <f t="shared" ca="1" si="79"/>
        <v>#N/A</v>
      </c>
      <c r="AH225" s="34" t="e">
        <f t="shared" ca="1" si="80"/>
        <v>#N/A</v>
      </c>
      <c r="AI225" s="33" t="e">
        <f t="shared" ca="1" si="87"/>
        <v>#N/A</v>
      </c>
      <c r="AJ225" s="34" t="e">
        <f t="shared" ca="1" si="88"/>
        <v>#N/A</v>
      </c>
      <c r="AK225" s="34" t="e">
        <f t="shared" ca="1" si="81"/>
        <v>#N/A</v>
      </c>
      <c r="AL225" s="34" t="e">
        <f t="shared" ca="1" si="82"/>
        <v>#N/A</v>
      </c>
      <c r="AM225" s="33" t="e">
        <f t="shared" ca="1" si="89"/>
        <v>#N/A</v>
      </c>
      <c r="AN225" s="34" t="e">
        <f t="shared" ca="1" si="90"/>
        <v>#N/A</v>
      </c>
    </row>
    <row r="226" spans="1:40" x14ac:dyDescent="0.3">
      <c r="A226" s="2">
        <v>43788</v>
      </c>
      <c r="B226" s="9">
        <v>58.830002</v>
      </c>
      <c r="C226" s="9">
        <v>110.470001</v>
      </c>
      <c r="D226" s="9">
        <v>97.620002999999997</v>
      </c>
      <c r="E226" s="10"/>
      <c r="F226" s="13">
        <v>223</v>
      </c>
      <c r="G226" s="2">
        <v>43788</v>
      </c>
      <c r="H226" s="14">
        <f t="shared" si="71"/>
        <v>7.33603879186833E-3</v>
      </c>
      <c r="I226" s="14">
        <f t="shared" si="72"/>
        <v>-2.5824604267463643E-2</v>
      </c>
      <c r="J226" s="14">
        <f t="shared" si="73"/>
        <v>-3.4631958883130219E-2</v>
      </c>
      <c r="K226" s="22">
        <v>223</v>
      </c>
      <c r="L226" s="12"/>
      <c r="Q226" s="15">
        <f t="shared" si="74"/>
        <v>223</v>
      </c>
      <c r="R226" s="2">
        <f t="shared" si="70"/>
        <v>43788</v>
      </c>
      <c r="S226" s="9">
        <f t="shared" ca="1" si="75"/>
        <v>7.33603879186833E-3</v>
      </c>
      <c r="T226" s="9">
        <f t="shared" ca="1" si="76"/>
        <v>-2.5824604267463643E-2</v>
      </c>
      <c r="U226" s="9">
        <f t="shared" ca="1" si="77"/>
        <v>-3.4631958883130219E-2</v>
      </c>
      <c r="AB226" s="33" t="e">
        <f t="shared" ca="1" si="83"/>
        <v>#N/A</v>
      </c>
      <c r="AC226" s="34" t="e">
        <f t="shared" ca="1" si="84"/>
        <v>#N/A</v>
      </c>
      <c r="AD226" s="34" t="e">
        <f t="shared" ca="1" si="85"/>
        <v>#N/A</v>
      </c>
      <c r="AE226" s="33" t="e">
        <f t="shared" ca="1" si="86"/>
        <v>#N/A</v>
      </c>
      <c r="AF226" s="34" t="e">
        <f t="shared" ca="1" si="78"/>
        <v>#N/A</v>
      </c>
      <c r="AG226" s="34" t="e">
        <f t="shared" ca="1" si="79"/>
        <v>#N/A</v>
      </c>
      <c r="AH226" s="34" t="e">
        <f t="shared" ca="1" si="80"/>
        <v>#N/A</v>
      </c>
      <c r="AI226" s="33" t="e">
        <f t="shared" ca="1" si="87"/>
        <v>#N/A</v>
      </c>
      <c r="AJ226" s="34" t="e">
        <f t="shared" ca="1" si="88"/>
        <v>#N/A</v>
      </c>
      <c r="AK226" s="34" t="e">
        <f t="shared" ca="1" si="81"/>
        <v>#N/A</v>
      </c>
      <c r="AL226" s="34" t="e">
        <f t="shared" ca="1" si="82"/>
        <v>#N/A</v>
      </c>
      <c r="AM226" s="33" t="e">
        <f t="shared" ca="1" si="89"/>
        <v>#N/A</v>
      </c>
      <c r="AN226" s="34" t="e">
        <f t="shared" ca="1" si="90"/>
        <v>#N/A</v>
      </c>
    </row>
    <row r="227" spans="1:40" x14ac:dyDescent="0.3">
      <c r="A227" s="2">
        <v>43789</v>
      </c>
      <c r="B227" s="9">
        <v>58.419998</v>
      </c>
      <c r="C227" s="9">
        <v>106.910004</v>
      </c>
      <c r="D227" s="9">
        <v>97.190002000000007</v>
      </c>
      <c r="E227" s="10"/>
      <c r="F227" s="13">
        <v>224</v>
      </c>
      <c r="G227" s="2">
        <v>43789</v>
      </c>
      <c r="H227" s="14">
        <f t="shared" si="71"/>
        <v>-6.9937001478811624E-3</v>
      </c>
      <c r="I227" s="14">
        <f t="shared" si="72"/>
        <v>-3.2756603496359379E-2</v>
      </c>
      <c r="J227" s="14">
        <f t="shared" si="73"/>
        <v>-4.414575096780525E-3</v>
      </c>
      <c r="K227" s="22">
        <v>224</v>
      </c>
      <c r="L227" s="12"/>
      <c r="Q227" s="15">
        <f t="shared" si="74"/>
        <v>224</v>
      </c>
      <c r="R227" s="2">
        <f t="shared" si="70"/>
        <v>43789</v>
      </c>
      <c r="S227" s="9">
        <f t="shared" ca="1" si="75"/>
        <v>-6.9937001478811624E-3</v>
      </c>
      <c r="T227" s="9">
        <f t="shared" ca="1" si="76"/>
        <v>-3.2756603496359379E-2</v>
      </c>
      <c r="U227" s="9">
        <f t="shared" ca="1" si="77"/>
        <v>-4.414575096780525E-3</v>
      </c>
      <c r="AB227" s="33" t="e">
        <f t="shared" ca="1" si="83"/>
        <v>#N/A</v>
      </c>
      <c r="AC227" s="34" t="e">
        <f t="shared" ca="1" si="84"/>
        <v>#N/A</v>
      </c>
      <c r="AD227" s="34" t="e">
        <f t="shared" ca="1" si="85"/>
        <v>#N/A</v>
      </c>
      <c r="AE227" s="33" t="e">
        <f t="shared" ca="1" si="86"/>
        <v>#N/A</v>
      </c>
      <c r="AF227" s="34" t="e">
        <f t="shared" ca="1" si="78"/>
        <v>#N/A</v>
      </c>
      <c r="AG227" s="34" t="e">
        <f t="shared" ca="1" si="79"/>
        <v>#N/A</v>
      </c>
      <c r="AH227" s="34" t="e">
        <f t="shared" ca="1" si="80"/>
        <v>#N/A</v>
      </c>
      <c r="AI227" s="33" t="e">
        <f t="shared" ca="1" si="87"/>
        <v>#N/A</v>
      </c>
      <c r="AJ227" s="34" t="e">
        <f t="shared" ca="1" si="88"/>
        <v>#N/A</v>
      </c>
      <c r="AK227" s="34" t="e">
        <f t="shared" ca="1" si="81"/>
        <v>#N/A</v>
      </c>
      <c r="AL227" s="34" t="e">
        <f t="shared" ca="1" si="82"/>
        <v>#N/A</v>
      </c>
      <c r="AM227" s="33" t="e">
        <f t="shared" ca="1" si="89"/>
        <v>#N/A</v>
      </c>
      <c r="AN227" s="34" t="e">
        <f t="shared" ca="1" si="90"/>
        <v>#N/A</v>
      </c>
    </row>
    <row r="228" spans="1:40" x14ac:dyDescent="0.3">
      <c r="A228" s="2">
        <v>43790</v>
      </c>
      <c r="B228" s="9">
        <v>57.990001999999997</v>
      </c>
      <c r="C228" s="9">
        <v>103.709999</v>
      </c>
      <c r="D228" s="9">
        <v>98.410004000000001</v>
      </c>
      <c r="E228" s="10"/>
      <c r="F228" s="13">
        <v>225</v>
      </c>
      <c r="G228" s="2">
        <v>43790</v>
      </c>
      <c r="H228" s="14">
        <f t="shared" si="71"/>
        <v>-7.3876463476897011E-3</v>
      </c>
      <c r="I228" s="14">
        <f t="shared" si="72"/>
        <v>-3.0388863480684657E-2</v>
      </c>
      <c r="J228" s="14">
        <f t="shared" si="73"/>
        <v>1.2474619463541132E-2</v>
      </c>
      <c r="K228" s="22">
        <v>225</v>
      </c>
      <c r="L228" s="12"/>
      <c r="Q228" s="15">
        <f t="shared" si="74"/>
        <v>225</v>
      </c>
      <c r="R228" s="2">
        <f t="shared" si="70"/>
        <v>43790</v>
      </c>
      <c r="S228" s="9">
        <f t="shared" ca="1" si="75"/>
        <v>-7.3876463476897011E-3</v>
      </c>
      <c r="T228" s="9">
        <f t="shared" ca="1" si="76"/>
        <v>-3.0388863480684657E-2</v>
      </c>
      <c r="U228" s="9">
        <f t="shared" ca="1" si="77"/>
        <v>1.2474619463541132E-2</v>
      </c>
      <c r="AB228" s="33" t="e">
        <f t="shared" ca="1" si="83"/>
        <v>#N/A</v>
      </c>
      <c r="AC228" s="34" t="e">
        <f t="shared" ca="1" si="84"/>
        <v>#N/A</v>
      </c>
      <c r="AD228" s="34" t="e">
        <f t="shared" ca="1" si="85"/>
        <v>#N/A</v>
      </c>
      <c r="AE228" s="33" t="e">
        <f t="shared" ca="1" si="86"/>
        <v>#N/A</v>
      </c>
      <c r="AF228" s="34" t="e">
        <f t="shared" ca="1" si="78"/>
        <v>#N/A</v>
      </c>
      <c r="AG228" s="34" t="e">
        <f t="shared" ca="1" si="79"/>
        <v>#N/A</v>
      </c>
      <c r="AH228" s="34" t="e">
        <f t="shared" ca="1" si="80"/>
        <v>#N/A</v>
      </c>
      <c r="AI228" s="33" t="e">
        <f t="shared" ca="1" si="87"/>
        <v>#N/A</v>
      </c>
      <c r="AJ228" s="34" t="e">
        <f t="shared" ca="1" si="88"/>
        <v>#N/A</v>
      </c>
      <c r="AK228" s="34" t="e">
        <f t="shared" ca="1" si="81"/>
        <v>#N/A</v>
      </c>
      <c r="AL228" s="34" t="e">
        <f t="shared" ca="1" si="82"/>
        <v>#N/A</v>
      </c>
      <c r="AM228" s="33" t="e">
        <f t="shared" ca="1" si="89"/>
        <v>#N/A</v>
      </c>
      <c r="AN228" s="34" t="e">
        <f t="shared" ca="1" si="90"/>
        <v>#N/A</v>
      </c>
    </row>
    <row r="229" spans="1:40" x14ac:dyDescent="0.3">
      <c r="A229" s="2">
        <v>43791</v>
      </c>
      <c r="B229" s="9">
        <v>57.799999</v>
      </c>
      <c r="C229" s="9">
        <v>107.610001</v>
      </c>
      <c r="D229" s="9">
        <v>97.510002</v>
      </c>
      <c r="E229" s="10"/>
      <c r="F229" s="13">
        <v>226</v>
      </c>
      <c r="G229" s="2">
        <v>43791</v>
      </c>
      <c r="H229" s="14">
        <f t="shared" si="71"/>
        <v>-3.2818579997599857E-3</v>
      </c>
      <c r="I229" s="14">
        <f t="shared" si="72"/>
        <v>3.6915056545746477E-2</v>
      </c>
      <c r="J229" s="14">
        <f t="shared" si="73"/>
        <v>-9.1875081994247775E-3</v>
      </c>
      <c r="K229" s="22">
        <v>226</v>
      </c>
      <c r="L229" s="12"/>
      <c r="Q229" s="15">
        <f t="shared" si="74"/>
        <v>226</v>
      </c>
      <c r="R229" s="2">
        <f t="shared" si="70"/>
        <v>43791</v>
      </c>
      <c r="S229" s="9">
        <f t="shared" ca="1" si="75"/>
        <v>-3.2818579997599857E-3</v>
      </c>
      <c r="T229" s="9">
        <f t="shared" ca="1" si="76"/>
        <v>3.6915056545746477E-2</v>
      </c>
      <c r="U229" s="9">
        <f t="shared" ca="1" si="77"/>
        <v>-9.1875081994247775E-3</v>
      </c>
      <c r="AB229" s="33" t="e">
        <f t="shared" ca="1" si="83"/>
        <v>#N/A</v>
      </c>
      <c r="AC229" s="34" t="e">
        <f t="shared" ca="1" si="84"/>
        <v>#N/A</v>
      </c>
      <c r="AD229" s="34" t="e">
        <f t="shared" ca="1" si="85"/>
        <v>#N/A</v>
      </c>
      <c r="AE229" s="33" t="e">
        <f t="shared" ca="1" si="86"/>
        <v>#N/A</v>
      </c>
      <c r="AF229" s="34" t="e">
        <f t="shared" ca="1" si="78"/>
        <v>#N/A</v>
      </c>
      <c r="AG229" s="34" t="e">
        <f t="shared" ca="1" si="79"/>
        <v>#N/A</v>
      </c>
      <c r="AH229" s="34" t="e">
        <f t="shared" ca="1" si="80"/>
        <v>#N/A</v>
      </c>
      <c r="AI229" s="33" t="e">
        <f t="shared" ca="1" si="87"/>
        <v>#N/A</v>
      </c>
      <c r="AJ229" s="34" t="e">
        <f t="shared" ca="1" si="88"/>
        <v>#N/A</v>
      </c>
      <c r="AK229" s="34" t="e">
        <f t="shared" ca="1" si="81"/>
        <v>#N/A</v>
      </c>
      <c r="AL229" s="34" t="e">
        <f t="shared" ca="1" si="82"/>
        <v>#N/A</v>
      </c>
      <c r="AM229" s="33" t="e">
        <f t="shared" ca="1" si="89"/>
        <v>#N/A</v>
      </c>
      <c r="AN229" s="34" t="e">
        <f t="shared" ca="1" si="90"/>
        <v>#N/A</v>
      </c>
    </row>
    <row r="230" spans="1:40" x14ac:dyDescent="0.3">
      <c r="A230" s="2">
        <v>43794</v>
      </c>
      <c r="B230" s="9">
        <v>57.950001</v>
      </c>
      <c r="C230" s="9">
        <v>108.93</v>
      </c>
      <c r="D230" s="9">
        <v>97.349997999999999</v>
      </c>
      <c r="E230" s="10"/>
      <c r="F230" s="13">
        <v>227</v>
      </c>
      <c r="G230" s="2">
        <v>43794</v>
      </c>
      <c r="H230" s="14">
        <f t="shared" si="71"/>
        <v>2.5918286647223796E-3</v>
      </c>
      <c r="I230" s="14">
        <f t="shared" si="72"/>
        <v>1.219188458923672E-2</v>
      </c>
      <c r="J230" s="14">
        <f t="shared" si="73"/>
        <v>-1.6422460839631014E-3</v>
      </c>
      <c r="K230" s="22">
        <v>227</v>
      </c>
      <c r="L230" s="12"/>
      <c r="Q230" s="15">
        <f t="shared" si="74"/>
        <v>227</v>
      </c>
      <c r="R230" s="2">
        <f t="shared" si="70"/>
        <v>43794</v>
      </c>
      <c r="S230" s="9">
        <f t="shared" ca="1" si="75"/>
        <v>2.5918286647223796E-3</v>
      </c>
      <c r="T230" s="9">
        <f t="shared" ca="1" si="76"/>
        <v>1.219188458923672E-2</v>
      </c>
      <c r="U230" s="9">
        <f t="shared" ca="1" si="77"/>
        <v>-1.6422460839631014E-3</v>
      </c>
      <c r="AB230" s="33" t="e">
        <f t="shared" ca="1" si="83"/>
        <v>#N/A</v>
      </c>
      <c r="AC230" s="34" t="e">
        <f t="shared" ca="1" si="84"/>
        <v>#N/A</v>
      </c>
      <c r="AD230" s="34" t="e">
        <f t="shared" ca="1" si="85"/>
        <v>#N/A</v>
      </c>
      <c r="AE230" s="33" t="e">
        <f t="shared" ca="1" si="86"/>
        <v>#N/A</v>
      </c>
      <c r="AF230" s="34" t="e">
        <f t="shared" ca="1" si="78"/>
        <v>#N/A</v>
      </c>
      <c r="AG230" s="34" t="e">
        <f t="shared" ca="1" si="79"/>
        <v>#N/A</v>
      </c>
      <c r="AH230" s="34" t="e">
        <f t="shared" ca="1" si="80"/>
        <v>#N/A</v>
      </c>
      <c r="AI230" s="33" t="e">
        <f t="shared" ca="1" si="87"/>
        <v>#N/A</v>
      </c>
      <c r="AJ230" s="34" t="e">
        <f t="shared" ca="1" si="88"/>
        <v>#N/A</v>
      </c>
      <c r="AK230" s="34" t="e">
        <f t="shared" ca="1" si="81"/>
        <v>#N/A</v>
      </c>
      <c r="AL230" s="34" t="e">
        <f t="shared" ca="1" si="82"/>
        <v>#N/A</v>
      </c>
      <c r="AM230" s="33" t="e">
        <f t="shared" ca="1" si="89"/>
        <v>#N/A</v>
      </c>
      <c r="AN230" s="34" t="e">
        <f t="shared" ca="1" si="90"/>
        <v>#N/A</v>
      </c>
    </row>
    <row r="231" spans="1:40" x14ac:dyDescent="0.3">
      <c r="A231" s="2">
        <v>43795</v>
      </c>
      <c r="B231" s="9">
        <v>58.709999000000003</v>
      </c>
      <c r="C231" s="9">
        <v>108.510002</v>
      </c>
      <c r="D231" s="9">
        <v>97.440002000000007</v>
      </c>
      <c r="E231" s="10"/>
      <c r="F231" s="13">
        <v>228</v>
      </c>
      <c r="G231" s="2">
        <v>43795</v>
      </c>
      <c r="H231" s="14">
        <f t="shared" si="71"/>
        <v>1.3029466001204977E-2</v>
      </c>
      <c r="I231" s="14">
        <f t="shared" si="72"/>
        <v>-3.8631210307571496E-3</v>
      </c>
      <c r="J231" s="14">
        <f t="shared" si="73"/>
        <v>9.2411321325725382E-4</v>
      </c>
      <c r="K231" s="22">
        <v>228</v>
      </c>
      <c r="L231" s="12"/>
      <c r="Q231" s="15">
        <f t="shared" si="74"/>
        <v>228</v>
      </c>
      <c r="R231" s="2">
        <f t="shared" si="70"/>
        <v>43795</v>
      </c>
      <c r="S231" s="9">
        <f t="shared" ca="1" si="75"/>
        <v>1.3029466001204977E-2</v>
      </c>
      <c r="T231" s="9">
        <f t="shared" ca="1" si="76"/>
        <v>-3.8631210307571496E-3</v>
      </c>
      <c r="U231" s="9">
        <f t="shared" ca="1" si="77"/>
        <v>9.2411321325725382E-4</v>
      </c>
      <c r="AB231" s="33" t="e">
        <f t="shared" ca="1" si="83"/>
        <v>#N/A</v>
      </c>
      <c r="AC231" s="34" t="e">
        <f t="shared" ca="1" si="84"/>
        <v>#N/A</v>
      </c>
      <c r="AD231" s="34" t="e">
        <f t="shared" ca="1" si="85"/>
        <v>#N/A</v>
      </c>
      <c r="AE231" s="33" t="e">
        <f t="shared" ca="1" si="86"/>
        <v>#N/A</v>
      </c>
      <c r="AF231" s="34" t="e">
        <f t="shared" ca="1" si="78"/>
        <v>#N/A</v>
      </c>
      <c r="AG231" s="34" t="e">
        <f t="shared" ca="1" si="79"/>
        <v>#N/A</v>
      </c>
      <c r="AH231" s="34" t="e">
        <f t="shared" ca="1" si="80"/>
        <v>#N/A</v>
      </c>
      <c r="AI231" s="33" t="e">
        <f t="shared" ca="1" si="87"/>
        <v>#N/A</v>
      </c>
      <c r="AJ231" s="34" t="e">
        <f t="shared" ca="1" si="88"/>
        <v>#N/A</v>
      </c>
      <c r="AK231" s="34" t="e">
        <f t="shared" ca="1" si="81"/>
        <v>#N/A</v>
      </c>
      <c r="AL231" s="34" t="e">
        <f t="shared" ca="1" si="82"/>
        <v>#N/A</v>
      </c>
      <c r="AM231" s="33" t="e">
        <f t="shared" ca="1" si="89"/>
        <v>#N/A</v>
      </c>
      <c r="AN231" s="34" t="e">
        <f t="shared" ca="1" si="90"/>
        <v>#N/A</v>
      </c>
    </row>
    <row r="232" spans="1:40" x14ac:dyDescent="0.3">
      <c r="A232" s="2">
        <v>43796</v>
      </c>
      <c r="B232" s="9">
        <v>58.599997999999999</v>
      </c>
      <c r="C232" s="9">
        <v>108.709999</v>
      </c>
      <c r="D232" s="9">
        <v>97.099997999999999</v>
      </c>
      <c r="E232" s="10"/>
      <c r="F232" s="13">
        <v>229</v>
      </c>
      <c r="G232" s="2">
        <v>43796</v>
      </c>
      <c r="H232" s="14">
        <f t="shared" si="71"/>
        <v>-1.8753905899474991E-3</v>
      </c>
      <c r="I232" s="14">
        <f t="shared" si="72"/>
        <v>1.8414239535261751E-3</v>
      </c>
      <c r="J232" s="14">
        <f t="shared" si="73"/>
        <v>-3.4954697870816427E-3</v>
      </c>
      <c r="K232" s="22">
        <v>229</v>
      </c>
      <c r="L232" s="12"/>
      <c r="Q232" s="15">
        <f t="shared" si="74"/>
        <v>229</v>
      </c>
      <c r="R232" s="2">
        <f t="shared" si="70"/>
        <v>43796</v>
      </c>
      <c r="S232" s="9">
        <f t="shared" ca="1" si="75"/>
        <v>-1.8753905899474991E-3</v>
      </c>
      <c r="T232" s="9">
        <f t="shared" ca="1" si="76"/>
        <v>1.8414239535261751E-3</v>
      </c>
      <c r="U232" s="9">
        <f t="shared" ca="1" si="77"/>
        <v>-3.4954697870816427E-3</v>
      </c>
      <c r="AB232" s="33" t="e">
        <f t="shared" ca="1" si="83"/>
        <v>#N/A</v>
      </c>
      <c r="AC232" s="34" t="e">
        <f t="shared" ca="1" si="84"/>
        <v>#N/A</v>
      </c>
      <c r="AD232" s="34" t="e">
        <f t="shared" ca="1" si="85"/>
        <v>#N/A</v>
      </c>
      <c r="AE232" s="33" t="e">
        <f t="shared" ca="1" si="86"/>
        <v>#N/A</v>
      </c>
      <c r="AF232" s="34" t="e">
        <f t="shared" ca="1" si="78"/>
        <v>#N/A</v>
      </c>
      <c r="AG232" s="34" t="e">
        <f t="shared" ca="1" si="79"/>
        <v>#N/A</v>
      </c>
      <c r="AH232" s="34" t="e">
        <f t="shared" ca="1" si="80"/>
        <v>#N/A</v>
      </c>
      <c r="AI232" s="33" t="e">
        <f t="shared" ca="1" si="87"/>
        <v>#N/A</v>
      </c>
      <c r="AJ232" s="34" t="e">
        <f t="shared" ca="1" si="88"/>
        <v>#N/A</v>
      </c>
      <c r="AK232" s="34" t="e">
        <f t="shared" ca="1" si="81"/>
        <v>#N/A</v>
      </c>
      <c r="AL232" s="34" t="e">
        <f t="shared" ca="1" si="82"/>
        <v>#N/A</v>
      </c>
      <c r="AM232" s="33" t="e">
        <f t="shared" ca="1" si="89"/>
        <v>#N/A</v>
      </c>
      <c r="AN232" s="34" t="e">
        <f t="shared" ca="1" si="90"/>
        <v>#N/A</v>
      </c>
    </row>
    <row r="233" spans="1:40" x14ac:dyDescent="0.3">
      <c r="A233" s="2">
        <v>43798</v>
      </c>
      <c r="B233" s="9">
        <v>58.200001</v>
      </c>
      <c r="C233" s="9">
        <v>107.339996</v>
      </c>
      <c r="D233" s="9">
        <v>95.489998</v>
      </c>
      <c r="E233" s="10"/>
      <c r="F233" s="13">
        <v>230</v>
      </c>
      <c r="G233" s="2">
        <v>43798</v>
      </c>
      <c r="H233" s="14">
        <f t="shared" si="71"/>
        <v>-6.849290533750883E-3</v>
      </c>
      <c r="I233" s="14">
        <f t="shared" si="72"/>
        <v>-1.2682447533207275E-2</v>
      </c>
      <c r="J233" s="14">
        <f t="shared" si="73"/>
        <v>-1.6719845682447262E-2</v>
      </c>
      <c r="K233" s="22">
        <v>230</v>
      </c>
      <c r="L233" s="12"/>
      <c r="Q233" s="15">
        <f t="shared" si="74"/>
        <v>230</v>
      </c>
      <c r="R233" s="2">
        <f t="shared" si="70"/>
        <v>43798</v>
      </c>
      <c r="S233" s="9">
        <f t="shared" ca="1" si="75"/>
        <v>-6.849290533750883E-3</v>
      </c>
      <c r="T233" s="9">
        <f t="shared" ca="1" si="76"/>
        <v>-1.2682447533207275E-2</v>
      </c>
      <c r="U233" s="9">
        <f t="shared" ca="1" si="77"/>
        <v>-1.6719845682447262E-2</v>
      </c>
      <c r="AB233" s="33" t="e">
        <f t="shared" ca="1" si="83"/>
        <v>#N/A</v>
      </c>
      <c r="AC233" s="34" t="e">
        <f t="shared" ca="1" si="84"/>
        <v>#N/A</v>
      </c>
      <c r="AD233" s="34" t="e">
        <f t="shared" ca="1" si="85"/>
        <v>#N/A</v>
      </c>
      <c r="AE233" s="33" t="e">
        <f t="shared" ca="1" si="86"/>
        <v>#N/A</v>
      </c>
      <c r="AF233" s="34" t="e">
        <f t="shared" ca="1" si="78"/>
        <v>#N/A</v>
      </c>
      <c r="AG233" s="34" t="e">
        <f t="shared" ca="1" si="79"/>
        <v>#N/A</v>
      </c>
      <c r="AH233" s="34" t="e">
        <f t="shared" ca="1" si="80"/>
        <v>#N/A</v>
      </c>
      <c r="AI233" s="33" t="e">
        <f t="shared" ca="1" si="87"/>
        <v>#N/A</v>
      </c>
      <c r="AJ233" s="34" t="e">
        <f t="shared" ca="1" si="88"/>
        <v>#N/A</v>
      </c>
      <c r="AK233" s="34" t="e">
        <f t="shared" ca="1" si="81"/>
        <v>#N/A</v>
      </c>
      <c r="AL233" s="34" t="e">
        <f t="shared" ca="1" si="82"/>
        <v>#N/A</v>
      </c>
      <c r="AM233" s="33" t="e">
        <f t="shared" ca="1" si="89"/>
        <v>#N/A</v>
      </c>
      <c r="AN233" s="34" t="e">
        <f t="shared" ca="1" si="90"/>
        <v>#N/A</v>
      </c>
    </row>
    <row r="234" spans="1:40" x14ac:dyDescent="0.3">
      <c r="A234" s="2">
        <v>43801</v>
      </c>
      <c r="B234" s="9">
        <v>57.919998</v>
      </c>
      <c r="C234" s="9">
        <v>106.82</v>
      </c>
      <c r="D234" s="9">
        <v>95.599997999999999</v>
      </c>
      <c r="E234" s="10"/>
      <c r="F234" s="13">
        <v>231</v>
      </c>
      <c r="G234" s="2">
        <v>43801</v>
      </c>
      <c r="H234" s="14">
        <f t="shared" si="71"/>
        <v>-4.8226583724489958E-3</v>
      </c>
      <c r="I234" s="14">
        <f t="shared" si="72"/>
        <v>-4.8561545722917432E-3</v>
      </c>
      <c r="J234" s="14">
        <f t="shared" si="73"/>
        <v>1.1512901193439207E-3</v>
      </c>
      <c r="K234" s="22">
        <v>231</v>
      </c>
      <c r="L234" s="12"/>
      <c r="Q234" s="15">
        <f t="shared" si="74"/>
        <v>231</v>
      </c>
      <c r="R234" s="2">
        <f t="shared" si="70"/>
        <v>43801</v>
      </c>
      <c r="S234" s="9">
        <f t="shared" ca="1" si="75"/>
        <v>-4.8226583724489958E-3</v>
      </c>
      <c r="T234" s="9">
        <f t="shared" ca="1" si="76"/>
        <v>-4.8561545722917432E-3</v>
      </c>
      <c r="U234" s="9">
        <f t="shared" ca="1" si="77"/>
        <v>1.1512901193439207E-3</v>
      </c>
      <c r="AB234" s="33" t="e">
        <f t="shared" ca="1" si="83"/>
        <v>#N/A</v>
      </c>
      <c r="AC234" s="34" t="e">
        <f t="shared" ca="1" si="84"/>
        <v>#N/A</v>
      </c>
      <c r="AD234" s="34" t="e">
        <f t="shared" ca="1" si="85"/>
        <v>#N/A</v>
      </c>
      <c r="AE234" s="33" t="e">
        <f t="shared" ca="1" si="86"/>
        <v>#N/A</v>
      </c>
      <c r="AF234" s="34" t="e">
        <f t="shared" ca="1" si="78"/>
        <v>#N/A</v>
      </c>
      <c r="AG234" s="34" t="e">
        <f t="shared" ca="1" si="79"/>
        <v>#N/A</v>
      </c>
      <c r="AH234" s="34" t="e">
        <f t="shared" ca="1" si="80"/>
        <v>#N/A</v>
      </c>
      <c r="AI234" s="33" t="e">
        <f t="shared" ca="1" si="87"/>
        <v>#N/A</v>
      </c>
      <c r="AJ234" s="34" t="e">
        <f t="shared" ca="1" si="88"/>
        <v>#N/A</v>
      </c>
      <c r="AK234" s="34" t="e">
        <f t="shared" ca="1" si="81"/>
        <v>#N/A</v>
      </c>
      <c r="AL234" s="34" t="e">
        <f t="shared" ca="1" si="82"/>
        <v>#N/A</v>
      </c>
      <c r="AM234" s="33" t="e">
        <f t="shared" ca="1" si="89"/>
        <v>#N/A</v>
      </c>
      <c r="AN234" s="34" t="e">
        <f t="shared" ca="1" si="90"/>
        <v>#N/A</v>
      </c>
    </row>
    <row r="235" spans="1:40" x14ac:dyDescent="0.3">
      <c r="A235" s="2">
        <v>43802</v>
      </c>
      <c r="B235" s="9">
        <v>57.360000999999997</v>
      </c>
      <c r="C235" s="9">
        <v>105.550003</v>
      </c>
      <c r="D235" s="9">
        <v>93.889999000000003</v>
      </c>
      <c r="E235" s="10"/>
      <c r="F235" s="13">
        <v>232</v>
      </c>
      <c r="G235" s="2">
        <v>43802</v>
      </c>
      <c r="H235" s="14">
        <f t="shared" si="71"/>
        <v>-9.7154998219570916E-3</v>
      </c>
      <c r="I235" s="14">
        <f t="shared" si="72"/>
        <v>-1.1960372194746409E-2</v>
      </c>
      <c r="J235" s="14">
        <f t="shared" si="73"/>
        <v>-1.8048925517158716E-2</v>
      </c>
      <c r="K235" s="22">
        <v>232</v>
      </c>
      <c r="L235" s="12"/>
      <c r="Q235" s="15">
        <f t="shared" si="74"/>
        <v>232</v>
      </c>
      <c r="R235" s="2">
        <f t="shared" si="70"/>
        <v>43802</v>
      </c>
      <c r="S235" s="9">
        <f t="shared" ca="1" si="75"/>
        <v>-9.7154998219570916E-3</v>
      </c>
      <c r="T235" s="9">
        <f t="shared" ca="1" si="76"/>
        <v>-1.1960372194746409E-2</v>
      </c>
      <c r="U235" s="9">
        <f t="shared" ca="1" si="77"/>
        <v>-1.8048925517158716E-2</v>
      </c>
      <c r="AB235" s="33" t="e">
        <f t="shared" ca="1" si="83"/>
        <v>#N/A</v>
      </c>
      <c r="AC235" s="34" t="e">
        <f t="shared" ca="1" si="84"/>
        <v>#N/A</v>
      </c>
      <c r="AD235" s="34" t="e">
        <f t="shared" ca="1" si="85"/>
        <v>#N/A</v>
      </c>
      <c r="AE235" s="33" t="e">
        <f t="shared" ca="1" si="86"/>
        <v>#N/A</v>
      </c>
      <c r="AF235" s="34" t="e">
        <f t="shared" ca="1" si="78"/>
        <v>#N/A</v>
      </c>
      <c r="AG235" s="34" t="e">
        <f t="shared" ca="1" si="79"/>
        <v>#N/A</v>
      </c>
      <c r="AH235" s="34" t="e">
        <f t="shared" ca="1" si="80"/>
        <v>#N/A</v>
      </c>
      <c r="AI235" s="33" t="e">
        <f t="shared" ca="1" si="87"/>
        <v>#N/A</v>
      </c>
      <c r="AJ235" s="34" t="e">
        <f t="shared" ca="1" si="88"/>
        <v>#N/A</v>
      </c>
      <c r="AK235" s="34" t="e">
        <f t="shared" ca="1" si="81"/>
        <v>#N/A</v>
      </c>
      <c r="AL235" s="34" t="e">
        <f t="shared" ca="1" si="82"/>
        <v>#N/A</v>
      </c>
      <c r="AM235" s="33" t="e">
        <f t="shared" ca="1" si="89"/>
        <v>#N/A</v>
      </c>
      <c r="AN235" s="34" t="e">
        <f t="shared" ca="1" si="90"/>
        <v>#N/A</v>
      </c>
    </row>
    <row r="236" spans="1:40" x14ac:dyDescent="0.3">
      <c r="A236" s="2">
        <v>43803</v>
      </c>
      <c r="B236" s="9">
        <v>57.639999000000003</v>
      </c>
      <c r="C236" s="9">
        <v>108.69000200000001</v>
      </c>
      <c r="D236" s="9">
        <v>93.209998999999996</v>
      </c>
      <c r="E236" s="10"/>
      <c r="F236" s="13">
        <v>233</v>
      </c>
      <c r="G236" s="2">
        <v>43803</v>
      </c>
      <c r="H236" s="14">
        <f t="shared" si="71"/>
        <v>4.8695400571416858E-3</v>
      </c>
      <c r="I236" s="14">
        <f t="shared" si="72"/>
        <v>2.9315009259174546E-2</v>
      </c>
      <c r="J236" s="14">
        <f t="shared" si="73"/>
        <v>-7.2688722750915641E-3</v>
      </c>
      <c r="K236" s="22">
        <v>233</v>
      </c>
      <c r="L236" s="12"/>
      <c r="Q236" s="15">
        <f t="shared" si="74"/>
        <v>233</v>
      </c>
      <c r="R236" s="2">
        <f t="shared" si="70"/>
        <v>43803</v>
      </c>
      <c r="S236" s="9">
        <f t="shared" ca="1" si="75"/>
        <v>4.8695400571416858E-3</v>
      </c>
      <c r="T236" s="9">
        <f t="shared" ca="1" si="76"/>
        <v>2.9315009259174546E-2</v>
      </c>
      <c r="U236" s="9">
        <f t="shared" ca="1" si="77"/>
        <v>-7.2688722750915641E-3</v>
      </c>
      <c r="AB236" s="33" t="e">
        <f t="shared" ca="1" si="83"/>
        <v>#N/A</v>
      </c>
      <c r="AC236" s="34" t="e">
        <f t="shared" ca="1" si="84"/>
        <v>#N/A</v>
      </c>
      <c r="AD236" s="34" t="e">
        <f t="shared" ca="1" si="85"/>
        <v>#N/A</v>
      </c>
      <c r="AE236" s="33" t="e">
        <f t="shared" ca="1" si="86"/>
        <v>#N/A</v>
      </c>
      <c r="AF236" s="34" t="e">
        <f t="shared" ca="1" si="78"/>
        <v>#N/A</v>
      </c>
      <c r="AG236" s="34" t="e">
        <f t="shared" ca="1" si="79"/>
        <v>#N/A</v>
      </c>
      <c r="AH236" s="34" t="e">
        <f t="shared" ca="1" si="80"/>
        <v>#N/A</v>
      </c>
      <c r="AI236" s="33" t="e">
        <f t="shared" ca="1" si="87"/>
        <v>#N/A</v>
      </c>
      <c r="AJ236" s="34" t="e">
        <f t="shared" ca="1" si="88"/>
        <v>#N/A</v>
      </c>
      <c r="AK236" s="34" t="e">
        <f t="shared" ca="1" si="81"/>
        <v>#N/A</v>
      </c>
      <c r="AL236" s="34" t="e">
        <f t="shared" ca="1" si="82"/>
        <v>#N/A</v>
      </c>
      <c r="AM236" s="33" t="e">
        <f t="shared" ca="1" si="89"/>
        <v>#N/A</v>
      </c>
      <c r="AN236" s="34" t="e">
        <f t="shared" ca="1" si="90"/>
        <v>#N/A</v>
      </c>
    </row>
    <row r="237" spans="1:40" x14ac:dyDescent="0.3">
      <c r="A237" s="2">
        <v>43804</v>
      </c>
      <c r="B237" s="9">
        <v>58.389999000000003</v>
      </c>
      <c r="C237" s="9">
        <v>112.05999799999999</v>
      </c>
      <c r="D237" s="9">
        <v>92.989998</v>
      </c>
      <c r="E237" s="10"/>
      <c r="F237" s="13">
        <v>234</v>
      </c>
      <c r="G237" s="2">
        <v>43804</v>
      </c>
      <c r="H237" s="14">
        <f t="shared" si="71"/>
        <v>1.2927871386967894E-2</v>
      </c>
      <c r="I237" s="14">
        <f t="shared" si="72"/>
        <v>3.0534612313504343E-2</v>
      </c>
      <c r="J237" s="14">
        <f t="shared" si="73"/>
        <v>-2.3630623621863694E-3</v>
      </c>
      <c r="K237" s="22">
        <v>234</v>
      </c>
      <c r="L237" s="12"/>
      <c r="Q237" s="15">
        <f t="shared" si="74"/>
        <v>234</v>
      </c>
      <c r="R237" s="2">
        <f t="shared" si="70"/>
        <v>43804</v>
      </c>
      <c r="S237" s="9">
        <f t="shared" ca="1" si="75"/>
        <v>1.2927871386967894E-2</v>
      </c>
      <c r="T237" s="9">
        <f t="shared" ca="1" si="76"/>
        <v>3.0534612313504343E-2</v>
      </c>
      <c r="U237" s="9">
        <f t="shared" ca="1" si="77"/>
        <v>-2.3630623621863694E-3</v>
      </c>
      <c r="AB237" s="33" t="e">
        <f t="shared" ca="1" si="83"/>
        <v>#N/A</v>
      </c>
      <c r="AC237" s="34" t="e">
        <f t="shared" ca="1" si="84"/>
        <v>#N/A</v>
      </c>
      <c r="AD237" s="34" t="e">
        <f t="shared" ca="1" si="85"/>
        <v>#N/A</v>
      </c>
      <c r="AE237" s="33" t="e">
        <f t="shared" ca="1" si="86"/>
        <v>#N/A</v>
      </c>
      <c r="AF237" s="34" t="e">
        <f t="shared" ca="1" si="78"/>
        <v>#N/A</v>
      </c>
      <c r="AG237" s="34" t="e">
        <f t="shared" ca="1" si="79"/>
        <v>#N/A</v>
      </c>
      <c r="AH237" s="34" t="e">
        <f t="shared" ca="1" si="80"/>
        <v>#N/A</v>
      </c>
      <c r="AI237" s="33" t="e">
        <f t="shared" ca="1" si="87"/>
        <v>#N/A</v>
      </c>
      <c r="AJ237" s="34" t="e">
        <f t="shared" ca="1" si="88"/>
        <v>#N/A</v>
      </c>
      <c r="AK237" s="34" t="e">
        <f t="shared" ca="1" si="81"/>
        <v>#N/A</v>
      </c>
      <c r="AL237" s="34" t="e">
        <f t="shared" ca="1" si="82"/>
        <v>#N/A</v>
      </c>
      <c r="AM237" s="33" t="e">
        <f t="shared" ca="1" si="89"/>
        <v>#N/A</v>
      </c>
      <c r="AN237" s="34" t="e">
        <f t="shared" ca="1" si="90"/>
        <v>#N/A</v>
      </c>
    </row>
    <row r="238" spans="1:40" x14ac:dyDescent="0.3">
      <c r="A238" s="2">
        <v>43805</v>
      </c>
      <c r="B238" s="9">
        <v>59.470001000000003</v>
      </c>
      <c r="C238" s="9">
        <v>111.66999800000001</v>
      </c>
      <c r="D238" s="9">
        <v>93.610000999999997</v>
      </c>
      <c r="E238" s="10"/>
      <c r="F238" s="13">
        <v>235</v>
      </c>
      <c r="G238" s="2">
        <v>43805</v>
      </c>
      <c r="H238" s="14">
        <f t="shared" si="71"/>
        <v>1.8327375364477327E-2</v>
      </c>
      <c r="I238" s="14">
        <f t="shared" si="72"/>
        <v>-3.4863487417691294E-3</v>
      </c>
      <c r="J238" s="14">
        <f t="shared" si="73"/>
        <v>6.645287083855882E-3</v>
      </c>
      <c r="K238" s="22">
        <v>235</v>
      </c>
      <c r="L238" s="12"/>
      <c r="Q238" s="15">
        <f t="shared" si="74"/>
        <v>235</v>
      </c>
      <c r="R238" s="2">
        <f t="shared" si="70"/>
        <v>43805</v>
      </c>
      <c r="S238" s="9">
        <f t="shared" ca="1" si="75"/>
        <v>1.8327375364477327E-2</v>
      </c>
      <c r="T238" s="9">
        <f t="shared" ca="1" si="76"/>
        <v>-3.4863487417691294E-3</v>
      </c>
      <c r="U238" s="9">
        <f t="shared" ca="1" si="77"/>
        <v>6.645287083855882E-3</v>
      </c>
      <c r="AB238" s="33" t="e">
        <f t="shared" ca="1" si="83"/>
        <v>#N/A</v>
      </c>
      <c r="AC238" s="34" t="e">
        <f t="shared" ca="1" si="84"/>
        <v>#N/A</v>
      </c>
      <c r="AD238" s="34" t="e">
        <f t="shared" ca="1" si="85"/>
        <v>#N/A</v>
      </c>
      <c r="AE238" s="33" t="e">
        <f t="shared" ca="1" si="86"/>
        <v>#N/A</v>
      </c>
      <c r="AF238" s="34" t="e">
        <f t="shared" ca="1" si="78"/>
        <v>#N/A</v>
      </c>
      <c r="AG238" s="34" t="e">
        <f t="shared" ca="1" si="79"/>
        <v>#N/A</v>
      </c>
      <c r="AH238" s="34" t="e">
        <f t="shared" ca="1" si="80"/>
        <v>#N/A</v>
      </c>
      <c r="AI238" s="33" t="e">
        <f t="shared" ca="1" si="87"/>
        <v>#N/A</v>
      </c>
      <c r="AJ238" s="34" t="e">
        <f t="shared" ca="1" si="88"/>
        <v>#N/A</v>
      </c>
      <c r="AK238" s="34" t="e">
        <f t="shared" ca="1" si="81"/>
        <v>#N/A</v>
      </c>
      <c r="AL238" s="34" t="e">
        <f t="shared" ca="1" si="82"/>
        <v>#N/A</v>
      </c>
      <c r="AM238" s="33" t="e">
        <f t="shared" ca="1" si="89"/>
        <v>#N/A</v>
      </c>
      <c r="AN238" s="34" t="e">
        <f t="shared" ca="1" si="90"/>
        <v>#N/A</v>
      </c>
    </row>
    <row r="239" spans="1:40" x14ac:dyDescent="0.3">
      <c r="A239" s="2">
        <v>43808</v>
      </c>
      <c r="B239" s="9">
        <v>60.029998999999997</v>
      </c>
      <c r="C239" s="9">
        <v>113.25</v>
      </c>
      <c r="D239" s="9">
        <v>92.519997000000004</v>
      </c>
      <c r="E239" s="10"/>
      <c r="F239" s="13">
        <v>236</v>
      </c>
      <c r="G239" s="2">
        <v>43808</v>
      </c>
      <c r="H239" s="14">
        <f t="shared" si="71"/>
        <v>9.3724200717107981E-3</v>
      </c>
      <c r="I239" s="14">
        <f t="shared" si="72"/>
        <v>1.4049688815355992E-2</v>
      </c>
      <c r="J239" s="14">
        <f t="shared" si="73"/>
        <v>-1.1712421128456239E-2</v>
      </c>
      <c r="K239" s="22">
        <v>236</v>
      </c>
      <c r="L239" s="12"/>
      <c r="Q239" s="15">
        <f t="shared" si="74"/>
        <v>236</v>
      </c>
      <c r="R239" s="2">
        <f t="shared" si="70"/>
        <v>43808</v>
      </c>
      <c r="S239" s="9">
        <f t="shared" ca="1" si="75"/>
        <v>9.3724200717107981E-3</v>
      </c>
      <c r="T239" s="9">
        <f t="shared" ca="1" si="76"/>
        <v>1.4049688815355992E-2</v>
      </c>
      <c r="U239" s="9">
        <f t="shared" ca="1" si="77"/>
        <v>-1.1712421128456239E-2</v>
      </c>
      <c r="AB239" s="33" t="e">
        <f t="shared" ca="1" si="83"/>
        <v>#N/A</v>
      </c>
      <c r="AC239" s="34" t="e">
        <f t="shared" ca="1" si="84"/>
        <v>#N/A</v>
      </c>
      <c r="AD239" s="34" t="e">
        <f t="shared" ca="1" si="85"/>
        <v>#N/A</v>
      </c>
      <c r="AE239" s="33" t="e">
        <f t="shared" ca="1" si="86"/>
        <v>#N/A</v>
      </c>
      <c r="AF239" s="34" t="e">
        <f t="shared" ca="1" si="78"/>
        <v>#N/A</v>
      </c>
      <c r="AG239" s="34" t="e">
        <f t="shared" ca="1" si="79"/>
        <v>#N/A</v>
      </c>
      <c r="AH239" s="34" t="e">
        <f t="shared" ca="1" si="80"/>
        <v>#N/A</v>
      </c>
      <c r="AI239" s="33" t="e">
        <f t="shared" ca="1" si="87"/>
        <v>#N/A</v>
      </c>
      <c r="AJ239" s="34" t="e">
        <f t="shared" ca="1" si="88"/>
        <v>#N/A</v>
      </c>
      <c r="AK239" s="34" t="e">
        <f t="shared" ca="1" si="81"/>
        <v>#N/A</v>
      </c>
      <c r="AL239" s="34" t="e">
        <f t="shared" ca="1" si="82"/>
        <v>#N/A</v>
      </c>
      <c r="AM239" s="33" t="e">
        <f t="shared" ca="1" si="89"/>
        <v>#N/A</v>
      </c>
      <c r="AN239" s="34" t="e">
        <f t="shared" ca="1" si="90"/>
        <v>#N/A</v>
      </c>
    </row>
    <row r="240" spans="1:40" x14ac:dyDescent="0.3">
      <c r="A240" s="2">
        <v>43809</v>
      </c>
      <c r="B240" s="9">
        <v>59.91</v>
      </c>
      <c r="C240" s="9">
        <v>114</v>
      </c>
      <c r="D240" s="9">
        <v>94.57</v>
      </c>
      <c r="E240" s="10"/>
      <c r="F240" s="13">
        <v>237</v>
      </c>
      <c r="G240" s="2">
        <v>43809</v>
      </c>
      <c r="H240" s="14">
        <f t="shared" si="71"/>
        <v>-2.0009845095806051E-3</v>
      </c>
      <c r="I240" s="14">
        <f t="shared" si="72"/>
        <v>6.6006840313520927E-3</v>
      </c>
      <c r="J240" s="14">
        <f t="shared" si="73"/>
        <v>2.1915496089604376E-2</v>
      </c>
      <c r="K240" s="22">
        <v>237</v>
      </c>
      <c r="L240" s="12"/>
      <c r="Q240" s="15">
        <f t="shared" si="74"/>
        <v>237</v>
      </c>
      <c r="R240" s="2">
        <f t="shared" si="70"/>
        <v>43809</v>
      </c>
      <c r="S240" s="9">
        <f t="shared" ca="1" si="75"/>
        <v>-2.0009845095806051E-3</v>
      </c>
      <c r="T240" s="9">
        <f t="shared" ca="1" si="76"/>
        <v>6.6006840313520927E-3</v>
      </c>
      <c r="U240" s="9">
        <f t="shared" ca="1" si="77"/>
        <v>2.1915496089604376E-2</v>
      </c>
      <c r="AB240" s="33" t="e">
        <f t="shared" ca="1" si="83"/>
        <v>#N/A</v>
      </c>
      <c r="AC240" s="34" t="e">
        <f t="shared" ca="1" si="84"/>
        <v>#N/A</v>
      </c>
      <c r="AD240" s="34" t="e">
        <f t="shared" ca="1" si="85"/>
        <v>#N/A</v>
      </c>
      <c r="AE240" s="33" t="e">
        <f t="shared" ca="1" si="86"/>
        <v>#N/A</v>
      </c>
      <c r="AF240" s="34" t="e">
        <f t="shared" ca="1" si="78"/>
        <v>#N/A</v>
      </c>
      <c r="AG240" s="34" t="e">
        <f t="shared" ca="1" si="79"/>
        <v>#N/A</v>
      </c>
      <c r="AH240" s="34" t="e">
        <f t="shared" ca="1" si="80"/>
        <v>#N/A</v>
      </c>
      <c r="AI240" s="33" t="e">
        <f t="shared" ca="1" si="87"/>
        <v>#N/A</v>
      </c>
      <c r="AJ240" s="34" t="e">
        <f t="shared" ca="1" si="88"/>
        <v>#N/A</v>
      </c>
      <c r="AK240" s="34" t="e">
        <f t="shared" ca="1" si="81"/>
        <v>#N/A</v>
      </c>
      <c r="AL240" s="34" t="e">
        <f t="shared" ca="1" si="82"/>
        <v>#N/A</v>
      </c>
      <c r="AM240" s="33" t="e">
        <f t="shared" ca="1" si="89"/>
        <v>#N/A</v>
      </c>
      <c r="AN240" s="34" t="e">
        <f t="shared" ca="1" si="90"/>
        <v>#N/A</v>
      </c>
    </row>
    <row r="241" spans="1:40" x14ac:dyDescent="0.3">
      <c r="A241" s="2">
        <v>43810</v>
      </c>
      <c r="B241" s="9">
        <v>60.889999000000003</v>
      </c>
      <c r="C241" s="9">
        <v>111.629997</v>
      </c>
      <c r="D241" s="9">
        <v>92.889999000000003</v>
      </c>
      <c r="E241" s="10"/>
      <c r="F241" s="13">
        <v>238</v>
      </c>
      <c r="G241" s="2">
        <v>43810</v>
      </c>
      <c r="H241" s="14">
        <f t="shared" si="71"/>
        <v>1.6225505101591074E-2</v>
      </c>
      <c r="I241" s="14">
        <f t="shared" si="72"/>
        <v>-2.1008644242351122E-2</v>
      </c>
      <c r="J241" s="14">
        <f t="shared" si="73"/>
        <v>-1.7924314393412737E-2</v>
      </c>
      <c r="K241" s="22">
        <v>238</v>
      </c>
      <c r="L241" s="12"/>
      <c r="Q241" s="15">
        <f t="shared" si="74"/>
        <v>238</v>
      </c>
      <c r="R241" s="2">
        <f t="shared" si="70"/>
        <v>43810</v>
      </c>
      <c r="S241" s="9">
        <f t="shared" ca="1" si="75"/>
        <v>1.6225505101591074E-2</v>
      </c>
      <c r="T241" s="9">
        <f t="shared" ca="1" si="76"/>
        <v>-2.1008644242351122E-2</v>
      </c>
      <c r="U241" s="9">
        <f t="shared" ca="1" si="77"/>
        <v>-1.7924314393412737E-2</v>
      </c>
      <c r="AB241" s="33" t="e">
        <f t="shared" ca="1" si="83"/>
        <v>#N/A</v>
      </c>
      <c r="AC241" s="34" t="e">
        <f t="shared" ca="1" si="84"/>
        <v>#N/A</v>
      </c>
      <c r="AD241" s="34" t="e">
        <f t="shared" ca="1" si="85"/>
        <v>#N/A</v>
      </c>
      <c r="AE241" s="33" t="e">
        <f t="shared" ca="1" si="86"/>
        <v>#N/A</v>
      </c>
      <c r="AF241" s="34" t="e">
        <f t="shared" ca="1" si="78"/>
        <v>#N/A</v>
      </c>
      <c r="AG241" s="34" t="e">
        <f t="shared" ca="1" si="79"/>
        <v>#N/A</v>
      </c>
      <c r="AH241" s="34" t="e">
        <f t="shared" ca="1" si="80"/>
        <v>#N/A</v>
      </c>
      <c r="AI241" s="33" t="e">
        <f t="shared" ca="1" si="87"/>
        <v>#N/A</v>
      </c>
      <c r="AJ241" s="34" t="e">
        <f t="shared" ca="1" si="88"/>
        <v>#N/A</v>
      </c>
      <c r="AK241" s="34" t="e">
        <f t="shared" ca="1" si="81"/>
        <v>#N/A</v>
      </c>
      <c r="AL241" s="34" t="e">
        <f t="shared" ca="1" si="82"/>
        <v>#N/A</v>
      </c>
      <c r="AM241" s="33" t="e">
        <f t="shared" ca="1" si="89"/>
        <v>#N/A</v>
      </c>
      <c r="AN241" s="34" t="e">
        <f t="shared" ca="1" si="90"/>
        <v>#N/A</v>
      </c>
    </row>
    <row r="242" spans="1:40" x14ac:dyDescent="0.3">
      <c r="A242" s="2">
        <v>43811</v>
      </c>
      <c r="B242" s="9">
        <v>61.990001999999997</v>
      </c>
      <c r="C242" s="9">
        <v>115.75</v>
      </c>
      <c r="D242" s="9">
        <v>94.529999000000004</v>
      </c>
      <c r="E242" s="10"/>
      <c r="F242" s="13">
        <v>239</v>
      </c>
      <c r="G242" s="2">
        <v>43811</v>
      </c>
      <c r="H242" s="14">
        <f t="shared" si="71"/>
        <v>1.7904172779670987E-2</v>
      </c>
      <c r="I242" s="14">
        <f t="shared" si="72"/>
        <v>3.6242888814199153E-2</v>
      </c>
      <c r="J242" s="14">
        <f t="shared" si="73"/>
        <v>1.7501247224632577E-2</v>
      </c>
      <c r="K242" s="22">
        <v>239</v>
      </c>
      <c r="L242" s="12"/>
      <c r="Q242" s="15">
        <f t="shared" si="74"/>
        <v>239</v>
      </c>
      <c r="R242" s="2">
        <f t="shared" si="70"/>
        <v>43811</v>
      </c>
      <c r="S242" s="9">
        <f t="shared" ca="1" si="75"/>
        <v>1.7904172779670987E-2</v>
      </c>
      <c r="T242" s="9">
        <f t="shared" ca="1" si="76"/>
        <v>3.6242888814199153E-2</v>
      </c>
      <c r="U242" s="9">
        <f t="shared" ca="1" si="77"/>
        <v>1.7501247224632577E-2</v>
      </c>
      <c r="AB242" s="33" t="e">
        <f t="shared" ca="1" si="83"/>
        <v>#N/A</v>
      </c>
      <c r="AC242" s="34" t="e">
        <f t="shared" ca="1" si="84"/>
        <v>#N/A</v>
      </c>
      <c r="AD242" s="34" t="e">
        <f t="shared" ca="1" si="85"/>
        <v>#N/A</v>
      </c>
      <c r="AE242" s="33" t="e">
        <f t="shared" ca="1" si="86"/>
        <v>#N/A</v>
      </c>
      <c r="AF242" s="34" t="e">
        <f t="shared" ca="1" si="78"/>
        <v>#N/A</v>
      </c>
      <c r="AG242" s="34" t="e">
        <f t="shared" ca="1" si="79"/>
        <v>#N/A</v>
      </c>
      <c r="AH242" s="34" t="e">
        <f t="shared" ca="1" si="80"/>
        <v>#N/A</v>
      </c>
      <c r="AI242" s="33" t="e">
        <f t="shared" ca="1" si="87"/>
        <v>#N/A</v>
      </c>
      <c r="AJ242" s="34" t="e">
        <f t="shared" ca="1" si="88"/>
        <v>#N/A</v>
      </c>
      <c r="AK242" s="34" t="e">
        <f t="shared" ca="1" si="81"/>
        <v>#N/A</v>
      </c>
      <c r="AL242" s="34" t="e">
        <f t="shared" ca="1" si="82"/>
        <v>#N/A</v>
      </c>
      <c r="AM242" s="33" t="e">
        <f t="shared" ca="1" si="89"/>
        <v>#N/A</v>
      </c>
      <c r="AN242" s="34" t="e">
        <f t="shared" ca="1" si="90"/>
        <v>#N/A</v>
      </c>
    </row>
    <row r="243" spans="1:40" x14ac:dyDescent="0.3">
      <c r="A243" s="2">
        <v>43812</v>
      </c>
      <c r="B243" s="9">
        <v>61.639999000000003</v>
      </c>
      <c r="C243" s="9">
        <v>116.91999800000001</v>
      </c>
      <c r="D243" s="9">
        <v>93.809997999999993</v>
      </c>
      <c r="E243" s="10"/>
      <c r="F243" s="13">
        <v>240</v>
      </c>
      <c r="G243" s="2">
        <v>43812</v>
      </c>
      <c r="H243" s="14">
        <f t="shared" si="71"/>
        <v>-5.6621197484124598E-3</v>
      </c>
      <c r="I243" s="14">
        <f t="shared" si="72"/>
        <v>1.0057230170988378E-2</v>
      </c>
      <c r="J243" s="14">
        <f t="shared" si="73"/>
        <v>-7.6457950404700123E-3</v>
      </c>
      <c r="K243" s="22">
        <v>240</v>
      </c>
      <c r="L243" s="12"/>
      <c r="Q243" s="15">
        <f t="shared" si="74"/>
        <v>240</v>
      </c>
      <c r="R243" s="2">
        <f t="shared" si="70"/>
        <v>43812</v>
      </c>
      <c r="S243" s="9">
        <f t="shared" ca="1" si="75"/>
        <v>-5.6621197484124598E-3</v>
      </c>
      <c r="T243" s="9">
        <f t="shared" ca="1" si="76"/>
        <v>1.0057230170988378E-2</v>
      </c>
      <c r="U243" s="9">
        <f t="shared" ca="1" si="77"/>
        <v>-7.6457950404700123E-3</v>
      </c>
      <c r="AB243" s="33" t="e">
        <f t="shared" ca="1" si="83"/>
        <v>#N/A</v>
      </c>
      <c r="AC243" s="34" t="e">
        <f t="shared" ca="1" si="84"/>
        <v>#N/A</v>
      </c>
      <c r="AD243" s="34" t="e">
        <f t="shared" ca="1" si="85"/>
        <v>#N/A</v>
      </c>
      <c r="AE243" s="33" t="e">
        <f t="shared" ca="1" si="86"/>
        <v>#N/A</v>
      </c>
      <c r="AF243" s="34" t="e">
        <f t="shared" ca="1" si="78"/>
        <v>#N/A</v>
      </c>
      <c r="AG243" s="34" t="e">
        <f t="shared" ca="1" si="79"/>
        <v>#N/A</v>
      </c>
      <c r="AH243" s="34" t="e">
        <f t="shared" ca="1" si="80"/>
        <v>#N/A</v>
      </c>
      <c r="AI243" s="33" t="e">
        <f t="shared" ca="1" si="87"/>
        <v>#N/A</v>
      </c>
      <c r="AJ243" s="34" t="e">
        <f t="shared" ca="1" si="88"/>
        <v>#N/A</v>
      </c>
      <c r="AK243" s="34" t="e">
        <f t="shared" ca="1" si="81"/>
        <v>#N/A</v>
      </c>
      <c r="AL243" s="34" t="e">
        <f t="shared" ca="1" si="82"/>
        <v>#N/A</v>
      </c>
      <c r="AM243" s="33" t="e">
        <f t="shared" ca="1" si="89"/>
        <v>#N/A</v>
      </c>
      <c r="AN243" s="34" t="e">
        <f t="shared" ca="1" si="90"/>
        <v>#N/A</v>
      </c>
    </row>
    <row r="244" spans="1:40" x14ac:dyDescent="0.3">
      <c r="A244" s="2">
        <v>43815</v>
      </c>
      <c r="B244" s="9">
        <v>61.880001</v>
      </c>
      <c r="C244" s="9">
        <v>117.709999</v>
      </c>
      <c r="D244" s="9">
        <v>95.139999000000003</v>
      </c>
      <c r="E244" s="10"/>
      <c r="F244" s="13">
        <v>241</v>
      </c>
      <c r="G244" s="2">
        <v>43815</v>
      </c>
      <c r="H244" s="14">
        <f t="shared" si="71"/>
        <v>3.8860476364922058E-3</v>
      </c>
      <c r="I244" s="14">
        <f t="shared" si="72"/>
        <v>6.7340407916024079E-3</v>
      </c>
      <c r="J244" s="14">
        <f t="shared" si="73"/>
        <v>1.407804167513872E-2</v>
      </c>
      <c r="K244" s="22">
        <v>241</v>
      </c>
      <c r="L244" s="12"/>
      <c r="Q244" s="15">
        <f t="shared" si="74"/>
        <v>241</v>
      </c>
      <c r="R244" s="2">
        <f t="shared" si="70"/>
        <v>43815</v>
      </c>
      <c r="S244" s="9">
        <f t="shared" ca="1" si="75"/>
        <v>3.8860476364922058E-3</v>
      </c>
      <c r="T244" s="9">
        <f t="shared" ca="1" si="76"/>
        <v>6.7340407916024079E-3</v>
      </c>
      <c r="U244" s="9">
        <f t="shared" ca="1" si="77"/>
        <v>1.407804167513872E-2</v>
      </c>
      <c r="AB244" s="33" t="e">
        <f t="shared" ca="1" si="83"/>
        <v>#N/A</v>
      </c>
      <c r="AC244" s="34" t="e">
        <f t="shared" ca="1" si="84"/>
        <v>#N/A</v>
      </c>
      <c r="AD244" s="34" t="e">
        <f t="shared" ca="1" si="85"/>
        <v>#N/A</v>
      </c>
      <c r="AE244" s="33" t="e">
        <f t="shared" ca="1" si="86"/>
        <v>#N/A</v>
      </c>
      <c r="AF244" s="34" t="e">
        <f t="shared" ca="1" si="78"/>
        <v>#N/A</v>
      </c>
      <c r="AG244" s="34" t="e">
        <f t="shared" ca="1" si="79"/>
        <v>#N/A</v>
      </c>
      <c r="AH244" s="34" t="e">
        <f t="shared" ca="1" si="80"/>
        <v>#N/A</v>
      </c>
      <c r="AI244" s="33" t="e">
        <f t="shared" ca="1" si="87"/>
        <v>#N/A</v>
      </c>
      <c r="AJ244" s="34" t="e">
        <f t="shared" ca="1" si="88"/>
        <v>#N/A</v>
      </c>
      <c r="AK244" s="34" t="e">
        <f t="shared" ca="1" si="81"/>
        <v>#N/A</v>
      </c>
      <c r="AL244" s="34" t="e">
        <f t="shared" ca="1" si="82"/>
        <v>#N/A</v>
      </c>
      <c r="AM244" s="33" t="e">
        <f t="shared" ca="1" si="89"/>
        <v>#N/A</v>
      </c>
      <c r="AN244" s="34" t="e">
        <f t="shared" ca="1" si="90"/>
        <v>#N/A</v>
      </c>
    </row>
    <row r="245" spans="1:40" x14ac:dyDescent="0.3">
      <c r="A245" s="2">
        <v>43816</v>
      </c>
      <c r="B245" s="9">
        <v>62.02</v>
      </c>
      <c r="C245" s="9">
        <v>117.459999</v>
      </c>
      <c r="D245" s="9">
        <v>95.68</v>
      </c>
      <c r="E245" s="10"/>
      <c r="F245" s="13">
        <v>242</v>
      </c>
      <c r="G245" s="2">
        <v>43816</v>
      </c>
      <c r="H245" s="14">
        <f t="shared" si="71"/>
        <v>2.2598718071273173E-3</v>
      </c>
      <c r="I245" s="14">
        <f t="shared" si="72"/>
        <v>-2.1261223480974361E-3</v>
      </c>
      <c r="J245" s="14">
        <f t="shared" si="73"/>
        <v>5.6598097090123688E-3</v>
      </c>
      <c r="K245" s="22">
        <v>242</v>
      </c>
      <c r="L245" s="12"/>
      <c r="Q245" s="15">
        <f t="shared" si="74"/>
        <v>242</v>
      </c>
      <c r="R245" s="2">
        <f t="shared" si="70"/>
        <v>43816</v>
      </c>
      <c r="S245" s="9">
        <f t="shared" ca="1" si="75"/>
        <v>2.2598718071273173E-3</v>
      </c>
      <c r="T245" s="9">
        <f t="shared" ca="1" si="76"/>
        <v>-2.1261223480974361E-3</v>
      </c>
      <c r="U245" s="9">
        <f t="shared" ca="1" si="77"/>
        <v>5.6598097090123688E-3</v>
      </c>
      <c r="AB245" s="33" t="e">
        <f t="shared" ca="1" si="83"/>
        <v>#N/A</v>
      </c>
      <c r="AC245" s="34" t="e">
        <f t="shared" ca="1" si="84"/>
        <v>#N/A</v>
      </c>
      <c r="AD245" s="34" t="e">
        <f t="shared" ca="1" si="85"/>
        <v>#N/A</v>
      </c>
      <c r="AE245" s="33" t="e">
        <f t="shared" ca="1" si="86"/>
        <v>#N/A</v>
      </c>
      <c r="AF245" s="34" t="e">
        <f t="shared" ca="1" si="78"/>
        <v>#N/A</v>
      </c>
      <c r="AG245" s="34" t="e">
        <f t="shared" ca="1" si="79"/>
        <v>#N/A</v>
      </c>
      <c r="AH245" s="34" t="e">
        <f t="shared" ca="1" si="80"/>
        <v>#N/A</v>
      </c>
      <c r="AI245" s="33" t="e">
        <f t="shared" ca="1" si="87"/>
        <v>#N/A</v>
      </c>
      <c r="AJ245" s="34" t="e">
        <f t="shared" ca="1" si="88"/>
        <v>#N/A</v>
      </c>
      <c r="AK245" s="34" t="e">
        <f t="shared" ca="1" si="81"/>
        <v>#N/A</v>
      </c>
      <c r="AL245" s="34" t="e">
        <f t="shared" ca="1" si="82"/>
        <v>#N/A</v>
      </c>
      <c r="AM245" s="33" t="e">
        <f t="shared" ca="1" si="89"/>
        <v>#N/A</v>
      </c>
      <c r="AN245" s="34" t="e">
        <f t="shared" ca="1" si="90"/>
        <v>#N/A</v>
      </c>
    </row>
    <row r="246" spans="1:40" x14ac:dyDescent="0.3">
      <c r="A246" s="2">
        <v>43817</v>
      </c>
      <c r="B246" s="9">
        <v>61.5</v>
      </c>
      <c r="C246" s="9">
        <v>118.980003</v>
      </c>
      <c r="D246" s="9">
        <v>94.510002</v>
      </c>
      <c r="E246" s="10"/>
      <c r="F246" s="13">
        <v>243</v>
      </c>
      <c r="G246" s="2">
        <v>43817</v>
      </c>
      <c r="H246" s="14">
        <f t="shared" si="71"/>
        <v>-8.4197388598307322E-3</v>
      </c>
      <c r="I246" s="14">
        <f t="shared" si="72"/>
        <v>1.2857595393244131E-2</v>
      </c>
      <c r="J246" s="14">
        <f t="shared" si="73"/>
        <v>-1.230362003357529E-2</v>
      </c>
      <c r="K246" s="22">
        <v>243</v>
      </c>
      <c r="L246" s="12"/>
      <c r="Q246" s="15">
        <f t="shared" si="74"/>
        <v>243</v>
      </c>
      <c r="R246" s="2">
        <f t="shared" si="70"/>
        <v>43817</v>
      </c>
      <c r="S246" s="9">
        <f t="shared" ca="1" si="75"/>
        <v>-8.4197388598307322E-3</v>
      </c>
      <c r="T246" s="9">
        <f t="shared" ca="1" si="76"/>
        <v>1.2857595393244131E-2</v>
      </c>
      <c r="U246" s="9">
        <f t="shared" ca="1" si="77"/>
        <v>-1.230362003357529E-2</v>
      </c>
      <c r="AB246" s="33" t="e">
        <f t="shared" ca="1" si="83"/>
        <v>#N/A</v>
      </c>
      <c r="AC246" s="34" t="e">
        <f t="shared" ca="1" si="84"/>
        <v>#N/A</v>
      </c>
      <c r="AD246" s="34" t="e">
        <f t="shared" ca="1" si="85"/>
        <v>#N/A</v>
      </c>
      <c r="AE246" s="33" t="e">
        <f t="shared" ca="1" si="86"/>
        <v>#N/A</v>
      </c>
      <c r="AF246" s="34" t="e">
        <f t="shared" ca="1" si="78"/>
        <v>#N/A</v>
      </c>
      <c r="AG246" s="34" t="e">
        <f t="shared" ca="1" si="79"/>
        <v>#N/A</v>
      </c>
      <c r="AH246" s="34" t="e">
        <f t="shared" ca="1" si="80"/>
        <v>#N/A</v>
      </c>
      <c r="AI246" s="33" t="e">
        <f t="shared" ca="1" si="87"/>
        <v>#N/A</v>
      </c>
      <c r="AJ246" s="34" t="e">
        <f t="shared" ca="1" si="88"/>
        <v>#N/A</v>
      </c>
      <c r="AK246" s="34" t="e">
        <f t="shared" ca="1" si="81"/>
        <v>#N/A</v>
      </c>
      <c r="AL246" s="34" t="e">
        <f t="shared" ca="1" si="82"/>
        <v>#N/A</v>
      </c>
      <c r="AM246" s="33" t="e">
        <f t="shared" ca="1" si="89"/>
        <v>#N/A</v>
      </c>
      <c r="AN246" s="34" t="e">
        <f t="shared" ca="1" si="90"/>
        <v>#N/A</v>
      </c>
    </row>
    <row r="247" spans="1:40" x14ac:dyDescent="0.3">
      <c r="A247" s="2">
        <v>43818</v>
      </c>
      <c r="B247" s="9">
        <v>61.950001</v>
      </c>
      <c r="C247" s="9">
        <v>117.529999</v>
      </c>
      <c r="D247" s="9">
        <v>94.589995999999999</v>
      </c>
      <c r="E247" s="10"/>
      <c r="F247" s="13">
        <v>244</v>
      </c>
      <c r="G247" s="2">
        <v>43818</v>
      </c>
      <c r="H247" s="14">
        <f t="shared" si="71"/>
        <v>7.2904494047291331E-3</v>
      </c>
      <c r="I247" s="14">
        <f t="shared" si="72"/>
        <v>-1.22618253377842E-2</v>
      </c>
      <c r="J247" s="14">
        <f t="shared" si="73"/>
        <v>8.4604976856362841E-4</v>
      </c>
      <c r="K247" s="22">
        <v>244</v>
      </c>
      <c r="L247" s="12"/>
      <c r="Q247" s="15">
        <f t="shared" si="74"/>
        <v>244</v>
      </c>
      <c r="R247" s="2">
        <f t="shared" si="70"/>
        <v>43818</v>
      </c>
      <c r="S247" s="9">
        <f t="shared" ca="1" si="75"/>
        <v>7.2904494047291331E-3</v>
      </c>
      <c r="T247" s="9">
        <f t="shared" ca="1" si="76"/>
        <v>-1.22618253377842E-2</v>
      </c>
      <c r="U247" s="9">
        <f t="shared" ca="1" si="77"/>
        <v>8.4604976856362841E-4</v>
      </c>
      <c r="AB247" s="33" t="e">
        <f t="shared" ca="1" si="83"/>
        <v>#N/A</v>
      </c>
      <c r="AC247" s="34" t="e">
        <f t="shared" ca="1" si="84"/>
        <v>#N/A</v>
      </c>
      <c r="AD247" s="34" t="e">
        <f t="shared" ca="1" si="85"/>
        <v>#N/A</v>
      </c>
      <c r="AE247" s="33" t="e">
        <f t="shared" ca="1" si="86"/>
        <v>#N/A</v>
      </c>
      <c r="AF247" s="34" t="e">
        <f t="shared" ca="1" si="78"/>
        <v>#N/A</v>
      </c>
      <c r="AG247" s="34" t="e">
        <f t="shared" ca="1" si="79"/>
        <v>#N/A</v>
      </c>
      <c r="AH247" s="34" t="e">
        <f t="shared" ca="1" si="80"/>
        <v>#N/A</v>
      </c>
      <c r="AI247" s="33" t="e">
        <f t="shared" ca="1" si="87"/>
        <v>#N/A</v>
      </c>
      <c r="AJ247" s="34" t="e">
        <f t="shared" ca="1" si="88"/>
        <v>#N/A</v>
      </c>
      <c r="AK247" s="34" t="e">
        <f t="shared" ca="1" si="81"/>
        <v>#N/A</v>
      </c>
      <c r="AL247" s="34" t="e">
        <f t="shared" ca="1" si="82"/>
        <v>#N/A</v>
      </c>
      <c r="AM247" s="33" t="e">
        <f t="shared" ca="1" si="89"/>
        <v>#N/A</v>
      </c>
      <c r="AN247" s="34" t="e">
        <f t="shared" ca="1" si="90"/>
        <v>#N/A</v>
      </c>
    </row>
    <row r="248" spans="1:40" x14ac:dyDescent="0.3">
      <c r="A248" s="2">
        <v>43819</v>
      </c>
      <c r="B248" s="9">
        <v>62.080002</v>
      </c>
      <c r="C248" s="9">
        <v>118.43</v>
      </c>
      <c r="D248" s="9">
        <v>95.269997000000004</v>
      </c>
      <c r="E248" s="10"/>
      <c r="F248" s="13">
        <v>245</v>
      </c>
      <c r="G248" s="2">
        <v>43819</v>
      </c>
      <c r="H248" s="14">
        <f t="shared" si="71"/>
        <v>2.09628387425637E-3</v>
      </c>
      <c r="I248" s="14">
        <f t="shared" si="72"/>
        <v>7.62845709710697E-3</v>
      </c>
      <c r="J248" s="14">
        <f t="shared" si="73"/>
        <v>7.1632142919264962E-3</v>
      </c>
      <c r="K248" s="22">
        <v>245</v>
      </c>
      <c r="L248" s="12"/>
      <c r="Q248" s="15">
        <f t="shared" si="74"/>
        <v>245</v>
      </c>
      <c r="R248" s="2">
        <f t="shared" si="70"/>
        <v>43819</v>
      </c>
      <c r="S248" s="9">
        <f t="shared" ca="1" si="75"/>
        <v>2.09628387425637E-3</v>
      </c>
      <c r="T248" s="9">
        <f t="shared" ca="1" si="76"/>
        <v>7.62845709710697E-3</v>
      </c>
      <c r="U248" s="9">
        <f t="shared" ca="1" si="77"/>
        <v>7.1632142919264962E-3</v>
      </c>
      <c r="AB248" s="33" t="e">
        <f t="shared" ca="1" si="83"/>
        <v>#N/A</v>
      </c>
      <c r="AC248" s="34" t="e">
        <f t="shared" ca="1" si="84"/>
        <v>#N/A</v>
      </c>
      <c r="AD248" s="34" t="e">
        <f t="shared" ca="1" si="85"/>
        <v>#N/A</v>
      </c>
      <c r="AE248" s="33" t="e">
        <f t="shared" ca="1" si="86"/>
        <v>#N/A</v>
      </c>
      <c r="AF248" s="34" t="e">
        <f t="shared" ca="1" si="78"/>
        <v>#N/A</v>
      </c>
      <c r="AG248" s="34" t="e">
        <f t="shared" ca="1" si="79"/>
        <v>#N/A</v>
      </c>
      <c r="AH248" s="34" t="e">
        <f t="shared" ca="1" si="80"/>
        <v>#N/A</v>
      </c>
      <c r="AI248" s="33" t="e">
        <f t="shared" ca="1" si="87"/>
        <v>#N/A</v>
      </c>
      <c r="AJ248" s="34" t="e">
        <f t="shared" ca="1" si="88"/>
        <v>#N/A</v>
      </c>
      <c r="AK248" s="34" t="e">
        <f t="shared" ca="1" si="81"/>
        <v>#N/A</v>
      </c>
      <c r="AL248" s="34" t="e">
        <f t="shared" ca="1" si="82"/>
        <v>#N/A</v>
      </c>
      <c r="AM248" s="33" t="e">
        <f t="shared" ca="1" si="89"/>
        <v>#N/A</v>
      </c>
      <c r="AN248" s="34" t="e">
        <f t="shared" ca="1" si="90"/>
        <v>#N/A</v>
      </c>
    </row>
    <row r="249" spans="1:40" x14ac:dyDescent="0.3">
      <c r="A249" s="2">
        <v>43822</v>
      </c>
      <c r="B249" s="9">
        <v>62.139999000000003</v>
      </c>
      <c r="C249" s="9">
        <v>117.790001</v>
      </c>
      <c r="D249" s="9">
        <v>95.239998</v>
      </c>
      <c r="E249" s="10"/>
      <c r="F249" s="13">
        <v>246</v>
      </c>
      <c r="G249" s="2">
        <v>43822</v>
      </c>
      <c r="H249" s="14">
        <f t="shared" si="71"/>
        <v>9.6597978074980839E-4</v>
      </c>
      <c r="I249" s="14">
        <f t="shared" si="72"/>
        <v>-5.4186822730256179E-3</v>
      </c>
      <c r="J249" s="14">
        <f t="shared" si="73"/>
        <v>-3.1493361015468241E-4</v>
      </c>
      <c r="K249" s="22">
        <v>246</v>
      </c>
      <c r="L249" s="12"/>
      <c r="Q249" s="15">
        <f t="shared" si="74"/>
        <v>246</v>
      </c>
      <c r="R249" s="2">
        <f t="shared" si="70"/>
        <v>43822</v>
      </c>
      <c r="S249" s="9">
        <f t="shared" ca="1" si="75"/>
        <v>9.6597978074980839E-4</v>
      </c>
      <c r="T249" s="9">
        <f t="shared" ca="1" si="76"/>
        <v>-5.4186822730256179E-3</v>
      </c>
      <c r="U249" s="9">
        <f t="shared" ca="1" si="77"/>
        <v>-3.1493361015468241E-4</v>
      </c>
      <c r="AB249" s="33" t="e">
        <f t="shared" ca="1" si="83"/>
        <v>#N/A</v>
      </c>
      <c r="AC249" s="34" t="e">
        <f t="shared" ca="1" si="84"/>
        <v>#N/A</v>
      </c>
      <c r="AD249" s="34" t="e">
        <f t="shared" ca="1" si="85"/>
        <v>#N/A</v>
      </c>
      <c r="AE249" s="33" t="e">
        <f t="shared" ca="1" si="86"/>
        <v>#N/A</v>
      </c>
      <c r="AF249" s="34" t="e">
        <f t="shared" ca="1" si="78"/>
        <v>#N/A</v>
      </c>
      <c r="AG249" s="34" t="e">
        <f t="shared" ca="1" si="79"/>
        <v>#N/A</v>
      </c>
      <c r="AH249" s="34" t="e">
        <f t="shared" ca="1" si="80"/>
        <v>#N/A</v>
      </c>
      <c r="AI249" s="33" t="e">
        <f t="shared" ca="1" si="87"/>
        <v>#N/A</v>
      </c>
      <c r="AJ249" s="34" t="e">
        <f t="shared" ca="1" si="88"/>
        <v>#N/A</v>
      </c>
      <c r="AK249" s="34" t="e">
        <f t="shared" ca="1" si="81"/>
        <v>#N/A</v>
      </c>
      <c r="AL249" s="34" t="e">
        <f t="shared" ca="1" si="82"/>
        <v>#N/A</v>
      </c>
      <c r="AM249" s="33" t="e">
        <f t="shared" ca="1" si="89"/>
        <v>#N/A</v>
      </c>
      <c r="AN249" s="34" t="e">
        <f t="shared" ca="1" si="90"/>
        <v>#N/A</v>
      </c>
    </row>
    <row r="250" spans="1:40" x14ac:dyDescent="0.3">
      <c r="A250" s="2">
        <v>43823</v>
      </c>
      <c r="B250" s="9">
        <v>62.200001</v>
      </c>
      <c r="C250" s="9">
        <v>118.339996</v>
      </c>
      <c r="D250" s="9">
        <v>95.099997999999999</v>
      </c>
      <c r="E250" s="10"/>
      <c r="F250" s="13">
        <v>247</v>
      </c>
      <c r="G250" s="2">
        <v>43823</v>
      </c>
      <c r="H250" s="14">
        <f t="shared" si="71"/>
        <v>9.6512795009673108E-4</v>
      </c>
      <c r="I250" s="14">
        <f t="shared" si="72"/>
        <v>4.6584169872566821E-3</v>
      </c>
      <c r="J250" s="14">
        <f t="shared" si="73"/>
        <v>-1.471052098231572E-3</v>
      </c>
      <c r="K250" s="22">
        <v>247</v>
      </c>
      <c r="L250" s="12"/>
      <c r="Q250" s="15">
        <f t="shared" si="74"/>
        <v>247</v>
      </c>
      <c r="R250" s="2">
        <f t="shared" si="70"/>
        <v>43823</v>
      </c>
      <c r="S250" s="9">
        <f t="shared" ca="1" si="75"/>
        <v>9.6512795009673108E-4</v>
      </c>
      <c r="T250" s="9">
        <f t="shared" ca="1" si="76"/>
        <v>4.6584169872566821E-3</v>
      </c>
      <c r="U250" s="9">
        <f t="shared" ca="1" si="77"/>
        <v>-1.471052098231572E-3</v>
      </c>
      <c r="AB250" s="33" t="e">
        <f t="shared" ca="1" si="83"/>
        <v>#N/A</v>
      </c>
      <c r="AC250" s="34" t="e">
        <f t="shared" ca="1" si="84"/>
        <v>#N/A</v>
      </c>
      <c r="AD250" s="34" t="e">
        <f t="shared" ca="1" si="85"/>
        <v>#N/A</v>
      </c>
      <c r="AE250" s="33" t="e">
        <f t="shared" ca="1" si="86"/>
        <v>#N/A</v>
      </c>
      <c r="AF250" s="34" t="e">
        <f t="shared" ca="1" si="78"/>
        <v>#N/A</v>
      </c>
      <c r="AG250" s="34" t="e">
        <f t="shared" ca="1" si="79"/>
        <v>#N/A</v>
      </c>
      <c r="AH250" s="34" t="e">
        <f t="shared" ca="1" si="80"/>
        <v>#N/A</v>
      </c>
      <c r="AI250" s="33" t="e">
        <f t="shared" ca="1" si="87"/>
        <v>#N/A</v>
      </c>
      <c r="AJ250" s="34" t="e">
        <f t="shared" ca="1" si="88"/>
        <v>#N/A</v>
      </c>
      <c r="AK250" s="34" t="e">
        <f t="shared" ca="1" si="81"/>
        <v>#N/A</v>
      </c>
      <c r="AL250" s="34" t="e">
        <f t="shared" ca="1" si="82"/>
        <v>#N/A</v>
      </c>
      <c r="AM250" s="33" t="e">
        <f t="shared" ca="1" si="89"/>
        <v>#N/A</v>
      </c>
      <c r="AN250" s="34" t="e">
        <f t="shared" ca="1" si="90"/>
        <v>#N/A</v>
      </c>
    </row>
    <row r="251" spans="1:40" x14ac:dyDescent="0.3">
      <c r="A251" s="2">
        <v>43825</v>
      </c>
      <c r="B251" s="9">
        <v>62.509998000000003</v>
      </c>
      <c r="C251" s="9">
        <v>118.400002</v>
      </c>
      <c r="D251" s="9">
        <v>94.419998000000007</v>
      </c>
      <c r="E251" s="10"/>
      <c r="F251" s="13">
        <v>248</v>
      </c>
      <c r="G251" s="2">
        <v>43825</v>
      </c>
      <c r="H251" s="14">
        <f t="shared" si="71"/>
        <v>4.971496126535707E-3</v>
      </c>
      <c r="I251" s="14">
        <f t="shared" si="72"/>
        <v>5.0693589416218377E-4</v>
      </c>
      <c r="J251" s="14">
        <f t="shared" si="73"/>
        <v>-7.176054584662612E-3</v>
      </c>
      <c r="K251" s="22">
        <v>248</v>
      </c>
      <c r="L251" s="12"/>
      <c r="Q251" s="15">
        <f t="shared" si="74"/>
        <v>248</v>
      </c>
      <c r="R251" s="2">
        <f t="shared" si="70"/>
        <v>43825</v>
      </c>
      <c r="S251" s="9">
        <f t="shared" ca="1" si="75"/>
        <v>4.971496126535707E-3</v>
      </c>
      <c r="T251" s="9">
        <f t="shared" ca="1" si="76"/>
        <v>5.0693589416218377E-4</v>
      </c>
      <c r="U251" s="9">
        <f t="shared" ca="1" si="77"/>
        <v>-7.176054584662612E-3</v>
      </c>
      <c r="AB251" s="33" t="e">
        <f t="shared" ca="1" si="83"/>
        <v>#N/A</v>
      </c>
      <c r="AC251" s="34" t="e">
        <f t="shared" ca="1" si="84"/>
        <v>#N/A</v>
      </c>
      <c r="AD251" s="34" t="e">
        <f t="shared" ca="1" si="85"/>
        <v>#N/A</v>
      </c>
      <c r="AE251" s="33" t="e">
        <f t="shared" ca="1" si="86"/>
        <v>#N/A</v>
      </c>
      <c r="AF251" s="34" t="e">
        <f t="shared" ca="1" si="78"/>
        <v>#N/A</v>
      </c>
      <c r="AG251" s="34" t="e">
        <f t="shared" ca="1" si="79"/>
        <v>#N/A</v>
      </c>
      <c r="AH251" s="34" t="e">
        <f t="shared" ca="1" si="80"/>
        <v>#N/A</v>
      </c>
      <c r="AI251" s="33" t="e">
        <f t="shared" ca="1" si="87"/>
        <v>#N/A</v>
      </c>
      <c r="AJ251" s="34" t="e">
        <f t="shared" ca="1" si="88"/>
        <v>#N/A</v>
      </c>
      <c r="AK251" s="34" t="e">
        <f t="shared" ca="1" si="81"/>
        <v>#N/A</v>
      </c>
      <c r="AL251" s="34" t="e">
        <f t="shared" ca="1" si="82"/>
        <v>#N/A</v>
      </c>
      <c r="AM251" s="33" t="e">
        <f t="shared" ca="1" si="89"/>
        <v>#N/A</v>
      </c>
      <c r="AN251" s="34" t="e">
        <f t="shared" ca="1" si="90"/>
        <v>#N/A</v>
      </c>
    </row>
    <row r="252" spans="1:40" x14ac:dyDescent="0.3">
      <c r="A252" s="2">
        <v>43826</v>
      </c>
      <c r="B252" s="9">
        <v>62.439999</v>
      </c>
      <c r="C252" s="9">
        <v>117.410004</v>
      </c>
      <c r="D252" s="9">
        <v>93.199996999999996</v>
      </c>
      <c r="E252" s="10"/>
      <c r="F252" s="13">
        <v>249</v>
      </c>
      <c r="G252" s="2">
        <v>43826</v>
      </c>
      <c r="H252" s="14">
        <f t="shared" si="71"/>
        <v>-1.1204323169832959E-3</v>
      </c>
      <c r="I252" s="14">
        <f t="shared" si="72"/>
        <v>-8.396622631028864E-3</v>
      </c>
      <c r="J252" s="14">
        <f t="shared" si="73"/>
        <v>-1.3005204433483852E-2</v>
      </c>
      <c r="K252" s="22">
        <v>249</v>
      </c>
      <c r="L252" s="12"/>
      <c r="Q252" s="15">
        <f t="shared" si="74"/>
        <v>249</v>
      </c>
      <c r="R252" s="2">
        <f t="shared" si="70"/>
        <v>43826</v>
      </c>
      <c r="S252" s="9">
        <f t="shared" ca="1" si="75"/>
        <v>-1.1204323169832959E-3</v>
      </c>
      <c r="T252" s="9">
        <f t="shared" ca="1" si="76"/>
        <v>-8.396622631028864E-3</v>
      </c>
      <c r="U252" s="9">
        <f t="shared" ca="1" si="77"/>
        <v>-1.3005204433483852E-2</v>
      </c>
      <c r="AB252" s="33" t="e">
        <f t="shared" ca="1" si="83"/>
        <v>#N/A</v>
      </c>
      <c r="AC252" s="34" t="e">
        <f t="shared" ca="1" si="84"/>
        <v>#N/A</v>
      </c>
      <c r="AD252" s="34" t="e">
        <f t="shared" ca="1" si="85"/>
        <v>#N/A</v>
      </c>
      <c r="AE252" s="33" t="e">
        <f t="shared" ca="1" si="86"/>
        <v>#N/A</v>
      </c>
      <c r="AF252" s="34" t="e">
        <f t="shared" ca="1" si="78"/>
        <v>#N/A</v>
      </c>
      <c r="AG252" s="34" t="e">
        <f t="shared" ca="1" si="79"/>
        <v>#N/A</v>
      </c>
      <c r="AH252" s="34" t="e">
        <f t="shared" ca="1" si="80"/>
        <v>#N/A</v>
      </c>
      <c r="AI252" s="33" t="e">
        <f t="shared" ca="1" si="87"/>
        <v>#N/A</v>
      </c>
      <c r="AJ252" s="34" t="e">
        <f t="shared" ca="1" si="88"/>
        <v>#N/A</v>
      </c>
      <c r="AK252" s="34" t="e">
        <f t="shared" ca="1" si="81"/>
        <v>#N/A</v>
      </c>
      <c r="AL252" s="34" t="e">
        <f t="shared" ca="1" si="82"/>
        <v>#N/A</v>
      </c>
      <c r="AM252" s="33" t="e">
        <f t="shared" ca="1" si="89"/>
        <v>#N/A</v>
      </c>
      <c r="AN252" s="34" t="e">
        <f t="shared" ca="1" si="90"/>
        <v>#N/A</v>
      </c>
    </row>
    <row r="253" spans="1:40" x14ac:dyDescent="0.3">
      <c r="A253" s="2">
        <v>43829</v>
      </c>
      <c r="B253" s="9">
        <v>62.880001</v>
      </c>
      <c r="C253" s="9">
        <v>116.58000199999999</v>
      </c>
      <c r="D253" s="9">
        <v>92.879997000000003</v>
      </c>
      <c r="E253" s="10"/>
      <c r="F253" s="13">
        <v>250</v>
      </c>
      <c r="G253" s="2">
        <v>43829</v>
      </c>
      <c r="H253" s="14">
        <f t="shared" si="71"/>
        <v>7.0220843924024157E-3</v>
      </c>
      <c r="I253" s="14">
        <f t="shared" si="72"/>
        <v>-7.0943669377634437E-3</v>
      </c>
      <c r="J253" s="14">
        <f t="shared" si="73"/>
        <v>-3.4393844128097232E-3</v>
      </c>
      <c r="K253" s="22">
        <v>250</v>
      </c>
      <c r="L253" s="12"/>
      <c r="Q253" s="15">
        <f t="shared" si="74"/>
        <v>250</v>
      </c>
      <c r="R253" s="2">
        <f t="shared" si="70"/>
        <v>43829</v>
      </c>
      <c r="S253" s="9">
        <f t="shared" ca="1" si="75"/>
        <v>7.0220843924024157E-3</v>
      </c>
      <c r="T253" s="9">
        <f t="shared" ca="1" si="76"/>
        <v>-7.0943669377634437E-3</v>
      </c>
      <c r="U253" s="9">
        <f t="shared" ca="1" si="77"/>
        <v>-3.4393844128097232E-3</v>
      </c>
      <c r="AB253" s="33" t="e">
        <f t="shared" ca="1" si="83"/>
        <v>#N/A</v>
      </c>
      <c r="AC253" s="34" t="e">
        <f t="shared" ca="1" si="84"/>
        <v>#N/A</v>
      </c>
      <c r="AD253" s="34" t="e">
        <f t="shared" ca="1" si="85"/>
        <v>#N/A</v>
      </c>
      <c r="AE253" s="33" t="e">
        <f t="shared" ca="1" si="86"/>
        <v>#N/A</v>
      </c>
      <c r="AF253" s="34" t="e">
        <f t="shared" ca="1" si="78"/>
        <v>#N/A</v>
      </c>
      <c r="AG253" s="34" t="e">
        <f t="shared" ca="1" si="79"/>
        <v>#N/A</v>
      </c>
      <c r="AH253" s="34" t="e">
        <f t="shared" ca="1" si="80"/>
        <v>#N/A</v>
      </c>
      <c r="AI253" s="33" t="e">
        <f t="shared" ca="1" si="87"/>
        <v>#N/A</v>
      </c>
      <c r="AJ253" s="34" t="e">
        <f t="shared" ca="1" si="88"/>
        <v>#N/A</v>
      </c>
      <c r="AK253" s="34" t="e">
        <f t="shared" ca="1" si="81"/>
        <v>#N/A</v>
      </c>
      <c r="AL253" s="34" t="e">
        <f t="shared" ca="1" si="82"/>
        <v>#N/A</v>
      </c>
      <c r="AM253" s="33" t="e">
        <f t="shared" ca="1" si="89"/>
        <v>#N/A</v>
      </c>
      <c r="AN253" s="34" t="e">
        <f t="shared" ca="1" si="90"/>
        <v>#N/A</v>
      </c>
    </row>
    <row r="254" spans="1:40" x14ac:dyDescent="0.3">
      <c r="A254" s="2">
        <v>43830</v>
      </c>
      <c r="B254" s="9">
        <v>63.150002000000001</v>
      </c>
      <c r="C254" s="9">
        <v>117.220001</v>
      </c>
      <c r="D254" s="9">
        <v>93.650002000000001</v>
      </c>
      <c r="E254" s="10"/>
      <c r="F254" s="13">
        <v>251</v>
      </c>
      <c r="G254" s="2">
        <v>43830</v>
      </c>
      <c r="H254" s="14">
        <f t="shared" si="71"/>
        <v>4.284716442866255E-3</v>
      </c>
      <c r="I254" s="14">
        <f t="shared" si="72"/>
        <v>5.4747698062456423E-3</v>
      </c>
      <c r="J254" s="14">
        <f t="shared" si="73"/>
        <v>8.2561451563166223E-3</v>
      </c>
      <c r="K254" s="22">
        <v>251</v>
      </c>
      <c r="L254" s="12"/>
      <c r="Q254" s="15">
        <f t="shared" si="74"/>
        <v>251</v>
      </c>
      <c r="R254" s="2">
        <f t="shared" si="70"/>
        <v>43830</v>
      </c>
      <c r="S254" s="9">
        <f t="shared" ca="1" si="75"/>
        <v>4.284716442866255E-3</v>
      </c>
      <c r="T254" s="9">
        <f t="shared" ca="1" si="76"/>
        <v>5.4747698062456423E-3</v>
      </c>
      <c r="U254" s="9">
        <f t="shared" ca="1" si="77"/>
        <v>8.2561451563166223E-3</v>
      </c>
      <c r="AB254" s="33" t="e">
        <f t="shared" ca="1" si="83"/>
        <v>#N/A</v>
      </c>
      <c r="AC254" s="34" t="e">
        <f t="shared" ca="1" si="84"/>
        <v>#N/A</v>
      </c>
      <c r="AD254" s="34" t="e">
        <f t="shared" ca="1" si="85"/>
        <v>#N/A</v>
      </c>
      <c r="AE254" s="33" t="e">
        <f t="shared" ca="1" si="86"/>
        <v>#N/A</v>
      </c>
      <c r="AF254" s="34" t="e">
        <f t="shared" ca="1" si="78"/>
        <v>#N/A</v>
      </c>
      <c r="AG254" s="34" t="e">
        <f t="shared" ca="1" si="79"/>
        <v>#N/A</v>
      </c>
      <c r="AH254" s="34" t="e">
        <f t="shared" ca="1" si="80"/>
        <v>#N/A</v>
      </c>
      <c r="AI254" s="33" t="e">
        <f t="shared" ca="1" si="87"/>
        <v>#N/A</v>
      </c>
      <c r="AJ254" s="34" t="e">
        <f t="shared" ca="1" si="88"/>
        <v>#N/A</v>
      </c>
      <c r="AK254" s="34" t="e">
        <f t="shared" ca="1" si="81"/>
        <v>#N/A</v>
      </c>
      <c r="AL254" s="34" t="e">
        <f t="shared" ca="1" si="82"/>
        <v>#N/A</v>
      </c>
      <c r="AM254" s="33" t="e">
        <f t="shared" ca="1" si="89"/>
        <v>#N/A</v>
      </c>
      <c r="AN254" s="34" t="e">
        <f t="shared" ca="1" si="90"/>
        <v>#N/A</v>
      </c>
    </row>
    <row r="255" spans="1:40" x14ac:dyDescent="0.3">
      <c r="A255" s="2">
        <v>43832</v>
      </c>
      <c r="B255" s="9">
        <v>63.75</v>
      </c>
      <c r="C255" s="9">
        <v>118.790001</v>
      </c>
      <c r="D255" s="9">
        <v>95.129997000000003</v>
      </c>
      <c r="E255" s="10"/>
      <c r="F255" s="13">
        <v>252</v>
      </c>
      <c r="G255" s="2">
        <v>43832</v>
      </c>
      <c r="H255" s="14">
        <f t="shared" si="71"/>
        <v>9.4563035714105102E-3</v>
      </c>
      <c r="I255" s="14">
        <f t="shared" si="72"/>
        <v>1.3304717140414703E-2</v>
      </c>
      <c r="J255" s="14">
        <f t="shared" si="73"/>
        <v>1.5679895436361509E-2</v>
      </c>
      <c r="K255" s="22">
        <v>252</v>
      </c>
      <c r="L255" s="12"/>
      <c r="Q255" s="15">
        <f t="shared" si="74"/>
        <v>252</v>
      </c>
      <c r="R255" s="2">
        <f t="shared" si="70"/>
        <v>43832</v>
      </c>
      <c r="S255" s="9">
        <f t="shared" ca="1" si="75"/>
        <v>9.4563035714105102E-3</v>
      </c>
      <c r="T255" s="9">
        <f t="shared" ca="1" si="76"/>
        <v>1.3304717140414703E-2</v>
      </c>
      <c r="U255" s="9">
        <f t="shared" ca="1" si="77"/>
        <v>1.5679895436361509E-2</v>
      </c>
      <c r="AB255" s="33" t="e">
        <f t="shared" ca="1" si="83"/>
        <v>#N/A</v>
      </c>
      <c r="AC255" s="34" t="e">
        <f t="shared" ca="1" si="84"/>
        <v>#N/A</v>
      </c>
      <c r="AD255" s="34" t="e">
        <f t="shared" ca="1" si="85"/>
        <v>#N/A</v>
      </c>
      <c r="AE255" s="33" t="e">
        <f t="shared" ca="1" si="86"/>
        <v>#N/A</v>
      </c>
      <c r="AF255" s="34" t="e">
        <f t="shared" ca="1" si="78"/>
        <v>#N/A</v>
      </c>
      <c r="AG255" s="34" t="e">
        <f t="shared" ca="1" si="79"/>
        <v>#N/A</v>
      </c>
      <c r="AH255" s="34" t="e">
        <f t="shared" ca="1" si="80"/>
        <v>#N/A</v>
      </c>
      <c r="AI255" s="33" t="e">
        <f t="shared" ca="1" si="87"/>
        <v>#N/A</v>
      </c>
      <c r="AJ255" s="34" t="e">
        <f t="shared" ca="1" si="88"/>
        <v>#N/A</v>
      </c>
      <c r="AK255" s="34" t="e">
        <f t="shared" ca="1" si="81"/>
        <v>#N/A</v>
      </c>
      <c r="AL255" s="34" t="e">
        <f t="shared" ca="1" si="82"/>
        <v>#N/A</v>
      </c>
      <c r="AM255" s="33" t="e">
        <f t="shared" ca="1" si="89"/>
        <v>#N/A</v>
      </c>
      <c r="AN255" s="34" t="e">
        <f t="shared" ca="1" si="90"/>
        <v>#N/A</v>
      </c>
    </row>
    <row r="256" spans="1:40" x14ac:dyDescent="0.3">
      <c r="A256" s="2">
        <v>43833</v>
      </c>
      <c r="B256" s="9">
        <v>63.310001</v>
      </c>
      <c r="C256" s="9">
        <v>118.160004</v>
      </c>
      <c r="D256" s="9">
        <v>91.519997000000004</v>
      </c>
      <c r="E256" s="10"/>
      <c r="F256" s="13">
        <v>253</v>
      </c>
      <c r="G256" s="2">
        <v>43833</v>
      </c>
      <c r="H256" s="14">
        <f t="shared" si="71"/>
        <v>-6.9258736872074836E-3</v>
      </c>
      <c r="I256" s="14">
        <f t="shared" si="72"/>
        <v>-5.3175646441379698E-3</v>
      </c>
      <c r="J256" s="14">
        <f t="shared" si="73"/>
        <v>-3.8686850830805072E-2</v>
      </c>
      <c r="K256" s="22">
        <v>253</v>
      </c>
      <c r="L256" s="12"/>
      <c r="Q256" s="15">
        <f t="shared" si="74"/>
        <v>253</v>
      </c>
      <c r="R256" s="2">
        <f t="shared" si="70"/>
        <v>43833</v>
      </c>
      <c r="S256" s="9">
        <f t="shared" ca="1" si="75"/>
        <v>-6.9258736872074836E-3</v>
      </c>
      <c r="T256" s="9">
        <f t="shared" ca="1" si="76"/>
        <v>-5.3175646441379698E-3</v>
      </c>
      <c r="U256" s="9">
        <f t="shared" ca="1" si="77"/>
        <v>-3.8686850830805072E-2</v>
      </c>
      <c r="AB256" s="33" t="e">
        <f t="shared" ca="1" si="83"/>
        <v>#N/A</v>
      </c>
      <c r="AC256" s="34" t="e">
        <f t="shared" ca="1" si="84"/>
        <v>#N/A</v>
      </c>
      <c r="AD256" s="34" t="e">
        <f t="shared" ca="1" si="85"/>
        <v>#N/A</v>
      </c>
      <c r="AE256" s="33" t="e">
        <f t="shared" ca="1" si="86"/>
        <v>#N/A</v>
      </c>
      <c r="AF256" s="34" t="e">
        <f t="shared" ca="1" si="78"/>
        <v>#N/A</v>
      </c>
      <c r="AG256" s="34" t="e">
        <f t="shared" ca="1" si="79"/>
        <v>#N/A</v>
      </c>
      <c r="AH256" s="34" t="e">
        <f t="shared" ca="1" si="80"/>
        <v>#N/A</v>
      </c>
      <c r="AI256" s="33" t="e">
        <f t="shared" ca="1" si="87"/>
        <v>#N/A</v>
      </c>
      <c r="AJ256" s="34" t="e">
        <f t="shared" ca="1" si="88"/>
        <v>#N/A</v>
      </c>
      <c r="AK256" s="34" t="e">
        <f t="shared" ca="1" si="81"/>
        <v>#N/A</v>
      </c>
      <c r="AL256" s="34" t="e">
        <f t="shared" ca="1" si="82"/>
        <v>#N/A</v>
      </c>
      <c r="AM256" s="33" t="e">
        <f t="shared" ca="1" si="89"/>
        <v>#N/A</v>
      </c>
      <c r="AN256" s="34" t="e">
        <f t="shared" ca="1" si="90"/>
        <v>#N/A</v>
      </c>
    </row>
    <row r="257" spans="1:40" x14ac:dyDescent="0.3">
      <c r="A257" s="2">
        <v>43836</v>
      </c>
      <c r="B257" s="9">
        <v>62.810001</v>
      </c>
      <c r="C257" s="9">
        <v>119.80999799999999</v>
      </c>
      <c r="D257" s="9">
        <v>91.529999000000004</v>
      </c>
      <c r="E257" s="10"/>
      <c r="F257" s="13">
        <v>254</v>
      </c>
      <c r="G257" s="2">
        <v>43836</v>
      </c>
      <c r="H257" s="14">
        <f t="shared" si="71"/>
        <v>-7.9289979640070826E-3</v>
      </c>
      <c r="I257" s="14">
        <f t="shared" si="72"/>
        <v>1.3867465883182793E-2</v>
      </c>
      <c r="J257" s="14">
        <f t="shared" si="73"/>
        <v>1.0928161954122695E-4</v>
      </c>
      <c r="K257" s="22">
        <v>254</v>
      </c>
      <c r="L257" s="12"/>
      <c r="Q257" s="15">
        <f t="shared" si="74"/>
        <v>254</v>
      </c>
      <c r="R257" s="2">
        <f t="shared" si="70"/>
        <v>43836</v>
      </c>
      <c r="S257" s="9">
        <f t="shared" ca="1" si="75"/>
        <v>-7.9289979640070826E-3</v>
      </c>
      <c r="T257" s="9">
        <f t="shared" ca="1" si="76"/>
        <v>1.3867465883182793E-2</v>
      </c>
      <c r="U257" s="9">
        <f t="shared" ca="1" si="77"/>
        <v>1.0928161954122695E-4</v>
      </c>
      <c r="AB257" s="33" t="e">
        <f t="shared" ca="1" si="83"/>
        <v>#N/A</v>
      </c>
      <c r="AC257" s="34" t="e">
        <f t="shared" ca="1" si="84"/>
        <v>#N/A</v>
      </c>
      <c r="AD257" s="34" t="e">
        <f t="shared" ca="1" si="85"/>
        <v>#N/A</v>
      </c>
      <c r="AE257" s="33" t="e">
        <f t="shared" ca="1" si="86"/>
        <v>#N/A</v>
      </c>
      <c r="AF257" s="34" t="e">
        <f t="shared" ca="1" si="78"/>
        <v>#N/A</v>
      </c>
      <c r="AG257" s="34" t="e">
        <f t="shared" ca="1" si="79"/>
        <v>#N/A</v>
      </c>
      <c r="AH257" s="34" t="e">
        <f t="shared" ca="1" si="80"/>
        <v>#N/A</v>
      </c>
      <c r="AI257" s="33" t="e">
        <f t="shared" ca="1" si="87"/>
        <v>#N/A</v>
      </c>
      <c r="AJ257" s="34" t="e">
        <f t="shared" ca="1" si="88"/>
        <v>#N/A</v>
      </c>
      <c r="AK257" s="34" t="e">
        <f t="shared" ca="1" si="81"/>
        <v>#N/A</v>
      </c>
      <c r="AL257" s="34" t="e">
        <f t="shared" ca="1" si="82"/>
        <v>#N/A</v>
      </c>
      <c r="AM257" s="33" t="e">
        <f t="shared" ca="1" si="89"/>
        <v>#N/A</v>
      </c>
      <c r="AN257" s="34" t="e">
        <f t="shared" ca="1" si="90"/>
        <v>#N/A</v>
      </c>
    </row>
    <row r="258" spans="1:40" x14ac:dyDescent="0.3">
      <c r="A258" s="2">
        <v>43837</v>
      </c>
      <c r="B258" s="9">
        <v>62.849997999999999</v>
      </c>
      <c r="C258" s="9">
        <v>120.33000199999999</v>
      </c>
      <c r="D258" s="9">
        <v>92.730002999999996</v>
      </c>
      <c r="E258" s="10"/>
      <c r="F258" s="13">
        <v>255</v>
      </c>
      <c r="G258" s="2">
        <v>43837</v>
      </c>
      <c r="H258" s="14">
        <f t="shared" si="71"/>
        <v>6.3659082713712336E-4</v>
      </c>
      <c r="I258" s="14">
        <f t="shared" si="72"/>
        <v>4.3308471123200418E-3</v>
      </c>
      <c r="J258" s="14">
        <f t="shared" si="73"/>
        <v>1.3025300692815508E-2</v>
      </c>
      <c r="K258" s="22">
        <v>255</v>
      </c>
      <c r="L258" s="12"/>
      <c r="Q258" s="15">
        <f t="shared" si="74"/>
        <v>255</v>
      </c>
      <c r="R258" s="2">
        <f t="shared" si="70"/>
        <v>43837</v>
      </c>
      <c r="S258" s="9">
        <f t="shared" ca="1" si="75"/>
        <v>6.3659082713712336E-4</v>
      </c>
      <c r="T258" s="9">
        <f t="shared" ca="1" si="76"/>
        <v>4.3308471123200418E-3</v>
      </c>
      <c r="U258" s="9">
        <f t="shared" ca="1" si="77"/>
        <v>1.3025300692815508E-2</v>
      </c>
      <c r="AB258" s="33" t="e">
        <f t="shared" ca="1" si="83"/>
        <v>#N/A</v>
      </c>
      <c r="AC258" s="34" t="e">
        <f t="shared" ca="1" si="84"/>
        <v>#N/A</v>
      </c>
      <c r="AD258" s="34" t="e">
        <f t="shared" ca="1" si="85"/>
        <v>#N/A</v>
      </c>
      <c r="AE258" s="33" t="e">
        <f t="shared" ca="1" si="86"/>
        <v>#N/A</v>
      </c>
      <c r="AF258" s="34" t="e">
        <f t="shared" ca="1" si="78"/>
        <v>#N/A</v>
      </c>
      <c r="AG258" s="34" t="e">
        <f t="shared" ca="1" si="79"/>
        <v>#N/A</v>
      </c>
      <c r="AH258" s="34" t="e">
        <f t="shared" ca="1" si="80"/>
        <v>#N/A</v>
      </c>
      <c r="AI258" s="33" t="e">
        <f t="shared" ca="1" si="87"/>
        <v>#N/A</v>
      </c>
      <c r="AJ258" s="34" t="e">
        <f t="shared" ca="1" si="88"/>
        <v>#N/A</v>
      </c>
      <c r="AK258" s="34" t="e">
        <f t="shared" ca="1" si="81"/>
        <v>#N/A</v>
      </c>
      <c r="AL258" s="34" t="e">
        <f t="shared" ca="1" si="82"/>
        <v>#N/A</v>
      </c>
      <c r="AM258" s="33" t="e">
        <f t="shared" ca="1" si="89"/>
        <v>#N/A</v>
      </c>
      <c r="AN258" s="34" t="e">
        <f t="shared" ca="1" si="90"/>
        <v>#N/A</v>
      </c>
    </row>
    <row r="259" spans="1:40" x14ac:dyDescent="0.3">
      <c r="A259" s="2">
        <v>43838</v>
      </c>
      <c r="B259" s="9">
        <v>62.919998</v>
      </c>
      <c r="C259" s="9">
        <v>120</v>
      </c>
      <c r="D259" s="9">
        <v>93.089995999999999</v>
      </c>
      <c r="E259" s="10"/>
      <c r="F259" s="13">
        <v>256</v>
      </c>
      <c r="G259" s="2">
        <v>43838</v>
      </c>
      <c r="H259" s="14">
        <f t="shared" si="71"/>
        <v>1.1131431892231331E-3</v>
      </c>
      <c r="I259" s="14">
        <f t="shared" si="72"/>
        <v>-2.7462422889840163E-3</v>
      </c>
      <c r="J259" s="14">
        <f t="shared" si="73"/>
        <v>3.8746469951043317E-3</v>
      </c>
      <c r="K259" s="22">
        <v>256</v>
      </c>
      <c r="L259" s="12"/>
      <c r="Q259" s="15">
        <f t="shared" si="74"/>
        <v>256</v>
      </c>
      <c r="R259" s="2">
        <f t="shared" si="70"/>
        <v>43838</v>
      </c>
      <c r="S259" s="9">
        <f t="shared" ca="1" si="75"/>
        <v>1.1131431892231331E-3</v>
      </c>
      <c r="T259" s="9">
        <f t="shared" ca="1" si="76"/>
        <v>-2.7462422889840163E-3</v>
      </c>
      <c r="U259" s="9">
        <f t="shared" ca="1" si="77"/>
        <v>3.8746469951043317E-3</v>
      </c>
      <c r="AB259" s="33" t="e">
        <f t="shared" ca="1" si="83"/>
        <v>#N/A</v>
      </c>
      <c r="AC259" s="34" t="e">
        <f t="shared" ca="1" si="84"/>
        <v>#N/A</v>
      </c>
      <c r="AD259" s="34" t="e">
        <f t="shared" ca="1" si="85"/>
        <v>#N/A</v>
      </c>
      <c r="AE259" s="33" t="e">
        <f t="shared" ca="1" si="86"/>
        <v>#N/A</v>
      </c>
      <c r="AF259" s="34" t="e">
        <f t="shared" ca="1" si="78"/>
        <v>#N/A</v>
      </c>
      <c r="AG259" s="34" t="e">
        <f t="shared" ca="1" si="79"/>
        <v>#N/A</v>
      </c>
      <c r="AH259" s="34" t="e">
        <f t="shared" ca="1" si="80"/>
        <v>#N/A</v>
      </c>
      <c r="AI259" s="33" t="e">
        <f t="shared" ca="1" si="87"/>
        <v>#N/A</v>
      </c>
      <c r="AJ259" s="34" t="e">
        <f t="shared" ca="1" si="88"/>
        <v>#N/A</v>
      </c>
      <c r="AK259" s="34" t="e">
        <f t="shared" ca="1" si="81"/>
        <v>#N/A</v>
      </c>
      <c r="AL259" s="34" t="e">
        <f t="shared" ca="1" si="82"/>
        <v>#N/A</v>
      </c>
      <c r="AM259" s="33" t="e">
        <f t="shared" ca="1" si="89"/>
        <v>#N/A</v>
      </c>
      <c r="AN259" s="34" t="e">
        <f t="shared" ca="1" si="90"/>
        <v>#N/A</v>
      </c>
    </row>
    <row r="260" spans="1:40" x14ac:dyDescent="0.3">
      <c r="A260" s="2">
        <v>43839</v>
      </c>
      <c r="B260" s="9">
        <v>63.560001</v>
      </c>
      <c r="C260" s="9">
        <v>117.93</v>
      </c>
      <c r="D260" s="9">
        <v>95.18</v>
      </c>
      <c r="E260" s="10"/>
      <c r="F260" s="13">
        <v>257</v>
      </c>
      <c r="G260" s="2">
        <v>43839</v>
      </c>
      <c r="H260" s="14">
        <f t="shared" si="71"/>
        <v>1.0120310997999486E-2</v>
      </c>
      <c r="I260" s="14">
        <f t="shared" si="72"/>
        <v>-1.7400514680167335E-2</v>
      </c>
      <c r="J260" s="14">
        <f t="shared" si="73"/>
        <v>2.2203111533736445E-2</v>
      </c>
      <c r="K260" s="22">
        <v>257</v>
      </c>
      <c r="L260" s="12"/>
      <c r="Q260" s="15">
        <f t="shared" si="74"/>
        <v>257</v>
      </c>
      <c r="R260" s="2">
        <f t="shared" ref="R260:R323" si="91">IF(Q260="","",VLOOKUP(Q260,F260:J1517,2))</f>
        <v>43839</v>
      </c>
      <c r="S260" s="9">
        <f t="shared" ca="1" si="75"/>
        <v>1.0120310997999486E-2</v>
      </c>
      <c r="T260" s="9">
        <f t="shared" ca="1" si="76"/>
        <v>-1.7400514680167335E-2</v>
      </c>
      <c r="U260" s="9">
        <f t="shared" ca="1" si="77"/>
        <v>2.2203111533736445E-2</v>
      </c>
      <c r="AB260" s="33" t="e">
        <f t="shared" ca="1" si="83"/>
        <v>#N/A</v>
      </c>
      <c r="AC260" s="34" t="e">
        <f t="shared" ca="1" si="84"/>
        <v>#N/A</v>
      </c>
      <c r="AD260" s="34" t="e">
        <f t="shared" ca="1" si="85"/>
        <v>#N/A</v>
      </c>
      <c r="AE260" s="33" t="e">
        <f t="shared" ca="1" si="86"/>
        <v>#N/A</v>
      </c>
      <c r="AF260" s="34" t="e">
        <f t="shared" ca="1" si="78"/>
        <v>#N/A</v>
      </c>
      <c r="AG260" s="34" t="e">
        <f t="shared" ca="1" si="79"/>
        <v>#N/A</v>
      </c>
      <c r="AH260" s="34" t="e">
        <f t="shared" ca="1" si="80"/>
        <v>#N/A</v>
      </c>
      <c r="AI260" s="33" t="e">
        <f t="shared" ca="1" si="87"/>
        <v>#N/A</v>
      </c>
      <c r="AJ260" s="34" t="e">
        <f t="shared" ca="1" si="88"/>
        <v>#N/A</v>
      </c>
      <c r="AK260" s="34" t="e">
        <f t="shared" ca="1" si="81"/>
        <v>#N/A</v>
      </c>
      <c r="AL260" s="34" t="e">
        <f t="shared" ca="1" si="82"/>
        <v>#N/A</v>
      </c>
      <c r="AM260" s="33" t="e">
        <f t="shared" ca="1" si="89"/>
        <v>#N/A</v>
      </c>
      <c r="AN260" s="34" t="e">
        <f t="shared" ca="1" si="90"/>
        <v>#N/A</v>
      </c>
    </row>
    <row r="261" spans="1:40" x14ac:dyDescent="0.3">
      <c r="A261" s="2">
        <v>43840</v>
      </c>
      <c r="B261" s="9">
        <v>63.080002</v>
      </c>
      <c r="C261" s="9">
        <v>117.959999</v>
      </c>
      <c r="D261" s="9">
        <v>96.889999000000003</v>
      </c>
      <c r="E261" s="10"/>
      <c r="F261" s="13">
        <v>258</v>
      </c>
      <c r="G261" s="2">
        <v>43840</v>
      </c>
      <c r="H261" s="14">
        <f t="shared" ref="H261:H324" si="92">LN(B261/B260)</f>
        <v>-7.5805636010729763E-3</v>
      </c>
      <c r="I261" s="14">
        <f t="shared" ref="I261:I324" si="93">LN(C261/C260)</f>
        <v>2.5434736774679339E-4</v>
      </c>
      <c r="J261" s="14">
        <f t="shared" ref="J261:J324" si="94">LN(D261/D260)</f>
        <v>1.7806468382965703E-2</v>
      </c>
      <c r="K261" s="22">
        <v>258</v>
      </c>
      <c r="L261" s="12"/>
      <c r="Q261" s="15">
        <f t="shared" ref="Q261:Q324" si="95">IF(Q260="","",IF(Q260+1&lt;=$M$6,Q260+1,""))</f>
        <v>258</v>
      </c>
      <c r="R261" s="2">
        <f t="shared" si="91"/>
        <v>43840</v>
      </c>
      <c r="S261" s="9">
        <f t="shared" ref="S261:S324" ca="1" si="96">IF(Q261="","",OFFSET(H$3,$Q261,0))</f>
        <v>-7.5805636010729763E-3</v>
      </c>
      <c r="T261" s="9">
        <f t="shared" ref="T261:T324" ca="1" si="97">IF(R261="","",OFFSET(I$3,$Q261,0))</f>
        <v>2.5434736774679339E-4</v>
      </c>
      <c r="U261" s="9">
        <f t="shared" ref="U261:U324" ca="1" si="98">IF(S261="","",OFFSET(J$3,$Q261,0))</f>
        <v>1.7806468382965703E-2</v>
      </c>
      <c r="AB261" s="33" t="e">
        <f t="shared" ca="1" si="83"/>
        <v>#N/A</v>
      </c>
      <c r="AC261" s="34" t="e">
        <f t="shared" ca="1" si="84"/>
        <v>#N/A</v>
      </c>
      <c r="AD261" s="34" t="e">
        <f t="shared" ca="1" si="85"/>
        <v>#N/A</v>
      </c>
      <c r="AE261" s="33" t="e">
        <f t="shared" ca="1" si="86"/>
        <v>#N/A</v>
      </c>
      <c r="AF261" s="34" t="e">
        <f t="shared" ref="AF261:AF324" ca="1" si="99">IF(AB261&lt;=$X$6,(AE261/$X$5)/$X$7,"")</f>
        <v>#N/A</v>
      </c>
      <c r="AG261" s="34" t="e">
        <f t="shared" ref="AG261:AG324" ca="1" si="100">IF(AB261&lt;=$Y$6,AG260+$Y$7,"")</f>
        <v>#N/A</v>
      </c>
      <c r="AH261" s="34" t="e">
        <f t="shared" ref="AH261:AH324" ca="1" si="101">IF(AB261&lt;=$Y$6,AG261-$Y$7/2,"")</f>
        <v>#N/A</v>
      </c>
      <c r="AI261" s="33" t="e">
        <f t="shared" ca="1" si="87"/>
        <v>#N/A</v>
      </c>
      <c r="AJ261" s="34" t="e">
        <f t="shared" ca="1" si="88"/>
        <v>#N/A</v>
      </c>
      <c r="AK261" s="34" t="e">
        <f t="shared" ref="AK261:AK324" ca="1" si="102">IF(AB261&lt;=$Z$6,AK260+$Z$7,"")</f>
        <v>#N/A</v>
      </c>
      <c r="AL261" s="34" t="e">
        <f t="shared" ref="AL261:AL324" ca="1" si="103">IF(AB261&lt;=$Z$6,AK261-$Z$7/2,"")</f>
        <v>#N/A</v>
      </c>
      <c r="AM261" s="33" t="e">
        <f t="shared" ca="1" si="89"/>
        <v>#N/A</v>
      </c>
      <c r="AN261" s="34" t="e">
        <f t="shared" ca="1" si="90"/>
        <v>#N/A</v>
      </c>
    </row>
    <row r="262" spans="1:40" x14ac:dyDescent="0.3">
      <c r="A262" s="2">
        <v>43843</v>
      </c>
      <c r="B262" s="9">
        <v>62.48</v>
      </c>
      <c r="C262" s="9">
        <v>119.849998</v>
      </c>
      <c r="D262" s="9">
        <v>96.25</v>
      </c>
      <c r="E262" s="10"/>
      <c r="F262" s="13">
        <v>259</v>
      </c>
      <c r="G262" s="2">
        <v>43843</v>
      </c>
      <c r="H262" s="14">
        <f t="shared" si="92"/>
        <v>-9.5572882691771222E-3</v>
      </c>
      <c r="I262" s="14">
        <f t="shared" si="93"/>
        <v>1.5895368723241734E-2</v>
      </c>
      <c r="J262" s="14">
        <f t="shared" si="94"/>
        <v>-6.6273309080366197E-3</v>
      </c>
      <c r="K262" s="22">
        <v>259</v>
      </c>
      <c r="L262" s="12"/>
      <c r="Q262" s="15">
        <f t="shared" si="95"/>
        <v>259</v>
      </c>
      <c r="R262" s="2">
        <f t="shared" si="91"/>
        <v>43843</v>
      </c>
      <c r="S262" s="9">
        <f t="shared" ca="1" si="96"/>
        <v>-9.5572882691771222E-3</v>
      </c>
      <c r="T262" s="9">
        <f t="shared" ca="1" si="97"/>
        <v>1.5895368723241734E-2</v>
      </c>
      <c r="U262" s="9">
        <f t="shared" ca="1" si="98"/>
        <v>-6.6273309080366197E-3</v>
      </c>
      <c r="AB262" s="33" t="e">
        <f t="shared" ref="AB262:AB325" ca="1" si="104">IF(AB261&lt;$X$6,AB261+1,NA())</f>
        <v>#N/A</v>
      </c>
      <c r="AC262" s="34" t="e">
        <f t="shared" ref="AC262:AC325" ca="1" si="105">IF(AB262&lt;=$X$6,AC261+$X$7,"")</f>
        <v>#N/A</v>
      </c>
      <c r="AD262" s="34" t="e">
        <f t="shared" ref="AD262:AD325" ca="1" si="106">IF(AB262&lt;=$X$6,AC262-$X$7/2,"")</f>
        <v>#N/A</v>
      </c>
      <c r="AE262" s="33" t="e">
        <f t="shared" ref="AE262:AE325" ca="1" si="107">IF(AB262&lt;=$X$6,COUNTIFS($S$3:$S$1260,"&gt;"&amp;AC261,$S$3:$S$1260,"&lt;="&amp;AC262),"")</f>
        <v>#N/A</v>
      </c>
      <c r="AF262" s="34" t="e">
        <f t="shared" ca="1" si="99"/>
        <v>#N/A</v>
      </c>
      <c r="AG262" s="34" t="e">
        <f t="shared" ca="1" si="100"/>
        <v>#N/A</v>
      </c>
      <c r="AH262" s="34" t="e">
        <f t="shared" ca="1" si="101"/>
        <v>#N/A</v>
      </c>
      <c r="AI262" s="33" t="e">
        <f t="shared" ref="AI262:AI325" ca="1" si="108">IF(AB262&lt;=$Y$6,COUNTIFS($T$3:$T$1260,"&gt;"&amp;AG261,$T$3:$T$1260,"&lt;="&amp;AG262),"")</f>
        <v>#N/A</v>
      </c>
      <c r="AJ262" s="34" t="e">
        <f t="shared" ref="AJ262:AJ325" ca="1" si="109">IF(AB262&lt;=$Y$6,(AI262/$Y$5)/$Y$7,"")</f>
        <v>#N/A</v>
      </c>
      <c r="AK262" s="34" t="e">
        <f t="shared" ca="1" si="102"/>
        <v>#N/A</v>
      </c>
      <c r="AL262" s="34" t="e">
        <f t="shared" ca="1" si="103"/>
        <v>#N/A</v>
      </c>
      <c r="AM262" s="33" t="e">
        <f t="shared" ref="AM262:AM325" ca="1" si="110">IF(AB262&lt;=$Z$6,COUNTIFS($U$3:$U$1260,"&gt;"&amp;AK261,$U$3:$U$1260,"&lt;="&amp;AK262),"")</f>
        <v>#N/A</v>
      </c>
      <c r="AN262" s="34" t="e">
        <f t="shared" ref="AN262:AN325" ca="1" si="111">IF(AB262&lt;=$Z$6,(AM262/$Z$5)/$Z$7,"")</f>
        <v>#N/A</v>
      </c>
    </row>
    <row r="263" spans="1:40" x14ac:dyDescent="0.3">
      <c r="A263" s="2">
        <v>43844</v>
      </c>
      <c r="B263" s="9">
        <v>62.610000999999997</v>
      </c>
      <c r="C263" s="9">
        <v>119.489998</v>
      </c>
      <c r="D263" s="9">
        <v>95.400002000000001</v>
      </c>
      <c r="E263" s="10"/>
      <c r="F263" s="13">
        <v>260</v>
      </c>
      <c r="G263" s="2">
        <v>43844</v>
      </c>
      <c r="H263" s="14">
        <f t="shared" si="92"/>
        <v>2.0785201976778488E-3</v>
      </c>
      <c r="I263" s="14">
        <f t="shared" si="93"/>
        <v>-3.0082750690070287E-3</v>
      </c>
      <c r="J263" s="14">
        <f t="shared" si="94"/>
        <v>-8.8703737492924119E-3</v>
      </c>
      <c r="K263" s="22">
        <v>260</v>
      </c>
      <c r="L263" s="12"/>
      <c r="Q263" s="15">
        <f t="shared" si="95"/>
        <v>260</v>
      </c>
      <c r="R263" s="2">
        <f t="shared" si="91"/>
        <v>43844</v>
      </c>
      <c r="S263" s="9">
        <f t="shared" ca="1" si="96"/>
        <v>2.0785201976778488E-3</v>
      </c>
      <c r="T263" s="9">
        <f t="shared" ca="1" si="97"/>
        <v>-3.0082750690070287E-3</v>
      </c>
      <c r="U263" s="9">
        <f t="shared" ca="1" si="98"/>
        <v>-8.8703737492924119E-3</v>
      </c>
      <c r="AB263" s="33" t="e">
        <f t="shared" ca="1" si="104"/>
        <v>#N/A</v>
      </c>
      <c r="AC263" s="34" t="e">
        <f t="shared" ca="1" si="105"/>
        <v>#N/A</v>
      </c>
      <c r="AD263" s="34" t="e">
        <f t="shared" ca="1" si="106"/>
        <v>#N/A</v>
      </c>
      <c r="AE263" s="33" t="e">
        <f t="shared" ca="1" si="107"/>
        <v>#N/A</v>
      </c>
      <c r="AF263" s="34" t="e">
        <f t="shared" ca="1" si="99"/>
        <v>#N/A</v>
      </c>
      <c r="AG263" s="34" t="e">
        <f t="shared" ca="1" si="100"/>
        <v>#N/A</v>
      </c>
      <c r="AH263" s="34" t="e">
        <f t="shared" ca="1" si="101"/>
        <v>#N/A</v>
      </c>
      <c r="AI263" s="33" t="e">
        <f t="shared" ca="1" si="108"/>
        <v>#N/A</v>
      </c>
      <c r="AJ263" s="34" t="e">
        <f t="shared" ca="1" si="109"/>
        <v>#N/A</v>
      </c>
      <c r="AK263" s="34" t="e">
        <f t="shared" ca="1" si="102"/>
        <v>#N/A</v>
      </c>
      <c r="AL263" s="34" t="e">
        <f t="shared" ca="1" si="103"/>
        <v>#N/A</v>
      </c>
      <c r="AM263" s="33" t="e">
        <f t="shared" ca="1" si="110"/>
        <v>#N/A</v>
      </c>
      <c r="AN263" s="34" t="e">
        <f t="shared" ca="1" si="111"/>
        <v>#N/A</v>
      </c>
    </row>
    <row r="264" spans="1:40" x14ac:dyDescent="0.3">
      <c r="A264" s="2">
        <v>43845</v>
      </c>
      <c r="B264" s="9">
        <v>63.02</v>
      </c>
      <c r="C264" s="9">
        <v>118.349998</v>
      </c>
      <c r="D264" s="9">
        <v>92.260002</v>
      </c>
      <c r="E264" s="10"/>
      <c r="F264" s="13">
        <v>261</v>
      </c>
      <c r="G264" s="2">
        <v>43845</v>
      </c>
      <c r="H264" s="14">
        <f t="shared" si="92"/>
        <v>6.5271106000203017E-3</v>
      </c>
      <c r="I264" s="14">
        <f t="shared" si="93"/>
        <v>-9.5863500628956058E-3</v>
      </c>
      <c r="J264" s="14">
        <f t="shared" si="94"/>
        <v>-3.3467899611060101E-2</v>
      </c>
      <c r="K264" s="22">
        <v>261</v>
      </c>
      <c r="L264" s="12"/>
      <c r="Q264" s="15">
        <f t="shared" si="95"/>
        <v>261</v>
      </c>
      <c r="R264" s="2">
        <f t="shared" si="91"/>
        <v>43845</v>
      </c>
      <c r="S264" s="9">
        <f t="shared" ca="1" si="96"/>
        <v>6.5271106000203017E-3</v>
      </c>
      <c r="T264" s="9">
        <f t="shared" ca="1" si="97"/>
        <v>-9.5863500628956058E-3</v>
      </c>
      <c r="U264" s="9">
        <f t="shared" ca="1" si="98"/>
        <v>-3.3467899611060101E-2</v>
      </c>
      <c r="AB264" s="33" t="e">
        <f t="shared" ca="1" si="104"/>
        <v>#N/A</v>
      </c>
      <c r="AC264" s="34" t="e">
        <f t="shared" ca="1" si="105"/>
        <v>#N/A</v>
      </c>
      <c r="AD264" s="34" t="e">
        <f t="shared" ca="1" si="106"/>
        <v>#N/A</v>
      </c>
      <c r="AE264" s="33" t="e">
        <f t="shared" ca="1" si="107"/>
        <v>#N/A</v>
      </c>
      <c r="AF264" s="34" t="e">
        <f t="shared" ca="1" si="99"/>
        <v>#N/A</v>
      </c>
      <c r="AG264" s="34" t="e">
        <f t="shared" ca="1" si="100"/>
        <v>#N/A</v>
      </c>
      <c r="AH264" s="34" t="e">
        <f t="shared" ca="1" si="101"/>
        <v>#N/A</v>
      </c>
      <c r="AI264" s="33" t="e">
        <f t="shared" ca="1" si="108"/>
        <v>#N/A</v>
      </c>
      <c r="AJ264" s="34" t="e">
        <f t="shared" ca="1" si="109"/>
        <v>#N/A</v>
      </c>
      <c r="AK264" s="34" t="e">
        <f t="shared" ca="1" si="102"/>
        <v>#N/A</v>
      </c>
      <c r="AL264" s="34" t="e">
        <f t="shared" ca="1" si="103"/>
        <v>#N/A</v>
      </c>
      <c r="AM264" s="33" t="e">
        <f t="shared" ca="1" si="110"/>
        <v>#N/A</v>
      </c>
      <c r="AN264" s="34" t="e">
        <f t="shared" ca="1" si="111"/>
        <v>#N/A</v>
      </c>
    </row>
    <row r="265" spans="1:40" x14ac:dyDescent="0.3">
      <c r="A265" s="2">
        <v>43846</v>
      </c>
      <c r="B265" s="9">
        <v>63.48</v>
      </c>
      <c r="C265" s="9">
        <v>120.30999799999999</v>
      </c>
      <c r="D265" s="9">
        <v>91.980002999999996</v>
      </c>
      <c r="E265" s="10"/>
      <c r="F265" s="13">
        <v>262</v>
      </c>
      <c r="G265" s="2">
        <v>43846</v>
      </c>
      <c r="H265" s="14">
        <f t="shared" si="92"/>
        <v>7.2727593290796569E-3</v>
      </c>
      <c r="I265" s="14">
        <f t="shared" si="93"/>
        <v>1.6425409360746428E-2</v>
      </c>
      <c r="J265" s="14">
        <f t="shared" si="94"/>
        <v>-3.0395050799779124E-3</v>
      </c>
      <c r="K265" s="22">
        <v>262</v>
      </c>
      <c r="L265" s="12"/>
      <c r="Q265" s="15">
        <f t="shared" si="95"/>
        <v>262</v>
      </c>
      <c r="R265" s="2">
        <f t="shared" si="91"/>
        <v>43846</v>
      </c>
      <c r="S265" s="9">
        <f t="shared" ca="1" si="96"/>
        <v>7.2727593290796569E-3</v>
      </c>
      <c r="T265" s="9">
        <f t="shared" ca="1" si="97"/>
        <v>1.6425409360746428E-2</v>
      </c>
      <c r="U265" s="9">
        <f t="shared" ca="1" si="98"/>
        <v>-3.0395050799779124E-3</v>
      </c>
      <c r="AB265" s="33" t="e">
        <f t="shared" ca="1" si="104"/>
        <v>#N/A</v>
      </c>
      <c r="AC265" s="34" t="e">
        <f t="shared" ca="1" si="105"/>
        <v>#N/A</v>
      </c>
      <c r="AD265" s="34" t="e">
        <f t="shared" ca="1" si="106"/>
        <v>#N/A</v>
      </c>
      <c r="AE265" s="33" t="e">
        <f t="shared" ca="1" si="107"/>
        <v>#N/A</v>
      </c>
      <c r="AF265" s="34" t="e">
        <f t="shared" ca="1" si="99"/>
        <v>#N/A</v>
      </c>
      <c r="AG265" s="34" t="e">
        <f t="shared" ca="1" si="100"/>
        <v>#N/A</v>
      </c>
      <c r="AH265" s="34" t="e">
        <f t="shared" ca="1" si="101"/>
        <v>#N/A</v>
      </c>
      <c r="AI265" s="33" t="e">
        <f t="shared" ca="1" si="108"/>
        <v>#N/A</v>
      </c>
      <c r="AJ265" s="34" t="e">
        <f t="shared" ca="1" si="109"/>
        <v>#N/A</v>
      </c>
      <c r="AK265" s="34" t="e">
        <f t="shared" ca="1" si="102"/>
        <v>#N/A</v>
      </c>
      <c r="AL265" s="34" t="e">
        <f t="shared" ca="1" si="103"/>
        <v>#N/A</v>
      </c>
      <c r="AM265" s="33" t="e">
        <f t="shared" ca="1" si="110"/>
        <v>#N/A</v>
      </c>
      <c r="AN265" s="34" t="e">
        <f t="shared" ca="1" si="111"/>
        <v>#N/A</v>
      </c>
    </row>
    <row r="266" spans="1:40" x14ac:dyDescent="0.3">
      <c r="A266" s="2">
        <v>43847</v>
      </c>
      <c r="B266" s="9">
        <v>63.34</v>
      </c>
      <c r="C266" s="9">
        <v>122.099998</v>
      </c>
      <c r="D266" s="9">
        <v>91.220000999999996</v>
      </c>
      <c r="E266" s="10"/>
      <c r="F266" s="13">
        <v>263</v>
      </c>
      <c r="G266" s="2">
        <v>43847</v>
      </c>
      <c r="H266" s="14">
        <f t="shared" si="92"/>
        <v>-2.2078545477145334E-3</v>
      </c>
      <c r="I266" s="14">
        <f t="shared" si="93"/>
        <v>1.476863631493157E-2</v>
      </c>
      <c r="J266" s="14">
        <f t="shared" si="94"/>
        <v>-8.2970124815006981E-3</v>
      </c>
      <c r="K266" s="22">
        <v>263</v>
      </c>
      <c r="L266" s="12"/>
      <c r="Q266" s="15">
        <f t="shared" si="95"/>
        <v>263</v>
      </c>
      <c r="R266" s="2">
        <f t="shared" si="91"/>
        <v>43847</v>
      </c>
      <c r="S266" s="9">
        <f t="shared" ca="1" si="96"/>
        <v>-2.2078545477145334E-3</v>
      </c>
      <c r="T266" s="9">
        <f t="shared" ca="1" si="97"/>
        <v>1.476863631493157E-2</v>
      </c>
      <c r="U266" s="9">
        <f t="shared" ca="1" si="98"/>
        <v>-8.2970124815006981E-3</v>
      </c>
      <c r="AB266" s="33" t="e">
        <f t="shared" ca="1" si="104"/>
        <v>#N/A</v>
      </c>
      <c r="AC266" s="34" t="e">
        <f t="shared" ca="1" si="105"/>
        <v>#N/A</v>
      </c>
      <c r="AD266" s="34" t="e">
        <f t="shared" ca="1" si="106"/>
        <v>#N/A</v>
      </c>
      <c r="AE266" s="33" t="e">
        <f t="shared" ca="1" si="107"/>
        <v>#N/A</v>
      </c>
      <c r="AF266" s="34" t="e">
        <f t="shared" ca="1" si="99"/>
        <v>#N/A</v>
      </c>
      <c r="AG266" s="34" t="e">
        <f t="shared" ca="1" si="100"/>
        <v>#N/A</v>
      </c>
      <c r="AH266" s="34" t="e">
        <f t="shared" ca="1" si="101"/>
        <v>#N/A</v>
      </c>
      <c r="AI266" s="33" t="e">
        <f t="shared" ca="1" si="108"/>
        <v>#N/A</v>
      </c>
      <c r="AJ266" s="34" t="e">
        <f t="shared" ca="1" si="109"/>
        <v>#N/A</v>
      </c>
      <c r="AK266" s="34" t="e">
        <f t="shared" ca="1" si="102"/>
        <v>#N/A</v>
      </c>
      <c r="AL266" s="34" t="e">
        <f t="shared" ca="1" si="103"/>
        <v>#N/A</v>
      </c>
      <c r="AM266" s="33" t="e">
        <f t="shared" ca="1" si="110"/>
        <v>#N/A</v>
      </c>
      <c r="AN266" s="34" t="e">
        <f t="shared" ca="1" si="111"/>
        <v>#N/A</v>
      </c>
    </row>
    <row r="267" spans="1:40" x14ac:dyDescent="0.3">
      <c r="A267" s="2">
        <v>43851</v>
      </c>
      <c r="B267" s="9">
        <v>62.580002</v>
      </c>
      <c r="C267" s="9">
        <v>119.010002</v>
      </c>
      <c r="D267" s="9">
        <v>90.25</v>
      </c>
      <c r="E267" s="10"/>
      <c r="F267" s="13">
        <v>264</v>
      </c>
      <c r="G267" s="2">
        <v>43851</v>
      </c>
      <c r="H267" s="14">
        <f t="shared" si="92"/>
        <v>-1.2071270910665878E-2</v>
      </c>
      <c r="I267" s="14">
        <f t="shared" si="93"/>
        <v>-2.5632824736983684E-2</v>
      </c>
      <c r="J267" s="14">
        <f t="shared" si="94"/>
        <v>-1.0690585033072186E-2</v>
      </c>
      <c r="K267" s="22">
        <v>264</v>
      </c>
      <c r="L267" s="12"/>
      <c r="Q267" s="15">
        <f t="shared" si="95"/>
        <v>264</v>
      </c>
      <c r="R267" s="2">
        <f t="shared" si="91"/>
        <v>43851</v>
      </c>
      <c r="S267" s="9">
        <f t="shared" ca="1" si="96"/>
        <v>-1.2071270910665878E-2</v>
      </c>
      <c r="T267" s="9">
        <f t="shared" ca="1" si="97"/>
        <v>-2.5632824736983684E-2</v>
      </c>
      <c r="U267" s="9">
        <f t="shared" ca="1" si="98"/>
        <v>-1.0690585033072186E-2</v>
      </c>
      <c r="AB267" s="33" t="e">
        <f t="shared" ca="1" si="104"/>
        <v>#N/A</v>
      </c>
      <c r="AC267" s="34" t="e">
        <f t="shared" ca="1" si="105"/>
        <v>#N/A</v>
      </c>
      <c r="AD267" s="34" t="e">
        <f t="shared" ca="1" si="106"/>
        <v>#N/A</v>
      </c>
      <c r="AE267" s="33" t="e">
        <f t="shared" ca="1" si="107"/>
        <v>#N/A</v>
      </c>
      <c r="AF267" s="34" t="e">
        <f t="shared" ca="1" si="99"/>
        <v>#N/A</v>
      </c>
      <c r="AG267" s="34" t="e">
        <f t="shared" ca="1" si="100"/>
        <v>#N/A</v>
      </c>
      <c r="AH267" s="34" t="e">
        <f t="shared" ca="1" si="101"/>
        <v>#N/A</v>
      </c>
      <c r="AI267" s="33" t="e">
        <f t="shared" ca="1" si="108"/>
        <v>#N/A</v>
      </c>
      <c r="AJ267" s="34" t="e">
        <f t="shared" ca="1" si="109"/>
        <v>#N/A</v>
      </c>
      <c r="AK267" s="34" t="e">
        <f t="shared" ca="1" si="102"/>
        <v>#N/A</v>
      </c>
      <c r="AL267" s="34" t="e">
        <f t="shared" ca="1" si="103"/>
        <v>#N/A</v>
      </c>
      <c r="AM267" s="33" t="e">
        <f t="shared" ca="1" si="110"/>
        <v>#N/A</v>
      </c>
      <c r="AN267" s="34" t="e">
        <f t="shared" ca="1" si="111"/>
        <v>#N/A</v>
      </c>
    </row>
    <row r="268" spans="1:40" x14ac:dyDescent="0.3">
      <c r="A268" s="2">
        <v>43852</v>
      </c>
      <c r="B268" s="9">
        <v>62.32</v>
      </c>
      <c r="C268" s="9">
        <v>117.269997</v>
      </c>
      <c r="D268" s="9">
        <v>89.620002999999997</v>
      </c>
      <c r="E268" s="10"/>
      <c r="F268" s="13">
        <v>265</v>
      </c>
      <c r="G268" s="2">
        <v>43852</v>
      </c>
      <c r="H268" s="14">
        <f t="shared" si="92"/>
        <v>-4.1633686373350543E-3</v>
      </c>
      <c r="I268" s="14">
        <f t="shared" si="93"/>
        <v>-1.472859710867626E-2</v>
      </c>
      <c r="J268" s="14">
        <f t="shared" si="94"/>
        <v>-7.0050543803230562E-3</v>
      </c>
      <c r="K268" s="22">
        <v>265</v>
      </c>
      <c r="L268" s="12"/>
      <c r="Q268" s="15">
        <f t="shared" si="95"/>
        <v>265</v>
      </c>
      <c r="R268" s="2">
        <f t="shared" si="91"/>
        <v>43852</v>
      </c>
      <c r="S268" s="9">
        <f t="shared" ca="1" si="96"/>
        <v>-4.1633686373350543E-3</v>
      </c>
      <c r="T268" s="9">
        <f t="shared" ca="1" si="97"/>
        <v>-1.472859710867626E-2</v>
      </c>
      <c r="U268" s="9">
        <f t="shared" ca="1" si="98"/>
        <v>-7.0050543803230562E-3</v>
      </c>
      <c r="AB268" s="33" t="e">
        <f t="shared" ca="1" si="104"/>
        <v>#N/A</v>
      </c>
      <c r="AC268" s="34" t="e">
        <f t="shared" ca="1" si="105"/>
        <v>#N/A</v>
      </c>
      <c r="AD268" s="34" t="e">
        <f t="shared" ca="1" si="106"/>
        <v>#N/A</v>
      </c>
      <c r="AE268" s="33" t="e">
        <f t="shared" ca="1" si="107"/>
        <v>#N/A</v>
      </c>
      <c r="AF268" s="34" t="e">
        <f t="shared" ca="1" si="99"/>
        <v>#N/A</v>
      </c>
      <c r="AG268" s="34" t="e">
        <f t="shared" ca="1" si="100"/>
        <v>#N/A</v>
      </c>
      <c r="AH268" s="34" t="e">
        <f t="shared" ca="1" si="101"/>
        <v>#N/A</v>
      </c>
      <c r="AI268" s="33" t="e">
        <f t="shared" ca="1" si="108"/>
        <v>#N/A</v>
      </c>
      <c r="AJ268" s="34" t="e">
        <f t="shared" ca="1" si="109"/>
        <v>#N/A</v>
      </c>
      <c r="AK268" s="34" t="e">
        <f t="shared" ca="1" si="102"/>
        <v>#N/A</v>
      </c>
      <c r="AL268" s="34" t="e">
        <f t="shared" ca="1" si="103"/>
        <v>#N/A</v>
      </c>
      <c r="AM268" s="33" t="e">
        <f t="shared" ca="1" si="110"/>
        <v>#N/A</v>
      </c>
      <c r="AN268" s="34" t="e">
        <f t="shared" ca="1" si="111"/>
        <v>#N/A</v>
      </c>
    </row>
    <row r="269" spans="1:40" x14ac:dyDescent="0.3">
      <c r="A269" s="2">
        <v>43853</v>
      </c>
      <c r="B269" s="9">
        <v>62.540000999999997</v>
      </c>
      <c r="C269" s="9">
        <v>118.019997</v>
      </c>
      <c r="D269" s="9">
        <v>89.510002</v>
      </c>
      <c r="E269" s="10"/>
      <c r="F269" s="13">
        <v>266</v>
      </c>
      <c r="G269" s="2">
        <v>43853</v>
      </c>
      <c r="H269" s="14">
        <f t="shared" si="92"/>
        <v>3.5239664569688281E-3</v>
      </c>
      <c r="I269" s="14">
        <f t="shared" si="93"/>
        <v>6.3751333186194198E-3</v>
      </c>
      <c r="J269" s="14">
        <f t="shared" si="94"/>
        <v>-1.2281696059476955E-3</v>
      </c>
      <c r="K269" s="22">
        <v>266</v>
      </c>
      <c r="L269" s="12"/>
      <c r="Q269" s="15">
        <f t="shared" si="95"/>
        <v>266</v>
      </c>
      <c r="R269" s="2">
        <f t="shared" si="91"/>
        <v>43853</v>
      </c>
      <c r="S269" s="9">
        <f t="shared" ca="1" si="96"/>
        <v>3.5239664569688281E-3</v>
      </c>
      <c r="T269" s="9">
        <f t="shared" ca="1" si="97"/>
        <v>6.3751333186194198E-3</v>
      </c>
      <c r="U269" s="9">
        <f t="shared" ca="1" si="98"/>
        <v>-1.2281696059476955E-3</v>
      </c>
      <c r="AB269" s="33" t="e">
        <f t="shared" ca="1" si="104"/>
        <v>#N/A</v>
      </c>
      <c r="AC269" s="34" t="e">
        <f t="shared" ca="1" si="105"/>
        <v>#N/A</v>
      </c>
      <c r="AD269" s="34" t="e">
        <f t="shared" ca="1" si="106"/>
        <v>#N/A</v>
      </c>
      <c r="AE269" s="33" t="e">
        <f t="shared" ca="1" si="107"/>
        <v>#N/A</v>
      </c>
      <c r="AF269" s="34" t="e">
        <f t="shared" ca="1" si="99"/>
        <v>#N/A</v>
      </c>
      <c r="AG269" s="34" t="e">
        <f t="shared" ca="1" si="100"/>
        <v>#N/A</v>
      </c>
      <c r="AH269" s="34" t="e">
        <f t="shared" ca="1" si="101"/>
        <v>#N/A</v>
      </c>
      <c r="AI269" s="33" t="e">
        <f t="shared" ca="1" si="108"/>
        <v>#N/A</v>
      </c>
      <c r="AJ269" s="34" t="e">
        <f t="shared" ca="1" si="109"/>
        <v>#N/A</v>
      </c>
      <c r="AK269" s="34" t="e">
        <f t="shared" ca="1" si="102"/>
        <v>#N/A</v>
      </c>
      <c r="AL269" s="34" t="e">
        <f t="shared" ca="1" si="103"/>
        <v>#N/A</v>
      </c>
      <c r="AM269" s="33" t="e">
        <f t="shared" ca="1" si="110"/>
        <v>#N/A</v>
      </c>
      <c r="AN269" s="34" t="e">
        <f t="shared" ca="1" si="111"/>
        <v>#N/A</v>
      </c>
    </row>
    <row r="270" spans="1:40" x14ac:dyDescent="0.3">
      <c r="A270" s="2">
        <v>43854</v>
      </c>
      <c r="B270" s="9">
        <v>61.950001</v>
      </c>
      <c r="C270" s="9">
        <v>116.230003</v>
      </c>
      <c r="D270" s="9">
        <v>89.260002</v>
      </c>
      <c r="E270" s="10"/>
      <c r="F270" s="13">
        <v>267</v>
      </c>
      <c r="G270" s="2">
        <v>43854</v>
      </c>
      <c r="H270" s="14">
        <f t="shared" si="92"/>
        <v>-9.4787438022602422E-3</v>
      </c>
      <c r="I270" s="14">
        <f t="shared" si="93"/>
        <v>-1.5283063743093531E-2</v>
      </c>
      <c r="J270" s="14">
        <f t="shared" si="94"/>
        <v>-2.796891619142905E-3</v>
      </c>
      <c r="K270" s="22">
        <v>267</v>
      </c>
      <c r="L270" s="12"/>
      <c r="Q270" s="15">
        <f t="shared" si="95"/>
        <v>267</v>
      </c>
      <c r="R270" s="2">
        <f t="shared" si="91"/>
        <v>43854</v>
      </c>
      <c r="S270" s="9">
        <f t="shared" ca="1" si="96"/>
        <v>-9.4787438022602422E-3</v>
      </c>
      <c r="T270" s="9">
        <f t="shared" ca="1" si="97"/>
        <v>-1.5283063743093531E-2</v>
      </c>
      <c r="U270" s="9">
        <f t="shared" ca="1" si="98"/>
        <v>-2.796891619142905E-3</v>
      </c>
      <c r="AB270" s="33" t="e">
        <f t="shared" ca="1" si="104"/>
        <v>#N/A</v>
      </c>
      <c r="AC270" s="34" t="e">
        <f t="shared" ca="1" si="105"/>
        <v>#N/A</v>
      </c>
      <c r="AD270" s="34" t="e">
        <f t="shared" ca="1" si="106"/>
        <v>#N/A</v>
      </c>
      <c r="AE270" s="33" t="e">
        <f t="shared" ca="1" si="107"/>
        <v>#N/A</v>
      </c>
      <c r="AF270" s="34" t="e">
        <f t="shared" ca="1" si="99"/>
        <v>#N/A</v>
      </c>
      <c r="AG270" s="34" t="e">
        <f t="shared" ca="1" si="100"/>
        <v>#N/A</v>
      </c>
      <c r="AH270" s="34" t="e">
        <f t="shared" ca="1" si="101"/>
        <v>#N/A</v>
      </c>
      <c r="AI270" s="33" t="e">
        <f t="shared" ca="1" si="108"/>
        <v>#N/A</v>
      </c>
      <c r="AJ270" s="34" t="e">
        <f t="shared" ca="1" si="109"/>
        <v>#N/A</v>
      </c>
      <c r="AK270" s="34" t="e">
        <f t="shared" ca="1" si="102"/>
        <v>#N/A</v>
      </c>
      <c r="AL270" s="34" t="e">
        <f t="shared" ca="1" si="103"/>
        <v>#N/A</v>
      </c>
      <c r="AM270" s="33" t="e">
        <f t="shared" ca="1" si="110"/>
        <v>#N/A</v>
      </c>
      <c r="AN270" s="34" t="e">
        <f t="shared" ca="1" si="111"/>
        <v>#N/A</v>
      </c>
    </row>
    <row r="271" spans="1:40" x14ac:dyDescent="0.3">
      <c r="A271" s="2">
        <v>43857</v>
      </c>
      <c r="B271" s="9">
        <v>61.18</v>
      </c>
      <c r="C271" s="9">
        <v>112.959999</v>
      </c>
      <c r="D271" s="9">
        <v>85.050003000000004</v>
      </c>
      <c r="E271" s="10"/>
      <c r="F271" s="13">
        <v>268</v>
      </c>
      <c r="G271" s="2">
        <v>43857</v>
      </c>
      <c r="H271" s="14">
        <f t="shared" si="92"/>
        <v>-1.2507285494443975E-2</v>
      </c>
      <c r="I271" s="14">
        <f t="shared" si="93"/>
        <v>-2.8537247574267798E-2</v>
      </c>
      <c r="J271" s="14">
        <f t="shared" si="94"/>
        <v>-4.8314127492337856E-2</v>
      </c>
      <c r="K271" s="22">
        <v>268</v>
      </c>
      <c r="L271" s="12"/>
      <c r="Q271" s="15">
        <f t="shared" si="95"/>
        <v>268</v>
      </c>
      <c r="R271" s="2">
        <f t="shared" si="91"/>
        <v>43857</v>
      </c>
      <c r="S271" s="9">
        <f t="shared" ca="1" si="96"/>
        <v>-1.2507285494443975E-2</v>
      </c>
      <c r="T271" s="9">
        <f t="shared" ca="1" si="97"/>
        <v>-2.8537247574267798E-2</v>
      </c>
      <c r="U271" s="9">
        <f t="shared" ca="1" si="98"/>
        <v>-4.8314127492337856E-2</v>
      </c>
      <c r="AB271" s="33" t="e">
        <f t="shared" ca="1" si="104"/>
        <v>#N/A</v>
      </c>
      <c r="AC271" s="34" t="e">
        <f t="shared" ca="1" si="105"/>
        <v>#N/A</v>
      </c>
      <c r="AD271" s="34" t="e">
        <f t="shared" ca="1" si="106"/>
        <v>#N/A</v>
      </c>
      <c r="AE271" s="33" t="e">
        <f t="shared" ca="1" si="107"/>
        <v>#N/A</v>
      </c>
      <c r="AF271" s="34" t="e">
        <f t="shared" ca="1" si="99"/>
        <v>#N/A</v>
      </c>
      <c r="AG271" s="34" t="e">
        <f t="shared" ca="1" si="100"/>
        <v>#N/A</v>
      </c>
      <c r="AH271" s="34" t="e">
        <f t="shared" ca="1" si="101"/>
        <v>#N/A</v>
      </c>
      <c r="AI271" s="33" t="e">
        <f t="shared" ca="1" si="108"/>
        <v>#N/A</v>
      </c>
      <c r="AJ271" s="34" t="e">
        <f t="shared" ca="1" si="109"/>
        <v>#N/A</v>
      </c>
      <c r="AK271" s="34" t="e">
        <f t="shared" ca="1" si="102"/>
        <v>#N/A</v>
      </c>
      <c r="AL271" s="34" t="e">
        <f t="shared" ca="1" si="103"/>
        <v>#N/A</v>
      </c>
      <c r="AM271" s="33" t="e">
        <f t="shared" ca="1" si="110"/>
        <v>#N/A</v>
      </c>
      <c r="AN271" s="34" t="e">
        <f t="shared" ca="1" si="111"/>
        <v>#N/A</v>
      </c>
    </row>
    <row r="272" spans="1:40" x14ac:dyDescent="0.3">
      <c r="A272" s="2">
        <v>43858</v>
      </c>
      <c r="B272" s="9">
        <v>61.049999</v>
      </c>
      <c r="C272" s="9">
        <v>112.660004</v>
      </c>
      <c r="D272" s="9">
        <v>85.949996999999996</v>
      </c>
      <c r="E272" s="10"/>
      <c r="F272" s="13">
        <v>269</v>
      </c>
      <c r="G272" s="2">
        <v>43858</v>
      </c>
      <c r="H272" s="14">
        <f t="shared" si="92"/>
        <v>-2.1271545460602244E-3</v>
      </c>
      <c r="I272" s="14">
        <f t="shared" si="93"/>
        <v>-2.6592959206139344E-3</v>
      </c>
      <c r="J272" s="14">
        <f t="shared" si="94"/>
        <v>1.0526342809604825E-2</v>
      </c>
      <c r="K272" s="22">
        <v>269</v>
      </c>
      <c r="L272" s="12"/>
      <c r="Q272" s="15">
        <f t="shared" si="95"/>
        <v>269</v>
      </c>
      <c r="R272" s="2">
        <f t="shared" si="91"/>
        <v>43858</v>
      </c>
      <c r="S272" s="9">
        <f t="shared" ca="1" si="96"/>
        <v>-2.1271545460602244E-3</v>
      </c>
      <c r="T272" s="9">
        <f t="shared" ca="1" si="97"/>
        <v>-2.6592959206139344E-3</v>
      </c>
      <c r="U272" s="9">
        <f t="shared" ca="1" si="98"/>
        <v>1.0526342809604825E-2</v>
      </c>
      <c r="AB272" s="33" t="e">
        <f t="shared" ca="1" si="104"/>
        <v>#N/A</v>
      </c>
      <c r="AC272" s="34" t="e">
        <f t="shared" ca="1" si="105"/>
        <v>#N/A</v>
      </c>
      <c r="AD272" s="34" t="e">
        <f t="shared" ca="1" si="106"/>
        <v>#N/A</v>
      </c>
      <c r="AE272" s="33" t="e">
        <f t="shared" ca="1" si="107"/>
        <v>#N/A</v>
      </c>
      <c r="AF272" s="34" t="e">
        <f t="shared" ca="1" si="99"/>
        <v>#N/A</v>
      </c>
      <c r="AG272" s="34" t="e">
        <f t="shared" ca="1" si="100"/>
        <v>#N/A</v>
      </c>
      <c r="AH272" s="34" t="e">
        <f t="shared" ca="1" si="101"/>
        <v>#N/A</v>
      </c>
      <c r="AI272" s="33" t="e">
        <f t="shared" ca="1" si="108"/>
        <v>#N/A</v>
      </c>
      <c r="AJ272" s="34" t="e">
        <f t="shared" ca="1" si="109"/>
        <v>#N/A</v>
      </c>
      <c r="AK272" s="34" t="e">
        <f t="shared" ca="1" si="102"/>
        <v>#N/A</v>
      </c>
      <c r="AL272" s="34" t="e">
        <f t="shared" ca="1" si="103"/>
        <v>#N/A</v>
      </c>
      <c r="AM272" s="33" t="e">
        <f t="shared" ca="1" si="110"/>
        <v>#N/A</v>
      </c>
      <c r="AN272" s="34" t="e">
        <f t="shared" ca="1" si="111"/>
        <v>#N/A</v>
      </c>
    </row>
    <row r="273" spans="1:40" x14ac:dyDescent="0.3">
      <c r="A273" s="2">
        <v>43859</v>
      </c>
      <c r="B273" s="9">
        <v>61.049999</v>
      </c>
      <c r="C273" s="9">
        <v>113.19000200000001</v>
      </c>
      <c r="D273" s="9">
        <v>86.459998999999996</v>
      </c>
      <c r="E273" s="10"/>
      <c r="F273" s="13">
        <v>270</v>
      </c>
      <c r="G273" s="2">
        <v>43859</v>
      </c>
      <c r="H273" s="14">
        <f t="shared" si="92"/>
        <v>0</v>
      </c>
      <c r="I273" s="14">
        <f t="shared" si="93"/>
        <v>4.6933713421074144E-3</v>
      </c>
      <c r="J273" s="14">
        <f t="shared" si="94"/>
        <v>5.9161707485999269E-3</v>
      </c>
      <c r="K273" s="22">
        <v>270</v>
      </c>
      <c r="L273" s="12"/>
      <c r="Q273" s="15">
        <f t="shared" si="95"/>
        <v>270</v>
      </c>
      <c r="R273" s="2">
        <f t="shared" si="91"/>
        <v>43859</v>
      </c>
      <c r="S273" s="9">
        <f t="shared" ca="1" si="96"/>
        <v>0</v>
      </c>
      <c r="T273" s="9">
        <f t="shared" ca="1" si="97"/>
        <v>4.6933713421074144E-3</v>
      </c>
      <c r="U273" s="9">
        <f t="shared" ca="1" si="98"/>
        <v>5.9161707485999269E-3</v>
      </c>
      <c r="AB273" s="33" t="e">
        <f t="shared" ca="1" si="104"/>
        <v>#N/A</v>
      </c>
      <c r="AC273" s="34" t="e">
        <f t="shared" ca="1" si="105"/>
        <v>#N/A</v>
      </c>
      <c r="AD273" s="34" t="e">
        <f t="shared" ca="1" si="106"/>
        <v>#N/A</v>
      </c>
      <c r="AE273" s="33" t="e">
        <f t="shared" ca="1" si="107"/>
        <v>#N/A</v>
      </c>
      <c r="AF273" s="34" t="e">
        <f t="shared" ca="1" si="99"/>
        <v>#N/A</v>
      </c>
      <c r="AG273" s="34" t="e">
        <f t="shared" ca="1" si="100"/>
        <v>#N/A</v>
      </c>
      <c r="AH273" s="34" t="e">
        <f t="shared" ca="1" si="101"/>
        <v>#N/A</v>
      </c>
      <c r="AI273" s="33" t="e">
        <f t="shared" ca="1" si="108"/>
        <v>#N/A</v>
      </c>
      <c r="AJ273" s="34" t="e">
        <f t="shared" ca="1" si="109"/>
        <v>#N/A</v>
      </c>
      <c r="AK273" s="34" t="e">
        <f t="shared" ca="1" si="102"/>
        <v>#N/A</v>
      </c>
      <c r="AL273" s="34" t="e">
        <f t="shared" ca="1" si="103"/>
        <v>#N/A</v>
      </c>
      <c r="AM273" s="33" t="e">
        <f t="shared" ca="1" si="110"/>
        <v>#N/A</v>
      </c>
      <c r="AN273" s="34" t="e">
        <f t="shared" ca="1" si="111"/>
        <v>#N/A</v>
      </c>
    </row>
    <row r="274" spans="1:40" x14ac:dyDescent="0.3">
      <c r="A274" s="2">
        <v>43860</v>
      </c>
      <c r="B274" s="9">
        <v>60.630001</v>
      </c>
      <c r="C274" s="9">
        <v>116.25</v>
      </c>
      <c r="D274" s="9">
        <v>88.190002000000007</v>
      </c>
      <c r="E274" s="10"/>
      <c r="F274" s="13">
        <v>271</v>
      </c>
      <c r="G274" s="2">
        <v>43860</v>
      </c>
      <c r="H274" s="14">
        <f t="shared" si="92"/>
        <v>-6.9033475995728408E-3</v>
      </c>
      <c r="I274" s="14">
        <f t="shared" si="93"/>
        <v>2.6675204153731608E-2</v>
      </c>
      <c r="J274" s="14">
        <f t="shared" si="94"/>
        <v>1.9811732904953888E-2</v>
      </c>
      <c r="K274" s="22">
        <v>271</v>
      </c>
      <c r="L274" s="12"/>
      <c r="Q274" s="15">
        <f t="shared" si="95"/>
        <v>271</v>
      </c>
      <c r="R274" s="2">
        <f t="shared" si="91"/>
        <v>43860</v>
      </c>
      <c r="S274" s="9">
        <f t="shared" ca="1" si="96"/>
        <v>-6.9033475995728408E-3</v>
      </c>
      <c r="T274" s="9">
        <f t="shared" ca="1" si="97"/>
        <v>2.6675204153731608E-2</v>
      </c>
      <c r="U274" s="9">
        <f t="shared" ca="1" si="98"/>
        <v>1.9811732904953888E-2</v>
      </c>
      <c r="AB274" s="33" t="e">
        <f t="shared" ca="1" si="104"/>
        <v>#N/A</v>
      </c>
      <c r="AC274" s="34" t="e">
        <f t="shared" ca="1" si="105"/>
        <v>#N/A</v>
      </c>
      <c r="AD274" s="34" t="e">
        <f t="shared" ca="1" si="106"/>
        <v>#N/A</v>
      </c>
      <c r="AE274" s="33" t="e">
        <f t="shared" ca="1" si="107"/>
        <v>#N/A</v>
      </c>
      <c r="AF274" s="34" t="e">
        <f t="shared" ca="1" si="99"/>
        <v>#N/A</v>
      </c>
      <c r="AG274" s="34" t="e">
        <f t="shared" ca="1" si="100"/>
        <v>#N/A</v>
      </c>
      <c r="AH274" s="34" t="e">
        <f t="shared" ca="1" si="101"/>
        <v>#N/A</v>
      </c>
      <c r="AI274" s="33" t="e">
        <f t="shared" ca="1" si="108"/>
        <v>#N/A</v>
      </c>
      <c r="AJ274" s="34" t="e">
        <f t="shared" ca="1" si="109"/>
        <v>#N/A</v>
      </c>
      <c r="AK274" s="34" t="e">
        <f t="shared" ca="1" si="102"/>
        <v>#N/A</v>
      </c>
      <c r="AL274" s="34" t="e">
        <f t="shared" ca="1" si="103"/>
        <v>#N/A</v>
      </c>
      <c r="AM274" s="33" t="e">
        <f t="shared" ca="1" si="110"/>
        <v>#N/A</v>
      </c>
      <c r="AN274" s="34" t="e">
        <f t="shared" ca="1" si="111"/>
        <v>#N/A</v>
      </c>
    </row>
    <row r="275" spans="1:40" x14ac:dyDescent="0.3">
      <c r="A275" s="2">
        <v>43861</v>
      </c>
      <c r="B275" s="9">
        <v>58.169998</v>
      </c>
      <c r="C275" s="9">
        <v>113.5</v>
      </c>
      <c r="D275" s="9">
        <v>84.309997999999993</v>
      </c>
      <c r="E275" s="10"/>
      <c r="F275" s="13">
        <v>272</v>
      </c>
      <c r="G275" s="2">
        <v>43861</v>
      </c>
      <c r="H275" s="14">
        <f t="shared" si="92"/>
        <v>-4.142011303643859E-2</v>
      </c>
      <c r="I275" s="14">
        <f t="shared" si="93"/>
        <v>-2.3940207546008351E-2</v>
      </c>
      <c r="J275" s="14">
        <f t="shared" si="94"/>
        <v>-4.4993142365791917E-2</v>
      </c>
      <c r="K275" s="22">
        <v>272</v>
      </c>
      <c r="L275" s="12"/>
      <c r="Q275" s="15">
        <f t="shared" si="95"/>
        <v>272</v>
      </c>
      <c r="R275" s="2">
        <f t="shared" si="91"/>
        <v>43861</v>
      </c>
      <c r="S275" s="9">
        <f t="shared" ca="1" si="96"/>
        <v>-4.142011303643859E-2</v>
      </c>
      <c r="T275" s="9">
        <f t="shared" ca="1" si="97"/>
        <v>-2.3940207546008351E-2</v>
      </c>
      <c r="U275" s="9">
        <f t="shared" ca="1" si="98"/>
        <v>-4.4993142365791917E-2</v>
      </c>
      <c r="AB275" s="33" t="e">
        <f t="shared" ca="1" si="104"/>
        <v>#N/A</v>
      </c>
      <c r="AC275" s="34" t="e">
        <f t="shared" ca="1" si="105"/>
        <v>#N/A</v>
      </c>
      <c r="AD275" s="34" t="e">
        <f t="shared" ca="1" si="106"/>
        <v>#N/A</v>
      </c>
      <c r="AE275" s="33" t="e">
        <f t="shared" ca="1" si="107"/>
        <v>#N/A</v>
      </c>
      <c r="AF275" s="34" t="e">
        <f t="shared" ca="1" si="99"/>
        <v>#N/A</v>
      </c>
      <c r="AG275" s="34" t="e">
        <f t="shared" ca="1" si="100"/>
        <v>#N/A</v>
      </c>
      <c r="AH275" s="34" t="e">
        <f t="shared" ca="1" si="101"/>
        <v>#N/A</v>
      </c>
      <c r="AI275" s="33" t="e">
        <f t="shared" ca="1" si="108"/>
        <v>#N/A</v>
      </c>
      <c r="AJ275" s="34" t="e">
        <f t="shared" ca="1" si="109"/>
        <v>#N/A</v>
      </c>
      <c r="AK275" s="34" t="e">
        <f t="shared" ca="1" si="102"/>
        <v>#N/A</v>
      </c>
      <c r="AL275" s="34" t="e">
        <f t="shared" ca="1" si="103"/>
        <v>#N/A</v>
      </c>
      <c r="AM275" s="33" t="e">
        <f t="shared" ca="1" si="110"/>
        <v>#N/A</v>
      </c>
      <c r="AN275" s="34" t="e">
        <f t="shared" ca="1" si="111"/>
        <v>#N/A</v>
      </c>
    </row>
    <row r="276" spans="1:40" x14ac:dyDescent="0.3">
      <c r="A276" s="2">
        <v>43864</v>
      </c>
      <c r="B276" s="9">
        <v>58.220001000000003</v>
      </c>
      <c r="C276" s="9">
        <v>113.260002</v>
      </c>
      <c r="D276" s="9">
        <v>80.25</v>
      </c>
      <c r="E276" s="10"/>
      <c r="F276" s="13">
        <v>273</v>
      </c>
      <c r="G276" s="2">
        <v>43864</v>
      </c>
      <c r="H276" s="14">
        <f t="shared" si="92"/>
        <v>8.5923195301940332E-4</v>
      </c>
      <c r="I276" s="14">
        <f t="shared" si="93"/>
        <v>-2.1167585773136559E-3</v>
      </c>
      <c r="J276" s="14">
        <f t="shared" si="94"/>
        <v>-4.9353696202480285E-2</v>
      </c>
      <c r="K276" s="22">
        <v>273</v>
      </c>
      <c r="L276" s="12"/>
      <c r="Q276" s="15">
        <f t="shared" si="95"/>
        <v>273</v>
      </c>
      <c r="R276" s="2">
        <f t="shared" si="91"/>
        <v>43864</v>
      </c>
      <c r="S276" s="9">
        <f t="shared" ca="1" si="96"/>
        <v>8.5923195301940332E-4</v>
      </c>
      <c r="T276" s="9">
        <f t="shared" ca="1" si="97"/>
        <v>-2.1167585773136559E-3</v>
      </c>
      <c r="U276" s="9">
        <f t="shared" ca="1" si="98"/>
        <v>-4.9353696202480285E-2</v>
      </c>
      <c r="AB276" s="33" t="e">
        <f t="shared" ca="1" si="104"/>
        <v>#N/A</v>
      </c>
      <c r="AC276" s="34" t="e">
        <f t="shared" ca="1" si="105"/>
        <v>#N/A</v>
      </c>
      <c r="AD276" s="34" t="e">
        <f t="shared" ca="1" si="106"/>
        <v>#N/A</v>
      </c>
      <c r="AE276" s="33" t="e">
        <f t="shared" ca="1" si="107"/>
        <v>#N/A</v>
      </c>
      <c r="AF276" s="34" t="e">
        <f t="shared" ca="1" si="99"/>
        <v>#N/A</v>
      </c>
      <c r="AG276" s="34" t="e">
        <f t="shared" ca="1" si="100"/>
        <v>#N/A</v>
      </c>
      <c r="AH276" s="34" t="e">
        <f t="shared" ca="1" si="101"/>
        <v>#N/A</v>
      </c>
      <c r="AI276" s="33" t="e">
        <f t="shared" ca="1" si="108"/>
        <v>#N/A</v>
      </c>
      <c r="AJ276" s="34" t="e">
        <f t="shared" ca="1" si="109"/>
        <v>#N/A</v>
      </c>
      <c r="AK276" s="34" t="e">
        <f t="shared" ca="1" si="102"/>
        <v>#N/A</v>
      </c>
      <c r="AL276" s="34" t="e">
        <f t="shared" ca="1" si="103"/>
        <v>#N/A</v>
      </c>
      <c r="AM276" s="33" t="e">
        <f t="shared" ca="1" si="110"/>
        <v>#N/A</v>
      </c>
      <c r="AN276" s="34" t="e">
        <f t="shared" ca="1" si="111"/>
        <v>#N/A</v>
      </c>
    </row>
    <row r="277" spans="1:40" x14ac:dyDescent="0.3">
      <c r="A277" s="2">
        <v>43865</v>
      </c>
      <c r="B277" s="9">
        <v>59.380001</v>
      </c>
      <c r="C277" s="9">
        <v>123.68</v>
      </c>
      <c r="D277" s="9">
        <v>81.239998</v>
      </c>
      <c r="E277" s="10"/>
      <c r="F277" s="13">
        <v>274</v>
      </c>
      <c r="G277" s="2">
        <v>43865</v>
      </c>
      <c r="H277" s="14">
        <f t="shared" si="92"/>
        <v>1.9728530682595502E-2</v>
      </c>
      <c r="I277" s="14">
        <f t="shared" si="93"/>
        <v>8.8011506494968292E-2</v>
      </c>
      <c r="J277" s="14">
        <f t="shared" si="94"/>
        <v>1.226095008364375E-2</v>
      </c>
      <c r="K277" s="22">
        <v>274</v>
      </c>
      <c r="L277" s="12"/>
      <c r="Q277" s="15">
        <f t="shared" si="95"/>
        <v>274</v>
      </c>
      <c r="R277" s="2">
        <f t="shared" si="91"/>
        <v>43865</v>
      </c>
      <c r="S277" s="9">
        <f t="shared" ca="1" si="96"/>
        <v>1.9728530682595502E-2</v>
      </c>
      <c r="T277" s="9">
        <f t="shared" ca="1" si="97"/>
        <v>8.8011506494968292E-2</v>
      </c>
      <c r="U277" s="9">
        <f t="shared" ca="1" si="98"/>
        <v>1.226095008364375E-2</v>
      </c>
      <c r="AB277" s="33" t="e">
        <f t="shared" ca="1" si="104"/>
        <v>#N/A</v>
      </c>
      <c r="AC277" s="34" t="e">
        <f t="shared" ca="1" si="105"/>
        <v>#N/A</v>
      </c>
      <c r="AD277" s="34" t="e">
        <f t="shared" ca="1" si="106"/>
        <v>#N/A</v>
      </c>
      <c r="AE277" s="33" t="e">
        <f t="shared" ca="1" si="107"/>
        <v>#N/A</v>
      </c>
      <c r="AF277" s="34" t="e">
        <f t="shared" ca="1" si="99"/>
        <v>#N/A</v>
      </c>
      <c r="AG277" s="34" t="e">
        <f t="shared" ca="1" si="100"/>
        <v>#N/A</v>
      </c>
      <c r="AH277" s="34" t="e">
        <f t="shared" ca="1" si="101"/>
        <v>#N/A</v>
      </c>
      <c r="AI277" s="33" t="e">
        <f t="shared" ca="1" si="108"/>
        <v>#N/A</v>
      </c>
      <c r="AJ277" s="34" t="e">
        <f t="shared" ca="1" si="109"/>
        <v>#N/A</v>
      </c>
      <c r="AK277" s="34" t="e">
        <f t="shared" ca="1" si="102"/>
        <v>#N/A</v>
      </c>
      <c r="AL277" s="34" t="e">
        <f t="shared" ca="1" si="103"/>
        <v>#N/A</v>
      </c>
      <c r="AM277" s="33" t="e">
        <f t="shared" ca="1" si="110"/>
        <v>#N/A</v>
      </c>
      <c r="AN277" s="34" t="e">
        <f t="shared" ca="1" si="111"/>
        <v>#N/A</v>
      </c>
    </row>
    <row r="278" spans="1:40" x14ac:dyDescent="0.3">
      <c r="A278" s="2">
        <v>43866</v>
      </c>
      <c r="B278" s="9">
        <v>61.130001</v>
      </c>
      <c r="C278" s="9">
        <v>122.510002</v>
      </c>
      <c r="D278" s="9">
        <v>83.779999000000004</v>
      </c>
      <c r="E278" s="10"/>
      <c r="F278" s="13">
        <v>275</v>
      </c>
      <c r="G278" s="2">
        <v>43866</v>
      </c>
      <c r="H278" s="14">
        <f t="shared" si="92"/>
        <v>2.9045274222913368E-2</v>
      </c>
      <c r="I278" s="14">
        <f t="shared" si="93"/>
        <v>-9.5049092078348715E-3</v>
      </c>
      <c r="J278" s="14">
        <f t="shared" si="94"/>
        <v>3.0786591489096866E-2</v>
      </c>
      <c r="K278" s="22">
        <v>275</v>
      </c>
      <c r="L278" s="12"/>
      <c r="Q278" s="15">
        <f t="shared" si="95"/>
        <v>275</v>
      </c>
      <c r="R278" s="2">
        <f t="shared" si="91"/>
        <v>43866</v>
      </c>
      <c r="S278" s="9">
        <f t="shared" ca="1" si="96"/>
        <v>2.9045274222913368E-2</v>
      </c>
      <c r="T278" s="9">
        <f t="shared" ca="1" si="97"/>
        <v>-9.5049092078348715E-3</v>
      </c>
      <c r="U278" s="9">
        <f t="shared" ca="1" si="98"/>
        <v>3.0786591489096866E-2</v>
      </c>
      <c r="AB278" s="33" t="e">
        <f t="shared" ca="1" si="104"/>
        <v>#N/A</v>
      </c>
      <c r="AC278" s="34" t="e">
        <f t="shared" ca="1" si="105"/>
        <v>#N/A</v>
      </c>
      <c r="AD278" s="34" t="e">
        <f t="shared" ca="1" si="106"/>
        <v>#N/A</v>
      </c>
      <c r="AE278" s="33" t="e">
        <f t="shared" ca="1" si="107"/>
        <v>#N/A</v>
      </c>
      <c r="AF278" s="34" t="e">
        <f t="shared" ca="1" si="99"/>
        <v>#N/A</v>
      </c>
      <c r="AG278" s="34" t="e">
        <f t="shared" ca="1" si="100"/>
        <v>#N/A</v>
      </c>
      <c r="AH278" s="34" t="e">
        <f t="shared" ca="1" si="101"/>
        <v>#N/A</v>
      </c>
      <c r="AI278" s="33" t="e">
        <f t="shared" ca="1" si="108"/>
        <v>#N/A</v>
      </c>
      <c r="AJ278" s="34" t="e">
        <f t="shared" ca="1" si="109"/>
        <v>#N/A</v>
      </c>
      <c r="AK278" s="34" t="e">
        <f t="shared" ca="1" si="102"/>
        <v>#N/A</v>
      </c>
      <c r="AL278" s="34" t="e">
        <f t="shared" ca="1" si="103"/>
        <v>#N/A</v>
      </c>
      <c r="AM278" s="33" t="e">
        <f t="shared" ca="1" si="110"/>
        <v>#N/A</v>
      </c>
      <c r="AN278" s="34" t="e">
        <f t="shared" ca="1" si="111"/>
        <v>#N/A</v>
      </c>
    </row>
    <row r="279" spans="1:40" x14ac:dyDescent="0.3">
      <c r="A279" s="2">
        <v>43867</v>
      </c>
      <c r="B279" s="9">
        <v>60.07</v>
      </c>
      <c r="C279" s="9">
        <v>121.41999800000001</v>
      </c>
      <c r="D279" s="9">
        <v>83.269997000000004</v>
      </c>
      <c r="E279" s="10"/>
      <c r="F279" s="13">
        <v>276</v>
      </c>
      <c r="G279" s="2">
        <v>43867</v>
      </c>
      <c r="H279" s="14">
        <f t="shared" si="92"/>
        <v>-1.7492211537143903E-2</v>
      </c>
      <c r="I279" s="14">
        <f t="shared" si="93"/>
        <v>-8.9370824007400287E-3</v>
      </c>
      <c r="J279" s="14">
        <f t="shared" si="94"/>
        <v>-6.1059993625193097E-3</v>
      </c>
      <c r="K279" s="22">
        <v>276</v>
      </c>
      <c r="L279" s="12"/>
      <c r="Q279" s="15">
        <f t="shared" si="95"/>
        <v>276</v>
      </c>
      <c r="R279" s="2">
        <f t="shared" si="91"/>
        <v>43867</v>
      </c>
      <c r="S279" s="9">
        <f t="shared" ca="1" si="96"/>
        <v>-1.7492211537143903E-2</v>
      </c>
      <c r="T279" s="9">
        <f t="shared" ca="1" si="97"/>
        <v>-8.9370824007400287E-3</v>
      </c>
      <c r="U279" s="9">
        <f t="shared" ca="1" si="98"/>
        <v>-6.1059993625193097E-3</v>
      </c>
      <c r="AB279" s="33" t="e">
        <f t="shared" ca="1" si="104"/>
        <v>#N/A</v>
      </c>
      <c r="AC279" s="34" t="e">
        <f t="shared" ca="1" si="105"/>
        <v>#N/A</v>
      </c>
      <c r="AD279" s="34" t="e">
        <f t="shared" ca="1" si="106"/>
        <v>#N/A</v>
      </c>
      <c r="AE279" s="33" t="e">
        <f t="shared" ca="1" si="107"/>
        <v>#N/A</v>
      </c>
      <c r="AF279" s="34" t="e">
        <f t="shared" ca="1" si="99"/>
        <v>#N/A</v>
      </c>
      <c r="AG279" s="34" t="e">
        <f t="shared" ca="1" si="100"/>
        <v>#N/A</v>
      </c>
      <c r="AH279" s="34" t="e">
        <f t="shared" ca="1" si="101"/>
        <v>#N/A</v>
      </c>
      <c r="AI279" s="33" t="e">
        <f t="shared" ca="1" si="108"/>
        <v>#N/A</v>
      </c>
      <c r="AJ279" s="34" t="e">
        <f t="shared" ca="1" si="109"/>
        <v>#N/A</v>
      </c>
      <c r="AK279" s="34" t="e">
        <f t="shared" ca="1" si="102"/>
        <v>#N/A</v>
      </c>
      <c r="AL279" s="34" t="e">
        <f t="shared" ca="1" si="103"/>
        <v>#N/A</v>
      </c>
      <c r="AM279" s="33" t="e">
        <f t="shared" ca="1" si="110"/>
        <v>#N/A</v>
      </c>
      <c r="AN279" s="34" t="e">
        <f t="shared" ca="1" si="111"/>
        <v>#N/A</v>
      </c>
    </row>
    <row r="280" spans="1:40" x14ac:dyDescent="0.3">
      <c r="A280" s="2">
        <v>43868</v>
      </c>
      <c r="B280" s="9">
        <v>59.23</v>
      </c>
      <c r="C280" s="9">
        <v>120.55999799999999</v>
      </c>
      <c r="D280" s="9">
        <v>84.040001000000004</v>
      </c>
      <c r="E280" s="10"/>
      <c r="F280" s="13">
        <v>277</v>
      </c>
      <c r="G280" s="2">
        <v>43868</v>
      </c>
      <c r="H280" s="14">
        <f t="shared" si="92"/>
        <v>-1.4082378573196348E-2</v>
      </c>
      <c r="I280" s="14">
        <f t="shared" si="93"/>
        <v>-7.1080555015473482E-3</v>
      </c>
      <c r="J280" s="14">
        <f t="shared" si="94"/>
        <v>9.2045836555486992E-3</v>
      </c>
      <c r="K280" s="22">
        <v>277</v>
      </c>
      <c r="L280" s="12"/>
      <c r="Q280" s="15">
        <f t="shared" si="95"/>
        <v>277</v>
      </c>
      <c r="R280" s="2">
        <f t="shared" si="91"/>
        <v>43868</v>
      </c>
      <c r="S280" s="9">
        <f t="shared" ca="1" si="96"/>
        <v>-1.4082378573196348E-2</v>
      </c>
      <c r="T280" s="9">
        <f t="shared" ca="1" si="97"/>
        <v>-7.1080555015473482E-3</v>
      </c>
      <c r="U280" s="9">
        <f t="shared" ca="1" si="98"/>
        <v>9.2045836555486992E-3</v>
      </c>
      <c r="AB280" s="33" t="e">
        <f t="shared" ca="1" si="104"/>
        <v>#N/A</v>
      </c>
      <c r="AC280" s="34" t="e">
        <f t="shared" ca="1" si="105"/>
        <v>#N/A</v>
      </c>
      <c r="AD280" s="34" t="e">
        <f t="shared" ca="1" si="106"/>
        <v>#N/A</v>
      </c>
      <c r="AE280" s="33" t="e">
        <f t="shared" ca="1" si="107"/>
        <v>#N/A</v>
      </c>
      <c r="AF280" s="34" t="e">
        <f t="shared" ca="1" si="99"/>
        <v>#N/A</v>
      </c>
      <c r="AG280" s="34" t="e">
        <f t="shared" ca="1" si="100"/>
        <v>#N/A</v>
      </c>
      <c r="AH280" s="34" t="e">
        <f t="shared" ca="1" si="101"/>
        <v>#N/A</v>
      </c>
      <c r="AI280" s="33" t="e">
        <f t="shared" ca="1" si="108"/>
        <v>#N/A</v>
      </c>
      <c r="AJ280" s="34" t="e">
        <f t="shared" ca="1" si="109"/>
        <v>#N/A</v>
      </c>
      <c r="AK280" s="34" t="e">
        <f t="shared" ca="1" si="102"/>
        <v>#N/A</v>
      </c>
      <c r="AL280" s="34" t="e">
        <f t="shared" ca="1" si="103"/>
        <v>#N/A</v>
      </c>
      <c r="AM280" s="33" t="e">
        <f t="shared" ca="1" si="110"/>
        <v>#N/A</v>
      </c>
      <c r="AN280" s="34" t="e">
        <f t="shared" ca="1" si="111"/>
        <v>#N/A</v>
      </c>
    </row>
    <row r="281" spans="1:40" x14ac:dyDescent="0.3">
      <c r="A281" s="2">
        <v>43871</v>
      </c>
      <c r="B281" s="9">
        <v>59.380001</v>
      </c>
      <c r="C281" s="9">
        <v>120.650002</v>
      </c>
      <c r="D281" s="9">
        <v>84.370002999999997</v>
      </c>
      <c r="E281" s="10"/>
      <c r="F281" s="13">
        <v>278</v>
      </c>
      <c r="G281" s="2">
        <v>43871</v>
      </c>
      <c r="H281" s="14">
        <f t="shared" si="92"/>
        <v>2.5293158874269408E-3</v>
      </c>
      <c r="I281" s="14">
        <f t="shared" si="93"/>
        <v>7.4627091892624168E-4</v>
      </c>
      <c r="J281" s="14">
        <f t="shared" si="94"/>
        <v>3.919035859301985E-3</v>
      </c>
      <c r="K281" s="22">
        <v>278</v>
      </c>
      <c r="L281" s="12"/>
      <c r="Q281" s="15">
        <f t="shared" si="95"/>
        <v>278</v>
      </c>
      <c r="R281" s="2">
        <f t="shared" si="91"/>
        <v>43871</v>
      </c>
      <c r="S281" s="9">
        <f t="shared" ca="1" si="96"/>
        <v>2.5293158874269408E-3</v>
      </c>
      <c r="T281" s="9">
        <f t="shared" ca="1" si="97"/>
        <v>7.4627091892624168E-4</v>
      </c>
      <c r="U281" s="9">
        <f t="shared" ca="1" si="98"/>
        <v>3.919035859301985E-3</v>
      </c>
      <c r="AB281" s="33" t="e">
        <f t="shared" ca="1" si="104"/>
        <v>#N/A</v>
      </c>
      <c r="AC281" s="34" t="e">
        <f t="shared" ca="1" si="105"/>
        <v>#N/A</v>
      </c>
      <c r="AD281" s="34" t="e">
        <f t="shared" ca="1" si="106"/>
        <v>#N/A</v>
      </c>
      <c r="AE281" s="33" t="e">
        <f t="shared" ca="1" si="107"/>
        <v>#N/A</v>
      </c>
      <c r="AF281" s="34" t="e">
        <f t="shared" ca="1" si="99"/>
        <v>#N/A</v>
      </c>
      <c r="AG281" s="34" t="e">
        <f t="shared" ca="1" si="100"/>
        <v>#N/A</v>
      </c>
      <c r="AH281" s="34" t="e">
        <f t="shared" ca="1" si="101"/>
        <v>#N/A</v>
      </c>
      <c r="AI281" s="33" t="e">
        <f t="shared" ca="1" si="108"/>
        <v>#N/A</v>
      </c>
      <c r="AJ281" s="34" t="e">
        <f t="shared" ca="1" si="109"/>
        <v>#N/A</v>
      </c>
      <c r="AK281" s="34" t="e">
        <f t="shared" ca="1" si="102"/>
        <v>#N/A</v>
      </c>
      <c r="AL281" s="34" t="e">
        <f t="shared" ca="1" si="103"/>
        <v>#N/A</v>
      </c>
      <c r="AM281" s="33" t="e">
        <f t="shared" ca="1" si="110"/>
        <v>#N/A</v>
      </c>
      <c r="AN281" s="34" t="e">
        <f t="shared" ca="1" si="111"/>
        <v>#N/A</v>
      </c>
    </row>
    <row r="282" spans="1:40" x14ac:dyDescent="0.3">
      <c r="A282" s="2">
        <v>43872</v>
      </c>
      <c r="B282" s="9">
        <v>60.02</v>
      </c>
      <c r="C282" s="9">
        <v>120.370003</v>
      </c>
      <c r="D282" s="9">
        <v>84.239998</v>
      </c>
      <c r="E282" s="10"/>
      <c r="F282" s="13">
        <v>279</v>
      </c>
      <c r="G282" s="2">
        <v>43872</v>
      </c>
      <c r="H282" s="14">
        <f t="shared" si="92"/>
        <v>1.0720353835920468E-2</v>
      </c>
      <c r="I282" s="14">
        <f t="shared" si="93"/>
        <v>-2.3234513331192109E-3</v>
      </c>
      <c r="J282" s="14">
        <f t="shared" si="94"/>
        <v>-1.542079651167954E-3</v>
      </c>
      <c r="K282" s="22">
        <v>279</v>
      </c>
      <c r="L282" s="12"/>
      <c r="Q282" s="15">
        <f t="shared" si="95"/>
        <v>279</v>
      </c>
      <c r="R282" s="2">
        <f t="shared" si="91"/>
        <v>43872</v>
      </c>
      <c r="S282" s="9">
        <f t="shared" ca="1" si="96"/>
        <v>1.0720353835920468E-2</v>
      </c>
      <c r="T282" s="9">
        <f t="shared" ca="1" si="97"/>
        <v>-2.3234513331192109E-3</v>
      </c>
      <c r="U282" s="9">
        <f t="shared" ca="1" si="98"/>
        <v>-1.542079651167954E-3</v>
      </c>
      <c r="AB282" s="33" t="e">
        <f t="shared" ca="1" si="104"/>
        <v>#N/A</v>
      </c>
      <c r="AC282" s="34" t="e">
        <f t="shared" ca="1" si="105"/>
        <v>#N/A</v>
      </c>
      <c r="AD282" s="34" t="e">
        <f t="shared" ca="1" si="106"/>
        <v>#N/A</v>
      </c>
      <c r="AE282" s="33" t="e">
        <f t="shared" ca="1" si="107"/>
        <v>#N/A</v>
      </c>
      <c r="AF282" s="34" t="e">
        <f t="shared" ca="1" si="99"/>
        <v>#N/A</v>
      </c>
      <c r="AG282" s="34" t="e">
        <f t="shared" ca="1" si="100"/>
        <v>#N/A</v>
      </c>
      <c r="AH282" s="34" t="e">
        <f t="shared" ca="1" si="101"/>
        <v>#N/A</v>
      </c>
      <c r="AI282" s="33" t="e">
        <f t="shared" ca="1" si="108"/>
        <v>#N/A</v>
      </c>
      <c r="AJ282" s="34" t="e">
        <f t="shared" ca="1" si="109"/>
        <v>#N/A</v>
      </c>
      <c r="AK282" s="34" t="e">
        <f t="shared" ca="1" si="102"/>
        <v>#N/A</v>
      </c>
      <c r="AL282" s="34" t="e">
        <f t="shared" ca="1" si="103"/>
        <v>#N/A</v>
      </c>
      <c r="AM282" s="33" t="e">
        <f t="shared" ca="1" si="110"/>
        <v>#N/A</v>
      </c>
      <c r="AN282" s="34" t="e">
        <f t="shared" ca="1" si="111"/>
        <v>#N/A</v>
      </c>
    </row>
    <row r="283" spans="1:40" x14ac:dyDescent="0.3">
      <c r="A283" s="2">
        <v>43873</v>
      </c>
      <c r="B283" s="9">
        <v>61.119999</v>
      </c>
      <c r="C283" s="9">
        <v>123.69000200000001</v>
      </c>
      <c r="D283" s="9">
        <v>85.040001000000004</v>
      </c>
      <c r="E283" s="10"/>
      <c r="F283" s="13">
        <v>280</v>
      </c>
      <c r="G283" s="2">
        <v>43873</v>
      </c>
      <c r="H283" s="14">
        <f t="shared" si="92"/>
        <v>1.8161288484787229E-2</v>
      </c>
      <c r="I283" s="14">
        <f t="shared" si="93"/>
        <v>2.7208094241577534E-2</v>
      </c>
      <c r="J283" s="14">
        <f t="shared" si="94"/>
        <v>9.45190170883526E-3</v>
      </c>
      <c r="K283" s="22">
        <v>280</v>
      </c>
      <c r="L283" s="12"/>
      <c r="Q283" s="15">
        <f t="shared" si="95"/>
        <v>280</v>
      </c>
      <c r="R283" s="2">
        <f t="shared" si="91"/>
        <v>43873</v>
      </c>
      <c r="S283" s="9">
        <f t="shared" ca="1" si="96"/>
        <v>1.8161288484787229E-2</v>
      </c>
      <c r="T283" s="9">
        <f t="shared" ca="1" si="97"/>
        <v>2.7208094241577534E-2</v>
      </c>
      <c r="U283" s="9">
        <f t="shared" ca="1" si="98"/>
        <v>9.45190170883526E-3</v>
      </c>
      <c r="AB283" s="33" t="e">
        <f t="shared" ca="1" si="104"/>
        <v>#N/A</v>
      </c>
      <c r="AC283" s="34" t="e">
        <f t="shared" ca="1" si="105"/>
        <v>#N/A</v>
      </c>
      <c r="AD283" s="34" t="e">
        <f t="shared" ca="1" si="106"/>
        <v>#N/A</v>
      </c>
      <c r="AE283" s="33" t="e">
        <f t="shared" ca="1" si="107"/>
        <v>#N/A</v>
      </c>
      <c r="AF283" s="34" t="e">
        <f t="shared" ca="1" si="99"/>
        <v>#N/A</v>
      </c>
      <c r="AG283" s="34" t="e">
        <f t="shared" ca="1" si="100"/>
        <v>#N/A</v>
      </c>
      <c r="AH283" s="34" t="e">
        <f t="shared" ca="1" si="101"/>
        <v>#N/A</v>
      </c>
      <c r="AI283" s="33" t="e">
        <f t="shared" ca="1" si="108"/>
        <v>#N/A</v>
      </c>
      <c r="AJ283" s="34" t="e">
        <f t="shared" ca="1" si="109"/>
        <v>#N/A</v>
      </c>
      <c r="AK283" s="34" t="e">
        <f t="shared" ca="1" si="102"/>
        <v>#N/A</v>
      </c>
      <c r="AL283" s="34" t="e">
        <f t="shared" ca="1" si="103"/>
        <v>#N/A</v>
      </c>
      <c r="AM283" s="33" t="e">
        <f t="shared" ca="1" si="110"/>
        <v>#N/A</v>
      </c>
      <c r="AN283" s="34" t="e">
        <f t="shared" ca="1" si="111"/>
        <v>#N/A</v>
      </c>
    </row>
    <row r="284" spans="1:40" x14ac:dyDescent="0.3">
      <c r="A284" s="2">
        <v>43874</v>
      </c>
      <c r="B284" s="9">
        <v>60.400002000000001</v>
      </c>
      <c r="C284" s="9">
        <v>122.980003</v>
      </c>
      <c r="D284" s="9">
        <v>83.699996999999996</v>
      </c>
      <c r="E284" s="10"/>
      <c r="F284" s="13">
        <v>281</v>
      </c>
      <c r="G284" s="2">
        <v>43874</v>
      </c>
      <c r="H284" s="14">
        <f t="shared" si="92"/>
        <v>-1.1849990443656826E-2</v>
      </c>
      <c r="I284" s="14">
        <f t="shared" si="93"/>
        <v>-5.7566866368403578E-3</v>
      </c>
      <c r="J284" s="14">
        <f t="shared" si="94"/>
        <v>-1.5882804139729596E-2</v>
      </c>
      <c r="K284" s="22">
        <v>281</v>
      </c>
      <c r="L284" s="12"/>
      <c r="Q284" s="15">
        <f t="shared" si="95"/>
        <v>281</v>
      </c>
      <c r="R284" s="2">
        <f t="shared" si="91"/>
        <v>43874</v>
      </c>
      <c r="S284" s="9">
        <f t="shared" ca="1" si="96"/>
        <v>-1.1849990443656826E-2</v>
      </c>
      <c r="T284" s="9">
        <f t="shared" ca="1" si="97"/>
        <v>-5.7566866368403578E-3</v>
      </c>
      <c r="U284" s="9">
        <f t="shared" ca="1" si="98"/>
        <v>-1.5882804139729596E-2</v>
      </c>
      <c r="AB284" s="33" t="e">
        <f t="shared" ca="1" si="104"/>
        <v>#N/A</v>
      </c>
      <c r="AC284" s="34" t="e">
        <f t="shared" ca="1" si="105"/>
        <v>#N/A</v>
      </c>
      <c r="AD284" s="34" t="e">
        <f t="shared" ca="1" si="106"/>
        <v>#N/A</v>
      </c>
      <c r="AE284" s="33" t="e">
        <f t="shared" ca="1" si="107"/>
        <v>#N/A</v>
      </c>
      <c r="AF284" s="34" t="e">
        <f t="shared" ca="1" si="99"/>
        <v>#N/A</v>
      </c>
      <c r="AG284" s="34" t="e">
        <f t="shared" ca="1" si="100"/>
        <v>#N/A</v>
      </c>
      <c r="AH284" s="34" t="e">
        <f t="shared" ca="1" si="101"/>
        <v>#N/A</v>
      </c>
      <c r="AI284" s="33" t="e">
        <f t="shared" ca="1" si="108"/>
        <v>#N/A</v>
      </c>
      <c r="AJ284" s="34" t="e">
        <f t="shared" ca="1" si="109"/>
        <v>#N/A</v>
      </c>
      <c r="AK284" s="34" t="e">
        <f t="shared" ca="1" si="102"/>
        <v>#N/A</v>
      </c>
      <c r="AL284" s="34" t="e">
        <f t="shared" ca="1" si="103"/>
        <v>#N/A</v>
      </c>
      <c r="AM284" s="33" t="e">
        <f t="shared" ca="1" si="110"/>
        <v>#N/A</v>
      </c>
      <c r="AN284" s="34" t="e">
        <f t="shared" ca="1" si="111"/>
        <v>#N/A</v>
      </c>
    </row>
    <row r="285" spans="1:40" x14ac:dyDescent="0.3">
      <c r="A285" s="2">
        <v>43875</v>
      </c>
      <c r="B285" s="9">
        <v>60.200001</v>
      </c>
      <c r="C285" s="9">
        <v>121.839996</v>
      </c>
      <c r="D285" s="9">
        <v>82.639999000000003</v>
      </c>
      <c r="E285" s="10"/>
      <c r="F285" s="13">
        <v>282</v>
      </c>
      <c r="G285" s="2">
        <v>43875</v>
      </c>
      <c r="H285" s="14">
        <f t="shared" si="92"/>
        <v>-3.3167691272805735E-3</v>
      </c>
      <c r="I285" s="14">
        <f t="shared" si="93"/>
        <v>-9.3130891625688109E-3</v>
      </c>
      <c r="J285" s="14">
        <f t="shared" si="94"/>
        <v>-1.2745128942429631E-2</v>
      </c>
      <c r="K285" s="22">
        <v>282</v>
      </c>
      <c r="L285" s="12"/>
      <c r="Q285" s="15">
        <f t="shared" si="95"/>
        <v>282</v>
      </c>
      <c r="R285" s="2">
        <f t="shared" si="91"/>
        <v>43875</v>
      </c>
      <c r="S285" s="9">
        <f t="shared" ca="1" si="96"/>
        <v>-3.3167691272805735E-3</v>
      </c>
      <c r="T285" s="9">
        <f t="shared" ca="1" si="97"/>
        <v>-9.3130891625688109E-3</v>
      </c>
      <c r="U285" s="9">
        <f t="shared" ca="1" si="98"/>
        <v>-1.2745128942429631E-2</v>
      </c>
      <c r="AB285" s="33" t="e">
        <f t="shared" ca="1" si="104"/>
        <v>#N/A</v>
      </c>
      <c r="AC285" s="34" t="e">
        <f t="shared" ca="1" si="105"/>
        <v>#N/A</v>
      </c>
      <c r="AD285" s="34" t="e">
        <f t="shared" ca="1" si="106"/>
        <v>#N/A</v>
      </c>
      <c r="AE285" s="33" t="e">
        <f t="shared" ca="1" si="107"/>
        <v>#N/A</v>
      </c>
      <c r="AF285" s="34" t="e">
        <f t="shared" ca="1" si="99"/>
        <v>#N/A</v>
      </c>
      <c r="AG285" s="34" t="e">
        <f t="shared" ca="1" si="100"/>
        <v>#N/A</v>
      </c>
      <c r="AH285" s="34" t="e">
        <f t="shared" ca="1" si="101"/>
        <v>#N/A</v>
      </c>
      <c r="AI285" s="33" t="e">
        <f t="shared" ca="1" si="108"/>
        <v>#N/A</v>
      </c>
      <c r="AJ285" s="34" t="e">
        <f t="shared" ca="1" si="109"/>
        <v>#N/A</v>
      </c>
      <c r="AK285" s="34" t="e">
        <f t="shared" ca="1" si="102"/>
        <v>#N/A</v>
      </c>
      <c r="AL285" s="34" t="e">
        <f t="shared" ca="1" si="103"/>
        <v>#N/A</v>
      </c>
      <c r="AM285" s="33" t="e">
        <f t="shared" ca="1" si="110"/>
        <v>#N/A</v>
      </c>
      <c r="AN285" s="34" t="e">
        <f t="shared" ca="1" si="111"/>
        <v>#N/A</v>
      </c>
    </row>
    <row r="286" spans="1:40" x14ac:dyDescent="0.3">
      <c r="A286" s="2">
        <v>43879</v>
      </c>
      <c r="B286" s="9">
        <v>59.380001</v>
      </c>
      <c r="C286" s="9">
        <v>120.610001</v>
      </c>
      <c r="D286" s="9">
        <v>82.519997000000004</v>
      </c>
      <c r="E286" s="10"/>
      <c r="F286" s="13">
        <v>283</v>
      </c>
      <c r="G286" s="2">
        <v>43879</v>
      </c>
      <c r="H286" s="14">
        <f t="shared" si="92"/>
        <v>-1.3714882749770193E-2</v>
      </c>
      <c r="I286" s="14">
        <f t="shared" si="93"/>
        <v>-1.0146467870626938E-2</v>
      </c>
      <c r="J286" s="14">
        <f t="shared" si="94"/>
        <v>-1.4531608624780666E-3</v>
      </c>
      <c r="K286" s="22">
        <v>283</v>
      </c>
      <c r="L286" s="12"/>
      <c r="Q286" s="15">
        <f t="shared" si="95"/>
        <v>283</v>
      </c>
      <c r="R286" s="2">
        <f t="shared" si="91"/>
        <v>43879</v>
      </c>
      <c r="S286" s="9">
        <f t="shared" ca="1" si="96"/>
        <v>-1.3714882749770193E-2</v>
      </c>
      <c r="T286" s="9">
        <f t="shared" ca="1" si="97"/>
        <v>-1.0146467870626938E-2</v>
      </c>
      <c r="U286" s="9">
        <f t="shared" ca="1" si="98"/>
        <v>-1.4531608624780666E-3</v>
      </c>
      <c r="AB286" s="33" t="e">
        <f t="shared" ca="1" si="104"/>
        <v>#N/A</v>
      </c>
      <c r="AC286" s="34" t="e">
        <f t="shared" ca="1" si="105"/>
        <v>#N/A</v>
      </c>
      <c r="AD286" s="34" t="e">
        <f t="shared" ca="1" si="106"/>
        <v>#N/A</v>
      </c>
      <c r="AE286" s="33" t="e">
        <f t="shared" ca="1" si="107"/>
        <v>#N/A</v>
      </c>
      <c r="AF286" s="34" t="e">
        <f t="shared" ca="1" si="99"/>
        <v>#N/A</v>
      </c>
      <c r="AG286" s="34" t="e">
        <f t="shared" ca="1" si="100"/>
        <v>#N/A</v>
      </c>
      <c r="AH286" s="34" t="e">
        <f t="shared" ca="1" si="101"/>
        <v>#N/A</v>
      </c>
      <c r="AI286" s="33" t="e">
        <f t="shared" ca="1" si="108"/>
        <v>#N/A</v>
      </c>
      <c r="AJ286" s="34" t="e">
        <f t="shared" ca="1" si="109"/>
        <v>#N/A</v>
      </c>
      <c r="AK286" s="34" t="e">
        <f t="shared" ca="1" si="102"/>
        <v>#N/A</v>
      </c>
      <c r="AL286" s="34" t="e">
        <f t="shared" ca="1" si="103"/>
        <v>#N/A</v>
      </c>
      <c r="AM286" s="33" t="e">
        <f t="shared" ca="1" si="110"/>
        <v>#N/A</v>
      </c>
      <c r="AN286" s="34" t="e">
        <f t="shared" ca="1" si="111"/>
        <v>#N/A</v>
      </c>
    </row>
    <row r="287" spans="1:40" x14ac:dyDescent="0.3">
      <c r="A287" s="2">
        <v>43880</v>
      </c>
      <c r="B287" s="9">
        <v>59.5</v>
      </c>
      <c r="C287" s="9">
        <v>119.800003</v>
      </c>
      <c r="D287" s="9">
        <v>83.230002999999996</v>
      </c>
      <c r="E287" s="10"/>
      <c r="F287" s="13">
        <v>284</v>
      </c>
      <c r="G287" s="2">
        <v>43880</v>
      </c>
      <c r="H287" s="14">
        <f t="shared" si="92"/>
        <v>2.0188263752834003E-3</v>
      </c>
      <c r="I287" s="14">
        <f t="shared" si="93"/>
        <v>-6.7384971632530877E-3</v>
      </c>
      <c r="J287" s="14">
        <f t="shared" si="94"/>
        <v>8.5672439544710634E-3</v>
      </c>
      <c r="K287" s="22">
        <v>284</v>
      </c>
      <c r="L287" s="12"/>
      <c r="Q287" s="15">
        <f t="shared" si="95"/>
        <v>284</v>
      </c>
      <c r="R287" s="2">
        <f t="shared" si="91"/>
        <v>43880</v>
      </c>
      <c r="S287" s="9">
        <f t="shared" ca="1" si="96"/>
        <v>2.0188263752834003E-3</v>
      </c>
      <c r="T287" s="9">
        <f t="shared" ca="1" si="97"/>
        <v>-6.7384971632530877E-3</v>
      </c>
      <c r="U287" s="9">
        <f t="shared" ca="1" si="98"/>
        <v>8.5672439544710634E-3</v>
      </c>
      <c r="AB287" s="33" t="e">
        <f t="shared" ca="1" si="104"/>
        <v>#N/A</v>
      </c>
      <c r="AC287" s="34" t="e">
        <f t="shared" ca="1" si="105"/>
        <v>#N/A</v>
      </c>
      <c r="AD287" s="34" t="e">
        <f t="shared" ca="1" si="106"/>
        <v>#N/A</v>
      </c>
      <c r="AE287" s="33" t="e">
        <f t="shared" ca="1" si="107"/>
        <v>#N/A</v>
      </c>
      <c r="AF287" s="34" t="e">
        <f t="shared" ca="1" si="99"/>
        <v>#N/A</v>
      </c>
      <c r="AG287" s="34" t="e">
        <f t="shared" ca="1" si="100"/>
        <v>#N/A</v>
      </c>
      <c r="AH287" s="34" t="e">
        <f t="shared" ca="1" si="101"/>
        <v>#N/A</v>
      </c>
      <c r="AI287" s="33" t="e">
        <f t="shared" ca="1" si="108"/>
        <v>#N/A</v>
      </c>
      <c r="AJ287" s="34" t="e">
        <f t="shared" ca="1" si="109"/>
        <v>#N/A</v>
      </c>
      <c r="AK287" s="34" t="e">
        <f t="shared" ca="1" si="102"/>
        <v>#N/A</v>
      </c>
      <c r="AL287" s="34" t="e">
        <f t="shared" ca="1" si="103"/>
        <v>#N/A</v>
      </c>
      <c r="AM287" s="33" t="e">
        <f t="shared" ca="1" si="110"/>
        <v>#N/A</v>
      </c>
      <c r="AN287" s="34" t="e">
        <f t="shared" ca="1" si="111"/>
        <v>#N/A</v>
      </c>
    </row>
    <row r="288" spans="1:40" x14ac:dyDescent="0.3">
      <c r="A288" s="2">
        <v>43881</v>
      </c>
      <c r="B288" s="9">
        <v>59.259998000000003</v>
      </c>
      <c r="C288" s="9">
        <v>121.860001</v>
      </c>
      <c r="D288" s="9">
        <v>84.169998000000007</v>
      </c>
      <c r="E288" s="10"/>
      <c r="F288" s="13">
        <v>285</v>
      </c>
      <c r="G288" s="2">
        <v>43881</v>
      </c>
      <c r="H288" s="14">
        <f t="shared" si="92"/>
        <v>-4.0418041557435391E-3</v>
      </c>
      <c r="I288" s="14">
        <f t="shared" si="93"/>
        <v>1.704914230340146E-2</v>
      </c>
      <c r="J288" s="14">
        <f t="shared" si="94"/>
        <v>1.1230643659350902E-2</v>
      </c>
      <c r="K288" s="22">
        <v>285</v>
      </c>
      <c r="L288" s="12"/>
      <c r="Q288" s="15">
        <f t="shared" si="95"/>
        <v>285</v>
      </c>
      <c r="R288" s="2">
        <f t="shared" si="91"/>
        <v>43881</v>
      </c>
      <c r="S288" s="9">
        <f t="shared" ca="1" si="96"/>
        <v>-4.0418041557435391E-3</v>
      </c>
      <c r="T288" s="9">
        <f t="shared" ca="1" si="97"/>
        <v>1.704914230340146E-2</v>
      </c>
      <c r="U288" s="9">
        <f t="shared" ca="1" si="98"/>
        <v>1.1230643659350902E-2</v>
      </c>
      <c r="AB288" s="33" t="e">
        <f t="shared" ca="1" si="104"/>
        <v>#N/A</v>
      </c>
      <c r="AC288" s="34" t="e">
        <f t="shared" ca="1" si="105"/>
        <v>#N/A</v>
      </c>
      <c r="AD288" s="34" t="e">
        <f t="shared" ca="1" si="106"/>
        <v>#N/A</v>
      </c>
      <c r="AE288" s="33" t="e">
        <f t="shared" ca="1" si="107"/>
        <v>#N/A</v>
      </c>
      <c r="AF288" s="34" t="e">
        <f t="shared" ca="1" si="99"/>
        <v>#N/A</v>
      </c>
      <c r="AG288" s="34" t="e">
        <f t="shared" ca="1" si="100"/>
        <v>#N/A</v>
      </c>
      <c r="AH288" s="34" t="e">
        <f t="shared" ca="1" si="101"/>
        <v>#N/A</v>
      </c>
      <c r="AI288" s="33" t="e">
        <f t="shared" ca="1" si="108"/>
        <v>#N/A</v>
      </c>
      <c r="AJ288" s="34" t="e">
        <f t="shared" ca="1" si="109"/>
        <v>#N/A</v>
      </c>
      <c r="AK288" s="34" t="e">
        <f t="shared" ca="1" si="102"/>
        <v>#N/A</v>
      </c>
      <c r="AL288" s="34" t="e">
        <f t="shared" ca="1" si="103"/>
        <v>#N/A</v>
      </c>
      <c r="AM288" s="33" t="e">
        <f t="shared" ca="1" si="110"/>
        <v>#N/A</v>
      </c>
      <c r="AN288" s="34" t="e">
        <f t="shared" ca="1" si="111"/>
        <v>#N/A</v>
      </c>
    </row>
    <row r="289" spans="1:40" x14ac:dyDescent="0.3">
      <c r="A289" s="2">
        <v>43882</v>
      </c>
      <c r="B289" s="9">
        <v>59.209999000000003</v>
      </c>
      <c r="C289" s="9">
        <v>117.459999</v>
      </c>
      <c r="D289" s="9">
        <v>82.900002000000001</v>
      </c>
      <c r="E289" s="10"/>
      <c r="F289" s="13">
        <v>286</v>
      </c>
      <c r="G289" s="2">
        <v>43882</v>
      </c>
      <c r="H289" s="14">
        <f t="shared" si="92"/>
        <v>-8.4407874119493524E-4</v>
      </c>
      <c r="I289" s="14">
        <f t="shared" si="93"/>
        <v>-3.6775011445649639E-2</v>
      </c>
      <c r="J289" s="14">
        <f t="shared" si="94"/>
        <v>-1.5203453195348013E-2</v>
      </c>
      <c r="K289" s="22">
        <v>286</v>
      </c>
      <c r="L289" s="12"/>
      <c r="Q289" s="15">
        <f t="shared" si="95"/>
        <v>286</v>
      </c>
      <c r="R289" s="2">
        <f t="shared" si="91"/>
        <v>43882</v>
      </c>
      <c r="S289" s="9">
        <f t="shared" ca="1" si="96"/>
        <v>-8.4407874119493524E-4</v>
      </c>
      <c r="T289" s="9">
        <f t="shared" ca="1" si="97"/>
        <v>-3.6775011445649639E-2</v>
      </c>
      <c r="U289" s="9">
        <f t="shared" ca="1" si="98"/>
        <v>-1.5203453195348013E-2</v>
      </c>
      <c r="AB289" s="33" t="e">
        <f t="shared" ca="1" si="104"/>
        <v>#N/A</v>
      </c>
      <c r="AC289" s="34" t="e">
        <f t="shared" ca="1" si="105"/>
        <v>#N/A</v>
      </c>
      <c r="AD289" s="34" t="e">
        <f t="shared" ca="1" si="106"/>
        <v>#N/A</v>
      </c>
      <c r="AE289" s="33" t="e">
        <f t="shared" ca="1" si="107"/>
        <v>#N/A</v>
      </c>
      <c r="AF289" s="34" t="e">
        <f t="shared" ca="1" si="99"/>
        <v>#N/A</v>
      </c>
      <c r="AG289" s="34" t="e">
        <f t="shared" ca="1" si="100"/>
        <v>#N/A</v>
      </c>
      <c r="AH289" s="34" t="e">
        <f t="shared" ca="1" si="101"/>
        <v>#N/A</v>
      </c>
      <c r="AI289" s="33" t="e">
        <f t="shared" ca="1" si="108"/>
        <v>#N/A</v>
      </c>
      <c r="AJ289" s="34" t="e">
        <f t="shared" ca="1" si="109"/>
        <v>#N/A</v>
      </c>
      <c r="AK289" s="34" t="e">
        <f t="shared" ca="1" si="102"/>
        <v>#N/A</v>
      </c>
      <c r="AL289" s="34" t="e">
        <f t="shared" ca="1" si="103"/>
        <v>#N/A</v>
      </c>
      <c r="AM289" s="33" t="e">
        <f t="shared" ca="1" si="110"/>
        <v>#N/A</v>
      </c>
      <c r="AN289" s="34" t="e">
        <f t="shared" ca="1" si="111"/>
        <v>#N/A</v>
      </c>
    </row>
    <row r="290" spans="1:40" x14ac:dyDescent="0.3">
      <c r="A290" s="2">
        <v>43885</v>
      </c>
      <c r="B290" s="9">
        <v>56.669998</v>
      </c>
      <c r="C290" s="9">
        <v>109.610001</v>
      </c>
      <c r="D290" s="9">
        <v>78.099997999999999</v>
      </c>
      <c r="E290" s="10"/>
      <c r="F290" s="13">
        <v>287</v>
      </c>
      <c r="G290" s="2">
        <v>43885</v>
      </c>
      <c r="H290" s="14">
        <f t="shared" si="92"/>
        <v>-4.3845494765160031E-2</v>
      </c>
      <c r="I290" s="14">
        <f t="shared" si="93"/>
        <v>-6.9169221229949659E-2</v>
      </c>
      <c r="J290" s="14">
        <f t="shared" si="94"/>
        <v>-5.9645055029256051E-2</v>
      </c>
      <c r="K290" s="22">
        <v>287</v>
      </c>
      <c r="L290" s="12"/>
      <c r="Q290" s="15">
        <f t="shared" si="95"/>
        <v>287</v>
      </c>
      <c r="R290" s="2">
        <f t="shared" si="91"/>
        <v>43885</v>
      </c>
      <c r="S290" s="9">
        <f t="shared" ca="1" si="96"/>
        <v>-4.3845494765160031E-2</v>
      </c>
      <c r="T290" s="9">
        <f t="shared" ca="1" si="97"/>
        <v>-6.9169221229949659E-2</v>
      </c>
      <c r="U290" s="9">
        <f t="shared" ca="1" si="98"/>
        <v>-5.9645055029256051E-2</v>
      </c>
      <c r="AB290" s="33" t="e">
        <f t="shared" ca="1" si="104"/>
        <v>#N/A</v>
      </c>
      <c r="AC290" s="34" t="e">
        <f t="shared" ca="1" si="105"/>
        <v>#N/A</v>
      </c>
      <c r="AD290" s="34" t="e">
        <f t="shared" ca="1" si="106"/>
        <v>#N/A</v>
      </c>
      <c r="AE290" s="33" t="e">
        <f t="shared" ca="1" si="107"/>
        <v>#N/A</v>
      </c>
      <c r="AF290" s="34" t="e">
        <f t="shared" ca="1" si="99"/>
        <v>#N/A</v>
      </c>
      <c r="AG290" s="34" t="e">
        <f t="shared" ca="1" si="100"/>
        <v>#N/A</v>
      </c>
      <c r="AH290" s="34" t="e">
        <f t="shared" ca="1" si="101"/>
        <v>#N/A</v>
      </c>
      <c r="AI290" s="33" t="e">
        <f t="shared" ca="1" si="108"/>
        <v>#N/A</v>
      </c>
      <c r="AJ290" s="34" t="e">
        <f t="shared" ca="1" si="109"/>
        <v>#N/A</v>
      </c>
      <c r="AK290" s="34" t="e">
        <f t="shared" ca="1" si="102"/>
        <v>#N/A</v>
      </c>
      <c r="AL290" s="34" t="e">
        <f t="shared" ca="1" si="103"/>
        <v>#N/A</v>
      </c>
      <c r="AM290" s="33" t="e">
        <f t="shared" ca="1" si="110"/>
        <v>#N/A</v>
      </c>
      <c r="AN290" s="34" t="e">
        <f t="shared" ca="1" si="111"/>
        <v>#N/A</v>
      </c>
    </row>
    <row r="291" spans="1:40" x14ac:dyDescent="0.3">
      <c r="A291" s="2">
        <v>43886</v>
      </c>
      <c r="B291" s="9">
        <v>53.459999000000003</v>
      </c>
      <c r="C291" s="9">
        <v>102.760002</v>
      </c>
      <c r="D291" s="9">
        <v>74.440002000000007</v>
      </c>
      <c r="E291" s="10"/>
      <c r="F291" s="13">
        <v>288</v>
      </c>
      <c r="G291" s="2">
        <v>43886</v>
      </c>
      <c r="H291" s="14">
        <f t="shared" si="92"/>
        <v>-5.8311242884287032E-2</v>
      </c>
      <c r="I291" s="14">
        <f t="shared" si="93"/>
        <v>-6.4532428646378509E-2</v>
      </c>
      <c r="J291" s="14">
        <f t="shared" si="94"/>
        <v>-4.7996572596119912E-2</v>
      </c>
      <c r="K291" s="22">
        <v>288</v>
      </c>
      <c r="L291" s="12"/>
      <c r="Q291" s="15">
        <f t="shared" si="95"/>
        <v>288</v>
      </c>
      <c r="R291" s="2">
        <f t="shared" si="91"/>
        <v>43886</v>
      </c>
      <c r="S291" s="9">
        <f t="shared" ca="1" si="96"/>
        <v>-5.8311242884287032E-2</v>
      </c>
      <c r="T291" s="9">
        <f t="shared" ca="1" si="97"/>
        <v>-6.4532428646378509E-2</v>
      </c>
      <c r="U291" s="9">
        <f t="shared" ca="1" si="98"/>
        <v>-4.7996572596119912E-2</v>
      </c>
      <c r="AB291" s="33" t="e">
        <f t="shared" ca="1" si="104"/>
        <v>#N/A</v>
      </c>
      <c r="AC291" s="34" t="e">
        <f t="shared" ca="1" si="105"/>
        <v>#N/A</v>
      </c>
      <c r="AD291" s="34" t="e">
        <f t="shared" ca="1" si="106"/>
        <v>#N/A</v>
      </c>
      <c r="AE291" s="33" t="e">
        <f t="shared" ca="1" si="107"/>
        <v>#N/A</v>
      </c>
      <c r="AF291" s="34" t="e">
        <f t="shared" ca="1" si="99"/>
        <v>#N/A</v>
      </c>
      <c r="AG291" s="34" t="e">
        <f t="shared" ca="1" si="100"/>
        <v>#N/A</v>
      </c>
      <c r="AH291" s="34" t="e">
        <f t="shared" ca="1" si="101"/>
        <v>#N/A</v>
      </c>
      <c r="AI291" s="33" t="e">
        <f t="shared" ca="1" si="108"/>
        <v>#N/A</v>
      </c>
      <c r="AJ291" s="34" t="e">
        <f t="shared" ca="1" si="109"/>
        <v>#N/A</v>
      </c>
      <c r="AK291" s="34" t="e">
        <f t="shared" ca="1" si="102"/>
        <v>#N/A</v>
      </c>
      <c r="AL291" s="34" t="e">
        <f t="shared" ca="1" si="103"/>
        <v>#N/A</v>
      </c>
      <c r="AM291" s="33" t="e">
        <f t="shared" ca="1" si="110"/>
        <v>#N/A</v>
      </c>
      <c r="AN291" s="34" t="e">
        <f t="shared" ca="1" si="111"/>
        <v>#N/A</v>
      </c>
    </row>
    <row r="292" spans="1:40" x14ac:dyDescent="0.3">
      <c r="A292" s="2">
        <v>43887</v>
      </c>
      <c r="B292" s="9">
        <v>52.259998000000003</v>
      </c>
      <c r="C292" s="9">
        <v>101.58000199999999</v>
      </c>
      <c r="D292" s="9">
        <v>71.720000999999996</v>
      </c>
      <c r="E292" s="10"/>
      <c r="F292" s="13">
        <v>289</v>
      </c>
      <c r="G292" s="2">
        <v>43887</v>
      </c>
      <c r="H292" s="14">
        <f t="shared" si="92"/>
        <v>-2.2702470182920289E-2</v>
      </c>
      <c r="I292" s="14">
        <f t="shared" si="93"/>
        <v>-1.1549506642494763E-2</v>
      </c>
      <c r="J292" s="14">
        <f t="shared" si="94"/>
        <v>-3.7223795961281364E-2</v>
      </c>
      <c r="K292" s="22">
        <v>289</v>
      </c>
      <c r="L292" s="12"/>
      <c r="Q292" s="15">
        <f t="shared" si="95"/>
        <v>289</v>
      </c>
      <c r="R292" s="2">
        <f t="shared" si="91"/>
        <v>43887</v>
      </c>
      <c r="S292" s="9">
        <f t="shared" ca="1" si="96"/>
        <v>-2.2702470182920289E-2</v>
      </c>
      <c r="T292" s="9">
        <f t="shared" ca="1" si="97"/>
        <v>-1.1549506642494763E-2</v>
      </c>
      <c r="U292" s="9">
        <f t="shared" ca="1" si="98"/>
        <v>-3.7223795961281364E-2</v>
      </c>
      <c r="AB292" s="33" t="e">
        <f t="shared" ca="1" si="104"/>
        <v>#N/A</v>
      </c>
      <c r="AC292" s="34" t="e">
        <f t="shared" ca="1" si="105"/>
        <v>#N/A</v>
      </c>
      <c r="AD292" s="34" t="e">
        <f t="shared" ca="1" si="106"/>
        <v>#N/A</v>
      </c>
      <c r="AE292" s="33" t="e">
        <f t="shared" ca="1" si="107"/>
        <v>#N/A</v>
      </c>
      <c r="AF292" s="34" t="e">
        <f t="shared" ca="1" si="99"/>
        <v>#N/A</v>
      </c>
      <c r="AG292" s="34" t="e">
        <f t="shared" ca="1" si="100"/>
        <v>#N/A</v>
      </c>
      <c r="AH292" s="34" t="e">
        <f t="shared" ca="1" si="101"/>
        <v>#N/A</v>
      </c>
      <c r="AI292" s="33" t="e">
        <f t="shared" ca="1" si="108"/>
        <v>#N/A</v>
      </c>
      <c r="AJ292" s="34" t="e">
        <f t="shared" ca="1" si="109"/>
        <v>#N/A</v>
      </c>
      <c r="AK292" s="34" t="e">
        <f t="shared" ca="1" si="102"/>
        <v>#N/A</v>
      </c>
      <c r="AL292" s="34" t="e">
        <f t="shared" ca="1" si="103"/>
        <v>#N/A</v>
      </c>
      <c r="AM292" s="33" t="e">
        <f t="shared" ca="1" si="110"/>
        <v>#N/A</v>
      </c>
      <c r="AN292" s="34" t="e">
        <f t="shared" ca="1" si="111"/>
        <v>#N/A</v>
      </c>
    </row>
    <row r="293" spans="1:40" x14ac:dyDescent="0.3">
      <c r="A293" s="2">
        <v>43888</v>
      </c>
      <c r="B293" s="9">
        <v>50.759998000000003</v>
      </c>
      <c r="C293" s="9">
        <v>101.610001</v>
      </c>
      <c r="D293" s="9">
        <v>66.190002000000007</v>
      </c>
      <c r="E293" s="10"/>
      <c r="F293" s="13">
        <v>290</v>
      </c>
      <c r="G293" s="2">
        <v>43888</v>
      </c>
      <c r="H293" s="14">
        <f t="shared" si="92"/>
        <v>-2.9122618377195219E-2</v>
      </c>
      <c r="I293" s="14">
        <f t="shared" si="93"/>
        <v>2.9528027732716159E-4</v>
      </c>
      <c r="J293" s="14">
        <f t="shared" si="94"/>
        <v>-8.0240238333168235E-2</v>
      </c>
      <c r="K293" s="22">
        <v>290</v>
      </c>
      <c r="L293" s="12"/>
      <c r="Q293" s="15">
        <f t="shared" si="95"/>
        <v>290</v>
      </c>
      <c r="R293" s="2">
        <f t="shared" si="91"/>
        <v>43888</v>
      </c>
      <c r="S293" s="9">
        <f t="shared" ca="1" si="96"/>
        <v>-2.9122618377195219E-2</v>
      </c>
      <c r="T293" s="9">
        <f t="shared" ca="1" si="97"/>
        <v>2.9528027732716159E-4</v>
      </c>
      <c r="U293" s="9">
        <f t="shared" ca="1" si="98"/>
        <v>-8.0240238333168235E-2</v>
      </c>
      <c r="AB293" s="33" t="e">
        <f t="shared" ca="1" si="104"/>
        <v>#N/A</v>
      </c>
      <c r="AC293" s="34" t="e">
        <f t="shared" ca="1" si="105"/>
        <v>#N/A</v>
      </c>
      <c r="AD293" s="34" t="e">
        <f t="shared" ca="1" si="106"/>
        <v>#N/A</v>
      </c>
      <c r="AE293" s="33" t="e">
        <f t="shared" ca="1" si="107"/>
        <v>#N/A</v>
      </c>
      <c r="AF293" s="34" t="e">
        <f t="shared" ca="1" si="99"/>
        <v>#N/A</v>
      </c>
      <c r="AG293" s="34" t="e">
        <f t="shared" ca="1" si="100"/>
        <v>#N/A</v>
      </c>
      <c r="AH293" s="34" t="e">
        <f t="shared" ca="1" si="101"/>
        <v>#N/A</v>
      </c>
      <c r="AI293" s="33" t="e">
        <f t="shared" ca="1" si="108"/>
        <v>#N/A</v>
      </c>
      <c r="AJ293" s="34" t="e">
        <f t="shared" ca="1" si="109"/>
        <v>#N/A</v>
      </c>
      <c r="AK293" s="34" t="e">
        <f t="shared" ca="1" si="102"/>
        <v>#N/A</v>
      </c>
      <c r="AL293" s="34" t="e">
        <f t="shared" ca="1" si="103"/>
        <v>#N/A</v>
      </c>
      <c r="AM293" s="33" t="e">
        <f t="shared" ca="1" si="110"/>
        <v>#N/A</v>
      </c>
      <c r="AN293" s="34" t="e">
        <f t="shared" ca="1" si="111"/>
        <v>#N/A</v>
      </c>
    </row>
    <row r="294" spans="1:40" x14ac:dyDescent="0.3">
      <c r="A294" s="2">
        <v>43889</v>
      </c>
      <c r="B294" s="9">
        <v>50.41</v>
      </c>
      <c r="C294" s="9">
        <v>105.510002</v>
      </c>
      <c r="D294" s="9">
        <v>66.25</v>
      </c>
      <c r="E294" s="10"/>
      <c r="F294" s="13">
        <v>291</v>
      </c>
      <c r="G294" s="2">
        <v>43889</v>
      </c>
      <c r="H294" s="14">
        <f t="shared" si="92"/>
        <v>-6.9190353505435504E-3</v>
      </c>
      <c r="I294" s="14">
        <f t="shared" si="93"/>
        <v>3.7663788770208956E-2</v>
      </c>
      <c r="J294" s="14">
        <f t="shared" si="94"/>
        <v>9.0604051945583565E-4</v>
      </c>
      <c r="K294" s="22">
        <v>291</v>
      </c>
      <c r="L294" s="12"/>
      <c r="Q294" s="15">
        <f t="shared" si="95"/>
        <v>291</v>
      </c>
      <c r="R294" s="2">
        <f t="shared" si="91"/>
        <v>43889</v>
      </c>
      <c r="S294" s="9">
        <f t="shared" ca="1" si="96"/>
        <v>-6.9190353505435504E-3</v>
      </c>
      <c r="T294" s="9">
        <f t="shared" ca="1" si="97"/>
        <v>3.7663788770208956E-2</v>
      </c>
      <c r="U294" s="9">
        <f t="shared" ca="1" si="98"/>
        <v>9.0604051945583565E-4</v>
      </c>
      <c r="AB294" s="33" t="e">
        <f t="shared" ca="1" si="104"/>
        <v>#N/A</v>
      </c>
      <c r="AC294" s="34" t="e">
        <f t="shared" ca="1" si="105"/>
        <v>#N/A</v>
      </c>
      <c r="AD294" s="34" t="e">
        <f t="shared" ca="1" si="106"/>
        <v>#N/A</v>
      </c>
      <c r="AE294" s="33" t="e">
        <f t="shared" ca="1" si="107"/>
        <v>#N/A</v>
      </c>
      <c r="AF294" s="34" t="e">
        <f t="shared" ca="1" si="99"/>
        <v>#N/A</v>
      </c>
      <c r="AG294" s="34" t="e">
        <f t="shared" ca="1" si="100"/>
        <v>#N/A</v>
      </c>
      <c r="AH294" s="34" t="e">
        <f t="shared" ca="1" si="101"/>
        <v>#N/A</v>
      </c>
      <c r="AI294" s="33" t="e">
        <f t="shared" ca="1" si="108"/>
        <v>#N/A</v>
      </c>
      <c r="AJ294" s="34" t="e">
        <f t="shared" ca="1" si="109"/>
        <v>#N/A</v>
      </c>
      <c r="AK294" s="34" t="e">
        <f t="shared" ca="1" si="102"/>
        <v>#N/A</v>
      </c>
      <c r="AL294" s="34" t="e">
        <f t="shared" ca="1" si="103"/>
        <v>#N/A</v>
      </c>
      <c r="AM294" s="33" t="e">
        <f t="shared" ca="1" si="110"/>
        <v>#N/A</v>
      </c>
      <c r="AN294" s="34" t="e">
        <f t="shared" ca="1" si="111"/>
        <v>#N/A</v>
      </c>
    </row>
    <row r="295" spans="1:40" x14ac:dyDescent="0.3">
      <c r="A295" s="2">
        <v>43892</v>
      </c>
      <c r="B295" s="9">
        <v>51.07</v>
      </c>
      <c r="C295" s="9">
        <v>107.610001</v>
      </c>
      <c r="D295" s="9">
        <v>67.870002999999997</v>
      </c>
      <c r="E295" s="10"/>
      <c r="F295" s="13">
        <v>292</v>
      </c>
      <c r="G295" s="2">
        <v>43892</v>
      </c>
      <c r="H295" s="14">
        <f t="shared" si="92"/>
        <v>1.3007672565013144E-2</v>
      </c>
      <c r="I295" s="14">
        <f t="shared" si="93"/>
        <v>1.9707835395567554E-2</v>
      </c>
      <c r="J295" s="14">
        <f t="shared" si="94"/>
        <v>2.4158690051485646E-2</v>
      </c>
      <c r="K295" s="22">
        <v>292</v>
      </c>
      <c r="L295" s="12"/>
      <c r="Q295" s="15">
        <f t="shared" si="95"/>
        <v>292</v>
      </c>
      <c r="R295" s="2">
        <f t="shared" si="91"/>
        <v>43892</v>
      </c>
      <c r="S295" s="9">
        <f t="shared" ca="1" si="96"/>
        <v>1.3007672565013144E-2</v>
      </c>
      <c r="T295" s="9">
        <f t="shared" ca="1" si="97"/>
        <v>1.9707835395567554E-2</v>
      </c>
      <c r="U295" s="9">
        <f t="shared" ca="1" si="98"/>
        <v>2.4158690051485646E-2</v>
      </c>
      <c r="AB295" s="33" t="e">
        <f t="shared" ca="1" si="104"/>
        <v>#N/A</v>
      </c>
      <c r="AC295" s="34" t="e">
        <f t="shared" ca="1" si="105"/>
        <v>#N/A</v>
      </c>
      <c r="AD295" s="34" t="e">
        <f t="shared" ca="1" si="106"/>
        <v>#N/A</v>
      </c>
      <c r="AE295" s="33" t="e">
        <f t="shared" ca="1" si="107"/>
        <v>#N/A</v>
      </c>
      <c r="AF295" s="34" t="e">
        <f t="shared" ca="1" si="99"/>
        <v>#N/A</v>
      </c>
      <c r="AG295" s="34" t="e">
        <f t="shared" ca="1" si="100"/>
        <v>#N/A</v>
      </c>
      <c r="AH295" s="34" t="e">
        <f t="shared" ca="1" si="101"/>
        <v>#N/A</v>
      </c>
      <c r="AI295" s="33" t="e">
        <f t="shared" ca="1" si="108"/>
        <v>#N/A</v>
      </c>
      <c r="AJ295" s="34" t="e">
        <f t="shared" ca="1" si="109"/>
        <v>#N/A</v>
      </c>
      <c r="AK295" s="34" t="e">
        <f t="shared" ca="1" si="102"/>
        <v>#N/A</v>
      </c>
      <c r="AL295" s="34" t="e">
        <f t="shared" ca="1" si="103"/>
        <v>#N/A</v>
      </c>
      <c r="AM295" s="33" t="e">
        <f t="shared" ca="1" si="110"/>
        <v>#N/A</v>
      </c>
      <c r="AN295" s="34" t="e">
        <f t="shared" ca="1" si="111"/>
        <v>#N/A</v>
      </c>
    </row>
    <row r="296" spans="1:40" x14ac:dyDescent="0.3">
      <c r="A296" s="2">
        <v>43893</v>
      </c>
      <c r="B296" s="9">
        <v>48.439999</v>
      </c>
      <c r="C296" s="9">
        <v>106.43</v>
      </c>
      <c r="D296" s="9">
        <v>64.440002000000007</v>
      </c>
      <c r="E296" s="10"/>
      <c r="F296" s="13">
        <v>293</v>
      </c>
      <c r="G296" s="2">
        <v>43893</v>
      </c>
      <c r="H296" s="14">
        <f t="shared" si="92"/>
        <v>-5.2871342618757061E-2</v>
      </c>
      <c r="I296" s="14">
        <f t="shared" si="93"/>
        <v>-1.1026097452164447E-2</v>
      </c>
      <c r="J296" s="14">
        <f t="shared" si="94"/>
        <v>-5.1859565572420718E-2</v>
      </c>
      <c r="K296" s="22">
        <v>293</v>
      </c>
      <c r="L296" s="12"/>
      <c r="Q296" s="15">
        <f t="shared" si="95"/>
        <v>293</v>
      </c>
      <c r="R296" s="2">
        <f t="shared" si="91"/>
        <v>43893</v>
      </c>
      <c r="S296" s="9">
        <f t="shared" ca="1" si="96"/>
        <v>-5.2871342618757061E-2</v>
      </c>
      <c r="T296" s="9">
        <f t="shared" ca="1" si="97"/>
        <v>-1.1026097452164447E-2</v>
      </c>
      <c r="U296" s="9">
        <f t="shared" ca="1" si="98"/>
        <v>-5.1859565572420718E-2</v>
      </c>
      <c r="AB296" s="33" t="e">
        <f t="shared" ca="1" si="104"/>
        <v>#N/A</v>
      </c>
      <c r="AC296" s="34" t="e">
        <f t="shared" ca="1" si="105"/>
        <v>#N/A</v>
      </c>
      <c r="AD296" s="34" t="e">
        <f t="shared" ca="1" si="106"/>
        <v>#N/A</v>
      </c>
      <c r="AE296" s="33" t="e">
        <f t="shared" ca="1" si="107"/>
        <v>#N/A</v>
      </c>
      <c r="AF296" s="34" t="e">
        <f t="shared" ca="1" si="99"/>
        <v>#N/A</v>
      </c>
      <c r="AG296" s="34" t="e">
        <f t="shared" ca="1" si="100"/>
        <v>#N/A</v>
      </c>
      <c r="AH296" s="34" t="e">
        <f t="shared" ca="1" si="101"/>
        <v>#N/A</v>
      </c>
      <c r="AI296" s="33" t="e">
        <f t="shared" ca="1" si="108"/>
        <v>#N/A</v>
      </c>
      <c r="AJ296" s="34" t="e">
        <f t="shared" ca="1" si="109"/>
        <v>#N/A</v>
      </c>
      <c r="AK296" s="34" t="e">
        <f t="shared" ca="1" si="102"/>
        <v>#N/A</v>
      </c>
      <c r="AL296" s="34" t="e">
        <f t="shared" ca="1" si="103"/>
        <v>#N/A</v>
      </c>
      <c r="AM296" s="33" t="e">
        <f t="shared" ca="1" si="110"/>
        <v>#N/A</v>
      </c>
      <c r="AN296" s="34" t="e">
        <f t="shared" ca="1" si="111"/>
        <v>#N/A</v>
      </c>
    </row>
    <row r="297" spans="1:40" x14ac:dyDescent="0.3">
      <c r="A297" s="2">
        <v>43894</v>
      </c>
      <c r="B297" s="9">
        <v>50.18</v>
      </c>
      <c r="C297" s="9">
        <v>110.540001</v>
      </c>
      <c r="D297" s="9">
        <v>64.150002000000001</v>
      </c>
      <c r="E297" s="10"/>
      <c r="F297" s="13">
        <v>294</v>
      </c>
      <c r="G297" s="2">
        <v>43894</v>
      </c>
      <c r="H297" s="14">
        <f t="shared" si="92"/>
        <v>3.5290642897480788E-2</v>
      </c>
      <c r="I297" s="14">
        <f t="shared" si="93"/>
        <v>3.7889963398662949E-2</v>
      </c>
      <c r="J297" s="14">
        <f t="shared" si="94"/>
        <v>-4.5104671068224578E-3</v>
      </c>
      <c r="K297" s="22">
        <v>294</v>
      </c>
      <c r="L297" s="12"/>
      <c r="Q297" s="15">
        <f t="shared" si="95"/>
        <v>294</v>
      </c>
      <c r="R297" s="2">
        <f t="shared" si="91"/>
        <v>43894</v>
      </c>
      <c r="S297" s="9">
        <f t="shared" ca="1" si="96"/>
        <v>3.5290642897480788E-2</v>
      </c>
      <c r="T297" s="9">
        <f t="shared" ca="1" si="97"/>
        <v>3.7889963398662949E-2</v>
      </c>
      <c r="U297" s="9">
        <f t="shared" ca="1" si="98"/>
        <v>-4.5104671068224578E-3</v>
      </c>
      <c r="AB297" s="33" t="e">
        <f t="shared" ca="1" si="104"/>
        <v>#N/A</v>
      </c>
      <c r="AC297" s="34" t="e">
        <f t="shared" ca="1" si="105"/>
        <v>#N/A</v>
      </c>
      <c r="AD297" s="34" t="e">
        <f t="shared" ca="1" si="106"/>
        <v>#N/A</v>
      </c>
      <c r="AE297" s="33" t="e">
        <f t="shared" ca="1" si="107"/>
        <v>#N/A</v>
      </c>
      <c r="AF297" s="34" t="e">
        <f t="shared" ca="1" si="99"/>
        <v>#N/A</v>
      </c>
      <c r="AG297" s="34" t="e">
        <f t="shared" ca="1" si="100"/>
        <v>#N/A</v>
      </c>
      <c r="AH297" s="34" t="e">
        <f t="shared" ca="1" si="101"/>
        <v>#N/A</v>
      </c>
      <c r="AI297" s="33" t="e">
        <f t="shared" ca="1" si="108"/>
        <v>#N/A</v>
      </c>
      <c r="AJ297" s="34" t="e">
        <f t="shared" ca="1" si="109"/>
        <v>#N/A</v>
      </c>
      <c r="AK297" s="34" t="e">
        <f t="shared" ca="1" si="102"/>
        <v>#N/A</v>
      </c>
      <c r="AL297" s="34" t="e">
        <f t="shared" ca="1" si="103"/>
        <v>#N/A</v>
      </c>
      <c r="AM297" s="33" t="e">
        <f t="shared" ca="1" si="110"/>
        <v>#N/A</v>
      </c>
      <c r="AN297" s="34" t="e">
        <f t="shared" ca="1" si="111"/>
        <v>#N/A</v>
      </c>
    </row>
    <row r="298" spans="1:40" x14ac:dyDescent="0.3">
      <c r="A298" s="2">
        <v>43895</v>
      </c>
      <c r="B298" s="9">
        <v>47.689999</v>
      </c>
      <c r="C298" s="9">
        <v>108.19000200000001</v>
      </c>
      <c r="D298" s="9">
        <v>61.700001</v>
      </c>
      <c r="E298" s="10"/>
      <c r="F298" s="13">
        <v>295</v>
      </c>
      <c r="G298" s="2">
        <v>43895</v>
      </c>
      <c r="H298" s="14">
        <f t="shared" si="92"/>
        <v>-5.0894829596900025E-2</v>
      </c>
      <c r="I298" s="14">
        <f t="shared" si="93"/>
        <v>-2.148849626613708E-2</v>
      </c>
      <c r="J298" s="14">
        <f t="shared" si="94"/>
        <v>-3.8940175119776647E-2</v>
      </c>
      <c r="K298" s="22">
        <v>295</v>
      </c>
      <c r="L298" s="12"/>
      <c r="Q298" s="15">
        <f t="shared" si="95"/>
        <v>295</v>
      </c>
      <c r="R298" s="2">
        <f t="shared" si="91"/>
        <v>43895</v>
      </c>
      <c r="S298" s="9">
        <f t="shared" ca="1" si="96"/>
        <v>-5.0894829596900025E-2</v>
      </c>
      <c r="T298" s="9">
        <f t="shared" ca="1" si="97"/>
        <v>-2.148849626613708E-2</v>
      </c>
      <c r="U298" s="9">
        <f t="shared" ca="1" si="98"/>
        <v>-3.8940175119776647E-2</v>
      </c>
      <c r="AB298" s="33" t="e">
        <f t="shared" ca="1" si="104"/>
        <v>#N/A</v>
      </c>
      <c r="AC298" s="34" t="e">
        <f t="shared" ca="1" si="105"/>
        <v>#N/A</v>
      </c>
      <c r="AD298" s="34" t="e">
        <f t="shared" ca="1" si="106"/>
        <v>#N/A</v>
      </c>
      <c r="AE298" s="33" t="e">
        <f t="shared" ca="1" si="107"/>
        <v>#N/A</v>
      </c>
      <c r="AF298" s="34" t="e">
        <f t="shared" ca="1" si="99"/>
        <v>#N/A</v>
      </c>
      <c r="AG298" s="34" t="e">
        <f t="shared" ca="1" si="100"/>
        <v>#N/A</v>
      </c>
      <c r="AH298" s="34" t="e">
        <f t="shared" ca="1" si="101"/>
        <v>#N/A</v>
      </c>
      <c r="AI298" s="33" t="e">
        <f t="shared" ca="1" si="108"/>
        <v>#N/A</v>
      </c>
      <c r="AJ298" s="34" t="e">
        <f t="shared" ca="1" si="109"/>
        <v>#N/A</v>
      </c>
      <c r="AK298" s="34" t="e">
        <f t="shared" ca="1" si="102"/>
        <v>#N/A</v>
      </c>
      <c r="AL298" s="34" t="e">
        <f t="shared" ca="1" si="103"/>
        <v>#N/A</v>
      </c>
      <c r="AM298" s="33" t="e">
        <f t="shared" ca="1" si="110"/>
        <v>#N/A</v>
      </c>
      <c r="AN298" s="34" t="e">
        <f t="shared" ca="1" si="111"/>
        <v>#N/A</v>
      </c>
    </row>
    <row r="299" spans="1:40" x14ac:dyDescent="0.3">
      <c r="A299" s="2">
        <v>43896</v>
      </c>
      <c r="B299" s="9">
        <v>49.060001</v>
      </c>
      <c r="C299" s="9">
        <v>105.769997</v>
      </c>
      <c r="D299" s="9">
        <v>63.09</v>
      </c>
      <c r="E299" s="10"/>
      <c r="F299" s="13">
        <v>296</v>
      </c>
      <c r="G299" s="2">
        <v>43896</v>
      </c>
      <c r="H299" s="14">
        <f t="shared" si="92"/>
        <v>2.8322347872171059E-2</v>
      </c>
      <c r="I299" s="14">
        <f t="shared" si="93"/>
        <v>-2.2622062208947698E-2</v>
      </c>
      <c r="J299" s="14">
        <f t="shared" si="94"/>
        <v>2.2278331263920693E-2</v>
      </c>
      <c r="K299" s="22">
        <v>296</v>
      </c>
      <c r="L299" s="12"/>
      <c r="Q299" s="15">
        <f t="shared" si="95"/>
        <v>296</v>
      </c>
      <c r="R299" s="2">
        <f t="shared" si="91"/>
        <v>43896</v>
      </c>
      <c r="S299" s="9">
        <f t="shared" ca="1" si="96"/>
        <v>2.8322347872171059E-2</v>
      </c>
      <c r="T299" s="9">
        <f t="shared" ca="1" si="97"/>
        <v>-2.2622062208947698E-2</v>
      </c>
      <c r="U299" s="9">
        <f t="shared" ca="1" si="98"/>
        <v>2.2278331263920693E-2</v>
      </c>
      <c r="AB299" s="33" t="e">
        <f t="shared" ca="1" si="104"/>
        <v>#N/A</v>
      </c>
      <c r="AC299" s="34" t="e">
        <f t="shared" ca="1" si="105"/>
        <v>#N/A</v>
      </c>
      <c r="AD299" s="34" t="e">
        <f t="shared" ca="1" si="106"/>
        <v>#N/A</v>
      </c>
      <c r="AE299" s="33" t="e">
        <f t="shared" ca="1" si="107"/>
        <v>#N/A</v>
      </c>
      <c r="AF299" s="34" t="e">
        <f t="shared" ca="1" si="99"/>
        <v>#N/A</v>
      </c>
      <c r="AG299" s="34" t="e">
        <f t="shared" ca="1" si="100"/>
        <v>#N/A</v>
      </c>
      <c r="AH299" s="34" t="e">
        <f t="shared" ca="1" si="101"/>
        <v>#N/A</v>
      </c>
      <c r="AI299" s="33" t="e">
        <f t="shared" ca="1" si="108"/>
        <v>#N/A</v>
      </c>
      <c r="AJ299" s="34" t="e">
        <f t="shared" ca="1" si="109"/>
        <v>#N/A</v>
      </c>
      <c r="AK299" s="34" t="e">
        <f t="shared" ca="1" si="102"/>
        <v>#N/A</v>
      </c>
      <c r="AL299" s="34" t="e">
        <f t="shared" ca="1" si="103"/>
        <v>#N/A</v>
      </c>
      <c r="AM299" s="33" t="e">
        <f t="shared" ca="1" si="110"/>
        <v>#N/A</v>
      </c>
      <c r="AN299" s="34" t="e">
        <f t="shared" ca="1" si="111"/>
        <v>#N/A</v>
      </c>
    </row>
    <row r="300" spans="1:40" x14ac:dyDescent="0.3">
      <c r="A300" s="2">
        <v>43899</v>
      </c>
      <c r="B300" s="9">
        <v>44.669998</v>
      </c>
      <c r="C300" s="9">
        <v>94.989998</v>
      </c>
      <c r="D300" s="9">
        <v>58.400002000000001</v>
      </c>
      <c r="E300" s="10"/>
      <c r="F300" s="13">
        <v>297</v>
      </c>
      <c r="G300" s="2">
        <v>43899</v>
      </c>
      <c r="H300" s="14">
        <f t="shared" si="92"/>
        <v>-9.3741968622299138E-2</v>
      </c>
      <c r="I300" s="14">
        <f t="shared" si="93"/>
        <v>-0.10749529512928807</v>
      </c>
      <c r="J300" s="14">
        <f t="shared" si="94"/>
        <v>-7.7246354301962042E-2</v>
      </c>
      <c r="K300" s="22">
        <v>297</v>
      </c>
      <c r="L300" s="12"/>
      <c r="Q300" s="15">
        <f t="shared" si="95"/>
        <v>297</v>
      </c>
      <c r="R300" s="2">
        <f t="shared" si="91"/>
        <v>43899</v>
      </c>
      <c r="S300" s="9">
        <f t="shared" ca="1" si="96"/>
        <v>-9.3741968622299138E-2</v>
      </c>
      <c r="T300" s="9">
        <f t="shared" ca="1" si="97"/>
        <v>-0.10749529512928807</v>
      </c>
      <c r="U300" s="9">
        <f t="shared" ca="1" si="98"/>
        <v>-7.7246354301962042E-2</v>
      </c>
      <c r="AB300" s="33" t="e">
        <f t="shared" ca="1" si="104"/>
        <v>#N/A</v>
      </c>
      <c r="AC300" s="34" t="e">
        <f t="shared" ca="1" si="105"/>
        <v>#N/A</v>
      </c>
      <c r="AD300" s="34" t="e">
        <f t="shared" ca="1" si="106"/>
        <v>#N/A</v>
      </c>
      <c r="AE300" s="33" t="e">
        <f t="shared" ca="1" si="107"/>
        <v>#N/A</v>
      </c>
      <c r="AF300" s="34" t="e">
        <f t="shared" ca="1" si="99"/>
        <v>#N/A</v>
      </c>
      <c r="AG300" s="34" t="e">
        <f t="shared" ca="1" si="100"/>
        <v>#N/A</v>
      </c>
      <c r="AH300" s="34" t="e">
        <f t="shared" ca="1" si="101"/>
        <v>#N/A</v>
      </c>
      <c r="AI300" s="33" t="e">
        <f t="shared" ca="1" si="108"/>
        <v>#N/A</v>
      </c>
      <c r="AJ300" s="34" t="e">
        <f t="shared" ca="1" si="109"/>
        <v>#N/A</v>
      </c>
      <c r="AK300" s="34" t="e">
        <f t="shared" ca="1" si="102"/>
        <v>#N/A</v>
      </c>
      <c r="AL300" s="34" t="e">
        <f t="shared" ca="1" si="103"/>
        <v>#N/A</v>
      </c>
      <c r="AM300" s="33" t="e">
        <f t="shared" ca="1" si="110"/>
        <v>#N/A</v>
      </c>
      <c r="AN300" s="34" t="e">
        <f t="shared" ca="1" si="111"/>
        <v>#N/A</v>
      </c>
    </row>
    <row r="301" spans="1:40" x14ac:dyDescent="0.3">
      <c r="A301" s="2">
        <v>43900</v>
      </c>
      <c r="B301" s="9">
        <v>48.099997999999999</v>
      </c>
      <c r="C301" s="9">
        <v>98.910004000000001</v>
      </c>
      <c r="D301" s="9">
        <v>60.450001</v>
      </c>
      <c r="E301" s="10"/>
      <c r="F301" s="13">
        <v>298</v>
      </c>
      <c r="G301" s="2">
        <v>43900</v>
      </c>
      <c r="H301" s="14">
        <f t="shared" si="92"/>
        <v>7.398004494042483E-2</v>
      </c>
      <c r="I301" s="14">
        <f t="shared" si="93"/>
        <v>4.043878434531032E-2</v>
      </c>
      <c r="J301" s="14">
        <f t="shared" si="94"/>
        <v>3.4500669522642545E-2</v>
      </c>
      <c r="K301" s="22">
        <v>298</v>
      </c>
      <c r="L301" s="12"/>
      <c r="Q301" s="15">
        <f t="shared" si="95"/>
        <v>298</v>
      </c>
      <c r="R301" s="2">
        <f t="shared" si="91"/>
        <v>43900</v>
      </c>
      <c r="S301" s="9">
        <f t="shared" ca="1" si="96"/>
        <v>7.398004494042483E-2</v>
      </c>
      <c r="T301" s="9">
        <f t="shared" ca="1" si="97"/>
        <v>4.043878434531032E-2</v>
      </c>
      <c r="U301" s="9">
        <f t="shared" ca="1" si="98"/>
        <v>3.4500669522642545E-2</v>
      </c>
      <c r="AB301" s="33" t="e">
        <f t="shared" ca="1" si="104"/>
        <v>#N/A</v>
      </c>
      <c r="AC301" s="34" t="e">
        <f t="shared" ca="1" si="105"/>
        <v>#N/A</v>
      </c>
      <c r="AD301" s="34" t="e">
        <f t="shared" ca="1" si="106"/>
        <v>#N/A</v>
      </c>
      <c r="AE301" s="33" t="e">
        <f t="shared" ca="1" si="107"/>
        <v>#N/A</v>
      </c>
      <c r="AF301" s="34" t="e">
        <f t="shared" ca="1" si="99"/>
        <v>#N/A</v>
      </c>
      <c r="AG301" s="34" t="e">
        <f t="shared" ca="1" si="100"/>
        <v>#N/A</v>
      </c>
      <c r="AH301" s="34" t="e">
        <f t="shared" ca="1" si="101"/>
        <v>#N/A</v>
      </c>
      <c r="AI301" s="33" t="e">
        <f t="shared" ca="1" si="108"/>
        <v>#N/A</v>
      </c>
      <c r="AJ301" s="34" t="e">
        <f t="shared" ca="1" si="109"/>
        <v>#N/A</v>
      </c>
      <c r="AK301" s="34" t="e">
        <f t="shared" ca="1" si="102"/>
        <v>#N/A</v>
      </c>
      <c r="AL301" s="34" t="e">
        <f t="shared" ca="1" si="103"/>
        <v>#N/A</v>
      </c>
      <c r="AM301" s="33" t="e">
        <f t="shared" ca="1" si="110"/>
        <v>#N/A</v>
      </c>
      <c r="AN301" s="34" t="e">
        <f t="shared" ca="1" si="111"/>
        <v>#N/A</v>
      </c>
    </row>
    <row r="302" spans="1:40" x14ac:dyDescent="0.3">
      <c r="A302" s="2">
        <v>43901</v>
      </c>
      <c r="B302" s="9">
        <v>46.509998000000003</v>
      </c>
      <c r="C302" s="9">
        <v>90.669998000000007</v>
      </c>
      <c r="D302" s="9">
        <v>54.419998</v>
      </c>
      <c r="E302" s="10"/>
      <c r="F302" s="13">
        <v>299</v>
      </c>
      <c r="G302" s="2">
        <v>43901</v>
      </c>
      <c r="H302" s="14">
        <f t="shared" si="92"/>
        <v>-3.3614835297173275E-2</v>
      </c>
      <c r="I302" s="14">
        <f t="shared" si="93"/>
        <v>-8.6983866592601322E-2</v>
      </c>
      <c r="J302" s="14">
        <f t="shared" si="94"/>
        <v>-0.10508489699949361</v>
      </c>
      <c r="K302" s="22">
        <v>299</v>
      </c>
      <c r="L302" s="12"/>
      <c r="Q302" s="15">
        <f t="shared" si="95"/>
        <v>299</v>
      </c>
      <c r="R302" s="2">
        <f t="shared" si="91"/>
        <v>43901</v>
      </c>
      <c r="S302" s="9">
        <f t="shared" ca="1" si="96"/>
        <v>-3.3614835297173275E-2</v>
      </c>
      <c r="T302" s="9">
        <f t="shared" ca="1" si="97"/>
        <v>-8.6983866592601322E-2</v>
      </c>
      <c r="U302" s="9">
        <f t="shared" ca="1" si="98"/>
        <v>-0.10508489699949361</v>
      </c>
      <c r="AB302" s="33" t="e">
        <f t="shared" ca="1" si="104"/>
        <v>#N/A</v>
      </c>
      <c r="AC302" s="34" t="e">
        <f t="shared" ca="1" si="105"/>
        <v>#N/A</v>
      </c>
      <c r="AD302" s="34" t="e">
        <f t="shared" ca="1" si="106"/>
        <v>#N/A</v>
      </c>
      <c r="AE302" s="33" t="e">
        <f t="shared" ca="1" si="107"/>
        <v>#N/A</v>
      </c>
      <c r="AF302" s="34" t="e">
        <f t="shared" ca="1" si="99"/>
        <v>#N/A</v>
      </c>
      <c r="AG302" s="34" t="e">
        <f t="shared" ca="1" si="100"/>
        <v>#N/A</v>
      </c>
      <c r="AH302" s="34" t="e">
        <f t="shared" ca="1" si="101"/>
        <v>#N/A</v>
      </c>
      <c r="AI302" s="33" t="e">
        <f t="shared" ca="1" si="108"/>
        <v>#N/A</v>
      </c>
      <c r="AJ302" s="34" t="e">
        <f t="shared" ca="1" si="109"/>
        <v>#N/A</v>
      </c>
      <c r="AK302" s="34" t="e">
        <f t="shared" ca="1" si="102"/>
        <v>#N/A</v>
      </c>
      <c r="AL302" s="34" t="e">
        <f t="shared" ca="1" si="103"/>
        <v>#N/A</v>
      </c>
      <c r="AM302" s="33" t="e">
        <f t="shared" ca="1" si="110"/>
        <v>#N/A</v>
      </c>
      <c r="AN302" s="34" t="e">
        <f t="shared" ca="1" si="111"/>
        <v>#N/A</v>
      </c>
    </row>
    <row r="303" spans="1:40" x14ac:dyDescent="0.3">
      <c r="A303" s="2">
        <v>43902</v>
      </c>
      <c r="B303" s="9">
        <v>43.560001</v>
      </c>
      <c r="C303" s="9">
        <v>79.669998000000007</v>
      </c>
      <c r="D303" s="9">
        <v>43.959999000000003</v>
      </c>
      <c r="E303" s="10"/>
      <c r="F303" s="13">
        <v>300</v>
      </c>
      <c r="G303" s="2">
        <v>43902</v>
      </c>
      <c r="H303" s="14">
        <f t="shared" si="92"/>
        <v>-6.5527979212899171E-2</v>
      </c>
      <c r="I303" s="14">
        <f t="shared" si="93"/>
        <v>-0.1293334413112297</v>
      </c>
      <c r="J303" s="14">
        <f t="shared" si="94"/>
        <v>-0.21345158981643733</v>
      </c>
      <c r="K303" s="22">
        <v>300</v>
      </c>
      <c r="L303" s="12"/>
      <c r="Q303" s="15">
        <f t="shared" si="95"/>
        <v>300</v>
      </c>
      <c r="R303" s="2">
        <f t="shared" si="91"/>
        <v>43902</v>
      </c>
      <c r="S303" s="9">
        <f t="shared" ca="1" si="96"/>
        <v>-6.5527979212899171E-2</v>
      </c>
      <c r="T303" s="9">
        <f t="shared" ca="1" si="97"/>
        <v>-0.1293334413112297</v>
      </c>
      <c r="U303" s="9">
        <f t="shared" ca="1" si="98"/>
        <v>-0.21345158981643733</v>
      </c>
      <c r="AB303" s="33" t="e">
        <f t="shared" ca="1" si="104"/>
        <v>#N/A</v>
      </c>
      <c r="AC303" s="34" t="e">
        <f t="shared" ca="1" si="105"/>
        <v>#N/A</v>
      </c>
      <c r="AD303" s="34" t="e">
        <f t="shared" ca="1" si="106"/>
        <v>#N/A</v>
      </c>
      <c r="AE303" s="33" t="e">
        <f t="shared" ca="1" si="107"/>
        <v>#N/A</v>
      </c>
      <c r="AF303" s="34" t="e">
        <f t="shared" ca="1" si="99"/>
        <v>#N/A</v>
      </c>
      <c r="AG303" s="34" t="e">
        <f t="shared" ca="1" si="100"/>
        <v>#N/A</v>
      </c>
      <c r="AH303" s="34" t="e">
        <f t="shared" ca="1" si="101"/>
        <v>#N/A</v>
      </c>
      <c r="AI303" s="33" t="e">
        <f t="shared" ca="1" si="108"/>
        <v>#N/A</v>
      </c>
      <c r="AJ303" s="34" t="e">
        <f t="shared" ca="1" si="109"/>
        <v>#N/A</v>
      </c>
      <c r="AK303" s="34" t="e">
        <f t="shared" ca="1" si="102"/>
        <v>#N/A</v>
      </c>
      <c r="AL303" s="34" t="e">
        <f t="shared" ca="1" si="103"/>
        <v>#N/A</v>
      </c>
      <c r="AM303" s="33" t="e">
        <f t="shared" ca="1" si="110"/>
        <v>#N/A</v>
      </c>
      <c r="AN303" s="34" t="e">
        <f t="shared" ca="1" si="111"/>
        <v>#N/A</v>
      </c>
    </row>
    <row r="304" spans="1:40" x14ac:dyDescent="0.3">
      <c r="A304" s="2">
        <v>43903</v>
      </c>
      <c r="B304" s="9">
        <v>47.23</v>
      </c>
      <c r="C304" s="9">
        <v>83.669998000000007</v>
      </c>
      <c r="D304" s="9">
        <v>49.900002000000001</v>
      </c>
      <c r="E304" s="10"/>
      <c r="F304" s="13">
        <v>301</v>
      </c>
      <c r="G304" s="2">
        <v>43903</v>
      </c>
      <c r="H304" s="14">
        <f t="shared" si="92"/>
        <v>8.0889962886425179E-2</v>
      </c>
      <c r="I304" s="14">
        <f t="shared" si="93"/>
        <v>4.8987388115354656E-2</v>
      </c>
      <c r="J304" s="14">
        <f t="shared" si="94"/>
        <v>0.12674093605016476</v>
      </c>
      <c r="K304" s="22">
        <v>301</v>
      </c>
      <c r="L304" s="12"/>
      <c r="Q304" s="15">
        <f t="shared" si="95"/>
        <v>301</v>
      </c>
      <c r="R304" s="2">
        <f t="shared" si="91"/>
        <v>43903</v>
      </c>
      <c r="S304" s="9">
        <f t="shared" ca="1" si="96"/>
        <v>8.0889962886425179E-2</v>
      </c>
      <c r="T304" s="9">
        <f t="shared" ca="1" si="97"/>
        <v>4.8987388115354656E-2</v>
      </c>
      <c r="U304" s="9">
        <f t="shared" ca="1" si="98"/>
        <v>0.12674093605016476</v>
      </c>
      <c r="AB304" s="33" t="e">
        <f t="shared" ca="1" si="104"/>
        <v>#N/A</v>
      </c>
      <c r="AC304" s="34" t="e">
        <f t="shared" ca="1" si="105"/>
        <v>#N/A</v>
      </c>
      <c r="AD304" s="34" t="e">
        <f t="shared" ca="1" si="106"/>
        <v>#N/A</v>
      </c>
      <c r="AE304" s="33" t="e">
        <f t="shared" ca="1" si="107"/>
        <v>#N/A</v>
      </c>
      <c r="AF304" s="34" t="e">
        <f t="shared" ca="1" si="99"/>
        <v>#N/A</v>
      </c>
      <c r="AG304" s="34" t="e">
        <f t="shared" ca="1" si="100"/>
        <v>#N/A</v>
      </c>
      <c r="AH304" s="34" t="e">
        <f t="shared" ca="1" si="101"/>
        <v>#N/A</v>
      </c>
      <c r="AI304" s="33" t="e">
        <f t="shared" ca="1" si="108"/>
        <v>#N/A</v>
      </c>
      <c r="AJ304" s="34" t="e">
        <f t="shared" ca="1" si="109"/>
        <v>#N/A</v>
      </c>
      <c r="AK304" s="34" t="e">
        <f t="shared" ca="1" si="102"/>
        <v>#N/A</v>
      </c>
      <c r="AL304" s="34" t="e">
        <f t="shared" ca="1" si="103"/>
        <v>#N/A</v>
      </c>
      <c r="AM304" s="33" t="e">
        <f t="shared" ca="1" si="110"/>
        <v>#N/A</v>
      </c>
      <c r="AN304" s="34" t="e">
        <f t="shared" ca="1" si="111"/>
        <v>#N/A</v>
      </c>
    </row>
    <row r="305" spans="1:40" x14ac:dyDescent="0.3">
      <c r="A305" s="2">
        <v>43906</v>
      </c>
      <c r="B305" s="9">
        <v>43.439999</v>
      </c>
      <c r="C305" s="9">
        <v>71.599997999999999</v>
      </c>
      <c r="D305" s="9">
        <v>41.630001</v>
      </c>
      <c r="E305" s="10"/>
      <c r="F305" s="13">
        <v>302</v>
      </c>
      <c r="G305" s="2">
        <v>43906</v>
      </c>
      <c r="H305" s="14">
        <f t="shared" si="92"/>
        <v>-8.3648631302603721E-2</v>
      </c>
      <c r="I305" s="14">
        <f t="shared" si="93"/>
        <v>-0.15578542037043827</v>
      </c>
      <c r="J305" s="14">
        <f t="shared" si="94"/>
        <v>-0.18119995760961008</v>
      </c>
      <c r="K305" s="22">
        <v>302</v>
      </c>
      <c r="L305" s="12"/>
      <c r="Q305" s="15">
        <f t="shared" si="95"/>
        <v>302</v>
      </c>
      <c r="R305" s="2">
        <f t="shared" si="91"/>
        <v>43906</v>
      </c>
      <c r="S305" s="9">
        <f t="shared" ca="1" si="96"/>
        <v>-8.3648631302603721E-2</v>
      </c>
      <c r="T305" s="9">
        <f t="shared" ca="1" si="97"/>
        <v>-0.15578542037043827</v>
      </c>
      <c r="U305" s="9">
        <f t="shared" ca="1" si="98"/>
        <v>-0.18119995760961008</v>
      </c>
      <c r="AB305" s="33" t="e">
        <f t="shared" ca="1" si="104"/>
        <v>#N/A</v>
      </c>
      <c r="AC305" s="34" t="e">
        <f t="shared" ca="1" si="105"/>
        <v>#N/A</v>
      </c>
      <c r="AD305" s="34" t="e">
        <f t="shared" ca="1" si="106"/>
        <v>#N/A</v>
      </c>
      <c r="AE305" s="33" t="e">
        <f t="shared" ca="1" si="107"/>
        <v>#N/A</v>
      </c>
      <c r="AF305" s="34" t="e">
        <f t="shared" ca="1" si="99"/>
        <v>#N/A</v>
      </c>
      <c r="AG305" s="34" t="e">
        <f t="shared" ca="1" si="100"/>
        <v>#N/A</v>
      </c>
      <c r="AH305" s="34" t="e">
        <f t="shared" ca="1" si="101"/>
        <v>#N/A</v>
      </c>
      <c r="AI305" s="33" t="e">
        <f t="shared" ca="1" si="108"/>
        <v>#N/A</v>
      </c>
      <c r="AJ305" s="34" t="e">
        <f t="shared" ca="1" si="109"/>
        <v>#N/A</v>
      </c>
      <c r="AK305" s="34" t="e">
        <f t="shared" ca="1" si="102"/>
        <v>#N/A</v>
      </c>
      <c r="AL305" s="34" t="e">
        <f t="shared" ca="1" si="103"/>
        <v>#N/A</v>
      </c>
      <c r="AM305" s="33" t="e">
        <f t="shared" ca="1" si="110"/>
        <v>#N/A</v>
      </c>
      <c r="AN305" s="34" t="e">
        <f t="shared" ca="1" si="111"/>
        <v>#N/A</v>
      </c>
    </row>
    <row r="306" spans="1:40" x14ac:dyDescent="0.3">
      <c r="A306" s="2">
        <v>43907</v>
      </c>
      <c r="B306" s="9">
        <v>41.450001</v>
      </c>
      <c r="C306" s="9">
        <v>73.510002</v>
      </c>
      <c r="D306" s="9">
        <v>39.020000000000003</v>
      </c>
      <c r="E306" s="10"/>
      <c r="F306" s="13">
        <v>303</v>
      </c>
      <c r="G306" s="2">
        <v>43907</v>
      </c>
      <c r="H306" s="14">
        <f t="shared" si="92"/>
        <v>-4.6892746898665912E-2</v>
      </c>
      <c r="I306" s="14">
        <f t="shared" si="93"/>
        <v>2.6326432559539922E-2</v>
      </c>
      <c r="J306" s="14">
        <f t="shared" si="94"/>
        <v>-6.4746750033057146E-2</v>
      </c>
      <c r="K306" s="22">
        <v>303</v>
      </c>
      <c r="L306" s="12"/>
      <c r="Q306" s="15">
        <f t="shared" si="95"/>
        <v>303</v>
      </c>
      <c r="R306" s="2">
        <f t="shared" si="91"/>
        <v>43907</v>
      </c>
      <c r="S306" s="9">
        <f t="shared" ca="1" si="96"/>
        <v>-4.6892746898665912E-2</v>
      </c>
      <c r="T306" s="9">
        <f t="shared" ca="1" si="97"/>
        <v>2.6326432559539922E-2</v>
      </c>
      <c r="U306" s="9">
        <f t="shared" ca="1" si="98"/>
        <v>-6.4746750033057146E-2</v>
      </c>
      <c r="AB306" s="33" t="e">
        <f t="shared" ca="1" si="104"/>
        <v>#N/A</v>
      </c>
      <c r="AC306" s="34" t="e">
        <f t="shared" ca="1" si="105"/>
        <v>#N/A</v>
      </c>
      <c r="AD306" s="34" t="e">
        <f t="shared" ca="1" si="106"/>
        <v>#N/A</v>
      </c>
      <c r="AE306" s="33" t="e">
        <f t="shared" ca="1" si="107"/>
        <v>#N/A</v>
      </c>
      <c r="AF306" s="34" t="e">
        <f t="shared" ca="1" si="99"/>
        <v>#N/A</v>
      </c>
      <c r="AG306" s="34" t="e">
        <f t="shared" ca="1" si="100"/>
        <v>#N/A</v>
      </c>
      <c r="AH306" s="34" t="e">
        <f t="shared" ca="1" si="101"/>
        <v>#N/A</v>
      </c>
      <c r="AI306" s="33" t="e">
        <f t="shared" ca="1" si="108"/>
        <v>#N/A</v>
      </c>
      <c r="AJ306" s="34" t="e">
        <f t="shared" ca="1" si="109"/>
        <v>#N/A</v>
      </c>
      <c r="AK306" s="34" t="e">
        <f t="shared" ca="1" si="102"/>
        <v>#N/A</v>
      </c>
      <c r="AL306" s="34" t="e">
        <f t="shared" ca="1" si="103"/>
        <v>#N/A</v>
      </c>
      <c r="AM306" s="33" t="e">
        <f t="shared" ca="1" si="110"/>
        <v>#N/A</v>
      </c>
      <c r="AN306" s="34" t="e">
        <f t="shared" ca="1" si="111"/>
        <v>#N/A</v>
      </c>
    </row>
    <row r="307" spans="1:40" x14ac:dyDescent="0.3">
      <c r="A307" s="2">
        <v>43908</v>
      </c>
      <c r="B307" s="9">
        <v>39.380001</v>
      </c>
      <c r="C307" s="9">
        <v>73.589995999999999</v>
      </c>
      <c r="D307" s="9">
        <v>35.020000000000003</v>
      </c>
      <c r="E307" s="10"/>
      <c r="F307" s="13">
        <v>304</v>
      </c>
      <c r="G307" s="2">
        <v>43908</v>
      </c>
      <c r="H307" s="14">
        <f t="shared" si="92"/>
        <v>-5.1229807102176061E-2</v>
      </c>
      <c r="I307" s="14">
        <f t="shared" si="93"/>
        <v>1.0876139901161753E-3</v>
      </c>
      <c r="J307" s="14">
        <f t="shared" si="94"/>
        <v>-0.10815500833725929</v>
      </c>
      <c r="K307" s="22">
        <v>304</v>
      </c>
      <c r="L307" s="12"/>
      <c r="Q307" s="15">
        <f t="shared" si="95"/>
        <v>304</v>
      </c>
      <c r="R307" s="2">
        <f t="shared" si="91"/>
        <v>43908</v>
      </c>
      <c r="S307" s="9">
        <f t="shared" ca="1" si="96"/>
        <v>-5.1229807102176061E-2</v>
      </c>
      <c r="T307" s="9">
        <f t="shared" ca="1" si="97"/>
        <v>1.0876139901161753E-3</v>
      </c>
      <c r="U307" s="9">
        <f t="shared" ca="1" si="98"/>
        <v>-0.10815500833725929</v>
      </c>
      <c r="AB307" s="33" t="e">
        <f t="shared" ca="1" si="104"/>
        <v>#N/A</v>
      </c>
      <c r="AC307" s="34" t="e">
        <f t="shared" ca="1" si="105"/>
        <v>#N/A</v>
      </c>
      <c r="AD307" s="34" t="e">
        <f t="shared" ca="1" si="106"/>
        <v>#N/A</v>
      </c>
      <c r="AE307" s="33" t="e">
        <f t="shared" ca="1" si="107"/>
        <v>#N/A</v>
      </c>
      <c r="AF307" s="34" t="e">
        <f t="shared" ca="1" si="99"/>
        <v>#N/A</v>
      </c>
      <c r="AG307" s="34" t="e">
        <f t="shared" ca="1" si="100"/>
        <v>#N/A</v>
      </c>
      <c r="AH307" s="34" t="e">
        <f t="shared" ca="1" si="101"/>
        <v>#N/A</v>
      </c>
      <c r="AI307" s="33" t="e">
        <f t="shared" ca="1" si="108"/>
        <v>#N/A</v>
      </c>
      <c r="AJ307" s="34" t="e">
        <f t="shared" ca="1" si="109"/>
        <v>#N/A</v>
      </c>
      <c r="AK307" s="34" t="e">
        <f t="shared" ca="1" si="102"/>
        <v>#N/A</v>
      </c>
      <c r="AL307" s="34" t="e">
        <f t="shared" ca="1" si="103"/>
        <v>#N/A</v>
      </c>
      <c r="AM307" s="33" t="e">
        <f t="shared" ca="1" si="110"/>
        <v>#N/A</v>
      </c>
      <c r="AN307" s="34" t="e">
        <f t="shared" ca="1" si="111"/>
        <v>#N/A</v>
      </c>
    </row>
    <row r="308" spans="1:40" x14ac:dyDescent="0.3">
      <c r="A308" s="2">
        <v>43909</v>
      </c>
      <c r="B308" s="9">
        <v>38.200001</v>
      </c>
      <c r="C308" s="9">
        <v>70.519997000000004</v>
      </c>
      <c r="D308" s="9">
        <v>37.409999999999997</v>
      </c>
      <c r="E308" s="10"/>
      <c r="F308" s="13">
        <v>305</v>
      </c>
      <c r="G308" s="2">
        <v>43909</v>
      </c>
      <c r="H308" s="14">
        <f t="shared" si="92"/>
        <v>-3.0422556814040283E-2</v>
      </c>
      <c r="I308" s="14">
        <f t="shared" si="93"/>
        <v>-4.2612777594749303E-2</v>
      </c>
      <c r="J308" s="14">
        <f t="shared" si="94"/>
        <v>6.6018721502348873E-2</v>
      </c>
      <c r="K308" s="22">
        <v>305</v>
      </c>
      <c r="L308" s="12"/>
      <c r="Q308" s="15">
        <f t="shared" si="95"/>
        <v>305</v>
      </c>
      <c r="R308" s="2">
        <f t="shared" si="91"/>
        <v>43909</v>
      </c>
      <c r="S308" s="9">
        <f t="shared" ca="1" si="96"/>
        <v>-3.0422556814040283E-2</v>
      </c>
      <c r="T308" s="9">
        <f t="shared" ca="1" si="97"/>
        <v>-4.2612777594749303E-2</v>
      </c>
      <c r="U308" s="9">
        <f t="shared" ca="1" si="98"/>
        <v>6.6018721502348873E-2</v>
      </c>
      <c r="AB308" s="33" t="e">
        <f t="shared" ca="1" si="104"/>
        <v>#N/A</v>
      </c>
      <c r="AC308" s="34" t="e">
        <f t="shared" ca="1" si="105"/>
        <v>#N/A</v>
      </c>
      <c r="AD308" s="34" t="e">
        <f t="shared" ca="1" si="106"/>
        <v>#N/A</v>
      </c>
      <c r="AE308" s="33" t="e">
        <f t="shared" ca="1" si="107"/>
        <v>#N/A</v>
      </c>
      <c r="AF308" s="34" t="e">
        <f t="shared" ca="1" si="99"/>
        <v>#N/A</v>
      </c>
      <c r="AG308" s="34" t="e">
        <f t="shared" ca="1" si="100"/>
        <v>#N/A</v>
      </c>
      <c r="AH308" s="34" t="e">
        <f t="shared" ca="1" si="101"/>
        <v>#N/A</v>
      </c>
      <c r="AI308" s="33" t="e">
        <f t="shared" ca="1" si="108"/>
        <v>#N/A</v>
      </c>
      <c r="AJ308" s="34" t="e">
        <f t="shared" ca="1" si="109"/>
        <v>#N/A</v>
      </c>
      <c r="AK308" s="34" t="e">
        <f t="shared" ca="1" si="102"/>
        <v>#N/A</v>
      </c>
      <c r="AL308" s="34" t="e">
        <f t="shared" ca="1" si="103"/>
        <v>#N/A</v>
      </c>
      <c r="AM308" s="33" t="e">
        <f t="shared" ca="1" si="110"/>
        <v>#N/A</v>
      </c>
      <c r="AN308" s="34" t="e">
        <f t="shared" ca="1" si="111"/>
        <v>#N/A</v>
      </c>
    </row>
    <row r="309" spans="1:40" x14ac:dyDescent="0.3">
      <c r="A309" s="2">
        <v>43910</v>
      </c>
      <c r="B309" s="9">
        <v>35</v>
      </c>
      <c r="C309" s="9">
        <v>66.610000999999997</v>
      </c>
      <c r="D309" s="9">
        <v>38.659999999999997</v>
      </c>
      <c r="E309" s="10"/>
      <c r="F309" s="13">
        <v>306</v>
      </c>
      <c r="G309" s="2">
        <v>43910</v>
      </c>
      <c r="H309" s="14">
        <f t="shared" si="92"/>
        <v>-8.7487480301126019E-2</v>
      </c>
      <c r="I309" s="14">
        <f t="shared" si="93"/>
        <v>-5.7041583550696773E-2</v>
      </c>
      <c r="J309" s="14">
        <f t="shared" si="94"/>
        <v>3.2867425420130075E-2</v>
      </c>
      <c r="K309" s="22">
        <v>306</v>
      </c>
      <c r="L309" s="12"/>
      <c r="Q309" s="15">
        <f t="shared" si="95"/>
        <v>306</v>
      </c>
      <c r="R309" s="2">
        <f t="shared" si="91"/>
        <v>43910</v>
      </c>
      <c r="S309" s="9">
        <f t="shared" ca="1" si="96"/>
        <v>-8.7487480301126019E-2</v>
      </c>
      <c r="T309" s="9">
        <f t="shared" ca="1" si="97"/>
        <v>-5.7041583550696773E-2</v>
      </c>
      <c r="U309" s="9">
        <f t="shared" ca="1" si="98"/>
        <v>3.2867425420130075E-2</v>
      </c>
      <c r="AB309" s="33" t="e">
        <f t="shared" ca="1" si="104"/>
        <v>#N/A</v>
      </c>
      <c r="AC309" s="34" t="e">
        <f t="shared" ca="1" si="105"/>
        <v>#N/A</v>
      </c>
      <c r="AD309" s="34" t="e">
        <f t="shared" ca="1" si="106"/>
        <v>#N/A</v>
      </c>
      <c r="AE309" s="33" t="e">
        <f t="shared" ca="1" si="107"/>
        <v>#N/A</v>
      </c>
      <c r="AF309" s="34" t="e">
        <f t="shared" ca="1" si="99"/>
        <v>#N/A</v>
      </c>
      <c r="AG309" s="34" t="e">
        <f t="shared" ca="1" si="100"/>
        <v>#N/A</v>
      </c>
      <c r="AH309" s="34" t="e">
        <f t="shared" ca="1" si="101"/>
        <v>#N/A</v>
      </c>
      <c r="AI309" s="33" t="e">
        <f t="shared" ca="1" si="108"/>
        <v>#N/A</v>
      </c>
      <c r="AJ309" s="34" t="e">
        <f t="shared" ca="1" si="109"/>
        <v>#N/A</v>
      </c>
      <c r="AK309" s="34" t="e">
        <f t="shared" ca="1" si="102"/>
        <v>#N/A</v>
      </c>
      <c r="AL309" s="34" t="e">
        <f t="shared" ca="1" si="103"/>
        <v>#N/A</v>
      </c>
      <c r="AM309" s="33" t="e">
        <f t="shared" ca="1" si="110"/>
        <v>#N/A</v>
      </c>
      <c r="AN309" s="34" t="e">
        <f t="shared" ca="1" si="111"/>
        <v>#N/A</v>
      </c>
    </row>
    <row r="310" spans="1:40" x14ac:dyDescent="0.3">
      <c r="A310" s="2">
        <v>43913</v>
      </c>
      <c r="B310" s="9">
        <v>34.169998</v>
      </c>
      <c r="C310" s="9">
        <v>65.400002000000001</v>
      </c>
      <c r="D310" s="9">
        <v>32.619999</v>
      </c>
      <c r="E310" s="10"/>
      <c r="F310" s="13">
        <v>307</v>
      </c>
      <c r="G310" s="2">
        <v>43913</v>
      </c>
      <c r="H310" s="14">
        <f t="shared" si="92"/>
        <v>-2.4000053893090022E-2</v>
      </c>
      <c r="I310" s="14">
        <f t="shared" si="93"/>
        <v>-1.833244239365641E-2</v>
      </c>
      <c r="J310" s="14">
        <f t="shared" si="94"/>
        <v>-0.16987990724335658</v>
      </c>
      <c r="K310" s="22">
        <v>307</v>
      </c>
      <c r="L310" s="12"/>
      <c r="Q310" s="15">
        <f t="shared" si="95"/>
        <v>307</v>
      </c>
      <c r="R310" s="2">
        <f t="shared" si="91"/>
        <v>43913</v>
      </c>
      <c r="S310" s="9">
        <f t="shared" ca="1" si="96"/>
        <v>-2.4000053893090022E-2</v>
      </c>
      <c r="T310" s="9">
        <f t="shared" ca="1" si="97"/>
        <v>-1.833244239365641E-2</v>
      </c>
      <c r="U310" s="9">
        <f t="shared" ca="1" si="98"/>
        <v>-0.16987990724335658</v>
      </c>
      <c r="AB310" s="33" t="e">
        <f t="shared" ca="1" si="104"/>
        <v>#N/A</v>
      </c>
      <c r="AC310" s="34" t="e">
        <f t="shared" ca="1" si="105"/>
        <v>#N/A</v>
      </c>
      <c r="AD310" s="34" t="e">
        <f t="shared" ca="1" si="106"/>
        <v>#N/A</v>
      </c>
      <c r="AE310" s="33" t="e">
        <f t="shared" ca="1" si="107"/>
        <v>#N/A</v>
      </c>
      <c r="AF310" s="34" t="e">
        <f t="shared" ca="1" si="99"/>
        <v>#N/A</v>
      </c>
      <c r="AG310" s="34" t="e">
        <f t="shared" ca="1" si="100"/>
        <v>#N/A</v>
      </c>
      <c r="AH310" s="34" t="e">
        <f t="shared" ca="1" si="101"/>
        <v>#N/A</v>
      </c>
      <c r="AI310" s="33" t="e">
        <f t="shared" ca="1" si="108"/>
        <v>#N/A</v>
      </c>
      <c r="AJ310" s="34" t="e">
        <f t="shared" ca="1" si="109"/>
        <v>#N/A</v>
      </c>
      <c r="AK310" s="34" t="e">
        <f t="shared" ca="1" si="102"/>
        <v>#N/A</v>
      </c>
      <c r="AL310" s="34" t="e">
        <f t="shared" ca="1" si="103"/>
        <v>#N/A</v>
      </c>
      <c r="AM310" s="33" t="e">
        <f t="shared" ca="1" si="110"/>
        <v>#N/A</v>
      </c>
      <c r="AN310" s="34" t="e">
        <f t="shared" ca="1" si="111"/>
        <v>#N/A</v>
      </c>
    </row>
    <row r="311" spans="1:40" x14ac:dyDescent="0.3">
      <c r="A311" s="2">
        <v>43914</v>
      </c>
      <c r="B311" s="9">
        <v>39.18</v>
      </c>
      <c r="C311" s="9">
        <v>69.470000999999996</v>
      </c>
      <c r="D311" s="9">
        <v>34.650002000000001</v>
      </c>
      <c r="E311" s="10"/>
      <c r="F311" s="13">
        <v>308</v>
      </c>
      <c r="G311" s="2">
        <v>43914</v>
      </c>
      <c r="H311" s="14">
        <f t="shared" si="92"/>
        <v>0.13681840492007105</v>
      </c>
      <c r="I311" s="14">
        <f t="shared" si="93"/>
        <v>6.0372730055299736E-2</v>
      </c>
      <c r="J311" s="14">
        <f t="shared" si="94"/>
        <v>6.0372216819140297E-2</v>
      </c>
      <c r="K311" s="22">
        <v>308</v>
      </c>
      <c r="L311" s="12"/>
      <c r="Q311" s="15">
        <f t="shared" si="95"/>
        <v>308</v>
      </c>
      <c r="R311" s="2">
        <f t="shared" si="91"/>
        <v>43914</v>
      </c>
      <c r="S311" s="9">
        <f t="shared" ca="1" si="96"/>
        <v>0.13681840492007105</v>
      </c>
      <c r="T311" s="9">
        <f t="shared" ca="1" si="97"/>
        <v>6.0372730055299736E-2</v>
      </c>
      <c r="U311" s="9">
        <f t="shared" ca="1" si="98"/>
        <v>6.0372216819140297E-2</v>
      </c>
      <c r="AB311" s="33" t="e">
        <f t="shared" ca="1" si="104"/>
        <v>#N/A</v>
      </c>
      <c r="AC311" s="34" t="e">
        <f t="shared" ca="1" si="105"/>
        <v>#N/A</v>
      </c>
      <c r="AD311" s="34" t="e">
        <f t="shared" ca="1" si="106"/>
        <v>#N/A</v>
      </c>
      <c r="AE311" s="33" t="e">
        <f t="shared" ca="1" si="107"/>
        <v>#N/A</v>
      </c>
      <c r="AF311" s="34" t="e">
        <f t="shared" ca="1" si="99"/>
        <v>#N/A</v>
      </c>
      <c r="AG311" s="34" t="e">
        <f t="shared" ca="1" si="100"/>
        <v>#N/A</v>
      </c>
      <c r="AH311" s="34" t="e">
        <f t="shared" ca="1" si="101"/>
        <v>#N/A</v>
      </c>
      <c r="AI311" s="33" t="e">
        <f t="shared" ca="1" si="108"/>
        <v>#N/A</v>
      </c>
      <c r="AJ311" s="34" t="e">
        <f t="shared" ca="1" si="109"/>
        <v>#N/A</v>
      </c>
      <c r="AK311" s="34" t="e">
        <f t="shared" ca="1" si="102"/>
        <v>#N/A</v>
      </c>
      <c r="AL311" s="34" t="e">
        <f t="shared" ca="1" si="103"/>
        <v>#N/A</v>
      </c>
      <c r="AM311" s="33" t="e">
        <f t="shared" ca="1" si="110"/>
        <v>#N/A</v>
      </c>
      <c r="AN311" s="34" t="e">
        <f t="shared" ca="1" si="111"/>
        <v>#N/A</v>
      </c>
    </row>
    <row r="312" spans="1:40" x14ac:dyDescent="0.3">
      <c r="A312" s="2">
        <v>43915</v>
      </c>
      <c r="B312" s="9">
        <v>39.869999</v>
      </c>
      <c r="C312" s="9">
        <v>70.599997999999999</v>
      </c>
      <c r="D312" s="9">
        <v>39.630001</v>
      </c>
      <c r="E312" s="10"/>
      <c r="F312" s="13">
        <v>309</v>
      </c>
      <c r="G312" s="2">
        <v>43915</v>
      </c>
      <c r="H312" s="14">
        <f t="shared" si="92"/>
        <v>1.7457723795353798E-2</v>
      </c>
      <c r="I312" s="14">
        <f t="shared" si="93"/>
        <v>1.613509707109189E-2</v>
      </c>
      <c r="J312" s="14">
        <f t="shared" si="94"/>
        <v>0.13428864907978399</v>
      </c>
      <c r="K312" s="22">
        <v>309</v>
      </c>
      <c r="L312" s="12"/>
      <c r="Q312" s="15">
        <f t="shared" si="95"/>
        <v>309</v>
      </c>
      <c r="R312" s="2">
        <f t="shared" si="91"/>
        <v>43915</v>
      </c>
      <c r="S312" s="9">
        <f t="shared" ca="1" si="96"/>
        <v>1.7457723795353798E-2</v>
      </c>
      <c r="T312" s="9">
        <f t="shared" ca="1" si="97"/>
        <v>1.613509707109189E-2</v>
      </c>
      <c r="U312" s="9">
        <f t="shared" ca="1" si="98"/>
        <v>0.13428864907978399</v>
      </c>
      <c r="AB312" s="33" t="e">
        <f t="shared" ca="1" si="104"/>
        <v>#N/A</v>
      </c>
      <c r="AC312" s="34" t="e">
        <f t="shared" ca="1" si="105"/>
        <v>#N/A</v>
      </c>
      <c r="AD312" s="34" t="e">
        <f t="shared" ca="1" si="106"/>
        <v>#N/A</v>
      </c>
      <c r="AE312" s="33" t="e">
        <f t="shared" ca="1" si="107"/>
        <v>#N/A</v>
      </c>
      <c r="AF312" s="34" t="e">
        <f t="shared" ca="1" si="99"/>
        <v>#N/A</v>
      </c>
      <c r="AG312" s="34" t="e">
        <f t="shared" ca="1" si="100"/>
        <v>#N/A</v>
      </c>
      <c r="AH312" s="34" t="e">
        <f t="shared" ca="1" si="101"/>
        <v>#N/A</v>
      </c>
      <c r="AI312" s="33" t="e">
        <f t="shared" ca="1" si="108"/>
        <v>#N/A</v>
      </c>
      <c r="AJ312" s="34" t="e">
        <f t="shared" ca="1" si="109"/>
        <v>#N/A</v>
      </c>
      <c r="AK312" s="34" t="e">
        <f t="shared" ca="1" si="102"/>
        <v>#N/A</v>
      </c>
      <c r="AL312" s="34" t="e">
        <f t="shared" ca="1" si="103"/>
        <v>#N/A</v>
      </c>
      <c r="AM312" s="33" t="e">
        <f t="shared" ca="1" si="110"/>
        <v>#N/A</v>
      </c>
      <c r="AN312" s="34" t="e">
        <f t="shared" ca="1" si="111"/>
        <v>#N/A</v>
      </c>
    </row>
    <row r="313" spans="1:40" x14ac:dyDescent="0.3">
      <c r="A313" s="2">
        <v>43916</v>
      </c>
      <c r="B313" s="9">
        <v>43.459999000000003</v>
      </c>
      <c r="C313" s="9">
        <v>74.319999999999993</v>
      </c>
      <c r="D313" s="9">
        <v>45.599997999999999</v>
      </c>
      <c r="E313" s="10"/>
      <c r="F313" s="13">
        <v>310</v>
      </c>
      <c r="G313" s="2">
        <v>43916</v>
      </c>
      <c r="H313" s="14">
        <f t="shared" si="92"/>
        <v>8.6216815506870825E-2</v>
      </c>
      <c r="I313" s="14">
        <f t="shared" si="93"/>
        <v>5.1349978334998866E-2</v>
      </c>
      <c r="J313" s="14">
        <f t="shared" si="94"/>
        <v>0.14032124022493803</v>
      </c>
      <c r="K313" s="22">
        <v>310</v>
      </c>
      <c r="L313" s="12"/>
      <c r="Q313" s="15">
        <f t="shared" si="95"/>
        <v>310</v>
      </c>
      <c r="R313" s="2">
        <f t="shared" si="91"/>
        <v>43916</v>
      </c>
      <c r="S313" s="9">
        <f t="shared" ca="1" si="96"/>
        <v>8.6216815506870825E-2</v>
      </c>
      <c r="T313" s="9">
        <f t="shared" ca="1" si="97"/>
        <v>5.1349978334998866E-2</v>
      </c>
      <c r="U313" s="9">
        <f t="shared" ca="1" si="98"/>
        <v>0.14032124022493803</v>
      </c>
      <c r="AB313" s="33" t="e">
        <f t="shared" ca="1" si="104"/>
        <v>#N/A</v>
      </c>
      <c r="AC313" s="34" t="e">
        <f t="shared" ca="1" si="105"/>
        <v>#N/A</v>
      </c>
      <c r="AD313" s="34" t="e">
        <f t="shared" ca="1" si="106"/>
        <v>#N/A</v>
      </c>
      <c r="AE313" s="33" t="e">
        <f t="shared" ca="1" si="107"/>
        <v>#N/A</v>
      </c>
      <c r="AF313" s="34" t="e">
        <f t="shared" ca="1" si="99"/>
        <v>#N/A</v>
      </c>
      <c r="AG313" s="34" t="e">
        <f t="shared" ca="1" si="100"/>
        <v>#N/A</v>
      </c>
      <c r="AH313" s="34" t="e">
        <f t="shared" ca="1" si="101"/>
        <v>#N/A</v>
      </c>
      <c r="AI313" s="33" t="e">
        <f t="shared" ca="1" si="108"/>
        <v>#N/A</v>
      </c>
      <c r="AJ313" s="34" t="e">
        <f t="shared" ca="1" si="109"/>
        <v>#N/A</v>
      </c>
      <c r="AK313" s="34" t="e">
        <f t="shared" ca="1" si="102"/>
        <v>#N/A</v>
      </c>
      <c r="AL313" s="34" t="e">
        <f t="shared" ca="1" si="103"/>
        <v>#N/A</v>
      </c>
      <c r="AM313" s="33" t="e">
        <f t="shared" ca="1" si="110"/>
        <v>#N/A</v>
      </c>
      <c r="AN313" s="34" t="e">
        <f t="shared" ca="1" si="111"/>
        <v>#N/A</v>
      </c>
    </row>
    <row r="314" spans="1:40" x14ac:dyDescent="0.3">
      <c r="A314" s="2">
        <v>43917</v>
      </c>
      <c r="B314" s="9">
        <v>39.009998000000003</v>
      </c>
      <c r="C314" s="9">
        <v>67.989998</v>
      </c>
      <c r="D314" s="9">
        <v>45.040000999999997</v>
      </c>
      <c r="E314" s="10"/>
      <c r="F314" s="13">
        <v>311</v>
      </c>
      <c r="G314" s="2">
        <v>43917</v>
      </c>
      <c r="H314" s="14">
        <f t="shared" si="92"/>
        <v>-0.10802297956896077</v>
      </c>
      <c r="I314" s="14">
        <f t="shared" si="93"/>
        <v>-8.9019488383305687E-2</v>
      </c>
      <c r="J314" s="14">
        <f t="shared" si="94"/>
        <v>-1.2356666626768972E-2</v>
      </c>
      <c r="K314" s="22">
        <v>311</v>
      </c>
      <c r="L314" s="12"/>
      <c r="Q314" s="15">
        <f t="shared" si="95"/>
        <v>311</v>
      </c>
      <c r="R314" s="2">
        <f t="shared" si="91"/>
        <v>43917</v>
      </c>
      <c r="S314" s="9">
        <f t="shared" ca="1" si="96"/>
        <v>-0.10802297956896077</v>
      </c>
      <c r="T314" s="9">
        <f t="shared" ca="1" si="97"/>
        <v>-8.9019488383305687E-2</v>
      </c>
      <c r="U314" s="9">
        <f t="shared" ca="1" si="98"/>
        <v>-1.2356666626768972E-2</v>
      </c>
      <c r="AB314" s="33" t="e">
        <f t="shared" ca="1" si="104"/>
        <v>#N/A</v>
      </c>
      <c r="AC314" s="34" t="e">
        <f t="shared" ca="1" si="105"/>
        <v>#N/A</v>
      </c>
      <c r="AD314" s="34" t="e">
        <f t="shared" ca="1" si="106"/>
        <v>#N/A</v>
      </c>
      <c r="AE314" s="33" t="e">
        <f t="shared" ca="1" si="107"/>
        <v>#N/A</v>
      </c>
      <c r="AF314" s="34" t="e">
        <f t="shared" ca="1" si="99"/>
        <v>#N/A</v>
      </c>
      <c r="AG314" s="34" t="e">
        <f t="shared" ca="1" si="100"/>
        <v>#N/A</v>
      </c>
      <c r="AH314" s="34" t="e">
        <f t="shared" ca="1" si="101"/>
        <v>#N/A</v>
      </c>
      <c r="AI314" s="33" t="e">
        <f t="shared" ca="1" si="108"/>
        <v>#N/A</v>
      </c>
      <c r="AJ314" s="34" t="e">
        <f t="shared" ca="1" si="109"/>
        <v>#N/A</v>
      </c>
      <c r="AK314" s="34" t="e">
        <f t="shared" ca="1" si="102"/>
        <v>#N/A</v>
      </c>
      <c r="AL314" s="34" t="e">
        <f t="shared" ca="1" si="103"/>
        <v>#N/A</v>
      </c>
      <c r="AM314" s="33" t="e">
        <f t="shared" ca="1" si="110"/>
        <v>#N/A</v>
      </c>
      <c r="AN314" s="34" t="e">
        <f t="shared" ca="1" si="111"/>
        <v>#N/A</v>
      </c>
    </row>
    <row r="315" spans="1:40" x14ac:dyDescent="0.3">
      <c r="A315" s="2">
        <v>43920</v>
      </c>
      <c r="B315" s="9">
        <v>40.310001</v>
      </c>
      <c r="C315" s="9">
        <v>71.260002</v>
      </c>
      <c r="D315" s="9">
        <v>47.189999</v>
      </c>
      <c r="E315" s="10"/>
      <c r="F315" s="13">
        <v>312</v>
      </c>
      <c r="G315" s="2">
        <v>43920</v>
      </c>
      <c r="H315" s="14">
        <f t="shared" si="92"/>
        <v>3.2781629687155645E-2</v>
      </c>
      <c r="I315" s="14">
        <f t="shared" si="93"/>
        <v>4.6974582121648588E-2</v>
      </c>
      <c r="J315" s="14">
        <f t="shared" si="94"/>
        <v>4.6630978513444304E-2</v>
      </c>
      <c r="K315" s="22">
        <v>312</v>
      </c>
      <c r="L315" s="12"/>
      <c r="Q315" s="15">
        <f t="shared" si="95"/>
        <v>312</v>
      </c>
      <c r="R315" s="2">
        <f t="shared" si="91"/>
        <v>43920</v>
      </c>
      <c r="S315" s="9">
        <f t="shared" ca="1" si="96"/>
        <v>3.2781629687155645E-2</v>
      </c>
      <c r="T315" s="9">
        <f t="shared" ca="1" si="97"/>
        <v>4.6974582121648588E-2</v>
      </c>
      <c r="U315" s="9">
        <f t="shared" ca="1" si="98"/>
        <v>4.6630978513444304E-2</v>
      </c>
      <c r="AB315" s="33" t="e">
        <f t="shared" ca="1" si="104"/>
        <v>#N/A</v>
      </c>
      <c r="AC315" s="34" t="e">
        <f t="shared" ca="1" si="105"/>
        <v>#N/A</v>
      </c>
      <c r="AD315" s="34" t="e">
        <f t="shared" ca="1" si="106"/>
        <v>#N/A</v>
      </c>
      <c r="AE315" s="33" t="e">
        <f t="shared" ca="1" si="107"/>
        <v>#N/A</v>
      </c>
      <c r="AF315" s="34" t="e">
        <f t="shared" ca="1" si="99"/>
        <v>#N/A</v>
      </c>
      <c r="AG315" s="34" t="e">
        <f t="shared" ca="1" si="100"/>
        <v>#N/A</v>
      </c>
      <c r="AH315" s="34" t="e">
        <f t="shared" ca="1" si="101"/>
        <v>#N/A</v>
      </c>
      <c r="AI315" s="33" t="e">
        <f t="shared" ca="1" si="108"/>
        <v>#N/A</v>
      </c>
      <c r="AJ315" s="34" t="e">
        <f t="shared" ca="1" si="109"/>
        <v>#N/A</v>
      </c>
      <c r="AK315" s="34" t="e">
        <f t="shared" ca="1" si="102"/>
        <v>#N/A</v>
      </c>
      <c r="AL315" s="34" t="e">
        <f t="shared" ca="1" si="103"/>
        <v>#N/A</v>
      </c>
      <c r="AM315" s="33" t="e">
        <f t="shared" ca="1" si="110"/>
        <v>#N/A</v>
      </c>
      <c r="AN315" s="34" t="e">
        <f t="shared" ca="1" si="111"/>
        <v>#N/A</v>
      </c>
    </row>
    <row r="316" spans="1:40" x14ac:dyDescent="0.3">
      <c r="A316" s="2">
        <v>43921</v>
      </c>
      <c r="B316" s="9">
        <v>37.75</v>
      </c>
      <c r="C316" s="9">
        <v>66.830001999999993</v>
      </c>
      <c r="D316" s="9">
        <v>45.360000999999997</v>
      </c>
      <c r="E316" s="10"/>
      <c r="F316" s="13">
        <v>313</v>
      </c>
      <c r="G316" s="2">
        <v>43921</v>
      </c>
      <c r="H316" s="14">
        <f t="shared" si="92"/>
        <v>-6.5614126241780354E-2</v>
      </c>
      <c r="I316" s="14">
        <f t="shared" si="93"/>
        <v>-6.4183076794268115E-2</v>
      </c>
      <c r="J316" s="14">
        <f t="shared" si="94"/>
        <v>-3.9551303082013892E-2</v>
      </c>
      <c r="K316" s="22">
        <v>313</v>
      </c>
      <c r="L316" s="12"/>
      <c r="Q316" s="15">
        <f t="shared" si="95"/>
        <v>313</v>
      </c>
      <c r="R316" s="2">
        <f t="shared" si="91"/>
        <v>43921</v>
      </c>
      <c r="S316" s="9">
        <f t="shared" ca="1" si="96"/>
        <v>-6.5614126241780354E-2</v>
      </c>
      <c r="T316" s="9">
        <f t="shared" ca="1" si="97"/>
        <v>-6.4183076794268115E-2</v>
      </c>
      <c r="U316" s="9">
        <f t="shared" ca="1" si="98"/>
        <v>-3.9551303082013892E-2</v>
      </c>
      <c r="AB316" s="33" t="e">
        <f t="shared" ca="1" si="104"/>
        <v>#N/A</v>
      </c>
      <c r="AC316" s="34" t="e">
        <f t="shared" ca="1" si="105"/>
        <v>#N/A</v>
      </c>
      <c r="AD316" s="34" t="e">
        <f t="shared" ca="1" si="106"/>
        <v>#N/A</v>
      </c>
      <c r="AE316" s="33" t="e">
        <f t="shared" ca="1" si="107"/>
        <v>#N/A</v>
      </c>
      <c r="AF316" s="34" t="e">
        <f t="shared" ca="1" si="99"/>
        <v>#N/A</v>
      </c>
      <c r="AG316" s="34" t="e">
        <f t="shared" ca="1" si="100"/>
        <v>#N/A</v>
      </c>
      <c r="AH316" s="34" t="e">
        <f t="shared" ca="1" si="101"/>
        <v>#N/A</v>
      </c>
      <c r="AI316" s="33" t="e">
        <f t="shared" ca="1" si="108"/>
        <v>#N/A</v>
      </c>
      <c r="AJ316" s="34" t="e">
        <f t="shared" ca="1" si="109"/>
        <v>#N/A</v>
      </c>
      <c r="AK316" s="34" t="e">
        <f t="shared" ca="1" si="102"/>
        <v>#N/A</v>
      </c>
      <c r="AL316" s="34" t="e">
        <f t="shared" ca="1" si="103"/>
        <v>#N/A</v>
      </c>
      <c r="AM316" s="33" t="e">
        <f t="shared" ca="1" si="110"/>
        <v>#N/A</v>
      </c>
      <c r="AN316" s="34" t="e">
        <f t="shared" ca="1" si="111"/>
        <v>#N/A</v>
      </c>
    </row>
    <row r="317" spans="1:40" x14ac:dyDescent="0.3">
      <c r="A317" s="2">
        <v>43922</v>
      </c>
      <c r="B317" s="9">
        <v>38.169998</v>
      </c>
      <c r="C317" s="9">
        <v>65.690002000000007</v>
      </c>
      <c r="D317" s="9">
        <v>41</v>
      </c>
      <c r="E317" s="10"/>
      <c r="F317" s="13">
        <v>314</v>
      </c>
      <c r="G317" s="2">
        <v>43922</v>
      </c>
      <c r="H317" s="14">
        <f t="shared" si="92"/>
        <v>1.1064338664932755E-2</v>
      </c>
      <c r="I317" s="14">
        <f t="shared" si="93"/>
        <v>-1.7205374099242204E-2</v>
      </c>
      <c r="J317" s="14">
        <f t="shared" si="94"/>
        <v>-0.10105861476104391</v>
      </c>
      <c r="K317" s="22">
        <v>314</v>
      </c>
      <c r="L317" s="12"/>
      <c r="Q317" s="15">
        <f t="shared" si="95"/>
        <v>314</v>
      </c>
      <c r="R317" s="2">
        <f t="shared" si="91"/>
        <v>43922</v>
      </c>
      <c r="S317" s="9">
        <f t="shared" ca="1" si="96"/>
        <v>1.1064338664932755E-2</v>
      </c>
      <c r="T317" s="9">
        <f t="shared" ca="1" si="97"/>
        <v>-1.7205374099242204E-2</v>
      </c>
      <c r="U317" s="9">
        <f t="shared" ca="1" si="98"/>
        <v>-0.10105861476104391</v>
      </c>
      <c r="AB317" s="33" t="e">
        <f t="shared" ca="1" si="104"/>
        <v>#N/A</v>
      </c>
      <c r="AC317" s="34" t="e">
        <f t="shared" ca="1" si="105"/>
        <v>#N/A</v>
      </c>
      <c r="AD317" s="34" t="e">
        <f t="shared" ca="1" si="106"/>
        <v>#N/A</v>
      </c>
      <c r="AE317" s="33" t="e">
        <f t="shared" ca="1" si="107"/>
        <v>#N/A</v>
      </c>
      <c r="AF317" s="34" t="e">
        <f t="shared" ca="1" si="99"/>
        <v>#N/A</v>
      </c>
      <c r="AG317" s="34" t="e">
        <f t="shared" ca="1" si="100"/>
        <v>#N/A</v>
      </c>
      <c r="AH317" s="34" t="e">
        <f t="shared" ca="1" si="101"/>
        <v>#N/A</v>
      </c>
      <c r="AI317" s="33" t="e">
        <f t="shared" ca="1" si="108"/>
        <v>#N/A</v>
      </c>
      <c r="AJ317" s="34" t="e">
        <f t="shared" ca="1" si="109"/>
        <v>#N/A</v>
      </c>
      <c r="AK317" s="34" t="e">
        <f t="shared" ca="1" si="102"/>
        <v>#N/A</v>
      </c>
      <c r="AL317" s="34" t="e">
        <f t="shared" ca="1" si="103"/>
        <v>#N/A</v>
      </c>
      <c r="AM317" s="33" t="e">
        <f t="shared" ca="1" si="110"/>
        <v>#N/A</v>
      </c>
      <c r="AN317" s="34" t="e">
        <f t="shared" ca="1" si="111"/>
        <v>#N/A</v>
      </c>
    </row>
    <row r="318" spans="1:40" x14ac:dyDescent="0.3">
      <c r="A318" s="2">
        <v>43923</v>
      </c>
      <c r="B318" s="9">
        <v>37.830002</v>
      </c>
      <c r="C318" s="9">
        <v>65.970000999999996</v>
      </c>
      <c r="D318" s="9">
        <v>41.5</v>
      </c>
      <c r="E318" s="10"/>
      <c r="F318" s="13">
        <v>315</v>
      </c>
      <c r="G318" s="2">
        <v>43923</v>
      </c>
      <c r="H318" s="14">
        <f t="shared" si="92"/>
        <v>-8.9473228469357808E-3</v>
      </c>
      <c r="I318" s="14">
        <f t="shared" si="93"/>
        <v>4.2533710427690458E-3</v>
      </c>
      <c r="J318" s="14">
        <f t="shared" si="94"/>
        <v>1.212136053234482E-2</v>
      </c>
      <c r="K318" s="22">
        <v>315</v>
      </c>
      <c r="L318" s="12"/>
      <c r="Q318" s="15">
        <f t="shared" si="95"/>
        <v>315</v>
      </c>
      <c r="R318" s="2">
        <f t="shared" si="91"/>
        <v>43923</v>
      </c>
      <c r="S318" s="9">
        <f t="shared" ca="1" si="96"/>
        <v>-8.9473228469357808E-3</v>
      </c>
      <c r="T318" s="9">
        <f t="shared" ca="1" si="97"/>
        <v>4.2533710427690458E-3</v>
      </c>
      <c r="U318" s="9">
        <f t="shared" ca="1" si="98"/>
        <v>1.212136053234482E-2</v>
      </c>
      <c r="AB318" s="33" t="e">
        <f t="shared" ca="1" si="104"/>
        <v>#N/A</v>
      </c>
      <c r="AC318" s="34" t="e">
        <f t="shared" ca="1" si="105"/>
        <v>#N/A</v>
      </c>
      <c r="AD318" s="34" t="e">
        <f t="shared" ca="1" si="106"/>
        <v>#N/A</v>
      </c>
      <c r="AE318" s="33" t="e">
        <f t="shared" ca="1" si="107"/>
        <v>#N/A</v>
      </c>
      <c r="AF318" s="34" t="e">
        <f t="shared" ca="1" si="99"/>
        <v>#N/A</v>
      </c>
      <c r="AG318" s="34" t="e">
        <f t="shared" ca="1" si="100"/>
        <v>#N/A</v>
      </c>
      <c r="AH318" s="34" t="e">
        <f t="shared" ca="1" si="101"/>
        <v>#N/A</v>
      </c>
      <c r="AI318" s="33" t="e">
        <f t="shared" ca="1" si="108"/>
        <v>#N/A</v>
      </c>
      <c r="AJ318" s="34" t="e">
        <f t="shared" ca="1" si="109"/>
        <v>#N/A</v>
      </c>
      <c r="AK318" s="34" t="e">
        <f t="shared" ca="1" si="102"/>
        <v>#N/A</v>
      </c>
      <c r="AL318" s="34" t="e">
        <f t="shared" ca="1" si="103"/>
        <v>#N/A</v>
      </c>
      <c r="AM318" s="33" t="e">
        <f t="shared" ca="1" si="110"/>
        <v>#N/A</v>
      </c>
      <c r="AN318" s="34" t="e">
        <f t="shared" ca="1" si="111"/>
        <v>#N/A</v>
      </c>
    </row>
    <row r="319" spans="1:40" x14ac:dyDescent="0.3">
      <c r="A319" s="2">
        <v>43924</v>
      </c>
      <c r="B319" s="9">
        <v>37.970001000000003</v>
      </c>
      <c r="C319" s="9">
        <v>61</v>
      </c>
      <c r="D319" s="9">
        <v>40.340000000000003</v>
      </c>
      <c r="E319" s="10"/>
      <c r="F319" s="13">
        <v>316</v>
      </c>
      <c r="G319" s="2">
        <v>43924</v>
      </c>
      <c r="H319" s="14">
        <f t="shared" si="92"/>
        <v>3.6939090672616377E-3</v>
      </c>
      <c r="I319" s="14">
        <f t="shared" si="93"/>
        <v>-7.8326244219873442E-2</v>
      </c>
      <c r="J319" s="14">
        <f t="shared" si="94"/>
        <v>-2.8349894710586784E-2</v>
      </c>
      <c r="K319" s="22">
        <v>316</v>
      </c>
      <c r="L319" s="12"/>
      <c r="Q319" s="15">
        <f t="shared" si="95"/>
        <v>316</v>
      </c>
      <c r="R319" s="2">
        <f t="shared" si="91"/>
        <v>43924</v>
      </c>
      <c r="S319" s="9">
        <f t="shared" ca="1" si="96"/>
        <v>3.6939090672616377E-3</v>
      </c>
      <c r="T319" s="9">
        <f t="shared" ca="1" si="97"/>
        <v>-7.8326244219873442E-2</v>
      </c>
      <c r="U319" s="9">
        <f t="shared" ca="1" si="98"/>
        <v>-2.8349894710586784E-2</v>
      </c>
      <c r="AB319" s="33" t="e">
        <f t="shared" ca="1" si="104"/>
        <v>#N/A</v>
      </c>
      <c r="AC319" s="34" t="e">
        <f t="shared" ca="1" si="105"/>
        <v>#N/A</v>
      </c>
      <c r="AD319" s="34" t="e">
        <f t="shared" ca="1" si="106"/>
        <v>#N/A</v>
      </c>
      <c r="AE319" s="33" t="e">
        <f t="shared" ca="1" si="107"/>
        <v>#N/A</v>
      </c>
      <c r="AF319" s="34" t="e">
        <f t="shared" ca="1" si="99"/>
        <v>#N/A</v>
      </c>
      <c r="AG319" s="34" t="e">
        <f t="shared" ca="1" si="100"/>
        <v>#N/A</v>
      </c>
      <c r="AH319" s="34" t="e">
        <f t="shared" ca="1" si="101"/>
        <v>#N/A</v>
      </c>
      <c r="AI319" s="33" t="e">
        <f t="shared" ca="1" si="108"/>
        <v>#N/A</v>
      </c>
      <c r="AJ319" s="34" t="e">
        <f t="shared" ca="1" si="109"/>
        <v>#N/A</v>
      </c>
      <c r="AK319" s="34" t="e">
        <f t="shared" ca="1" si="102"/>
        <v>#N/A</v>
      </c>
      <c r="AL319" s="34" t="e">
        <f t="shared" ca="1" si="103"/>
        <v>#N/A</v>
      </c>
      <c r="AM319" s="33" t="e">
        <f t="shared" ca="1" si="110"/>
        <v>#N/A</v>
      </c>
      <c r="AN319" s="34" t="e">
        <f t="shared" ca="1" si="111"/>
        <v>#N/A</v>
      </c>
    </row>
    <row r="320" spans="1:40" x14ac:dyDescent="0.3">
      <c r="A320" s="2">
        <v>43927</v>
      </c>
      <c r="B320" s="9">
        <v>38.150002000000001</v>
      </c>
      <c r="C320" s="9">
        <v>68.599997999999999</v>
      </c>
      <c r="D320" s="9">
        <v>46.099997999999999</v>
      </c>
      <c r="E320" s="10"/>
      <c r="F320" s="13">
        <v>317</v>
      </c>
      <c r="G320" s="2">
        <v>43927</v>
      </c>
      <c r="H320" s="14">
        <f t="shared" si="92"/>
        <v>4.7294095748119901E-3</v>
      </c>
      <c r="I320" s="14">
        <f t="shared" si="93"/>
        <v>0.11741864140400896</v>
      </c>
      <c r="J320" s="14">
        <f t="shared" si="94"/>
        <v>0.13346937409258811</v>
      </c>
      <c r="K320" s="22">
        <v>317</v>
      </c>
      <c r="L320" s="12"/>
      <c r="Q320" s="15">
        <f t="shared" si="95"/>
        <v>317</v>
      </c>
      <c r="R320" s="2">
        <f t="shared" si="91"/>
        <v>43927</v>
      </c>
      <c r="S320" s="9">
        <f t="shared" ca="1" si="96"/>
        <v>4.7294095748119901E-3</v>
      </c>
      <c r="T320" s="9">
        <f t="shared" ca="1" si="97"/>
        <v>0.11741864140400896</v>
      </c>
      <c r="U320" s="9">
        <f t="shared" ca="1" si="98"/>
        <v>0.13346937409258811</v>
      </c>
      <c r="AB320" s="33" t="e">
        <f t="shared" ca="1" si="104"/>
        <v>#N/A</v>
      </c>
      <c r="AC320" s="34" t="e">
        <f t="shared" ca="1" si="105"/>
        <v>#N/A</v>
      </c>
      <c r="AD320" s="34" t="e">
        <f t="shared" ca="1" si="106"/>
        <v>#N/A</v>
      </c>
      <c r="AE320" s="33" t="e">
        <f t="shared" ca="1" si="107"/>
        <v>#N/A</v>
      </c>
      <c r="AF320" s="34" t="e">
        <f t="shared" ca="1" si="99"/>
        <v>#N/A</v>
      </c>
      <c r="AG320" s="34" t="e">
        <f t="shared" ca="1" si="100"/>
        <v>#N/A</v>
      </c>
      <c r="AH320" s="34" t="e">
        <f t="shared" ca="1" si="101"/>
        <v>#N/A</v>
      </c>
      <c r="AI320" s="33" t="e">
        <f t="shared" ca="1" si="108"/>
        <v>#N/A</v>
      </c>
      <c r="AJ320" s="34" t="e">
        <f t="shared" ca="1" si="109"/>
        <v>#N/A</v>
      </c>
      <c r="AK320" s="34" t="e">
        <f t="shared" ca="1" si="102"/>
        <v>#N/A</v>
      </c>
      <c r="AL320" s="34" t="e">
        <f t="shared" ca="1" si="103"/>
        <v>#N/A</v>
      </c>
      <c r="AM320" s="33" t="e">
        <f t="shared" ca="1" si="110"/>
        <v>#N/A</v>
      </c>
      <c r="AN320" s="34" t="e">
        <f t="shared" ca="1" si="111"/>
        <v>#N/A</v>
      </c>
    </row>
    <row r="321" spans="1:40" x14ac:dyDescent="0.3">
      <c r="A321" s="2">
        <v>43928</v>
      </c>
      <c r="B321" s="9">
        <v>40.169998</v>
      </c>
      <c r="C321" s="9">
        <v>73.790001000000004</v>
      </c>
      <c r="D321" s="9">
        <v>48.009998000000003</v>
      </c>
      <c r="E321" s="10"/>
      <c r="F321" s="13">
        <v>318</v>
      </c>
      <c r="G321" s="2">
        <v>43928</v>
      </c>
      <c r="H321" s="14">
        <f t="shared" si="92"/>
        <v>5.1594588427686112E-2</v>
      </c>
      <c r="I321" s="14">
        <f t="shared" si="93"/>
        <v>7.2930729044926881E-2</v>
      </c>
      <c r="J321" s="14">
        <f t="shared" si="94"/>
        <v>4.0596374266206263E-2</v>
      </c>
      <c r="K321" s="22">
        <v>318</v>
      </c>
      <c r="L321" s="12"/>
      <c r="Q321" s="15">
        <f t="shared" si="95"/>
        <v>318</v>
      </c>
      <c r="R321" s="2">
        <f t="shared" si="91"/>
        <v>43928</v>
      </c>
      <c r="S321" s="9">
        <f t="shared" ca="1" si="96"/>
        <v>5.1594588427686112E-2</v>
      </c>
      <c r="T321" s="9">
        <f t="shared" ca="1" si="97"/>
        <v>7.2930729044926881E-2</v>
      </c>
      <c r="U321" s="9">
        <f t="shared" ca="1" si="98"/>
        <v>4.0596374266206263E-2</v>
      </c>
      <c r="AB321" s="33" t="e">
        <f t="shared" ca="1" si="104"/>
        <v>#N/A</v>
      </c>
      <c r="AC321" s="34" t="e">
        <f t="shared" ca="1" si="105"/>
        <v>#N/A</v>
      </c>
      <c r="AD321" s="34" t="e">
        <f t="shared" ca="1" si="106"/>
        <v>#N/A</v>
      </c>
      <c r="AE321" s="33" t="e">
        <f t="shared" ca="1" si="107"/>
        <v>#N/A</v>
      </c>
      <c r="AF321" s="34" t="e">
        <f t="shared" ca="1" si="99"/>
        <v>#N/A</v>
      </c>
      <c r="AG321" s="34" t="e">
        <f t="shared" ca="1" si="100"/>
        <v>#N/A</v>
      </c>
      <c r="AH321" s="34" t="e">
        <f t="shared" ca="1" si="101"/>
        <v>#N/A</v>
      </c>
      <c r="AI321" s="33" t="e">
        <f t="shared" ca="1" si="108"/>
        <v>#N/A</v>
      </c>
      <c r="AJ321" s="34" t="e">
        <f t="shared" ca="1" si="109"/>
        <v>#N/A</v>
      </c>
      <c r="AK321" s="34" t="e">
        <f t="shared" ca="1" si="102"/>
        <v>#N/A</v>
      </c>
      <c r="AL321" s="34" t="e">
        <f t="shared" ca="1" si="103"/>
        <v>#N/A</v>
      </c>
      <c r="AM321" s="33" t="e">
        <f t="shared" ca="1" si="110"/>
        <v>#N/A</v>
      </c>
      <c r="AN321" s="34" t="e">
        <f t="shared" ca="1" si="111"/>
        <v>#N/A</v>
      </c>
    </row>
    <row r="322" spans="1:40" x14ac:dyDescent="0.3">
      <c r="A322" s="2">
        <v>43929</v>
      </c>
      <c r="B322" s="9">
        <v>41.400002000000001</v>
      </c>
      <c r="C322" s="9">
        <v>76.160004000000001</v>
      </c>
      <c r="D322" s="9">
        <v>51.599997999999999</v>
      </c>
      <c r="E322" s="10"/>
      <c r="F322" s="13">
        <v>319</v>
      </c>
      <c r="G322" s="2">
        <v>43929</v>
      </c>
      <c r="H322" s="14">
        <f t="shared" si="92"/>
        <v>3.0160530557656037E-2</v>
      </c>
      <c r="I322" s="14">
        <f t="shared" si="93"/>
        <v>3.1613208381869935E-2</v>
      </c>
      <c r="J322" s="14">
        <f t="shared" si="94"/>
        <v>7.2112352842966063E-2</v>
      </c>
      <c r="K322" s="22">
        <v>319</v>
      </c>
      <c r="L322" s="12"/>
      <c r="Q322" s="15">
        <f t="shared" si="95"/>
        <v>319</v>
      </c>
      <c r="R322" s="2">
        <f t="shared" si="91"/>
        <v>43929</v>
      </c>
      <c r="S322" s="9">
        <f t="shared" ca="1" si="96"/>
        <v>3.0160530557656037E-2</v>
      </c>
      <c r="T322" s="9">
        <f t="shared" ca="1" si="97"/>
        <v>3.1613208381869935E-2</v>
      </c>
      <c r="U322" s="9">
        <f t="shared" ca="1" si="98"/>
        <v>7.2112352842966063E-2</v>
      </c>
      <c r="AB322" s="33" t="e">
        <f t="shared" ca="1" si="104"/>
        <v>#N/A</v>
      </c>
      <c r="AC322" s="34" t="e">
        <f t="shared" ca="1" si="105"/>
        <v>#N/A</v>
      </c>
      <c r="AD322" s="34" t="e">
        <f t="shared" ca="1" si="106"/>
        <v>#N/A</v>
      </c>
      <c r="AE322" s="33" t="e">
        <f t="shared" ca="1" si="107"/>
        <v>#N/A</v>
      </c>
      <c r="AF322" s="34" t="e">
        <f t="shared" ca="1" si="99"/>
        <v>#N/A</v>
      </c>
      <c r="AG322" s="34" t="e">
        <f t="shared" ca="1" si="100"/>
        <v>#N/A</v>
      </c>
      <c r="AH322" s="34" t="e">
        <f t="shared" ca="1" si="101"/>
        <v>#N/A</v>
      </c>
      <c r="AI322" s="33" t="e">
        <f t="shared" ca="1" si="108"/>
        <v>#N/A</v>
      </c>
      <c r="AJ322" s="34" t="e">
        <f t="shared" ca="1" si="109"/>
        <v>#N/A</v>
      </c>
      <c r="AK322" s="34" t="e">
        <f t="shared" ca="1" si="102"/>
        <v>#N/A</v>
      </c>
      <c r="AL322" s="34" t="e">
        <f t="shared" ca="1" si="103"/>
        <v>#N/A</v>
      </c>
      <c r="AM322" s="33" t="e">
        <f t="shared" ca="1" si="110"/>
        <v>#N/A</v>
      </c>
      <c r="AN322" s="34" t="e">
        <f t="shared" ca="1" si="111"/>
        <v>#N/A</v>
      </c>
    </row>
    <row r="323" spans="1:40" x14ac:dyDescent="0.3">
      <c r="A323" s="2">
        <v>43930</v>
      </c>
      <c r="B323" s="9">
        <v>43.279998999999997</v>
      </c>
      <c r="C323" s="9">
        <v>80.410004000000001</v>
      </c>
      <c r="D323" s="9">
        <v>50.099997999999999</v>
      </c>
      <c r="E323" s="10"/>
      <c r="F323" s="13">
        <v>320</v>
      </c>
      <c r="G323" s="2">
        <v>43930</v>
      </c>
      <c r="H323" s="14">
        <f t="shared" si="92"/>
        <v>4.4409682292419074E-2</v>
      </c>
      <c r="I323" s="14">
        <f t="shared" si="93"/>
        <v>5.4302153300996227E-2</v>
      </c>
      <c r="J323" s="14">
        <f t="shared" si="94"/>
        <v>-2.9500665557167724E-2</v>
      </c>
      <c r="K323" s="22">
        <v>320</v>
      </c>
      <c r="L323" s="12"/>
      <c r="Q323" s="15">
        <f t="shared" si="95"/>
        <v>320</v>
      </c>
      <c r="R323" s="2">
        <f t="shared" si="91"/>
        <v>43930</v>
      </c>
      <c r="S323" s="9">
        <f t="shared" ca="1" si="96"/>
        <v>4.4409682292419074E-2</v>
      </c>
      <c r="T323" s="9">
        <f t="shared" ca="1" si="97"/>
        <v>5.4302153300996227E-2</v>
      </c>
      <c r="U323" s="9">
        <f t="shared" ca="1" si="98"/>
        <v>-2.9500665557167724E-2</v>
      </c>
      <c r="AB323" s="33" t="e">
        <f t="shared" ca="1" si="104"/>
        <v>#N/A</v>
      </c>
      <c r="AC323" s="34" t="e">
        <f t="shared" ca="1" si="105"/>
        <v>#N/A</v>
      </c>
      <c r="AD323" s="34" t="e">
        <f t="shared" ca="1" si="106"/>
        <v>#N/A</v>
      </c>
      <c r="AE323" s="33" t="e">
        <f t="shared" ca="1" si="107"/>
        <v>#N/A</v>
      </c>
      <c r="AF323" s="34" t="e">
        <f t="shared" ca="1" si="99"/>
        <v>#N/A</v>
      </c>
      <c r="AG323" s="34" t="e">
        <f t="shared" ca="1" si="100"/>
        <v>#N/A</v>
      </c>
      <c r="AH323" s="34" t="e">
        <f t="shared" ca="1" si="101"/>
        <v>#N/A</v>
      </c>
      <c r="AI323" s="33" t="e">
        <f t="shared" ca="1" si="108"/>
        <v>#N/A</v>
      </c>
      <c r="AJ323" s="34" t="e">
        <f t="shared" ca="1" si="109"/>
        <v>#N/A</v>
      </c>
      <c r="AK323" s="34" t="e">
        <f t="shared" ca="1" si="102"/>
        <v>#N/A</v>
      </c>
      <c r="AL323" s="34" t="e">
        <f t="shared" ca="1" si="103"/>
        <v>#N/A</v>
      </c>
      <c r="AM323" s="33" t="e">
        <f t="shared" ca="1" si="110"/>
        <v>#N/A</v>
      </c>
      <c r="AN323" s="34" t="e">
        <f t="shared" ca="1" si="111"/>
        <v>#N/A</v>
      </c>
    </row>
    <row r="324" spans="1:40" x14ac:dyDescent="0.3">
      <c r="A324" s="2">
        <v>43934</v>
      </c>
      <c r="B324" s="9">
        <v>40.93</v>
      </c>
      <c r="C324" s="9">
        <v>75.970000999999996</v>
      </c>
      <c r="D324" s="9">
        <v>49.700001</v>
      </c>
      <c r="E324" s="10"/>
      <c r="F324" s="13">
        <v>321</v>
      </c>
      <c r="G324" s="2">
        <v>43934</v>
      </c>
      <c r="H324" s="14">
        <f t="shared" si="92"/>
        <v>-5.5827320928553671E-2</v>
      </c>
      <c r="I324" s="14">
        <f t="shared" si="93"/>
        <v>-5.6800057626892289E-2</v>
      </c>
      <c r="J324" s="14">
        <f t="shared" si="94"/>
        <v>-8.0160149473514578E-3</v>
      </c>
      <c r="K324" s="22">
        <v>321</v>
      </c>
      <c r="L324" s="12"/>
      <c r="Q324" s="15">
        <f t="shared" si="95"/>
        <v>321</v>
      </c>
      <c r="R324" s="2">
        <f t="shared" ref="R324:R387" si="112">IF(Q324="","",VLOOKUP(Q324,F324:J1581,2))</f>
        <v>43934</v>
      </c>
      <c r="S324" s="9">
        <f t="shared" ca="1" si="96"/>
        <v>-5.5827320928553671E-2</v>
      </c>
      <c r="T324" s="9">
        <f t="shared" ca="1" si="97"/>
        <v>-5.6800057626892289E-2</v>
      </c>
      <c r="U324" s="9">
        <f t="shared" ca="1" si="98"/>
        <v>-8.0160149473514578E-3</v>
      </c>
      <c r="AB324" s="33" t="e">
        <f t="shared" ca="1" si="104"/>
        <v>#N/A</v>
      </c>
      <c r="AC324" s="34" t="e">
        <f t="shared" ca="1" si="105"/>
        <v>#N/A</v>
      </c>
      <c r="AD324" s="34" t="e">
        <f t="shared" ca="1" si="106"/>
        <v>#N/A</v>
      </c>
      <c r="AE324" s="33" t="e">
        <f t="shared" ca="1" si="107"/>
        <v>#N/A</v>
      </c>
      <c r="AF324" s="34" t="e">
        <f t="shared" ca="1" si="99"/>
        <v>#N/A</v>
      </c>
      <c r="AG324" s="34" t="e">
        <f t="shared" ca="1" si="100"/>
        <v>#N/A</v>
      </c>
      <c r="AH324" s="34" t="e">
        <f t="shared" ca="1" si="101"/>
        <v>#N/A</v>
      </c>
      <c r="AI324" s="33" t="e">
        <f t="shared" ca="1" si="108"/>
        <v>#N/A</v>
      </c>
      <c r="AJ324" s="34" t="e">
        <f t="shared" ca="1" si="109"/>
        <v>#N/A</v>
      </c>
      <c r="AK324" s="34" t="e">
        <f t="shared" ca="1" si="102"/>
        <v>#N/A</v>
      </c>
      <c r="AL324" s="34" t="e">
        <f t="shared" ca="1" si="103"/>
        <v>#N/A</v>
      </c>
      <c r="AM324" s="33" t="e">
        <f t="shared" ca="1" si="110"/>
        <v>#N/A</v>
      </c>
      <c r="AN324" s="34" t="e">
        <f t="shared" ca="1" si="111"/>
        <v>#N/A</v>
      </c>
    </row>
    <row r="325" spans="1:40" x14ac:dyDescent="0.3">
      <c r="A325" s="2">
        <v>43935</v>
      </c>
      <c r="B325" s="9">
        <v>41.740001999999997</v>
      </c>
      <c r="C325" s="9">
        <v>76.5</v>
      </c>
      <c r="D325" s="9">
        <v>50.950001</v>
      </c>
      <c r="E325" s="10"/>
      <c r="F325" s="13">
        <v>322</v>
      </c>
      <c r="G325" s="2">
        <v>43935</v>
      </c>
      <c r="H325" s="14">
        <f t="shared" ref="H325:H388" si="113">LN(B325/B324)</f>
        <v>1.9596659060410217E-2</v>
      </c>
      <c r="I325" s="14">
        <f t="shared" ref="I325:I388" si="114">LN(C325/C324)</f>
        <v>6.9522021542694542E-3</v>
      </c>
      <c r="J325" s="14">
        <f t="shared" ref="J325:J388" si="115">LN(D325/D324)</f>
        <v>2.4839826072511714E-2</v>
      </c>
      <c r="K325" s="22">
        <v>322</v>
      </c>
      <c r="L325" s="12"/>
      <c r="Q325" s="15">
        <f t="shared" ref="Q325:Q388" si="116">IF(Q324="","",IF(Q324+1&lt;=$M$6,Q324+1,""))</f>
        <v>322</v>
      </c>
      <c r="R325" s="2">
        <f t="shared" si="112"/>
        <v>43935</v>
      </c>
      <c r="S325" s="9">
        <f t="shared" ref="S325:S388" ca="1" si="117">IF(Q325="","",OFFSET(H$3,$Q325,0))</f>
        <v>1.9596659060410217E-2</v>
      </c>
      <c r="T325" s="9">
        <f t="shared" ref="T325:T388" ca="1" si="118">IF(R325="","",OFFSET(I$3,$Q325,0))</f>
        <v>6.9522021542694542E-3</v>
      </c>
      <c r="U325" s="9">
        <f t="shared" ref="U325:U388" ca="1" si="119">IF(S325="","",OFFSET(J$3,$Q325,0))</f>
        <v>2.4839826072511714E-2</v>
      </c>
      <c r="AB325" s="33" t="e">
        <f t="shared" ca="1" si="104"/>
        <v>#N/A</v>
      </c>
      <c r="AC325" s="34" t="e">
        <f t="shared" ca="1" si="105"/>
        <v>#N/A</v>
      </c>
      <c r="AD325" s="34" t="e">
        <f t="shared" ca="1" si="106"/>
        <v>#N/A</v>
      </c>
      <c r="AE325" s="33" t="e">
        <f t="shared" ca="1" si="107"/>
        <v>#N/A</v>
      </c>
      <c r="AF325" s="34" t="e">
        <f t="shared" ref="AF325:AF388" ca="1" si="120">IF(AB325&lt;=$X$6,(AE325/$X$5)/$X$7,"")</f>
        <v>#N/A</v>
      </c>
      <c r="AG325" s="34" t="e">
        <f t="shared" ref="AG325:AG388" ca="1" si="121">IF(AB325&lt;=$Y$6,AG324+$Y$7,"")</f>
        <v>#N/A</v>
      </c>
      <c r="AH325" s="34" t="e">
        <f t="shared" ref="AH325:AH388" ca="1" si="122">IF(AB325&lt;=$Y$6,AG325-$Y$7/2,"")</f>
        <v>#N/A</v>
      </c>
      <c r="AI325" s="33" t="e">
        <f t="shared" ca="1" si="108"/>
        <v>#N/A</v>
      </c>
      <c r="AJ325" s="34" t="e">
        <f t="shared" ca="1" si="109"/>
        <v>#N/A</v>
      </c>
      <c r="AK325" s="34" t="e">
        <f t="shared" ref="AK325:AK388" ca="1" si="123">IF(AB325&lt;=$Z$6,AK324+$Z$7,"")</f>
        <v>#N/A</v>
      </c>
      <c r="AL325" s="34" t="e">
        <f t="shared" ref="AL325:AL388" ca="1" si="124">IF(AB325&lt;=$Z$6,AK325-$Z$7/2,"")</f>
        <v>#N/A</v>
      </c>
      <c r="AM325" s="33" t="e">
        <f t="shared" ca="1" si="110"/>
        <v>#N/A</v>
      </c>
      <c r="AN325" s="34" t="e">
        <f t="shared" ca="1" si="111"/>
        <v>#N/A</v>
      </c>
    </row>
    <row r="326" spans="1:40" x14ac:dyDescent="0.3">
      <c r="A326" s="2">
        <v>43936</v>
      </c>
      <c r="B326" s="9">
        <v>41.18</v>
      </c>
      <c r="C326" s="9">
        <v>69.580001999999993</v>
      </c>
      <c r="D326" s="9">
        <v>46.700001</v>
      </c>
      <c r="E326" s="10"/>
      <c r="F326" s="13">
        <v>323</v>
      </c>
      <c r="G326" s="2">
        <v>43936</v>
      </c>
      <c r="H326" s="14">
        <f t="shared" si="113"/>
        <v>-1.3507247965078541E-2</v>
      </c>
      <c r="I326" s="14">
        <f t="shared" si="114"/>
        <v>-9.4813542364802758E-2</v>
      </c>
      <c r="J326" s="14">
        <f t="shared" si="115"/>
        <v>-8.7100593207691354E-2</v>
      </c>
      <c r="K326" s="22">
        <v>323</v>
      </c>
      <c r="L326" s="12"/>
      <c r="Q326" s="15">
        <f t="shared" si="116"/>
        <v>323</v>
      </c>
      <c r="R326" s="2">
        <f t="shared" si="112"/>
        <v>43936</v>
      </c>
      <c r="S326" s="9">
        <f t="shared" ca="1" si="117"/>
        <v>-1.3507247965078541E-2</v>
      </c>
      <c r="T326" s="9">
        <f t="shared" ca="1" si="118"/>
        <v>-9.4813542364802758E-2</v>
      </c>
      <c r="U326" s="9">
        <f t="shared" ca="1" si="119"/>
        <v>-8.7100593207691354E-2</v>
      </c>
      <c r="AB326" s="33" t="e">
        <f t="shared" ref="AB326:AB389" ca="1" si="125">IF(AB325&lt;$X$6,AB325+1,NA())</f>
        <v>#N/A</v>
      </c>
      <c r="AC326" s="34" t="e">
        <f t="shared" ref="AC326:AC389" ca="1" si="126">IF(AB326&lt;=$X$6,AC325+$X$7,"")</f>
        <v>#N/A</v>
      </c>
      <c r="AD326" s="34" t="e">
        <f t="shared" ref="AD326:AD389" ca="1" si="127">IF(AB326&lt;=$X$6,AC326-$X$7/2,"")</f>
        <v>#N/A</v>
      </c>
      <c r="AE326" s="33" t="e">
        <f t="shared" ref="AE326:AE389" ca="1" si="128">IF(AB326&lt;=$X$6,COUNTIFS($S$3:$S$1260,"&gt;"&amp;AC325,$S$3:$S$1260,"&lt;="&amp;AC326),"")</f>
        <v>#N/A</v>
      </c>
      <c r="AF326" s="34" t="e">
        <f t="shared" ca="1" si="120"/>
        <v>#N/A</v>
      </c>
      <c r="AG326" s="34" t="e">
        <f t="shared" ca="1" si="121"/>
        <v>#N/A</v>
      </c>
      <c r="AH326" s="34" t="e">
        <f t="shared" ca="1" si="122"/>
        <v>#N/A</v>
      </c>
      <c r="AI326" s="33" t="e">
        <f t="shared" ref="AI326:AI389" ca="1" si="129">IF(AB326&lt;=$Y$6,COUNTIFS($T$3:$T$1260,"&gt;"&amp;AG325,$T$3:$T$1260,"&lt;="&amp;AG326),"")</f>
        <v>#N/A</v>
      </c>
      <c r="AJ326" s="34" t="e">
        <f t="shared" ref="AJ326:AJ389" ca="1" si="130">IF(AB326&lt;=$Y$6,(AI326/$Y$5)/$Y$7,"")</f>
        <v>#N/A</v>
      </c>
      <c r="AK326" s="34" t="e">
        <f t="shared" ca="1" si="123"/>
        <v>#N/A</v>
      </c>
      <c r="AL326" s="34" t="e">
        <f t="shared" ca="1" si="124"/>
        <v>#N/A</v>
      </c>
      <c r="AM326" s="33" t="e">
        <f t="shared" ref="AM326:AM389" ca="1" si="131">IF(AB326&lt;=$Z$6,COUNTIFS($U$3:$U$1260,"&gt;"&amp;AK325,$U$3:$U$1260,"&lt;="&amp;AK326),"")</f>
        <v>#N/A</v>
      </c>
      <c r="AN326" s="34" t="e">
        <f t="shared" ref="AN326:AN389" ca="1" si="132">IF(AB326&lt;=$Z$6,(AM326/$Z$5)/$Z$7,"")</f>
        <v>#N/A</v>
      </c>
    </row>
    <row r="327" spans="1:40" x14ac:dyDescent="0.3">
      <c r="A327" s="2">
        <v>43937</v>
      </c>
      <c r="B327" s="9">
        <v>40.400002000000001</v>
      </c>
      <c r="C327" s="9">
        <v>68.519997000000004</v>
      </c>
      <c r="D327" s="9">
        <v>45</v>
      </c>
      <c r="E327" s="10"/>
      <c r="F327" s="13">
        <v>324</v>
      </c>
      <c r="G327" s="2">
        <v>43937</v>
      </c>
      <c r="H327" s="14">
        <f t="shared" si="113"/>
        <v>-1.9122867127589729E-2</v>
      </c>
      <c r="I327" s="14">
        <f t="shared" si="114"/>
        <v>-1.5351568794606313E-2</v>
      </c>
      <c r="J327" s="14">
        <f t="shared" si="115"/>
        <v>-3.7081696317807882E-2</v>
      </c>
      <c r="K327" s="22">
        <v>324</v>
      </c>
      <c r="L327" s="12"/>
      <c r="Q327" s="15">
        <f t="shared" si="116"/>
        <v>324</v>
      </c>
      <c r="R327" s="2">
        <f t="shared" si="112"/>
        <v>43937</v>
      </c>
      <c r="S327" s="9">
        <f t="shared" ca="1" si="117"/>
        <v>-1.9122867127589729E-2</v>
      </c>
      <c r="T327" s="9">
        <f t="shared" ca="1" si="118"/>
        <v>-1.5351568794606313E-2</v>
      </c>
      <c r="U327" s="9">
        <f t="shared" ca="1" si="119"/>
        <v>-3.7081696317807882E-2</v>
      </c>
      <c r="AB327" s="33" t="e">
        <f t="shared" ca="1" si="125"/>
        <v>#N/A</v>
      </c>
      <c r="AC327" s="34" t="e">
        <f t="shared" ca="1" si="126"/>
        <v>#N/A</v>
      </c>
      <c r="AD327" s="34" t="e">
        <f t="shared" ca="1" si="127"/>
        <v>#N/A</v>
      </c>
      <c r="AE327" s="33" t="e">
        <f t="shared" ca="1" si="128"/>
        <v>#N/A</v>
      </c>
      <c r="AF327" s="34" t="e">
        <f t="shared" ca="1" si="120"/>
        <v>#N/A</v>
      </c>
      <c r="AG327" s="34" t="e">
        <f t="shared" ca="1" si="121"/>
        <v>#N/A</v>
      </c>
      <c r="AH327" s="34" t="e">
        <f t="shared" ca="1" si="122"/>
        <v>#N/A</v>
      </c>
      <c r="AI327" s="33" t="e">
        <f t="shared" ca="1" si="129"/>
        <v>#N/A</v>
      </c>
      <c r="AJ327" s="34" t="e">
        <f t="shared" ca="1" si="130"/>
        <v>#N/A</v>
      </c>
      <c r="AK327" s="34" t="e">
        <f t="shared" ca="1" si="123"/>
        <v>#N/A</v>
      </c>
      <c r="AL327" s="34" t="e">
        <f t="shared" ca="1" si="124"/>
        <v>#N/A</v>
      </c>
      <c r="AM327" s="33" t="e">
        <f t="shared" ca="1" si="131"/>
        <v>#N/A</v>
      </c>
      <c r="AN327" s="34" t="e">
        <f t="shared" ca="1" si="132"/>
        <v>#N/A</v>
      </c>
    </row>
    <row r="328" spans="1:40" x14ac:dyDescent="0.3">
      <c r="A328" s="2">
        <v>43938</v>
      </c>
      <c r="B328" s="9">
        <v>43.240001999999997</v>
      </c>
      <c r="C328" s="9">
        <v>72.680000000000007</v>
      </c>
      <c r="D328" s="9">
        <v>51.759998000000003</v>
      </c>
      <c r="E328" s="10"/>
      <c r="F328" s="13">
        <v>325</v>
      </c>
      <c r="G328" s="2">
        <v>43938</v>
      </c>
      <c r="H328" s="14">
        <f t="shared" si="113"/>
        <v>6.7936204552421775E-2</v>
      </c>
      <c r="I328" s="14">
        <f t="shared" si="114"/>
        <v>5.8940613854889461E-2</v>
      </c>
      <c r="J328" s="14">
        <f t="shared" si="115"/>
        <v>0.13995512178244837</v>
      </c>
      <c r="K328" s="22">
        <v>325</v>
      </c>
      <c r="L328" s="12"/>
      <c r="Q328" s="15">
        <f t="shared" si="116"/>
        <v>325</v>
      </c>
      <c r="R328" s="2">
        <f t="shared" si="112"/>
        <v>43938</v>
      </c>
      <c r="S328" s="9">
        <f t="shared" ca="1" si="117"/>
        <v>6.7936204552421775E-2</v>
      </c>
      <c r="T328" s="9">
        <f t="shared" ca="1" si="118"/>
        <v>5.8940613854889461E-2</v>
      </c>
      <c r="U328" s="9">
        <f t="shared" ca="1" si="119"/>
        <v>0.13995512178244837</v>
      </c>
      <c r="AB328" s="33" t="e">
        <f t="shared" ca="1" si="125"/>
        <v>#N/A</v>
      </c>
      <c r="AC328" s="34" t="e">
        <f t="shared" ca="1" si="126"/>
        <v>#N/A</v>
      </c>
      <c r="AD328" s="34" t="e">
        <f t="shared" ca="1" si="127"/>
        <v>#N/A</v>
      </c>
      <c r="AE328" s="33" t="e">
        <f t="shared" ca="1" si="128"/>
        <v>#N/A</v>
      </c>
      <c r="AF328" s="34" t="e">
        <f t="shared" ca="1" si="120"/>
        <v>#N/A</v>
      </c>
      <c r="AG328" s="34" t="e">
        <f t="shared" ca="1" si="121"/>
        <v>#N/A</v>
      </c>
      <c r="AH328" s="34" t="e">
        <f t="shared" ca="1" si="122"/>
        <v>#N/A</v>
      </c>
      <c r="AI328" s="33" t="e">
        <f t="shared" ca="1" si="129"/>
        <v>#N/A</v>
      </c>
      <c r="AJ328" s="34" t="e">
        <f t="shared" ca="1" si="130"/>
        <v>#N/A</v>
      </c>
      <c r="AK328" s="34" t="e">
        <f t="shared" ca="1" si="123"/>
        <v>#N/A</v>
      </c>
      <c r="AL328" s="34" t="e">
        <f t="shared" ca="1" si="124"/>
        <v>#N/A</v>
      </c>
      <c r="AM328" s="33" t="e">
        <f t="shared" ca="1" si="131"/>
        <v>#N/A</v>
      </c>
      <c r="AN328" s="34" t="e">
        <f t="shared" ca="1" si="132"/>
        <v>#N/A</v>
      </c>
    </row>
    <row r="329" spans="1:40" x14ac:dyDescent="0.3">
      <c r="A329" s="2">
        <v>43941</v>
      </c>
      <c r="B329" s="9">
        <v>41.189999</v>
      </c>
      <c r="C329" s="9">
        <v>69.580001999999993</v>
      </c>
      <c r="D329" s="9">
        <v>50.310001</v>
      </c>
      <c r="E329" s="10"/>
      <c r="F329" s="13">
        <v>326</v>
      </c>
      <c r="G329" s="2">
        <v>43941</v>
      </c>
      <c r="H329" s="14">
        <f t="shared" si="113"/>
        <v>-4.8570554854223673E-2</v>
      </c>
      <c r="I329" s="14">
        <f t="shared" si="114"/>
        <v>-4.3589045060283098E-2</v>
      </c>
      <c r="J329" s="14">
        <f t="shared" si="115"/>
        <v>-2.841372717277706E-2</v>
      </c>
      <c r="K329" s="22">
        <v>326</v>
      </c>
      <c r="L329" s="12"/>
      <c r="Q329" s="15">
        <f t="shared" si="116"/>
        <v>326</v>
      </c>
      <c r="R329" s="2">
        <f t="shared" si="112"/>
        <v>43941</v>
      </c>
      <c r="S329" s="9">
        <f t="shared" ca="1" si="117"/>
        <v>-4.8570554854223673E-2</v>
      </c>
      <c r="T329" s="9">
        <f t="shared" ca="1" si="118"/>
        <v>-4.3589045060283098E-2</v>
      </c>
      <c r="U329" s="9">
        <f t="shared" ca="1" si="119"/>
        <v>-2.841372717277706E-2</v>
      </c>
      <c r="AB329" s="33" t="e">
        <f t="shared" ca="1" si="125"/>
        <v>#N/A</v>
      </c>
      <c r="AC329" s="34" t="e">
        <f t="shared" ca="1" si="126"/>
        <v>#N/A</v>
      </c>
      <c r="AD329" s="34" t="e">
        <f t="shared" ca="1" si="127"/>
        <v>#N/A</v>
      </c>
      <c r="AE329" s="33" t="e">
        <f t="shared" ca="1" si="128"/>
        <v>#N/A</v>
      </c>
      <c r="AF329" s="34" t="e">
        <f t="shared" ca="1" si="120"/>
        <v>#N/A</v>
      </c>
      <c r="AG329" s="34" t="e">
        <f t="shared" ca="1" si="121"/>
        <v>#N/A</v>
      </c>
      <c r="AH329" s="34" t="e">
        <f t="shared" ca="1" si="122"/>
        <v>#N/A</v>
      </c>
      <c r="AI329" s="33" t="e">
        <f t="shared" ca="1" si="129"/>
        <v>#N/A</v>
      </c>
      <c r="AJ329" s="34" t="e">
        <f t="shared" ca="1" si="130"/>
        <v>#N/A</v>
      </c>
      <c r="AK329" s="34" t="e">
        <f t="shared" ca="1" si="123"/>
        <v>#N/A</v>
      </c>
      <c r="AL329" s="34" t="e">
        <f t="shared" ca="1" si="124"/>
        <v>#N/A</v>
      </c>
      <c r="AM329" s="33" t="e">
        <f t="shared" ca="1" si="131"/>
        <v>#N/A</v>
      </c>
      <c r="AN329" s="34" t="e">
        <f t="shared" ca="1" si="132"/>
        <v>#N/A</v>
      </c>
    </row>
    <row r="330" spans="1:40" x14ac:dyDescent="0.3">
      <c r="A330" s="2">
        <v>43942</v>
      </c>
      <c r="B330" s="9">
        <v>41.299999</v>
      </c>
      <c r="C330" s="9">
        <v>68.319999999999993</v>
      </c>
      <c r="D330" s="9">
        <v>49.450001</v>
      </c>
      <c r="E330" s="10"/>
      <c r="F330" s="13">
        <v>327</v>
      </c>
      <c r="G330" s="2">
        <v>43942</v>
      </c>
      <c r="H330" s="14">
        <f t="shared" si="113"/>
        <v>2.6669915836599802E-3</v>
      </c>
      <c r="I330" s="14">
        <f t="shared" si="114"/>
        <v>-1.8274648987373056E-2</v>
      </c>
      <c r="J330" s="14">
        <f t="shared" si="115"/>
        <v>-1.7241806088823232E-2</v>
      </c>
      <c r="K330" s="22">
        <v>327</v>
      </c>
      <c r="L330" s="12"/>
      <c r="Q330" s="15">
        <f t="shared" si="116"/>
        <v>327</v>
      </c>
      <c r="R330" s="2">
        <f t="shared" si="112"/>
        <v>43942</v>
      </c>
      <c r="S330" s="9">
        <f t="shared" ca="1" si="117"/>
        <v>2.6669915836599802E-3</v>
      </c>
      <c r="T330" s="9">
        <f t="shared" ca="1" si="118"/>
        <v>-1.8274648987373056E-2</v>
      </c>
      <c r="U330" s="9">
        <f t="shared" ca="1" si="119"/>
        <v>-1.7241806088823232E-2</v>
      </c>
      <c r="AB330" s="33" t="e">
        <f t="shared" ca="1" si="125"/>
        <v>#N/A</v>
      </c>
      <c r="AC330" s="34" t="e">
        <f t="shared" ca="1" si="126"/>
        <v>#N/A</v>
      </c>
      <c r="AD330" s="34" t="e">
        <f t="shared" ca="1" si="127"/>
        <v>#N/A</v>
      </c>
      <c r="AE330" s="33" t="e">
        <f t="shared" ca="1" si="128"/>
        <v>#N/A</v>
      </c>
      <c r="AF330" s="34" t="e">
        <f t="shared" ca="1" si="120"/>
        <v>#N/A</v>
      </c>
      <c r="AG330" s="34" t="e">
        <f t="shared" ca="1" si="121"/>
        <v>#N/A</v>
      </c>
      <c r="AH330" s="34" t="e">
        <f t="shared" ca="1" si="122"/>
        <v>#N/A</v>
      </c>
      <c r="AI330" s="33" t="e">
        <f t="shared" ca="1" si="129"/>
        <v>#N/A</v>
      </c>
      <c r="AJ330" s="34" t="e">
        <f t="shared" ca="1" si="130"/>
        <v>#N/A</v>
      </c>
      <c r="AK330" s="34" t="e">
        <f t="shared" ca="1" si="123"/>
        <v>#N/A</v>
      </c>
      <c r="AL330" s="34" t="e">
        <f t="shared" ca="1" si="124"/>
        <v>#N/A</v>
      </c>
      <c r="AM330" s="33" t="e">
        <f t="shared" ca="1" si="131"/>
        <v>#N/A</v>
      </c>
      <c r="AN330" s="34" t="e">
        <f t="shared" ca="1" si="132"/>
        <v>#N/A</v>
      </c>
    </row>
    <row r="331" spans="1:40" x14ac:dyDescent="0.3">
      <c r="A331" s="2">
        <v>43943</v>
      </c>
      <c r="B331" s="9">
        <v>41.349997999999999</v>
      </c>
      <c r="C331" s="9">
        <v>67.029999000000004</v>
      </c>
      <c r="D331" s="9">
        <v>50.57</v>
      </c>
      <c r="E331" s="10"/>
      <c r="F331" s="13">
        <v>328</v>
      </c>
      <c r="G331" s="2">
        <v>43943</v>
      </c>
      <c r="H331" s="14">
        <f t="shared" si="113"/>
        <v>1.2098973481937366E-3</v>
      </c>
      <c r="I331" s="14">
        <f t="shared" si="114"/>
        <v>-1.9062284029141195E-2</v>
      </c>
      <c r="J331" s="14">
        <f t="shared" si="115"/>
        <v>2.2396436800723826E-2</v>
      </c>
      <c r="K331" s="22">
        <v>328</v>
      </c>
      <c r="L331" s="12"/>
      <c r="Q331" s="15">
        <f t="shared" si="116"/>
        <v>328</v>
      </c>
      <c r="R331" s="2">
        <f t="shared" si="112"/>
        <v>43943</v>
      </c>
      <c r="S331" s="9">
        <f t="shared" ca="1" si="117"/>
        <v>1.2098973481937366E-3</v>
      </c>
      <c r="T331" s="9">
        <f t="shared" ca="1" si="118"/>
        <v>-1.9062284029141195E-2</v>
      </c>
      <c r="U331" s="9">
        <f t="shared" ca="1" si="119"/>
        <v>2.2396436800723826E-2</v>
      </c>
      <c r="AB331" s="33" t="e">
        <f t="shared" ca="1" si="125"/>
        <v>#N/A</v>
      </c>
      <c r="AC331" s="34" t="e">
        <f t="shared" ca="1" si="126"/>
        <v>#N/A</v>
      </c>
      <c r="AD331" s="34" t="e">
        <f t="shared" ca="1" si="127"/>
        <v>#N/A</v>
      </c>
      <c r="AE331" s="33" t="e">
        <f t="shared" ca="1" si="128"/>
        <v>#N/A</v>
      </c>
      <c r="AF331" s="34" t="e">
        <f t="shared" ca="1" si="120"/>
        <v>#N/A</v>
      </c>
      <c r="AG331" s="34" t="e">
        <f t="shared" ca="1" si="121"/>
        <v>#N/A</v>
      </c>
      <c r="AH331" s="34" t="e">
        <f t="shared" ca="1" si="122"/>
        <v>#N/A</v>
      </c>
      <c r="AI331" s="33" t="e">
        <f t="shared" ca="1" si="129"/>
        <v>#N/A</v>
      </c>
      <c r="AJ331" s="34" t="e">
        <f t="shared" ca="1" si="130"/>
        <v>#N/A</v>
      </c>
      <c r="AK331" s="34" t="e">
        <f t="shared" ca="1" si="123"/>
        <v>#N/A</v>
      </c>
      <c r="AL331" s="34" t="e">
        <f t="shared" ca="1" si="124"/>
        <v>#N/A</v>
      </c>
      <c r="AM331" s="33" t="e">
        <f t="shared" ca="1" si="131"/>
        <v>#N/A</v>
      </c>
      <c r="AN331" s="34" t="e">
        <f t="shared" ca="1" si="132"/>
        <v>#N/A</v>
      </c>
    </row>
    <row r="332" spans="1:40" x14ac:dyDescent="0.3">
      <c r="A332" s="2">
        <v>43944</v>
      </c>
      <c r="B332" s="9">
        <v>43.779998999999997</v>
      </c>
      <c r="C332" s="9">
        <v>68.949996999999996</v>
      </c>
      <c r="D332" s="9">
        <v>52.07</v>
      </c>
      <c r="E332" s="10"/>
      <c r="F332" s="13">
        <v>329</v>
      </c>
      <c r="G332" s="2">
        <v>43944</v>
      </c>
      <c r="H332" s="14">
        <f t="shared" si="113"/>
        <v>5.7104696151130986E-2</v>
      </c>
      <c r="I332" s="14">
        <f t="shared" si="114"/>
        <v>2.8241295278347001E-2</v>
      </c>
      <c r="J332" s="14">
        <f t="shared" si="115"/>
        <v>2.9230452082916133E-2</v>
      </c>
      <c r="K332" s="22">
        <v>329</v>
      </c>
      <c r="L332" s="12"/>
      <c r="Q332" s="15">
        <f t="shared" si="116"/>
        <v>329</v>
      </c>
      <c r="R332" s="2">
        <f t="shared" si="112"/>
        <v>43944</v>
      </c>
      <c r="S332" s="9">
        <f t="shared" ca="1" si="117"/>
        <v>5.7104696151130986E-2</v>
      </c>
      <c r="T332" s="9">
        <f t="shared" ca="1" si="118"/>
        <v>2.8241295278347001E-2</v>
      </c>
      <c r="U332" s="9">
        <f t="shared" ca="1" si="119"/>
        <v>2.9230452082916133E-2</v>
      </c>
      <c r="AB332" s="33" t="e">
        <f t="shared" ca="1" si="125"/>
        <v>#N/A</v>
      </c>
      <c r="AC332" s="34" t="e">
        <f t="shared" ca="1" si="126"/>
        <v>#N/A</v>
      </c>
      <c r="AD332" s="34" t="e">
        <f t="shared" ca="1" si="127"/>
        <v>#N/A</v>
      </c>
      <c r="AE332" s="33" t="e">
        <f t="shared" ca="1" si="128"/>
        <v>#N/A</v>
      </c>
      <c r="AF332" s="34" t="e">
        <f t="shared" ca="1" si="120"/>
        <v>#N/A</v>
      </c>
      <c r="AG332" s="34" t="e">
        <f t="shared" ca="1" si="121"/>
        <v>#N/A</v>
      </c>
      <c r="AH332" s="34" t="e">
        <f t="shared" ca="1" si="122"/>
        <v>#N/A</v>
      </c>
      <c r="AI332" s="33" t="e">
        <f t="shared" ca="1" si="129"/>
        <v>#N/A</v>
      </c>
      <c r="AJ332" s="34" t="e">
        <f t="shared" ca="1" si="130"/>
        <v>#N/A</v>
      </c>
      <c r="AK332" s="34" t="e">
        <f t="shared" ca="1" si="123"/>
        <v>#N/A</v>
      </c>
      <c r="AL332" s="34" t="e">
        <f t="shared" ca="1" si="124"/>
        <v>#N/A</v>
      </c>
      <c r="AM332" s="33" t="e">
        <f t="shared" ca="1" si="131"/>
        <v>#N/A</v>
      </c>
      <c r="AN332" s="34" t="e">
        <f t="shared" ca="1" si="132"/>
        <v>#N/A</v>
      </c>
    </row>
    <row r="333" spans="1:40" x14ac:dyDescent="0.3">
      <c r="A333" s="2">
        <v>43945</v>
      </c>
      <c r="B333" s="9">
        <v>44.060001</v>
      </c>
      <c r="C333" s="9">
        <v>68.300003000000004</v>
      </c>
      <c r="D333" s="9">
        <v>52.5</v>
      </c>
      <c r="E333" s="10"/>
      <c r="F333" s="13">
        <v>330</v>
      </c>
      <c r="G333" s="2">
        <v>43945</v>
      </c>
      <c r="H333" s="14">
        <f t="shared" si="113"/>
        <v>6.3752948172835135E-3</v>
      </c>
      <c r="I333" s="14">
        <f t="shared" si="114"/>
        <v>-9.4717502289113371E-3</v>
      </c>
      <c r="J333" s="14">
        <f t="shared" si="115"/>
        <v>8.2242024227703707E-3</v>
      </c>
      <c r="K333" s="22">
        <v>330</v>
      </c>
      <c r="L333" s="12"/>
      <c r="Q333" s="15">
        <f t="shared" si="116"/>
        <v>330</v>
      </c>
      <c r="R333" s="2">
        <f t="shared" si="112"/>
        <v>43945</v>
      </c>
      <c r="S333" s="9">
        <f t="shared" ca="1" si="117"/>
        <v>6.3752948172835135E-3</v>
      </c>
      <c r="T333" s="9">
        <f t="shared" ca="1" si="118"/>
        <v>-9.4717502289113371E-3</v>
      </c>
      <c r="U333" s="9">
        <f t="shared" ca="1" si="119"/>
        <v>8.2242024227703707E-3</v>
      </c>
      <c r="AB333" s="33" t="e">
        <f t="shared" ca="1" si="125"/>
        <v>#N/A</v>
      </c>
      <c r="AC333" s="34" t="e">
        <f t="shared" ca="1" si="126"/>
        <v>#N/A</v>
      </c>
      <c r="AD333" s="34" t="e">
        <f t="shared" ca="1" si="127"/>
        <v>#N/A</v>
      </c>
      <c r="AE333" s="33" t="e">
        <f t="shared" ca="1" si="128"/>
        <v>#N/A</v>
      </c>
      <c r="AF333" s="34" t="e">
        <f t="shared" ca="1" si="120"/>
        <v>#N/A</v>
      </c>
      <c r="AG333" s="34" t="e">
        <f t="shared" ca="1" si="121"/>
        <v>#N/A</v>
      </c>
      <c r="AH333" s="34" t="e">
        <f t="shared" ca="1" si="122"/>
        <v>#N/A</v>
      </c>
      <c r="AI333" s="33" t="e">
        <f t="shared" ca="1" si="129"/>
        <v>#N/A</v>
      </c>
      <c r="AJ333" s="34" t="e">
        <f t="shared" ca="1" si="130"/>
        <v>#N/A</v>
      </c>
      <c r="AK333" s="34" t="e">
        <f t="shared" ca="1" si="123"/>
        <v>#N/A</v>
      </c>
      <c r="AL333" s="34" t="e">
        <f t="shared" ca="1" si="124"/>
        <v>#N/A</v>
      </c>
      <c r="AM333" s="33" t="e">
        <f t="shared" ca="1" si="131"/>
        <v>#N/A</v>
      </c>
      <c r="AN333" s="34" t="e">
        <f t="shared" ca="1" si="132"/>
        <v>#N/A</v>
      </c>
    </row>
    <row r="334" spans="1:40" x14ac:dyDescent="0.3">
      <c r="A334" s="2">
        <v>43948</v>
      </c>
      <c r="B334" s="9">
        <v>45.509998000000003</v>
      </c>
      <c r="C334" s="9">
        <v>74.819999999999993</v>
      </c>
      <c r="D334" s="9">
        <v>55.57</v>
      </c>
      <c r="E334" s="10"/>
      <c r="F334" s="13">
        <v>331</v>
      </c>
      <c r="G334" s="2">
        <v>43948</v>
      </c>
      <c r="H334" s="14">
        <f t="shared" si="113"/>
        <v>3.2379674011644197E-2</v>
      </c>
      <c r="I334" s="14">
        <f t="shared" si="114"/>
        <v>9.1175418419391141E-2</v>
      </c>
      <c r="J334" s="14">
        <f t="shared" si="115"/>
        <v>5.6830317694251911E-2</v>
      </c>
      <c r="K334" s="22">
        <v>331</v>
      </c>
      <c r="L334" s="12"/>
      <c r="Q334" s="15">
        <f t="shared" si="116"/>
        <v>331</v>
      </c>
      <c r="R334" s="2">
        <f t="shared" si="112"/>
        <v>43948</v>
      </c>
      <c r="S334" s="9">
        <f t="shared" ca="1" si="117"/>
        <v>3.2379674011644197E-2</v>
      </c>
      <c r="T334" s="9">
        <f t="shared" ca="1" si="118"/>
        <v>9.1175418419391141E-2</v>
      </c>
      <c r="U334" s="9">
        <f t="shared" ca="1" si="119"/>
        <v>5.6830317694251911E-2</v>
      </c>
      <c r="AB334" s="33" t="e">
        <f t="shared" ca="1" si="125"/>
        <v>#N/A</v>
      </c>
      <c r="AC334" s="34" t="e">
        <f t="shared" ca="1" si="126"/>
        <v>#N/A</v>
      </c>
      <c r="AD334" s="34" t="e">
        <f t="shared" ca="1" si="127"/>
        <v>#N/A</v>
      </c>
      <c r="AE334" s="33" t="e">
        <f t="shared" ca="1" si="128"/>
        <v>#N/A</v>
      </c>
      <c r="AF334" s="34" t="e">
        <f t="shared" ca="1" si="120"/>
        <v>#N/A</v>
      </c>
      <c r="AG334" s="34" t="e">
        <f t="shared" ca="1" si="121"/>
        <v>#N/A</v>
      </c>
      <c r="AH334" s="34" t="e">
        <f t="shared" ca="1" si="122"/>
        <v>#N/A</v>
      </c>
      <c r="AI334" s="33" t="e">
        <f t="shared" ca="1" si="129"/>
        <v>#N/A</v>
      </c>
      <c r="AJ334" s="34" t="e">
        <f t="shared" ca="1" si="130"/>
        <v>#N/A</v>
      </c>
      <c r="AK334" s="34" t="e">
        <f t="shared" ca="1" si="123"/>
        <v>#N/A</v>
      </c>
      <c r="AL334" s="34" t="e">
        <f t="shared" ca="1" si="124"/>
        <v>#N/A</v>
      </c>
      <c r="AM334" s="33" t="e">
        <f t="shared" ca="1" si="131"/>
        <v>#N/A</v>
      </c>
      <c r="AN334" s="34" t="e">
        <f t="shared" ca="1" si="132"/>
        <v>#N/A</v>
      </c>
    </row>
    <row r="335" spans="1:40" x14ac:dyDescent="0.3">
      <c r="A335" s="2">
        <v>43949</v>
      </c>
      <c r="B335" s="9">
        <v>46.299999</v>
      </c>
      <c r="C335" s="9">
        <v>78.449996999999996</v>
      </c>
      <c r="D335" s="9">
        <v>57.869999</v>
      </c>
      <c r="E335" s="10"/>
      <c r="F335" s="13">
        <v>332</v>
      </c>
      <c r="G335" s="2">
        <v>43949</v>
      </c>
      <c r="H335" s="14">
        <f t="shared" si="113"/>
        <v>1.7209901411751671E-2</v>
      </c>
      <c r="I335" s="14">
        <f t="shared" si="114"/>
        <v>4.7376212018123004E-2</v>
      </c>
      <c r="J335" s="14">
        <f t="shared" si="115"/>
        <v>4.0555611013806676E-2</v>
      </c>
      <c r="K335" s="22">
        <v>332</v>
      </c>
      <c r="L335" s="12"/>
      <c r="Q335" s="15">
        <f t="shared" si="116"/>
        <v>332</v>
      </c>
      <c r="R335" s="2">
        <f t="shared" si="112"/>
        <v>43949</v>
      </c>
      <c r="S335" s="9">
        <f t="shared" ca="1" si="117"/>
        <v>1.7209901411751671E-2</v>
      </c>
      <c r="T335" s="9">
        <f t="shared" ca="1" si="118"/>
        <v>4.7376212018123004E-2</v>
      </c>
      <c r="U335" s="9">
        <f t="shared" ca="1" si="119"/>
        <v>4.0555611013806676E-2</v>
      </c>
      <c r="AB335" s="33" t="e">
        <f t="shared" ca="1" si="125"/>
        <v>#N/A</v>
      </c>
      <c r="AC335" s="34" t="e">
        <f t="shared" ca="1" si="126"/>
        <v>#N/A</v>
      </c>
      <c r="AD335" s="34" t="e">
        <f t="shared" ca="1" si="127"/>
        <v>#N/A</v>
      </c>
      <c r="AE335" s="33" t="e">
        <f t="shared" ca="1" si="128"/>
        <v>#N/A</v>
      </c>
      <c r="AF335" s="34" t="e">
        <f t="shared" ca="1" si="120"/>
        <v>#N/A</v>
      </c>
      <c r="AG335" s="34" t="e">
        <f t="shared" ca="1" si="121"/>
        <v>#N/A</v>
      </c>
      <c r="AH335" s="34" t="e">
        <f t="shared" ca="1" si="122"/>
        <v>#N/A</v>
      </c>
      <c r="AI335" s="33" t="e">
        <f t="shared" ca="1" si="129"/>
        <v>#N/A</v>
      </c>
      <c r="AJ335" s="34" t="e">
        <f t="shared" ca="1" si="130"/>
        <v>#N/A</v>
      </c>
      <c r="AK335" s="34" t="e">
        <f t="shared" ca="1" si="123"/>
        <v>#N/A</v>
      </c>
      <c r="AL335" s="34" t="e">
        <f t="shared" ca="1" si="124"/>
        <v>#N/A</v>
      </c>
      <c r="AM335" s="33" t="e">
        <f t="shared" ca="1" si="131"/>
        <v>#N/A</v>
      </c>
      <c r="AN335" s="34" t="e">
        <f t="shared" ca="1" si="132"/>
        <v>#N/A</v>
      </c>
    </row>
    <row r="336" spans="1:40" x14ac:dyDescent="0.3">
      <c r="A336" s="2">
        <v>43950</v>
      </c>
      <c r="B336" s="9">
        <v>48.290000999999997</v>
      </c>
      <c r="C336" s="9">
        <v>80.970000999999996</v>
      </c>
      <c r="D336" s="9">
        <v>66.279999000000004</v>
      </c>
      <c r="E336" s="10"/>
      <c r="F336" s="13">
        <v>333</v>
      </c>
      <c r="G336" s="2">
        <v>43950</v>
      </c>
      <c r="H336" s="14">
        <f t="shared" si="113"/>
        <v>4.2082581099755448E-2</v>
      </c>
      <c r="I336" s="14">
        <f t="shared" si="114"/>
        <v>3.1617287110152999E-2</v>
      </c>
      <c r="J336" s="14">
        <f t="shared" si="115"/>
        <v>0.13568907916521797</v>
      </c>
      <c r="K336" s="22">
        <v>333</v>
      </c>
      <c r="L336" s="12"/>
      <c r="Q336" s="15">
        <f t="shared" si="116"/>
        <v>333</v>
      </c>
      <c r="R336" s="2">
        <f t="shared" si="112"/>
        <v>43950</v>
      </c>
      <c r="S336" s="9">
        <f t="shared" ca="1" si="117"/>
        <v>4.2082581099755448E-2</v>
      </c>
      <c r="T336" s="9">
        <f t="shared" ca="1" si="118"/>
        <v>3.1617287110152999E-2</v>
      </c>
      <c r="U336" s="9">
        <f t="shared" ca="1" si="119"/>
        <v>0.13568907916521797</v>
      </c>
      <c r="AB336" s="33" t="e">
        <f t="shared" ca="1" si="125"/>
        <v>#N/A</v>
      </c>
      <c r="AC336" s="34" t="e">
        <f t="shared" ca="1" si="126"/>
        <v>#N/A</v>
      </c>
      <c r="AD336" s="34" t="e">
        <f t="shared" ca="1" si="127"/>
        <v>#N/A</v>
      </c>
      <c r="AE336" s="33" t="e">
        <f t="shared" ca="1" si="128"/>
        <v>#N/A</v>
      </c>
      <c r="AF336" s="34" t="e">
        <f t="shared" ca="1" si="120"/>
        <v>#N/A</v>
      </c>
      <c r="AG336" s="34" t="e">
        <f t="shared" ca="1" si="121"/>
        <v>#N/A</v>
      </c>
      <c r="AH336" s="34" t="e">
        <f t="shared" ca="1" si="122"/>
        <v>#N/A</v>
      </c>
      <c r="AI336" s="33" t="e">
        <f t="shared" ca="1" si="129"/>
        <v>#N/A</v>
      </c>
      <c r="AJ336" s="34" t="e">
        <f t="shared" ca="1" si="130"/>
        <v>#N/A</v>
      </c>
      <c r="AK336" s="34" t="e">
        <f t="shared" ca="1" si="123"/>
        <v>#N/A</v>
      </c>
      <c r="AL336" s="34" t="e">
        <f t="shared" ca="1" si="124"/>
        <v>#N/A</v>
      </c>
      <c r="AM336" s="33" t="e">
        <f t="shared" ca="1" si="131"/>
        <v>#N/A</v>
      </c>
      <c r="AN336" s="34" t="e">
        <f t="shared" ca="1" si="132"/>
        <v>#N/A</v>
      </c>
    </row>
    <row r="337" spans="1:40" x14ac:dyDescent="0.3">
      <c r="A337" s="2">
        <v>43951</v>
      </c>
      <c r="B337" s="9">
        <v>47.27</v>
      </c>
      <c r="C337" s="9">
        <v>73.779999000000004</v>
      </c>
      <c r="D337" s="9">
        <v>63.349997999999999</v>
      </c>
      <c r="E337" s="10"/>
      <c r="F337" s="13">
        <v>334</v>
      </c>
      <c r="G337" s="2">
        <v>43951</v>
      </c>
      <c r="H337" s="14">
        <f t="shared" si="113"/>
        <v>-2.1348675788526297E-2</v>
      </c>
      <c r="I337" s="14">
        <f t="shared" si="114"/>
        <v>-9.2991049433555184E-2</v>
      </c>
      <c r="J337" s="14">
        <f t="shared" si="115"/>
        <v>-4.5213302274346369E-2</v>
      </c>
      <c r="K337" s="22">
        <v>334</v>
      </c>
      <c r="L337" s="12"/>
      <c r="Q337" s="15">
        <f t="shared" si="116"/>
        <v>334</v>
      </c>
      <c r="R337" s="2">
        <f t="shared" si="112"/>
        <v>43951</v>
      </c>
      <c r="S337" s="9">
        <f t="shared" ca="1" si="117"/>
        <v>-2.1348675788526297E-2</v>
      </c>
      <c r="T337" s="9">
        <f t="shared" ca="1" si="118"/>
        <v>-9.2991049433555184E-2</v>
      </c>
      <c r="U337" s="9">
        <f t="shared" ca="1" si="119"/>
        <v>-4.5213302274346369E-2</v>
      </c>
      <c r="AB337" s="33" t="e">
        <f t="shared" ca="1" si="125"/>
        <v>#N/A</v>
      </c>
      <c r="AC337" s="34" t="e">
        <f t="shared" ca="1" si="126"/>
        <v>#N/A</v>
      </c>
      <c r="AD337" s="34" t="e">
        <f t="shared" ca="1" si="127"/>
        <v>#N/A</v>
      </c>
      <c r="AE337" s="33" t="e">
        <f t="shared" ca="1" si="128"/>
        <v>#N/A</v>
      </c>
      <c r="AF337" s="34" t="e">
        <f t="shared" ca="1" si="120"/>
        <v>#N/A</v>
      </c>
      <c r="AG337" s="34" t="e">
        <f t="shared" ca="1" si="121"/>
        <v>#N/A</v>
      </c>
      <c r="AH337" s="34" t="e">
        <f t="shared" ca="1" si="122"/>
        <v>#N/A</v>
      </c>
      <c r="AI337" s="33" t="e">
        <f t="shared" ca="1" si="129"/>
        <v>#N/A</v>
      </c>
      <c r="AJ337" s="34" t="e">
        <f t="shared" ca="1" si="130"/>
        <v>#N/A</v>
      </c>
      <c r="AK337" s="34" t="e">
        <f t="shared" ca="1" si="123"/>
        <v>#N/A</v>
      </c>
      <c r="AL337" s="34" t="e">
        <f t="shared" ca="1" si="124"/>
        <v>#N/A</v>
      </c>
      <c r="AM337" s="33" t="e">
        <f t="shared" ca="1" si="131"/>
        <v>#N/A</v>
      </c>
      <c r="AN337" s="34" t="e">
        <f t="shared" ca="1" si="132"/>
        <v>#N/A</v>
      </c>
    </row>
    <row r="338" spans="1:40" x14ac:dyDescent="0.3">
      <c r="A338" s="2">
        <v>43952</v>
      </c>
      <c r="B338" s="9">
        <v>44.380001</v>
      </c>
      <c r="C338" s="9">
        <v>73.089995999999999</v>
      </c>
      <c r="D338" s="9">
        <v>58.759998000000003</v>
      </c>
      <c r="E338" s="10"/>
      <c r="F338" s="13">
        <v>335</v>
      </c>
      <c r="G338" s="2">
        <v>43952</v>
      </c>
      <c r="H338" s="14">
        <f t="shared" si="113"/>
        <v>-6.3086904768025087E-2</v>
      </c>
      <c r="I338" s="14">
        <f t="shared" si="114"/>
        <v>-9.3961748494708775E-3</v>
      </c>
      <c r="J338" s="14">
        <f t="shared" si="115"/>
        <v>-7.5213557927591906E-2</v>
      </c>
      <c r="K338" s="22">
        <v>335</v>
      </c>
      <c r="L338" s="12"/>
      <c r="Q338" s="15">
        <f t="shared" si="116"/>
        <v>335</v>
      </c>
      <c r="R338" s="2">
        <f t="shared" si="112"/>
        <v>43952</v>
      </c>
      <c r="S338" s="9">
        <f t="shared" ca="1" si="117"/>
        <v>-6.3086904768025087E-2</v>
      </c>
      <c r="T338" s="9">
        <f t="shared" ca="1" si="118"/>
        <v>-9.3961748494708775E-3</v>
      </c>
      <c r="U338" s="9">
        <f t="shared" ca="1" si="119"/>
        <v>-7.5213557927591906E-2</v>
      </c>
      <c r="AB338" s="33" t="e">
        <f t="shared" ca="1" si="125"/>
        <v>#N/A</v>
      </c>
      <c r="AC338" s="34" t="e">
        <f t="shared" ca="1" si="126"/>
        <v>#N/A</v>
      </c>
      <c r="AD338" s="34" t="e">
        <f t="shared" ca="1" si="127"/>
        <v>#N/A</v>
      </c>
      <c r="AE338" s="33" t="e">
        <f t="shared" ca="1" si="128"/>
        <v>#N/A</v>
      </c>
      <c r="AF338" s="34" t="e">
        <f t="shared" ca="1" si="120"/>
        <v>#N/A</v>
      </c>
      <c r="AG338" s="34" t="e">
        <f t="shared" ca="1" si="121"/>
        <v>#N/A</v>
      </c>
      <c r="AH338" s="34" t="e">
        <f t="shared" ca="1" si="122"/>
        <v>#N/A</v>
      </c>
      <c r="AI338" s="33" t="e">
        <f t="shared" ca="1" si="129"/>
        <v>#N/A</v>
      </c>
      <c r="AJ338" s="34" t="e">
        <f t="shared" ca="1" si="130"/>
        <v>#N/A</v>
      </c>
      <c r="AK338" s="34" t="e">
        <f t="shared" ca="1" si="123"/>
        <v>#N/A</v>
      </c>
      <c r="AL338" s="34" t="e">
        <f t="shared" ca="1" si="124"/>
        <v>#N/A</v>
      </c>
      <c r="AM338" s="33" t="e">
        <f t="shared" ca="1" si="131"/>
        <v>#N/A</v>
      </c>
      <c r="AN338" s="34" t="e">
        <f t="shared" ca="1" si="132"/>
        <v>#N/A</v>
      </c>
    </row>
    <row r="339" spans="1:40" x14ac:dyDescent="0.3">
      <c r="A339" s="2">
        <v>43955</v>
      </c>
      <c r="B339" s="9">
        <v>44.209999000000003</v>
      </c>
      <c r="C339" s="9">
        <v>71.870002999999997</v>
      </c>
      <c r="D339" s="9">
        <v>63.66</v>
      </c>
      <c r="E339" s="10"/>
      <c r="F339" s="13">
        <v>336</v>
      </c>
      <c r="G339" s="2">
        <v>43955</v>
      </c>
      <c r="H339" s="14">
        <f t="shared" si="113"/>
        <v>-3.8379548182851694E-3</v>
      </c>
      <c r="I339" s="14">
        <f t="shared" si="114"/>
        <v>-1.6832530542865376E-2</v>
      </c>
      <c r="J339" s="14">
        <f t="shared" si="115"/>
        <v>8.0095104585030469E-2</v>
      </c>
      <c r="K339" s="22">
        <v>336</v>
      </c>
      <c r="L339" s="12"/>
      <c r="Q339" s="15">
        <f t="shared" si="116"/>
        <v>336</v>
      </c>
      <c r="R339" s="2">
        <f t="shared" si="112"/>
        <v>43955</v>
      </c>
      <c r="S339" s="9">
        <f t="shared" ca="1" si="117"/>
        <v>-3.8379548182851694E-3</v>
      </c>
      <c r="T339" s="9">
        <f t="shared" ca="1" si="118"/>
        <v>-1.6832530542865376E-2</v>
      </c>
      <c r="U339" s="9">
        <f t="shared" ca="1" si="119"/>
        <v>8.0095104585030469E-2</v>
      </c>
      <c r="AB339" s="33" t="e">
        <f t="shared" ca="1" si="125"/>
        <v>#N/A</v>
      </c>
      <c r="AC339" s="34" t="e">
        <f t="shared" ca="1" si="126"/>
        <v>#N/A</v>
      </c>
      <c r="AD339" s="34" t="e">
        <f t="shared" ca="1" si="127"/>
        <v>#N/A</v>
      </c>
      <c r="AE339" s="33" t="e">
        <f t="shared" ca="1" si="128"/>
        <v>#N/A</v>
      </c>
      <c r="AF339" s="34" t="e">
        <f t="shared" ca="1" si="120"/>
        <v>#N/A</v>
      </c>
      <c r="AG339" s="34" t="e">
        <f t="shared" ca="1" si="121"/>
        <v>#N/A</v>
      </c>
      <c r="AH339" s="34" t="e">
        <f t="shared" ca="1" si="122"/>
        <v>#N/A</v>
      </c>
      <c r="AI339" s="33" t="e">
        <f t="shared" ca="1" si="129"/>
        <v>#N/A</v>
      </c>
      <c r="AJ339" s="34" t="e">
        <f t="shared" ca="1" si="130"/>
        <v>#N/A</v>
      </c>
      <c r="AK339" s="34" t="e">
        <f t="shared" ca="1" si="123"/>
        <v>#N/A</v>
      </c>
      <c r="AL339" s="34" t="e">
        <f t="shared" ca="1" si="124"/>
        <v>#N/A</v>
      </c>
      <c r="AM339" s="33" t="e">
        <f t="shared" ca="1" si="131"/>
        <v>#N/A</v>
      </c>
      <c r="AN339" s="34" t="e">
        <f t="shared" ca="1" si="132"/>
        <v>#N/A</v>
      </c>
    </row>
    <row r="340" spans="1:40" x14ac:dyDescent="0.3">
      <c r="A340" s="2">
        <v>43956</v>
      </c>
      <c r="B340" s="9">
        <v>44.360000999999997</v>
      </c>
      <c r="C340" s="9">
        <v>72.319999999999993</v>
      </c>
      <c r="D340" s="9">
        <v>63.02</v>
      </c>
      <c r="E340" s="10"/>
      <c r="F340" s="13">
        <v>337</v>
      </c>
      <c r="G340" s="2">
        <v>43956</v>
      </c>
      <c r="H340" s="14">
        <f t="shared" si="113"/>
        <v>3.3871998061626623E-3</v>
      </c>
      <c r="I340" s="14">
        <f t="shared" si="114"/>
        <v>6.2417428615363759E-3</v>
      </c>
      <c r="J340" s="14">
        <f t="shared" si="115"/>
        <v>-1.0104285524818088E-2</v>
      </c>
      <c r="K340" s="22">
        <v>337</v>
      </c>
      <c r="L340" s="12"/>
      <c r="Q340" s="15">
        <f t="shared" si="116"/>
        <v>337</v>
      </c>
      <c r="R340" s="2">
        <f t="shared" si="112"/>
        <v>43956</v>
      </c>
      <c r="S340" s="9">
        <f t="shared" ca="1" si="117"/>
        <v>3.3871998061626623E-3</v>
      </c>
      <c r="T340" s="9">
        <f t="shared" ca="1" si="118"/>
        <v>6.2417428615363759E-3</v>
      </c>
      <c r="U340" s="9">
        <f t="shared" ca="1" si="119"/>
        <v>-1.0104285524818088E-2</v>
      </c>
      <c r="AB340" s="33" t="e">
        <f t="shared" ca="1" si="125"/>
        <v>#N/A</v>
      </c>
      <c r="AC340" s="34" t="e">
        <f t="shared" ca="1" si="126"/>
        <v>#N/A</v>
      </c>
      <c r="AD340" s="34" t="e">
        <f t="shared" ca="1" si="127"/>
        <v>#N/A</v>
      </c>
      <c r="AE340" s="33" t="e">
        <f t="shared" ca="1" si="128"/>
        <v>#N/A</v>
      </c>
      <c r="AF340" s="34" t="e">
        <f t="shared" ca="1" si="120"/>
        <v>#N/A</v>
      </c>
      <c r="AG340" s="34" t="e">
        <f t="shared" ca="1" si="121"/>
        <v>#N/A</v>
      </c>
      <c r="AH340" s="34" t="e">
        <f t="shared" ca="1" si="122"/>
        <v>#N/A</v>
      </c>
      <c r="AI340" s="33" t="e">
        <f t="shared" ca="1" si="129"/>
        <v>#N/A</v>
      </c>
      <c r="AJ340" s="34" t="e">
        <f t="shared" ca="1" si="130"/>
        <v>#N/A</v>
      </c>
      <c r="AK340" s="34" t="e">
        <f t="shared" ca="1" si="123"/>
        <v>#N/A</v>
      </c>
      <c r="AL340" s="34" t="e">
        <f t="shared" ca="1" si="124"/>
        <v>#N/A</v>
      </c>
      <c r="AM340" s="33" t="e">
        <f t="shared" ca="1" si="131"/>
        <v>#N/A</v>
      </c>
      <c r="AN340" s="34" t="e">
        <f t="shared" ca="1" si="132"/>
        <v>#N/A</v>
      </c>
    </row>
    <row r="341" spans="1:40" x14ac:dyDescent="0.3">
      <c r="A341" s="2">
        <v>43957</v>
      </c>
      <c r="B341" s="9">
        <v>43.889999000000003</v>
      </c>
      <c r="C341" s="9">
        <v>71.129997000000003</v>
      </c>
      <c r="D341" s="9">
        <v>60.91</v>
      </c>
      <c r="E341" s="10"/>
      <c r="F341" s="13">
        <v>338</v>
      </c>
      <c r="G341" s="2">
        <v>43957</v>
      </c>
      <c r="H341" s="14">
        <f t="shared" si="113"/>
        <v>-1.0651704109088214E-2</v>
      </c>
      <c r="I341" s="14">
        <f t="shared" si="114"/>
        <v>-1.6591569514794961E-2</v>
      </c>
      <c r="J341" s="14">
        <f t="shared" si="115"/>
        <v>-3.4054771480735373E-2</v>
      </c>
      <c r="K341" s="22">
        <v>338</v>
      </c>
      <c r="L341" s="12"/>
      <c r="Q341" s="15">
        <f t="shared" si="116"/>
        <v>338</v>
      </c>
      <c r="R341" s="2">
        <f t="shared" si="112"/>
        <v>43957</v>
      </c>
      <c r="S341" s="9">
        <f t="shared" ca="1" si="117"/>
        <v>-1.0651704109088214E-2</v>
      </c>
      <c r="T341" s="9">
        <f t="shared" ca="1" si="118"/>
        <v>-1.6591569514794961E-2</v>
      </c>
      <c r="U341" s="9">
        <f t="shared" ca="1" si="119"/>
        <v>-3.4054771480735373E-2</v>
      </c>
      <c r="AB341" s="33" t="e">
        <f t="shared" ca="1" si="125"/>
        <v>#N/A</v>
      </c>
      <c r="AC341" s="34" t="e">
        <f t="shared" ca="1" si="126"/>
        <v>#N/A</v>
      </c>
      <c r="AD341" s="34" t="e">
        <f t="shared" ca="1" si="127"/>
        <v>#N/A</v>
      </c>
      <c r="AE341" s="33" t="e">
        <f t="shared" ca="1" si="128"/>
        <v>#N/A</v>
      </c>
      <c r="AF341" s="34" t="e">
        <f t="shared" ca="1" si="120"/>
        <v>#N/A</v>
      </c>
      <c r="AG341" s="34" t="e">
        <f t="shared" ca="1" si="121"/>
        <v>#N/A</v>
      </c>
      <c r="AH341" s="34" t="e">
        <f t="shared" ca="1" si="122"/>
        <v>#N/A</v>
      </c>
      <c r="AI341" s="33" t="e">
        <f t="shared" ca="1" si="129"/>
        <v>#N/A</v>
      </c>
      <c r="AJ341" s="34" t="e">
        <f t="shared" ca="1" si="130"/>
        <v>#N/A</v>
      </c>
      <c r="AK341" s="34" t="e">
        <f t="shared" ca="1" si="123"/>
        <v>#N/A</v>
      </c>
      <c r="AL341" s="34" t="e">
        <f t="shared" ca="1" si="124"/>
        <v>#N/A</v>
      </c>
      <c r="AM341" s="33" t="e">
        <f t="shared" ca="1" si="131"/>
        <v>#N/A</v>
      </c>
      <c r="AN341" s="34" t="e">
        <f t="shared" ca="1" si="132"/>
        <v>#N/A</v>
      </c>
    </row>
    <row r="342" spans="1:40" x14ac:dyDescent="0.3">
      <c r="A342" s="2">
        <v>43958</v>
      </c>
      <c r="B342" s="9">
        <v>45.16</v>
      </c>
      <c r="C342" s="9">
        <v>70.230002999999996</v>
      </c>
      <c r="D342" s="9">
        <v>61.259998000000003</v>
      </c>
      <c r="E342" s="10"/>
      <c r="F342" s="13">
        <v>339</v>
      </c>
      <c r="G342" s="2">
        <v>43958</v>
      </c>
      <c r="H342" s="14">
        <f t="shared" si="113"/>
        <v>2.8525258365552027E-2</v>
      </c>
      <c r="I342" s="14">
        <f t="shared" si="114"/>
        <v>-1.2733533681410267E-2</v>
      </c>
      <c r="J342" s="14">
        <f t="shared" si="115"/>
        <v>5.7297039085046284E-3</v>
      </c>
      <c r="K342" s="22">
        <v>339</v>
      </c>
      <c r="L342" s="12"/>
      <c r="Q342" s="15">
        <f t="shared" si="116"/>
        <v>339</v>
      </c>
      <c r="R342" s="2">
        <f t="shared" si="112"/>
        <v>43958</v>
      </c>
      <c r="S342" s="9">
        <f t="shared" ca="1" si="117"/>
        <v>2.8525258365552027E-2</v>
      </c>
      <c r="T342" s="9">
        <f t="shared" ca="1" si="118"/>
        <v>-1.2733533681410267E-2</v>
      </c>
      <c r="U342" s="9">
        <f t="shared" ca="1" si="119"/>
        <v>5.7297039085046284E-3</v>
      </c>
      <c r="AB342" s="33" t="e">
        <f t="shared" ca="1" si="125"/>
        <v>#N/A</v>
      </c>
      <c r="AC342" s="34" t="e">
        <f t="shared" ca="1" si="126"/>
        <v>#N/A</v>
      </c>
      <c r="AD342" s="34" t="e">
        <f t="shared" ca="1" si="127"/>
        <v>#N/A</v>
      </c>
      <c r="AE342" s="33" t="e">
        <f t="shared" ca="1" si="128"/>
        <v>#N/A</v>
      </c>
      <c r="AF342" s="34" t="e">
        <f t="shared" ca="1" si="120"/>
        <v>#N/A</v>
      </c>
      <c r="AG342" s="34" t="e">
        <f t="shared" ca="1" si="121"/>
        <v>#N/A</v>
      </c>
      <c r="AH342" s="34" t="e">
        <f t="shared" ca="1" si="122"/>
        <v>#N/A</v>
      </c>
      <c r="AI342" s="33" t="e">
        <f t="shared" ca="1" si="129"/>
        <v>#N/A</v>
      </c>
      <c r="AJ342" s="34" t="e">
        <f t="shared" ca="1" si="130"/>
        <v>#N/A</v>
      </c>
      <c r="AK342" s="34" t="e">
        <f t="shared" ca="1" si="123"/>
        <v>#N/A</v>
      </c>
      <c r="AL342" s="34" t="e">
        <f t="shared" ca="1" si="124"/>
        <v>#N/A</v>
      </c>
      <c r="AM342" s="33" t="e">
        <f t="shared" ca="1" si="131"/>
        <v>#N/A</v>
      </c>
      <c r="AN342" s="34" t="e">
        <f t="shared" ca="1" si="132"/>
        <v>#N/A</v>
      </c>
    </row>
    <row r="343" spans="1:40" x14ac:dyDescent="0.3">
      <c r="A343" s="2">
        <v>43959</v>
      </c>
      <c r="B343" s="9">
        <v>47.380001</v>
      </c>
      <c r="C343" s="9">
        <v>72.080001999999993</v>
      </c>
      <c r="D343" s="9">
        <v>65.919998000000007</v>
      </c>
      <c r="E343" s="10"/>
      <c r="F343" s="13">
        <v>340</v>
      </c>
      <c r="G343" s="2">
        <v>43959</v>
      </c>
      <c r="H343" s="14">
        <f t="shared" si="113"/>
        <v>4.7988480555129852E-2</v>
      </c>
      <c r="I343" s="14">
        <f t="shared" si="114"/>
        <v>2.6001028159313943E-2</v>
      </c>
      <c r="J343" s="14">
        <f t="shared" si="115"/>
        <v>7.33147865045123E-2</v>
      </c>
      <c r="K343" s="22">
        <v>340</v>
      </c>
      <c r="L343" s="12"/>
      <c r="Q343" s="15">
        <f t="shared" si="116"/>
        <v>340</v>
      </c>
      <c r="R343" s="2">
        <f t="shared" si="112"/>
        <v>43959</v>
      </c>
      <c r="S343" s="9">
        <f t="shared" ca="1" si="117"/>
        <v>4.7988480555129852E-2</v>
      </c>
      <c r="T343" s="9">
        <f t="shared" ca="1" si="118"/>
        <v>2.6001028159313943E-2</v>
      </c>
      <c r="U343" s="9">
        <f t="shared" ca="1" si="119"/>
        <v>7.33147865045123E-2</v>
      </c>
      <c r="AB343" s="33" t="e">
        <f t="shared" ca="1" si="125"/>
        <v>#N/A</v>
      </c>
      <c r="AC343" s="34" t="e">
        <f t="shared" ca="1" si="126"/>
        <v>#N/A</v>
      </c>
      <c r="AD343" s="34" t="e">
        <f t="shared" ca="1" si="127"/>
        <v>#N/A</v>
      </c>
      <c r="AE343" s="33" t="e">
        <f t="shared" ca="1" si="128"/>
        <v>#N/A</v>
      </c>
      <c r="AF343" s="34" t="e">
        <f t="shared" ca="1" si="120"/>
        <v>#N/A</v>
      </c>
      <c r="AG343" s="34" t="e">
        <f t="shared" ca="1" si="121"/>
        <v>#N/A</v>
      </c>
      <c r="AH343" s="34" t="e">
        <f t="shared" ca="1" si="122"/>
        <v>#N/A</v>
      </c>
      <c r="AI343" s="33" t="e">
        <f t="shared" ca="1" si="129"/>
        <v>#N/A</v>
      </c>
      <c r="AJ343" s="34" t="e">
        <f t="shared" ca="1" si="130"/>
        <v>#N/A</v>
      </c>
      <c r="AK343" s="34" t="e">
        <f t="shared" ca="1" si="123"/>
        <v>#N/A</v>
      </c>
      <c r="AL343" s="34" t="e">
        <f t="shared" ca="1" si="124"/>
        <v>#N/A</v>
      </c>
      <c r="AM343" s="33" t="e">
        <f t="shared" ca="1" si="131"/>
        <v>#N/A</v>
      </c>
      <c r="AN343" s="34" t="e">
        <f t="shared" ca="1" si="132"/>
        <v>#N/A</v>
      </c>
    </row>
    <row r="344" spans="1:40" x14ac:dyDescent="0.3">
      <c r="A344" s="2">
        <v>43962</v>
      </c>
      <c r="B344" s="9">
        <v>46.43</v>
      </c>
      <c r="C344" s="9">
        <v>69.410004000000001</v>
      </c>
      <c r="D344" s="9">
        <v>65.569999999999993</v>
      </c>
      <c r="E344" s="10"/>
      <c r="F344" s="13">
        <v>341</v>
      </c>
      <c r="G344" s="2">
        <v>43962</v>
      </c>
      <c r="H344" s="14">
        <f t="shared" si="113"/>
        <v>-2.025441780476072E-2</v>
      </c>
      <c r="I344" s="14">
        <f t="shared" si="114"/>
        <v>-3.774563406695533E-2</v>
      </c>
      <c r="J344" s="14">
        <f t="shared" si="115"/>
        <v>-5.3235809858821169E-3</v>
      </c>
      <c r="K344" s="22">
        <v>341</v>
      </c>
      <c r="L344" s="12"/>
      <c r="Q344" s="15">
        <f t="shared" si="116"/>
        <v>341</v>
      </c>
      <c r="R344" s="2">
        <f t="shared" si="112"/>
        <v>43962</v>
      </c>
      <c r="S344" s="9">
        <f t="shared" ca="1" si="117"/>
        <v>-2.025441780476072E-2</v>
      </c>
      <c r="T344" s="9">
        <f t="shared" ca="1" si="118"/>
        <v>-3.774563406695533E-2</v>
      </c>
      <c r="U344" s="9">
        <f t="shared" ca="1" si="119"/>
        <v>-5.3235809858821169E-3</v>
      </c>
      <c r="AB344" s="33" t="e">
        <f t="shared" ca="1" si="125"/>
        <v>#N/A</v>
      </c>
      <c r="AC344" s="34" t="e">
        <f t="shared" ca="1" si="126"/>
        <v>#N/A</v>
      </c>
      <c r="AD344" s="34" t="e">
        <f t="shared" ca="1" si="127"/>
        <v>#N/A</v>
      </c>
      <c r="AE344" s="33" t="e">
        <f t="shared" ca="1" si="128"/>
        <v>#N/A</v>
      </c>
      <c r="AF344" s="34" t="e">
        <f t="shared" ca="1" si="120"/>
        <v>#N/A</v>
      </c>
      <c r="AG344" s="34" t="e">
        <f t="shared" ca="1" si="121"/>
        <v>#N/A</v>
      </c>
      <c r="AH344" s="34" t="e">
        <f t="shared" ca="1" si="122"/>
        <v>#N/A</v>
      </c>
      <c r="AI344" s="33" t="e">
        <f t="shared" ca="1" si="129"/>
        <v>#N/A</v>
      </c>
      <c r="AJ344" s="34" t="e">
        <f t="shared" ca="1" si="130"/>
        <v>#N/A</v>
      </c>
      <c r="AK344" s="34" t="e">
        <f t="shared" ca="1" si="123"/>
        <v>#N/A</v>
      </c>
      <c r="AL344" s="34" t="e">
        <f t="shared" ca="1" si="124"/>
        <v>#N/A</v>
      </c>
      <c r="AM344" s="33" t="e">
        <f t="shared" ca="1" si="131"/>
        <v>#N/A</v>
      </c>
      <c r="AN344" s="34" t="e">
        <f t="shared" ca="1" si="132"/>
        <v>#N/A</v>
      </c>
    </row>
    <row r="345" spans="1:40" x14ac:dyDescent="0.3">
      <c r="A345" s="2">
        <v>43963</v>
      </c>
      <c r="B345" s="9">
        <v>44.860000999999997</v>
      </c>
      <c r="C345" s="9">
        <v>65.529999000000004</v>
      </c>
      <c r="D345" s="9">
        <v>63.34</v>
      </c>
      <c r="E345" s="10"/>
      <c r="F345" s="13">
        <v>342</v>
      </c>
      <c r="G345" s="2">
        <v>43963</v>
      </c>
      <c r="H345" s="14">
        <f t="shared" si="113"/>
        <v>-3.4399250648194601E-2</v>
      </c>
      <c r="I345" s="14">
        <f t="shared" si="114"/>
        <v>-5.7522969188855196E-2</v>
      </c>
      <c r="J345" s="14">
        <f t="shared" si="115"/>
        <v>-3.4601233165034155E-2</v>
      </c>
      <c r="K345" s="22">
        <v>342</v>
      </c>
      <c r="L345" s="12"/>
      <c r="Q345" s="15">
        <f t="shared" si="116"/>
        <v>342</v>
      </c>
      <c r="R345" s="2">
        <f t="shared" si="112"/>
        <v>43963</v>
      </c>
      <c r="S345" s="9">
        <f t="shared" ca="1" si="117"/>
        <v>-3.4399250648194601E-2</v>
      </c>
      <c r="T345" s="9">
        <f t="shared" ca="1" si="118"/>
        <v>-5.7522969188855196E-2</v>
      </c>
      <c r="U345" s="9">
        <f t="shared" ca="1" si="119"/>
        <v>-3.4601233165034155E-2</v>
      </c>
      <c r="AB345" s="33" t="e">
        <f t="shared" ca="1" si="125"/>
        <v>#N/A</v>
      </c>
      <c r="AC345" s="34" t="e">
        <f t="shared" ca="1" si="126"/>
        <v>#N/A</v>
      </c>
      <c r="AD345" s="34" t="e">
        <f t="shared" ca="1" si="127"/>
        <v>#N/A</v>
      </c>
      <c r="AE345" s="33" t="e">
        <f t="shared" ca="1" si="128"/>
        <v>#N/A</v>
      </c>
      <c r="AF345" s="34" t="e">
        <f t="shared" ca="1" si="120"/>
        <v>#N/A</v>
      </c>
      <c r="AG345" s="34" t="e">
        <f t="shared" ca="1" si="121"/>
        <v>#N/A</v>
      </c>
      <c r="AH345" s="34" t="e">
        <f t="shared" ca="1" si="122"/>
        <v>#N/A</v>
      </c>
      <c r="AI345" s="33" t="e">
        <f t="shared" ca="1" si="129"/>
        <v>#N/A</v>
      </c>
      <c r="AJ345" s="34" t="e">
        <f t="shared" ca="1" si="130"/>
        <v>#N/A</v>
      </c>
      <c r="AK345" s="34" t="e">
        <f t="shared" ca="1" si="123"/>
        <v>#N/A</v>
      </c>
      <c r="AL345" s="34" t="e">
        <f t="shared" ca="1" si="124"/>
        <v>#N/A</v>
      </c>
      <c r="AM345" s="33" t="e">
        <f t="shared" ca="1" si="131"/>
        <v>#N/A</v>
      </c>
      <c r="AN345" s="34" t="e">
        <f t="shared" ca="1" si="132"/>
        <v>#N/A</v>
      </c>
    </row>
    <row r="346" spans="1:40" x14ac:dyDescent="0.3">
      <c r="A346" s="2">
        <v>43964</v>
      </c>
      <c r="B346" s="9">
        <v>43.549999</v>
      </c>
      <c r="C346" s="9">
        <v>64.690002000000007</v>
      </c>
      <c r="D346" s="9">
        <v>59.049999</v>
      </c>
      <c r="E346" s="10"/>
      <c r="F346" s="13">
        <v>343</v>
      </c>
      <c r="G346" s="2">
        <v>43964</v>
      </c>
      <c r="H346" s="14">
        <f t="shared" si="113"/>
        <v>-2.9636871047236751E-2</v>
      </c>
      <c r="I346" s="14">
        <f t="shared" si="114"/>
        <v>-1.2901376818646077E-2</v>
      </c>
      <c r="J346" s="14">
        <f t="shared" si="115"/>
        <v>-7.0132515401923695E-2</v>
      </c>
      <c r="K346" s="22">
        <v>343</v>
      </c>
      <c r="L346" s="12"/>
      <c r="Q346" s="15">
        <f t="shared" si="116"/>
        <v>343</v>
      </c>
      <c r="R346" s="2">
        <f t="shared" si="112"/>
        <v>43964</v>
      </c>
      <c r="S346" s="9">
        <f t="shared" ca="1" si="117"/>
        <v>-2.9636871047236751E-2</v>
      </c>
      <c r="T346" s="9">
        <f t="shared" ca="1" si="118"/>
        <v>-1.2901376818646077E-2</v>
      </c>
      <c r="U346" s="9">
        <f t="shared" ca="1" si="119"/>
        <v>-7.0132515401923695E-2</v>
      </c>
      <c r="AB346" s="33" t="e">
        <f t="shared" ca="1" si="125"/>
        <v>#N/A</v>
      </c>
      <c r="AC346" s="34" t="e">
        <f t="shared" ca="1" si="126"/>
        <v>#N/A</v>
      </c>
      <c r="AD346" s="34" t="e">
        <f t="shared" ca="1" si="127"/>
        <v>#N/A</v>
      </c>
      <c r="AE346" s="33" t="e">
        <f t="shared" ca="1" si="128"/>
        <v>#N/A</v>
      </c>
      <c r="AF346" s="34" t="e">
        <f t="shared" ca="1" si="120"/>
        <v>#N/A</v>
      </c>
      <c r="AG346" s="34" t="e">
        <f t="shared" ca="1" si="121"/>
        <v>#N/A</v>
      </c>
      <c r="AH346" s="34" t="e">
        <f t="shared" ca="1" si="122"/>
        <v>#N/A</v>
      </c>
      <c r="AI346" s="33" t="e">
        <f t="shared" ca="1" si="129"/>
        <v>#N/A</v>
      </c>
      <c r="AJ346" s="34" t="e">
        <f t="shared" ca="1" si="130"/>
        <v>#N/A</v>
      </c>
      <c r="AK346" s="34" t="e">
        <f t="shared" ca="1" si="123"/>
        <v>#N/A</v>
      </c>
      <c r="AL346" s="34" t="e">
        <f t="shared" ca="1" si="124"/>
        <v>#N/A</v>
      </c>
      <c r="AM346" s="33" t="e">
        <f t="shared" ca="1" si="131"/>
        <v>#N/A</v>
      </c>
      <c r="AN346" s="34" t="e">
        <f t="shared" ca="1" si="132"/>
        <v>#N/A</v>
      </c>
    </row>
    <row r="347" spans="1:40" x14ac:dyDescent="0.3">
      <c r="A347" s="2">
        <v>43965</v>
      </c>
      <c r="B347" s="9">
        <v>44.610000999999997</v>
      </c>
      <c r="C347" s="9">
        <v>65.870002999999997</v>
      </c>
      <c r="D347" s="9">
        <v>59.41</v>
      </c>
      <c r="E347" s="10"/>
      <c r="F347" s="13">
        <v>344</v>
      </c>
      <c r="G347" s="2">
        <v>43965</v>
      </c>
      <c r="H347" s="14">
        <f t="shared" si="113"/>
        <v>2.4048391220272611E-2</v>
      </c>
      <c r="I347" s="14">
        <f t="shared" si="114"/>
        <v>1.8076487224281099E-2</v>
      </c>
      <c r="J347" s="14">
        <f t="shared" si="115"/>
        <v>6.0780366590798317E-3</v>
      </c>
      <c r="K347" s="22">
        <v>344</v>
      </c>
      <c r="L347" s="12"/>
      <c r="Q347" s="15">
        <f t="shared" si="116"/>
        <v>344</v>
      </c>
      <c r="R347" s="2">
        <f t="shared" si="112"/>
        <v>43965</v>
      </c>
      <c r="S347" s="9">
        <f t="shared" ca="1" si="117"/>
        <v>2.4048391220272611E-2</v>
      </c>
      <c r="T347" s="9">
        <f t="shared" ca="1" si="118"/>
        <v>1.8076487224281099E-2</v>
      </c>
      <c r="U347" s="9">
        <f t="shared" ca="1" si="119"/>
        <v>6.0780366590798317E-3</v>
      </c>
      <c r="AB347" s="33" t="e">
        <f t="shared" ca="1" si="125"/>
        <v>#N/A</v>
      </c>
      <c r="AC347" s="34" t="e">
        <f t="shared" ca="1" si="126"/>
        <v>#N/A</v>
      </c>
      <c r="AD347" s="34" t="e">
        <f t="shared" ca="1" si="127"/>
        <v>#N/A</v>
      </c>
      <c r="AE347" s="33" t="e">
        <f t="shared" ca="1" si="128"/>
        <v>#N/A</v>
      </c>
      <c r="AF347" s="34" t="e">
        <f t="shared" ca="1" si="120"/>
        <v>#N/A</v>
      </c>
      <c r="AG347" s="34" t="e">
        <f t="shared" ca="1" si="121"/>
        <v>#N/A</v>
      </c>
      <c r="AH347" s="34" t="e">
        <f t="shared" ca="1" si="122"/>
        <v>#N/A</v>
      </c>
      <c r="AI347" s="33" t="e">
        <f t="shared" ca="1" si="129"/>
        <v>#N/A</v>
      </c>
      <c r="AJ347" s="34" t="e">
        <f t="shared" ca="1" si="130"/>
        <v>#N/A</v>
      </c>
      <c r="AK347" s="34" t="e">
        <f t="shared" ca="1" si="123"/>
        <v>#N/A</v>
      </c>
      <c r="AL347" s="34" t="e">
        <f t="shared" ca="1" si="124"/>
        <v>#N/A</v>
      </c>
      <c r="AM347" s="33" t="e">
        <f t="shared" ca="1" si="131"/>
        <v>#N/A</v>
      </c>
      <c r="AN347" s="34" t="e">
        <f t="shared" ca="1" si="132"/>
        <v>#N/A</v>
      </c>
    </row>
    <row r="348" spans="1:40" x14ac:dyDescent="0.3">
      <c r="A348" s="2">
        <v>43966</v>
      </c>
      <c r="B348" s="9">
        <v>45.139999000000003</v>
      </c>
      <c r="C348" s="9">
        <v>65.379997000000003</v>
      </c>
      <c r="D348" s="9">
        <v>58.779998999999997</v>
      </c>
      <c r="E348" s="10"/>
      <c r="F348" s="13">
        <v>345</v>
      </c>
      <c r="G348" s="2">
        <v>43966</v>
      </c>
      <c r="H348" s="14">
        <f t="shared" si="113"/>
        <v>1.181067767941703E-2</v>
      </c>
      <c r="I348" s="14">
        <f t="shared" si="114"/>
        <v>-7.4667927863826472E-3</v>
      </c>
      <c r="J348" s="14">
        <f t="shared" si="115"/>
        <v>-1.0660918389468253E-2</v>
      </c>
      <c r="K348" s="22">
        <v>345</v>
      </c>
      <c r="L348" s="12"/>
      <c r="Q348" s="15">
        <f t="shared" si="116"/>
        <v>345</v>
      </c>
      <c r="R348" s="2">
        <f t="shared" si="112"/>
        <v>43966</v>
      </c>
      <c r="S348" s="9">
        <f t="shared" ca="1" si="117"/>
        <v>1.181067767941703E-2</v>
      </c>
      <c r="T348" s="9">
        <f t="shared" ca="1" si="118"/>
        <v>-7.4667927863826472E-3</v>
      </c>
      <c r="U348" s="9">
        <f t="shared" ca="1" si="119"/>
        <v>-1.0660918389468253E-2</v>
      </c>
      <c r="AB348" s="33" t="e">
        <f t="shared" ca="1" si="125"/>
        <v>#N/A</v>
      </c>
      <c r="AC348" s="34" t="e">
        <f t="shared" ca="1" si="126"/>
        <v>#N/A</v>
      </c>
      <c r="AD348" s="34" t="e">
        <f t="shared" ca="1" si="127"/>
        <v>#N/A</v>
      </c>
      <c r="AE348" s="33" t="e">
        <f t="shared" ca="1" si="128"/>
        <v>#N/A</v>
      </c>
      <c r="AF348" s="34" t="e">
        <f t="shared" ca="1" si="120"/>
        <v>#N/A</v>
      </c>
      <c r="AG348" s="34" t="e">
        <f t="shared" ca="1" si="121"/>
        <v>#N/A</v>
      </c>
      <c r="AH348" s="34" t="e">
        <f t="shared" ca="1" si="122"/>
        <v>#N/A</v>
      </c>
      <c r="AI348" s="33" t="e">
        <f t="shared" ca="1" si="129"/>
        <v>#N/A</v>
      </c>
      <c r="AJ348" s="34" t="e">
        <f t="shared" ca="1" si="130"/>
        <v>#N/A</v>
      </c>
      <c r="AK348" s="34" t="e">
        <f t="shared" ca="1" si="123"/>
        <v>#N/A</v>
      </c>
      <c r="AL348" s="34" t="e">
        <f t="shared" ca="1" si="124"/>
        <v>#N/A</v>
      </c>
      <c r="AM348" s="33" t="e">
        <f t="shared" ca="1" si="131"/>
        <v>#N/A</v>
      </c>
      <c r="AN348" s="34" t="e">
        <f t="shared" ca="1" si="132"/>
        <v>#N/A</v>
      </c>
    </row>
    <row r="349" spans="1:40" x14ac:dyDescent="0.3">
      <c r="A349" s="2">
        <v>43969</v>
      </c>
      <c r="B349" s="9">
        <v>48.57</v>
      </c>
      <c r="C349" s="9">
        <v>69.930000000000007</v>
      </c>
      <c r="D349" s="9">
        <v>64.349997999999999</v>
      </c>
      <c r="E349" s="10"/>
      <c r="F349" s="13">
        <v>346</v>
      </c>
      <c r="G349" s="2">
        <v>43969</v>
      </c>
      <c r="H349" s="14">
        <f t="shared" si="113"/>
        <v>7.3237307121564926E-2</v>
      </c>
      <c r="I349" s="14">
        <f t="shared" si="114"/>
        <v>6.727838630530393E-2</v>
      </c>
      <c r="J349" s="14">
        <f t="shared" si="115"/>
        <v>9.0535258983922409E-2</v>
      </c>
      <c r="K349" s="22">
        <v>346</v>
      </c>
      <c r="L349" s="12"/>
      <c r="Q349" s="15">
        <f t="shared" si="116"/>
        <v>346</v>
      </c>
      <c r="R349" s="2">
        <f t="shared" si="112"/>
        <v>43969</v>
      </c>
      <c r="S349" s="9">
        <f t="shared" ca="1" si="117"/>
        <v>7.3237307121564926E-2</v>
      </c>
      <c r="T349" s="9">
        <f t="shared" ca="1" si="118"/>
        <v>6.727838630530393E-2</v>
      </c>
      <c r="U349" s="9">
        <f t="shared" ca="1" si="119"/>
        <v>9.0535258983922409E-2</v>
      </c>
      <c r="AB349" s="33" t="e">
        <f t="shared" ca="1" si="125"/>
        <v>#N/A</v>
      </c>
      <c r="AC349" s="34" t="e">
        <f t="shared" ca="1" si="126"/>
        <v>#N/A</v>
      </c>
      <c r="AD349" s="34" t="e">
        <f t="shared" ca="1" si="127"/>
        <v>#N/A</v>
      </c>
      <c r="AE349" s="33" t="e">
        <f t="shared" ca="1" si="128"/>
        <v>#N/A</v>
      </c>
      <c r="AF349" s="34" t="e">
        <f t="shared" ca="1" si="120"/>
        <v>#N/A</v>
      </c>
      <c r="AG349" s="34" t="e">
        <f t="shared" ca="1" si="121"/>
        <v>#N/A</v>
      </c>
      <c r="AH349" s="34" t="e">
        <f t="shared" ca="1" si="122"/>
        <v>#N/A</v>
      </c>
      <c r="AI349" s="33" t="e">
        <f t="shared" ca="1" si="129"/>
        <v>#N/A</v>
      </c>
      <c r="AJ349" s="34" t="e">
        <f t="shared" ca="1" si="130"/>
        <v>#N/A</v>
      </c>
      <c r="AK349" s="34" t="e">
        <f t="shared" ca="1" si="123"/>
        <v>#N/A</v>
      </c>
      <c r="AL349" s="34" t="e">
        <f t="shared" ca="1" si="124"/>
        <v>#N/A</v>
      </c>
      <c r="AM349" s="33" t="e">
        <f t="shared" ca="1" si="131"/>
        <v>#N/A</v>
      </c>
      <c r="AN349" s="34" t="e">
        <f t="shared" ca="1" si="132"/>
        <v>#N/A</v>
      </c>
    </row>
    <row r="350" spans="1:40" x14ac:dyDescent="0.3">
      <c r="A350" s="2">
        <v>43970</v>
      </c>
      <c r="B350" s="9">
        <v>48.169998</v>
      </c>
      <c r="C350" s="9">
        <v>69.260002</v>
      </c>
      <c r="D350" s="9">
        <v>64.050003000000004</v>
      </c>
      <c r="E350" s="10"/>
      <c r="F350" s="13">
        <v>347</v>
      </c>
      <c r="G350" s="2">
        <v>43970</v>
      </c>
      <c r="H350" s="14">
        <f t="shared" si="113"/>
        <v>-8.2696772351428995E-3</v>
      </c>
      <c r="I350" s="14">
        <f t="shared" si="114"/>
        <v>-9.627173864803518E-3</v>
      </c>
      <c r="J350" s="14">
        <f t="shared" si="115"/>
        <v>-4.6728277809544418E-3</v>
      </c>
      <c r="K350" s="22">
        <v>347</v>
      </c>
      <c r="L350" s="12"/>
      <c r="Q350" s="15">
        <f t="shared" si="116"/>
        <v>347</v>
      </c>
      <c r="R350" s="2">
        <f t="shared" si="112"/>
        <v>43970</v>
      </c>
      <c r="S350" s="9">
        <f t="shared" ca="1" si="117"/>
        <v>-8.2696772351428995E-3</v>
      </c>
      <c r="T350" s="9">
        <f t="shared" ca="1" si="118"/>
        <v>-9.627173864803518E-3</v>
      </c>
      <c r="U350" s="9">
        <f t="shared" ca="1" si="119"/>
        <v>-4.6728277809544418E-3</v>
      </c>
      <c r="AB350" s="33" t="e">
        <f t="shared" ca="1" si="125"/>
        <v>#N/A</v>
      </c>
      <c r="AC350" s="34" t="e">
        <f t="shared" ca="1" si="126"/>
        <v>#N/A</v>
      </c>
      <c r="AD350" s="34" t="e">
        <f t="shared" ca="1" si="127"/>
        <v>#N/A</v>
      </c>
      <c r="AE350" s="33" t="e">
        <f t="shared" ca="1" si="128"/>
        <v>#N/A</v>
      </c>
      <c r="AF350" s="34" t="e">
        <f t="shared" ca="1" si="120"/>
        <v>#N/A</v>
      </c>
      <c r="AG350" s="34" t="e">
        <f t="shared" ca="1" si="121"/>
        <v>#N/A</v>
      </c>
      <c r="AH350" s="34" t="e">
        <f t="shared" ca="1" si="122"/>
        <v>#N/A</v>
      </c>
      <c r="AI350" s="33" t="e">
        <f t="shared" ca="1" si="129"/>
        <v>#N/A</v>
      </c>
      <c r="AJ350" s="34" t="e">
        <f t="shared" ca="1" si="130"/>
        <v>#N/A</v>
      </c>
      <c r="AK350" s="34" t="e">
        <f t="shared" ca="1" si="123"/>
        <v>#N/A</v>
      </c>
      <c r="AL350" s="34" t="e">
        <f t="shared" ca="1" si="124"/>
        <v>#N/A</v>
      </c>
      <c r="AM350" s="33" t="e">
        <f t="shared" ca="1" si="131"/>
        <v>#N/A</v>
      </c>
      <c r="AN350" s="34" t="e">
        <f t="shared" ca="1" si="132"/>
        <v>#N/A</v>
      </c>
    </row>
    <row r="351" spans="1:40" x14ac:dyDescent="0.3">
      <c r="A351" s="2">
        <v>43971</v>
      </c>
      <c r="B351" s="9">
        <v>48.990001999999997</v>
      </c>
      <c r="C351" s="9">
        <v>71.400002000000001</v>
      </c>
      <c r="D351" s="9">
        <v>67.339995999999999</v>
      </c>
      <c r="E351" s="10"/>
      <c r="F351" s="13">
        <v>348</v>
      </c>
      <c r="G351" s="2">
        <v>43971</v>
      </c>
      <c r="H351" s="14">
        <f t="shared" si="113"/>
        <v>1.6879857352630194E-2</v>
      </c>
      <c r="I351" s="14">
        <f t="shared" si="114"/>
        <v>3.0430329505770865E-2</v>
      </c>
      <c r="J351" s="14">
        <f t="shared" si="115"/>
        <v>5.0090279151717522E-2</v>
      </c>
      <c r="K351" s="22">
        <v>348</v>
      </c>
      <c r="L351" s="12"/>
      <c r="Q351" s="15">
        <f t="shared" si="116"/>
        <v>348</v>
      </c>
      <c r="R351" s="2">
        <f t="shared" si="112"/>
        <v>43971</v>
      </c>
      <c r="S351" s="9">
        <f t="shared" ca="1" si="117"/>
        <v>1.6879857352630194E-2</v>
      </c>
      <c r="T351" s="9">
        <f t="shared" ca="1" si="118"/>
        <v>3.0430329505770865E-2</v>
      </c>
      <c r="U351" s="9">
        <f t="shared" ca="1" si="119"/>
        <v>5.0090279151717522E-2</v>
      </c>
      <c r="AB351" s="33" t="e">
        <f t="shared" ca="1" si="125"/>
        <v>#N/A</v>
      </c>
      <c r="AC351" s="34" t="e">
        <f t="shared" ca="1" si="126"/>
        <v>#N/A</v>
      </c>
      <c r="AD351" s="34" t="e">
        <f t="shared" ca="1" si="127"/>
        <v>#N/A</v>
      </c>
      <c r="AE351" s="33" t="e">
        <f t="shared" ca="1" si="128"/>
        <v>#N/A</v>
      </c>
      <c r="AF351" s="34" t="e">
        <f t="shared" ca="1" si="120"/>
        <v>#N/A</v>
      </c>
      <c r="AG351" s="34" t="e">
        <f t="shared" ca="1" si="121"/>
        <v>#N/A</v>
      </c>
      <c r="AH351" s="34" t="e">
        <f t="shared" ca="1" si="122"/>
        <v>#N/A</v>
      </c>
      <c r="AI351" s="33" t="e">
        <f t="shared" ca="1" si="129"/>
        <v>#N/A</v>
      </c>
      <c r="AJ351" s="34" t="e">
        <f t="shared" ca="1" si="130"/>
        <v>#N/A</v>
      </c>
      <c r="AK351" s="34" t="e">
        <f t="shared" ca="1" si="123"/>
        <v>#N/A</v>
      </c>
      <c r="AL351" s="34" t="e">
        <f t="shared" ca="1" si="124"/>
        <v>#N/A</v>
      </c>
      <c r="AM351" s="33" t="e">
        <f t="shared" ca="1" si="131"/>
        <v>#N/A</v>
      </c>
      <c r="AN351" s="34" t="e">
        <f t="shared" ca="1" si="132"/>
        <v>#N/A</v>
      </c>
    </row>
    <row r="352" spans="1:40" x14ac:dyDescent="0.3">
      <c r="A352" s="2">
        <v>43972</v>
      </c>
      <c r="B352" s="9">
        <v>48.5</v>
      </c>
      <c r="C352" s="9">
        <v>74.569999999999993</v>
      </c>
      <c r="D352" s="9">
        <v>65.730002999999996</v>
      </c>
      <c r="E352" s="10"/>
      <c r="F352" s="13">
        <v>349</v>
      </c>
      <c r="G352" s="2">
        <v>43972</v>
      </c>
      <c r="H352" s="14">
        <f t="shared" si="113"/>
        <v>-1.0052438531703086E-2</v>
      </c>
      <c r="I352" s="14">
        <f t="shared" si="114"/>
        <v>4.3440384198960548E-2</v>
      </c>
      <c r="J352" s="14">
        <f t="shared" si="115"/>
        <v>-2.4198866416123777E-2</v>
      </c>
      <c r="K352" s="22">
        <v>349</v>
      </c>
      <c r="L352" s="12"/>
      <c r="Q352" s="15">
        <f t="shared" si="116"/>
        <v>349</v>
      </c>
      <c r="R352" s="2">
        <f t="shared" si="112"/>
        <v>43972</v>
      </c>
      <c r="S352" s="9">
        <f t="shared" ca="1" si="117"/>
        <v>-1.0052438531703086E-2</v>
      </c>
      <c r="T352" s="9">
        <f t="shared" ca="1" si="118"/>
        <v>4.3440384198960548E-2</v>
      </c>
      <c r="U352" s="9">
        <f t="shared" ca="1" si="119"/>
        <v>-2.4198866416123777E-2</v>
      </c>
      <c r="AB352" s="33" t="e">
        <f t="shared" ca="1" si="125"/>
        <v>#N/A</v>
      </c>
      <c r="AC352" s="34" t="e">
        <f t="shared" ca="1" si="126"/>
        <v>#N/A</v>
      </c>
      <c r="AD352" s="34" t="e">
        <f t="shared" ca="1" si="127"/>
        <v>#N/A</v>
      </c>
      <c r="AE352" s="33" t="e">
        <f t="shared" ca="1" si="128"/>
        <v>#N/A</v>
      </c>
      <c r="AF352" s="34" t="e">
        <f t="shared" ca="1" si="120"/>
        <v>#N/A</v>
      </c>
      <c r="AG352" s="34" t="e">
        <f t="shared" ca="1" si="121"/>
        <v>#N/A</v>
      </c>
      <c r="AH352" s="34" t="e">
        <f t="shared" ca="1" si="122"/>
        <v>#N/A</v>
      </c>
      <c r="AI352" s="33" t="e">
        <f t="shared" ca="1" si="129"/>
        <v>#N/A</v>
      </c>
      <c r="AJ352" s="34" t="e">
        <f t="shared" ca="1" si="130"/>
        <v>#N/A</v>
      </c>
      <c r="AK352" s="34" t="e">
        <f t="shared" ca="1" si="123"/>
        <v>#N/A</v>
      </c>
      <c r="AL352" s="34" t="e">
        <f t="shared" ca="1" si="124"/>
        <v>#N/A</v>
      </c>
      <c r="AM352" s="33" t="e">
        <f t="shared" ca="1" si="131"/>
        <v>#N/A</v>
      </c>
      <c r="AN352" s="34" t="e">
        <f t="shared" ca="1" si="132"/>
        <v>#N/A</v>
      </c>
    </row>
    <row r="353" spans="1:40" x14ac:dyDescent="0.3">
      <c r="A353" s="2">
        <v>43973</v>
      </c>
      <c r="B353" s="9">
        <v>47.41</v>
      </c>
      <c r="C353" s="9">
        <v>72.839995999999999</v>
      </c>
      <c r="D353" s="9">
        <v>65.680000000000007</v>
      </c>
      <c r="E353" s="10"/>
      <c r="F353" s="13">
        <v>350</v>
      </c>
      <c r="G353" s="2">
        <v>43973</v>
      </c>
      <c r="H353" s="14">
        <f t="shared" si="113"/>
        <v>-2.273062102941065E-2</v>
      </c>
      <c r="I353" s="14">
        <f t="shared" si="114"/>
        <v>-2.3473081611179593E-2</v>
      </c>
      <c r="J353" s="14">
        <f t="shared" si="115"/>
        <v>-7.6102277257053931E-4</v>
      </c>
      <c r="K353" s="22">
        <v>350</v>
      </c>
      <c r="L353" s="12"/>
      <c r="Q353" s="15">
        <f t="shared" si="116"/>
        <v>350</v>
      </c>
      <c r="R353" s="2">
        <f t="shared" si="112"/>
        <v>43973</v>
      </c>
      <c r="S353" s="9">
        <f t="shared" ca="1" si="117"/>
        <v>-2.273062102941065E-2</v>
      </c>
      <c r="T353" s="9">
        <f t="shared" ca="1" si="118"/>
        <v>-2.3473081611179593E-2</v>
      </c>
      <c r="U353" s="9">
        <f t="shared" ca="1" si="119"/>
        <v>-7.6102277257053931E-4</v>
      </c>
      <c r="AB353" s="33" t="e">
        <f t="shared" ca="1" si="125"/>
        <v>#N/A</v>
      </c>
      <c r="AC353" s="34" t="e">
        <f t="shared" ca="1" si="126"/>
        <v>#N/A</v>
      </c>
      <c r="AD353" s="34" t="e">
        <f t="shared" ca="1" si="127"/>
        <v>#N/A</v>
      </c>
      <c r="AE353" s="33" t="e">
        <f t="shared" ca="1" si="128"/>
        <v>#N/A</v>
      </c>
      <c r="AF353" s="34" t="e">
        <f t="shared" ca="1" si="120"/>
        <v>#N/A</v>
      </c>
      <c r="AG353" s="34" t="e">
        <f t="shared" ca="1" si="121"/>
        <v>#N/A</v>
      </c>
      <c r="AH353" s="34" t="e">
        <f t="shared" ca="1" si="122"/>
        <v>#N/A</v>
      </c>
      <c r="AI353" s="33" t="e">
        <f t="shared" ca="1" si="129"/>
        <v>#N/A</v>
      </c>
      <c r="AJ353" s="34" t="e">
        <f t="shared" ca="1" si="130"/>
        <v>#N/A</v>
      </c>
      <c r="AK353" s="34" t="e">
        <f t="shared" ca="1" si="123"/>
        <v>#N/A</v>
      </c>
      <c r="AL353" s="34" t="e">
        <f t="shared" ca="1" si="124"/>
        <v>#N/A</v>
      </c>
      <c r="AM353" s="33" t="e">
        <f t="shared" ca="1" si="131"/>
        <v>#N/A</v>
      </c>
      <c r="AN353" s="34" t="e">
        <f t="shared" ca="1" si="132"/>
        <v>#N/A</v>
      </c>
    </row>
    <row r="354" spans="1:40" x14ac:dyDescent="0.3">
      <c r="A354" s="2">
        <v>43977</v>
      </c>
      <c r="B354" s="9">
        <v>50.57</v>
      </c>
      <c r="C354" s="9">
        <v>81.370002999999997</v>
      </c>
      <c r="D354" s="9">
        <v>68.699996999999996</v>
      </c>
      <c r="E354" s="10"/>
      <c r="F354" s="13">
        <v>351</v>
      </c>
      <c r="G354" s="2">
        <v>43977</v>
      </c>
      <c r="H354" s="14">
        <f t="shared" si="113"/>
        <v>6.4525338177864822E-2</v>
      </c>
      <c r="I354" s="14">
        <f t="shared" si="114"/>
        <v>0.11074149163266628</v>
      </c>
      <c r="J354" s="14">
        <f t="shared" si="115"/>
        <v>4.4954690416007581E-2</v>
      </c>
      <c r="K354" s="22">
        <v>351</v>
      </c>
      <c r="L354" s="12"/>
      <c r="Q354" s="15">
        <f t="shared" si="116"/>
        <v>351</v>
      </c>
      <c r="R354" s="2">
        <f t="shared" si="112"/>
        <v>43977</v>
      </c>
      <c r="S354" s="9">
        <f t="shared" ca="1" si="117"/>
        <v>6.4525338177864822E-2</v>
      </c>
      <c r="T354" s="9">
        <f t="shared" ca="1" si="118"/>
        <v>0.11074149163266628</v>
      </c>
      <c r="U354" s="9">
        <f t="shared" ca="1" si="119"/>
        <v>4.4954690416007581E-2</v>
      </c>
      <c r="AB354" s="33" t="e">
        <f t="shared" ca="1" si="125"/>
        <v>#N/A</v>
      </c>
      <c r="AC354" s="34" t="e">
        <f t="shared" ca="1" si="126"/>
        <v>#N/A</v>
      </c>
      <c r="AD354" s="34" t="e">
        <f t="shared" ca="1" si="127"/>
        <v>#N/A</v>
      </c>
      <c r="AE354" s="33" t="e">
        <f t="shared" ca="1" si="128"/>
        <v>#N/A</v>
      </c>
      <c r="AF354" s="34" t="e">
        <f t="shared" ca="1" si="120"/>
        <v>#N/A</v>
      </c>
      <c r="AG354" s="34" t="e">
        <f t="shared" ca="1" si="121"/>
        <v>#N/A</v>
      </c>
      <c r="AH354" s="34" t="e">
        <f t="shared" ca="1" si="122"/>
        <v>#N/A</v>
      </c>
      <c r="AI354" s="33" t="e">
        <f t="shared" ca="1" si="129"/>
        <v>#N/A</v>
      </c>
      <c r="AJ354" s="34" t="e">
        <f t="shared" ca="1" si="130"/>
        <v>#N/A</v>
      </c>
      <c r="AK354" s="34" t="e">
        <f t="shared" ca="1" si="123"/>
        <v>#N/A</v>
      </c>
      <c r="AL354" s="34" t="e">
        <f t="shared" ca="1" si="124"/>
        <v>#N/A</v>
      </c>
      <c r="AM354" s="33" t="e">
        <f t="shared" ca="1" si="131"/>
        <v>#N/A</v>
      </c>
      <c r="AN354" s="34" t="e">
        <f t="shared" ca="1" si="132"/>
        <v>#N/A</v>
      </c>
    </row>
    <row r="355" spans="1:40" x14ac:dyDescent="0.3">
      <c r="A355" s="2">
        <v>43978</v>
      </c>
      <c r="B355" s="9">
        <v>51.779998999999997</v>
      </c>
      <c r="C355" s="9">
        <v>80.879997000000003</v>
      </c>
      <c r="D355" s="9">
        <v>70.180000000000007</v>
      </c>
      <c r="E355" s="10"/>
      <c r="F355" s="13">
        <v>352</v>
      </c>
      <c r="G355" s="2">
        <v>43978</v>
      </c>
      <c r="H355" s="14">
        <f t="shared" si="113"/>
        <v>2.3645439919023833E-2</v>
      </c>
      <c r="I355" s="14">
        <f t="shared" si="114"/>
        <v>-6.0401539569628218E-3</v>
      </c>
      <c r="J355" s="14">
        <f t="shared" si="115"/>
        <v>2.1314214594888872E-2</v>
      </c>
      <c r="K355" s="22">
        <v>352</v>
      </c>
      <c r="L355" s="12"/>
      <c r="Q355" s="15">
        <f t="shared" si="116"/>
        <v>352</v>
      </c>
      <c r="R355" s="2">
        <f t="shared" si="112"/>
        <v>43978</v>
      </c>
      <c r="S355" s="9">
        <f t="shared" ca="1" si="117"/>
        <v>2.3645439919023833E-2</v>
      </c>
      <c r="T355" s="9">
        <f t="shared" ca="1" si="118"/>
        <v>-6.0401539569628218E-3</v>
      </c>
      <c r="U355" s="9">
        <f t="shared" ca="1" si="119"/>
        <v>2.1314214594888872E-2</v>
      </c>
      <c r="AB355" s="33" t="e">
        <f t="shared" ca="1" si="125"/>
        <v>#N/A</v>
      </c>
      <c r="AC355" s="34" t="e">
        <f t="shared" ca="1" si="126"/>
        <v>#N/A</v>
      </c>
      <c r="AD355" s="34" t="e">
        <f t="shared" ca="1" si="127"/>
        <v>#N/A</v>
      </c>
      <c r="AE355" s="33" t="e">
        <f t="shared" ca="1" si="128"/>
        <v>#N/A</v>
      </c>
      <c r="AF355" s="34" t="e">
        <f t="shared" ca="1" si="120"/>
        <v>#N/A</v>
      </c>
      <c r="AG355" s="34" t="e">
        <f t="shared" ca="1" si="121"/>
        <v>#N/A</v>
      </c>
      <c r="AH355" s="34" t="e">
        <f t="shared" ca="1" si="122"/>
        <v>#N/A</v>
      </c>
      <c r="AI355" s="33" t="e">
        <f t="shared" ca="1" si="129"/>
        <v>#N/A</v>
      </c>
      <c r="AJ355" s="34" t="e">
        <f t="shared" ca="1" si="130"/>
        <v>#N/A</v>
      </c>
      <c r="AK355" s="34" t="e">
        <f t="shared" ca="1" si="123"/>
        <v>#N/A</v>
      </c>
      <c r="AL355" s="34" t="e">
        <f t="shared" ca="1" si="124"/>
        <v>#N/A</v>
      </c>
      <c r="AM355" s="33" t="e">
        <f t="shared" ca="1" si="131"/>
        <v>#N/A</v>
      </c>
      <c r="AN355" s="34" t="e">
        <f t="shared" ca="1" si="132"/>
        <v>#N/A</v>
      </c>
    </row>
    <row r="356" spans="1:40" x14ac:dyDescent="0.3">
      <c r="A356" s="2">
        <v>43979</v>
      </c>
      <c r="B356" s="9">
        <v>51.43</v>
      </c>
      <c r="C356" s="9">
        <v>79.980002999999996</v>
      </c>
      <c r="D356" s="9">
        <v>67.129997000000003</v>
      </c>
      <c r="E356" s="10"/>
      <c r="F356" s="13">
        <v>353</v>
      </c>
      <c r="G356" s="2">
        <v>43979</v>
      </c>
      <c r="H356" s="14">
        <f t="shared" si="113"/>
        <v>-6.782295224090653E-3</v>
      </c>
      <c r="I356" s="14">
        <f t="shared" si="114"/>
        <v>-1.118989669217833E-2</v>
      </c>
      <c r="J356" s="14">
        <f t="shared" si="115"/>
        <v>-4.4432376893818529E-2</v>
      </c>
      <c r="K356" s="22">
        <v>353</v>
      </c>
      <c r="L356" s="12"/>
      <c r="Q356" s="15">
        <f t="shared" si="116"/>
        <v>353</v>
      </c>
      <c r="R356" s="2">
        <f t="shared" si="112"/>
        <v>43979</v>
      </c>
      <c r="S356" s="9">
        <f t="shared" ca="1" si="117"/>
        <v>-6.782295224090653E-3</v>
      </c>
      <c r="T356" s="9">
        <f t="shared" ca="1" si="118"/>
        <v>-1.118989669217833E-2</v>
      </c>
      <c r="U356" s="9">
        <f t="shared" ca="1" si="119"/>
        <v>-4.4432376893818529E-2</v>
      </c>
      <c r="AB356" s="33" t="e">
        <f t="shared" ca="1" si="125"/>
        <v>#N/A</v>
      </c>
      <c r="AC356" s="34" t="e">
        <f t="shared" ca="1" si="126"/>
        <v>#N/A</v>
      </c>
      <c r="AD356" s="34" t="e">
        <f t="shared" ca="1" si="127"/>
        <v>#N/A</v>
      </c>
      <c r="AE356" s="33" t="e">
        <f t="shared" ca="1" si="128"/>
        <v>#N/A</v>
      </c>
      <c r="AF356" s="34" t="e">
        <f t="shared" ca="1" si="120"/>
        <v>#N/A</v>
      </c>
      <c r="AG356" s="34" t="e">
        <f t="shared" ca="1" si="121"/>
        <v>#N/A</v>
      </c>
      <c r="AH356" s="34" t="e">
        <f t="shared" ca="1" si="122"/>
        <v>#N/A</v>
      </c>
      <c r="AI356" s="33" t="e">
        <f t="shared" ca="1" si="129"/>
        <v>#N/A</v>
      </c>
      <c r="AJ356" s="34" t="e">
        <f t="shared" ca="1" si="130"/>
        <v>#N/A</v>
      </c>
      <c r="AK356" s="34" t="e">
        <f t="shared" ca="1" si="123"/>
        <v>#N/A</v>
      </c>
      <c r="AL356" s="34" t="e">
        <f t="shared" ca="1" si="124"/>
        <v>#N/A</v>
      </c>
      <c r="AM356" s="33" t="e">
        <f t="shared" ca="1" si="131"/>
        <v>#N/A</v>
      </c>
      <c r="AN356" s="34" t="e">
        <f t="shared" ca="1" si="132"/>
        <v>#N/A</v>
      </c>
    </row>
    <row r="357" spans="1:40" x14ac:dyDescent="0.3">
      <c r="A357" s="2">
        <v>43980</v>
      </c>
      <c r="B357" s="9">
        <v>50.740001999999997</v>
      </c>
      <c r="C357" s="9">
        <v>75.510002</v>
      </c>
      <c r="D357" s="9">
        <v>66.639999000000003</v>
      </c>
      <c r="E357" s="10"/>
      <c r="F357" s="13">
        <v>354</v>
      </c>
      <c r="G357" s="2">
        <v>43980</v>
      </c>
      <c r="H357" s="14">
        <f t="shared" si="113"/>
        <v>-1.3507066199055975E-2</v>
      </c>
      <c r="I357" s="14">
        <f t="shared" si="114"/>
        <v>-5.7511516626156979E-2</v>
      </c>
      <c r="J357" s="14">
        <f t="shared" si="115"/>
        <v>-7.3260104086658607E-3</v>
      </c>
      <c r="K357" s="22">
        <v>354</v>
      </c>
      <c r="L357" s="12"/>
      <c r="Q357" s="15">
        <f t="shared" si="116"/>
        <v>354</v>
      </c>
      <c r="R357" s="2">
        <f t="shared" si="112"/>
        <v>43980</v>
      </c>
      <c r="S357" s="9">
        <f t="shared" ca="1" si="117"/>
        <v>-1.3507066199055975E-2</v>
      </c>
      <c r="T357" s="9">
        <f t="shared" ca="1" si="118"/>
        <v>-5.7511516626156979E-2</v>
      </c>
      <c r="U357" s="9">
        <f t="shared" ca="1" si="119"/>
        <v>-7.3260104086658607E-3</v>
      </c>
      <c r="AB357" s="33" t="e">
        <f t="shared" ca="1" si="125"/>
        <v>#N/A</v>
      </c>
      <c r="AC357" s="34" t="e">
        <f t="shared" ca="1" si="126"/>
        <v>#N/A</v>
      </c>
      <c r="AD357" s="34" t="e">
        <f t="shared" ca="1" si="127"/>
        <v>#N/A</v>
      </c>
      <c r="AE357" s="33" t="e">
        <f t="shared" ca="1" si="128"/>
        <v>#N/A</v>
      </c>
      <c r="AF357" s="34" t="e">
        <f t="shared" ca="1" si="120"/>
        <v>#N/A</v>
      </c>
      <c r="AG357" s="34" t="e">
        <f t="shared" ca="1" si="121"/>
        <v>#N/A</v>
      </c>
      <c r="AH357" s="34" t="e">
        <f t="shared" ca="1" si="122"/>
        <v>#N/A</v>
      </c>
      <c r="AI357" s="33" t="e">
        <f t="shared" ca="1" si="129"/>
        <v>#N/A</v>
      </c>
      <c r="AJ357" s="34" t="e">
        <f t="shared" ca="1" si="130"/>
        <v>#N/A</v>
      </c>
      <c r="AK357" s="34" t="e">
        <f t="shared" ca="1" si="123"/>
        <v>#N/A</v>
      </c>
      <c r="AL357" s="34" t="e">
        <f t="shared" ca="1" si="124"/>
        <v>#N/A</v>
      </c>
      <c r="AM357" s="33" t="e">
        <f t="shared" ca="1" si="131"/>
        <v>#N/A</v>
      </c>
      <c r="AN357" s="34" t="e">
        <f t="shared" ca="1" si="132"/>
        <v>#N/A</v>
      </c>
    </row>
    <row r="358" spans="1:40" x14ac:dyDescent="0.3">
      <c r="A358" s="2">
        <v>43983</v>
      </c>
      <c r="B358" s="9">
        <v>51.830002</v>
      </c>
      <c r="C358" s="9">
        <v>76.709998999999996</v>
      </c>
      <c r="D358" s="9">
        <v>66.580001999999993</v>
      </c>
      <c r="E358" s="10"/>
      <c r="F358" s="13">
        <v>355</v>
      </c>
      <c r="G358" s="2">
        <v>43983</v>
      </c>
      <c r="H358" s="14">
        <f t="shared" si="113"/>
        <v>2.1254577201536101E-2</v>
      </c>
      <c r="I358" s="14">
        <f t="shared" si="114"/>
        <v>1.5766940633202817E-2</v>
      </c>
      <c r="J358" s="14">
        <f t="shared" si="115"/>
        <v>-9.0072066665566799E-4</v>
      </c>
      <c r="K358" s="22">
        <v>355</v>
      </c>
      <c r="L358" s="12"/>
      <c r="Q358" s="15">
        <f t="shared" si="116"/>
        <v>355</v>
      </c>
      <c r="R358" s="2">
        <f t="shared" si="112"/>
        <v>43983</v>
      </c>
      <c r="S358" s="9">
        <f t="shared" ca="1" si="117"/>
        <v>2.1254577201536101E-2</v>
      </c>
      <c r="T358" s="9">
        <f t="shared" ca="1" si="118"/>
        <v>1.5766940633202817E-2</v>
      </c>
      <c r="U358" s="9">
        <f t="shared" ca="1" si="119"/>
        <v>-9.0072066665566799E-4</v>
      </c>
      <c r="AB358" s="33" t="e">
        <f t="shared" ca="1" si="125"/>
        <v>#N/A</v>
      </c>
      <c r="AC358" s="34" t="e">
        <f t="shared" ca="1" si="126"/>
        <v>#N/A</v>
      </c>
      <c r="AD358" s="34" t="e">
        <f t="shared" ca="1" si="127"/>
        <v>#N/A</v>
      </c>
      <c r="AE358" s="33" t="e">
        <f t="shared" ca="1" si="128"/>
        <v>#N/A</v>
      </c>
      <c r="AF358" s="34" t="e">
        <f t="shared" ca="1" si="120"/>
        <v>#N/A</v>
      </c>
      <c r="AG358" s="34" t="e">
        <f t="shared" ca="1" si="121"/>
        <v>#N/A</v>
      </c>
      <c r="AH358" s="34" t="e">
        <f t="shared" ca="1" si="122"/>
        <v>#N/A</v>
      </c>
      <c r="AI358" s="33" t="e">
        <f t="shared" ca="1" si="129"/>
        <v>#N/A</v>
      </c>
      <c r="AJ358" s="34" t="e">
        <f t="shared" ca="1" si="130"/>
        <v>#N/A</v>
      </c>
      <c r="AK358" s="34" t="e">
        <f t="shared" ca="1" si="123"/>
        <v>#N/A</v>
      </c>
      <c r="AL358" s="34" t="e">
        <f t="shared" ca="1" si="124"/>
        <v>#N/A</v>
      </c>
      <c r="AM358" s="33" t="e">
        <f t="shared" ca="1" si="131"/>
        <v>#N/A</v>
      </c>
      <c r="AN358" s="34" t="e">
        <f t="shared" ca="1" si="132"/>
        <v>#N/A</v>
      </c>
    </row>
    <row r="359" spans="1:40" x14ac:dyDescent="0.3">
      <c r="A359" s="2">
        <v>43984</v>
      </c>
      <c r="B359" s="9">
        <v>53.18</v>
      </c>
      <c r="C359" s="9">
        <v>78.389999000000003</v>
      </c>
      <c r="D359" s="9">
        <v>68.190002000000007</v>
      </c>
      <c r="E359" s="10"/>
      <c r="F359" s="13">
        <v>356</v>
      </c>
      <c r="G359" s="2">
        <v>43984</v>
      </c>
      <c r="H359" s="14">
        <f t="shared" si="113"/>
        <v>2.571321502556875E-2</v>
      </c>
      <c r="I359" s="14">
        <f t="shared" si="114"/>
        <v>2.1664290508806729E-2</v>
      </c>
      <c r="J359" s="14">
        <f t="shared" si="115"/>
        <v>2.3893693676445799E-2</v>
      </c>
      <c r="K359" s="22">
        <v>356</v>
      </c>
      <c r="L359" s="12"/>
      <c r="Q359" s="15">
        <f t="shared" si="116"/>
        <v>356</v>
      </c>
      <c r="R359" s="2">
        <f t="shared" si="112"/>
        <v>43984</v>
      </c>
      <c r="S359" s="9">
        <f t="shared" ca="1" si="117"/>
        <v>2.571321502556875E-2</v>
      </c>
      <c r="T359" s="9">
        <f t="shared" ca="1" si="118"/>
        <v>2.1664290508806729E-2</v>
      </c>
      <c r="U359" s="9">
        <f t="shared" ca="1" si="119"/>
        <v>2.3893693676445799E-2</v>
      </c>
      <c r="AB359" s="33" t="e">
        <f t="shared" ca="1" si="125"/>
        <v>#N/A</v>
      </c>
      <c r="AC359" s="34" t="e">
        <f t="shared" ca="1" si="126"/>
        <v>#N/A</v>
      </c>
      <c r="AD359" s="34" t="e">
        <f t="shared" ca="1" si="127"/>
        <v>#N/A</v>
      </c>
      <c r="AE359" s="33" t="e">
        <f t="shared" ca="1" si="128"/>
        <v>#N/A</v>
      </c>
      <c r="AF359" s="34" t="e">
        <f t="shared" ca="1" si="120"/>
        <v>#N/A</v>
      </c>
      <c r="AG359" s="34" t="e">
        <f t="shared" ca="1" si="121"/>
        <v>#N/A</v>
      </c>
      <c r="AH359" s="34" t="e">
        <f t="shared" ca="1" si="122"/>
        <v>#N/A</v>
      </c>
      <c r="AI359" s="33" t="e">
        <f t="shared" ca="1" si="129"/>
        <v>#N/A</v>
      </c>
      <c r="AJ359" s="34" t="e">
        <f t="shared" ca="1" si="130"/>
        <v>#N/A</v>
      </c>
      <c r="AK359" s="34" t="e">
        <f t="shared" ca="1" si="123"/>
        <v>#N/A</v>
      </c>
      <c r="AL359" s="34" t="e">
        <f t="shared" ca="1" si="124"/>
        <v>#N/A</v>
      </c>
      <c r="AM359" s="33" t="e">
        <f t="shared" ca="1" si="131"/>
        <v>#N/A</v>
      </c>
      <c r="AN359" s="34" t="e">
        <f t="shared" ca="1" si="132"/>
        <v>#N/A</v>
      </c>
    </row>
    <row r="360" spans="1:40" x14ac:dyDescent="0.3">
      <c r="A360" s="2">
        <v>43985</v>
      </c>
      <c r="B360" s="9">
        <v>55.099997999999999</v>
      </c>
      <c r="C360" s="9">
        <v>84.68</v>
      </c>
      <c r="D360" s="9">
        <v>70.540001000000004</v>
      </c>
      <c r="E360" s="10"/>
      <c r="F360" s="13">
        <v>357</v>
      </c>
      <c r="G360" s="2">
        <v>43985</v>
      </c>
      <c r="H360" s="14">
        <f t="shared" si="113"/>
        <v>3.5467294046353626E-2</v>
      </c>
      <c r="I360" s="14">
        <f t="shared" si="114"/>
        <v>7.7183090822762812E-2</v>
      </c>
      <c r="J360" s="14">
        <f t="shared" si="115"/>
        <v>3.3881983121884854E-2</v>
      </c>
      <c r="K360" s="22">
        <v>357</v>
      </c>
      <c r="L360" s="12"/>
      <c r="Q360" s="15">
        <f t="shared" si="116"/>
        <v>357</v>
      </c>
      <c r="R360" s="2">
        <f t="shared" si="112"/>
        <v>43985</v>
      </c>
      <c r="S360" s="9">
        <f t="shared" ca="1" si="117"/>
        <v>3.5467294046353626E-2</v>
      </c>
      <c r="T360" s="9">
        <f t="shared" ca="1" si="118"/>
        <v>7.7183090822762812E-2</v>
      </c>
      <c r="U360" s="9">
        <f t="shared" ca="1" si="119"/>
        <v>3.3881983121884854E-2</v>
      </c>
      <c r="AB360" s="33" t="e">
        <f t="shared" ca="1" si="125"/>
        <v>#N/A</v>
      </c>
      <c r="AC360" s="34" t="e">
        <f t="shared" ca="1" si="126"/>
        <v>#N/A</v>
      </c>
      <c r="AD360" s="34" t="e">
        <f t="shared" ca="1" si="127"/>
        <v>#N/A</v>
      </c>
      <c r="AE360" s="33" t="e">
        <f t="shared" ca="1" si="128"/>
        <v>#N/A</v>
      </c>
      <c r="AF360" s="34" t="e">
        <f t="shared" ca="1" si="120"/>
        <v>#N/A</v>
      </c>
      <c r="AG360" s="34" t="e">
        <f t="shared" ca="1" si="121"/>
        <v>#N/A</v>
      </c>
      <c r="AH360" s="34" t="e">
        <f t="shared" ca="1" si="122"/>
        <v>#N/A</v>
      </c>
      <c r="AI360" s="33" t="e">
        <f t="shared" ca="1" si="129"/>
        <v>#N/A</v>
      </c>
      <c r="AJ360" s="34" t="e">
        <f t="shared" ca="1" si="130"/>
        <v>#N/A</v>
      </c>
      <c r="AK360" s="34" t="e">
        <f t="shared" ca="1" si="123"/>
        <v>#N/A</v>
      </c>
      <c r="AL360" s="34" t="e">
        <f t="shared" ca="1" si="124"/>
        <v>#N/A</v>
      </c>
      <c r="AM360" s="33" t="e">
        <f t="shared" ca="1" si="131"/>
        <v>#N/A</v>
      </c>
      <c r="AN360" s="34" t="e">
        <f t="shared" ca="1" si="132"/>
        <v>#N/A</v>
      </c>
    </row>
    <row r="361" spans="1:40" x14ac:dyDescent="0.3">
      <c r="A361" s="2">
        <v>43986</v>
      </c>
      <c r="B361" s="9">
        <v>55.860000999999997</v>
      </c>
      <c r="C361" s="9">
        <v>84.919998000000007</v>
      </c>
      <c r="D361" s="9">
        <v>70.050003000000004</v>
      </c>
      <c r="E361" s="10"/>
      <c r="F361" s="13">
        <v>358</v>
      </c>
      <c r="G361" s="2">
        <v>43986</v>
      </c>
      <c r="H361" s="14">
        <f t="shared" si="113"/>
        <v>1.369889855770056E-2</v>
      </c>
      <c r="I361" s="14">
        <f t="shared" si="114"/>
        <v>2.8301670168126417E-3</v>
      </c>
      <c r="J361" s="14">
        <f t="shared" si="115"/>
        <v>-6.9706233746921467E-3</v>
      </c>
      <c r="K361" s="22">
        <v>358</v>
      </c>
      <c r="L361" s="12"/>
      <c r="Q361" s="15">
        <f t="shared" si="116"/>
        <v>358</v>
      </c>
      <c r="R361" s="2">
        <f t="shared" si="112"/>
        <v>43986</v>
      </c>
      <c r="S361" s="9">
        <f t="shared" ca="1" si="117"/>
        <v>1.369889855770056E-2</v>
      </c>
      <c r="T361" s="9">
        <f t="shared" ca="1" si="118"/>
        <v>2.8301670168126417E-3</v>
      </c>
      <c r="U361" s="9">
        <f t="shared" ca="1" si="119"/>
        <v>-6.9706233746921467E-3</v>
      </c>
      <c r="AB361" s="33" t="e">
        <f t="shared" ca="1" si="125"/>
        <v>#N/A</v>
      </c>
      <c r="AC361" s="34" t="e">
        <f t="shared" ca="1" si="126"/>
        <v>#N/A</v>
      </c>
      <c r="AD361" s="34" t="e">
        <f t="shared" ca="1" si="127"/>
        <v>#N/A</v>
      </c>
      <c r="AE361" s="33" t="e">
        <f t="shared" ca="1" si="128"/>
        <v>#N/A</v>
      </c>
      <c r="AF361" s="34" t="e">
        <f t="shared" ca="1" si="120"/>
        <v>#N/A</v>
      </c>
      <c r="AG361" s="34" t="e">
        <f t="shared" ca="1" si="121"/>
        <v>#N/A</v>
      </c>
      <c r="AH361" s="34" t="e">
        <f t="shared" ca="1" si="122"/>
        <v>#N/A</v>
      </c>
      <c r="AI361" s="33" t="e">
        <f t="shared" ca="1" si="129"/>
        <v>#N/A</v>
      </c>
      <c r="AJ361" s="34" t="e">
        <f t="shared" ca="1" si="130"/>
        <v>#N/A</v>
      </c>
      <c r="AK361" s="34" t="e">
        <f t="shared" ca="1" si="123"/>
        <v>#N/A</v>
      </c>
      <c r="AL361" s="34" t="e">
        <f t="shared" ca="1" si="124"/>
        <v>#N/A</v>
      </c>
      <c r="AM361" s="33" t="e">
        <f t="shared" ca="1" si="131"/>
        <v>#N/A</v>
      </c>
      <c r="AN361" s="34" t="e">
        <f t="shared" ca="1" si="132"/>
        <v>#N/A</v>
      </c>
    </row>
    <row r="362" spans="1:40" x14ac:dyDescent="0.3">
      <c r="A362" s="2">
        <v>43987</v>
      </c>
      <c r="B362" s="9">
        <v>57.889999000000003</v>
      </c>
      <c r="C362" s="9">
        <v>89.57</v>
      </c>
      <c r="D362" s="9">
        <v>74.639999000000003</v>
      </c>
      <c r="E362" s="10"/>
      <c r="F362" s="13">
        <v>359</v>
      </c>
      <c r="G362" s="2">
        <v>43987</v>
      </c>
      <c r="H362" s="14">
        <f t="shared" si="113"/>
        <v>3.569606239784455E-2</v>
      </c>
      <c r="I362" s="14">
        <f t="shared" si="114"/>
        <v>5.3310829203626689E-2</v>
      </c>
      <c r="J362" s="14">
        <f t="shared" si="115"/>
        <v>6.3467227531878723E-2</v>
      </c>
      <c r="K362" s="22">
        <v>359</v>
      </c>
      <c r="L362" s="12"/>
      <c r="Q362" s="15">
        <f t="shared" si="116"/>
        <v>359</v>
      </c>
      <c r="R362" s="2">
        <f t="shared" si="112"/>
        <v>43987</v>
      </c>
      <c r="S362" s="9">
        <f t="shared" ca="1" si="117"/>
        <v>3.569606239784455E-2</v>
      </c>
      <c r="T362" s="9">
        <f t="shared" ca="1" si="118"/>
        <v>5.3310829203626689E-2</v>
      </c>
      <c r="U362" s="9">
        <f t="shared" ca="1" si="119"/>
        <v>6.3467227531878723E-2</v>
      </c>
      <c r="AB362" s="33" t="e">
        <f t="shared" ca="1" si="125"/>
        <v>#N/A</v>
      </c>
      <c r="AC362" s="34" t="e">
        <f t="shared" ca="1" si="126"/>
        <v>#N/A</v>
      </c>
      <c r="AD362" s="34" t="e">
        <f t="shared" ca="1" si="127"/>
        <v>#N/A</v>
      </c>
      <c r="AE362" s="33" t="e">
        <f t="shared" ca="1" si="128"/>
        <v>#N/A</v>
      </c>
      <c r="AF362" s="34" t="e">
        <f t="shared" ca="1" si="120"/>
        <v>#N/A</v>
      </c>
      <c r="AG362" s="34" t="e">
        <f t="shared" ca="1" si="121"/>
        <v>#N/A</v>
      </c>
      <c r="AH362" s="34" t="e">
        <f t="shared" ca="1" si="122"/>
        <v>#N/A</v>
      </c>
      <c r="AI362" s="33" t="e">
        <f t="shared" ca="1" si="129"/>
        <v>#N/A</v>
      </c>
      <c r="AJ362" s="34" t="e">
        <f t="shared" ca="1" si="130"/>
        <v>#N/A</v>
      </c>
      <c r="AK362" s="34" t="e">
        <f t="shared" ca="1" si="123"/>
        <v>#N/A</v>
      </c>
      <c r="AL362" s="34" t="e">
        <f t="shared" ca="1" si="124"/>
        <v>#N/A</v>
      </c>
      <c r="AM362" s="33" t="e">
        <f t="shared" ca="1" si="131"/>
        <v>#N/A</v>
      </c>
      <c r="AN362" s="34" t="e">
        <f t="shared" ca="1" si="132"/>
        <v>#N/A</v>
      </c>
    </row>
    <row r="363" spans="1:40" x14ac:dyDescent="0.3">
      <c r="A363" s="2">
        <v>43990</v>
      </c>
      <c r="B363" s="9">
        <v>59.919998</v>
      </c>
      <c r="C363" s="9">
        <v>90.260002</v>
      </c>
      <c r="D363" s="9">
        <v>75.620002999999997</v>
      </c>
      <c r="E363" s="10"/>
      <c r="F363" s="13">
        <v>360</v>
      </c>
      <c r="G363" s="2">
        <v>43990</v>
      </c>
      <c r="H363" s="14">
        <f t="shared" si="113"/>
        <v>3.4465665014353775E-2</v>
      </c>
      <c r="I363" s="14">
        <f t="shared" si="114"/>
        <v>7.6739740699605756E-3</v>
      </c>
      <c r="J363" s="14">
        <f t="shared" si="115"/>
        <v>1.3044294993384E-2</v>
      </c>
      <c r="K363" s="22">
        <v>360</v>
      </c>
      <c r="L363" s="12"/>
      <c r="Q363" s="15">
        <f t="shared" si="116"/>
        <v>360</v>
      </c>
      <c r="R363" s="2">
        <f t="shared" si="112"/>
        <v>43990</v>
      </c>
      <c r="S363" s="9">
        <f t="shared" ca="1" si="117"/>
        <v>3.4465665014353775E-2</v>
      </c>
      <c r="T363" s="9">
        <f t="shared" ca="1" si="118"/>
        <v>7.6739740699605756E-3</v>
      </c>
      <c r="U363" s="9">
        <f t="shared" ca="1" si="119"/>
        <v>1.3044294993384E-2</v>
      </c>
      <c r="AB363" s="33" t="e">
        <f t="shared" ca="1" si="125"/>
        <v>#N/A</v>
      </c>
      <c r="AC363" s="34" t="e">
        <f t="shared" ca="1" si="126"/>
        <v>#N/A</v>
      </c>
      <c r="AD363" s="34" t="e">
        <f t="shared" ca="1" si="127"/>
        <v>#N/A</v>
      </c>
      <c r="AE363" s="33" t="e">
        <f t="shared" ca="1" si="128"/>
        <v>#N/A</v>
      </c>
      <c r="AF363" s="34" t="e">
        <f t="shared" ca="1" si="120"/>
        <v>#N/A</v>
      </c>
      <c r="AG363" s="34" t="e">
        <f t="shared" ca="1" si="121"/>
        <v>#N/A</v>
      </c>
      <c r="AH363" s="34" t="e">
        <f t="shared" ca="1" si="122"/>
        <v>#N/A</v>
      </c>
      <c r="AI363" s="33" t="e">
        <f t="shared" ca="1" si="129"/>
        <v>#N/A</v>
      </c>
      <c r="AJ363" s="34" t="e">
        <f t="shared" ca="1" si="130"/>
        <v>#N/A</v>
      </c>
      <c r="AK363" s="34" t="e">
        <f t="shared" ca="1" si="123"/>
        <v>#N/A</v>
      </c>
      <c r="AL363" s="34" t="e">
        <f t="shared" ca="1" si="124"/>
        <v>#N/A</v>
      </c>
      <c r="AM363" s="33" t="e">
        <f t="shared" ca="1" si="131"/>
        <v>#N/A</v>
      </c>
      <c r="AN363" s="34" t="e">
        <f t="shared" ca="1" si="132"/>
        <v>#N/A</v>
      </c>
    </row>
    <row r="364" spans="1:40" x14ac:dyDescent="0.3">
      <c r="A364" s="2">
        <v>43991</v>
      </c>
      <c r="B364" s="9">
        <v>57.810001</v>
      </c>
      <c r="C364" s="9">
        <v>85.480002999999996</v>
      </c>
      <c r="D364" s="9">
        <v>71.269997000000004</v>
      </c>
      <c r="E364" s="10"/>
      <c r="F364" s="13">
        <v>361</v>
      </c>
      <c r="G364" s="2">
        <v>43991</v>
      </c>
      <c r="H364" s="14">
        <f t="shared" si="113"/>
        <v>-3.5848517438696485E-2</v>
      </c>
      <c r="I364" s="14">
        <f t="shared" si="114"/>
        <v>-5.4411951010189377E-2</v>
      </c>
      <c r="J364" s="14">
        <f t="shared" si="115"/>
        <v>-5.9245398714499374E-2</v>
      </c>
      <c r="K364" s="22">
        <v>361</v>
      </c>
      <c r="L364" s="12"/>
      <c r="Q364" s="15">
        <f t="shared" si="116"/>
        <v>361</v>
      </c>
      <c r="R364" s="2">
        <f t="shared" si="112"/>
        <v>43991</v>
      </c>
      <c r="S364" s="9">
        <f t="shared" ca="1" si="117"/>
        <v>-3.5848517438696485E-2</v>
      </c>
      <c r="T364" s="9">
        <f t="shared" ca="1" si="118"/>
        <v>-5.4411951010189377E-2</v>
      </c>
      <c r="U364" s="9">
        <f t="shared" ca="1" si="119"/>
        <v>-5.9245398714499374E-2</v>
      </c>
      <c r="AB364" s="33" t="e">
        <f t="shared" ca="1" si="125"/>
        <v>#N/A</v>
      </c>
      <c r="AC364" s="34" t="e">
        <f t="shared" ca="1" si="126"/>
        <v>#N/A</v>
      </c>
      <c r="AD364" s="34" t="e">
        <f t="shared" ca="1" si="127"/>
        <v>#N/A</v>
      </c>
      <c r="AE364" s="33" t="e">
        <f t="shared" ca="1" si="128"/>
        <v>#N/A</v>
      </c>
      <c r="AF364" s="34" t="e">
        <f t="shared" ca="1" si="120"/>
        <v>#N/A</v>
      </c>
      <c r="AG364" s="34" t="e">
        <f t="shared" ca="1" si="121"/>
        <v>#N/A</v>
      </c>
      <c r="AH364" s="34" t="e">
        <f t="shared" ca="1" si="122"/>
        <v>#N/A</v>
      </c>
      <c r="AI364" s="33" t="e">
        <f t="shared" ca="1" si="129"/>
        <v>#N/A</v>
      </c>
      <c r="AJ364" s="34" t="e">
        <f t="shared" ca="1" si="130"/>
        <v>#N/A</v>
      </c>
      <c r="AK364" s="34" t="e">
        <f t="shared" ca="1" si="123"/>
        <v>#N/A</v>
      </c>
      <c r="AL364" s="34" t="e">
        <f t="shared" ca="1" si="124"/>
        <v>#N/A</v>
      </c>
      <c r="AM364" s="33" t="e">
        <f t="shared" ca="1" si="131"/>
        <v>#N/A</v>
      </c>
      <c r="AN364" s="34" t="e">
        <f t="shared" ca="1" si="132"/>
        <v>#N/A</v>
      </c>
    </row>
    <row r="365" spans="1:40" x14ac:dyDescent="0.3">
      <c r="A365" s="2">
        <v>43992</v>
      </c>
      <c r="B365" s="9">
        <v>55.459999000000003</v>
      </c>
      <c r="C365" s="9">
        <v>80.690002000000007</v>
      </c>
      <c r="D365" s="9">
        <v>69.050003000000004</v>
      </c>
      <c r="E365" s="10"/>
      <c r="F365" s="13">
        <v>362</v>
      </c>
      <c r="G365" s="2">
        <v>43992</v>
      </c>
      <c r="H365" s="14">
        <f t="shared" si="113"/>
        <v>-4.1499766235811399E-2</v>
      </c>
      <c r="I365" s="14">
        <f t="shared" si="114"/>
        <v>-5.7667788900241261E-2</v>
      </c>
      <c r="J365" s="14">
        <f t="shared" si="115"/>
        <v>-3.1644516118253183E-2</v>
      </c>
      <c r="K365" s="22">
        <v>362</v>
      </c>
      <c r="L365" s="12"/>
      <c r="Q365" s="15">
        <f t="shared" si="116"/>
        <v>362</v>
      </c>
      <c r="R365" s="2">
        <f t="shared" si="112"/>
        <v>43992</v>
      </c>
      <c r="S365" s="9">
        <f t="shared" ca="1" si="117"/>
        <v>-4.1499766235811399E-2</v>
      </c>
      <c r="T365" s="9">
        <f t="shared" ca="1" si="118"/>
        <v>-5.7667788900241261E-2</v>
      </c>
      <c r="U365" s="9">
        <f t="shared" ca="1" si="119"/>
        <v>-3.1644516118253183E-2</v>
      </c>
      <c r="AB365" s="33" t="e">
        <f t="shared" ca="1" si="125"/>
        <v>#N/A</v>
      </c>
      <c r="AC365" s="34" t="e">
        <f t="shared" ca="1" si="126"/>
        <v>#N/A</v>
      </c>
      <c r="AD365" s="34" t="e">
        <f t="shared" ca="1" si="127"/>
        <v>#N/A</v>
      </c>
      <c r="AE365" s="33" t="e">
        <f t="shared" ca="1" si="128"/>
        <v>#N/A</v>
      </c>
      <c r="AF365" s="34" t="e">
        <f t="shared" ca="1" si="120"/>
        <v>#N/A</v>
      </c>
      <c r="AG365" s="34" t="e">
        <f t="shared" ca="1" si="121"/>
        <v>#N/A</v>
      </c>
      <c r="AH365" s="34" t="e">
        <f t="shared" ca="1" si="122"/>
        <v>#N/A</v>
      </c>
      <c r="AI365" s="33" t="e">
        <f t="shared" ca="1" si="129"/>
        <v>#N/A</v>
      </c>
      <c r="AJ365" s="34" t="e">
        <f t="shared" ca="1" si="130"/>
        <v>#N/A</v>
      </c>
      <c r="AK365" s="34" t="e">
        <f t="shared" ca="1" si="123"/>
        <v>#N/A</v>
      </c>
      <c r="AL365" s="34" t="e">
        <f t="shared" ca="1" si="124"/>
        <v>#N/A</v>
      </c>
      <c r="AM365" s="33" t="e">
        <f t="shared" ca="1" si="131"/>
        <v>#N/A</v>
      </c>
      <c r="AN365" s="34" t="e">
        <f t="shared" ca="1" si="132"/>
        <v>#N/A</v>
      </c>
    </row>
    <row r="366" spans="1:40" x14ac:dyDescent="0.3">
      <c r="A366" s="2">
        <v>43993</v>
      </c>
      <c r="B366" s="9">
        <v>51.110000999999997</v>
      </c>
      <c r="C366" s="9">
        <v>74.029999000000004</v>
      </c>
      <c r="D366" s="9">
        <v>60.68</v>
      </c>
      <c r="E366" s="10"/>
      <c r="F366" s="13">
        <v>363</v>
      </c>
      <c r="G366" s="2">
        <v>43993</v>
      </c>
      <c r="H366" s="14">
        <f t="shared" si="113"/>
        <v>-8.1681829810787865E-2</v>
      </c>
      <c r="I366" s="14">
        <f t="shared" si="114"/>
        <v>-8.6144273699664237E-2</v>
      </c>
      <c r="J366" s="14">
        <f t="shared" si="115"/>
        <v>-0.12921676882174649</v>
      </c>
      <c r="K366" s="22">
        <v>363</v>
      </c>
      <c r="L366" s="12"/>
      <c r="Q366" s="15">
        <f t="shared" si="116"/>
        <v>363</v>
      </c>
      <c r="R366" s="2">
        <f t="shared" si="112"/>
        <v>43993</v>
      </c>
      <c r="S366" s="9">
        <f t="shared" ca="1" si="117"/>
        <v>-8.1681829810787865E-2</v>
      </c>
      <c r="T366" s="9">
        <f t="shared" ca="1" si="118"/>
        <v>-8.6144273699664237E-2</v>
      </c>
      <c r="U366" s="9">
        <f t="shared" ca="1" si="119"/>
        <v>-0.12921676882174649</v>
      </c>
      <c r="AB366" s="33" t="e">
        <f t="shared" ca="1" si="125"/>
        <v>#N/A</v>
      </c>
      <c r="AC366" s="34" t="e">
        <f t="shared" ca="1" si="126"/>
        <v>#N/A</v>
      </c>
      <c r="AD366" s="34" t="e">
        <f t="shared" ca="1" si="127"/>
        <v>#N/A</v>
      </c>
      <c r="AE366" s="33" t="e">
        <f t="shared" ca="1" si="128"/>
        <v>#N/A</v>
      </c>
      <c r="AF366" s="34" t="e">
        <f t="shared" ca="1" si="120"/>
        <v>#N/A</v>
      </c>
      <c r="AG366" s="34" t="e">
        <f t="shared" ca="1" si="121"/>
        <v>#N/A</v>
      </c>
      <c r="AH366" s="34" t="e">
        <f t="shared" ca="1" si="122"/>
        <v>#N/A</v>
      </c>
      <c r="AI366" s="33" t="e">
        <f t="shared" ca="1" si="129"/>
        <v>#N/A</v>
      </c>
      <c r="AJ366" s="34" t="e">
        <f t="shared" ca="1" si="130"/>
        <v>#N/A</v>
      </c>
      <c r="AK366" s="34" t="e">
        <f t="shared" ca="1" si="123"/>
        <v>#N/A</v>
      </c>
      <c r="AL366" s="34" t="e">
        <f t="shared" ca="1" si="124"/>
        <v>#N/A</v>
      </c>
      <c r="AM366" s="33" t="e">
        <f t="shared" ca="1" si="131"/>
        <v>#N/A</v>
      </c>
      <c r="AN366" s="34" t="e">
        <f t="shared" ca="1" si="132"/>
        <v>#N/A</v>
      </c>
    </row>
    <row r="367" spans="1:40" x14ac:dyDescent="0.3">
      <c r="A367" s="2">
        <v>43994</v>
      </c>
      <c r="B367" s="9">
        <v>51.290000999999997</v>
      </c>
      <c r="C367" s="9">
        <v>74.769997000000004</v>
      </c>
      <c r="D367" s="9">
        <v>63.790000999999997</v>
      </c>
      <c r="E367" s="10"/>
      <c r="F367" s="13">
        <v>364</v>
      </c>
      <c r="G367" s="2">
        <v>43994</v>
      </c>
      <c r="H367" s="14">
        <f t="shared" si="113"/>
        <v>3.5156285523240262E-3</v>
      </c>
      <c r="I367" s="14">
        <f t="shared" si="114"/>
        <v>9.9462919418097148E-3</v>
      </c>
      <c r="J367" s="14">
        <f t="shared" si="115"/>
        <v>4.9982299449970513E-2</v>
      </c>
      <c r="K367" s="22">
        <v>364</v>
      </c>
      <c r="L367" s="12"/>
      <c r="Q367" s="15">
        <f t="shared" si="116"/>
        <v>364</v>
      </c>
      <c r="R367" s="2">
        <f t="shared" si="112"/>
        <v>43994</v>
      </c>
      <c r="S367" s="9">
        <f t="shared" ca="1" si="117"/>
        <v>3.5156285523240262E-3</v>
      </c>
      <c r="T367" s="9">
        <f t="shared" ca="1" si="118"/>
        <v>9.9462919418097148E-3</v>
      </c>
      <c r="U367" s="9">
        <f t="shared" ca="1" si="119"/>
        <v>4.9982299449970513E-2</v>
      </c>
      <c r="AB367" s="33" t="e">
        <f t="shared" ca="1" si="125"/>
        <v>#N/A</v>
      </c>
      <c r="AC367" s="34" t="e">
        <f t="shared" ca="1" si="126"/>
        <v>#N/A</v>
      </c>
      <c r="AD367" s="34" t="e">
        <f t="shared" ca="1" si="127"/>
        <v>#N/A</v>
      </c>
      <c r="AE367" s="33" t="e">
        <f t="shared" ca="1" si="128"/>
        <v>#N/A</v>
      </c>
      <c r="AF367" s="34" t="e">
        <f t="shared" ca="1" si="120"/>
        <v>#N/A</v>
      </c>
      <c r="AG367" s="34" t="e">
        <f t="shared" ca="1" si="121"/>
        <v>#N/A</v>
      </c>
      <c r="AH367" s="34" t="e">
        <f t="shared" ca="1" si="122"/>
        <v>#N/A</v>
      </c>
      <c r="AI367" s="33" t="e">
        <f t="shared" ca="1" si="129"/>
        <v>#N/A</v>
      </c>
      <c r="AJ367" s="34" t="e">
        <f t="shared" ca="1" si="130"/>
        <v>#N/A</v>
      </c>
      <c r="AK367" s="34" t="e">
        <f t="shared" ca="1" si="123"/>
        <v>#N/A</v>
      </c>
      <c r="AL367" s="34" t="e">
        <f t="shared" ca="1" si="124"/>
        <v>#N/A</v>
      </c>
      <c r="AM367" s="33" t="e">
        <f t="shared" ca="1" si="131"/>
        <v>#N/A</v>
      </c>
      <c r="AN367" s="34" t="e">
        <f t="shared" ca="1" si="132"/>
        <v>#N/A</v>
      </c>
    </row>
    <row r="368" spans="1:40" x14ac:dyDescent="0.3">
      <c r="A368" s="2">
        <v>43997</v>
      </c>
      <c r="B368" s="9">
        <v>51.599997999999999</v>
      </c>
      <c r="C368" s="9">
        <v>73.739998</v>
      </c>
      <c r="D368" s="9">
        <v>63.59</v>
      </c>
      <c r="E368" s="10"/>
      <c r="F368" s="13">
        <v>365</v>
      </c>
      <c r="G368" s="2">
        <v>43997</v>
      </c>
      <c r="H368" s="14">
        <f t="shared" si="113"/>
        <v>6.0258128296715729E-3</v>
      </c>
      <c r="I368" s="14">
        <f t="shared" si="114"/>
        <v>-1.3871329205102987E-2</v>
      </c>
      <c r="J368" s="14">
        <f t="shared" si="115"/>
        <v>-3.1402286509855763E-3</v>
      </c>
      <c r="K368" s="22">
        <v>365</v>
      </c>
      <c r="L368" s="12"/>
      <c r="Q368" s="15">
        <f t="shared" si="116"/>
        <v>365</v>
      </c>
      <c r="R368" s="2">
        <f t="shared" si="112"/>
        <v>43997</v>
      </c>
      <c r="S368" s="9">
        <f t="shared" ca="1" si="117"/>
        <v>6.0258128296715729E-3</v>
      </c>
      <c r="T368" s="9">
        <f t="shared" ca="1" si="118"/>
        <v>-1.3871329205102987E-2</v>
      </c>
      <c r="U368" s="9">
        <f t="shared" ca="1" si="119"/>
        <v>-3.1402286509855763E-3</v>
      </c>
      <c r="AB368" s="33" t="e">
        <f t="shared" ca="1" si="125"/>
        <v>#N/A</v>
      </c>
      <c r="AC368" s="34" t="e">
        <f t="shared" ca="1" si="126"/>
        <v>#N/A</v>
      </c>
      <c r="AD368" s="34" t="e">
        <f t="shared" ca="1" si="127"/>
        <v>#N/A</v>
      </c>
      <c r="AE368" s="33" t="e">
        <f t="shared" ca="1" si="128"/>
        <v>#N/A</v>
      </c>
      <c r="AF368" s="34" t="e">
        <f t="shared" ca="1" si="120"/>
        <v>#N/A</v>
      </c>
      <c r="AG368" s="34" t="e">
        <f t="shared" ca="1" si="121"/>
        <v>#N/A</v>
      </c>
      <c r="AH368" s="34" t="e">
        <f t="shared" ca="1" si="122"/>
        <v>#N/A</v>
      </c>
      <c r="AI368" s="33" t="e">
        <f t="shared" ca="1" si="129"/>
        <v>#N/A</v>
      </c>
      <c r="AJ368" s="34" t="e">
        <f t="shared" ca="1" si="130"/>
        <v>#N/A</v>
      </c>
      <c r="AK368" s="34" t="e">
        <f t="shared" ca="1" si="123"/>
        <v>#N/A</v>
      </c>
      <c r="AL368" s="34" t="e">
        <f t="shared" ca="1" si="124"/>
        <v>#N/A</v>
      </c>
      <c r="AM368" s="33" t="e">
        <f t="shared" ca="1" si="131"/>
        <v>#N/A</v>
      </c>
      <c r="AN368" s="34" t="e">
        <f t="shared" ca="1" si="132"/>
        <v>#N/A</v>
      </c>
    </row>
    <row r="369" spans="1:40" x14ac:dyDescent="0.3">
      <c r="A369" s="2">
        <v>43998</v>
      </c>
      <c r="B369" s="9">
        <v>52.369999</v>
      </c>
      <c r="C369" s="9">
        <v>76.419998000000007</v>
      </c>
      <c r="D369" s="9">
        <v>66.160004000000001</v>
      </c>
      <c r="E369" s="10"/>
      <c r="F369" s="13">
        <v>366</v>
      </c>
      <c r="G369" s="2">
        <v>43998</v>
      </c>
      <c r="H369" s="14">
        <f t="shared" si="113"/>
        <v>1.4812255468668106E-2</v>
      </c>
      <c r="I369" s="14">
        <f t="shared" si="114"/>
        <v>3.5699050163917917E-2</v>
      </c>
      <c r="J369" s="14">
        <f t="shared" si="115"/>
        <v>3.9619885895609733E-2</v>
      </c>
      <c r="K369" s="22">
        <v>366</v>
      </c>
      <c r="L369" s="12"/>
      <c r="Q369" s="15">
        <f t="shared" si="116"/>
        <v>366</v>
      </c>
      <c r="R369" s="2">
        <f t="shared" si="112"/>
        <v>43998</v>
      </c>
      <c r="S369" s="9">
        <f t="shared" ca="1" si="117"/>
        <v>1.4812255468668106E-2</v>
      </c>
      <c r="T369" s="9">
        <f t="shared" ca="1" si="118"/>
        <v>3.5699050163917917E-2</v>
      </c>
      <c r="U369" s="9">
        <f t="shared" ca="1" si="119"/>
        <v>3.9619885895609733E-2</v>
      </c>
      <c r="AB369" s="33" t="e">
        <f t="shared" ca="1" si="125"/>
        <v>#N/A</v>
      </c>
      <c r="AC369" s="34" t="e">
        <f t="shared" ca="1" si="126"/>
        <v>#N/A</v>
      </c>
      <c r="AD369" s="34" t="e">
        <f t="shared" ca="1" si="127"/>
        <v>#N/A</v>
      </c>
      <c r="AE369" s="33" t="e">
        <f t="shared" ca="1" si="128"/>
        <v>#N/A</v>
      </c>
      <c r="AF369" s="34" t="e">
        <f t="shared" ca="1" si="120"/>
        <v>#N/A</v>
      </c>
      <c r="AG369" s="34" t="e">
        <f t="shared" ca="1" si="121"/>
        <v>#N/A</v>
      </c>
      <c r="AH369" s="34" t="e">
        <f t="shared" ca="1" si="122"/>
        <v>#N/A</v>
      </c>
      <c r="AI369" s="33" t="e">
        <f t="shared" ca="1" si="129"/>
        <v>#N/A</v>
      </c>
      <c r="AJ369" s="34" t="e">
        <f t="shared" ca="1" si="130"/>
        <v>#N/A</v>
      </c>
      <c r="AK369" s="34" t="e">
        <f t="shared" ca="1" si="123"/>
        <v>#N/A</v>
      </c>
      <c r="AL369" s="34" t="e">
        <f t="shared" ca="1" si="124"/>
        <v>#N/A</v>
      </c>
      <c r="AM369" s="33" t="e">
        <f t="shared" ca="1" si="131"/>
        <v>#N/A</v>
      </c>
      <c r="AN369" s="34" t="e">
        <f t="shared" ca="1" si="132"/>
        <v>#N/A</v>
      </c>
    </row>
    <row r="370" spans="1:40" x14ac:dyDescent="0.3">
      <c r="A370" s="2">
        <v>43999</v>
      </c>
      <c r="B370" s="9">
        <v>52.52</v>
      </c>
      <c r="C370" s="9">
        <v>74.480002999999996</v>
      </c>
      <c r="D370" s="9">
        <v>62.32</v>
      </c>
      <c r="E370" s="10"/>
      <c r="F370" s="13">
        <v>367</v>
      </c>
      <c r="G370" s="2">
        <v>43999</v>
      </c>
      <c r="H370" s="14">
        <f t="shared" si="113"/>
        <v>2.8601602381010892E-3</v>
      </c>
      <c r="I370" s="14">
        <f t="shared" si="114"/>
        <v>-2.5713742599513846E-2</v>
      </c>
      <c r="J370" s="14">
        <f t="shared" si="115"/>
        <v>-5.9793709612433389E-2</v>
      </c>
      <c r="K370" s="22">
        <v>367</v>
      </c>
      <c r="L370" s="12"/>
      <c r="Q370" s="15">
        <f t="shared" si="116"/>
        <v>367</v>
      </c>
      <c r="R370" s="2">
        <f t="shared" si="112"/>
        <v>43999</v>
      </c>
      <c r="S370" s="9">
        <f t="shared" ca="1" si="117"/>
        <v>2.8601602381010892E-3</v>
      </c>
      <c r="T370" s="9">
        <f t="shared" ca="1" si="118"/>
        <v>-2.5713742599513846E-2</v>
      </c>
      <c r="U370" s="9">
        <f t="shared" ca="1" si="119"/>
        <v>-5.9793709612433389E-2</v>
      </c>
      <c r="AB370" s="33" t="e">
        <f t="shared" ca="1" si="125"/>
        <v>#N/A</v>
      </c>
      <c r="AC370" s="34" t="e">
        <f t="shared" ca="1" si="126"/>
        <v>#N/A</v>
      </c>
      <c r="AD370" s="34" t="e">
        <f t="shared" ca="1" si="127"/>
        <v>#N/A</v>
      </c>
      <c r="AE370" s="33" t="e">
        <f t="shared" ca="1" si="128"/>
        <v>#N/A</v>
      </c>
      <c r="AF370" s="34" t="e">
        <f t="shared" ca="1" si="120"/>
        <v>#N/A</v>
      </c>
      <c r="AG370" s="34" t="e">
        <f t="shared" ca="1" si="121"/>
        <v>#N/A</v>
      </c>
      <c r="AH370" s="34" t="e">
        <f t="shared" ca="1" si="122"/>
        <v>#N/A</v>
      </c>
      <c r="AI370" s="33" t="e">
        <f t="shared" ca="1" si="129"/>
        <v>#N/A</v>
      </c>
      <c r="AJ370" s="34" t="e">
        <f t="shared" ca="1" si="130"/>
        <v>#N/A</v>
      </c>
      <c r="AK370" s="34" t="e">
        <f t="shared" ca="1" si="123"/>
        <v>#N/A</v>
      </c>
      <c r="AL370" s="34" t="e">
        <f t="shared" ca="1" si="124"/>
        <v>#N/A</v>
      </c>
      <c r="AM370" s="33" t="e">
        <f t="shared" ca="1" si="131"/>
        <v>#N/A</v>
      </c>
      <c r="AN370" s="34" t="e">
        <f t="shared" ca="1" si="132"/>
        <v>#N/A</v>
      </c>
    </row>
    <row r="371" spans="1:40" x14ac:dyDescent="0.3">
      <c r="A371" s="2">
        <v>44000</v>
      </c>
      <c r="B371" s="9">
        <v>51.68</v>
      </c>
      <c r="C371" s="9">
        <v>73.940002000000007</v>
      </c>
      <c r="D371" s="9">
        <v>64.629997000000003</v>
      </c>
      <c r="E371" s="10"/>
      <c r="F371" s="13">
        <v>368</v>
      </c>
      <c r="G371" s="2">
        <v>44000</v>
      </c>
      <c r="H371" s="14">
        <f t="shared" si="113"/>
        <v>-1.6123189960249102E-2</v>
      </c>
      <c r="I371" s="14">
        <f t="shared" si="114"/>
        <v>-7.2766926906361693E-3</v>
      </c>
      <c r="J371" s="14">
        <f t="shared" si="115"/>
        <v>3.6396251294238062E-2</v>
      </c>
      <c r="K371" s="22">
        <v>368</v>
      </c>
      <c r="L371" s="12"/>
      <c r="Q371" s="15">
        <f t="shared" si="116"/>
        <v>368</v>
      </c>
      <c r="R371" s="2">
        <f t="shared" si="112"/>
        <v>44000</v>
      </c>
      <c r="S371" s="9">
        <f t="shared" ca="1" si="117"/>
        <v>-1.6123189960249102E-2</v>
      </c>
      <c r="T371" s="9">
        <f t="shared" ca="1" si="118"/>
        <v>-7.2766926906361693E-3</v>
      </c>
      <c r="U371" s="9">
        <f t="shared" ca="1" si="119"/>
        <v>3.6396251294238062E-2</v>
      </c>
      <c r="AB371" s="33" t="e">
        <f t="shared" ca="1" si="125"/>
        <v>#N/A</v>
      </c>
      <c r="AC371" s="34" t="e">
        <f t="shared" ca="1" si="126"/>
        <v>#N/A</v>
      </c>
      <c r="AD371" s="34" t="e">
        <f t="shared" ca="1" si="127"/>
        <v>#N/A</v>
      </c>
      <c r="AE371" s="33" t="e">
        <f t="shared" ca="1" si="128"/>
        <v>#N/A</v>
      </c>
      <c r="AF371" s="34" t="e">
        <f t="shared" ca="1" si="120"/>
        <v>#N/A</v>
      </c>
      <c r="AG371" s="34" t="e">
        <f t="shared" ca="1" si="121"/>
        <v>#N/A</v>
      </c>
      <c r="AH371" s="34" t="e">
        <f t="shared" ca="1" si="122"/>
        <v>#N/A</v>
      </c>
      <c r="AI371" s="33" t="e">
        <f t="shared" ca="1" si="129"/>
        <v>#N/A</v>
      </c>
      <c r="AJ371" s="34" t="e">
        <f t="shared" ca="1" si="130"/>
        <v>#N/A</v>
      </c>
      <c r="AK371" s="34" t="e">
        <f t="shared" ca="1" si="123"/>
        <v>#N/A</v>
      </c>
      <c r="AL371" s="34" t="e">
        <f t="shared" ca="1" si="124"/>
        <v>#N/A</v>
      </c>
      <c r="AM371" s="33" t="e">
        <f t="shared" ca="1" si="131"/>
        <v>#N/A</v>
      </c>
      <c r="AN371" s="34" t="e">
        <f t="shared" ca="1" si="132"/>
        <v>#N/A</v>
      </c>
    </row>
    <row r="372" spans="1:40" x14ac:dyDescent="0.3">
      <c r="A372" s="2">
        <v>44001</v>
      </c>
      <c r="B372" s="9">
        <v>51.099997999999999</v>
      </c>
      <c r="C372" s="9">
        <v>71.389999000000003</v>
      </c>
      <c r="D372" s="9">
        <v>63.16</v>
      </c>
      <c r="E372" s="10"/>
      <c r="F372" s="13">
        <v>369</v>
      </c>
      <c r="G372" s="2">
        <v>44001</v>
      </c>
      <c r="H372" s="14">
        <f t="shared" si="113"/>
        <v>-1.1286401403631631E-2</v>
      </c>
      <c r="I372" s="14">
        <f t="shared" si="114"/>
        <v>-3.5096191050639124E-2</v>
      </c>
      <c r="J372" s="14">
        <f t="shared" si="115"/>
        <v>-2.3007463469289675E-2</v>
      </c>
      <c r="K372" s="22">
        <v>369</v>
      </c>
      <c r="L372" s="12"/>
      <c r="Q372" s="15">
        <f t="shared" si="116"/>
        <v>369</v>
      </c>
      <c r="R372" s="2">
        <f t="shared" si="112"/>
        <v>44001</v>
      </c>
      <c r="S372" s="9">
        <f t="shared" ca="1" si="117"/>
        <v>-1.1286401403631631E-2</v>
      </c>
      <c r="T372" s="9">
        <f t="shared" ca="1" si="118"/>
        <v>-3.5096191050639124E-2</v>
      </c>
      <c r="U372" s="9">
        <f t="shared" ca="1" si="119"/>
        <v>-2.3007463469289675E-2</v>
      </c>
      <c r="AB372" s="33" t="e">
        <f t="shared" ca="1" si="125"/>
        <v>#N/A</v>
      </c>
      <c r="AC372" s="34" t="e">
        <f t="shared" ca="1" si="126"/>
        <v>#N/A</v>
      </c>
      <c r="AD372" s="34" t="e">
        <f t="shared" ca="1" si="127"/>
        <v>#N/A</v>
      </c>
      <c r="AE372" s="33" t="e">
        <f t="shared" ca="1" si="128"/>
        <v>#N/A</v>
      </c>
      <c r="AF372" s="34" t="e">
        <f t="shared" ca="1" si="120"/>
        <v>#N/A</v>
      </c>
      <c r="AG372" s="34" t="e">
        <f t="shared" ca="1" si="121"/>
        <v>#N/A</v>
      </c>
      <c r="AH372" s="34" t="e">
        <f t="shared" ca="1" si="122"/>
        <v>#N/A</v>
      </c>
      <c r="AI372" s="33" t="e">
        <f t="shared" ca="1" si="129"/>
        <v>#N/A</v>
      </c>
      <c r="AJ372" s="34" t="e">
        <f t="shared" ca="1" si="130"/>
        <v>#N/A</v>
      </c>
      <c r="AK372" s="34" t="e">
        <f t="shared" ca="1" si="123"/>
        <v>#N/A</v>
      </c>
      <c r="AL372" s="34" t="e">
        <f t="shared" ca="1" si="124"/>
        <v>#N/A</v>
      </c>
      <c r="AM372" s="33" t="e">
        <f t="shared" ca="1" si="131"/>
        <v>#N/A</v>
      </c>
      <c r="AN372" s="34" t="e">
        <f t="shared" ca="1" si="132"/>
        <v>#N/A</v>
      </c>
    </row>
    <row r="373" spans="1:40" x14ac:dyDescent="0.3">
      <c r="A373" s="2">
        <v>44004</v>
      </c>
      <c r="B373" s="9">
        <v>51.25</v>
      </c>
      <c r="C373" s="9">
        <v>73.339995999999999</v>
      </c>
      <c r="D373" s="9">
        <v>62.66</v>
      </c>
      <c r="E373" s="10"/>
      <c r="F373" s="13">
        <v>370</v>
      </c>
      <c r="G373" s="2">
        <v>44004</v>
      </c>
      <c r="H373" s="14">
        <f t="shared" si="113"/>
        <v>2.9311599478028727E-3</v>
      </c>
      <c r="I373" s="14">
        <f t="shared" si="114"/>
        <v>2.6948318595877038E-2</v>
      </c>
      <c r="J373" s="14">
        <f t="shared" si="115"/>
        <v>-7.9479038633956823E-3</v>
      </c>
      <c r="K373" s="22">
        <v>370</v>
      </c>
      <c r="L373" s="12"/>
      <c r="Q373" s="15">
        <f t="shared" si="116"/>
        <v>370</v>
      </c>
      <c r="R373" s="2">
        <f t="shared" si="112"/>
        <v>44004</v>
      </c>
      <c r="S373" s="9">
        <f t="shared" ca="1" si="117"/>
        <v>2.9311599478028727E-3</v>
      </c>
      <c r="T373" s="9">
        <f t="shared" ca="1" si="118"/>
        <v>2.6948318595877038E-2</v>
      </c>
      <c r="U373" s="9">
        <f t="shared" ca="1" si="119"/>
        <v>-7.9479038633956823E-3</v>
      </c>
      <c r="AB373" s="33" t="e">
        <f t="shared" ca="1" si="125"/>
        <v>#N/A</v>
      </c>
      <c r="AC373" s="34" t="e">
        <f t="shared" ca="1" si="126"/>
        <v>#N/A</v>
      </c>
      <c r="AD373" s="34" t="e">
        <f t="shared" ca="1" si="127"/>
        <v>#N/A</v>
      </c>
      <c r="AE373" s="33" t="e">
        <f t="shared" ca="1" si="128"/>
        <v>#N/A</v>
      </c>
      <c r="AF373" s="34" t="e">
        <f t="shared" ca="1" si="120"/>
        <v>#N/A</v>
      </c>
      <c r="AG373" s="34" t="e">
        <f t="shared" ca="1" si="121"/>
        <v>#N/A</v>
      </c>
      <c r="AH373" s="34" t="e">
        <f t="shared" ca="1" si="122"/>
        <v>#N/A</v>
      </c>
      <c r="AI373" s="33" t="e">
        <f t="shared" ca="1" si="129"/>
        <v>#N/A</v>
      </c>
      <c r="AJ373" s="34" t="e">
        <f t="shared" ca="1" si="130"/>
        <v>#N/A</v>
      </c>
      <c r="AK373" s="34" t="e">
        <f t="shared" ca="1" si="123"/>
        <v>#N/A</v>
      </c>
      <c r="AL373" s="34" t="e">
        <f t="shared" ca="1" si="124"/>
        <v>#N/A</v>
      </c>
      <c r="AM373" s="33" t="e">
        <f t="shared" ca="1" si="131"/>
        <v>#N/A</v>
      </c>
      <c r="AN373" s="34" t="e">
        <f t="shared" ca="1" si="132"/>
        <v>#N/A</v>
      </c>
    </row>
    <row r="374" spans="1:40" x14ac:dyDescent="0.3">
      <c r="A374" s="2">
        <v>44005</v>
      </c>
      <c r="B374" s="9">
        <v>51.919998</v>
      </c>
      <c r="C374" s="9">
        <v>73.459998999999996</v>
      </c>
      <c r="D374" s="9">
        <v>62.650002000000001</v>
      </c>
      <c r="E374" s="10"/>
      <c r="F374" s="13">
        <v>371</v>
      </c>
      <c r="G374" s="2">
        <v>44005</v>
      </c>
      <c r="H374" s="14">
        <f t="shared" si="113"/>
        <v>1.2988415856515112E-2</v>
      </c>
      <c r="I374" s="14">
        <f t="shared" si="114"/>
        <v>1.6349186759883631E-3</v>
      </c>
      <c r="J374" s="14">
        <f t="shared" si="115"/>
        <v>-1.5957225858494116E-4</v>
      </c>
      <c r="K374" s="22">
        <v>371</v>
      </c>
      <c r="L374" s="12"/>
      <c r="Q374" s="15">
        <f t="shared" si="116"/>
        <v>371</v>
      </c>
      <c r="R374" s="2">
        <f t="shared" si="112"/>
        <v>44005</v>
      </c>
      <c r="S374" s="9">
        <f t="shared" ca="1" si="117"/>
        <v>1.2988415856515112E-2</v>
      </c>
      <c r="T374" s="9">
        <f t="shared" ca="1" si="118"/>
        <v>1.6349186759883631E-3</v>
      </c>
      <c r="U374" s="9">
        <f t="shared" ca="1" si="119"/>
        <v>-1.5957225858494116E-4</v>
      </c>
      <c r="AB374" s="33" t="e">
        <f t="shared" ca="1" si="125"/>
        <v>#N/A</v>
      </c>
      <c r="AC374" s="34" t="e">
        <f t="shared" ca="1" si="126"/>
        <v>#N/A</v>
      </c>
      <c r="AD374" s="34" t="e">
        <f t="shared" ca="1" si="127"/>
        <v>#N/A</v>
      </c>
      <c r="AE374" s="33" t="e">
        <f t="shared" ca="1" si="128"/>
        <v>#N/A</v>
      </c>
      <c r="AF374" s="34" t="e">
        <f t="shared" ca="1" si="120"/>
        <v>#N/A</v>
      </c>
      <c r="AG374" s="34" t="e">
        <f t="shared" ca="1" si="121"/>
        <v>#N/A</v>
      </c>
      <c r="AH374" s="34" t="e">
        <f t="shared" ca="1" si="122"/>
        <v>#N/A</v>
      </c>
      <c r="AI374" s="33" t="e">
        <f t="shared" ca="1" si="129"/>
        <v>#N/A</v>
      </c>
      <c r="AJ374" s="34" t="e">
        <f t="shared" ca="1" si="130"/>
        <v>#N/A</v>
      </c>
      <c r="AK374" s="34" t="e">
        <f t="shared" ca="1" si="123"/>
        <v>#N/A</v>
      </c>
      <c r="AL374" s="34" t="e">
        <f t="shared" ca="1" si="124"/>
        <v>#N/A</v>
      </c>
      <c r="AM374" s="33" t="e">
        <f t="shared" ca="1" si="131"/>
        <v>#N/A</v>
      </c>
      <c r="AN374" s="34" t="e">
        <f t="shared" ca="1" si="132"/>
        <v>#N/A</v>
      </c>
    </row>
    <row r="375" spans="1:40" x14ac:dyDescent="0.3">
      <c r="A375" s="2">
        <v>44006</v>
      </c>
      <c r="B375" s="9">
        <v>49.470001000000003</v>
      </c>
      <c r="C375" s="9">
        <v>70.650002000000001</v>
      </c>
      <c r="D375" s="9">
        <v>58.02</v>
      </c>
      <c r="E375" s="10"/>
      <c r="F375" s="13">
        <v>372</v>
      </c>
      <c r="G375" s="2">
        <v>44006</v>
      </c>
      <c r="H375" s="14">
        <f t="shared" si="113"/>
        <v>-4.833758842114419E-2</v>
      </c>
      <c r="I375" s="14">
        <f t="shared" si="114"/>
        <v>-3.9002889339571134E-2</v>
      </c>
      <c r="J375" s="14">
        <f t="shared" si="115"/>
        <v>-7.677593457220265E-2</v>
      </c>
      <c r="K375" s="22">
        <v>372</v>
      </c>
      <c r="L375" s="12"/>
      <c r="Q375" s="15">
        <f t="shared" si="116"/>
        <v>372</v>
      </c>
      <c r="R375" s="2">
        <f t="shared" si="112"/>
        <v>44006</v>
      </c>
      <c r="S375" s="9">
        <f t="shared" ca="1" si="117"/>
        <v>-4.833758842114419E-2</v>
      </c>
      <c r="T375" s="9">
        <f t="shared" ca="1" si="118"/>
        <v>-3.9002889339571134E-2</v>
      </c>
      <c r="U375" s="9">
        <f t="shared" ca="1" si="119"/>
        <v>-7.677593457220265E-2</v>
      </c>
      <c r="AB375" s="33" t="e">
        <f t="shared" ca="1" si="125"/>
        <v>#N/A</v>
      </c>
      <c r="AC375" s="34" t="e">
        <f t="shared" ca="1" si="126"/>
        <v>#N/A</v>
      </c>
      <c r="AD375" s="34" t="e">
        <f t="shared" ca="1" si="127"/>
        <v>#N/A</v>
      </c>
      <c r="AE375" s="33" t="e">
        <f t="shared" ca="1" si="128"/>
        <v>#N/A</v>
      </c>
      <c r="AF375" s="34" t="e">
        <f t="shared" ca="1" si="120"/>
        <v>#N/A</v>
      </c>
      <c r="AG375" s="34" t="e">
        <f t="shared" ca="1" si="121"/>
        <v>#N/A</v>
      </c>
      <c r="AH375" s="34" t="e">
        <f t="shared" ca="1" si="122"/>
        <v>#N/A</v>
      </c>
      <c r="AI375" s="33" t="e">
        <f t="shared" ca="1" si="129"/>
        <v>#N/A</v>
      </c>
      <c r="AJ375" s="34" t="e">
        <f t="shared" ca="1" si="130"/>
        <v>#N/A</v>
      </c>
      <c r="AK375" s="34" t="e">
        <f t="shared" ca="1" si="123"/>
        <v>#N/A</v>
      </c>
      <c r="AL375" s="34" t="e">
        <f t="shared" ca="1" si="124"/>
        <v>#N/A</v>
      </c>
      <c r="AM375" s="33" t="e">
        <f t="shared" ca="1" si="131"/>
        <v>#N/A</v>
      </c>
      <c r="AN375" s="34" t="e">
        <f t="shared" ca="1" si="132"/>
        <v>#N/A</v>
      </c>
    </row>
    <row r="376" spans="1:40" x14ac:dyDescent="0.3">
      <c r="A376" s="2">
        <v>44007</v>
      </c>
      <c r="B376" s="9">
        <v>50.34</v>
      </c>
      <c r="C376" s="9">
        <v>70.319999999999993</v>
      </c>
      <c r="D376" s="9">
        <v>57.279998999999997</v>
      </c>
      <c r="E376" s="10"/>
      <c r="F376" s="13">
        <v>373</v>
      </c>
      <c r="G376" s="2">
        <v>44007</v>
      </c>
      <c r="H376" s="14">
        <f t="shared" si="113"/>
        <v>1.743354425328145E-2</v>
      </c>
      <c r="I376" s="14">
        <f t="shared" si="114"/>
        <v>-4.6818840621779406E-3</v>
      </c>
      <c r="J376" s="14">
        <f t="shared" si="115"/>
        <v>-1.2836273498968572E-2</v>
      </c>
      <c r="K376" s="22">
        <v>373</v>
      </c>
      <c r="L376" s="12"/>
      <c r="Q376" s="15">
        <f t="shared" si="116"/>
        <v>373</v>
      </c>
      <c r="R376" s="2">
        <f t="shared" si="112"/>
        <v>44007</v>
      </c>
      <c r="S376" s="9">
        <f t="shared" ca="1" si="117"/>
        <v>1.743354425328145E-2</v>
      </c>
      <c r="T376" s="9">
        <f t="shared" ca="1" si="118"/>
        <v>-4.6818840621779406E-3</v>
      </c>
      <c r="U376" s="9">
        <f t="shared" ca="1" si="119"/>
        <v>-1.2836273498968572E-2</v>
      </c>
      <c r="AB376" s="33" t="e">
        <f t="shared" ca="1" si="125"/>
        <v>#N/A</v>
      </c>
      <c r="AC376" s="34" t="e">
        <f t="shared" ca="1" si="126"/>
        <v>#N/A</v>
      </c>
      <c r="AD376" s="34" t="e">
        <f t="shared" ca="1" si="127"/>
        <v>#N/A</v>
      </c>
      <c r="AE376" s="33" t="e">
        <f t="shared" ca="1" si="128"/>
        <v>#N/A</v>
      </c>
      <c r="AF376" s="34" t="e">
        <f t="shared" ca="1" si="120"/>
        <v>#N/A</v>
      </c>
      <c r="AG376" s="34" t="e">
        <f t="shared" ca="1" si="121"/>
        <v>#N/A</v>
      </c>
      <c r="AH376" s="34" t="e">
        <f t="shared" ca="1" si="122"/>
        <v>#N/A</v>
      </c>
      <c r="AI376" s="33" t="e">
        <f t="shared" ca="1" si="129"/>
        <v>#N/A</v>
      </c>
      <c r="AJ376" s="34" t="e">
        <f t="shared" ca="1" si="130"/>
        <v>#N/A</v>
      </c>
      <c r="AK376" s="34" t="e">
        <f t="shared" ca="1" si="123"/>
        <v>#N/A</v>
      </c>
      <c r="AL376" s="34" t="e">
        <f t="shared" ca="1" si="124"/>
        <v>#N/A</v>
      </c>
      <c r="AM376" s="33" t="e">
        <f t="shared" ca="1" si="131"/>
        <v>#N/A</v>
      </c>
      <c r="AN376" s="34" t="e">
        <f t="shared" ca="1" si="132"/>
        <v>#N/A</v>
      </c>
    </row>
    <row r="377" spans="1:40" x14ac:dyDescent="0.3">
      <c r="A377" s="2">
        <v>44008</v>
      </c>
      <c r="B377" s="9">
        <v>50.599997999999999</v>
      </c>
      <c r="C377" s="9">
        <v>67.699996999999996</v>
      </c>
      <c r="D377" s="9">
        <v>56.32</v>
      </c>
      <c r="E377" s="10"/>
      <c r="F377" s="13">
        <v>374</v>
      </c>
      <c r="G377" s="2">
        <v>44008</v>
      </c>
      <c r="H377" s="14">
        <f t="shared" si="113"/>
        <v>5.1515470605575124E-3</v>
      </c>
      <c r="I377" s="14">
        <f t="shared" si="114"/>
        <v>-3.7970117771839389E-2</v>
      </c>
      <c r="J377" s="14">
        <f t="shared" si="115"/>
        <v>-1.6901793344502408E-2</v>
      </c>
      <c r="K377" s="22">
        <v>374</v>
      </c>
      <c r="L377" s="12"/>
      <c r="Q377" s="15">
        <f t="shared" si="116"/>
        <v>374</v>
      </c>
      <c r="R377" s="2">
        <f t="shared" si="112"/>
        <v>44008</v>
      </c>
      <c r="S377" s="9">
        <f t="shared" ca="1" si="117"/>
        <v>5.1515470605575124E-3</v>
      </c>
      <c r="T377" s="9">
        <f t="shared" ca="1" si="118"/>
        <v>-3.7970117771839389E-2</v>
      </c>
      <c r="U377" s="9">
        <f t="shared" ca="1" si="119"/>
        <v>-1.6901793344502408E-2</v>
      </c>
      <c r="AB377" s="33" t="e">
        <f t="shared" ca="1" si="125"/>
        <v>#N/A</v>
      </c>
      <c r="AC377" s="34" t="e">
        <f t="shared" ca="1" si="126"/>
        <v>#N/A</v>
      </c>
      <c r="AD377" s="34" t="e">
        <f t="shared" ca="1" si="127"/>
        <v>#N/A</v>
      </c>
      <c r="AE377" s="33" t="e">
        <f t="shared" ca="1" si="128"/>
        <v>#N/A</v>
      </c>
      <c r="AF377" s="34" t="e">
        <f t="shared" ca="1" si="120"/>
        <v>#N/A</v>
      </c>
      <c r="AG377" s="34" t="e">
        <f t="shared" ca="1" si="121"/>
        <v>#N/A</v>
      </c>
      <c r="AH377" s="34" t="e">
        <f t="shared" ca="1" si="122"/>
        <v>#N/A</v>
      </c>
      <c r="AI377" s="33" t="e">
        <f t="shared" ca="1" si="129"/>
        <v>#N/A</v>
      </c>
      <c r="AJ377" s="34" t="e">
        <f t="shared" ca="1" si="130"/>
        <v>#N/A</v>
      </c>
      <c r="AK377" s="34" t="e">
        <f t="shared" ca="1" si="123"/>
        <v>#N/A</v>
      </c>
      <c r="AL377" s="34" t="e">
        <f t="shared" ca="1" si="124"/>
        <v>#N/A</v>
      </c>
      <c r="AM377" s="33" t="e">
        <f t="shared" ca="1" si="131"/>
        <v>#N/A</v>
      </c>
      <c r="AN377" s="34" t="e">
        <f t="shared" ca="1" si="132"/>
        <v>#N/A</v>
      </c>
    </row>
    <row r="378" spans="1:40" x14ac:dyDescent="0.3">
      <c r="A378" s="2">
        <v>44011</v>
      </c>
      <c r="B378" s="9">
        <v>51.830002</v>
      </c>
      <c r="C378" s="9">
        <v>72.569999999999993</v>
      </c>
      <c r="D378" s="9">
        <v>56.950001</v>
      </c>
      <c r="E378" s="10"/>
      <c r="F378" s="13">
        <v>375</v>
      </c>
      <c r="G378" s="2">
        <v>44011</v>
      </c>
      <c r="H378" s="14">
        <f t="shared" si="113"/>
        <v>2.4017634021577701E-2</v>
      </c>
      <c r="I378" s="14">
        <f t="shared" si="114"/>
        <v>6.9465477684963389E-2</v>
      </c>
      <c r="J378" s="14">
        <f t="shared" si="115"/>
        <v>1.1123995602666577E-2</v>
      </c>
      <c r="K378" s="22">
        <v>375</v>
      </c>
      <c r="L378" s="12"/>
      <c r="Q378" s="15">
        <f t="shared" si="116"/>
        <v>375</v>
      </c>
      <c r="R378" s="2">
        <f t="shared" si="112"/>
        <v>44011</v>
      </c>
      <c r="S378" s="9">
        <f t="shared" ca="1" si="117"/>
        <v>2.4017634021577701E-2</v>
      </c>
      <c r="T378" s="9">
        <f t="shared" ca="1" si="118"/>
        <v>6.9465477684963389E-2</v>
      </c>
      <c r="U378" s="9">
        <f t="shared" ca="1" si="119"/>
        <v>1.1123995602666577E-2</v>
      </c>
      <c r="AB378" s="33" t="e">
        <f t="shared" ca="1" si="125"/>
        <v>#N/A</v>
      </c>
      <c r="AC378" s="34" t="e">
        <f t="shared" ca="1" si="126"/>
        <v>#N/A</v>
      </c>
      <c r="AD378" s="34" t="e">
        <f t="shared" ca="1" si="127"/>
        <v>#N/A</v>
      </c>
      <c r="AE378" s="33" t="e">
        <f t="shared" ca="1" si="128"/>
        <v>#N/A</v>
      </c>
      <c r="AF378" s="34" t="e">
        <f t="shared" ca="1" si="120"/>
        <v>#N/A</v>
      </c>
      <c r="AG378" s="34" t="e">
        <f t="shared" ca="1" si="121"/>
        <v>#N/A</v>
      </c>
      <c r="AH378" s="34" t="e">
        <f t="shared" ca="1" si="122"/>
        <v>#N/A</v>
      </c>
      <c r="AI378" s="33" t="e">
        <f t="shared" ca="1" si="129"/>
        <v>#N/A</v>
      </c>
      <c r="AJ378" s="34" t="e">
        <f t="shared" ca="1" si="130"/>
        <v>#N/A</v>
      </c>
      <c r="AK378" s="34" t="e">
        <f t="shared" ca="1" si="123"/>
        <v>#N/A</v>
      </c>
      <c r="AL378" s="34" t="e">
        <f t="shared" ca="1" si="124"/>
        <v>#N/A</v>
      </c>
      <c r="AM378" s="33" t="e">
        <f t="shared" ca="1" si="131"/>
        <v>#N/A</v>
      </c>
      <c r="AN378" s="34" t="e">
        <f t="shared" ca="1" si="132"/>
        <v>#N/A</v>
      </c>
    </row>
    <row r="379" spans="1:40" x14ac:dyDescent="0.3">
      <c r="A379" s="2">
        <v>44012</v>
      </c>
      <c r="B379" s="9">
        <v>52.830002</v>
      </c>
      <c r="C379" s="9">
        <v>72.519997000000004</v>
      </c>
      <c r="D379" s="9">
        <v>58.82</v>
      </c>
      <c r="E379" s="10"/>
      <c r="F379" s="13">
        <v>376</v>
      </c>
      <c r="G379" s="2">
        <v>44012</v>
      </c>
      <c r="H379" s="14">
        <f t="shared" si="113"/>
        <v>1.911007824419694E-2</v>
      </c>
      <c r="I379" s="14">
        <f t="shared" si="114"/>
        <v>-6.8926877129452189E-4</v>
      </c>
      <c r="J379" s="14">
        <f t="shared" si="115"/>
        <v>3.2308225673395412E-2</v>
      </c>
      <c r="K379" s="22">
        <v>376</v>
      </c>
      <c r="L379" s="12"/>
      <c r="Q379" s="15">
        <f t="shared" si="116"/>
        <v>376</v>
      </c>
      <c r="R379" s="2">
        <f t="shared" si="112"/>
        <v>44012</v>
      </c>
      <c r="S379" s="9">
        <f t="shared" ca="1" si="117"/>
        <v>1.911007824419694E-2</v>
      </c>
      <c r="T379" s="9">
        <f t="shared" ca="1" si="118"/>
        <v>-6.8926877129452189E-4</v>
      </c>
      <c r="U379" s="9">
        <f t="shared" ca="1" si="119"/>
        <v>3.2308225673395412E-2</v>
      </c>
      <c r="AB379" s="33" t="e">
        <f t="shared" ca="1" si="125"/>
        <v>#N/A</v>
      </c>
      <c r="AC379" s="34" t="e">
        <f t="shared" ca="1" si="126"/>
        <v>#N/A</v>
      </c>
      <c r="AD379" s="34" t="e">
        <f t="shared" ca="1" si="127"/>
        <v>#N/A</v>
      </c>
      <c r="AE379" s="33" t="e">
        <f t="shared" ca="1" si="128"/>
        <v>#N/A</v>
      </c>
      <c r="AF379" s="34" t="e">
        <f t="shared" ca="1" si="120"/>
        <v>#N/A</v>
      </c>
      <c r="AG379" s="34" t="e">
        <f t="shared" ca="1" si="121"/>
        <v>#N/A</v>
      </c>
      <c r="AH379" s="34" t="e">
        <f t="shared" ca="1" si="122"/>
        <v>#N/A</v>
      </c>
      <c r="AI379" s="33" t="e">
        <f t="shared" ca="1" si="129"/>
        <v>#N/A</v>
      </c>
      <c r="AJ379" s="34" t="e">
        <f t="shared" ca="1" si="130"/>
        <v>#N/A</v>
      </c>
      <c r="AK379" s="34" t="e">
        <f t="shared" ca="1" si="123"/>
        <v>#N/A</v>
      </c>
      <c r="AL379" s="34" t="e">
        <f t="shared" ca="1" si="124"/>
        <v>#N/A</v>
      </c>
      <c r="AM379" s="33" t="e">
        <f t="shared" ca="1" si="131"/>
        <v>#N/A</v>
      </c>
      <c r="AN379" s="34" t="e">
        <f t="shared" ca="1" si="132"/>
        <v>#N/A</v>
      </c>
    </row>
    <row r="380" spans="1:40" x14ac:dyDescent="0.3">
      <c r="A380" s="2">
        <v>44013</v>
      </c>
      <c r="B380" s="9">
        <v>51.490001999999997</v>
      </c>
      <c r="C380" s="9">
        <v>70.669998000000007</v>
      </c>
      <c r="D380" s="9">
        <v>56.439999</v>
      </c>
      <c r="E380" s="10"/>
      <c r="F380" s="13">
        <v>377</v>
      </c>
      <c r="G380" s="2">
        <v>44013</v>
      </c>
      <c r="H380" s="14">
        <f t="shared" si="113"/>
        <v>-2.5691596132958957E-2</v>
      </c>
      <c r="I380" s="14">
        <f t="shared" si="114"/>
        <v>-2.5841218116540197E-2</v>
      </c>
      <c r="J380" s="14">
        <f t="shared" si="115"/>
        <v>-4.1303823859166429E-2</v>
      </c>
      <c r="K380" s="22">
        <v>377</v>
      </c>
      <c r="L380" s="12"/>
      <c r="Q380" s="15">
        <f t="shared" si="116"/>
        <v>377</v>
      </c>
      <c r="R380" s="2">
        <f t="shared" si="112"/>
        <v>44013</v>
      </c>
      <c r="S380" s="9">
        <f t="shared" ca="1" si="117"/>
        <v>-2.5691596132958957E-2</v>
      </c>
      <c r="T380" s="9">
        <f t="shared" ca="1" si="118"/>
        <v>-2.5841218116540197E-2</v>
      </c>
      <c r="U380" s="9">
        <f t="shared" ca="1" si="119"/>
        <v>-4.1303823859166429E-2</v>
      </c>
      <c r="AB380" s="33" t="e">
        <f t="shared" ca="1" si="125"/>
        <v>#N/A</v>
      </c>
      <c r="AC380" s="34" t="e">
        <f t="shared" ca="1" si="126"/>
        <v>#N/A</v>
      </c>
      <c r="AD380" s="34" t="e">
        <f t="shared" ca="1" si="127"/>
        <v>#N/A</v>
      </c>
      <c r="AE380" s="33" t="e">
        <f t="shared" ca="1" si="128"/>
        <v>#N/A</v>
      </c>
      <c r="AF380" s="34" t="e">
        <f t="shared" ca="1" si="120"/>
        <v>#N/A</v>
      </c>
      <c r="AG380" s="34" t="e">
        <f t="shared" ca="1" si="121"/>
        <v>#N/A</v>
      </c>
      <c r="AH380" s="34" t="e">
        <f t="shared" ca="1" si="122"/>
        <v>#N/A</v>
      </c>
      <c r="AI380" s="33" t="e">
        <f t="shared" ca="1" si="129"/>
        <v>#N/A</v>
      </c>
      <c r="AJ380" s="34" t="e">
        <f t="shared" ca="1" si="130"/>
        <v>#N/A</v>
      </c>
      <c r="AK380" s="34" t="e">
        <f t="shared" ca="1" si="123"/>
        <v>#N/A</v>
      </c>
      <c r="AL380" s="34" t="e">
        <f t="shared" ca="1" si="124"/>
        <v>#N/A</v>
      </c>
      <c r="AM380" s="33" t="e">
        <f t="shared" ca="1" si="131"/>
        <v>#N/A</v>
      </c>
      <c r="AN380" s="34" t="e">
        <f t="shared" ca="1" si="132"/>
        <v>#N/A</v>
      </c>
    </row>
    <row r="381" spans="1:40" x14ac:dyDescent="0.3">
      <c r="A381" s="2">
        <v>44014</v>
      </c>
      <c r="B381" s="9">
        <v>51.720001000000003</v>
      </c>
      <c r="C381" s="9">
        <v>70.75</v>
      </c>
      <c r="D381" s="9">
        <v>56.34</v>
      </c>
      <c r="E381" s="10"/>
      <c r="F381" s="13">
        <v>378</v>
      </c>
      <c r="G381" s="2">
        <v>44014</v>
      </c>
      <c r="H381" s="14">
        <f t="shared" si="113"/>
        <v>4.456920337993886E-3</v>
      </c>
      <c r="I381" s="14">
        <f t="shared" si="114"/>
        <v>1.1314101211361569E-3</v>
      </c>
      <c r="J381" s="14">
        <f t="shared" si="115"/>
        <v>-1.7733468184559951E-3</v>
      </c>
      <c r="K381" s="22">
        <v>378</v>
      </c>
      <c r="L381" s="12"/>
      <c r="Q381" s="15">
        <f t="shared" si="116"/>
        <v>378</v>
      </c>
      <c r="R381" s="2">
        <f t="shared" si="112"/>
        <v>44014</v>
      </c>
      <c r="S381" s="9">
        <f t="shared" ca="1" si="117"/>
        <v>4.456920337993886E-3</v>
      </c>
      <c r="T381" s="9">
        <f t="shared" ca="1" si="118"/>
        <v>1.1314101211361569E-3</v>
      </c>
      <c r="U381" s="9">
        <f t="shared" ca="1" si="119"/>
        <v>-1.7733468184559951E-3</v>
      </c>
      <c r="AB381" s="33" t="e">
        <f t="shared" ca="1" si="125"/>
        <v>#N/A</v>
      </c>
      <c r="AC381" s="34" t="e">
        <f t="shared" ca="1" si="126"/>
        <v>#N/A</v>
      </c>
      <c r="AD381" s="34" t="e">
        <f t="shared" ca="1" si="127"/>
        <v>#N/A</v>
      </c>
      <c r="AE381" s="33" t="e">
        <f t="shared" ca="1" si="128"/>
        <v>#N/A</v>
      </c>
      <c r="AF381" s="34" t="e">
        <f t="shared" ca="1" si="120"/>
        <v>#N/A</v>
      </c>
      <c r="AG381" s="34" t="e">
        <f t="shared" ca="1" si="121"/>
        <v>#N/A</v>
      </c>
      <c r="AH381" s="34" t="e">
        <f t="shared" ca="1" si="122"/>
        <v>#N/A</v>
      </c>
      <c r="AI381" s="33" t="e">
        <f t="shared" ca="1" si="129"/>
        <v>#N/A</v>
      </c>
      <c r="AJ381" s="34" t="e">
        <f t="shared" ca="1" si="130"/>
        <v>#N/A</v>
      </c>
      <c r="AK381" s="34" t="e">
        <f t="shared" ca="1" si="123"/>
        <v>#N/A</v>
      </c>
      <c r="AL381" s="34" t="e">
        <f t="shared" ca="1" si="124"/>
        <v>#N/A</v>
      </c>
      <c r="AM381" s="33" t="e">
        <f t="shared" ca="1" si="131"/>
        <v>#N/A</v>
      </c>
      <c r="AN381" s="34" t="e">
        <f t="shared" ca="1" si="132"/>
        <v>#N/A</v>
      </c>
    </row>
    <row r="382" spans="1:40" x14ac:dyDescent="0.3">
      <c r="A382" s="2">
        <v>44018</v>
      </c>
      <c r="B382" s="9">
        <v>52.41</v>
      </c>
      <c r="C382" s="9">
        <v>71.389999000000003</v>
      </c>
      <c r="D382" s="9">
        <v>56.470001000000003</v>
      </c>
      <c r="E382" s="10"/>
      <c r="F382" s="13">
        <v>379</v>
      </c>
      <c r="G382" s="2">
        <v>44018</v>
      </c>
      <c r="H382" s="14">
        <f t="shared" si="113"/>
        <v>1.3252839575538137E-2</v>
      </c>
      <c r="I382" s="14">
        <f t="shared" si="114"/>
        <v>9.0052529834579245E-3</v>
      </c>
      <c r="J382" s="14">
        <f t="shared" si="115"/>
        <v>2.3047789450364349E-3</v>
      </c>
      <c r="K382" s="22">
        <v>379</v>
      </c>
      <c r="L382" s="12"/>
      <c r="Q382" s="15">
        <f t="shared" si="116"/>
        <v>379</v>
      </c>
      <c r="R382" s="2">
        <f t="shared" si="112"/>
        <v>44018</v>
      </c>
      <c r="S382" s="9">
        <f t="shared" ca="1" si="117"/>
        <v>1.3252839575538137E-2</v>
      </c>
      <c r="T382" s="9">
        <f t="shared" ca="1" si="118"/>
        <v>9.0052529834579245E-3</v>
      </c>
      <c r="U382" s="9">
        <f t="shared" ca="1" si="119"/>
        <v>2.3047789450364349E-3</v>
      </c>
      <c r="AB382" s="33" t="e">
        <f t="shared" ca="1" si="125"/>
        <v>#N/A</v>
      </c>
      <c r="AC382" s="34" t="e">
        <f t="shared" ca="1" si="126"/>
        <v>#N/A</v>
      </c>
      <c r="AD382" s="34" t="e">
        <f t="shared" ca="1" si="127"/>
        <v>#N/A</v>
      </c>
      <c r="AE382" s="33" t="e">
        <f t="shared" ca="1" si="128"/>
        <v>#N/A</v>
      </c>
      <c r="AF382" s="34" t="e">
        <f t="shared" ca="1" si="120"/>
        <v>#N/A</v>
      </c>
      <c r="AG382" s="34" t="e">
        <f t="shared" ca="1" si="121"/>
        <v>#N/A</v>
      </c>
      <c r="AH382" s="34" t="e">
        <f t="shared" ca="1" si="122"/>
        <v>#N/A</v>
      </c>
      <c r="AI382" s="33" t="e">
        <f t="shared" ca="1" si="129"/>
        <v>#N/A</v>
      </c>
      <c r="AJ382" s="34" t="e">
        <f t="shared" ca="1" si="130"/>
        <v>#N/A</v>
      </c>
      <c r="AK382" s="34" t="e">
        <f t="shared" ca="1" si="123"/>
        <v>#N/A</v>
      </c>
      <c r="AL382" s="34" t="e">
        <f t="shared" ca="1" si="124"/>
        <v>#N/A</v>
      </c>
      <c r="AM382" s="33" t="e">
        <f t="shared" ca="1" si="131"/>
        <v>#N/A</v>
      </c>
      <c r="AN382" s="34" t="e">
        <f t="shared" ca="1" si="132"/>
        <v>#N/A</v>
      </c>
    </row>
    <row r="383" spans="1:40" x14ac:dyDescent="0.3">
      <c r="A383" s="2">
        <v>44019</v>
      </c>
      <c r="B383" s="9">
        <v>50.59</v>
      </c>
      <c r="C383" s="9">
        <v>68.900002000000001</v>
      </c>
      <c r="D383" s="9">
        <v>53.119999</v>
      </c>
      <c r="E383" s="10"/>
      <c r="F383" s="13">
        <v>380</v>
      </c>
      <c r="G383" s="2">
        <v>44019</v>
      </c>
      <c r="H383" s="14">
        <f t="shared" si="113"/>
        <v>-3.5343484510229992E-2</v>
      </c>
      <c r="I383" s="14">
        <f t="shared" si="114"/>
        <v>-3.5501582459616335E-2</v>
      </c>
      <c r="J383" s="14">
        <f t="shared" si="115"/>
        <v>-6.1156055050386002E-2</v>
      </c>
      <c r="K383" s="22">
        <v>380</v>
      </c>
      <c r="L383" s="12"/>
      <c r="Q383" s="15">
        <f t="shared" si="116"/>
        <v>380</v>
      </c>
      <c r="R383" s="2">
        <f t="shared" si="112"/>
        <v>44019</v>
      </c>
      <c r="S383" s="9">
        <f t="shared" ca="1" si="117"/>
        <v>-3.5343484510229992E-2</v>
      </c>
      <c r="T383" s="9">
        <f t="shared" ca="1" si="118"/>
        <v>-3.5501582459616335E-2</v>
      </c>
      <c r="U383" s="9">
        <f t="shared" ca="1" si="119"/>
        <v>-6.1156055050386002E-2</v>
      </c>
      <c r="AB383" s="33" t="e">
        <f t="shared" ca="1" si="125"/>
        <v>#N/A</v>
      </c>
      <c r="AC383" s="34" t="e">
        <f t="shared" ca="1" si="126"/>
        <v>#N/A</v>
      </c>
      <c r="AD383" s="34" t="e">
        <f t="shared" ca="1" si="127"/>
        <v>#N/A</v>
      </c>
      <c r="AE383" s="33" t="e">
        <f t="shared" ca="1" si="128"/>
        <v>#N/A</v>
      </c>
      <c r="AF383" s="34" t="e">
        <f t="shared" ca="1" si="120"/>
        <v>#N/A</v>
      </c>
      <c r="AG383" s="34" t="e">
        <f t="shared" ca="1" si="121"/>
        <v>#N/A</v>
      </c>
      <c r="AH383" s="34" t="e">
        <f t="shared" ca="1" si="122"/>
        <v>#N/A</v>
      </c>
      <c r="AI383" s="33" t="e">
        <f t="shared" ca="1" si="129"/>
        <v>#N/A</v>
      </c>
      <c r="AJ383" s="34" t="e">
        <f t="shared" ca="1" si="130"/>
        <v>#N/A</v>
      </c>
      <c r="AK383" s="34" t="e">
        <f t="shared" ca="1" si="123"/>
        <v>#N/A</v>
      </c>
      <c r="AL383" s="34" t="e">
        <f t="shared" ca="1" si="124"/>
        <v>#N/A</v>
      </c>
      <c r="AM383" s="33" t="e">
        <f t="shared" ca="1" si="131"/>
        <v>#N/A</v>
      </c>
      <c r="AN383" s="34" t="e">
        <f t="shared" ca="1" si="132"/>
        <v>#N/A</v>
      </c>
    </row>
    <row r="384" spans="1:40" x14ac:dyDescent="0.3">
      <c r="A384" s="2">
        <v>44020</v>
      </c>
      <c r="B384" s="9">
        <v>50.529998999999997</v>
      </c>
      <c r="C384" s="9">
        <v>69.550003000000004</v>
      </c>
      <c r="D384" s="9">
        <v>52.98</v>
      </c>
      <c r="E384" s="10"/>
      <c r="F384" s="13">
        <v>381</v>
      </c>
      <c r="G384" s="2">
        <v>44020</v>
      </c>
      <c r="H384" s="14">
        <f t="shared" si="113"/>
        <v>-1.1867287902514979E-3</v>
      </c>
      <c r="I384" s="14">
        <f t="shared" si="114"/>
        <v>9.3897544566980216E-3</v>
      </c>
      <c r="J384" s="14">
        <f t="shared" si="115"/>
        <v>-2.6390024989534832E-3</v>
      </c>
      <c r="K384" s="22">
        <v>381</v>
      </c>
      <c r="L384" s="12"/>
      <c r="Q384" s="15">
        <f t="shared" si="116"/>
        <v>381</v>
      </c>
      <c r="R384" s="2">
        <f t="shared" si="112"/>
        <v>44020</v>
      </c>
      <c r="S384" s="9">
        <f t="shared" ca="1" si="117"/>
        <v>-1.1867287902514979E-3</v>
      </c>
      <c r="T384" s="9">
        <f t="shared" ca="1" si="118"/>
        <v>9.3897544566980216E-3</v>
      </c>
      <c r="U384" s="9">
        <f t="shared" ca="1" si="119"/>
        <v>-2.6390024989534832E-3</v>
      </c>
      <c r="AB384" s="33" t="e">
        <f t="shared" ca="1" si="125"/>
        <v>#N/A</v>
      </c>
      <c r="AC384" s="34" t="e">
        <f t="shared" ca="1" si="126"/>
        <v>#N/A</v>
      </c>
      <c r="AD384" s="34" t="e">
        <f t="shared" ca="1" si="127"/>
        <v>#N/A</v>
      </c>
      <c r="AE384" s="33" t="e">
        <f t="shared" ca="1" si="128"/>
        <v>#N/A</v>
      </c>
      <c r="AF384" s="34" t="e">
        <f t="shared" ca="1" si="120"/>
        <v>#N/A</v>
      </c>
      <c r="AG384" s="34" t="e">
        <f t="shared" ca="1" si="121"/>
        <v>#N/A</v>
      </c>
      <c r="AH384" s="34" t="e">
        <f t="shared" ca="1" si="122"/>
        <v>#N/A</v>
      </c>
      <c r="AI384" s="33" t="e">
        <f t="shared" ca="1" si="129"/>
        <v>#N/A</v>
      </c>
      <c r="AJ384" s="34" t="e">
        <f t="shared" ca="1" si="130"/>
        <v>#N/A</v>
      </c>
      <c r="AK384" s="34" t="e">
        <f t="shared" ca="1" si="123"/>
        <v>#N/A</v>
      </c>
      <c r="AL384" s="34" t="e">
        <f t="shared" ca="1" si="124"/>
        <v>#N/A</v>
      </c>
      <c r="AM384" s="33" t="e">
        <f t="shared" ca="1" si="131"/>
        <v>#N/A</v>
      </c>
      <c r="AN384" s="34" t="e">
        <f t="shared" ca="1" si="132"/>
        <v>#N/A</v>
      </c>
    </row>
    <row r="385" spans="1:40" x14ac:dyDescent="0.3">
      <c r="A385" s="2">
        <v>44021</v>
      </c>
      <c r="B385" s="9">
        <v>49.27</v>
      </c>
      <c r="C385" s="9">
        <v>67.470000999999996</v>
      </c>
      <c r="D385" s="9">
        <v>50.220001000000003</v>
      </c>
      <c r="E385" s="10"/>
      <c r="F385" s="13">
        <v>382</v>
      </c>
      <c r="G385" s="2">
        <v>44021</v>
      </c>
      <c r="H385" s="14">
        <f t="shared" si="113"/>
        <v>-2.5251822957721541E-2</v>
      </c>
      <c r="I385" s="14">
        <f t="shared" si="114"/>
        <v>-3.0362892043150697E-2</v>
      </c>
      <c r="J385" s="14">
        <f t="shared" si="115"/>
        <v>-5.3501110202099314E-2</v>
      </c>
      <c r="K385" s="22">
        <v>382</v>
      </c>
      <c r="L385" s="12"/>
      <c r="Q385" s="15">
        <f t="shared" si="116"/>
        <v>382</v>
      </c>
      <c r="R385" s="2">
        <f t="shared" si="112"/>
        <v>44021</v>
      </c>
      <c r="S385" s="9">
        <f t="shared" ca="1" si="117"/>
        <v>-2.5251822957721541E-2</v>
      </c>
      <c r="T385" s="9">
        <f t="shared" ca="1" si="118"/>
        <v>-3.0362892043150697E-2</v>
      </c>
      <c r="U385" s="9">
        <f t="shared" ca="1" si="119"/>
        <v>-5.3501110202099314E-2</v>
      </c>
      <c r="AB385" s="33" t="e">
        <f t="shared" ca="1" si="125"/>
        <v>#N/A</v>
      </c>
      <c r="AC385" s="34" t="e">
        <f t="shared" ca="1" si="126"/>
        <v>#N/A</v>
      </c>
      <c r="AD385" s="34" t="e">
        <f t="shared" ca="1" si="127"/>
        <v>#N/A</v>
      </c>
      <c r="AE385" s="33" t="e">
        <f t="shared" ca="1" si="128"/>
        <v>#N/A</v>
      </c>
      <c r="AF385" s="34" t="e">
        <f t="shared" ca="1" si="120"/>
        <v>#N/A</v>
      </c>
      <c r="AG385" s="34" t="e">
        <f t="shared" ca="1" si="121"/>
        <v>#N/A</v>
      </c>
      <c r="AH385" s="34" t="e">
        <f t="shared" ca="1" si="122"/>
        <v>#N/A</v>
      </c>
      <c r="AI385" s="33" t="e">
        <f t="shared" ca="1" si="129"/>
        <v>#N/A</v>
      </c>
      <c r="AJ385" s="34" t="e">
        <f t="shared" ca="1" si="130"/>
        <v>#N/A</v>
      </c>
      <c r="AK385" s="34" t="e">
        <f t="shared" ca="1" si="123"/>
        <v>#N/A</v>
      </c>
      <c r="AL385" s="34" t="e">
        <f t="shared" ca="1" si="124"/>
        <v>#N/A</v>
      </c>
      <c r="AM385" s="33" t="e">
        <f t="shared" ca="1" si="131"/>
        <v>#N/A</v>
      </c>
      <c r="AN385" s="34" t="e">
        <f t="shared" ca="1" si="132"/>
        <v>#N/A</v>
      </c>
    </row>
    <row r="386" spans="1:40" x14ac:dyDescent="0.3">
      <c r="A386" s="2">
        <v>44022</v>
      </c>
      <c r="B386" s="9">
        <v>50.68</v>
      </c>
      <c r="C386" s="9">
        <v>68.980002999999996</v>
      </c>
      <c r="D386" s="9">
        <v>53.650002000000001</v>
      </c>
      <c r="E386" s="10"/>
      <c r="F386" s="13">
        <v>383</v>
      </c>
      <c r="G386" s="2">
        <v>44022</v>
      </c>
      <c r="H386" s="14">
        <f t="shared" si="113"/>
        <v>2.8215978897066573E-2</v>
      </c>
      <c r="I386" s="14">
        <f t="shared" si="114"/>
        <v>2.213358153882472E-2</v>
      </c>
      <c r="J386" s="14">
        <f t="shared" si="115"/>
        <v>6.6068132713540492E-2</v>
      </c>
      <c r="K386" s="22">
        <v>383</v>
      </c>
      <c r="L386" s="12"/>
      <c r="Q386" s="15">
        <f t="shared" si="116"/>
        <v>383</v>
      </c>
      <c r="R386" s="2">
        <f t="shared" si="112"/>
        <v>44022</v>
      </c>
      <c r="S386" s="9">
        <f t="shared" ca="1" si="117"/>
        <v>2.8215978897066573E-2</v>
      </c>
      <c r="T386" s="9">
        <f t="shared" ca="1" si="118"/>
        <v>2.213358153882472E-2</v>
      </c>
      <c r="U386" s="9">
        <f t="shared" ca="1" si="119"/>
        <v>6.6068132713540492E-2</v>
      </c>
      <c r="AB386" s="33" t="e">
        <f t="shared" ca="1" si="125"/>
        <v>#N/A</v>
      </c>
      <c r="AC386" s="34" t="e">
        <f t="shared" ca="1" si="126"/>
        <v>#N/A</v>
      </c>
      <c r="AD386" s="34" t="e">
        <f t="shared" ca="1" si="127"/>
        <v>#N/A</v>
      </c>
      <c r="AE386" s="33" t="e">
        <f t="shared" ca="1" si="128"/>
        <v>#N/A</v>
      </c>
      <c r="AF386" s="34" t="e">
        <f t="shared" ca="1" si="120"/>
        <v>#N/A</v>
      </c>
      <c r="AG386" s="34" t="e">
        <f t="shared" ca="1" si="121"/>
        <v>#N/A</v>
      </c>
      <c r="AH386" s="34" t="e">
        <f t="shared" ca="1" si="122"/>
        <v>#N/A</v>
      </c>
      <c r="AI386" s="33" t="e">
        <f t="shared" ca="1" si="129"/>
        <v>#N/A</v>
      </c>
      <c r="AJ386" s="34" t="e">
        <f t="shared" ca="1" si="130"/>
        <v>#N/A</v>
      </c>
      <c r="AK386" s="34" t="e">
        <f t="shared" ca="1" si="123"/>
        <v>#N/A</v>
      </c>
      <c r="AL386" s="34" t="e">
        <f t="shared" ca="1" si="124"/>
        <v>#N/A</v>
      </c>
      <c r="AM386" s="33" t="e">
        <f t="shared" ca="1" si="131"/>
        <v>#N/A</v>
      </c>
      <c r="AN386" s="34" t="e">
        <f t="shared" ca="1" si="132"/>
        <v>#N/A</v>
      </c>
    </row>
    <row r="387" spans="1:40" x14ac:dyDescent="0.3">
      <c r="A387" s="2">
        <v>44025</v>
      </c>
      <c r="B387" s="9">
        <v>51.549999</v>
      </c>
      <c r="C387" s="9">
        <v>69.680000000000007</v>
      </c>
      <c r="D387" s="9">
        <v>53.23</v>
      </c>
      <c r="E387" s="10"/>
      <c r="F387" s="13">
        <v>384</v>
      </c>
      <c r="G387" s="2">
        <v>44025</v>
      </c>
      <c r="H387" s="14">
        <f t="shared" si="113"/>
        <v>1.7020835611388275E-2</v>
      </c>
      <c r="I387" s="14">
        <f t="shared" si="114"/>
        <v>1.0096681544686775E-2</v>
      </c>
      <c r="J387" s="14">
        <f t="shared" si="115"/>
        <v>-7.8593591706988177E-3</v>
      </c>
      <c r="K387" s="22">
        <v>384</v>
      </c>
      <c r="L387" s="12"/>
      <c r="Q387" s="15">
        <f t="shared" si="116"/>
        <v>384</v>
      </c>
      <c r="R387" s="2">
        <f t="shared" si="112"/>
        <v>44025</v>
      </c>
      <c r="S387" s="9">
        <f t="shared" ca="1" si="117"/>
        <v>1.7020835611388275E-2</v>
      </c>
      <c r="T387" s="9">
        <f t="shared" ca="1" si="118"/>
        <v>1.0096681544686775E-2</v>
      </c>
      <c r="U387" s="9">
        <f t="shared" ca="1" si="119"/>
        <v>-7.8593591706988177E-3</v>
      </c>
      <c r="AB387" s="33" t="e">
        <f t="shared" ca="1" si="125"/>
        <v>#N/A</v>
      </c>
      <c r="AC387" s="34" t="e">
        <f t="shared" ca="1" si="126"/>
        <v>#N/A</v>
      </c>
      <c r="AD387" s="34" t="e">
        <f t="shared" ca="1" si="127"/>
        <v>#N/A</v>
      </c>
      <c r="AE387" s="33" t="e">
        <f t="shared" ca="1" si="128"/>
        <v>#N/A</v>
      </c>
      <c r="AF387" s="34" t="e">
        <f t="shared" ca="1" si="120"/>
        <v>#N/A</v>
      </c>
      <c r="AG387" s="34" t="e">
        <f t="shared" ca="1" si="121"/>
        <v>#N/A</v>
      </c>
      <c r="AH387" s="34" t="e">
        <f t="shared" ca="1" si="122"/>
        <v>#N/A</v>
      </c>
      <c r="AI387" s="33" t="e">
        <f t="shared" ca="1" si="129"/>
        <v>#N/A</v>
      </c>
      <c r="AJ387" s="34" t="e">
        <f t="shared" ca="1" si="130"/>
        <v>#N/A</v>
      </c>
      <c r="AK387" s="34" t="e">
        <f t="shared" ca="1" si="123"/>
        <v>#N/A</v>
      </c>
      <c r="AL387" s="34" t="e">
        <f t="shared" ca="1" si="124"/>
        <v>#N/A</v>
      </c>
      <c r="AM387" s="33" t="e">
        <f t="shared" ca="1" si="131"/>
        <v>#N/A</v>
      </c>
      <c r="AN387" s="34" t="e">
        <f t="shared" ca="1" si="132"/>
        <v>#N/A</v>
      </c>
    </row>
    <row r="388" spans="1:40" x14ac:dyDescent="0.3">
      <c r="A388" s="2">
        <v>44026</v>
      </c>
      <c r="B388" s="9">
        <v>51.990001999999997</v>
      </c>
      <c r="C388" s="9">
        <v>69.959998999999996</v>
      </c>
      <c r="D388" s="9">
        <v>54.400002000000001</v>
      </c>
      <c r="E388" s="10"/>
      <c r="F388" s="13">
        <v>385</v>
      </c>
      <c r="G388" s="2">
        <v>44026</v>
      </c>
      <c r="H388" s="14">
        <f t="shared" si="113"/>
        <v>8.4992398002333696E-3</v>
      </c>
      <c r="I388" s="14">
        <f t="shared" si="114"/>
        <v>4.0103033122714784E-3</v>
      </c>
      <c r="J388" s="14">
        <f t="shared" si="115"/>
        <v>2.1742043441936136E-2</v>
      </c>
      <c r="K388" s="22">
        <v>385</v>
      </c>
      <c r="L388" s="12"/>
      <c r="Q388" s="15">
        <f t="shared" si="116"/>
        <v>385</v>
      </c>
      <c r="R388" s="2">
        <f t="shared" ref="R388:R451" si="133">IF(Q388="","",VLOOKUP(Q388,F388:J1645,2))</f>
        <v>44026</v>
      </c>
      <c r="S388" s="9">
        <f t="shared" ca="1" si="117"/>
        <v>8.4992398002333696E-3</v>
      </c>
      <c r="T388" s="9">
        <f t="shared" ca="1" si="118"/>
        <v>4.0103033122714784E-3</v>
      </c>
      <c r="U388" s="9">
        <f t="shared" ca="1" si="119"/>
        <v>2.1742043441936136E-2</v>
      </c>
      <c r="AB388" s="33" t="e">
        <f t="shared" ca="1" si="125"/>
        <v>#N/A</v>
      </c>
      <c r="AC388" s="34" t="e">
        <f t="shared" ca="1" si="126"/>
        <v>#N/A</v>
      </c>
      <c r="AD388" s="34" t="e">
        <f t="shared" ca="1" si="127"/>
        <v>#N/A</v>
      </c>
      <c r="AE388" s="33" t="e">
        <f t="shared" ca="1" si="128"/>
        <v>#N/A</v>
      </c>
      <c r="AF388" s="34" t="e">
        <f t="shared" ca="1" si="120"/>
        <v>#N/A</v>
      </c>
      <c r="AG388" s="34" t="e">
        <f t="shared" ca="1" si="121"/>
        <v>#N/A</v>
      </c>
      <c r="AH388" s="34" t="e">
        <f t="shared" ca="1" si="122"/>
        <v>#N/A</v>
      </c>
      <c r="AI388" s="33" t="e">
        <f t="shared" ca="1" si="129"/>
        <v>#N/A</v>
      </c>
      <c r="AJ388" s="34" t="e">
        <f t="shared" ca="1" si="130"/>
        <v>#N/A</v>
      </c>
      <c r="AK388" s="34" t="e">
        <f t="shared" ca="1" si="123"/>
        <v>#N/A</v>
      </c>
      <c r="AL388" s="34" t="e">
        <f t="shared" ca="1" si="124"/>
        <v>#N/A</v>
      </c>
      <c r="AM388" s="33" t="e">
        <f t="shared" ca="1" si="131"/>
        <v>#N/A</v>
      </c>
      <c r="AN388" s="34" t="e">
        <f t="shared" ca="1" si="132"/>
        <v>#N/A</v>
      </c>
    </row>
    <row r="389" spans="1:40" x14ac:dyDescent="0.3">
      <c r="A389" s="2">
        <v>44027</v>
      </c>
      <c r="B389" s="9">
        <v>54.099997999999999</v>
      </c>
      <c r="C389" s="9">
        <v>74.190002000000007</v>
      </c>
      <c r="D389" s="9">
        <v>57.23</v>
      </c>
      <c r="E389" s="10"/>
      <c r="F389" s="13">
        <v>386</v>
      </c>
      <c r="G389" s="2">
        <v>44027</v>
      </c>
      <c r="H389" s="14">
        <f t="shared" ref="H389:H452" si="134">LN(B389/B388)</f>
        <v>3.9782718019298502E-2</v>
      </c>
      <c r="I389" s="14">
        <f t="shared" ref="I389:I452" si="135">LN(C389/C388)</f>
        <v>5.8705761302726367E-2</v>
      </c>
      <c r="J389" s="14">
        <f t="shared" ref="J389:J452" si="136">LN(D389/D388)</f>
        <v>5.0714045794408628E-2</v>
      </c>
      <c r="K389" s="22">
        <v>386</v>
      </c>
      <c r="L389" s="12"/>
      <c r="Q389" s="15">
        <f t="shared" ref="Q389:Q452" si="137">IF(Q388="","",IF(Q388+1&lt;=$M$6,Q388+1,""))</f>
        <v>386</v>
      </c>
      <c r="R389" s="2">
        <f t="shared" si="133"/>
        <v>44027</v>
      </c>
      <c r="S389" s="9">
        <f t="shared" ref="S389:S452" ca="1" si="138">IF(Q389="","",OFFSET(H$3,$Q389,0))</f>
        <v>3.9782718019298502E-2</v>
      </c>
      <c r="T389" s="9">
        <f t="shared" ref="T389:T452" ca="1" si="139">IF(R389="","",OFFSET(I$3,$Q389,0))</f>
        <v>5.8705761302726367E-2</v>
      </c>
      <c r="U389" s="9">
        <f t="shared" ref="U389:U452" ca="1" si="140">IF(S389="","",OFFSET(J$3,$Q389,0))</f>
        <v>5.0714045794408628E-2</v>
      </c>
      <c r="AB389" s="33" t="e">
        <f t="shared" ca="1" si="125"/>
        <v>#N/A</v>
      </c>
      <c r="AC389" s="34" t="e">
        <f t="shared" ca="1" si="126"/>
        <v>#N/A</v>
      </c>
      <c r="AD389" s="34" t="e">
        <f t="shared" ca="1" si="127"/>
        <v>#N/A</v>
      </c>
      <c r="AE389" s="33" t="e">
        <f t="shared" ca="1" si="128"/>
        <v>#N/A</v>
      </c>
      <c r="AF389" s="34" t="e">
        <f t="shared" ref="AF389:AF452" ca="1" si="141">IF(AB389&lt;=$X$6,(AE389/$X$5)/$X$7,"")</f>
        <v>#N/A</v>
      </c>
      <c r="AG389" s="34" t="e">
        <f t="shared" ref="AG389:AG452" ca="1" si="142">IF(AB389&lt;=$Y$6,AG388+$Y$7,"")</f>
        <v>#N/A</v>
      </c>
      <c r="AH389" s="34" t="e">
        <f t="shared" ref="AH389:AH452" ca="1" si="143">IF(AB389&lt;=$Y$6,AG389-$Y$7/2,"")</f>
        <v>#N/A</v>
      </c>
      <c r="AI389" s="33" t="e">
        <f t="shared" ca="1" si="129"/>
        <v>#N/A</v>
      </c>
      <c r="AJ389" s="34" t="e">
        <f t="shared" ca="1" si="130"/>
        <v>#N/A</v>
      </c>
      <c r="AK389" s="34" t="e">
        <f t="shared" ref="AK389:AK452" ca="1" si="144">IF(AB389&lt;=$Z$6,AK388+$Z$7,"")</f>
        <v>#N/A</v>
      </c>
      <c r="AL389" s="34" t="e">
        <f t="shared" ref="AL389:AL452" ca="1" si="145">IF(AB389&lt;=$Z$6,AK389-$Z$7/2,"")</f>
        <v>#N/A</v>
      </c>
      <c r="AM389" s="33" t="e">
        <f t="shared" ca="1" si="131"/>
        <v>#N/A</v>
      </c>
      <c r="AN389" s="34" t="e">
        <f t="shared" ca="1" si="132"/>
        <v>#N/A</v>
      </c>
    </row>
    <row r="390" spans="1:40" x14ac:dyDescent="0.3">
      <c r="A390" s="2">
        <v>44028</v>
      </c>
      <c r="B390" s="9">
        <v>54.669998</v>
      </c>
      <c r="C390" s="9">
        <v>74.599997999999999</v>
      </c>
      <c r="D390" s="9">
        <v>56.580002</v>
      </c>
      <c r="E390" s="10"/>
      <c r="F390" s="13">
        <v>387</v>
      </c>
      <c r="G390" s="2">
        <v>44028</v>
      </c>
      <c r="H390" s="14">
        <f t="shared" si="134"/>
        <v>1.0480927439913577E-2</v>
      </c>
      <c r="I390" s="14">
        <f t="shared" si="135"/>
        <v>5.5110832408180573E-3</v>
      </c>
      <c r="J390" s="14">
        <f t="shared" si="136"/>
        <v>-1.1422635199410803E-2</v>
      </c>
      <c r="K390" s="22">
        <v>387</v>
      </c>
      <c r="L390" s="12"/>
      <c r="Q390" s="15">
        <f t="shared" si="137"/>
        <v>387</v>
      </c>
      <c r="R390" s="2">
        <f t="shared" si="133"/>
        <v>44028</v>
      </c>
      <c r="S390" s="9">
        <f t="shared" ca="1" si="138"/>
        <v>1.0480927439913577E-2</v>
      </c>
      <c r="T390" s="9">
        <f t="shared" ca="1" si="139"/>
        <v>5.5110832408180573E-3</v>
      </c>
      <c r="U390" s="9">
        <f t="shared" ca="1" si="140"/>
        <v>-1.1422635199410803E-2</v>
      </c>
      <c r="AB390" s="33" t="e">
        <f t="shared" ref="AB390:AB453" ca="1" si="146">IF(AB389&lt;$X$6,AB389+1,NA())</f>
        <v>#N/A</v>
      </c>
      <c r="AC390" s="34" t="e">
        <f t="shared" ref="AC390:AC453" ca="1" si="147">IF(AB390&lt;=$X$6,AC389+$X$7,"")</f>
        <v>#N/A</v>
      </c>
      <c r="AD390" s="34" t="e">
        <f t="shared" ref="AD390:AD453" ca="1" si="148">IF(AB390&lt;=$X$6,AC390-$X$7/2,"")</f>
        <v>#N/A</v>
      </c>
      <c r="AE390" s="33" t="e">
        <f t="shared" ref="AE390:AE453" ca="1" si="149">IF(AB390&lt;=$X$6,COUNTIFS($S$3:$S$1260,"&gt;"&amp;AC389,$S$3:$S$1260,"&lt;="&amp;AC390),"")</f>
        <v>#N/A</v>
      </c>
      <c r="AF390" s="34" t="e">
        <f t="shared" ca="1" si="141"/>
        <v>#N/A</v>
      </c>
      <c r="AG390" s="34" t="e">
        <f t="shared" ca="1" si="142"/>
        <v>#N/A</v>
      </c>
      <c r="AH390" s="34" t="e">
        <f t="shared" ca="1" si="143"/>
        <v>#N/A</v>
      </c>
      <c r="AI390" s="33" t="e">
        <f t="shared" ref="AI390:AI453" ca="1" si="150">IF(AB390&lt;=$Y$6,COUNTIFS($T$3:$T$1260,"&gt;"&amp;AG389,$T$3:$T$1260,"&lt;="&amp;AG390),"")</f>
        <v>#N/A</v>
      </c>
      <c r="AJ390" s="34" t="e">
        <f t="shared" ref="AJ390:AJ453" ca="1" si="151">IF(AB390&lt;=$Y$6,(AI390/$Y$5)/$Y$7,"")</f>
        <v>#N/A</v>
      </c>
      <c r="AK390" s="34" t="e">
        <f t="shared" ca="1" si="144"/>
        <v>#N/A</v>
      </c>
      <c r="AL390" s="34" t="e">
        <f t="shared" ca="1" si="145"/>
        <v>#N/A</v>
      </c>
      <c r="AM390" s="33" t="e">
        <f t="shared" ref="AM390:AM453" ca="1" si="152">IF(AB390&lt;=$Z$6,COUNTIFS($U$3:$U$1260,"&gt;"&amp;AK389,$U$3:$U$1260,"&lt;="&amp;AK390),"")</f>
        <v>#N/A</v>
      </c>
      <c r="AN390" s="34" t="e">
        <f t="shared" ref="AN390:AN453" ca="1" si="153">IF(AB390&lt;=$Z$6,(AM390/$Z$5)/$Z$7,"")</f>
        <v>#N/A</v>
      </c>
    </row>
    <row r="391" spans="1:40" x14ac:dyDescent="0.3">
      <c r="A391" s="2">
        <v>44029</v>
      </c>
      <c r="B391" s="9">
        <v>54.16</v>
      </c>
      <c r="C391" s="9">
        <v>73.309997999999993</v>
      </c>
      <c r="D391" s="9">
        <v>55.470001000000003</v>
      </c>
      <c r="E391" s="10"/>
      <c r="F391" s="13">
        <v>388</v>
      </c>
      <c r="G391" s="2">
        <v>44029</v>
      </c>
      <c r="H391" s="14">
        <f t="shared" si="134"/>
        <v>-9.3724477197526159E-3</v>
      </c>
      <c r="I391" s="14">
        <f t="shared" si="135"/>
        <v>-1.7443482445976318E-2</v>
      </c>
      <c r="J391" s="14">
        <f t="shared" si="136"/>
        <v>-1.9813249126694295E-2</v>
      </c>
      <c r="K391" s="22">
        <v>388</v>
      </c>
      <c r="L391" s="12"/>
      <c r="Q391" s="15">
        <f t="shared" si="137"/>
        <v>388</v>
      </c>
      <c r="R391" s="2">
        <f t="shared" si="133"/>
        <v>44029</v>
      </c>
      <c r="S391" s="9">
        <f t="shared" ca="1" si="138"/>
        <v>-9.3724477197526159E-3</v>
      </c>
      <c r="T391" s="9">
        <f t="shared" ca="1" si="139"/>
        <v>-1.7443482445976318E-2</v>
      </c>
      <c r="U391" s="9">
        <f t="shared" ca="1" si="140"/>
        <v>-1.9813249126694295E-2</v>
      </c>
      <c r="AB391" s="33" t="e">
        <f t="shared" ca="1" si="146"/>
        <v>#N/A</v>
      </c>
      <c r="AC391" s="34" t="e">
        <f t="shared" ca="1" si="147"/>
        <v>#N/A</v>
      </c>
      <c r="AD391" s="34" t="e">
        <f t="shared" ca="1" si="148"/>
        <v>#N/A</v>
      </c>
      <c r="AE391" s="33" t="e">
        <f t="shared" ca="1" si="149"/>
        <v>#N/A</v>
      </c>
      <c r="AF391" s="34" t="e">
        <f t="shared" ca="1" si="141"/>
        <v>#N/A</v>
      </c>
      <c r="AG391" s="34" t="e">
        <f t="shared" ca="1" si="142"/>
        <v>#N/A</v>
      </c>
      <c r="AH391" s="34" t="e">
        <f t="shared" ca="1" si="143"/>
        <v>#N/A</v>
      </c>
      <c r="AI391" s="33" t="e">
        <f t="shared" ca="1" si="150"/>
        <v>#N/A</v>
      </c>
      <c r="AJ391" s="34" t="e">
        <f t="shared" ca="1" si="151"/>
        <v>#N/A</v>
      </c>
      <c r="AK391" s="34" t="e">
        <f t="shared" ca="1" si="144"/>
        <v>#N/A</v>
      </c>
      <c r="AL391" s="34" t="e">
        <f t="shared" ca="1" si="145"/>
        <v>#N/A</v>
      </c>
      <c r="AM391" s="33" t="e">
        <f t="shared" ca="1" si="152"/>
        <v>#N/A</v>
      </c>
      <c r="AN391" s="34" t="e">
        <f t="shared" ca="1" si="153"/>
        <v>#N/A</v>
      </c>
    </row>
    <row r="392" spans="1:40" x14ac:dyDescent="0.3">
      <c r="A392" s="2">
        <v>44032</v>
      </c>
      <c r="B392" s="9">
        <v>53.080002</v>
      </c>
      <c r="C392" s="9">
        <v>71.300003000000004</v>
      </c>
      <c r="D392" s="9">
        <v>54.330002</v>
      </c>
      <c r="E392" s="10"/>
      <c r="F392" s="13">
        <v>389</v>
      </c>
      <c r="G392" s="2">
        <v>44032</v>
      </c>
      <c r="H392" s="14">
        <f t="shared" si="134"/>
        <v>-2.0142381461038333E-2</v>
      </c>
      <c r="I392" s="14">
        <f t="shared" si="135"/>
        <v>-2.7800628458101224E-2</v>
      </c>
      <c r="J392" s="14">
        <f t="shared" si="136"/>
        <v>-2.0765754719400412E-2</v>
      </c>
      <c r="K392" s="22">
        <v>389</v>
      </c>
      <c r="L392" s="12"/>
      <c r="Q392" s="15">
        <f t="shared" si="137"/>
        <v>389</v>
      </c>
      <c r="R392" s="2">
        <f t="shared" si="133"/>
        <v>44032</v>
      </c>
      <c r="S392" s="9">
        <f t="shared" ca="1" si="138"/>
        <v>-2.0142381461038333E-2</v>
      </c>
      <c r="T392" s="9">
        <f t="shared" ca="1" si="139"/>
        <v>-2.7800628458101224E-2</v>
      </c>
      <c r="U392" s="9">
        <f t="shared" ca="1" si="140"/>
        <v>-2.0765754719400412E-2</v>
      </c>
      <c r="AB392" s="33" t="e">
        <f t="shared" ca="1" si="146"/>
        <v>#N/A</v>
      </c>
      <c r="AC392" s="34" t="e">
        <f t="shared" ca="1" si="147"/>
        <v>#N/A</v>
      </c>
      <c r="AD392" s="34" t="e">
        <f t="shared" ca="1" si="148"/>
        <v>#N/A</v>
      </c>
      <c r="AE392" s="33" t="e">
        <f t="shared" ca="1" si="149"/>
        <v>#N/A</v>
      </c>
      <c r="AF392" s="34" t="e">
        <f t="shared" ca="1" si="141"/>
        <v>#N/A</v>
      </c>
      <c r="AG392" s="34" t="e">
        <f t="shared" ca="1" si="142"/>
        <v>#N/A</v>
      </c>
      <c r="AH392" s="34" t="e">
        <f t="shared" ca="1" si="143"/>
        <v>#N/A</v>
      </c>
      <c r="AI392" s="33" t="e">
        <f t="shared" ca="1" si="150"/>
        <v>#N/A</v>
      </c>
      <c r="AJ392" s="34" t="e">
        <f t="shared" ca="1" si="151"/>
        <v>#N/A</v>
      </c>
      <c r="AK392" s="34" t="e">
        <f t="shared" ca="1" si="144"/>
        <v>#N/A</v>
      </c>
      <c r="AL392" s="34" t="e">
        <f t="shared" ca="1" si="145"/>
        <v>#N/A</v>
      </c>
      <c r="AM392" s="33" t="e">
        <f t="shared" ca="1" si="152"/>
        <v>#N/A</v>
      </c>
      <c r="AN392" s="34" t="e">
        <f t="shared" ca="1" si="153"/>
        <v>#N/A</v>
      </c>
    </row>
    <row r="393" spans="1:40" x14ac:dyDescent="0.3">
      <c r="A393" s="2">
        <v>44033</v>
      </c>
      <c r="B393" s="9">
        <v>53.599997999999999</v>
      </c>
      <c r="C393" s="9">
        <v>71.559997999999993</v>
      </c>
      <c r="D393" s="9">
        <v>57.580002</v>
      </c>
      <c r="E393" s="10"/>
      <c r="F393" s="13">
        <v>390</v>
      </c>
      <c r="G393" s="2">
        <v>44033</v>
      </c>
      <c r="H393" s="14">
        <f t="shared" si="134"/>
        <v>9.7487836203416379E-3</v>
      </c>
      <c r="I393" s="14">
        <f t="shared" si="135"/>
        <v>3.6398611959575699E-3</v>
      </c>
      <c r="J393" s="14">
        <f t="shared" si="136"/>
        <v>5.8098722542806513E-2</v>
      </c>
      <c r="K393" s="22">
        <v>390</v>
      </c>
      <c r="L393" s="12"/>
      <c r="Q393" s="15">
        <f t="shared" si="137"/>
        <v>390</v>
      </c>
      <c r="R393" s="2">
        <f t="shared" si="133"/>
        <v>44033</v>
      </c>
      <c r="S393" s="9">
        <f t="shared" ca="1" si="138"/>
        <v>9.7487836203416379E-3</v>
      </c>
      <c r="T393" s="9">
        <f t="shared" ca="1" si="139"/>
        <v>3.6398611959575699E-3</v>
      </c>
      <c r="U393" s="9">
        <f t="shared" ca="1" si="140"/>
        <v>5.8098722542806513E-2</v>
      </c>
      <c r="AB393" s="33" t="e">
        <f t="shared" ca="1" si="146"/>
        <v>#N/A</v>
      </c>
      <c r="AC393" s="34" t="e">
        <f t="shared" ca="1" si="147"/>
        <v>#N/A</v>
      </c>
      <c r="AD393" s="34" t="e">
        <f t="shared" ca="1" si="148"/>
        <v>#N/A</v>
      </c>
      <c r="AE393" s="33" t="e">
        <f t="shared" ca="1" si="149"/>
        <v>#N/A</v>
      </c>
      <c r="AF393" s="34" t="e">
        <f t="shared" ca="1" si="141"/>
        <v>#N/A</v>
      </c>
      <c r="AG393" s="34" t="e">
        <f t="shared" ca="1" si="142"/>
        <v>#N/A</v>
      </c>
      <c r="AH393" s="34" t="e">
        <f t="shared" ca="1" si="143"/>
        <v>#N/A</v>
      </c>
      <c r="AI393" s="33" t="e">
        <f t="shared" ca="1" si="150"/>
        <v>#N/A</v>
      </c>
      <c r="AJ393" s="34" t="e">
        <f t="shared" ca="1" si="151"/>
        <v>#N/A</v>
      </c>
      <c r="AK393" s="34" t="e">
        <f t="shared" ca="1" si="144"/>
        <v>#N/A</v>
      </c>
      <c r="AL393" s="34" t="e">
        <f t="shared" ca="1" si="145"/>
        <v>#N/A</v>
      </c>
      <c r="AM393" s="33" t="e">
        <f t="shared" ca="1" si="152"/>
        <v>#N/A</v>
      </c>
      <c r="AN393" s="34" t="e">
        <f t="shared" ca="1" si="153"/>
        <v>#N/A</v>
      </c>
    </row>
    <row r="394" spans="1:40" x14ac:dyDescent="0.3">
      <c r="A394" s="2">
        <v>44034</v>
      </c>
      <c r="B394" s="9">
        <v>53.549999</v>
      </c>
      <c r="C394" s="9">
        <v>71.360000999999997</v>
      </c>
      <c r="D394" s="9">
        <v>57.07</v>
      </c>
      <c r="E394" s="10"/>
      <c r="F394" s="13">
        <v>391</v>
      </c>
      <c r="G394" s="2">
        <v>44034</v>
      </c>
      <c r="H394" s="14">
        <f t="shared" si="134"/>
        <v>-9.3325254370152345E-4</v>
      </c>
      <c r="I394" s="14">
        <f t="shared" si="135"/>
        <v>-2.7987284067366378E-3</v>
      </c>
      <c r="J394" s="14">
        <f t="shared" si="136"/>
        <v>-8.8967353696951974E-3</v>
      </c>
      <c r="K394" s="22">
        <v>391</v>
      </c>
      <c r="L394" s="12"/>
      <c r="Q394" s="15">
        <f t="shared" si="137"/>
        <v>391</v>
      </c>
      <c r="R394" s="2">
        <f t="shared" si="133"/>
        <v>44034</v>
      </c>
      <c r="S394" s="9">
        <f t="shared" ca="1" si="138"/>
        <v>-9.3325254370152345E-4</v>
      </c>
      <c r="T394" s="9">
        <f t="shared" ca="1" si="139"/>
        <v>-2.7987284067366378E-3</v>
      </c>
      <c r="U394" s="9">
        <f t="shared" ca="1" si="140"/>
        <v>-8.8967353696951974E-3</v>
      </c>
      <c r="AB394" s="33" t="e">
        <f t="shared" ca="1" si="146"/>
        <v>#N/A</v>
      </c>
      <c r="AC394" s="34" t="e">
        <f t="shared" ca="1" si="147"/>
        <v>#N/A</v>
      </c>
      <c r="AD394" s="34" t="e">
        <f t="shared" ca="1" si="148"/>
        <v>#N/A</v>
      </c>
      <c r="AE394" s="33" t="e">
        <f t="shared" ca="1" si="149"/>
        <v>#N/A</v>
      </c>
      <c r="AF394" s="34" t="e">
        <f t="shared" ca="1" si="141"/>
        <v>#N/A</v>
      </c>
      <c r="AG394" s="34" t="e">
        <f t="shared" ca="1" si="142"/>
        <v>#N/A</v>
      </c>
      <c r="AH394" s="34" t="e">
        <f t="shared" ca="1" si="143"/>
        <v>#N/A</v>
      </c>
      <c r="AI394" s="33" t="e">
        <f t="shared" ca="1" si="150"/>
        <v>#N/A</v>
      </c>
      <c r="AJ394" s="34" t="e">
        <f t="shared" ca="1" si="151"/>
        <v>#N/A</v>
      </c>
      <c r="AK394" s="34" t="e">
        <f t="shared" ca="1" si="144"/>
        <v>#N/A</v>
      </c>
      <c r="AL394" s="34" t="e">
        <f t="shared" ca="1" si="145"/>
        <v>#N/A</v>
      </c>
      <c r="AM394" s="33" t="e">
        <f t="shared" ca="1" si="152"/>
        <v>#N/A</v>
      </c>
      <c r="AN394" s="34" t="e">
        <f t="shared" ca="1" si="153"/>
        <v>#N/A</v>
      </c>
    </row>
    <row r="395" spans="1:40" x14ac:dyDescent="0.3">
      <c r="A395" s="2">
        <v>44035</v>
      </c>
      <c r="B395" s="9">
        <v>53.849997999999999</v>
      </c>
      <c r="C395" s="9">
        <v>71.650002000000001</v>
      </c>
      <c r="D395" s="9">
        <v>57.669998</v>
      </c>
      <c r="E395" s="10"/>
      <c r="F395" s="13">
        <v>392</v>
      </c>
      <c r="G395" s="2">
        <v>44035</v>
      </c>
      <c r="H395" s="14">
        <f t="shared" si="134"/>
        <v>5.5865882425712695E-3</v>
      </c>
      <c r="I395" s="14">
        <f t="shared" si="135"/>
        <v>4.0556799024420035E-3</v>
      </c>
      <c r="J395" s="14">
        <f t="shared" si="136"/>
        <v>1.0458488398627707E-2</v>
      </c>
      <c r="K395" s="22">
        <v>392</v>
      </c>
      <c r="L395" s="12"/>
      <c r="Q395" s="15">
        <f t="shared" si="137"/>
        <v>392</v>
      </c>
      <c r="R395" s="2">
        <f t="shared" si="133"/>
        <v>44035</v>
      </c>
      <c r="S395" s="9">
        <f t="shared" ca="1" si="138"/>
        <v>5.5865882425712695E-3</v>
      </c>
      <c r="T395" s="9">
        <f t="shared" ca="1" si="139"/>
        <v>4.0556799024420035E-3</v>
      </c>
      <c r="U395" s="9">
        <f t="shared" ca="1" si="140"/>
        <v>1.0458488398627707E-2</v>
      </c>
      <c r="AB395" s="33" t="e">
        <f t="shared" ca="1" si="146"/>
        <v>#N/A</v>
      </c>
      <c r="AC395" s="34" t="e">
        <f t="shared" ca="1" si="147"/>
        <v>#N/A</v>
      </c>
      <c r="AD395" s="34" t="e">
        <f t="shared" ca="1" si="148"/>
        <v>#N/A</v>
      </c>
      <c r="AE395" s="33" t="e">
        <f t="shared" ca="1" si="149"/>
        <v>#N/A</v>
      </c>
      <c r="AF395" s="34" t="e">
        <f t="shared" ca="1" si="141"/>
        <v>#N/A</v>
      </c>
      <c r="AG395" s="34" t="e">
        <f t="shared" ca="1" si="142"/>
        <v>#N/A</v>
      </c>
      <c r="AH395" s="34" t="e">
        <f t="shared" ca="1" si="143"/>
        <v>#N/A</v>
      </c>
      <c r="AI395" s="33" t="e">
        <f t="shared" ca="1" si="150"/>
        <v>#N/A</v>
      </c>
      <c r="AJ395" s="34" t="e">
        <f t="shared" ca="1" si="151"/>
        <v>#N/A</v>
      </c>
      <c r="AK395" s="34" t="e">
        <f t="shared" ca="1" si="144"/>
        <v>#N/A</v>
      </c>
      <c r="AL395" s="34" t="e">
        <f t="shared" ca="1" si="145"/>
        <v>#N/A</v>
      </c>
      <c r="AM395" s="33" t="e">
        <f t="shared" ca="1" si="152"/>
        <v>#N/A</v>
      </c>
      <c r="AN395" s="34" t="e">
        <f t="shared" ca="1" si="153"/>
        <v>#N/A</v>
      </c>
    </row>
    <row r="396" spans="1:40" x14ac:dyDescent="0.3">
      <c r="A396" s="2">
        <v>44036</v>
      </c>
      <c r="B396" s="9">
        <v>52.73</v>
      </c>
      <c r="C396" s="9">
        <v>71.449996999999996</v>
      </c>
      <c r="D396" s="9">
        <v>57.98</v>
      </c>
      <c r="E396" s="10"/>
      <c r="F396" s="13">
        <v>393</v>
      </c>
      <c r="G396" s="2">
        <v>44036</v>
      </c>
      <c r="H396" s="14">
        <f t="shared" si="134"/>
        <v>-2.1017812919814222E-2</v>
      </c>
      <c r="I396" s="14">
        <f t="shared" si="135"/>
        <v>-2.7953197991770302E-3</v>
      </c>
      <c r="J396" s="14">
        <f t="shared" si="136"/>
        <v>5.3610505462650601E-3</v>
      </c>
      <c r="K396" s="22">
        <v>393</v>
      </c>
      <c r="L396" s="12"/>
      <c r="Q396" s="15">
        <f t="shared" si="137"/>
        <v>393</v>
      </c>
      <c r="R396" s="2">
        <f t="shared" si="133"/>
        <v>44036</v>
      </c>
      <c r="S396" s="9">
        <f t="shared" ca="1" si="138"/>
        <v>-2.1017812919814222E-2</v>
      </c>
      <c r="T396" s="9">
        <f t="shared" ca="1" si="139"/>
        <v>-2.7953197991770302E-3</v>
      </c>
      <c r="U396" s="9">
        <f t="shared" ca="1" si="140"/>
        <v>5.3610505462650601E-3</v>
      </c>
      <c r="AB396" s="33" t="e">
        <f t="shared" ca="1" si="146"/>
        <v>#N/A</v>
      </c>
      <c r="AC396" s="34" t="e">
        <f t="shared" ca="1" si="147"/>
        <v>#N/A</v>
      </c>
      <c r="AD396" s="34" t="e">
        <f t="shared" ca="1" si="148"/>
        <v>#N/A</v>
      </c>
      <c r="AE396" s="33" t="e">
        <f t="shared" ca="1" si="149"/>
        <v>#N/A</v>
      </c>
      <c r="AF396" s="34" t="e">
        <f t="shared" ca="1" si="141"/>
        <v>#N/A</v>
      </c>
      <c r="AG396" s="34" t="e">
        <f t="shared" ca="1" si="142"/>
        <v>#N/A</v>
      </c>
      <c r="AH396" s="34" t="e">
        <f t="shared" ca="1" si="143"/>
        <v>#N/A</v>
      </c>
      <c r="AI396" s="33" t="e">
        <f t="shared" ca="1" si="150"/>
        <v>#N/A</v>
      </c>
      <c r="AJ396" s="34" t="e">
        <f t="shared" ca="1" si="151"/>
        <v>#N/A</v>
      </c>
      <c r="AK396" s="34" t="e">
        <f t="shared" ca="1" si="144"/>
        <v>#N/A</v>
      </c>
      <c r="AL396" s="34" t="e">
        <f t="shared" ca="1" si="145"/>
        <v>#N/A</v>
      </c>
      <c r="AM396" s="33" t="e">
        <f t="shared" ca="1" si="152"/>
        <v>#N/A</v>
      </c>
      <c r="AN396" s="34" t="e">
        <f t="shared" ca="1" si="153"/>
        <v>#N/A</v>
      </c>
    </row>
    <row r="397" spans="1:40" x14ac:dyDescent="0.3">
      <c r="A397" s="2">
        <v>44039</v>
      </c>
      <c r="B397" s="9">
        <v>52.32</v>
      </c>
      <c r="C397" s="9">
        <v>71.610000999999997</v>
      </c>
      <c r="D397" s="9">
        <v>58.029998999999997</v>
      </c>
      <c r="E397" s="10"/>
      <c r="F397" s="13">
        <v>394</v>
      </c>
      <c r="G397" s="2">
        <v>44039</v>
      </c>
      <c r="H397" s="14">
        <f t="shared" si="134"/>
        <v>-7.8058463934350718E-3</v>
      </c>
      <c r="I397" s="14">
        <f t="shared" si="135"/>
        <v>2.2368805949066154E-3</v>
      </c>
      <c r="J397" s="14">
        <f t="shared" si="136"/>
        <v>8.6197747654134164E-4</v>
      </c>
      <c r="K397" s="22">
        <v>394</v>
      </c>
      <c r="L397" s="12"/>
      <c r="Q397" s="15">
        <f t="shared" si="137"/>
        <v>394</v>
      </c>
      <c r="R397" s="2">
        <f t="shared" si="133"/>
        <v>44039</v>
      </c>
      <c r="S397" s="9">
        <f t="shared" ca="1" si="138"/>
        <v>-7.8058463934350718E-3</v>
      </c>
      <c r="T397" s="9">
        <f t="shared" ca="1" si="139"/>
        <v>2.2368805949066154E-3</v>
      </c>
      <c r="U397" s="9">
        <f t="shared" ca="1" si="140"/>
        <v>8.6197747654134164E-4</v>
      </c>
      <c r="AB397" s="33" t="e">
        <f t="shared" ca="1" si="146"/>
        <v>#N/A</v>
      </c>
      <c r="AC397" s="34" t="e">
        <f t="shared" ca="1" si="147"/>
        <v>#N/A</v>
      </c>
      <c r="AD397" s="34" t="e">
        <f t="shared" ca="1" si="148"/>
        <v>#N/A</v>
      </c>
      <c r="AE397" s="33" t="e">
        <f t="shared" ca="1" si="149"/>
        <v>#N/A</v>
      </c>
      <c r="AF397" s="34" t="e">
        <f t="shared" ca="1" si="141"/>
        <v>#N/A</v>
      </c>
      <c r="AG397" s="34" t="e">
        <f t="shared" ca="1" si="142"/>
        <v>#N/A</v>
      </c>
      <c r="AH397" s="34" t="e">
        <f t="shared" ca="1" si="143"/>
        <v>#N/A</v>
      </c>
      <c r="AI397" s="33" t="e">
        <f t="shared" ca="1" si="150"/>
        <v>#N/A</v>
      </c>
      <c r="AJ397" s="34" t="e">
        <f t="shared" ca="1" si="151"/>
        <v>#N/A</v>
      </c>
      <c r="AK397" s="34" t="e">
        <f t="shared" ca="1" si="144"/>
        <v>#N/A</v>
      </c>
      <c r="AL397" s="34" t="e">
        <f t="shared" ca="1" si="145"/>
        <v>#N/A</v>
      </c>
      <c r="AM397" s="33" t="e">
        <f t="shared" ca="1" si="152"/>
        <v>#N/A</v>
      </c>
      <c r="AN397" s="34" t="e">
        <f t="shared" ca="1" si="153"/>
        <v>#N/A</v>
      </c>
    </row>
    <row r="398" spans="1:40" x14ac:dyDescent="0.3">
      <c r="A398" s="2">
        <v>44040</v>
      </c>
      <c r="B398" s="9">
        <v>51.139999000000003</v>
      </c>
      <c r="C398" s="9">
        <v>71.400002000000001</v>
      </c>
      <c r="D398" s="9">
        <v>56.889999000000003</v>
      </c>
      <c r="E398" s="10"/>
      <c r="F398" s="13">
        <v>395</v>
      </c>
      <c r="G398" s="2">
        <v>44040</v>
      </c>
      <c r="H398" s="14">
        <f t="shared" si="134"/>
        <v>-2.2811756840067907E-2</v>
      </c>
      <c r="I398" s="14">
        <f t="shared" si="135"/>
        <v>-2.9368456266355559E-3</v>
      </c>
      <c r="J398" s="14">
        <f t="shared" si="136"/>
        <v>-1.9840539785276456E-2</v>
      </c>
      <c r="K398" s="22">
        <v>395</v>
      </c>
      <c r="L398" s="12"/>
      <c r="Q398" s="15">
        <f t="shared" si="137"/>
        <v>395</v>
      </c>
      <c r="R398" s="2">
        <f t="shared" si="133"/>
        <v>44040</v>
      </c>
      <c r="S398" s="9">
        <f t="shared" ca="1" si="138"/>
        <v>-2.2811756840067907E-2</v>
      </c>
      <c r="T398" s="9">
        <f t="shared" ca="1" si="139"/>
        <v>-2.9368456266355559E-3</v>
      </c>
      <c r="U398" s="9">
        <f t="shared" ca="1" si="140"/>
        <v>-1.9840539785276456E-2</v>
      </c>
      <c r="AB398" s="33" t="e">
        <f t="shared" ca="1" si="146"/>
        <v>#N/A</v>
      </c>
      <c r="AC398" s="34" t="e">
        <f t="shared" ca="1" si="147"/>
        <v>#N/A</v>
      </c>
      <c r="AD398" s="34" t="e">
        <f t="shared" ca="1" si="148"/>
        <v>#N/A</v>
      </c>
      <c r="AE398" s="33" t="e">
        <f t="shared" ca="1" si="149"/>
        <v>#N/A</v>
      </c>
      <c r="AF398" s="34" t="e">
        <f t="shared" ca="1" si="141"/>
        <v>#N/A</v>
      </c>
      <c r="AG398" s="34" t="e">
        <f t="shared" ca="1" si="142"/>
        <v>#N/A</v>
      </c>
      <c r="AH398" s="34" t="e">
        <f t="shared" ca="1" si="143"/>
        <v>#N/A</v>
      </c>
      <c r="AI398" s="33" t="e">
        <f t="shared" ca="1" si="150"/>
        <v>#N/A</v>
      </c>
      <c r="AJ398" s="34" t="e">
        <f t="shared" ca="1" si="151"/>
        <v>#N/A</v>
      </c>
      <c r="AK398" s="34" t="e">
        <f t="shared" ca="1" si="144"/>
        <v>#N/A</v>
      </c>
      <c r="AL398" s="34" t="e">
        <f t="shared" ca="1" si="145"/>
        <v>#N/A</v>
      </c>
      <c r="AM398" s="33" t="e">
        <f t="shared" ca="1" si="152"/>
        <v>#N/A</v>
      </c>
      <c r="AN398" s="34" t="e">
        <f t="shared" ca="1" si="153"/>
        <v>#N/A</v>
      </c>
    </row>
    <row r="399" spans="1:40" x14ac:dyDescent="0.3">
      <c r="A399" s="2">
        <v>44041</v>
      </c>
      <c r="B399" s="9">
        <v>51.950001</v>
      </c>
      <c r="C399" s="9">
        <v>72.730002999999996</v>
      </c>
      <c r="D399" s="9">
        <v>59.689999</v>
      </c>
      <c r="E399" s="10"/>
      <c r="F399" s="13">
        <v>396</v>
      </c>
      <c r="G399" s="2">
        <v>44041</v>
      </c>
      <c r="H399" s="14">
        <f t="shared" si="134"/>
        <v>1.5714786485639051E-2</v>
      </c>
      <c r="I399" s="14">
        <f t="shared" si="135"/>
        <v>1.8456098058158784E-2</v>
      </c>
      <c r="J399" s="14">
        <f t="shared" si="136"/>
        <v>4.8044924242559184E-2</v>
      </c>
      <c r="K399" s="22">
        <v>396</v>
      </c>
      <c r="L399" s="12"/>
      <c r="Q399" s="15">
        <f t="shared" si="137"/>
        <v>396</v>
      </c>
      <c r="R399" s="2">
        <f t="shared" si="133"/>
        <v>44041</v>
      </c>
      <c r="S399" s="9">
        <f t="shared" ca="1" si="138"/>
        <v>1.5714786485639051E-2</v>
      </c>
      <c r="T399" s="9">
        <f t="shared" ca="1" si="139"/>
        <v>1.8456098058158784E-2</v>
      </c>
      <c r="U399" s="9">
        <f t="shared" ca="1" si="140"/>
        <v>4.8044924242559184E-2</v>
      </c>
      <c r="AB399" s="33" t="e">
        <f t="shared" ca="1" si="146"/>
        <v>#N/A</v>
      </c>
      <c r="AC399" s="34" t="e">
        <f t="shared" ca="1" si="147"/>
        <v>#N/A</v>
      </c>
      <c r="AD399" s="34" t="e">
        <f t="shared" ca="1" si="148"/>
        <v>#N/A</v>
      </c>
      <c r="AE399" s="33" t="e">
        <f t="shared" ca="1" si="149"/>
        <v>#N/A</v>
      </c>
      <c r="AF399" s="34" t="e">
        <f t="shared" ca="1" si="141"/>
        <v>#N/A</v>
      </c>
      <c r="AG399" s="34" t="e">
        <f t="shared" ca="1" si="142"/>
        <v>#N/A</v>
      </c>
      <c r="AH399" s="34" t="e">
        <f t="shared" ca="1" si="143"/>
        <v>#N/A</v>
      </c>
      <c r="AI399" s="33" t="e">
        <f t="shared" ca="1" si="150"/>
        <v>#N/A</v>
      </c>
      <c r="AJ399" s="34" t="e">
        <f t="shared" ca="1" si="151"/>
        <v>#N/A</v>
      </c>
      <c r="AK399" s="34" t="e">
        <f t="shared" ca="1" si="144"/>
        <v>#N/A</v>
      </c>
      <c r="AL399" s="34" t="e">
        <f t="shared" ca="1" si="145"/>
        <v>#N/A</v>
      </c>
      <c r="AM399" s="33" t="e">
        <f t="shared" ca="1" si="152"/>
        <v>#N/A</v>
      </c>
      <c r="AN399" s="34" t="e">
        <f t="shared" ca="1" si="153"/>
        <v>#N/A</v>
      </c>
    </row>
    <row r="400" spans="1:40" x14ac:dyDescent="0.3">
      <c r="A400" s="2">
        <v>44042</v>
      </c>
      <c r="B400" s="9">
        <v>50.93</v>
      </c>
      <c r="C400" s="9">
        <v>71.080001999999993</v>
      </c>
      <c r="D400" s="9">
        <v>56.330002</v>
      </c>
      <c r="E400" s="10"/>
      <c r="F400" s="13">
        <v>397</v>
      </c>
      <c r="G400" s="2">
        <v>44042</v>
      </c>
      <c r="H400" s="14">
        <f t="shared" si="134"/>
        <v>-1.9829595898001109E-2</v>
      </c>
      <c r="I400" s="14">
        <f t="shared" si="135"/>
        <v>-2.2947963991141396E-2</v>
      </c>
      <c r="J400" s="14">
        <f t="shared" si="136"/>
        <v>-5.7937197015651934E-2</v>
      </c>
      <c r="K400" s="22">
        <v>397</v>
      </c>
      <c r="L400" s="12"/>
      <c r="Q400" s="15">
        <f t="shared" si="137"/>
        <v>397</v>
      </c>
      <c r="R400" s="2">
        <f t="shared" si="133"/>
        <v>44042</v>
      </c>
      <c r="S400" s="9">
        <f t="shared" ca="1" si="138"/>
        <v>-1.9829595898001109E-2</v>
      </c>
      <c r="T400" s="9">
        <f t="shared" ca="1" si="139"/>
        <v>-2.2947963991141396E-2</v>
      </c>
      <c r="U400" s="9">
        <f t="shared" ca="1" si="140"/>
        <v>-5.7937197015651934E-2</v>
      </c>
      <c r="AB400" s="33" t="e">
        <f t="shared" ca="1" si="146"/>
        <v>#N/A</v>
      </c>
      <c r="AC400" s="34" t="e">
        <f t="shared" ca="1" si="147"/>
        <v>#N/A</v>
      </c>
      <c r="AD400" s="34" t="e">
        <f t="shared" ca="1" si="148"/>
        <v>#N/A</v>
      </c>
      <c r="AE400" s="33" t="e">
        <f t="shared" ca="1" si="149"/>
        <v>#N/A</v>
      </c>
      <c r="AF400" s="34" t="e">
        <f t="shared" ca="1" si="141"/>
        <v>#N/A</v>
      </c>
      <c r="AG400" s="34" t="e">
        <f t="shared" ca="1" si="142"/>
        <v>#N/A</v>
      </c>
      <c r="AH400" s="34" t="e">
        <f t="shared" ca="1" si="143"/>
        <v>#N/A</v>
      </c>
      <c r="AI400" s="33" t="e">
        <f t="shared" ca="1" si="150"/>
        <v>#N/A</v>
      </c>
      <c r="AJ400" s="34" t="e">
        <f t="shared" ca="1" si="151"/>
        <v>#N/A</v>
      </c>
      <c r="AK400" s="34" t="e">
        <f t="shared" ca="1" si="144"/>
        <v>#N/A</v>
      </c>
      <c r="AL400" s="34" t="e">
        <f t="shared" ca="1" si="145"/>
        <v>#N/A</v>
      </c>
      <c r="AM400" s="33" t="e">
        <f t="shared" ca="1" si="152"/>
        <v>#N/A</v>
      </c>
      <c r="AN400" s="34" t="e">
        <f t="shared" ca="1" si="153"/>
        <v>#N/A</v>
      </c>
    </row>
    <row r="401" spans="1:40" x14ac:dyDescent="0.3">
      <c r="A401" s="2">
        <v>44043</v>
      </c>
      <c r="B401" s="9">
        <v>50.869999</v>
      </c>
      <c r="C401" s="9">
        <v>71.300003000000004</v>
      </c>
      <c r="D401" s="9">
        <v>56.23</v>
      </c>
      <c r="E401" s="10"/>
      <c r="F401" s="13">
        <v>398</v>
      </c>
      <c r="G401" s="2">
        <v>44043</v>
      </c>
      <c r="H401" s="14">
        <f t="shared" si="134"/>
        <v>-1.1788017197914601E-3</v>
      </c>
      <c r="I401" s="14">
        <f t="shared" si="135"/>
        <v>3.0903380722255786E-3</v>
      </c>
      <c r="J401" s="14">
        <f t="shared" si="136"/>
        <v>-1.7768661075711271E-3</v>
      </c>
      <c r="K401" s="22">
        <v>398</v>
      </c>
      <c r="L401" s="12"/>
      <c r="Q401" s="15">
        <f t="shared" si="137"/>
        <v>398</v>
      </c>
      <c r="R401" s="2">
        <f t="shared" si="133"/>
        <v>44043</v>
      </c>
      <c r="S401" s="9">
        <f t="shared" ca="1" si="138"/>
        <v>-1.1788017197914601E-3</v>
      </c>
      <c r="T401" s="9">
        <f t="shared" ca="1" si="139"/>
        <v>3.0903380722255786E-3</v>
      </c>
      <c r="U401" s="9">
        <f t="shared" ca="1" si="140"/>
        <v>-1.7768661075711271E-3</v>
      </c>
      <c r="AB401" s="33" t="e">
        <f t="shared" ca="1" si="146"/>
        <v>#N/A</v>
      </c>
      <c r="AC401" s="34" t="e">
        <f t="shared" ca="1" si="147"/>
        <v>#N/A</v>
      </c>
      <c r="AD401" s="34" t="e">
        <f t="shared" ca="1" si="148"/>
        <v>#N/A</v>
      </c>
      <c r="AE401" s="33" t="e">
        <f t="shared" ca="1" si="149"/>
        <v>#N/A</v>
      </c>
      <c r="AF401" s="34" t="e">
        <f t="shared" ca="1" si="141"/>
        <v>#N/A</v>
      </c>
      <c r="AG401" s="34" t="e">
        <f t="shared" ca="1" si="142"/>
        <v>#N/A</v>
      </c>
      <c r="AH401" s="34" t="e">
        <f t="shared" ca="1" si="143"/>
        <v>#N/A</v>
      </c>
      <c r="AI401" s="33" t="e">
        <f t="shared" ca="1" si="150"/>
        <v>#N/A</v>
      </c>
      <c r="AJ401" s="34" t="e">
        <f t="shared" ca="1" si="151"/>
        <v>#N/A</v>
      </c>
      <c r="AK401" s="34" t="e">
        <f t="shared" ca="1" si="144"/>
        <v>#N/A</v>
      </c>
      <c r="AL401" s="34" t="e">
        <f t="shared" ca="1" si="145"/>
        <v>#N/A</v>
      </c>
      <c r="AM401" s="33" t="e">
        <f t="shared" ca="1" si="152"/>
        <v>#N/A</v>
      </c>
      <c r="AN401" s="34" t="e">
        <f t="shared" ca="1" si="153"/>
        <v>#N/A</v>
      </c>
    </row>
    <row r="402" spans="1:40" x14ac:dyDescent="0.3">
      <c r="A402" s="2">
        <v>44046</v>
      </c>
      <c r="B402" s="9">
        <v>51</v>
      </c>
      <c r="C402" s="9">
        <v>69.720000999999996</v>
      </c>
      <c r="D402" s="9">
        <v>53.91</v>
      </c>
      <c r="E402" s="10"/>
      <c r="F402" s="13">
        <v>399</v>
      </c>
      <c r="G402" s="2">
        <v>44046</v>
      </c>
      <c r="H402" s="14">
        <f t="shared" si="134"/>
        <v>2.5522935476040651E-3</v>
      </c>
      <c r="I402" s="14">
        <f t="shared" si="135"/>
        <v>-2.2409134501079054E-2</v>
      </c>
      <c r="J402" s="14">
        <f t="shared" si="136"/>
        <v>-4.2134432840532997E-2</v>
      </c>
      <c r="K402" s="22">
        <v>399</v>
      </c>
      <c r="L402" s="12"/>
      <c r="Q402" s="15">
        <f t="shared" si="137"/>
        <v>399</v>
      </c>
      <c r="R402" s="2">
        <f t="shared" si="133"/>
        <v>44046</v>
      </c>
      <c r="S402" s="9">
        <f t="shared" ca="1" si="138"/>
        <v>2.5522935476040651E-3</v>
      </c>
      <c r="T402" s="9">
        <f t="shared" ca="1" si="139"/>
        <v>-2.2409134501079054E-2</v>
      </c>
      <c r="U402" s="9">
        <f t="shared" ca="1" si="140"/>
        <v>-4.2134432840532997E-2</v>
      </c>
      <c r="AB402" s="33" t="e">
        <f t="shared" ca="1" si="146"/>
        <v>#N/A</v>
      </c>
      <c r="AC402" s="34" t="e">
        <f t="shared" ca="1" si="147"/>
        <v>#N/A</v>
      </c>
      <c r="AD402" s="34" t="e">
        <f t="shared" ca="1" si="148"/>
        <v>#N/A</v>
      </c>
      <c r="AE402" s="33" t="e">
        <f t="shared" ca="1" si="149"/>
        <v>#N/A</v>
      </c>
      <c r="AF402" s="34" t="e">
        <f t="shared" ca="1" si="141"/>
        <v>#N/A</v>
      </c>
      <c r="AG402" s="34" t="e">
        <f t="shared" ca="1" si="142"/>
        <v>#N/A</v>
      </c>
      <c r="AH402" s="34" t="e">
        <f t="shared" ca="1" si="143"/>
        <v>#N/A</v>
      </c>
      <c r="AI402" s="33" t="e">
        <f t="shared" ca="1" si="150"/>
        <v>#N/A</v>
      </c>
      <c r="AJ402" s="34" t="e">
        <f t="shared" ca="1" si="151"/>
        <v>#N/A</v>
      </c>
      <c r="AK402" s="34" t="e">
        <f t="shared" ca="1" si="144"/>
        <v>#N/A</v>
      </c>
      <c r="AL402" s="34" t="e">
        <f t="shared" ca="1" si="145"/>
        <v>#N/A</v>
      </c>
      <c r="AM402" s="33" t="e">
        <f t="shared" ca="1" si="152"/>
        <v>#N/A</v>
      </c>
      <c r="AN402" s="34" t="e">
        <f t="shared" ca="1" si="153"/>
        <v>#N/A</v>
      </c>
    </row>
    <row r="403" spans="1:40" x14ac:dyDescent="0.3">
      <c r="A403" s="2">
        <v>44047</v>
      </c>
      <c r="B403" s="9">
        <v>51.810001</v>
      </c>
      <c r="C403" s="9">
        <v>66.680000000000007</v>
      </c>
      <c r="D403" s="9">
        <v>53.02</v>
      </c>
      <c r="E403" s="10"/>
      <c r="F403" s="13">
        <v>400</v>
      </c>
      <c r="G403" s="2">
        <v>44047</v>
      </c>
      <c r="H403" s="14">
        <f t="shared" si="134"/>
        <v>1.575756740366413E-2</v>
      </c>
      <c r="I403" s="14">
        <f t="shared" si="135"/>
        <v>-4.458217711231325E-2</v>
      </c>
      <c r="J403" s="14">
        <f t="shared" si="136"/>
        <v>-1.6646788602697714E-2</v>
      </c>
      <c r="K403" s="22">
        <v>400</v>
      </c>
      <c r="L403" s="12"/>
      <c r="Q403" s="15">
        <f t="shared" si="137"/>
        <v>400</v>
      </c>
      <c r="R403" s="2">
        <f t="shared" si="133"/>
        <v>44047</v>
      </c>
      <c r="S403" s="9">
        <f t="shared" ca="1" si="138"/>
        <v>1.575756740366413E-2</v>
      </c>
      <c r="T403" s="9">
        <f t="shared" ca="1" si="139"/>
        <v>-4.458217711231325E-2</v>
      </c>
      <c r="U403" s="9">
        <f t="shared" ca="1" si="140"/>
        <v>-1.6646788602697714E-2</v>
      </c>
      <c r="AB403" s="33" t="e">
        <f t="shared" ca="1" si="146"/>
        <v>#N/A</v>
      </c>
      <c r="AC403" s="34" t="e">
        <f t="shared" ca="1" si="147"/>
        <v>#N/A</v>
      </c>
      <c r="AD403" s="34" t="e">
        <f t="shared" ca="1" si="148"/>
        <v>#N/A</v>
      </c>
      <c r="AE403" s="33" t="e">
        <f t="shared" ca="1" si="149"/>
        <v>#N/A</v>
      </c>
      <c r="AF403" s="34" t="e">
        <f t="shared" ca="1" si="141"/>
        <v>#N/A</v>
      </c>
      <c r="AG403" s="34" t="e">
        <f t="shared" ca="1" si="142"/>
        <v>#N/A</v>
      </c>
      <c r="AH403" s="34" t="e">
        <f t="shared" ca="1" si="143"/>
        <v>#N/A</v>
      </c>
      <c r="AI403" s="33" t="e">
        <f t="shared" ca="1" si="150"/>
        <v>#N/A</v>
      </c>
      <c r="AJ403" s="34" t="e">
        <f t="shared" ca="1" si="151"/>
        <v>#N/A</v>
      </c>
      <c r="AK403" s="34" t="e">
        <f t="shared" ca="1" si="144"/>
        <v>#N/A</v>
      </c>
      <c r="AL403" s="34" t="e">
        <f t="shared" ca="1" si="145"/>
        <v>#N/A</v>
      </c>
      <c r="AM403" s="33" t="e">
        <f t="shared" ca="1" si="152"/>
        <v>#N/A</v>
      </c>
      <c r="AN403" s="34" t="e">
        <f t="shared" ca="1" si="153"/>
        <v>#N/A</v>
      </c>
    </row>
    <row r="404" spans="1:40" x14ac:dyDescent="0.3">
      <c r="A404" s="2">
        <v>44048</v>
      </c>
      <c r="B404" s="9">
        <v>53.209999000000003</v>
      </c>
      <c r="C404" s="9">
        <v>68.510002</v>
      </c>
      <c r="D404" s="9">
        <v>51.619999</v>
      </c>
      <c r="E404" s="10"/>
      <c r="F404" s="13">
        <v>401</v>
      </c>
      <c r="G404" s="2">
        <v>44048</v>
      </c>
      <c r="H404" s="14">
        <f t="shared" si="134"/>
        <v>2.6663129686827988E-2</v>
      </c>
      <c r="I404" s="14">
        <f t="shared" si="135"/>
        <v>2.7074691325032565E-2</v>
      </c>
      <c r="J404" s="14">
        <f t="shared" si="136"/>
        <v>-2.676002594274822E-2</v>
      </c>
      <c r="K404" s="22">
        <v>401</v>
      </c>
      <c r="L404" s="12"/>
      <c r="Q404" s="15">
        <f t="shared" si="137"/>
        <v>401</v>
      </c>
      <c r="R404" s="2">
        <f t="shared" si="133"/>
        <v>44048</v>
      </c>
      <c r="S404" s="9">
        <f t="shared" ca="1" si="138"/>
        <v>2.6663129686827988E-2</v>
      </c>
      <c r="T404" s="9">
        <f t="shared" ca="1" si="139"/>
        <v>2.7074691325032565E-2</v>
      </c>
      <c r="U404" s="9">
        <f t="shared" ca="1" si="140"/>
        <v>-2.676002594274822E-2</v>
      </c>
      <c r="AB404" s="33" t="e">
        <f t="shared" ca="1" si="146"/>
        <v>#N/A</v>
      </c>
      <c r="AC404" s="34" t="e">
        <f t="shared" ca="1" si="147"/>
        <v>#N/A</v>
      </c>
      <c r="AD404" s="34" t="e">
        <f t="shared" ca="1" si="148"/>
        <v>#N/A</v>
      </c>
      <c r="AE404" s="33" t="e">
        <f t="shared" ca="1" si="149"/>
        <v>#N/A</v>
      </c>
      <c r="AF404" s="34" t="e">
        <f t="shared" ca="1" si="141"/>
        <v>#N/A</v>
      </c>
      <c r="AG404" s="34" t="e">
        <f t="shared" ca="1" si="142"/>
        <v>#N/A</v>
      </c>
      <c r="AH404" s="34" t="e">
        <f t="shared" ca="1" si="143"/>
        <v>#N/A</v>
      </c>
      <c r="AI404" s="33" t="e">
        <f t="shared" ca="1" si="150"/>
        <v>#N/A</v>
      </c>
      <c r="AJ404" s="34" t="e">
        <f t="shared" ca="1" si="151"/>
        <v>#N/A</v>
      </c>
      <c r="AK404" s="34" t="e">
        <f t="shared" ca="1" si="144"/>
        <v>#N/A</v>
      </c>
      <c r="AL404" s="34" t="e">
        <f t="shared" ca="1" si="145"/>
        <v>#N/A</v>
      </c>
      <c r="AM404" s="33" t="e">
        <f t="shared" ca="1" si="152"/>
        <v>#N/A</v>
      </c>
      <c r="AN404" s="34" t="e">
        <f t="shared" ca="1" si="153"/>
        <v>#N/A</v>
      </c>
    </row>
    <row r="405" spans="1:40" x14ac:dyDescent="0.3">
      <c r="A405" s="2">
        <v>44049</v>
      </c>
      <c r="B405" s="9">
        <v>52.799999</v>
      </c>
      <c r="C405" s="9">
        <v>64.889999000000003</v>
      </c>
      <c r="D405" s="9">
        <v>51.48</v>
      </c>
      <c r="E405" s="10"/>
      <c r="F405" s="13">
        <v>402</v>
      </c>
      <c r="G405" s="2">
        <v>44049</v>
      </c>
      <c r="H405" s="14">
        <f t="shared" si="134"/>
        <v>-7.7351580419962327E-3</v>
      </c>
      <c r="I405" s="14">
        <f t="shared" si="135"/>
        <v>-5.4286235985243826E-2</v>
      </c>
      <c r="J405" s="14">
        <f t="shared" si="136"/>
        <v>-2.7157921902054767E-3</v>
      </c>
      <c r="K405" s="22">
        <v>402</v>
      </c>
      <c r="L405" s="12"/>
      <c r="Q405" s="15">
        <f t="shared" si="137"/>
        <v>402</v>
      </c>
      <c r="R405" s="2">
        <f t="shared" si="133"/>
        <v>44049</v>
      </c>
      <c r="S405" s="9">
        <f t="shared" ca="1" si="138"/>
        <v>-7.7351580419962327E-3</v>
      </c>
      <c r="T405" s="9">
        <f t="shared" ca="1" si="139"/>
        <v>-5.4286235985243826E-2</v>
      </c>
      <c r="U405" s="9">
        <f t="shared" ca="1" si="140"/>
        <v>-2.7157921902054767E-3</v>
      </c>
      <c r="AB405" s="33" t="e">
        <f t="shared" ca="1" si="146"/>
        <v>#N/A</v>
      </c>
      <c r="AC405" s="34" t="e">
        <f t="shared" ca="1" si="147"/>
        <v>#N/A</v>
      </c>
      <c r="AD405" s="34" t="e">
        <f t="shared" ca="1" si="148"/>
        <v>#N/A</v>
      </c>
      <c r="AE405" s="33" t="e">
        <f t="shared" ca="1" si="149"/>
        <v>#N/A</v>
      </c>
      <c r="AF405" s="34" t="e">
        <f t="shared" ca="1" si="141"/>
        <v>#N/A</v>
      </c>
      <c r="AG405" s="34" t="e">
        <f t="shared" ca="1" si="142"/>
        <v>#N/A</v>
      </c>
      <c r="AH405" s="34" t="e">
        <f t="shared" ca="1" si="143"/>
        <v>#N/A</v>
      </c>
      <c r="AI405" s="33" t="e">
        <f t="shared" ca="1" si="150"/>
        <v>#N/A</v>
      </c>
      <c r="AJ405" s="34" t="e">
        <f t="shared" ca="1" si="151"/>
        <v>#N/A</v>
      </c>
      <c r="AK405" s="34" t="e">
        <f t="shared" ca="1" si="144"/>
        <v>#N/A</v>
      </c>
      <c r="AL405" s="34" t="e">
        <f t="shared" ca="1" si="145"/>
        <v>#N/A</v>
      </c>
      <c r="AM405" s="33" t="e">
        <f t="shared" ca="1" si="152"/>
        <v>#N/A</v>
      </c>
      <c r="AN405" s="34" t="e">
        <f t="shared" ca="1" si="153"/>
        <v>#N/A</v>
      </c>
    </row>
    <row r="406" spans="1:40" x14ac:dyDescent="0.3">
      <c r="A406" s="2">
        <v>44050</v>
      </c>
      <c r="B406" s="9">
        <v>53.580002</v>
      </c>
      <c r="C406" s="9">
        <v>65.959998999999996</v>
      </c>
      <c r="D406" s="9">
        <v>52.66</v>
      </c>
      <c r="E406" s="10"/>
      <c r="F406" s="13">
        <v>403</v>
      </c>
      <c r="G406" s="2">
        <v>44050</v>
      </c>
      <c r="H406" s="14">
        <f t="shared" si="134"/>
        <v>1.4664729671001218E-2</v>
      </c>
      <c r="I406" s="14">
        <f t="shared" si="135"/>
        <v>1.6354969308312577E-2</v>
      </c>
      <c r="J406" s="14">
        <f t="shared" si="136"/>
        <v>2.2662771340237448E-2</v>
      </c>
      <c r="K406" s="22">
        <v>403</v>
      </c>
      <c r="L406" s="12"/>
      <c r="Q406" s="15">
        <f t="shared" si="137"/>
        <v>403</v>
      </c>
      <c r="R406" s="2">
        <f t="shared" si="133"/>
        <v>44050</v>
      </c>
      <c r="S406" s="9">
        <f t="shared" ca="1" si="138"/>
        <v>1.4664729671001218E-2</v>
      </c>
      <c r="T406" s="9">
        <f t="shared" ca="1" si="139"/>
        <v>1.6354969308312577E-2</v>
      </c>
      <c r="U406" s="9">
        <f t="shared" ca="1" si="140"/>
        <v>2.2662771340237448E-2</v>
      </c>
      <c r="AB406" s="33" t="e">
        <f t="shared" ca="1" si="146"/>
        <v>#N/A</v>
      </c>
      <c r="AC406" s="34" t="e">
        <f t="shared" ca="1" si="147"/>
        <v>#N/A</v>
      </c>
      <c r="AD406" s="34" t="e">
        <f t="shared" ca="1" si="148"/>
        <v>#N/A</v>
      </c>
      <c r="AE406" s="33" t="e">
        <f t="shared" ca="1" si="149"/>
        <v>#N/A</v>
      </c>
      <c r="AF406" s="34" t="e">
        <f t="shared" ca="1" si="141"/>
        <v>#N/A</v>
      </c>
      <c r="AG406" s="34" t="e">
        <f t="shared" ca="1" si="142"/>
        <v>#N/A</v>
      </c>
      <c r="AH406" s="34" t="e">
        <f t="shared" ca="1" si="143"/>
        <v>#N/A</v>
      </c>
      <c r="AI406" s="33" t="e">
        <f t="shared" ca="1" si="150"/>
        <v>#N/A</v>
      </c>
      <c r="AJ406" s="34" t="e">
        <f t="shared" ca="1" si="151"/>
        <v>#N/A</v>
      </c>
      <c r="AK406" s="34" t="e">
        <f t="shared" ca="1" si="144"/>
        <v>#N/A</v>
      </c>
      <c r="AL406" s="34" t="e">
        <f t="shared" ca="1" si="145"/>
        <v>#N/A</v>
      </c>
      <c r="AM406" s="33" t="e">
        <f t="shared" ca="1" si="152"/>
        <v>#N/A</v>
      </c>
      <c r="AN406" s="34" t="e">
        <f t="shared" ca="1" si="153"/>
        <v>#N/A</v>
      </c>
    </row>
    <row r="407" spans="1:40" x14ac:dyDescent="0.3">
      <c r="A407" s="2">
        <v>44053</v>
      </c>
      <c r="B407" s="9">
        <v>55.099997999999999</v>
      </c>
      <c r="C407" s="9">
        <v>68.680000000000007</v>
      </c>
      <c r="D407" s="9">
        <v>53.549999</v>
      </c>
      <c r="E407" s="10"/>
      <c r="F407" s="13">
        <v>404</v>
      </c>
      <c r="G407" s="2">
        <v>44053</v>
      </c>
      <c r="H407" s="14">
        <f t="shared" si="134"/>
        <v>2.7973778417404557E-2</v>
      </c>
      <c r="I407" s="14">
        <f t="shared" si="135"/>
        <v>4.0409553498580407E-2</v>
      </c>
      <c r="J407" s="14">
        <f t="shared" si="136"/>
        <v>1.6759624151457923E-2</v>
      </c>
      <c r="K407" s="22">
        <v>404</v>
      </c>
      <c r="L407" s="12"/>
      <c r="Q407" s="15">
        <f t="shared" si="137"/>
        <v>404</v>
      </c>
      <c r="R407" s="2">
        <f t="shared" si="133"/>
        <v>44053</v>
      </c>
      <c r="S407" s="9">
        <f t="shared" ca="1" si="138"/>
        <v>2.7973778417404557E-2</v>
      </c>
      <c r="T407" s="9">
        <f t="shared" ca="1" si="139"/>
        <v>4.0409553498580407E-2</v>
      </c>
      <c r="U407" s="9">
        <f t="shared" ca="1" si="140"/>
        <v>1.6759624151457923E-2</v>
      </c>
      <c r="AB407" s="33" t="e">
        <f t="shared" ca="1" si="146"/>
        <v>#N/A</v>
      </c>
      <c r="AC407" s="34" t="e">
        <f t="shared" ca="1" si="147"/>
        <v>#N/A</v>
      </c>
      <c r="AD407" s="34" t="e">
        <f t="shared" ca="1" si="148"/>
        <v>#N/A</v>
      </c>
      <c r="AE407" s="33" t="e">
        <f t="shared" ca="1" si="149"/>
        <v>#N/A</v>
      </c>
      <c r="AF407" s="34" t="e">
        <f t="shared" ca="1" si="141"/>
        <v>#N/A</v>
      </c>
      <c r="AG407" s="34" t="e">
        <f t="shared" ca="1" si="142"/>
        <v>#N/A</v>
      </c>
      <c r="AH407" s="34" t="e">
        <f t="shared" ca="1" si="143"/>
        <v>#N/A</v>
      </c>
      <c r="AI407" s="33" t="e">
        <f t="shared" ca="1" si="150"/>
        <v>#N/A</v>
      </c>
      <c r="AJ407" s="34" t="e">
        <f t="shared" ca="1" si="151"/>
        <v>#N/A</v>
      </c>
      <c r="AK407" s="34" t="e">
        <f t="shared" ca="1" si="144"/>
        <v>#N/A</v>
      </c>
      <c r="AL407" s="34" t="e">
        <f t="shared" ca="1" si="145"/>
        <v>#N/A</v>
      </c>
      <c r="AM407" s="33" t="e">
        <f t="shared" ca="1" si="152"/>
        <v>#N/A</v>
      </c>
      <c r="AN407" s="34" t="e">
        <f t="shared" ca="1" si="153"/>
        <v>#N/A</v>
      </c>
    </row>
    <row r="408" spans="1:40" x14ac:dyDescent="0.3">
      <c r="A408" s="2">
        <v>44054</v>
      </c>
      <c r="B408" s="9">
        <v>56.02</v>
      </c>
      <c r="C408" s="9">
        <v>70.209998999999996</v>
      </c>
      <c r="D408" s="9">
        <v>53.650002000000001</v>
      </c>
      <c r="E408" s="10"/>
      <c r="F408" s="13">
        <v>405</v>
      </c>
      <c r="G408" s="2">
        <v>44054</v>
      </c>
      <c r="H408" s="14">
        <f t="shared" si="134"/>
        <v>1.655908997073513E-2</v>
      </c>
      <c r="I408" s="14">
        <f t="shared" si="135"/>
        <v>2.2032700756897186E-2</v>
      </c>
      <c r="J408" s="14">
        <f t="shared" si="136"/>
        <v>1.8657281357434901E-3</v>
      </c>
      <c r="K408" s="22">
        <v>405</v>
      </c>
      <c r="L408" s="12"/>
      <c r="Q408" s="15">
        <f t="shared" si="137"/>
        <v>405</v>
      </c>
      <c r="R408" s="2">
        <f t="shared" si="133"/>
        <v>44054</v>
      </c>
      <c r="S408" s="9">
        <f t="shared" ca="1" si="138"/>
        <v>1.655908997073513E-2</v>
      </c>
      <c r="T408" s="9">
        <f t="shared" ca="1" si="139"/>
        <v>2.2032700756897186E-2</v>
      </c>
      <c r="U408" s="9">
        <f t="shared" ca="1" si="140"/>
        <v>1.8657281357434901E-3</v>
      </c>
      <c r="AB408" s="33" t="e">
        <f t="shared" ca="1" si="146"/>
        <v>#N/A</v>
      </c>
      <c r="AC408" s="34" t="e">
        <f t="shared" ca="1" si="147"/>
        <v>#N/A</v>
      </c>
      <c r="AD408" s="34" t="e">
        <f t="shared" ca="1" si="148"/>
        <v>#N/A</v>
      </c>
      <c r="AE408" s="33" t="e">
        <f t="shared" ca="1" si="149"/>
        <v>#N/A</v>
      </c>
      <c r="AF408" s="34" t="e">
        <f t="shared" ca="1" si="141"/>
        <v>#N/A</v>
      </c>
      <c r="AG408" s="34" t="e">
        <f t="shared" ca="1" si="142"/>
        <v>#N/A</v>
      </c>
      <c r="AH408" s="34" t="e">
        <f t="shared" ca="1" si="143"/>
        <v>#N/A</v>
      </c>
      <c r="AI408" s="33" t="e">
        <f t="shared" ca="1" si="150"/>
        <v>#N/A</v>
      </c>
      <c r="AJ408" s="34" t="e">
        <f t="shared" ca="1" si="151"/>
        <v>#N/A</v>
      </c>
      <c r="AK408" s="34" t="e">
        <f t="shared" ca="1" si="144"/>
        <v>#N/A</v>
      </c>
      <c r="AL408" s="34" t="e">
        <f t="shared" ca="1" si="145"/>
        <v>#N/A</v>
      </c>
      <c r="AM408" s="33" t="e">
        <f t="shared" ca="1" si="152"/>
        <v>#N/A</v>
      </c>
      <c r="AN408" s="34" t="e">
        <f t="shared" ca="1" si="153"/>
        <v>#N/A</v>
      </c>
    </row>
    <row r="409" spans="1:40" x14ac:dyDescent="0.3">
      <c r="A409" s="2">
        <v>44055</v>
      </c>
      <c r="B409" s="9">
        <v>56.52</v>
      </c>
      <c r="C409" s="9">
        <v>69.809997999999993</v>
      </c>
      <c r="D409" s="9">
        <v>55.119999</v>
      </c>
      <c r="E409" s="10"/>
      <c r="F409" s="13">
        <v>406</v>
      </c>
      <c r="G409" s="2">
        <v>44055</v>
      </c>
      <c r="H409" s="14">
        <f t="shared" si="134"/>
        <v>8.8857879843642837E-3</v>
      </c>
      <c r="I409" s="14">
        <f t="shared" si="135"/>
        <v>-5.7134994530531526E-3</v>
      </c>
      <c r="J409" s="14">
        <f t="shared" si="136"/>
        <v>2.7031102207803036E-2</v>
      </c>
      <c r="K409" s="22">
        <v>406</v>
      </c>
      <c r="L409" s="12"/>
      <c r="Q409" s="15">
        <f t="shared" si="137"/>
        <v>406</v>
      </c>
      <c r="R409" s="2">
        <f t="shared" si="133"/>
        <v>44055</v>
      </c>
      <c r="S409" s="9">
        <f t="shared" ca="1" si="138"/>
        <v>8.8857879843642837E-3</v>
      </c>
      <c r="T409" s="9">
        <f t="shared" ca="1" si="139"/>
        <v>-5.7134994530531526E-3</v>
      </c>
      <c r="U409" s="9">
        <f t="shared" ca="1" si="140"/>
        <v>2.7031102207803036E-2</v>
      </c>
      <c r="AB409" s="33" t="e">
        <f t="shared" ca="1" si="146"/>
        <v>#N/A</v>
      </c>
      <c r="AC409" s="34" t="e">
        <f t="shared" ca="1" si="147"/>
        <v>#N/A</v>
      </c>
      <c r="AD409" s="34" t="e">
        <f t="shared" ca="1" si="148"/>
        <v>#N/A</v>
      </c>
      <c r="AE409" s="33" t="e">
        <f t="shared" ca="1" si="149"/>
        <v>#N/A</v>
      </c>
      <c r="AF409" s="34" t="e">
        <f t="shared" ca="1" si="141"/>
        <v>#N/A</v>
      </c>
      <c r="AG409" s="34" t="e">
        <f t="shared" ca="1" si="142"/>
        <v>#N/A</v>
      </c>
      <c r="AH409" s="34" t="e">
        <f t="shared" ca="1" si="143"/>
        <v>#N/A</v>
      </c>
      <c r="AI409" s="33" t="e">
        <f t="shared" ca="1" si="150"/>
        <v>#N/A</v>
      </c>
      <c r="AJ409" s="34" t="e">
        <f t="shared" ca="1" si="151"/>
        <v>#N/A</v>
      </c>
      <c r="AK409" s="34" t="e">
        <f t="shared" ca="1" si="144"/>
        <v>#N/A</v>
      </c>
      <c r="AL409" s="34" t="e">
        <f t="shared" ca="1" si="145"/>
        <v>#N/A</v>
      </c>
      <c r="AM409" s="33" t="e">
        <f t="shared" ca="1" si="152"/>
        <v>#N/A</v>
      </c>
      <c r="AN409" s="34" t="e">
        <f t="shared" ca="1" si="153"/>
        <v>#N/A</v>
      </c>
    </row>
    <row r="410" spans="1:40" x14ac:dyDescent="0.3">
      <c r="A410" s="2">
        <v>44056</v>
      </c>
      <c r="B410" s="9">
        <v>56.389999000000003</v>
      </c>
      <c r="C410" s="9">
        <v>70.129997000000003</v>
      </c>
      <c r="D410" s="9">
        <v>53.189999</v>
      </c>
      <c r="E410" s="10"/>
      <c r="F410" s="13">
        <v>407</v>
      </c>
      <c r="G410" s="2">
        <v>44056</v>
      </c>
      <c r="H410" s="14">
        <f t="shared" si="134"/>
        <v>-2.3027377308768152E-3</v>
      </c>
      <c r="I410" s="14">
        <f t="shared" si="135"/>
        <v>4.5733824380007407E-3</v>
      </c>
      <c r="J410" s="14">
        <f t="shared" si="136"/>
        <v>-3.5642218609468222E-2</v>
      </c>
      <c r="K410" s="22">
        <v>407</v>
      </c>
      <c r="L410" s="12"/>
      <c r="Q410" s="15">
        <f t="shared" si="137"/>
        <v>407</v>
      </c>
      <c r="R410" s="2">
        <f t="shared" si="133"/>
        <v>44056</v>
      </c>
      <c r="S410" s="9">
        <f t="shared" ca="1" si="138"/>
        <v>-2.3027377308768152E-3</v>
      </c>
      <c r="T410" s="9">
        <f t="shared" ca="1" si="139"/>
        <v>4.5733824380007407E-3</v>
      </c>
      <c r="U410" s="9">
        <f t="shared" ca="1" si="140"/>
        <v>-3.5642218609468222E-2</v>
      </c>
      <c r="AB410" s="33" t="e">
        <f t="shared" ca="1" si="146"/>
        <v>#N/A</v>
      </c>
      <c r="AC410" s="34" t="e">
        <f t="shared" ca="1" si="147"/>
        <v>#N/A</v>
      </c>
      <c r="AD410" s="34" t="e">
        <f t="shared" ca="1" si="148"/>
        <v>#N/A</v>
      </c>
      <c r="AE410" s="33" t="e">
        <f t="shared" ca="1" si="149"/>
        <v>#N/A</v>
      </c>
      <c r="AF410" s="34" t="e">
        <f t="shared" ca="1" si="141"/>
        <v>#N/A</v>
      </c>
      <c r="AG410" s="34" t="e">
        <f t="shared" ca="1" si="142"/>
        <v>#N/A</v>
      </c>
      <c r="AH410" s="34" t="e">
        <f t="shared" ca="1" si="143"/>
        <v>#N/A</v>
      </c>
      <c r="AI410" s="33" t="e">
        <f t="shared" ca="1" si="150"/>
        <v>#N/A</v>
      </c>
      <c r="AJ410" s="34" t="e">
        <f t="shared" ca="1" si="151"/>
        <v>#N/A</v>
      </c>
      <c r="AK410" s="34" t="e">
        <f t="shared" ca="1" si="144"/>
        <v>#N/A</v>
      </c>
      <c r="AL410" s="34" t="e">
        <f t="shared" ca="1" si="145"/>
        <v>#N/A</v>
      </c>
      <c r="AM410" s="33" t="e">
        <f t="shared" ca="1" si="152"/>
        <v>#N/A</v>
      </c>
      <c r="AN410" s="34" t="e">
        <f t="shared" ca="1" si="153"/>
        <v>#N/A</v>
      </c>
    </row>
    <row r="411" spans="1:40" x14ac:dyDescent="0.3">
      <c r="A411" s="2">
        <v>44057</v>
      </c>
      <c r="B411" s="9">
        <v>56.630001</v>
      </c>
      <c r="C411" s="9">
        <v>70.660004000000001</v>
      </c>
      <c r="D411" s="9">
        <v>54.459999000000003</v>
      </c>
      <c r="E411" s="10"/>
      <c r="F411" s="13">
        <v>408</v>
      </c>
      <c r="G411" s="2">
        <v>44057</v>
      </c>
      <c r="H411" s="14">
        <f t="shared" si="134"/>
        <v>4.2470776987484724E-3</v>
      </c>
      <c r="I411" s="14">
        <f t="shared" si="135"/>
        <v>7.5290787689920027E-3</v>
      </c>
      <c r="J411" s="14">
        <f t="shared" si="136"/>
        <v>2.3596078929813226E-2</v>
      </c>
      <c r="K411" s="22">
        <v>408</v>
      </c>
      <c r="L411" s="12"/>
      <c r="Q411" s="15">
        <f t="shared" si="137"/>
        <v>408</v>
      </c>
      <c r="R411" s="2">
        <f t="shared" si="133"/>
        <v>44057</v>
      </c>
      <c r="S411" s="9">
        <f t="shared" ca="1" si="138"/>
        <v>4.2470776987484724E-3</v>
      </c>
      <c r="T411" s="9">
        <f t="shared" ca="1" si="139"/>
        <v>7.5290787689920027E-3</v>
      </c>
      <c r="U411" s="9">
        <f t="shared" ca="1" si="140"/>
        <v>2.3596078929813226E-2</v>
      </c>
      <c r="AB411" s="33" t="e">
        <f t="shared" ca="1" si="146"/>
        <v>#N/A</v>
      </c>
      <c r="AC411" s="34" t="e">
        <f t="shared" ca="1" si="147"/>
        <v>#N/A</v>
      </c>
      <c r="AD411" s="34" t="e">
        <f t="shared" ca="1" si="148"/>
        <v>#N/A</v>
      </c>
      <c r="AE411" s="33" t="e">
        <f t="shared" ca="1" si="149"/>
        <v>#N/A</v>
      </c>
      <c r="AF411" s="34" t="e">
        <f t="shared" ca="1" si="141"/>
        <v>#N/A</v>
      </c>
      <c r="AG411" s="34" t="e">
        <f t="shared" ca="1" si="142"/>
        <v>#N/A</v>
      </c>
      <c r="AH411" s="34" t="e">
        <f t="shared" ca="1" si="143"/>
        <v>#N/A</v>
      </c>
      <c r="AI411" s="33" t="e">
        <f t="shared" ca="1" si="150"/>
        <v>#N/A</v>
      </c>
      <c r="AJ411" s="34" t="e">
        <f t="shared" ca="1" si="151"/>
        <v>#N/A</v>
      </c>
      <c r="AK411" s="34" t="e">
        <f t="shared" ca="1" si="144"/>
        <v>#N/A</v>
      </c>
      <c r="AL411" s="34" t="e">
        <f t="shared" ca="1" si="145"/>
        <v>#N/A</v>
      </c>
      <c r="AM411" s="33" t="e">
        <f t="shared" ca="1" si="152"/>
        <v>#N/A</v>
      </c>
      <c r="AN411" s="34" t="e">
        <f t="shared" ca="1" si="153"/>
        <v>#N/A</v>
      </c>
    </row>
    <row r="412" spans="1:40" x14ac:dyDescent="0.3">
      <c r="A412" s="2">
        <v>44060</v>
      </c>
      <c r="B412" s="9">
        <v>56.869999</v>
      </c>
      <c r="C412" s="9">
        <v>70.900002000000001</v>
      </c>
      <c r="D412" s="9">
        <v>55.599997999999999</v>
      </c>
      <c r="E412" s="10"/>
      <c r="F412" s="13">
        <v>409</v>
      </c>
      <c r="G412" s="2">
        <v>44060</v>
      </c>
      <c r="H412" s="14">
        <f t="shared" si="134"/>
        <v>4.2290459505462449E-3</v>
      </c>
      <c r="I412" s="14">
        <f t="shared" si="135"/>
        <v>3.3907632067144279E-3</v>
      </c>
      <c r="J412" s="14">
        <f t="shared" si="136"/>
        <v>2.0716696401800103E-2</v>
      </c>
      <c r="K412" s="22">
        <v>409</v>
      </c>
      <c r="L412" s="12"/>
      <c r="Q412" s="15">
        <f t="shared" si="137"/>
        <v>409</v>
      </c>
      <c r="R412" s="2">
        <f t="shared" si="133"/>
        <v>44060</v>
      </c>
      <c r="S412" s="9">
        <f t="shared" ca="1" si="138"/>
        <v>4.2290459505462449E-3</v>
      </c>
      <c r="T412" s="9">
        <f t="shared" ca="1" si="139"/>
        <v>3.3907632067144279E-3</v>
      </c>
      <c r="U412" s="9">
        <f t="shared" ca="1" si="140"/>
        <v>2.0716696401800103E-2</v>
      </c>
      <c r="AB412" s="33" t="e">
        <f t="shared" ca="1" si="146"/>
        <v>#N/A</v>
      </c>
      <c r="AC412" s="34" t="e">
        <f t="shared" ca="1" si="147"/>
        <v>#N/A</v>
      </c>
      <c r="AD412" s="34" t="e">
        <f t="shared" ca="1" si="148"/>
        <v>#N/A</v>
      </c>
      <c r="AE412" s="33" t="e">
        <f t="shared" ca="1" si="149"/>
        <v>#N/A</v>
      </c>
      <c r="AF412" s="34" t="e">
        <f t="shared" ca="1" si="141"/>
        <v>#N/A</v>
      </c>
      <c r="AG412" s="34" t="e">
        <f t="shared" ca="1" si="142"/>
        <v>#N/A</v>
      </c>
      <c r="AH412" s="34" t="e">
        <f t="shared" ca="1" si="143"/>
        <v>#N/A</v>
      </c>
      <c r="AI412" s="33" t="e">
        <f t="shared" ca="1" si="150"/>
        <v>#N/A</v>
      </c>
      <c r="AJ412" s="34" t="e">
        <f t="shared" ca="1" si="151"/>
        <v>#N/A</v>
      </c>
      <c r="AK412" s="34" t="e">
        <f t="shared" ca="1" si="144"/>
        <v>#N/A</v>
      </c>
      <c r="AL412" s="34" t="e">
        <f t="shared" ca="1" si="145"/>
        <v>#N/A</v>
      </c>
      <c r="AM412" s="33" t="e">
        <f t="shared" ca="1" si="152"/>
        <v>#N/A</v>
      </c>
      <c r="AN412" s="34" t="e">
        <f t="shared" ca="1" si="153"/>
        <v>#N/A</v>
      </c>
    </row>
    <row r="413" spans="1:40" x14ac:dyDescent="0.3">
      <c r="A413" s="2">
        <v>44061</v>
      </c>
      <c r="B413" s="9">
        <v>56.830002</v>
      </c>
      <c r="C413" s="9">
        <v>68.5</v>
      </c>
      <c r="D413" s="9">
        <v>54.740001999999997</v>
      </c>
      <c r="E413" s="10"/>
      <c r="F413" s="13">
        <v>410</v>
      </c>
      <c r="G413" s="2">
        <v>44061</v>
      </c>
      <c r="H413" s="14">
        <f t="shared" si="134"/>
        <v>-7.0355323303532356E-4</v>
      </c>
      <c r="I413" s="14">
        <f t="shared" si="135"/>
        <v>-3.4436716478646517E-2</v>
      </c>
      <c r="J413" s="14">
        <f t="shared" si="136"/>
        <v>-1.5588425136427077E-2</v>
      </c>
      <c r="K413" s="22">
        <v>410</v>
      </c>
      <c r="L413" s="12"/>
      <c r="Q413" s="15">
        <f t="shared" si="137"/>
        <v>410</v>
      </c>
      <c r="R413" s="2">
        <f t="shared" si="133"/>
        <v>44061</v>
      </c>
      <c r="S413" s="9">
        <f t="shared" ca="1" si="138"/>
        <v>-7.0355323303532356E-4</v>
      </c>
      <c r="T413" s="9">
        <f t="shared" ca="1" si="139"/>
        <v>-3.4436716478646517E-2</v>
      </c>
      <c r="U413" s="9">
        <f t="shared" ca="1" si="140"/>
        <v>-1.5588425136427077E-2</v>
      </c>
      <c r="AB413" s="33" t="e">
        <f t="shared" ca="1" si="146"/>
        <v>#N/A</v>
      </c>
      <c r="AC413" s="34" t="e">
        <f t="shared" ca="1" si="147"/>
        <v>#N/A</v>
      </c>
      <c r="AD413" s="34" t="e">
        <f t="shared" ca="1" si="148"/>
        <v>#N/A</v>
      </c>
      <c r="AE413" s="33" t="e">
        <f t="shared" ca="1" si="149"/>
        <v>#N/A</v>
      </c>
      <c r="AF413" s="34" t="e">
        <f t="shared" ca="1" si="141"/>
        <v>#N/A</v>
      </c>
      <c r="AG413" s="34" t="e">
        <f t="shared" ca="1" si="142"/>
        <v>#N/A</v>
      </c>
      <c r="AH413" s="34" t="e">
        <f t="shared" ca="1" si="143"/>
        <v>#N/A</v>
      </c>
      <c r="AI413" s="33" t="e">
        <f t="shared" ca="1" si="150"/>
        <v>#N/A</v>
      </c>
      <c r="AJ413" s="34" t="e">
        <f t="shared" ca="1" si="151"/>
        <v>#N/A</v>
      </c>
      <c r="AK413" s="34" t="e">
        <f t="shared" ca="1" si="144"/>
        <v>#N/A</v>
      </c>
      <c r="AL413" s="34" t="e">
        <f t="shared" ca="1" si="145"/>
        <v>#N/A</v>
      </c>
      <c r="AM413" s="33" t="e">
        <f t="shared" ca="1" si="152"/>
        <v>#N/A</v>
      </c>
      <c r="AN413" s="34" t="e">
        <f t="shared" ca="1" si="153"/>
        <v>#N/A</v>
      </c>
    </row>
    <row r="414" spans="1:40" x14ac:dyDescent="0.3">
      <c r="A414" s="2">
        <v>44062</v>
      </c>
      <c r="B414" s="9">
        <v>56.709999000000003</v>
      </c>
      <c r="C414" s="9">
        <v>67.550003000000004</v>
      </c>
      <c r="D414" s="9">
        <v>54.259998000000003</v>
      </c>
      <c r="E414" s="10"/>
      <c r="F414" s="13">
        <v>411</v>
      </c>
      <c r="G414" s="2">
        <v>44062</v>
      </c>
      <c r="H414" s="14">
        <f t="shared" si="134"/>
        <v>-2.1138461093472179E-3</v>
      </c>
      <c r="I414" s="14">
        <f t="shared" si="135"/>
        <v>-1.3965636450425718E-2</v>
      </c>
      <c r="J414" s="14">
        <f t="shared" si="136"/>
        <v>-8.8074697776659491E-3</v>
      </c>
      <c r="K414" s="22">
        <v>411</v>
      </c>
      <c r="L414" s="12"/>
      <c r="Q414" s="15">
        <f t="shared" si="137"/>
        <v>411</v>
      </c>
      <c r="R414" s="2">
        <f t="shared" si="133"/>
        <v>44062</v>
      </c>
      <c r="S414" s="9">
        <f t="shared" ca="1" si="138"/>
        <v>-2.1138461093472179E-3</v>
      </c>
      <c r="T414" s="9">
        <f t="shared" ca="1" si="139"/>
        <v>-1.3965636450425718E-2</v>
      </c>
      <c r="U414" s="9">
        <f t="shared" ca="1" si="140"/>
        <v>-8.8074697776659491E-3</v>
      </c>
      <c r="AB414" s="33" t="e">
        <f t="shared" ca="1" si="146"/>
        <v>#N/A</v>
      </c>
      <c r="AC414" s="34" t="e">
        <f t="shared" ca="1" si="147"/>
        <v>#N/A</v>
      </c>
      <c r="AD414" s="34" t="e">
        <f t="shared" ca="1" si="148"/>
        <v>#N/A</v>
      </c>
      <c r="AE414" s="33" t="e">
        <f t="shared" ca="1" si="149"/>
        <v>#N/A</v>
      </c>
      <c r="AF414" s="34" t="e">
        <f t="shared" ca="1" si="141"/>
        <v>#N/A</v>
      </c>
      <c r="AG414" s="34" t="e">
        <f t="shared" ca="1" si="142"/>
        <v>#N/A</v>
      </c>
      <c r="AH414" s="34" t="e">
        <f t="shared" ca="1" si="143"/>
        <v>#N/A</v>
      </c>
      <c r="AI414" s="33" t="e">
        <f t="shared" ca="1" si="150"/>
        <v>#N/A</v>
      </c>
      <c r="AJ414" s="34" t="e">
        <f t="shared" ca="1" si="151"/>
        <v>#N/A</v>
      </c>
      <c r="AK414" s="34" t="e">
        <f t="shared" ca="1" si="144"/>
        <v>#N/A</v>
      </c>
      <c r="AL414" s="34" t="e">
        <f t="shared" ca="1" si="145"/>
        <v>#N/A</v>
      </c>
      <c r="AM414" s="33" t="e">
        <f t="shared" ca="1" si="152"/>
        <v>#N/A</v>
      </c>
      <c r="AN414" s="34" t="e">
        <f t="shared" ca="1" si="153"/>
        <v>#N/A</v>
      </c>
    </row>
    <row r="415" spans="1:40" x14ac:dyDescent="0.3">
      <c r="A415" s="2">
        <v>44063</v>
      </c>
      <c r="B415" s="9">
        <v>56.110000999999997</v>
      </c>
      <c r="C415" s="9">
        <v>67.269997000000004</v>
      </c>
      <c r="D415" s="9">
        <v>52.700001</v>
      </c>
      <c r="E415" s="10"/>
      <c r="F415" s="13">
        <v>412</v>
      </c>
      <c r="G415" s="2">
        <v>44063</v>
      </c>
      <c r="H415" s="14">
        <f t="shared" si="134"/>
        <v>-1.0636476807346735E-2</v>
      </c>
      <c r="I415" s="14">
        <f t="shared" si="135"/>
        <v>-4.1537813766430245E-3</v>
      </c>
      <c r="J415" s="14">
        <f t="shared" si="136"/>
        <v>-2.9171795848571519E-2</v>
      </c>
      <c r="K415" s="22">
        <v>412</v>
      </c>
      <c r="L415" s="12"/>
      <c r="Q415" s="15">
        <f t="shared" si="137"/>
        <v>412</v>
      </c>
      <c r="R415" s="2">
        <f t="shared" si="133"/>
        <v>44063</v>
      </c>
      <c r="S415" s="9">
        <f t="shared" ca="1" si="138"/>
        <v>-1.0636476807346735E-2</v>
      </c>
      <c r="T415" s="9">
        <f t="shared" ca="1" si="139"/>
        <v>-4.1537813766430245E-3</v>
      </c>
      <c r="U415" s="9">
        <f t="shared" ca="1" si="140"/>
        <v>-2.9171795848571519E-2</v>
      </c>
      <c r="AB415" s="33" t="e">
        <f t="shared" ca="1" si="146"/>
        <v>#N/A</v>
      </c>
      <c r="AC415" s="34" t="e">
        <f t="shared" ca="1" si="147"/>
        <v>#N/A</v>
      </c>
      <c r="AD415" s="34" t="e">
        <f t="shared" ca="1" si="148"/>
        <v>#N/A</v>
      </c>
      <c r="AE415" s="33" t="e">
        <f t="shared" ca="1" si="149"/>
        <v>#N/A</v>
      </c>
      <c r="AF415" s="34" t="e">
        <f t="shared" ca="1" si="141"/>
        <v>#N/A</v>
      </c>
      <c r="AG415" s="34" t="e">
        <f t="shared" ca="1" si="142"/>
        <v>#N/A</v>
      </c>
      <c r="AH415" s="34" t="e">
        <f t="shared" ca="1" si="143"/>
        <v>#N/A</v>
      </c>
      <c r="AI415" s="33" t="e">
        <f t="shared" ca="1" si="150"/>
        <v>#N/A</v>
      </c>
      <c r="AJ415" s="34" t="e">
        <f t="shared" ca="1" si="151"/>
        <v>#N/A</v>
      </c>
      <c r="AK415" s="34" t="e">
        <f t="shared" ca="1" si="144"/>
        <v>#N/A</v>
      </c>
      <c r="AL415" s="34" t="e">
        <f t="shared" ca="1" si="145"/>
        <v>#N/A</v>
      </c>
      <c r="AM415" s="33" t="e">
        <f t="shared" ca="1" si="152"/>
        <v>#N/A</v>
      </c>
      <c r="AN415" s="34" t="e">
        <f t="shared" ca="1" si="153"/>
        <v>#N/A</v>
      </c>
    </row>
    <row r="416" spans="1:40" x14ac:dyDescent="0.3">
      <c r="A416" s="2">
        <v>44064</v>
      </c>
      <c r="B416" s="9">
        <v>55.349997999999999</v>
      </c>
      <c r="C416" s="9">
        <v>67.050003000000004</v>
      </c>
      <c r="D416" s="9">
        <v>52.619999</v>
      </c>
      <c r="E416" s="10"/>
      <c r="F416" s="13">
        <v>413</v>
      </c>
      <c r="G416" s="2">
        <v>44064</v>
      </c>
      <c r="H416" s="14">
        <f t="shared" si="134"/>
        <v>-1.3637444564064989E-2</v>
      </c>
      <c r="I416" s="14">
        <f t="shared" si="135"/>
        <v>-3.2756729706950407E-3</v>
      </c>
      <c r="J416" s="14">
        <f t="shared" si="136"/>
        <v>-1.5192179146829819E-3</v>
      </c>
      <c r="K416" s="22">
        <v>413</v>
      </c>
      <c r="L416" s="12"/>
      <c r="Q416" s="15">
        <f t="shared" si="137"/>
        <v>413</v>
      </c>
      <c r="R416" s="2">
        <f t="shared" si="133"/>
        <v>44064</v>
      </c>
      <c r="S416" s="9">
        <f t="shared" ca="1" si="138"/>
        <v>-1.3637444564064989E-2</v>
      </c>
      <c r="T416" s="9">
        <f t="shared" ca="1" si="139"/>
        <v>-3.2756729706950407E-3</v>
      </c>
      <c r="U416" s="9">
        <f t="shared" ca="1" si="140"/>
        <v>-1.5192179146829819E-3</v>
      </c>
      <c r="AB416" s="33" t="e">
        <f t="shared" ca="1" si="146"/>
        <v>#N/A</v>
      </c>
      <c r="AC416" s="34" t="e">
        <f t="shared" ca="1" si="147"/>
        <v>#N/A</v>
      </c>
      <c r="AD416" s="34" t="e">
        <f t="shared" ca="1" si="148"/>
        <v>#N/A</v>
      </c>
      <c r="AE416" s="33" t="e">
        <f t="shared" ca="1" si="149"/>
        <v>#N/A</v>
      </c>
      <c r="AF416" s="34" t="e">
        <f t="shared" ca="1" si="141"/>
        <v>#N/A</v>
      </c>
      <c r="AG416" s="34" t="e">
        <f t="shared" ca="1" si="142"/>
        <v>#N/A</v>
      </c>
      <c r="AH416" s="34" t="e">
        <f t="shared" ca="1" si="143"/>
        <v>#N/A</v>
      </c>
      <c r="AI416" s="33" t="e">
        <f t="shared" ca="1" si="150"/>
        <v>#N/A</v>
      </c>
      <c r="AJ416" s="34" t="e">
        <f t="shared" ca="1" si="151"/>
        <v>#N/A</v>
      </c>
      <c r="AK416" s="34" t="e">
        <f t="shared" ca="1" si="144"/>
        <v>#N/A</v>
      </c>
      <c r="AL416" s="34" t="e">
        <f t="shared" ca="1" si="145"/>
        <v>#N/A</v>
      </c>
      <c r="AM416" s="33" t="e">
        <f t="shared" ca="1" si="152"/>
        <v>#N/A</v>
      </c>
      <c r="AN416" s="34" t="e">
        <f t="shared" ca="1" si="153"/>
        <v>#N/A</v>
      </c>
    </row>
    <row r="417" spans="1:40" x14ac:dyDescent="0.3">
      <c r="A417" s="2">
        <v>44067</v>
      </c>
      <c r="B417" s="9">
        <v>56.189999</v>
      </c>
      <c r="C417" s="9">
        <v>70.25</v>
      </c>
      <c r="D417" s="9">
        <v>54.990001999999997</v>
      </c>
      <c r="E417" s="10"/>
      <c r="F417" s="13">
        <v>414</v>
      </c>
      <c r="G417" s="2">
        <v>44067</v>
      </c>
      <c r="H417" s="14">
        <f t="shared" si="134"/>
        <v>1.50621643063952E-2</v>
      </c>
      <c r="I417" s="14">
        <f t="shared" si="135"/>
        <v>4.6621653743439198E-2</v>
      </c>
      <c r="J417" s="14">
        <f t="shared" si="136"/>
        <v>4.4055130282006243E-2</v>
      </c>
      <c r="K417" s="22">
        <v>414</v>
      </c>
      <c r="L417" s="12"/>
      <c r="Q417" s="15">
        <f t="shared" si="137"/>
        <v>414</v>
      </c>
      <c r="R417" s="2">
        <f t="shared" si="133"/>
        <v>44067</v>
      </c>
      <c r="S417" s="9">
        <f t="shared" ca="1" si="138"/>
        <v>1.50621643063952E-2</v>
      </c>
      <c r="T417" s="9">
        <f t="shared" ca="1" si="139"/>
        <v>4.6621653743439198E-2</v>
      </c>
      <c r="U417" s="9">
        <f t="shared" ca="1" si="140"/>
        <v>4.4055130282006243E-2</v>
      </c>
      <c r="AB417" s="33" t="e">
        <f t="shared" ca="1" si="146"/>
        <v>#N/A</v>
      </c>
      <c r="AC417" s="34" t="e">
        <f t="shared" ca="1" si="147"/>
        <v>#N/A</v>
      </c>
      <c r="AD417" s="34" t="e">
        <f t="shared" ca="1" si="148"/>
        <v>#N/A</v>
      </c>
      <c r="AE417" s="33" t="e">
        <f t="shared" ca="1" si="149"/>
        <v>#N/A</v>
      </c>
      <c r="AF417" s="34" t="e">
        <f t="shared" ca="1" si="141"/>
        <v>#N/A</v>
      </c>
      <c r="AG417" s="34" t="e">
        <f t="shared" ca="1" si="142"/>
        <v>#N/A</v>
      </c>
      <c r="AH417" s="34" t="e">
        <f t="shared" ca="1" si="143"/>
        <v>#N/A</v>
      </c>
      <c r="AI417" s="33" t="e">
        <f t="shared" ca="1" si="150"/>
        <v>#N/A</v>
      </c>
      <c r="AJ417" s="34" t="e">
        <f t="shared" ca="1" si="151"/>
        <v>#N/A</v>
      </c>
      <c r="AK417" s="34" t="e">
        <f t="shared" ca="1" si="144"/>
        <v>#N/A</v>
      </c>
      <c r="AL417" s="34" t="e">
        <f t="shared" ca="1" si="145"/>
        <v>#N/A</v>
      </c>
      <c r="AM417" s="33" t="e">
        <f t="shared" ca="1" si="152"/>
        <v>#N/A</v>
      </c>
      <c r="AN417" s="34" t="e">
        <f t="shared" ca="1" si="153"/>
        <v>#N/A</v>
      </c>
    </row>
    <row r="418" spans="1:40" x14ac:dyDescent="0.3">
      <c r="A418" s="2">
        <v>44068</v>
      </c>
      <c r="B418" s="9">
        <v>54.75</v>
      </c>
      <c r="C418" s="9">
        <v>69.120002999999997</v>
      </c>
      <c r="D418" s="9">
        <v>54.25</v>
      </c>
      <c r="E418" s="10"/>
      <c r="F418" s="13">
        <v>415</v>
      </c>
      <c r="G418" s="2">
        <v>44068</v>
      </c>
      <c r="H418" s="14">
        <f t="shared" si="134"/>
        <v>-2.5961418630735533E-2</v>
      </c>
      <c r="I418" s="14">
        <f t="shared" si="135"/>
        <v>-1.6216140315278137E-2</v>
      </c>
      <c r="J418" s="14">
        <f t="shared" si="136"/>
        <v>-1.3548394469402845E-2</v>
      </c>
      <c r="K418" s="22">
        <v>415</v>
      </c>
      <c r="L418" s="12"/>
      <c r="Q418" s="15">
        <f t="shared" si="137"/>
        <v>415</v>
      </c>
      <c r="R418" s="2">
        <f t="shared" si="133"/>
        <v>44068</v>
      </c>
      <c r="S418" s="9">
        <f t="shared" ca="1" si="138"/>
        <v>-2.5961418630735533E-2</v>
      </c>
      <c r="T418" s="9">
        <f t="shared" ca="1" si="139"/>
        <v>-1.6216140315278137E-2</v>
      </c>
      <c r="U418" s="9">
        <f t="shared" ca="1" si="140"/>
        <v>-1.3548394469402845E-2</v>
      </c>
      <c r="AB418" s="33" t="e">
        <f t="shared" ca="1" si="146"/>
        <v>#N/A</v>
      </c>
      <c r="AC418" s="34" t="e">
        <f t="shared" ca="1" si="147"/>
        <v>#N/A</v>
      </c>
      <c r="AD418" s="34" t="e">
        <f t="shared" ca="1" si="148"/>
        <v>#N/A</v>
      </c>
      <c r="AE418" s="33" t="e">
        <f t="shared" ca="1" si="149"/>
        <v>#N/A</v>
      </c>
      <c r="AF418" s="34" t="e">
        <f t="shared" ca="1" si="141"/>
        <v>#N/A</v>
      </c>
      <c r="AG418" s="34" t="e">
        <f t="shared" ca="1" si="142"/>
        <v>#N/A</v>
      </c>
      <c r="AH418" s="34" t="e">
        <f t="shared" ca="1" si="143"/>
        <v>#N/A</v>
      </c>
      <c r="AI418" s="33" t="e">
        <f t="shared" ca="1" si="150"/>
        <v>#N/A</v>
      </c>
      <c r="AJ418" s="34" t="e">
        <f t="shared" ca="1" si="151"/>
        <v>#N/A</v>
      </c>
      <c r="AK418" s="34" t="e">
        <f t="shared" ca="1" si="144"/>
        <v>#N/A</v>
      </c>
      <c r="AL418" s="34" t="e">
        <f t="shared" ca="1" si="145"/>
        <v>#N/A</v>
      </c>
      <c r="AM418" s="33" t="e">
        <f t="shared" ca="1" si="152"/>
        <v>#N/A</v>
      </c>
      <c r="AN418" s="34" t="e">
        <f t="shared" ca="1" si="153"/>
        <v>#N/A</v>
      </c>
    </row>
    <row r="419" spans="1:40" x14ac:dyDescent="0.3">
      <c r="A419" s="2">
        <v>44069</v>
      </c>
      <c r="B419" s="9">
        <v>53.970001000000003</v>
      </c>
      <c r="C419" s="9">
        <v>67.650002000000001</v>
      </c>
      <c r="D419" s="9">
        <v>53.700001</v>
      </c>
      <c r="E419" s="10"/>
      <c r="F419" s="13">
        <v>416</v>
      </c>
      <c r="G419" s="2">
        <v>44069</v>
      </c>
      <c r="H419" s="14">
        <f t="shared" si="134"/>
        <v>-1.4349013537246526E-2</v>
      </c>
      <c r="I419" s="14">
        <f t="shared" si="135"/>
        <v>-2.1496783717848383E-2</v>
      </c>
      <c r="J419" s="14">
        <f t="shared" si="136"/>
        <v>-1.0189972283776114E-2</v>
      </c>
      <c r="K419" s="22">
        <v>416</v>
      </c>
      <c r="L419" s="12"/>
      <c r="Q419" s="15">
        <f t="shared" si="137"/>
        <v>416</v>
      </c>
      <c r="R419" s="2">
        <f t="shared" si="133"/>
        <v>44069</v>
      </c>
      <c r="S419" s="9">
        <f t="shared" ca="1" si="138"/>
        <v>-1.4349013537246526E-2</v>
      </c>
      <c r="T419" s="9">
        <f t="shared" ca="1" si="139"/>
        <v>-2.1496783717848383E-2</v>
      </c>
      <c r="U419" s="9">
        <f t="shared" ca="1" si="140"/>
        <v>-1.0189972283776114E-2</v>
      </c>
      <c r="AB419" s="33" t="e">
        <f t="shared" ca="1" si="146"/>
        <v>#N/A</v>
      </c>
      <c r="AC419" s="34" t="e">
        <f t="shared" ca="1" si="147"/>
        <v>#N/A</v>
      </c>
      <c r="AD419" s="34" t="e">
        <f t="shared" ca="1" si="148"/>
        <v>#N/A</v>
      </c>
      <c r="AE419" s="33" t="e">
        <f t="shared" ca="1" si="149"/>
        <v>#N/A</v>
      </c>
      <c r="AF419" s="34" t="e">
        <f t="shared" ca="1" si="141"/>
        <v>#N/A</v>
      </c>
      <c r="AG419" s="34" t="e">
        <f t="shared" ca="1" si="142"/>
        <v>#N/A</v>
      </c>
      <c r="AH419" s="34" t="e">
        <f t="shared" ca="1" si="143"/>
        <v>#N/A</v>
      </c>
      <c r="AI419" s="33" t="e">
        <f t="shared" ca="1" si="150"/>
        <v>#N/A</v>
      </c>
      <c r="AJ419" s="34" t="e">
        <f t="shared" ca="1" si="151"/>
        <v>#N/A</v>
      </c>
      <c r="AK419" s="34" t="e">
        <f t="shared" ca="1" si="144"/>
        <v>#N/A</v>
      </c>
      <c r="AL419" s="34" t="e">
        <f t="shared" ca="1" si="145"/>
        <v>#N/A</v>
      </c>
      <c r="AM419" s="33" t="e">
        <f t="shared" ca="1" si="152"/>
        <v>#N/A</v>
      </c>
      <c r="AN419" s="34" t="e">
        <f t="shared" ca="1" si="153"/>
        <v>#N/A</v>
      </c>
    </row>
    <row r="420" spans="1:40" x14ac:dyDescent="0.3">
      <c r="A420" s="2">
        <v>44070</v>
      </c>
      <c r="B420" s="9">
        <v>53.990001999999997</v>
      </c>
      <c r="C420" s="9">
        <v>68.239998</v>
      </c>
      <c r="D420" s="9">
        <v>53.439999</v>
      </c>
      <c r="E420" s="10"/>
      <c r="F420" s="13">
        <v>417</v>
      </c>
      <c r="G420" s="2">
        <v>44070</v>
      </c>
      <c r="H420" s="14">
        <f t="shared" si="134"/>
        <v>3.7052611472829526E-4</v>
      </c>
      <c r="I420" s="14">
        <f t="shared" si="135"/>
        <v>8.6834896943711638E-3</v>
      </c>
      <c r="J420" s="14">
        <f t="shared" si="136"/>
        <v>-4.8535096209774663E-3</v>
      </c>
      <c r="K420" s="22">
        <v>417</v>
      </c>
      <c r="L420" s="12"/>
      <c r="Q420" s="15">
        <f t="shared" si="137"/>
        <v>417</v>
      </c>
      <c r="R420" s="2">
        <f t="shared" si="133"/>
        <v>44070</v>
      </c>
      <c r="S420" s="9">
        <f t="shared" ca="1" si="138"/>
        <v>3.7052611472829526E-4</v>
      </c>
      <c r="T420" s="9">
        <f t="shared" ca="1" si="139"/>
        <v>8.6834896943711638E-3</v>
      </c>
      <c r="U420" s="9">
        <f t="shared" ca="1" si="140"/>
        <v>-4.8535096209774663E-3</v>
      </c>
      <c r="AB420" s="33" t="e">
        <f t="shared" ca="1" si="146"/>
        <v>#N/A</v>
      </c>
      <c r="AC420" s="34" t="e">
        <f t="shared" ca="1" si="147"/>
        <v>#N/A</v>
      </c>
      <c r="AD420" s="34" t="e">
        <f t="shared" ca="1" si="148"/>
        <v>#N/A</v>
      </c>
      <c r="AE420" s="33" t="e">
        <f t="shared" ca="1" si="149"/>
        <v>#N/A</v>
      </c>
      <c r="AF420" s="34" t="e">
        <f t="shared" ca="1" si="141"/>
        <v>#N/A</v>
      </c>
      <c r="AG420" s="34" t="e">
        <f t="shared" ca="1" si="142"/>
        <v>#N/A</v>
      </c>
      <c r="AH420" s="34" t="e">
        <f t="shared" ca="1" si="143"/>
        <v>#N/A</v>
      </c>
      <c r="AI420" s="33" t="e">
        <f t="shared" ca="1" si="150"/>
        <v>#N/A</v>
      </c>
      <c r="AJ420" s="34" t="e">
        <f t="shared" ca="1" si="151"/>
        <v>#N/A</v>
      </c>
      <c r="AK420" s="34" t="e">
        <f t="shared" ca="1" si="144"/>
        <v>#N/A</v>
      </c>
      <c r="AL420" s="34" t="e">
        <f t="shared" ca="1" si="145"/>
        <v>#N/A</v>
      </c>
      <c r="AM420" s="33" t="e">
        <f t="shared" ca="1" si="152"/>
        <v>#N/A</v>
      </c>
      <c r="AN420" s="34" t="e">
        <f t="shared" ca="1" si="153"/>
        <v>#N/A</v>
      </c>
    </row>
    <row r="421" spans="1:40" x14ac:dyDescent="0.3">
      <c r="A421" s="2">
        <v>44071</v>
      </c>
      <c r="B421" s="9">
        <v>53.990001999999997</v>
      </c>
      <c r="C421" s="9">
        <v>71.190002000000007</v>
      </c>
      <c r="D421" s="9">
        <v>54.889999000000003</v>
      </c>
      <c r="E421" s="10"/>
      <c r="F421" s="13">
        <v>418</v>
      </c>
      <c r="G421" s="2">
        <v>44071</v>
      </c>
      <c r="H421" s="14">
        <f t="shared" si="134"/>
        <v>0</v>
      </c>
      <c r="I421" s="14">
        <f t="shared" si="135"/>
        <v>4.2321513334515205E-2</v>
      </c>
      <c r="J421" s="14">
        <f t="shared" si="136"/>
        <v>2.6771653827727837E-2</v>
      </c>
      <c r="K421" s="22">
        <v>418</v>
      </c>
      <c r="L421" s="12"/>
      <c r="Q421" s="15">
        <f t="shared" si="137"/>
        <v>418</v>
      </c>
      <c r="R421" s="2">
        <f t="shared" si="133"/>
        <v>44071</v>
      </c>
      <c r="S421" s="9">
        <f t="shared" ca="1" si="138"/>
        <v>0</v>
      </c>
      <c r="T421" s="9">
        <f t="shared" ca="1" si="139"/>
        <v>4.2321513334515205E-2</v>
      </c>
      <c r="U421" s="9">
        <f t="shared" ca="1" si="140"/>
        <v>2.6771653827727837E-2</v>
      </c>
      <c r="AB421" s="33" t="e">
        <f t="shared" ca="1" si="146"/>
        <v>#N/A</v>
      </c>
      <c r="AC421" s="34" t="e">
        <f t="shared" ca="1" si="147"/>
        <v>#N/A</v>
      </c>
      <c r="AD421" s="34" t="e">
        <f t="shared" ca="1" si="148"/>
        <v>#N/A</v>
      </c>
      <c r="AE421" s="33" t="e">
        <f t="shared" ca="1" si="149"/>
        <v>#N/A</v>
      </c>
      <c r="AF421" s="34" t="e">
        <f t="shared" ca="1" si="141"/>
        <v>#N/A</v>
      </c>
      <c r="AG421" s="34" t="e">
        <f t="shared" ca="1" si="142"/>
        <v>#N/A</v>
      </c>
      <c r="AH421" s="34" t="e">
        <f t="shared" ca="1" si="143"/>
        <v>#N/A</v>
      </c>
      <c r="AI421" s="33" t="e">
        <f t="shared" ca="1" si="150"/>
        <v>#N/A</v>
      </c>
      <c r="AJ421" s="34" t="e">
        <f t="shared" ca="1" si="151"/>
        <v>#N/A</v>
      </c>
      <c r="AK421" s="34" t="e">
        <f t="shared" ca="1" si="144"/>
        <v>#N/A</v>
      </c>
      <c r="AL421" s="34" t="e">
        <f t="shared" ca="1" si="145"/>
        <v>#N/A</v>
      </c>
      <c r="AM421" s="33" t="e">
        <f t="shared" ca="1" si="152"/>
        <v>#N/A</v>
      </c>
      <c r="AN421" s="34" t="e">
        <f t="shared" ca="1" si="153"/>
        <v>#N/A</v>
      </c>
    </row>
    <row r="422" spans="1:40" x14ac:dyDescent="0.3">
      <c r="A422" s="2">
        <v>44074</v>
      </c>
      <c r="B422" s="9">
        <v>53.200001</v>
      </c>
      <c r="C422" s="9">
        <v>68.830001999999993</v>
      </c>
      <c r="D422" s="9">
        <v>52.59</v>
      </c>
      <c r="E422" s="10"/>
      <c r="F422" s="13">
        <v>419</v>
      </c>
      <c r="G422" s="2">
        <v>44074</v>
      </c>
      <c r="H422" s="14">
        <f t="shared" si="134"/>
        <v>-1.4740466129500911E-2</v>
      </c>
      <c r="I422" s="14">
        <f t="shared" si="135"/>
        <v>-3.3712661742245527E-2</v>
      </c>
      <c r="J422" s="14">
        <f t="shared" si="136"/>
        <v>-4.2805176742290132E-2</v>
      </c>
      <c r="K422" s="22">
        <v>419</v>
      </c>
      <c r="L422" s="12"/>
      <c r="Q422" s="15">
        <f t="shared" si="137"/>
        <v>419</v>
      </c>
      <c r="R422" s="2">
        <f t="shared" si="133"/>
        <v>44074</v>
      </c>
      <c r="S422" s="9">
        <f t="shared" ca="1" si="138"/>
        <v>-1.4740466129500911E-2</v>
      </c>
      <c r="T422" s="9">
        <f t="shared" ca="1" si="139"/>
        <v>-3.3712661742245527E-2</v>
      </c>
      <c r="U422" s="9">
        <f t="shared" ca="1" si="140"/>
        <v>-4.2805176742290132E-2</v>
      </c>
      <c r="AB422" s="33" t="e">
        <f t="shared" ca="1" si="146"/>
        <v>#N/A</v>
      </c>
      <c r="AC422" s="34" t="e">
        <f t="shared" ca="1" si="147"/>
        <v>#N/A</v>
      </c>
      <c r="AD422" s="34" t="e">
        <f t="shared" ca="1" si="148"/>
        <v>#N/A</v>
      </c>
      <c r="AE422" s="33" t="e">
        <f t="shared" ca="1" si="149"/>
        <v>#N/A</v>
      </c>
      <c r="AF422" s="34" t="e">
        <f t="shared" ca="1" si="141"/>
        <v>#N/A</v>
      </c>
      <c r="AG422" s="34" t="e">
        <f t="shared" ca="1" si="142"/>
        <v>#N/A</v>
      </c>
      <c r="AH422" s="34" t="e">
        <f t="shared" ca="1" si="143"/>
        <v>#N/A</v>
      </c>
      <c r="AI422" s="33" t="e">
        <f t="shared" ca="1" si="150"/>
        <v>#N/A</v>
      </c>
      <c r="AJ422" s="34" t="e">
        <f t="shared" ca="1" si="151"/>
        <v>#N/A</v>
      </c>
      <c r="AK422" s="34" t="e">
        <f t="shared" ca="1" si="144"/>
        <v>#N/A</v>
      </c>
      <c r="AL422" s="34" t="e">
        <f t="shared" ca="1" si="145"/>
        <v>#N/A</v>
      </c>
      <c r="AM422" s="33" t="e">
        <f t="shared" ca="1" si="152"/>
        <v>#N/A</v>
      </c>
      <c r="AN422" s="34" t="e">
        <f t="shared" ca="1" si="153"/>
        <v>#N/A</v>
      </c>
    </row>
    <row r="423" spans="1:40" x14ac:dyDescent="0.3">
      <c r="A423" s="2">
        <v>44075</v>
      </c>
      <c r="B423" s="9">
        <v>53.439999</v>
      </c>
      <c r="C423" s="9">
        <v>69.169998000000007</v>
      </c>
      <c r="D423" s="9">
        <v>52.470001000000003</v>
      </c>
      <c r="E423" s="10"/>
      <c r="F423" s="13">
        <v>420</v>
      </c>
      <c r="G423" s="2">
        <v>44075</v>
      </c>
      <c r="H423" s="14">
        <f t="shared" si="134"/>
        <v>4.5010953712242901E-3</v>
      </c>
      <c r="I423" s="14">
        <f t="shared" si="135"/>
        <v>4.9274882308543962E-3</v>
      </c>
      <c r="J423" s="14">
        <f t="shared" si="136"/>
        <v>-2.2843908441230157E-3</v>
      </c>
      <c r="K423" s="22">
        <v>420</v>
      </c>
      <c r="L423" s="12"/>
      <c r="Q423" s="15">
        <f t="shared" si="137"/>
        <v>420</v>
      </c>
      <c r="R423" s="2">
        <f t="shared" si="133"/>
        <v>44075</v>
      </c>
      <c r="S423" s="9">
        <f t="shared" ca="1" si="138"/>
        <v>4.5010953712242901E-3</v>
      </c>
      <c r="T423" s="9">
        <f t="shared" ca="1" si="139"/>
        <v>4.9274882308543962E-3</v>
      </c>
      <c r="U423" s="9">
        <f t="shared" ca="1" si="140"/>
        <v>-2.2843908441230157E-3</v>
      </c>
      <c r="AB423" s="33" t="e">
        <f t="shared" ca="1" si="146"/>
        <v>#N/A</v>
      </c>
      <c r="AC423" s="34" t="e">
        <f t="shared" ca="1" si="147"/>
        <v>#N/A</v>
      </c>
      <c r="AD423" s="34" t="e">
        <f t="shared" ca="1" si="148"/>
        <v>#N/A</v>
      </c>
      <c r="AE423" s="33" t="e">
        <f t="shared" ca="1" si="149"/>
        <v>#N/A</v>
      </c>
      <c r="AF423" s="34" t="e">
        <f t="shared" ca="1" si="141"/>
        <v>#N/A</v>
      </c>
      <c r="AG423" s="34" t="e">
        <f t="shared" ca="1" si="142"/>
        <v>#N/A</v>
      </c>
      <c r="AH423" s="34" t="e">
        <f t="shared" ca="1" si="143"/>
        <v>#N/A</v>
      </c>
      <c r="AI423" s="33" t="e">
        <f t="shared" ca="1" si="150"/>
        <v>#N/A</v>
      </c>
      <c r="AJ423" s="34" t="e">
        <f t="shared" ca="1" si="151"/>
        <v>#N/A</v>
      </c>
      <c r="AK423" s="34" t="e">
        <f t="shared" ca="1" si="144"/>
        <v>#N/A</v>
      </c>
      <c r="AL423" s="34" t="e">
        <f t="shared" ca="1" si="145"/>
        <v>#N/A</v>
      </c>
      <c r="AM423" s="33" t="e">
        <f t="shared" ca="1" si="152"/>
        <v>#N/A</v>
      </c>
      <c r="AN423" s="34" t="e">
        <f t="shared" ca="1" si="153"/>
        <v>#N/A</v>
      </c>
    </row>
    <row r="424" spans="1:40" x14ac:dyDescent="0.3">
      <c r="A424" s="2">
        <v>44076</v>
      </c>
      <c r="B424" s="9">
        <v>54.93</v>
      </c>
      <c r="C424" s="9">
        <v>71.589995999999999</v>
      </c>
      <c r="D424" s="9">
        <v>52.91</v>
      </c>
      <c r="E424" s="10"/>
      <c r="F424" s="13">
        <v>421</v>
      </c>
      <c r="G424" s="2">
        <v>44076</v>
      </c>
      <c r="H424" s="14">
        <f t="shared" si="134"/>
        <v>2.7500136838713662E-2</v>
      </c>
      <c r="I424" s="14">
        <f t="shared" si="135"/>
        <v>3.4388129836142867E-2</v>
      </c>
      <c r="J424" s="14">
        <f t="shared" si="136"/>
        <v>8.350760158910342E-3</v>
      </c>
      <c r="K424" s="22">
        <v>421</v>
      </c>
      <c r="L424" s="12"/>
      <c r="Q424" s="15">
        <f t="shared" si="137"/>
        <v>421</v>
      </c>
      <c r="R424" s="2">
        <f t="shared" si="133"/>
        <v>44076</v>
      </c>
      <c r="S424" s="9">
        <f t="shared" ca="1" si="138"/>
        <v>2.7500136838713662E-2</v>
      </c>
      <c r="T424" s="9">
        <f t="shared" ca="1" si="139"/>
        <v>3.4388129836142867E-2</v>
      </c>
      <c r="U424" s="9">
        <f t="shared" ca="1" si="140"/>
        <v>8.350760158910342E-3</v>
      </c>
      <c r="AB424" s="33" t="e">
        <f t="shared" ca="1" si="146"/>
        <v>#N/A</v>
      </c>
      <c r="AC424" s="34" t="e">
        <f t="shared" ca="1" si="147"/>
        <v>#N/A</v>
      </c>
      <c r="AD424" s="34" t="e">
        <f t="shared" ca="1" si="148"/>
        <v>#N/A</v>
      </c>
      <c r="AE424" s="33" t="e">
        <f t="shared" ca="1" si="149"/>
        <v>#N/A</v>
      </c>
      <c r="AF424" s="34" t="e">
        <f t="shared" ca="1" si="141"/>
        <v>#N/A</v>
      </c>
      <c r="AG424" s="34" t="e">
        <f t="shared" ca="1" si="142"/>
        <v>#N/A</v>
      </c>
      <c r="AH424" s="34" t="e">
        <f t="shared" ca="1" si="143"/>
        <v>#N/A</v>
      </c>
      <c r="AI424" s="33" t="e">
        <f t="shared" ca="1" si="150"/>
        <v>#N/A</v>
      </c>
      <c r="AJ424" s="34" t="e">
        <f t="shared" ca="1" si="151"/>
        <v>#N/A</v>
      </c>
      <c r="AK424" s="34" t="e">
        <f t="shared" ca="1" si="144"/>
        <v>#N/A</v>
      </c>
      <c r="AL424" s="34" t="e">
        <f t="shared" ca="1" si="145"/>
        <v>#N/A</v>
      </c>
      <c r="AM424" s="33" t="e">
        <f t="shared" ca="1" si="152"/>
        <v>#N/A</v>
      </c>
      <c r="AN424" s="34" t="e">
        <f t="shared" ca="1" si="153"/>
        <v>#N/A</v>
      </c>
    </row>
    <row r="425" spans="1:40" x14ac:dyDescent="0.3">
      <c r="A425" s="2">
        <v>44077</v>
      </c>
      <c r="B425" s="9">
        <v>53.220001000000003</v>
      </c>
      <c r="C425" s="9">
        <v>74.150002000000001</v>
      </c>
      <c r="D425" s="9">
        <v>52.330002</v>
      </c>
      <c r="E425" s="10"/>
      <c r="F425" s="13">
        <v>422</v>
      </c>
      <c r="G425" s="2">
        <v>44077</v>
      </c>
      <c r="H425" s="14">
        <f t="shared" si="134"/>
        <v>-3.1625363015057445E-2</v>
      </c>
      <c r="I425" s="14">
        <f t="shared" si="135"/>
        <v>3.5134752021927368E-2</v>
      </c>
      <c r="J425" s="14">
        <f t="shared" si="136"/>
        <v>-1.1022498312929754E-2</v>
      </c>
      <c r="K425" s="22">
        <v>422</v>
      </c>
      <c r="L425" s="12"/>
      <c r="Q425" s="15">
        <f t="shared" si="137"/>
        <v>422</v>
      </c>
      <c r="R425" s="2">
        <f t="shared" si="133"/>
        <v>44077</v>
      </c>
      <c r="S425" s="9">
        <f t="shared" ca="1" si="138"/>
        <v>-3.1625363015057445E-2</v>
      </c>
      <c r="T425" s="9">
        <f t="shared" ca="1" si="139"/>
        <v>3.5134752021927368E-2</v>
      </c>
      <c r="U425" s="9">
        <f t="shared" ca="1" si="140"/>
        <v>-1.1022498312929754E-2</v>
      </c>
      <c r="AB425" s="33" t="e">
        <f t="shared" ca="1" si="146"/>
        <v>#N/A</v>
      </c>
      <c r="AC425" s="34" t="e">
        <f t="shared" ca="1" si="147"/>
        <v>#N/A</v>
      </c>
      <c r="AD425" s="34" t="e">
        <f t="shared" ca="1" si="148"/>
        <v>#N/A</v>
      </c>
      <c r="AE425" s="33" t="e">
        <f t="shared" ca="1" si="149"/>
        <v>#N/A</v>
      </c>
      <c r="AF425" s="34" t="e">
        <f t="shared" ca="1" si="141"/>
        <v>#N/A</v>
      </c>
      <c r="AG425" s="34" t="e">
        <f t="shared" ca="1" si="142"/>
        <v>#N/A</v>
      </c>
      <c r="AH425" s="34" t="e">
        <f t="shared" ca="1" si="143"/>
        <v>#N/A</v>
      </c>
      <c r="AI425" s="33" t="e">
        <f t="shared" ca="1" si="150"/>
        <v>#N/A</v>
      </c>
      <c r="AJ425" s="34" t="e">
        <f t="shared" ca="1" si="151"/>
        <v>#N/A</v>
      </c>
      <c r="AK425" s="34" t="e">
        <f t="shared" ca="1" si="144"/>
        <v>#N/A</v>
      </c>
      <c r="AL425" s="34" t="e">
        <f t="shared" ca="1" si="145"/>
        <v>#N/A</v>
      </c>
      <c r="AM425" s="33" t="e">
        <f t="shared" ca="1" si="152"/>
        <v>#N/A</v>
      </c>
      <c r="AN425" s="34" t="e">
        <f t="shared" ca="1" si="153"/>
        <v>#N/A</v>
      </c>
    </row>
    <row r="426" spans="1:40" x14ac:dyDescent="0.3">
      <c r="A426" s="2">
        <v>44078</v>
      </c>
      <c r="B426" s="9">
        <v>53.200001</v>
      </c>
      <c r="C426" s="9">
        <v>74.050003000000004</v>
      </c>
      <c r="D426" s="9">
        <v>51.220001000000003</v>
      </c>
      <c r="E426" s="10"/>
      <c r="F426" s="13">
        <v>423</v>
      </c>
      <c r="G426" s="2">
        <v>44078</v>
      </c>
      <c r="H426" s="14">
        <f t="shared" si="134"/>
        <v>-3.7586919488055936E-4</v>
      </c>
      <c r="I426" s="14">
        <f t="shared" si="135"/>
        <v>-1.3495143293202707E-3</v>
      </c>
      <c r="J426" s="14">
        <f t="shared" si="136"/>
        <v>-2.1439758308107893E-2</v>
      </c>
      <c r="K426" s="22">
        <v>423</v>
      </c>
      <c r="L426" s="12"/>
      <c r="Q426" s="15">
        <f t="shared" si="137"/>
        <v>423</v>
      </c>
      <c r="R426" s="2">
        <f t="shared" si="133"/>
        <v>44078</v>
      </c>
      <c r="S426" s="9">
        <f t="shared" ca="1" si="138"/>
        <v>-3.7586919488055936E-4</v>
      </c>
      <c r="T426" s="9">
        <f t="shared" ca="1" si="139"/>
        <v>-1.3495143293202707E-3</v>
      </c>
      <c r="U426" s="9">
        <f t="shared" ca="1" si="140"/>
        <v>-2.1439758308107893E-2</v>
      </c>
      <c r="AB426" s="33" t="e">
        <f t="shared" ca="1" si="146"/>
        <v>#N/A</v>
      </c>
      <c r="AC426" s="34" t="e">
        <f t="shared" ca="1" si="147"/>
        <v>#N/A</v>
      </c>
      <c r="AD426" s="34" t="e">
        <f t="shared" ca="1" si="148"/>
        <v>#N/A</v>
      </c>
      <c r="AE426" s="33" t="e">
        <f t="shared" ca="1" si="149"/>
        <v>#N/A</v>
      </c>
      <c r="AF426" s="34" t="e">
        <f t="shared" ca="1" si="141"/>
        <v>#N/A</v>
      </c>
      <c r="AG426" s="34" t="e">
        <f t="shared" ca="1" si="142"/>
        <v>#N/A</v>
      </c>
      <c r="AH426" s="34" t="e">
        <f t="shared" ca="1" si="143"/>
        <v>#N/A</v>
      </c>
      <c r="AI426" s="33" t="e">
        <f t="shared" ca="1" si="150"/>
        <v>#N/A</v>
      </c>
      <c r="AJ426" s="34" t="e">
        <f t="shared" ca="1" si="151"/>
        <v>#N/A</v>
      </c>
      <c r="AK426" s="34" t="e">
        <f t="shared" ca="1" si="144"/>
        <v>#N/A</v>
      </c>
      <c r="AL426" s="34" t="e">
        <f t="shared" ca="1" si="145"/>
        <v>#N/A</v>
      </c>
      <c r="AM426" s="33" t="e">
        <f t="shared" ca="1" si="152"/>
        <v>#N/A</v>
      </c>
      <c r="AN426" s="34" t="e">
        <f t="shared" ca="1" si="153"/>
        <v>#N/A</v>
      </c>
    </row>
    <row r="427" spans="1:40" x14ac:dyDescent="0.3">
      <c r="A427" s="2">
        <v>44082</v>
      </c>
      <c r="B427" s="9">
        <v>51.849997999999999</v>
      </c>
      <c r="C427" s="9">
        <v>75.059997999999993</v>
      </c>
      <c r="D427" s="9">
        <v>48.73</v>
      </c>
      <c r="E427" s="10"/>
      <c r="F427" s="13">
        <v>424</v>
      </c>
      <c r="G427" s="2">
        <v>44082</v>
      </c>
      <c r="H427" s="14">
        <f t="shared" si="134"/>
        <v>-2.5703519041861644E-2</v>
      </c>
      <c r="I427" s="14">
        <f t="shared" si="135"/>
        <v>1.354718583455004E-2</v>
      </c>
      <c r="J427" s="14">
        <f t="shared" si="136"/>
        <v>-4.9835243439587909E-2</v>
      </c>
      <c r="K427" s="22">
        <v>424</v>
      </c>
      <c r="L427" s="12"/>
      <c r="Q427" s="15">
        <f t="shared" si="137"/>
        <v>424</v>
      </c>
      <c r="R427" s="2">
        <f t="shared" si="133"/>
        <v>44082</v>
      </c>
      <c r="S427" s="9">
        <f t="shared" ca="1" si="138"/>
        <v>-2.5703519041861644E-2</v>
      </c>
      <c r="T427" s="9">
        <f t="shared" ca="1" si="139"/>
        <v>1.354718583455004E-2</v>
      </c>
      <c r="U427" s="9">
        <f t="shared" ca="1" si="140"/>
        <v>-4.9835243439587909E-2</v>
      </c>
      <c r="AB427" s="33" t="e">
        <f t="shared" ca="1" si="146"/>
        <v>#N/A</v>
      </c>
      <c r="AC427" s="34" t="e">
        <f t="shared" ca="1" si="147"/>
        <v>#N/A</v>
      </c>
      <c r="AD427" s="34" t="e">
        <f t="shared" ca="1" si="148"/>
        <v>#N/A</v>
      </c>
      <c r="AE427" s="33" t="e">
        <f t="shared" ca="1" si="149"/>
        <v>#N/A</v>
      </c>
      <c r="AF427" s="34" t="e">
        <f t="shared" ca="1" si="141"/>
        <v>#N/A</v>
      </c>
      <c r="AG427" s="34" t="e">
        <f t="shared" ca="1" si="142"/>
        <v>#N/A</v>
      </c>
      <c r="AH427" s="34" t="e">
        <f t="shared" ca="1" si="143"/>
        <v>#N/A</v>
      </c>
      <c r="AI427" s="33" t="e">
        <f t="shared" ca="1" si="150"/>
        <v>#N/A</v>
      </c>
      <c r="AJ427" s="34" t="e">
        <f t="shared" ca="1" si="151"/>
        <v>#N/A</v>
      </c>
      <c r="AK427" s="34" t="e">
        <f t="shared" ca="1" si="144"/>
        <v>#N/A</v>
      </c>
      <c r="AL427" s="34" t="e">
        <f t="shared" ca="1" si="145"/>
        <v>#N/A</v>
      </c>
      <c r="AM427" s="33" t="e">
        <f t="shared" ca="1" si="152"/>
        <v>#N/A</v>
      </c>
      <c r="AN427" s="34" t="e">
        <f t="shared" ca="1" si="153"/>
        <v>#N/A</v>
      </c>
    </row>
    <row r="428" spans="1:40" x14ac:dyDescent="0.3">
      <c r="A428" s="2">
        <v>44083</v>
      </c>
      <c r="B428" s="9">
        <v>52.41</v>
      </c>
      <c r="C428" s="9">
        <v>73.510002</v>
      </c>
      <c r="D428" s="9">
        <v>47.75</v>
      </c>
      <c r="E428" s="10"/>
      <c r="F428" s="13">
        <v>425</v>
      </c>
      <c r="G428" s="2">
        <v>44083</v>
      </c>
      <c r="H428" s="14">
        <f t="shared" si="134"/>
        <v>1.0742516711345339E-2</v>
      </c>
      <c r="I428" s="14">
        <f t="shared" si="135"/>
        <v>-2.0866288468345318E-2</v>
      </c>
      <c r="J428" s="14">
        <f t="shared" si="136"/>
        <v>-2.0315789928675502E-2</v>
      </c>
      <c r="K428" s="22">
        <v>425</v>
      </c>
      <c r="L428" s="12"/>
      <c r="Q428" s="15">
        <f t="shared" si="137"/>
        <v>425</v>
      </c>
      <c r="R428" s="2">
        <f t="shared" si="133"/>
        <v>44083</v>
      </c>
      <c r="S428" s="9">
        <f t="shared" ca="1" si="138"/>
        <v>1.0742516711345339E-2</v>
      </c>
      <c r="T428" s="9">
        <f t="shared" ca="1" si="139"/>
        <v>-2.0866288468345318E-2</v>
      </c>
      <c r="U428" s="9">
        <f t="shared" ca="1" si="140"/>
        <v>-2.0315789928675502E-2</v>
      </c>
      <c r="AB428" s="33" t="e">
        <f t="shared" ca="1" si="146"/>
        <v>#N/A</v>
      </c>
      <c r="AC428" s="34" t="e">
        <f t="shared" ca="1" si="147"/>
        <v>#N/A</v>
      </c>
      <c r="AD428" s="34" t="e">
        <f t="shared" ca="1" si="148"/>
        <v>#N/A</v>
      </c>
      <c r="AE428" s="33" t="e">
        <f t="shared" ca="1" si="149"/>
        <v>#N/A</v>
      </c>
      <c r="AF428" s="34" t="e">
        <f t="shared" ca="1" si="141"/>
        <v>#N/A</v>
      </c>
      <c r="AG428" s="34" t="e">
        <f t="shared" ca="1" si="142"/>
        <v>#N/A</v>
      </c>
      <c r="AH428" s="34" t="e">
        <f t="shared" ca="1" si="143"/>
        <v>#N/A</v>
      </c>
      <c r="AI428" s="33" t="e">
        <f t="shared" ca="1" si="150"/>
        <v>#N/A</v>
      </c>
      <c r="AJ428" s="34" t="e">
        <f t="shared" ca="1" si="151"/>
        <v>#N/A</v>
      </c>
      <c r="AK428" s="34" t="e">
        <f t="shared" ca="1" si="144"/>
        <v>#N/A</v>
      </c>
      <c r="AL428" s="34" t="e">
        <f t="shared" ca="1" si="145"/>
        <v>#N/A</v>
      </c>
      <c r="AM428" s="33" t="e">
        <f t="shared" ca="1" si="152"/>
        <v>#N/A</v>
      </c>
      <c r="AN428" s="34" t="e">
        <f t="shared" ca="1" si="153"/>
        <v>#N/A</v>
      </c>
    </row>
    <row r="429" spans="1:40" x14ac:dyDescent="0.3">
      <c r="A429" s="2">
        <v>44084</v>
      </c>
      <c r="B429" s="9">
        <v>50.98</v>
      </c>
      <c r="C429" s="9">
        <v>75.510002</v>
      </c>
      <c r="D429" s="9">
        <v>45.630001</v>
      </c>
      <c r="E429" s="10"/>
      <c r="F429" s="13">
        <v>426</v>
      </c>
      <c r="G429" s="2">
        <v>44084</v>
      </c>
      <c r="H429" s="14">
        <f t="shared" si="134"/>
        <v>-2.7664013866105484E-2</v>
      </c>
      <c r="I429" s="14">
        <f t="shared" si="135"/>
        <v>2.6843645708713421E-2</v>
      </c>
      <c r="J429" s="14">
        <f t="shared" si="136"/>
        <v>-4.5413650072021743E-2</v>
      </c>
      <c r="K429" s="22">
        <v>426</v>
      </c>
      <c r="L429" s="12"/>
      <c r="Q429" s="15">
        <f t="shared" si="137"/>
        <v>426</v>
      </c>
      <c r="R429" s="2">
        <f t="shared" si="133"/>
        <v>44084</v>
      </c>
      <c r="S429" s="9">
        <f t="shared" ca="1" si="138"/>
        <v>-2.7664013866105484E-2</v>
      </c>
      <c r="T429" s="9">
        <f t="shared" ca="1" si="139"/>
        <v>2.6843645708713421E-2</v>
      </c>
      <c r="U429" s="9">
        <f t="shared" ca="1" si="140"/>
        <v>-4.5413650072021743E-2</v>
      </c>
      <c r="AB429" s="33" t="e">
        <f t="shared" ca="1" si="146"/>
        <v>#N/A</v>
      </c>
      <c r="AC429" s="34" t="e">
        <f t="shared" ca="1" si="147"/>
        <v>#N/A</v>
      </c>
      <c r="AD429" s="34" t="e">
        <f t="shared" ca="1" si="148"/>
        <v>#N/A</v>
      </c>
      <c r="AE429" s="33" t="e">
        <f t="shared" ca="1" si="149"/>
        <v>#N/A</v>
      </c>
      <c r="AF429" s="34" t="e">
        <f t="shared" ca="1" si="141"/>
        <v>#N/A</v>
      </c>
      <c r="AG429" s="34" t="e">
        <f t="shared" ca="1" si="142"/>
        <v>#N/A</v>
      </c>
      <c r="AH429" s="34" t="e">
        <f t="shared" ca="1" si="143"/>
        <v>#N/A</v>
      </c>
      <c r="AI429" s="33" t="e">
        <f t="shared" ca="1" si="150"/>
        <v>#N/A</v>
      </c>
      <c r="AJ429" s="34" t="e">
        <f t="shared" ca="1" si="151"/>
        <v>#N/A</v>
      </c>
      <c r="AK429" s="34" t="e">
        <f t="shared" ca="1" si="144"/>
        <v>#N/A</v>
      </c>
      <c r="AL429" s="34" t="e">
        <f t="shared" ca="1" si="145"/>
        <v>#N/A</v>
      </c>
      <c r="AM429" s="33" t="e">
        <f t="shared" ca="1" si="152"/>
        <v>#N/A</v>
      </c>
      <c r="AN429" s="34" t="e">
        <f t="shared" ca="1" si="153"/>
        <v>#N/A</v>
      </c>
    </row>
    <row r="430" spans="1:40" x14ac:dyDescent="0.3">
      <c r="A430" s="2">
        <v>44085</v>
      </c>
      <c r="B430" s="9">
        <v>51.75</v>
      </c>
      <c r="C430" s="9">
        <v>76.160004000000001</v>
      </c>
      <c r="D430" s="9">
        <v>46.389999000000003</v>
      </c>
      <c r="E430" s="10"/>
      <c r="F430" s="13">
        <v>427</v>
      </c>
      <c r="G430" s="2">
        <v>44085</v>
      </c>
      <c r="H430" s="14">
        <f t="shared" si="134"/>
        <v>1.4991033197509144E-2</v>
      </c>
      <c r="I430" s="14">
        <f t="shared" si="135"/>
        <v>8.571318702225059E-3</v>
      </c>
      <c r="J430" s="14">
        <f t="shared" si="136"/>
        <v>1.6518480352564782E-2</v>
      </c>
      <c r="K430" s="22">
        <v>427</v>
      </c>
      <c r="L430" s="12"/>
      <c r="Q430" s="15">
        <f t="shared" si="137"/>
        <v>427</v>
      </c>
      <c r="R430" s="2">
        <f t="shared" si="133"/>
        <v>44085</v>
      </c>
      <c r="S430" s="9">
        <f t="shared" ca="1" si="138"/>
        <v>1.4991033197509144E-2</v>
      </c>
      <c r="T430" s="9">
        <f t="shared" ca="1" si="139"/>
        <v>8.571318702225059E-3</v>
      </c>
      <c r="U430" s="9">
        <f t="shared" ca="1" si="140"/>
        <v>1.6518480352564782E-2</v>
      </c>
      <c r="AB430" s="33" t="e">
        <f t="shared" ca="1" si="146"/>
        <v>#N/A</v>
      </c>
      <c r="AC430" s="34" t="e">
        <f t="shared" ca="1" si="147"/>
        <v>#N/A</v>
      </c>
      <c r="AD430" s="34" t="e">
        <f t="shared" ca="1" si="148"/>
        <v>#N/A</v>
      </c>
      <c r="AE430" s="33" t="e">
        <f t="shared" ca="1" si="149"/>
        <v>#N/A</v>
      </c>
      <c r="AF430" s="34" t="e">
        <f t="shared" ca="1" si="141"/>
        <v>#N/A</v>
      </c>
      <c r="AG430" s="34" t="e">
        <f t="shared" ca="1" si="142"/>
        <v>#N/A</v>
      </c>
      <c r="AH430" s="34" t="e">
        <f t="shared" ca="1" si="143"/>
        <v>#N/A</v>
      </c>
      <c r="AI430" s="33" t="e">
        <f t="shared" ca="1" si="150"/>
        <v>#N/A</v>
      </c>
      <c r="AJ430" s="34" t="e">
        <f t="shared" ca="1" si="151"/>
        <v>#N/A</v>
      </c>
      <c r="AK430" s="34" t="e">
        <f t="shared" ca="1" si="144"/>
        <v>#N/A</v>
      </c>
      <c r="AL430" s="34" t="e">
        <f t="shared" ca="1" si="145"/>
        <v>#N/A</v>
      </c>
      <c r="AM430" s="33" t="e">
        <f t="shared" ca="1" si="152"/>
        <v>#N/A</v>
      </c>
      <c r="AN430" s="34" t="e">
        <f t="shared" ca="1" si="153"/>
        <v>#N/A</v>
      </c>
    </row>
    <row r="431" spans="1:40" x14ac:dyDescent="0.3">
      <c r="A431" s="2">
        <v>44088</v>
      </c>
      <c r="B431" s="9">
        <v>53.5</v>
      </c>
      <c r="C431" s="9">
        <v>80.589995999999999</v>
      </c>
      <c r="D431" s="9">
        <v>47.509998000000003</v>
      </c>
      <c r="E431" s="10"/>
      <c r="F431" s="13">
        <v>428</v>
      </c>
      <c r="G431" s="2">
        <v>44088</v>
      </c>
      <c r="H431" s="14">
        <f t="shared" si="134"/>
        <v>3.3257221756482339E-2</v>
      </c>
      <c r="I431" s="14">
        <f t="shared" si="135"/>
        <v>5.6538079698352207E-2</v>
      </c>
      <c r="J431" s="14">
        <f t="shared" si="136"/>
        <v>2.3856275895146186E-2</v>
      </c>
      <c r="K431" s="22">
        <v>428</v>
      </c>
      <c r="L431" s="12"/>
      <c r="Q431" s="15">
        <f t="shared" si="137"/>
        <v>428</v>
      </c>
      <c r="R431" s="2">
        <f t="shared" si="133"/>
        <v>44088</v>
      </c>
      <c r="S431" s="9">
        <f t="shared" ca="1" si="138"/>
        <v>3.3257221756482339E-2</v>
      </c>
      <c r="T431" s="9">
        <f t="shared" ca="1" si="139"/>
        <v>5.6538079698352207E-2</v>
      </c>
      <c r="U431" s="9">
        <f t="shared" ca="1" si="140"/>
        <v>2.3856275895146186E-2</v>
      </c>
      <c r="AB431" s="33" t="e">
        <f t="shared" ca="1" si="146"/>
        <v>#N/A</v>
      </c>
      <c r="AC431" s="34" t="e">
        <f t="shared" ca="1" si="147"/>
        <v>#N/A</v>
      </c>
      <c r="AD431" s="34" t="e">
        <f t="shared" ca="1" si="148"/>
        <v>#N/A</v>
      </c>
      <c r="AE431" s="33" t="e">
        <f t="shared" ca="1" si="149"/>
        <v>#N/A</v>
      </c>
      <c r="AF431" s="34" t="e">
        <f t="shared" ca="1" si="141"/>
        <v>#N/A</v>
      </c>
      <c r="AG431" s="34" t="e">
        <f t="shared" ca="1" si="142"/>
        <v>#N/A</v>
      </c>
      <c r="AH431" s="34" t="e">
        <f t="shared" ca="1" si="143"/>
        <v>#N/A</v>
      </c>
      <c r="AI431" s="33" t="e">
        <f t="shared" ca="1" si="150"/>
        <v>#N/A</v>
      </c>
      <c r="AJ431" s="34" t="e">
        <f t="shared" ca="1" si="151"/>
        <v>#N/A</v>
      </c>
      <c r="AK431" s="34" t="e">
        <f t="shared" ca="1" si="144"/>
        <v>#N/A</v>
      </c>
      <c r="AL431" s="34" t="e">
        <f t="shared" ca="1" si="145"/>
        <v>#N/A</v>
      </c>
      <c r="AM431" s="33" t="e">
        <f t="shared" ca="1" si="152"/>
        <v>#N/A</v>
      </c>
      <c r="AN431" s="34" t="e">
        <f t="shared" ca="1" si="153"/>
        <v>#N/A</v>
      </c>
    </row>
    <row r="432" spans="1:40" x14ac:dyDescent="0.3">
      <c r="A432" s="2">
        <v>44089</v>
      </c>
      <c r="B432" s="9">
        <v>53.970001000000003</v>
      </c>
      <c r="C432" s="9">
        <v>80.620002999999997</v>
      </c>
      <c r="D432" s="9">
        <v>46.560001</v>
      </c>
      <c r="E432" s="10"/>
      <c r="F432" s="13">
        <v>429</v>
      </c>
      <c r="G432" s="2">
        <v>44089</v>
      </c>
      <c r="H432" s="14">
        <f t="shared" si="134"/>
        <v>8.7467012574027354E-3</v>
      </c>
      <c r="I432" s="14">
        <f t="shared" si="135"/>
        <v>3.7227219815983456E-4</v>
      </c>
      <c r="J432" s="14">
        <f t="shared" si="136"/>
        <v>-2.0198348201583054E-2</v>
      </c>
      <c r="K432" s="22">
        <v>429</v>
      </c>
      <c r="L432" s="12"/>
      <c r="Q432" s="15">
        <f t="shared" si="137"/>
        <v>429</v>
      </c>
      <c r="R432" s="2">
        <f t="shared" si="133"/>
        <v>44089</v>
      </c>
      <c r="S432" s="9">
        <f t="shared" ca="1" si="138"/>
        <v>8.7467012574027354E-3</v>
      </c>
      <c r="T432" s="9">
        <f t="shared" ca="1" si="139"/>
        <v>3.7227219815983456E-4</v>
      </c>
      <c r="U432" s="9">
        <f t="shared" ca="1" si="140"/>
        <v>-2.0198348201583054E-2</v>
      </c>
      <c r="AB432" s="33" t="e">
        <f t="shared" ca="1" si="146"/>
        <v>#N/A</v>
      </c>
      <c r="AC432" s="34" t="e">
        <f t="shared" ca="1" si="147"/>
        <v>#N/A</v>
      </c>
      <c r="AD432" s="34" t="e">
        <f t="shared" ca="1" si="148"/>
        <v>#N/A</v>
      </c>
      <c r="AE432" s="33" t="e">
        <f t="shared" ca="1" si="149"/>
        <v>#N/A</v>
      </c>
      <c r="AF432" s="34" t="e">
        <f t="shared" ca="1" si="141"/>
        <v>#N/A</v>
      </c>
      <c r="AG432" s="34" t="e">
        <f t="shared" ca="1" si="142"/>
        <v>#N/A</v>
      </c>
      <c r="AH432" s="34" t="e">
        <f t="shared" ca="1" si="143"/>
        <v>#N/A</v>
      </c>
      <c r="AI432" s="33" t="e">
        <f t="shared" ca="1" si="150"/>
        <v>#N/A</v>
      </c>
      <c r="AJ432" s="34" t="e">
        <f t="shared" ca="1" si="151"/>
        <v>#N/A</v>
      </c>
      <c r="AK432" s="34" t="e">
        <f t="shared" ca="1" si="144"/>
        <v>#N/A</v>
      </c>
      <c r="AL432" s="34" t="e">
        <f t="shared" ca="1" si="145"/>
        <v>#N/A</v>
      </c>
      <c r="AM432" s="33" t="e">
        <f t="shared" ca="1" si="152"/>
        <v>#N/A</v>
      </c>
      <c r="AN432" s="34" t="e">
        <f t="shared" ca="1" si="153"/>
        <v>#N/A</v>
      </c>
    </row>
    <row r="433" spans="1:40" x14ac:dyDescent="0.3">
      <c r="A433" s="2">
        <v>44090</v>
      </c>
      <c r="B433" s="9">
        <v>54.07</v>
      </c>
      <c r="C433" s="9">
        <v>81.269997000000004</v>
      </c>
      <c r="D433" s="9">
        <v>49.099997999999999</v>
      </c>
      <c r="E433" s="10"/>
      <c r="F433" s="13">
        <v>430</v>
      </c>
      <c r="G433" s="2">
        <v>44090</v>
      </c>
      <c r="H433" s="14">
        <f t="shared" si="134"/>
        <v>1.8511482345498766E-3</v>
      </c>
      <c r="I433" s="14">
        <f t="shared" si="135"/>
        <v>8.0301129504934642E-3</v>
      </c>
      <c r="J433" s="14">
        <f t="shared" si="136"/>
        <v>5.3117169166431055E-2</v>
      </c>
      <c r="K433" s="22">
        <v>430</v>
      </c>
      <c r="L433" s="12"/>
      <c r="Q433" s="15">
        <f t="shared" si="137"/>
        <v>430</v>
      </c>
      <c r="R433" s="2">
        <f t="shared" si="133"/>
        <v>44090</v>
      </c>
      <c r="S433" s="9">
        <f t="shared" ca="1" si="138"/>
        <v>1.8511482345498766E-3</v>
      </c>
      <c r="T433" s="9">
        <f t="shared" ca="1" si="139"/>
        <v>8.0301129504934642E-3</v>
      </c>
      <c r="U433" s="9">
        <f t="shared" ca="1" si="140"/>
        <v>5.3117169166431055E-2</v>
      </c>
      <c r="AB433" s="33" t="e">
        <f t="shared" ca="1" si="146"/>
        <v>#N/A</v>
      </c>
      <c r="AC433" s="34" t="e">
        <f t="shared" ca="1" si="147"/>
        <v>#N/A</v>
      </c>
      <c r="AD433" s="34" t="e">
        <f t="shared" ca="1" si="148"/>
        <v>#N/A</v>
      </c>
      <c r="AE433" s="33" t="e">
        <f t="shared" ca="1" si="149"/>
        <v>#N/A</v>
      </c>
      <c r="AF433" s="34" t="e">
        <f t="shared" ca="1" si="141"/>
        <v>#N/A</v>
      </c>
      <c r="AG433" s="34" t="e">
        <f t="shared" ca="1" si="142"/>
        <v>#N/A</v>
      </c>
      <c r="AH433" s="34" t="e">
        <f t="shared" ca="1" si="143"/>
        <v>#N/A</v>
      </c>
      <c r="AI433" s="33" t="e">
        <f t="shared" ca="1" si="150"/>
        <v>#N/A</v>
      </c>
      <c r="AJ433" s="34" t="e">
        <f t="shared" ca="1" si="151"/>
        <v>#N/A</v>
      </c>
      <c r="AK433" s="34" t="e">
        <f t="shared" ca="1" si="144"/>
        <v>#N/A</v>
      </c>
      <c r="AL433" s="34" t="e">
        <f t="shared" ca="1" si="145"/>
        <v>#N/A</v>
      </c>
      <c r="AM433" s="33" t="e">
        <f t="shared" ca="1" si="152"/>
        <v>#N/A</v>
      </c>
      <c r="AN433" s="34" t="e">
        <f t="shared" ca="1" si="153"/>
        <v>#N/A</v>
      </c>
    </row>
    <row r="434" spans="1:40" x14ac:dyDescent="0.3">
      <c r="A434" s="2">
        <v>44091</v>
      </c>
      <c r="B434" s="9">
        <v>53.889999000000003</v>
      </c>
      <c r="C434" s="9">
        <v>78.760002</v>
      </c>
      <c r="D434" s="9">
        <v>49</v>
      </c>
      <c r="E434" s="10"/>
      <c r="F434" s="13">
        <v>431</v>
      </c>
      <c r="G434" s="2">
        <v>44091</v>
      </c>
      <c r="H434" s="14">
        <f t="shared" si="134"/>
        <v>-3.3345900048267229E-3</v>
      </c>
      <c r="I434" s="14">
        <f t="shared" si="135"/>
        <v>-3.1371628686597118E-2</v>
      </c>
      <c r="J434" s="14">
        <f t="shared" si="136"/>
        <v>-2.0386959566498549E-3</v>
      </c>
      <c r="K434" s="22">
        <v>431</v>
      </c>
      <c r="L434" s="12"/>
      <c r="Q434" s="15">
        <f t="shared" si="137"/>
        <v>431</v>
      </c>
      <c r="R434" s="2">
        <f t="shared" si="133"/>
        <v>44091</v>
      </c>
      <c r="S434" s="9">
        <f t="shared" ca="1" si="138"/>
        <v>-3.3345900048267229E-3</v>
      </c>
      <c r="T434" s="9">
        <f t="shared" ca="1" si="139"/>
        <v>-3.1371628686597118E-2</v>
      </c>
      <c r="U434" s="9">
        <f t="shared" ca="1" si="140"/>
        <v>-2.0386959566498549E-3</v>
      </c>
      <c r="AB434" s="33" t="e">
        <f t="shared" ca="1" si="146"/>
        <v>#N/A</v>
      </c>
      <c r="AC434" s="34" t="e">
        <f t="shared" ca="1" si="147"/>
        <v>#N/A</v>
      </c>
      <c r="AD434" s="34" t="e">
        <f t="shared" ca="1" si="148"/>
        <v>#N/A</v>
      </c>
      <c r="AE434" s="33" t="e">
        <f t="shared" ca="1" si="149"/>
        <v>#N/A</v>
      </c>
      <c r="AF434" s="34" t="e">
        <f t="shared" ca="1" si="141"/>
        <v>#N/A</v>
      </c>
      <c r="AG434" s="34" t="e">
        <f t="shared" ca="1" si="142"/>
        <v>#N/A</v>
      </c>
      <c r="AH434" s="34" t="e">
        <f t="shared" ca="1" si="143"/>
        <v>#N/A</v>
      </c>
      <c r="AI434" s="33" t="e">
        <f t="shared" ca="1" si="150"/>
        <v>#N/A</v>
      </c>
      <c r="AJ434" s="34" t="e">
        <f t="shared" ca="1" si="151"/>
        <v>#N/A</v>
      </c>
      <c r="AK434" s="34" t="e">
        <f t="shared" ca="1" si="144"/>
        <v>#N/A</v>
      </c>
      <c r="AL434" s="34" t="e">
        <f t="shared" ca="1" si="145"/>
        <v>#N/A</v>
      </c>
      <c r="AM434" s="33" t="e">
        <f t="shared" ca="1" si="152"/>
        <v>#N/A</v>
      </c>
      <c r="AN434" s="34" t="e">
        <f t="shared" ca="1" si="153"/>
        <v>#N/A</v>
      </c>
    </row>
    <row r="435" spans="1:40" x14ac:dyDescent="0.3">
      <c r="A435" s="2">
        <v>44092</v>
      </c>
      <c r="B435" s="9">
        <v>53.669998</v>
      </c>
      <c r="C435" s="9">
        <v>75.830001999999993</v>
      </c>
      <c r="D435" s="9">
        <v>48.709999000000003</v>
      </c>
      <c r="E435" s="10"/>
      <c r="F435" s="13">
        <v>432</v>
      </c>
      <c r="G435" s="2">
        <v>44092</v>
      </c>
      <c r="H435" s="14">
        <f t="shared" si="134"/>
        <v>-4.0907644651161515E-3</v>
      </c>
      <c r="I435" s="14">
        <f t="shared" si="135"/>
        <v>-3.7911260076895853E-2</v>
      </c>
      <c r="J435" s="14">
        <f t="shared" si="136"/>
        <v>-5.9359708218408597E-3</v>
      </c>
      <c r="K435" s="22">
        <v>432</v>
      </c>
      <c r="L435" s="12"/>
      <c r="Q435" s="15">
        <f t="shared" si="137"/>
        <v>432</v>
      </c>
      <c r="R435" s="2">
        <f t="shared" si="133"/>
        <v>44092</v>
      </c>
      <c r="S435" s="9">
        <f t="shared" ca="1" si="138"/>
        <v>-4.0907644651161515E-3</v>
      </c>
      <c r="T435" s="9">
        <f t="shared" ca="1" si="139"/>
        <v>-3.7911260076895853E-2</v>
      </c>
      <c r="U435" s="9">
        <f t="shared" ca="1" si="140"/>
        <v>-5.9359708218408597E-3</v>
      </c>
      <c r="AB435" s="33" t="e">
        <f t="shared" ca="1" si="146"/>
        <v>#N/A</v>
      </c>
      <c r="AC435" s="34" t="e">
        <f t="shared" ca="1" si="147"/>
        <v>#N/A</v>
      </c>
      <c r="AD435" s="34" t="e">
        <f t="shared" ca="1" si="148"/>
        <v>#N/A</v>
      </c>
      <c r="AE435" s="33" t="e">
        <f t="shared" ca="1" si="149"/>
        <v>#N/A</v>
      </c>
      <c r="AF435" s="34" t="e">
        <f t="shared" ca="1" si="141"/>
        <v>#N/A</v>
      </c>
      <c r="AG435" s="34" t="e">
        <f t="shared" ca="1" si="142"/>
        <v>#N/A</v>
      </c>
      <c r="AH435" s="34" t="e">
        <f t="shared" ca="1" si="143"/>
        <v>#N/A</v>
      </c>
      <c r="AI435" s="33" t="e">
        <f t="shared" ca="1" si="150"/>
        <v>#N/A</v>
      </c>
      <c r="AJ435" s="34" t="e">
        <f t="shared" ca="1" si="151"/>
        <v>#N/A</v>
      </c>
      <c r="AK435" s="34" t="e">
        <f t="shared" ca="1" si="144"/>
        <v>#N/A</v>
      </c>
      <c r="AL435" s="34" t="e">
        <f t="shared" ca="1" si="145"/>
        <v>#N/A</v>
      </c>
      <c r="AM435" s="33" t="e">
        <f t="shared" ca="1" si="152"/>
        <v>#N/A</v>
      </c>
      <c r="AN435" s="34" t="e">
        <f t="shared" ca="1" si="153"/>
        <v>#N/A</v>
      </c>
    </row>
    <row r="436" spans="1:40" x14ac:dyDescent="0.3">
      <c r="A436" s="2">
        <v>44095</v>
      </c>
      <c r="B436" s="9">
        <v>51.970001000000003</v>
      </c>
      <c r="C436" s="9">
        <v>71.169998000000007</v>
      </c>
      <c r="D436" s="9">
        <v>47.360000999999997</v>
      </c>
      <c r="E436" s="10"/>
      <c r="F436" s="13">
        <v>433</v>
      </c>
      <c r="G436" s="2">
        <v>44095</v>
      </c>
      <c r="H436" s="14">
        <f t="shared" si="134"/>
        <v>-3.2187500661749906E-2</v>
      </c>
      <c r="I436" s="14">
        <f t="shared" si="135"/>
        <v>-6.34226658781782E-2</v>
      </c>
      <c r="J436" s="14">
        <f t="shared" si="136"/>
        <v>-2.8106315598170985E-2</v>
      </c>
      <c r="K436" s="22">
        <v>433</v>
      </c>
      <c r="L436" s="12"/>
      <c r="Q436" s="15">
        <f t="shared" si="137"/>
        <v>433</v>
      </c>
      <c r="R436" s="2">
        <f t="shared" si="133"/>
        <v>44095</v>
      </c>
      <c r="S436" s="9">
        <f t="shared" ca="1" si="138"/>
        <v>-3.2187500661749906E-2</v>
      </c>
      <c r="T436" s="9">
        <f t="shared" ca="1" si="139"/>
        <v>-6.34226658781782E-2</v>
      </c>
      <c r="U436" s="9">
        <f t="shared" ca="1" si="140"/>
        <v>-2.8106315598170985E-2</v>
      </c>
      <c r="AB436" s="33" t="e">
        <f t="shared" ca="1" si="146"/>
        <v>#N/A</v>
      </c>
      <c r="AC436" s="34" t="e">
        <f t="shared" ca="1" si="147"/>
        <v>#N/A</v>
      </c>
      <c r="AD436" s="34" t="e">
        <f t="shared" ca="1" si="148"/>
        <v>#N/A</v>
      </c>
      <c r="AE436" s="33" t="e">
        <f t="shared" ca="1" si="149"/>
        <v>#N/A</v>
      </c>
      <c r="AF436" s="34" t="e">
        <f t="shared" ca="1" si="141"/>
        <v>#N/A</v>
      </c>
      <c r="AG436" s="34" t="e">
        <f t="shared" ca="1" si="142"/>
        <v>#N/A</v>
      </c>
      <c r="AH436" s="34" t="e">
        <f t="shared" ca="1" si="143"/>
        <v>#N/A</v>
      </c>
      <c r="AI436" s="33" t="e">
        <f t="shared" ca="1" si="150"/>
        <v>#N/A</v>
      </c>
      <c r="AJ436" s="34" t="e">
        <f t="shared" ca="1" si="151"/>
        <v>#N/A</v>
      </c>
      <c r="AK436" s="34" t="e">
        <f t="shared" ca="1" si="144"/>
        <v>#N/A</v>
      </c>
      <c r="AL436" s="34" t="e">
        <f t="shared" ca="1" si="145"/>
        <v>#N/A</v>
      </c>
      <c r="AM436" s="33" t="e">
        <f t="shared" ca="1" si="152"/>
        <v>#N/A</v>
      </c>
      <c r="AN436" s="34" t="e">
        <f t="shared" ca="1" si="153"/>
        <v>#N/A</v>
      </c>
    </row>
    <row r="437" spans="1:40" x14ac:dyDescent="0.3">
      <c r="A437" s="2">
        <v>44096</v>
      </c>
      <c r="B437" s="9">
        <v>52.610000999999997</v>
      </c>
      <c r="C437" s="9">
        <v>75.040001000000004</v>
      </c>
      <c r="D437" s="9">
        <v>47.419998</v>
      </c>
      <c r="E437" s="10"/>
      <c r="F437" s="13">
        <v>434</v>
      </c>
      <c r="G437" s="2">
        <v>44096</v>
      </c>
      <c r="H437" s="14">
        <f t="shared" si="134"/>
        <v>1.2239586488288174E-2</v>
      </c>
      <c r="I437" s="14">
        <f t="shared" si="135"/>
        <v>5.2949964814744115E-2</v>
      </c>
      <c r="J437" s="14">
        <f t="shared" si="136"/>
        <v>1.2660267703467223E-3</v>
      </c>
      <c r="K437" s="22">
        <v>434</v>
      </c>
      <c r="L437" s="12"/>
      <c r="Q437" s="15">
        <f t="shared" si="137"/>
        <v>434</v>
      </c>
      <c r="R437" s="2">
        <f t="shared" si="133"/>
        <v>44096</v>
      </c>
      <c r="S437" s="9">
        <f t="shared" ca="1" si="138"/>
        <v>1.2239586488288174E-2</v>
      </c>
      <c r="T437" s="9">
        <f t="shared" ca="1" si="139"/>
        <v>5.2949964814744115E-2</v>
      </c>
      <c r="U437" s="9">
        <f t="shared" ca="1" si="140"/>
        <v>1.2660267703467223E-3</v>
      </c>
      <c r="AB437" s="33" t="e">
        <f t="shared" ca="1" si="146"/>
        <v>#N/A</v>
      </c>
      <c r="AC437" s="34" t="e">
        <f t="shared" ca="1" si="147"/>
        <v>#N/A</v>
      </c>
      <c r="AD437" s="34" t="e">
        <f t="shared" ca="1" si="148"/>
        <v>#N/A</v>
      </c>
      <c r="AE437" s="33" t="e">
        <f t="shared" ca="1" si="149"/>
        <v>#N/A</v>
      </c>
      <c r="AF437" s="34" t="e">
        <f t="shared" ca="1" si="141"/>
        <v>#N/A</v>
      </c>
      <c r="AG437" s="34" t="e">
        <f t="shared" ca="1" si="142"/>
        <v>#N/A</v>
      </c>
      <c r="AH437" s="34" t="e">
        <f t="shared" ca="1" si="143"/>
        <v>#N/A</v>
      </c>
      <c r="AI437" s="33" t="e">
        <f t="shared" ca="1" si="150"/>
        <v>#N/A</v>
      </c>
      <c r="AJ437" s="34" t="e">
        <f t="shared" ca="1" si="151"/>
        <v>#N/A</v>
      </c>
      <c r="AK437" s="34" t="e">
        <f t="shared" ca="1" si="144"/>
        <v>#N/A</v>
      </c>
      <c r="AL437" s="34" t="e">
        <f t="shared" ca="1" si="145"/>
        <v>#N/A</v>
      </c>
      <c r="AM437" s="33" t="e">
        <f t="shared" ca="1" si="152"/>
        <v>#N/A</v>
      </c>
      <c r="AN437" s="34" t="e">
        <f t="shared" ca="1" si="153"/>
        <v>#N/A</v>
      </c>
    </row>
    <row r="438" spans="1:40" x14ac:dyDescent="0.3">
      <c r="A438" s="2">
        <v>44097</v>
      </c>
      <c r="B438" s="9">
        <v>51.580002</v>
      </c>
      <c r="C438" s="9">
        <v>72.010002</v>
      </c>
      <c r="D438" s="9">
        <v>44.509998000000003</v>
      </c>
      <c r="E438" s="10"/>
      <c r="F438" s="13">
        <v>435</v>
      </c>
      <c r="G438" s="2">
        <v>44097</v>
      </c>
      <c r="H438" s="14">
        <f t="shared" si="134"/>
        <v>-1.9772195522591969E-2</v>
      </c>
      <c r="I438" s="14">
        <f t="shared" si="135"/>
        <v>-4.1216291989499901E-2</v>
      </c>
      <c r="J438" s="14">
        <f t="shared" si="136"/>
        <v>-6.3330200366922329E-2</v>
      </c>
      <c r="K438" s="22">
        <v>435</v>
      </c>
      <c r="L438" s="12"/>
      <c r="Q438" s="15">
        <f t="shared" si="137"/>
        <v>435</v>
      </c>
      <c r="R438" s="2">
        <f t="shared" si="133"/>
        <v>44097</v>
      </c>
      <c r="S438" s="9">
        <f t="shared" ca="1" si="138"/>
        <v>-1.9772195522591969E-2</v>
      </c>
      <c r="T438" s="9">
        <f t="shared" ca="1" si="139"/>
        <v>-4.1216291989499901E-2</v>
      </c>
      <c r="U438" s="9">
        <f t="shared" ca="1" si="140"/>
        <v>-6.3330200366922329E-2</v>
      </c>
      <c r="AB438" s="33" t="e">
        <f t="shared" ca="1" si="146"/>
        <v>#N/A</v>
      </c>
      <c r="AC438" s="34" t="e">
        <f t="shared" ca="1" si="147"/>
        <v>#N/A</v>
      </c>
      <c r="AD438" s="34" t="e">
        <f t="shared" ca="1" si="148"/>
        <v>#N/A</v>
      </c>
      <c r="AE438" s="33" t="e">
        <f t="shared" ca="1" si="149"/>
        <v>#N/A</v>
      </c>
      <c r="AF438" s="34" t="e">
        <f t="shared" ca="1" si="141"/>
        <v>#N/A</v>
      </c>
      <c r="AG438" s="34" t="e">
        <f t="shared" ca="1" si="142"/>
        <v>#N/A</v>
      </c>
      <c r="AH438" s="34" t="e">
        <f t="shared" ca="1" si="143"/>
        <v>#N/A</v>
      </c>
      <c r="AI438" s="33" t="e">
        <f t="shared" ca="1" si="150"/>
        <v>#N/A</v>
      </c>
      <c r="AJ438" s="34" t="e">
        <f t="shared" ca="1" si="151"/>
        <v>#N/A</v>
      </c>
      <c r="AK438" s="34" t="e">
        <f t="shared" ca="1" si="144"/>
        <v>#N/A</v>
      </c>
      <c r="AL438" s="34" t="e">
        <f t="shared" ca="1" si="145"/>
        <v>#N/A</v>
      </c>
      <c r="AM438" s="33" t="e">
        <f t="shared" ca="1" si="152"/>
        <v>#N/A</v>
      </c>
      <c r="AN438" s="34" t="e">
        <f t="shared" ca="1" si="153"/>
        <v>#N/A</v>
      </c>
    </row>
    <row r="439" spans="1:40" x14ac:dyDescent="0.3">
      <c r="A439" s="2">
        <v>44098</v>
      </c>
      <c r="B439" s="9">
        <v>51.759998000000003</v>
      </c>
      <c r="C439" s="9">
        <v>71.660004000000001</v>
      </c>
      <c r="D439" s="9">
        <v>44.580002</v>
      </c>
      <c r="E439" s="10"/>
      <c r="F439" s="13">
        <v>436</v>
      </c>
      <c r="G439" s="2">
        <v>44098</v>
      </c>
      <c r="H439" s="14">
        <f t="shared" si="134"/>
        <v>3.4835723248511715E-3</v>
      </c>
      <c r="I439" s="14">
        <f t="shared" si="135"/>
        <v>-4.8722583387432088E-3</v>
      </c>
      <c r="J439" s="14">
        <f t="shared" si="136"/>
        <v>1.5715347268498243E-3</v>
      </c>
      <c r="K439" s="22">
        <v>436</v>
      </c>
      <c r="L439" s="12"/>
      <c r="Q439" s="15">
        <f t="shared" si="137"/>
        <v>436</v>
      </c>
      <c r="R439" s="2">
        <f t="shared" si="133"/>
        <v>44098</v>
      </c>
      <c r="S439" s="9">
        <f t="shared" ca="1" si="138"/>
        <v>3.4835723248511715E-3</v>
      </c>
      <c r="T439" s="9">
        <f t="shared" ca="1" si="139"/>
        <v>-4.8722583387432088E-3</v>
      </c>
      <c r="U439" s="9">
        <f t="shared" ca="1" si="140"/>
        <v>1.5715347268498243E-3</v>
      </c>
      <c r="AB439" s="33" t="e">
        <f t="shared" ca="1" si="146"/>
        <v>#N/A</v>
      </c>
      <c r="AC439" s="34" t="e">
        <f t="shared" ca="1" si="147"/>
        <v>#N/A</v>
      </c>
      <c r="AD439" s="34" t="e">
        <f t="shared" ca="1" si="148"/>
        <v>#N/A</v>
      </c>
      <c r="AE439" s="33" t="e">
        <f t="shared" ca="1" si="149"/>
        <v>#N/A</v>
      </c>
      <c r="AF439" s="34" t="e">
        <f t="shared" ca="1" si="141"/>
        <v>#N/A</v>
      </c>
      <c r="AG439" s="34" t="e">
        <f t="shared" ca="1" si="142"/>
        <v>#N/A</v>
      </c>
      <c r="AH439" s="34" t="e">
        <f t="shared" ca="1" si="143"/>
        <v>#N/A</v>
      </c>
      <c r="AI439" s="33" t="e">
        <f t="shared" ca="1" si="150"/>
        <v>#N/A</v>
      </c>
      <c r="AJ439" s="34" t="e">
        <f t="shared" ca="1" si="151"/>
        <v>#N/A</v>
      </c>
      <c r="AK439" s="34" t="e">
        <f t="shared" ca="1" si="144"/>
        <v>#N/A</v>
      </c>
      <c r="AL439" s="34" t="e">
        <f t="shared" ca="1" si="145"/>
        <v>#N/A</v>
      </c>
      <c r="AM439" s="33" t="e">
        <f t="shared" ca="1" si="152"/>
        <v>#N/A</v>
      </c>
      <c r="AN439" s="34" t="e">
        <f t="shared" ca="1" si="153"/>
        <v>#N/A</v>
      </c>
    </row>
    <row r="440" spans="1:40" x14ac:dyDescent="0.3">
      <c r="A440" s="2">
        <v>44099</v>
      </c>
      <c r="B440" s="9">
        <v>52.490001999999997</v>
      </c>
      <c r="C440" s="9">
        <v>71.069999999999993</v>
      </c>
      <c r="D440" s="9">
        <v>43.919998</v>
      </c>
      <c r="E440" s="10"/>
      <c r="F440" s="13">
        <v>437</v>
      </c>
      <c r="G440" s="2">
        <v>44099</v>
      </c>
      <c r="H440" s="14">
        <f t="shared" si="134"/>
        <v>1.4005101813935316E-2</v>
      </c>
      <c r="I440" s="14">
        <f t="shared" si="135"/>
        <v>-8.26746085714853E-3</v>
      </c>
      <c r="J440" s="14">
        <f t="shared" si="136"/>
        <v>-1.4915621156955629E-2</v>
      </c>
      <c r="K440" s="22">
        <v>437</v>
      </c>
      <c r="L440" s="12"/>
      <c r="Q440" s="15">
        <f t="shared" si="137"/>
        <v>437</v>
      </c>
      <c r="R440" s="2">
        <f t="shared" si="133"/>
        <v>44099</v>
      </c>
      <c r="S440" s="9">
        <f t="shared" ca="1" si="138"/>
        <v>1.4005101813935316E-2</v>
      </c>
      <c r="T440" s="9">
        <f t="shared" ca="1" si="139"/>
        <v>-8.26746085714853E-3</v>
      </c>
      <c r="U440" s="9">
        <f t="shared" ca="1" si="140"/>
        <v>-1.4915621156955629E-2</v>
      </c>
      <c r="AB440" s="33" t="e">
        <f t="shared" ca="1" si="146"/>
        <v>#N/A</v>
      </c>
      <c r="AC440" s="34" t="e">
        <f t="shared" ca="1" si="147"/>
        <v>#N/A</v>
      </c>
      <c r="AD440" s="34" t="e">
        <f t="shared" ca="1" si="148"/>
        <v>#N/A</v>
      </c>
      <c r="AE440" s="33" t="e">
        <f t="shared" ca="1" si="149"/>
        <v>#N/A</v>
      </c>
      <c r="AF440" s="34" t="e">
        <f t="shared" ca="1" si="141"/>
        <v>#N/A</v>
      </c>
      <c r="AG440" s="34" t="e">
        <f t="shared" ca="1" si="142"/>
        <v>#N/A</v>
      </c>
      <c r="AH440" s="34" t="e">
        <f t="shared" ca="1" si="143"/>
        <v>#N/A</v>
      </c>
      <c r="AI440" s="33" t="e">
        <f t="shared" ca="1" si="150"/>
        <v>#N/A</v>
      </c>
      <c r="AJ440" s="34" t="e">
        <f t="shared" ca="1" si="151"/>
        <v>#N/A</v>
      </c>
      <c r="AK440" s="34" t="e">
        <f t="shared" ca="1" si="144"/>
        <v>#N/A</v>
      </c>
      <c r="AL440" s="34" t="e">
        <f t="shared" ca="1" si="145"/>
        <v>#N/A</v>
      </c>
      <c r="AM440" s="33" t="e">
        <f t="shared" ca="1" si="152"/>
        <v>#N/A</v>
      </c>
      <c r="AN440" s="34" t="e">
        <f t="shared" ca="1" si="153"/>
        <v>#N/A</v>
      </c>
    </row>
    <row r="441" spans="1:40" x14ac:dyDescent="0.3">
      <c r="A441" s="2">
        <v>44102</v>
      </c>
      <c r="B441" s="9">
        <v>53.240001999999997</v>
      </c>
      <c r="C441" s="9">
        <v>70.440002000000007</v>
      </c>
      <c r="D441" s="9">
        <v>44.82</v>
      </c>
      <c r="E441" s="10"/>
      <c r="F441" s="13">
        <v>438</v>
      </c>
      <c r="G441" s="2">
        <v>44102</v>
      </c>
      <c r="H441" s="14">
        <f t="shared" si="134"/>
        <v>1.4187317725946764E-2</v>
      </c>
      <c r="I441" s="14">
        <f t="shared" si="135"/>
        <v>-8.9039948178400632E-3</v>
      </c>
      <c r="J441" s="14">
        <f t="shared" si="136"/>
        <v>2.0284716708847423E-2</v>
      </c>
      <c r="K441" s="22">
        <v>438</v>
      </c>
      <c r="L441" s="12"/>
      <c r="Q441" s="15">
        <f t="shared" si="137"/>
        <v>438</v>
      </c>
      <c r="R441" s="2">
        <f t="shared" si="133"/>
        <v>44102</v>
      </c>
      <c r="S441" s="9">
        <f t="shared" ca="1" si="138"/>
        <v>1.4187317725946764E-2</v>
      </c>
      <c r="T441" s="9">
        <f t="shared" ca="1" si="139"/>
        <v>-8.9039948178400632E-3</v>
      </c>
      <c r="U441" s="9">
        <f t="shared" ca="1" si="140"/>
        <v>2.0284716708847423E-2</v>
      </c>
      <c r="AB441" s="33" t="e">
        <f t="shared" ca="1" si="146"/>
        <v>#N/A</v>
      </c>
      <c r="AC441" s="34" t="e">
        <f t="shared" ca="1" si="147"/>
        <v>#N/A</v>
      </c>
      <c r="AD441" s="34" t="e">
        <f t="shared" ca="1" si="148"/>
        <v>#N/A</v>
      </c>
      <c r="AE441" s="33" t="e">
        <f t="shared" ca="1" si="149"/>
        <v>#N/A</v>
      </c>
      <c r="AF441" s="34" t="e">
        <f t="shared" ca="1" si="141"/>
        <v>#N/A</v>
      </c>
      <c r="AG441" s="34" t="e">
        <f t="shared" ca="1" si="142"/>
        <v>#N/A</v>
      </c>
      <c r="AH441" s="34" t="e">
        <f t="shared" ca="1" si="143"/>
        <v>#N/A</v>
      </c>
      <c r="AI441" s="33" t="e">
        <f t="shared" ca="1" si="150"/>
        <v>#N/A</v>
      </c>
      <c r="AJ441" s="34" t="e">
        <f t="shared" ca="1" si="151"/>
        <v>#N/A</v>
      </c>
      <c r="AK441" s="34" t="e">
        <f t="shared" ca="1" si="144"/>
        <v>#N/A</v>
      </c>
      <c r="AL441" s="34" t="e">
        <f t="shared" ca="1" si="145"/>
        <v>#N/A</v>
      </c>
      <c r="AM441" s="33" t="e">
        <f t="shared" ca="1" si="152"/>
        <v>#N/A</v>
      </c>
      <c r="AN441" s="34" t="e">
        <f t="shared" ca="1" si="153"/>
        <v>#N/A</v>
      </c>
    </row>
    <row r="442" spans="1:40" x14ac:dyDescent="0.3">
      <c r="A442" s="2">
        <v>44103</v>
      </c>
      <c r="B442" s="9">
        <v>52.57</v>
      </c>
      <c r="C442" s="9">
        <v>67.339995999999999</v>
      </c>
      <c r="D442" s="9">
        <v>43.41</v>
      </c>
      <c r="E442" s="10"/>
      <c r="F442" s="13">
        <v>439</v>
      </c>
      <c r="G442" s="2">
        <v>44103</v>
      </c>
      <c r="H442" s="14">
        <f t="shared" si="134"/>
        <v>-1.2664416261293426E-2</v>
      </c>
      <c r="I442" s="14">
        <f t="shared" si="135"/>
        <v>-4.5006957688096413E-2</v>
      </c>
      <c r="J442" s="14">
        <f t="shared" si="136"/>
        <v>-3.1964639061278811E-2</v>
      </c>
      <c r="K442" s="22">
        <v>439</v>
      </c>
      <c r="L442" s="12"/>
      <c r="Q442" s="15">
        <f t="shared" si="137"/>
        <v>439</v>
      </c>
      <c r="R442" s="2">
        <f t="shared" si="133"/>
        <v>44103</v>
      </c>
      <c r="S442" s="9">
        <f t="shared" ca="1" si="138"/>
        <v>-1.2664416261293426E-2</v>
      </c>
      <c r="T442" s="9">
        <f t="shared" ca="1" si="139"/>
        <v>-4.5006957688096413E-2</v>
      </c>
      <c r="U442" s="9">
        <f t="shared" ca="1" si="140"/>
        <v>-3.1964639061278811E-2</v>
      </c>
      <c r="AB442" s="33" t="e">
        <f t="shared" ca="1" si="146"/>
        <v>#N/A</v>
      </c>
      <c r="AC442" s="34" t="e">
        <f t="shared" ca="1" si="147"/>
        <v>#N/A</v>
      </c>
      <c r="AD442" s="34" t="e">
        <f t="shared" ca="1" si="148"/>
        <v>#N/A</v>
      </c>
      <c r="AE442" s="33" t="e">
        <f t="shared" ca="1" si="149"/>
        <v>#N/A</v>
      </c>
      <c r="AF442" s="34" t="e">
        <f t="shared" ca="1" si="141"/>
        <v>#N/A</v>
      </c>
      <c r="AG442" s="34" t="e">
        <f t="shared" ca="1" si="142"/>
        <v>#N/A</v>
      </c>
      <c r="AH442" s="34" t="e">
        <f t="shared" ca="1" si="143"/>
        <v>#N/A</v>
      </c>
      <c r="AI442" s="33" t="e">
        <f t="shared" ca="1" si="150"/>
        <v>#N/A</v>
      </c>
      <c r="AJ442" s="34" t="e">
        <f t="shared" ca="1" si="151"/>
        <v>#N/A</v>
      </c>
      <c r="AK442" s="34" t="e">
        <f t="shared" ca="1" si="144"/>
        <v>#N/A</v>
      </c>
      <c r="AL442" s="34" t="e">
        <f t="shared" ca="1" si="145"/>
        <v>#N/A</v>
      </c>
      <c r="AM442" s="33" t="e">
        <f t="shared" ca="1" si="152"/>
        <v>#N/A</v>
      </c>
      <c r="AN442" s="34" t="e">
        <f t="shared" ca="1" si="153"/>
        <v>#N/A</v>
      </c>
    </row>
    <row r="443" spans="1:40" x14ac:dyDescent="0.3">
      <c r="A443" s="2">
        <v>44104</v>
      </c>
      <c r="B443" s="9">
        <v>52.939999</v>
      </c>
      <c r="C443" s="9">
        <v>67.970000999999996</v>
      </c>
      <c r="D443" s="9">
        <v>43.32</v>
      </c>
      <c r="E443" s="10"/>
      <c r="F443" s="13">
        <v>440</v>
      </c>
      <c r="G443" s="2">
        <v>44104</v>
      </c>
      <c r="H443" s="14">
        <f t="shared" si="134"/>
        <v>7.0135630782896001E-3</v>
      </c>
      <c r="I443" s="14">
        <f t="shared" si="135"/>
        <v>9.3120917380524974E-3</v>
      </c>
      <c r="J443" s="14">
        <f t="shared" si="136"/>
        <v>-2.0754071787121957E-3</v>
      </c>
      <c r="K443" s="22">
        <v>440</v>
      </c>
      <c r="L443" s="12"/>
      <c r="Q443" s="15">
        <f t="shared" si="137"/>
        <v>440</v>
      </c>
      <c r="R443" s="2">
        <f t="shared" si="133"/>
        <v>44104</v>
      </c>
      <c r="S443" s="9">
        <f t="shared" ca="1" si="138"/>
        <v>7.0135630782896001E-3</v>
      </c>
      <c r="T443" s="9">
        <f t="shared" ca="1" si="139"/>
        <v>9.3120917380524974E-3</v>
      </c>
      <c r="U443" s="9">
        <f t="shared" ca="1" si="140"/>
        <v>-2.0754071787121957E-3</v>
      </c>
      <c r="AB443" s="33" t="e">
        <f t="shared" ca="1" si="146"/>
        <v>#N/A</v>
      </c>
      <c r="AC443" s="34" t="e">
        <f t="shared" ca="1" si="147"/>
        <v>#N/A</v>
      </c>
      <c r="AD443" s="34" t="e">
        <f t="shared" ca="1" si="148"/>
        <v>#N/A</v>
      </c>
      <c r="AE443" s="33" t="e">
        <f t="shared" ca="1" si="149"/>
        <v>#N/A</v>
      </c>
      <c r="AF443" s="34" t="e">
        <f t="shared" ca="1" si="141"/>
        <v>#N/A</v>
      </c>
      <c r="AG443" s="34" t="e">
        <f t="shared" ca="1" si="142"/>
        <v>#N/A</v>
      </c>
      <c r="AH443" s="34" t="e">
        <f t="shared" ca="1" si="143"/>
        <v>#N/A</v>
      </c>
      <c r="AI443" s="33" t="e">
        <f t="shared" ca="1" si="150"/>
        <v>#N/A</v>
      </c>
      <c r="AJ443" s="34" t="e">
        <f t="shared" ca="1" si="151"/>
        <v>#N/A</v>
      </c>
      <c r="AK443" s="34" t="e">
        <f t="shared" ca="1" si="144"/>
        <v>#N/A</v>
      </c>
      <c r="AL443" s="34" t="e">
        <f t="shared" ca="1" si="145"/>
        <v>#N/A</v>
      </c>
      <c r="AM443" s="33" t="e">
        <f t="shared" ca="1" si="152"/>
        <v>#N/A</v>
      </c>
      <c r="AN443" s="34" t="e">
        <f t="shared" ca="1" si="153"/>
        <v>#N/A</v>
      </c>
    </row>
    <row r="444" spans="1:40" x14ac:dyDescent="0.3">
      <c r="A444" s="2">
        <v>44105</v>
      </c>
      <c r="B444" s="9">
        <v>52.540000999999997</v>
      </c>
      <c r="C444" s="9">
        <v>69.120002999999997</v>
      </c>
      <c r="D444" s="9">
        <v>40.279998999999997</v>
      </c>
      <c r="E444" s="10"/>
      <c r="F444" s="13">
        <v>441</v>
      </c>
      <c r="G444" s="2">
        <v>44105</v>
      </c>
      <c r="H444" s="14">
        <f t="shared" si="134"/>
        <v>-7.5843746191352531E-3</v>
      </c>
      <c r="I444" s="14">
        <f t="shared" si="135"/>
        <v>1.6777721827657233E-2</v>
      </c>
      <c r="J444" s="14">
        <f t="shared" si="136"/>
        <v>-7.2759379108645175E-2</v>
      </c>
      <c r="K444" s="22">
        <v>441</v>
      </c>
      <c r="L444" s="12"/>
      <c r="Q444" s="15">
        <f t="shared" si="137"/>
        <v>441</v>
      </c>
      <c r="R444" s="2">
        <f t="shared" si="133"/>
        <v>44105</v>
      </c>
      <c r="S444" s="9">
        <f t="shared" ca="1" si="138"/>
        <v>-7.5843746191352531E-3</v>
      </c>
      <c r="T444" s="9">
        <f t="shared" ca="1" si="139"/>
        <v>1.6777721827657233E-2</v>
      </c>
      <c r="U444" s="9">
        <f t="shared" ca="1" si="140"/>
        <v>-7.2759379108645175E-2</v>
      </c>
      <c r="AB444" s="33" t="e">
        <f t="shared" ca="1" si="146"/>
        <v>#N/A</v>
      </c>
      <c r="AC444" s="34" t="e">
        <f t="shared" ca="1" si="147"/>
        <v>#N/A</v>
      </c>
      <c r="AD444" s="34" t="e">
        <f t="shared" ca="1" si="148"/>
        <v>#N/A</v>
      </c>
      <c r="AE444" s="33" t="e">
        <f t="shared" ca="1" si="149"/>
        <v>#N/A</v>
      </c>
      <c r="AF444" s="34" t="e">
        <f t="shared" ca="1" si="141"/>
        <v>#N/A</v>
      </c>
      <c r="AG444" s="34" t="e">
        <f t="shared" ca="1" si="142"/>
        <v>#N/A</v>
      </c>
      <c r="AH444" s="34" t="e">
        <f t="shared" ca="1" si="143"/>
        <v>#N/A</v>
      </c>
      <c r="AI444" s="33" t="e">
        <f t="shared" ca="1" si="150"/>
        <v>#N/A</v>
      </c>
      <c r="AJ444" s="34" t="e">
        <f t="shared" ca="1" si="151"/>
        <v>#N/A</v>
      </c>
      <c r="AK444" s="34" t="e">
        <f t="shared" ca="1" si="144"/>
        <v>#N/A</v>
      </c>
      <c r="AL444" s="34" t="e">
        <f t="shared" ca="1" si="145"/>
        <v>#N/A</v>
      </c>
      <c r="AM444" s="33" t="e">
        <f t="shared" ca="1" si="152"/>
        <v>#N/A</v>
      </c>
      <c r="AN444" s="34" t="e">
        <f t="shared" ca="1" si="153"/>
        <v>#N/A</v>
      </c>
    </row>
    <row r="445" spans="1:40" x14ac:dyDescent="0.3">
      <c r="A445" s="2">
        <v>44106</v>
      </c>
      <c r="B445" s="9">
        <v>54.57</v>
      </c>
      <c r="C445" s="9">
        <v>69.930000000000007</v>
      </c>
      <c r="D445" s="9">
        <v>40.729999999999997</v>
      </c>
      <c r="E445" s="10"/>
      <c r="F445" s="13">
        <v>442</v>
      </c>
      <c r="G445" s="2">
        <v>44106</v>
      </c>
      <c r="H445" s="14">
        <f t="shared" si="134"/>
        <v>3.790947790762933E-2</v>
      </c>
      <c r="I445" s="14">
        <f t="shared" si="135"/>
        <v>1.1650573817198541E-2</v>
      </c>
      <c r="J445" s="14">
        <f t="shared" si="136"/>
        <v>1.1109878636176573E-2</v>
      </c>
      <c r="K445" s="22">
        <v>442</v>
      </c>
      <c r="L445" s="12"/>
      <c r="Q445" s="15">
        <f t="shared" si="137"/>
        <v>442</v>
      </c>
      <c r="R445" s="2">
        <f t="shared" si="133"/>
        <v>44106</v>
      </c>
      <c r="S445" s="9">
        <f t="shared" ca="1" si="138"/>
        <v>3.790947790762933E-2</v>
      </c>
      <c r="T445" s="9">
        <f t="shared" ca="1" si="139"/>
        <v>1.1650573817198541E-2</v>
      </c>
      <c r="U445" s="9">
        <f t="shared" ca="1" si="140"/>
        <v>1.1109878636176573E-2</v>
      </c>
      <c r="AB445" s="33" t="e">
        <f t="shared" ca="1" si="146"/>
        <v>#N/A</v>
      </c>
      <c r="AC445" s="34" t="e">
        <f t="shared" ca="1" si="147"/>
        <v>#N/A</v>
      </c>
      <c r="AD445" s="34" t="e">
        <f t="shared" ca="1" si="148"/>
        <v>#N/A</v>
      </c>
      <c r="AE445" s="33" t="e">
        <f t="shared" ca="1" si="149"/>
        <v>#N/A</v>
      </c>
      <c r="AF445" s="34" t="e">
        <f t="shared" ca="1" si="141"/>
        <v>#N/A</v>
      </c>
      <c r="AG445" s="34" t="e">
        <f t="shared" ca="1" si="142"/>
        <v>#N/A</v>
      </c>
      <c r="AH445" s="34" t="e">
        <f t="shared" ca="1" si="143"/>
        <v>#N/A</v>
      </c>
      <c r="AI445" s="33" t="e">
        <f t="shared" ca="1" si="150"/>
        <v>#N/A</v>
      </c>
      <c r="AJ445" s="34" t="e">
        <f t="shared" ca="1" si="151"/>
        <v>#N/A</v>
      </c>
      <c r="AK445" s="34" t="e">
        <f t="shared" ca="1" si="144"/>
        <v>#N/A</v>
      </c>
      <c r="AL445" s="34" t="e">
        <f t="shared" ca="1" si="145"/>
        <v>#N/A</v>
      </c>
      <c r="AM445" s="33" t="e">
        <f t="shared" ca="1" si="152"/>
        <v>#N/A</v>
      </c>
      <c r="AN445" s="34" t="e">
        <f t="shared" ca="1" si="153"/>
        <v>#N/A</v>
      </c>
    </row>
    <row r="446" spans="1:40" x14ac:dyDescent="0.3">
      <c r="A446" s="2">
        <v>44109</v>
      </c>
      <c r="B446" s="9">
        <v>55.599997999999999</v>
      </c>
      <c r="C446" s="9">
        <v>71.800003000000004</v>
      </c>
      <c r="D446" s="9">
        <v>43.07</v>
      </c>
      <c r="E446" s="10"/>
      <c r="F446" s="13">
        <v>443</v>
      </c>
      <c r="G446" s="2">
        <v>44109</v>
      </c>
      <c r="H446" s="14">
        <f t="shared" si="134"/>
        <v>1.869888408717247E-2</v>
      </c>
      <c r="I446" s="14">
        <f t="shared" si="135"/>
        <v>2.6389776121132035E-2</v>
      </c>
      <c r="J446" s="14">
        <f t="shared" si="136"/>
        <v>5.5861777405698081E-2</v>
      </c>
      <c r="K446" s="22">
        <v>443</v>
      </c>
      <c r="L446" s="12"/>
      <c r="Q446" s="15">
        <f t="shared" si="137"/>
        <v>443</v>
      </c>
      <c r="R446" s="2">
        <f t="shared" si="133"/>
        <v>44109</v>
      </c>
      <c r="S446" s="9">
        <f t="shared" ca="1" si="138"/>
        <v>1.869888408717247E-2</v>
      </c>
      <c r="T446" s="9">
        <f t="shared" ca="1" si="139"/>
        <v>2.6389776121132035E-2</v>
      </c>
      <c r="U446" s="9">
        <f t="shared" ca="1" si="140"/>
        <v>5.5861777405698081E-2</v>
      </c>
      <c r="AB446" s="33" t="e">
        <f t="shared" ca="1" si="146"/>
        <v>#N/A</v>
      </c>
      <c r="AC446" s="34" t="e">
        <f t="shared" ca="1" si="147"/>
        <v>#N/A</v>
      </c>
      <c r="AD446" s="34" t="e">
        <f t="shared" ca="1" si="148"/>
        <v>#N/A</v>
      </c>
      <c r="AE446" s="33" t="e">
        <f t="shared" ca="1" si="149"/>
        <v>#N/A</v>
      </c>
      <c r="AF446" s="34" t="e">
        <f t="shared" ca="1" si="141"/>
        <v>#N/A</v>
      </c>
      <c r="AG446" s="34" t="e">
        <f t="shared" ca="1" si="142"/>
        <v>#N/A</v>
      </c>
      <c r="AH446" s="34" t="e">
        <f t="shared" ca="1" si="143"/>
        <v>#N/A</v>
      </c>
      <c r="AI446" s="33" t="e">
        <f t="shared" ca="1" si="150"/>
        <v>#N/A</v>
      </c>
      <c r="AJ446" s="34" t="e">
        <f t="shared" ca="1" si="151"/>
        <v>#N/A</v>
      </c>
      <c r="AK446" s="34" t="e">
        <f t="shared" ca="1" si="144"/>
        <v>#N/A</v>
      </c>
      <c r="AL446" s="34" t="e">
        <f t="shared" ca="1" si="145"/>
        <v>#N/A</v>
      </c>
      <c r="AM446" s="33" t="e">
        <f t="shared" ca="1" si="152"/>
        <v>#N/A</v>
      </c>
      <c r="AN446" s="34" t="e">
        <f t="shared" ca="1" si="153"/>
        <v>#N/A</v>
      </c>
    </row>
    <row r="447" spans="1:40" x14ac:dyDescent="0.3">
      <c r="A447" s="2">
        <v>44110</v>
      </c>
      <c r="B447" s="9">
        <v>55.07</v>
      </c>
      <c r="C447" s="9">
        <v>69.279999000000004</v>
      </c>
      <c r="D447" s="9">
        <v>42.330002</v>
      </c>
      <c r="E447" s="10"/>
      <c r="F447" s="13">
        <v>444</v>
      </c>
      <c r="G447" s="2">
        <v>44110</v>
      </c>
      <c r="H447" s="14">
        <f t="shared" si="134"/>
        <v>-9.5780620109228373E-3</v>
      </c>
      <c r="I447" s="14">
        <f t="shared" si="135"/>
        <v>-3.5728268016907955E-2</v>
      </c>
      <c r="J447" s="14">
        <f t="shared" si="136"/>
        <v>-1.7330597285373218E-2</v>
      </c>
      <c r="K447" s="22">
        <v>444</v>
      </c>
      <c r="L447" s="12"/>
      <c r="Q447" s="15">
        <f t="shared" si="137"/>
        <v>444</v>
      </c>
      <c r="R447" s="2">
        <f t="shared" si="133"/>
        <v>44110</v>
      </c>
      <c r="S447" s="9">
        <f t="shared" ca="1" si="138"/>
        <v>-9.5780620109228373E-3</v>
      </c>
      <c r="T447" s="9">
        <f t="shared" ca="1" si="139"/>
        <v>-3.5728268016907955E-2</v>
      </c>
      <c r="U447" s="9">
        <f t="shared" ca="1" si="140"/>
        <v>-1.7330597285373218E-2</v>
      </c>
      <c r="AB447" s="33" t="e">
        <f t="shared" ca="1" si="146"/>
        <v>#N/A</v>
      </c>
      <c r="AC447" s="34" t="e">
        <f t="shared" ca="1" si="147"/>
        <v>#N/A</v>
      </c>
      <c r="AD447" s="34" t="e">
        <f t="shared" ca="1" si="148"/>
        <v>#N/A</v>
      </c>
      <c r="AE447" s="33" t="e">
        <f t="shared" ca="1" si="149"/>
        <v>#N/A</v>
      </c>
      <c r="AF447" s="34" t="e">
        <f t="shared" ca="1" si="141"/>
        <v>#N/A</v>
      </c>
      <c r="AG447" s="34" t="e">
        <f t="shared" ca="1" si="142"/>
        <v>#N/A</v>
      </c>
      <c r="AH447" s="34" t="e">
        <f t="shared" ca="1" si="143"/>
        <v>#N/A</v>
      </c>
      <c r="AI447" s="33" t="e">
        <f t="shared" ca="1" si="150"/>
        <v>#N/A</v>
      </c>
      <c r="AJ447" s="34" t="e">
        <f t="shared" ca="1" si="151"/>
        <v>#N/A</v>
      </c>
      <c r="AK447" s="34" t="e">
        <f t="shared" ca="1" si="144"/>
        <v>#N/A</v>
      </c>
      <c r="AL447" s="34" t="e">
        <f t="shared" ca="1" si="145"/>
        <v>#N/A</v>
      </c>
      <c r="AM447" s="33" t="e">
        <f t="shared" ca="1" si="152"/>
        <v>#N/A</v>
      </c>
      <c r="AN447" s="34" t="e">
        <f t="shared" ca="1" si="153"/>
        <v>#N/A</v>
      </c>
    </row>
    <row r="448" spans="1:40" x14ac:dyDescent="0.3">
      <c r="A448" s="2">
        <v>44111</v>
      </c>
      <c r="B448" s="9">
        <v>57.07</v>
      </c>
      <c r="C448" s="9">
        <v>71.779999000000004</v>
      </c>
      <c r="D448" s="9">
        <v>42.349997999999999</v>
      </c>
      <c r="E448" s="10"/>
      <c r="F448" s="13">
        <v>445</v>
      </c>
      <c r="G448" s="2">
        <v>44111</v>
      </c>
      <c r="H448" s="14">
        <f t="shared" si="134"/>
        <v>3.5673481274226669E-2</v>
      </c>
      <c r="I448" s="14">
        <f t="shared" si="135"/>
        <v>3.5449621968004504E-2</v>
      </c>
      <c r="J448" s="14">
        <f t="shared" si="136"/>
        <v>4.7227209191448197E-4</v>
      </c>
      <c r="K448" s="22">
        <v>445</v>
      </c>
      <c r="L448" s="12"/>
      <c r="Q448" s="15">
        <f t="shared" si="137"/>
        <v>445</v>
      </c>
      <c r="R448" s="2">
        <f t="shared" si="133"/>
        <v>44111</v>
      </c>
      <c r="S448" s="9">
        <f t="shared" ca="1" si="138"/>
        <v>3.5673481274226669E-2</v>
      </c>
      <c r="T448" s="9">
        <f t="shared" ca="1" si="139"/>
        <v>3.5449621968004504E-2</v>
      </c>
      <c r="U448" s="9">
        <f t="shared" ca="1" si="140"/>
        <v>4.7227209191448197E-4</v>
      </c>
      <c r="AB448" s="33" t="e">
        <f t="shared" ca="1" si="146"/>
        <v>#N/A</v>
      </c>
      <c r="AC448" s="34" t="e">
        <f t="shared" ca="1" si="147"/>
        <v>#N/A</v>
      </c>
      <c r="AD448" s="34" t="e">
        <f t="shared" ca="1" si="148"/>
        <v>#N/A</v>
      </c>
      <c r="AE448" s="33" t="e">
        <f t="shared" ca="1" si="149"/>
        <v>#N/A</v>
      </c>
      <c r="AF448" s="34" t="e">
        <f t="shared" ca="1" si="141"/>
        <v>#N/A</v>
      </c>
      <c r="AG448" s="34" t="e">
        <f t="shared" ca="1" si="142"/>
        <v>#N/A</v>
      </c>
      <c r="AH448" s="34" t="e">
        <f t="shared" ca="1" si="143"/>
        <v>#N/A</v>
      </c>
      <c r="AI448" s="33" t="e">
        <f t="shared" ca="1" si="150"/>
        <v>#N/A</v>
      </c>
      <c r="AJ448" s="34" t="e">
        <f t="shared" ca="1" si="151"/>
        <v>#N/A</v>
      </c>
      <c r="AK448" s="34" t="e">
        <f t="shared" ca="1" si="144"/>
        <v>#N/A</v>
      </c>
      <c r="AL448" s="34" t="e">
        <f t="shared" ca="1" si="145"/>
        <v>#N/A</v>
      </c>
      <c r="AM448" s="33" t="e">
        <f t="shared" ca="1" si="152"/>
        <v>#N/A</v>
      </c>
      <c r="AN448" s="34" t="e">
        <f t="shared" ca="1" si="153"/>
        <v>#N/A</v>
      </c>
    </row>
    <row r="449" spans="1:40" x14ac:dyDescent="0.3">
      <c r="A449" s="2">
        <v>44112</v>
      </c>
      <c r="B449" s="9">
        <v>57.740001999999997</v>
      </c>
      <c r="C449" s="9">
        <v>74.330001999999993</v>
      </c>
      <c r="D449" s="9">
        <v>44.360000999999997</v>
      </c>
      <c r="E449" s="10"/>
      <c r="F449" s="13">
        <v>446</v>
      </c>
      <c r="G449" s="2">
        <v>44112</v>
      </c>
      <c r="H449" s="14">
        <f t="shared" si="134"/>
        <v>1.1671624324204214E-2</v>
      </c>
      <c r="I449" s="14">
        <f t="shared" si="135"/>
        <v>3.4908793856233931E-2</v>
      </c>
      <c r="J449" s="14">
        <f t="shared" si="136"/>
        <v>4.6369811152436782E-2</v>
      </c>
      <c r="K449" s="22">
        <v>446</v>
      </c>
      <c r="L449" s="12"/>
      <c r="Q449" s="15">
        <f t="shared" si="137"/>
        <v>446</v>
      </c>
      <c r="R449" s="2">
        <f t="shared" si="133"/>
        <v>44112</v>
      </c>
      <c r="S449" s="9">
        <f t="shared" ca="1" si="138"/>
        <v>1.1671624324204214E-2</v>
      </c>
      <c r="T449" s="9">
        <f t="shared" ca="1" si="139"/>
        <v>3.4908793856233931E-2</v>
      </c>
      <c r="U449" s="9">
        <f t="shared" ca="1" si="140"/>
        <v>4.6369811152436782E-2</v>
      </c>
      <c r="AB449" s="33" t="e">
        <f t="shared" ca="1" si="146"/>
        <v>#N/A</v>
      </c>
      <c r="AC449" s="34" t="e">
        <f t="shared" ca="1" si="147"/>
        <v>#N/A</v>
      </c>
      <c r="AD449" s="34" t="e">
        <f t="shared" ca="1" si="148"/>
        <v>#N/A</v>
      </c>
      <c r="AE449" s="33" t="e">
        <f t="shared" ca="1" si="149"/>
        <v>#N/A</v>
      </c>
      <c r="AF449" s="34" t="e">
        <f t="shared" ca="1" si="141"/>
        <v>#N/A</v>
      </c>
      <c r="AG449" s="34" t="e">
        <f t="shared" ca="1" si="142"/>
        <v>#N/A</v>
      </c>
      <c r="AH449" s="34" t="e">
        <f t="shared" ca="1" si="143"/>
        <v>#N/A</v>
      </c>
      <c r="AI449" s="33" t="e">
        <f t="shared" ca="1" si="150"/>
        <v>#N/A</v>
      </c>
      <c r="AJ449" s="34" t="e">
        <f t="shared" ca="1" si="151"/>
        <v>#N/A</v>
      </c>
      <c r="AK449" s="34" t="e">
        <f t="shared" ca="1" si="144"/>
        <v>#N/A</v>
      </c>
      <c r="AL449" s="34" t="e">
        <f t="shared" ca="1" si="145"/>
        <v>#N/A</v>
      </c>
      <c r="AM449" s="33" t="e">
        <f t="shared" ca="1" si="152"/>
        <v>#N/A</v>
      </c>
      <c r="AN449" s="34" t="e">
        <f t="shared" ca="1" si="153"/>
        <v>#N/A</v>
      </c>
    </row>
    <row r="450" spans="1:40" x14ac:dyDescent="0.3">
      <c r="A450" s="2">
        <v>44113</v>
      </c>
      <c r="B450" s="9">
        <v>58.139999000000003</v>
      </c>
      <c r="C450" s="9">
        <v>73.889999000000003</v>
      </c>
      <c r="D450" s="9">
        <v>43.639999000000003</v>
      </c>
      <c r="E450" s="10"/>
      <c r="F450" s="13">
        <v>447</v>
      </c>
      <c r="G450" s="2">
        <v>44113</v>
      </c>
      <c r="H450" s="14">
        <f t="shared" si="134"/>
        <v>6.9036690580464074E-3</v>
      </c>
      <c r="I450" s="14">
        <f t="shared" si="135"/>
        <v>-5.9371783773127431E-3</v>
      </c>
      <c r="J450" s="14">
        <f t="shared" si="136"/>
        <v>-1.6364046974884541E-2</v>
      </c>
      <c r="K450" s="22">
        <v>447</v>
      </c>
      <c r="L450" s="12"/>
      <c r="Q450" s="15">
        <f t="shared" si="137"/>
        <v>447</v>
      </c>
      <c r="R450" s="2">
        <f t="shared" si="133"/>
        <v>44113</v>
      </c>
      <c r="S450" s="9">
        <f t="shared" ca="1" si="138"/>
        <v>6.9036690580464074E-3</v>
      </c>
      <c r="T450" s="9">
        <f t="shared" ca="1" si="139"/>
        <v>-5.9371783773127431E-3</v>
      </c>
      <c r="U450" s="9">
        <f t="shared" ca="1" si="140"/>
        <v>-1.6364046974884541E-2</v>
      </c>
      <c r="AB450" s="33" t="e">
        <f t="shared" ca="1" si="146"/>
        <v>#N/A</v>
      </c>
      <c r="AC450" s="34" t="e">
        <f t="shared" ca="1" si="147"/>
        <v>#N/A</v>
      </c>
      <c r="AD450" s="34" t="e">
        <f t="shared" ca="1" si="148"/>
        <v>#N/A</v>
      </c>
      <c r="AE450" s="33" t="e">
        <f t="shared" ca="1" si="149"/>
        <v>#N/A</v>
      </c>
      <c r="AF450" s="34" t="e">
        <f t="shared" ca="1" si="141"/>
        <v>#N/A</v>
      </c>
      <c r="AG450" s="34" t="e">
        <f t="shared" ca="1" si="142"/>
        <v>#N/A</v>
      </c>
      <c r="AH450" s="34" t="e">
        <f t="shared" ca="1" si="143"/>
        <v>#N/A</v>
      </c>
      <c r="AI450" s="33" t="e">
        <f t="shared" ca="1" si="150"/>
        <v>#N/A</v>
      </c>
      <c r="AJ450" s="34" t="e">
        <f t="shared" ca="1" si="151"/>
        <v>#N/A</v>
      </c>
      <c r="AK450" s="34" t="e">
        <f t="shared" ca="1" si="144"/>
        <v>#N/A</v>
      </c>
      <c r="AL450" s="34" t="e">
        <f t="shared" ca="1" si="145"/>
        <v>#N/A</v>
      </c>
      <c r="AM450" s="33" t="e">
        <f t="shared" ca="1" si="152"/>
        <v>#N/A</v>
      </c>
      <c r="AN450" s="34" t="e">
        <f t="shared" ca="1" si="153"/>
        <v>#N/A</v>
      </c>
    </row>
    <row r="451" spans="1:40" x14ac:dyDescent="0.3">
      <c r="A451" s="2">
        <v>44116</v>
      </c>
      <c r="B451" s="9">
        <v>58.77</v>
      </c>
      <c r="C451" s="9">
        <v>73.639999000000003</v>
      </c>
      <c r="D451" s="9">
        <v>43.09</v>
      </c>
      <c r="E451" s="10"/>
      <c r="F451" s="13">
        <v>448</v>
      </c>
      <c r="G451" s="2">
        <v>44116</v>
      </c>
      <c r="H451" s="14">
        <f t="shared" si="134"/>
        <v>1.077764269369186E-2</v>
      </c>
      <c r="I451" s="14">
        <f t="shared" si="135"/>
        <v>-3.3891444816244198E-3</v>
      </c>
      <c r="J451" s="14">
        <f t="shared" si="136"/>
        <v>-1.2683186422366021E-2</v>
      </c>
      <c r="K451" s="22">
        <v>448</v>
      </c>
      <c r="L451" s="12"/>
      <c r="Q451" s="15">
        <f t="shared" si="137"/>
        <v>448</v>
      </c>
      <c r="R451" s="2">
        <f t="shared" si="133"/>
        <v>44116</v>
      </c>
      <c r="S451" s="9">
        <f t="shared" ca="1" si="138"/>
        <v>1.077764269369186E-2</v>
      </c>
      <c r="T451" s="9">
        <f t="shared" ca="1" si="139"/>
        <v>-3.3891444816244198E-3</v>
      </c>
      <c r="U451" s="9">
        <f t="shared" ca="1" si="140"/>
        <v>-1.2683186422366021E-2</v>
      </c>
      <c r="AB451" s="33" t="e">
        <f t="shared" ca="1" si="146"/>
        <v>#N/A</v>
      </c>
      <c r="AC451" s="34" t="e">
        <f t="shared" ca="1" si="147"/>
        <v>#N/A</v>
      </c>
      <c r="AD451" s="34" t="e">
        <f t="shared" ca="1" si="148"/>
        <v>#N/A</v>
      </c>
      <c r="AE451" s="33" t="e">
        <f t="shared" ca="1" si="149"/>
        <v>#N/A</v>
      </c>
      <c r="AF451" s="34" t="e">
        <f t="shared" ca="1" si="141"/>
        <v>#N/A</v>
      </c>
      <c r="AG451" s="34" t="e">
        <f t="shared" ca="1" si="142"/>
        <v>#N/A</v>
      </c>
      <c r="AH451" s="34" t="e">
        <f t="shared" ca="1" si="143"/>
        <v>#N/A</v>
      </c>
      <c r="AI451" s="33" t="e">
        <f t="shared" ca="1" si="150"/>
        <v>#N/A</v>
      </c>
      <c r="AJ451" s="34" t="e">
        <f t="shared" ca="1" si="151"/>
        <v>#N/A</v>
      </c>
      <c r="AK451" s="34" t="e">
        <f t="shared" ca="1" si="144"/>
        <v>#N/A</v>
      </c>
      <c r="AL451" s="34" t="e">
        <f t="shared" ca="1" si="145"/>
        <v>#N/A</v>
      </c>
      <c r="AM451" s="33" t="e">
        <f t="shared" ca="1" si="152"/>
        <v>#N/A</v>
      </c>
      <c r="AN451" s="34" t="e">
        <f t="shared" ca="1" si="153"/>
        <v>#N/A</v>
      </c>
    </row>
    <row r="452" spans="1:40" x14ac:dyDescent="0.3">
      <c r="A452" s="2">
        <v>44117</v>
      </c>
      <c r="B452" s="9">
        <v>57.939999</v>
      </c>
      <c r="C452" s="9">
        <v>72.25</v>
      </c>
      <c r="D452" s="9">
        <v>41.43</v>
      </c>
      <c r="E452" s="10"/>
      <c r="F452" s="13">
        <v>449</v>
      </c>
      <c r="G452" s="2">
        <v>44117</v>
      </c>
      <c r="H452" s="14">
        <f t="shared" si="134"/>
        <v>-1.4223545542588664E-2</v>
      </c>
      <c r="I452" s="14">
        <f t="shared" si="135"/>
        <v>-1.9056015792759243E-2</v>
      </c>
      <c r="J452" s="14">
        <f t="shared" si="136"/>
        <v>-3.9285695538436284E-2</v>
      </c>
      <c r="K452" s="22">
        <v>449</v>
      </c>
      <c r="L452" s="12"/>
      <c r="Q452" s="15">
        <f t="shared" si="137"/>
        <v>449</v>
      </c>
      <c r="R452" s="2">
        <f t="shared" ref="R452:R515" si="154">IF(Q452="","",VLOOKUP(Q452,F452:J1709,2))</f>
        <v>44117</v>
      </c>
      <c r="S452" s="9">
        <f t="shared" ca="1" si="138"/>
        <v>-1.4223545542588664E-2</v>
      </c>
      <c r="T452" s="9">
        <f t="shared" ca="1" si="139"/>
        <v>-1.9056015792759243E-2</v>
      </c>
      <c r="U452" s="9">
        <f t="shared" ca="1" si="140"/>
        <v>-3.9285695538436284E-2</v>
      </c>
      <c r="AB452" s="33" t="e">
        <f t="shared" ca="1" si="146"/>
        <v>#N/A</v>
      </c>
      <c r="AC452" s="34" t="e">
        <f t="shared" ca="1" si="147"/>
        <v>#N/A</v>
      </c>
      <c r="AD452" s="34" t="e">
        <f t="shared" ca="1" si="148"/>
        <v>#N/A</v>
      </c>
      <c r="AE452" s="33" t="e">
        <f t="shared" ca="1" si="149"/>
        <v>#N/A</v>
      </c>
      <c r="AF452" s="34" t="e">
        <f t="shared" ca="1" si="141"/>
        <v>#N/A</v>
      </c>
      <c r="AG452" s="34" t="e">
        <f t="shared" ca="1" si="142"/>
        <v>#N/A</v>
      </c>
      <c r="AH452" s="34" t="e">
        <f t="shared" ca="1" si="143"/>
        <v>#N/A</v>
      </c>
      <c r="AI452" s="33" t="e">
        <f t="shared" ca="1" si="150"/>
        <v>#N/A</v>
      </c>
      <c r="AJ452" s="34" t="e">
        <f t="shared" ca="1" si="151"/>
        <v>#N/A</v>
      </c>
      <c r="AK452" s="34" t="e">
        <f t="shared" ca="1" si="144"/>
        <v>#N/A</v>
      </c>
      <c r="AL452" s="34" t="e">
        <f t="shared" ca="1" si="145"/>
        <v>#N/A</v>
      </c>
      <c r="AM452" s="33" t="e">
        <f t="shared" ca="1" si="152"/>
        <v>#N/A</v>
      </c>
      <c r="AN452" s="34" t="e">
        <f t="shared" ca="1" si="153"/>
        <v>#N/A</v>
      </c>
    </row>
    <row r="453" spans="1:40" x14ac:dyDescent="0.3">
      <c r="A453" s="2">
        <v>44118</v>
      </c>
      <c r="B453" s="9">
        <v>57.07</v>
      </c>
      <c r="C453" s="9">
        <v>72.970000999999996</v>
      </c>
      <c r="D453" s="9">
        <v>41.709999000000003</v>
      </c>
      <c r="E453" s="10"/>
      <c r="F453" s="13">
        <v>450</v>
      </c>
      <c r="G453" s="2">
        <v>44118</v>
      </c>
      <c r="H453" s="14">
        <f t="shared" ref="H453:H516" si="155">LN(B453/B452)</f>
        <v>-1.5129390533353817E-2</v>
      </c>
      <c r="I453" s="14">
        <f t="shared" ref="I453:I516" si="156">LN(C453/C452)</f>
        <v>9.9160844892491346E-3</v>
      </c>
      <c r="J453" s="14">
        <f t="shared" ref="J453:J516" si="157">LN(D453/D452)</f>
        <v>6.7356281444773038E-3</v>
      </c>
      <c r="K453" s="22">
        <v>450</v>
      </c>
      <c r="L453" s="12"/>
      <c r="Q453" s="15">
        <f t="shared" ref="Q453:Q516" si="158">IF(Q452="","",IF(Q452+1&lt;=$M$6,Q452+1,""))</f>
        <v>450</v>
      </c>
      <c r="R453" s="2">
        <f t="shared" si="154"/>
        <v>44118</v>
      </c>
      <c r="S453" s="9">
        <f t="shared" ref="S453:S516" ca="1" si="159">IF(Q453="","",OFFSET(H$3,$Q453,0))</f>
        <v>-1.5129390533353817E-2</v>
      </c>
      <c r="T453" s="9">
        <f t="shared" ref="T453:T516" ca="1" si="160">IF(R453="","",OFFSET(I$3,$Q453,0))</f>
        <v>9.9160844892491346E-3</v>
      </c>
      <c r="U453" s="9">
        <f t="shared" ref="U453:U516" ca="1" si="161">IF(S453="","",OFFSET(J$3,$Q453,0))</f>
        <v>6.7356281444773038E-3</v>
      </c>
      <c r="AB453" s="33" t="e">
        <f t="shared" ca="1" si="146"/>
        <v>#N/A</v>
      </c>
      <c r="AC453" s="34" t="e">
        <f t="shared" ca="1" si="147"/>
        <v>#N/A</v>
      </c>
      <c r="AD453" s="34" t="e">
        <f t="shared" ca="1" si="148"/>
        <v>#N/A</v>
      </c>
      <c r="AE453" s="33" t="e">
        <f t="shared" ca="1" si="149"/>
        <v>#N/A</v>
      </c>
      <c r="AF453" s="34" t="e">
        <f t="shared" ref="AF453:AF516" ca="1" si="162">IF(AB453&lt;=$X$6,(AE453/$X$5)/$X$7,"")</f>
        <v>#N/A</v>
      </c>
      <c r="AG453" s="34" t="e">
        <f t="shared" ref="AG453:AG516" ca="1" si="163">IF(AB453&lt;=$Y$6,AG452+$Y$7,"")</f>
        <v>#N/A</v>
      </c>
      <c r="AH453" s="34" t="e">
        <f t="shared" ref="AH453:AH516" ca="1" si="164">IF(AB453&lt;=$Y$6,AG453-$Y$7/2,"")</f>
        <v>#N/A</v>
      </c>
      <c r="AI453" s="33" t="e">
        <f t="shared" ca="1" si="150"/>
        <v>#N/A</v>
      </c>
      <c r="AJ453" s="34" t="e">
        <f t="shared" ca="1" si="151"/>
        <v>#N/A</v>
      </c>
      <c r="AK453" s="34" t="e">
        <f t="shared" ref="AK453:AK516" ca="1" si="165">IF(AB453&lt;=$Z$6,AK452+$Z$7,"")</f>
        <v>#N/A</v>
      </c>
      <c r="AL453" s="34" t="e">
        <f t="shared" ref="AL453:AL516" ca="1" si="166">IF(AB453&lt;=$Z$6,AK453-$Z$7/2,"")</f>
        <v>#N/A</v>
      </c>
      <c r="AM453" s="33" t="e">
        <f t="shared" ca="1" si="152"/>
        <v>#N/A</v>
      </c>
      <c r="AN453" s="34" t="e">
        <f t="shared" ca="1" si="153"/>
        <v>#N/A</v>
      </c>
    </row>
    <row r="454" spans="1:40" x14ac:dyDescent="0.3">
      <c r="A454" s="2">
        <v>44119</v>
      </c>
      <c r="B454" s="9">
        <v>56.790000999999997</v>
      </c>
      <c r="C454" s="9">
        <v>75.75</v>
      </c>
      <c r="D454" s="9">
        <v>41.560001</v>
      </c>
      <c r="E454" s="10"/>
      <c r="F454" s="13">
        <v>451</v>
      </c>
      <c r="G454" s="2">
        <v>44119</v>
      </c>
      <c r="H454" s="14">
        <f t="shared" si="155"/>
        <v>-4.9183130505418204E-3</v>
      </c>
      <c r="I454" s="14">
        <f t="shared" si="156"/>
        <v>3.7390032907687887E-2</v>
      </c>
      <c r="J454" s="14">
        <f t="shared" si="157"/>
        <v>-3.6026939411636528E-3</v>
      </c>
      <c r="K454" s="22">
        <v>451</v>
      </c>
      <c r="L454" s="12"/>
      <c r="Q454" s="15">
        <f t="shared" si="158"/>
        <v>451</v>
      </c>
      <c r="R454" s="2">
        <f t="shared" si="154"/>
        <v>44119</v>
      </c>
      <c r="S454" s="9">
        <f t="shared" ca="1" si="159"/>
        <v>-4.9183130505418204E-3</v>
      </c>
      <c r="T454" s="9">
        <f t="shared" ca="1" si="160"/>
        <v>3.7390032907687887E-2</v>
      </c>
      <c r="U454" s="9">
        <f t="shared" ca="1" si="161"/>
        <v>-3.6026939411636528E-3</v>
      </c>
      <c r="AB454" s="33" t="e">
        <f t="shared" ref="AB454:AB517" ca="1" si="167">IF(AB453&lt;$X$6,AB453+1,NA())</f>
        <v>#N/A</v>
      </c>
      <c r="AC454" s="34" t="e">
        <f t="shared" ref="AC454:AC517" ca="1" si="168">IF(AB454&lt;=$X$6,AC453+$X$7,"")</f>
        <v>#N/A</v>
      </c>
      <c r="AD454" s="34" t="e">
        <f t="shared" ref="AD454:AD517" ca="1" si="169">IF(AB454&lt;=$X$6,AC454-$X$7/2,"")</f>
        <v>#N/A</v>
      </c>
      <c r="AE454" s="33" t="e">
        <f t="shared" ref="AE454:AE517" ca="1" si="170">IF(AB454&lt;=$X$6,COUNTIFS($S$3:$S$1260,"&gt;"&amp;AC453,$S$3:$S$1260,"&lt;="&amp;AC454),"")</f>
        <v>#N/A</v>
      </c>
      <c r="AF454" s="34" t="e">
        <f t="shared" ca="1" si="162"/>
        <v>#N/A</v>
      </c>
      <c r="AG454" s="34" t="e">
        <f t="shared" ca="1" si="163"/>
        <v>#N/A</v>
      </c>
      <c r="AH454" s="34" t="e">
        <f t="shared" ca="1" si="164"/>
        <v>#N/A</v>
      </c>
      <c r="AI454" s="33" t="e">
        <f t="shared" ref="AI454:AI517" ca="1" si="171">IF(AB454&lt;=$Y$6,COUNTIFS($T$3:$T$1260,"&gt;"&amp;AG453,$T$3:$T$1260,"&lt;="&amp;AG454),"")</f>
        <v>#N/A</v>
      </c>
      <c r="AJ454" s="34" t="e">
        <f t="shared" ref="AJ454:AJ517" ca="1" si="172">IF(AB454&lt;=$Y$6,(AI454/$Y$5)/$Y$7,"")</f>
        <v>#N/A</v>
      </c>
      <c r="AK454" s="34" t="e">
        <f t="shared" ca="1" si="165"/>
        <v>#N/A</v>
      </c>
      <c r="AL454" s="34" t="e">
        <f t="shared" ca="1" si="166"/>
        <v>#N/A</v>
      </c>
      <c r="AM454" s="33" t="e">
        <f t="shared" ref="AM454:AM517" ca="1" si="173">IF(AB454&lt;=$Z$6,COUNTIFS($U$3:$U$1260,"&gt;"&amp;AK453,$U$3:$U$1260,"&lt;="&amp;AK454),"")</f>
        <v>#N/A</v>
      </c>
      <c r="AN454" s="34" t="e">
        <f t="shared" ref="AN454:AN517" ca="1" si="174">IF(AB454&lt;=$Z$6,(AM454/$Z$5)/$Z$7,"")</f>
        <v>#N/A</v>
      </c>
    </row>
    <row r="455" spans="1:40" x14ac:dyDescent="0.3">
      <c r="A455" s="2">
        <v>44120</v>
      </c>
      <c r="B455" s="9">
        <v>56.66</v>
      </c>
      <c r="C455" s="9">
        <v>74.790001000000004</v>
      </c>
      <c r="D455" s="9">
        <v>40.220001000000003</v>
      </c>
      <c r="E455" s="10"/>
      <c r="F455" s="13">
        <v>452</v>
      </c>
      <c r="G455" s="2">
        <v>44120</v>
      </c>
      <c r="H455" s="14">
        <f t="shared" si="155"/>
        <v>-2.2917770957044323E-3</v>
      </c>
      <c r="I455" s="14">
        <f t="shared" si="156"/>
        <v>-1.2754244815130909E-2</v>
      </c>
      <c r="J455" s="14">
        <f t="shared" si="157"/>
        <v>-3.277378108486613E-2</v>
      </c>
      <c r="K455" s="22">
        <v>452</v>
      </c>
      <c r="L455" s="12"/>
      <c r="Q455" s="15">
        <f t="shared" si="158"/>
        <v>452</v>
      </c>
      <c r="R455" s="2">
        <f t="shared" si="154"/>
        <v>44120</v>
      </c>
      <c r="S455" s="9">
        <f t="shared" ca="1" si="159"/>
        <v>-2.2917770957044323E-3</v>
      </c>
      <c r="T455" s="9">
        <f t="shared" ca="1" si="160"/>
        <v>-1.2754244815130909E-2</v>
      </c>
      <c r="U455" s="9">
        <f t="shared" ca="1" si="161"/>
        <v>-3.277378108486613E-2</v>
      </c>
      <c r="AB455" s="33" t="e">
        <f t="shared" ca="1" si="167"/>
        <v>#N/A</v>
      </c>
      <c r="AC455" s="34" t="e">
        <f t="shared" ca="1" si="168"/>
        <v>#N/A</v>
      </c>
      <c r="AD455" s="34" t="e">
        <f t="shared" ca="1" si="169"/>
        <v>#N/A</v>
      </c>
      <c r="AE455" s="33" t="e">
        <f t="shared" ca="1" si="170"/>
        <v>#N/A</v>
      </c>
      <c r="AF455" s="34" t="e">
        <f t="shared" ca="1" si="162"/>
        <v>#N/A</v>
      </c>
      <c r="AG455" s="34" t="e">
        <f t="shared" ca="1" si="163"/>
        <v>#N/A</v>
      </c>
      <c r="AH455" s="34" t="e">
        <f t="shared" ca="1" si="164"/>
        <v>#N/A</v>
      </c>
      <c r="AI455" s="33" t="e">
        <f t="shared" ca="1" si="171"/>
        <v>#N/A</v>
      </c>
      <c r="AJ455" s="34" t="e">
        <f t="shared" ca="1" si="172"/>
        <v>#N/A</v>
      </c>
      <c r="AK455" s="34" t="e">
        <f t="shared" ca="1" si="165"/>
        <v>#N/A</v>
      </c>
      <c r="AL455" s="34" t="e">
        <f t="shared" ca="1" si="166"/>
        <v>#N/A</v>
      </c>
      <c r="AM455" s="33" t="e">
        <f t="shared" ca="1" si="173"/>
        <v>#N/A</v>
      </c>
      <c r="AN455" s="34" t="e">
        <f t="shared" ca="1" si="174"/>
        <v>#N/A</v>
      </c>
    </row>
    <row r="456" spans="1:40" x14ac:dyDescent="0.3">
      <c r="A456" s="2">
        <v>44123</v>
      </c>
      <c r="B456" s="9">
        <v>55.43</v>
      </c>
      <c r="C456" s="9">
        <v>74.360000999999997</v>
      </c>
      <c r="D456" s="9">
        <v>39.290000999999997</v>
      </c>
      <c r="E456" s="10"/>
      <c r="F456" s="13">
        <v>453</v>
      </c>
      <c r="G456" s="2">
        <v>44123</v>
      </c>
      <c r="H456" s="14">
        <f t="shared" si="155"/>
        <v>-2.1947530970657107E-2</v>
      </c>
      <c r="I456" s="14">
        <f t="shared" si="156"/>
        <v>-5.7660232730141307E-3</v>
      </c>
      <c r="J456" s="14">
        <f t="shared" si="157"/>
        <v>-2.3394350185621009E-2</v>
      </c>
      <c r="K456" s="22">
        <v>453</v>
      </c>
      <c r="L456" s="12"/>
      <c r="Q456" s="15">
        <f t="shared" si="158"/>
        <v>453</v>
      </c>
      <c r="R456" s="2">
        <f t="shared" si="154"/>
        <v>44123</v>
      </c>
      <c r="S456" s="9">
        <f t="shared" ca="1" si="159"/>
        <v>-2.1947530970657107E-2</v>
      </c>
      <c r="T456" s="9">
        <f t="shared" ca="1" si="160"/>
        <v>-5.7660232730141307E-3</v>
      </c>
      <c r="U456" s="9">
        <f t="shared" ca="1" si="161"/>
        <v>-2.3394350185621009E-2</v>
      </c>
      <c r="AB456" s="33" t="e">
        <f t="shared" ca="1" si="167"/>
        <v>#N/A</v>
      </c>
      <c r="AC456" s="34" t="e">
        <f t="shared" ca="1" si="168"/>
        <v>#N/A</v>
      </c>
      <c r="AD456" s="34" t="e">
        <f t="shared" ca="1" si="169"/>
        <v>#N/A</v>
      </c>
      <c r="AE456" s="33" t="e">
        <f t="shared" ca="1" si="170"/>
        <v>#N/A</v>
      </c>
      <c r="AF456" s="34" t="e">
        <f t="shared" ca="1" si="162"/>
        <v>#N/A</v>
      </c>
      <c r="AG456" s="34" t="e">
        <f t="shared" ca="1" si="163"/>
        <v>#N/A</v>
      </c>
      <c r="AH456" s="34" t="e">
        <f t="shared" ca="1" si="164"/>
        <v>#N/A</v>
      </c>
      <c r="AI456" s="33" t="e">
        <f t="shared" ca="1" si="171"/>
        <v>#N/A</v>
      </c>
      <c r="AJ456" s="34" t="e">
        <f t="shared" ca="1" si="172"/>
        <v>#N/A</v>
      </c>
      <c r="AK456" s="34" t="e">
        <f t="shared" ca="1" si="165"/>
        <v>#N/A</v>
      </c>
      <c r="AL456" s="34" t="e">
        <f t="shared" ca="1" si="166"/>
        <v>#N/A</v>
      </c>
      <c r="AM456" s="33" t="e">
        <f t="shared" ca="1" si="173"/>
        <v>#N/A</v>
      </c>
      <c r="AN456" s="34" t="e">
        <f t="shared" ca="1" si="174"/>
        <v>#N/A</v>
      </c>
    </row>
    <row r="457" spans="1:40" x14ac:dyDescent="0.3">
      <c r="A457" s="2">
        <v>44124</v>
      </c>
      <c r="B457" s="9">
        <v>56.299999</v>
      </c>
      <c r="C457" s="9">
        <v>73.510002</v>
      </c>
      <c r="D457" s="9">
        <v>40.700001</v>
      </c>
      <c r="E457" s="10"/>
      <c r="F457" s="13">
        <v>454</v>
      </c>
      <c r="G457" s="2">
        <v>44124</v>
      </c>
      <c r="H457" s="14">
        <f t="shared" si="155"/>
        <v>1.5573553951941904E-2</v>
      </c>
      <c r="I457" s="14">
        <f t="shared" si="156"/>
        <v>-1.1496697708154886E-2</v>
      </c>
      <c r="J457" s="14">
        <f t="shared" si="157"/>
        <v>3.525805799643663E-2</v>
      </c>
      <c r="K457" s="22">
        <v>454</v>
      </c>
      <c r="L457" s="12"/>
      <c r="Q457" s="15">
        <f t="shared" si="158"/>
        <v>454</v>
      </c>
      <c r="R457" s="2">
        <f t="shared" si="154"/>
        <v>44124</v>
      </c>
      <c r="S457" s="9">
        <f t="shared" ca="1" si="159"/>
        <v>1.5573553951941904E-2</v>
      </c>
      <c r="T457" s="9">
        <f t="shared" ca="1" si="160"/>
        <v>-1.1496697708154886E-2</v>
      </c>
      <c r="U457" s="9">
        <f t="shared" ca="1" si="161"/>
        <v>3.525805799643663E-2</v>
      </c>
      <c r="AB457" s="33" t="e">
        <f t="shared" ca="1" si="167"/>
        <v>#N/A</v>
      </c>
      <c r="AC457" s="34" t="e">
        <f t="shared" ca="1" si="168"/>
        <v>#N/A</v>
      </c>
      <c r="AD457" s="34" t="e">
        <f t="shared" ca="1" si="169"/>
        <v>#N/A</v>
      </c>
      <c r="AE457" s="33" t="e">
        <f t="shared" ca="1" si="170"/>
        <v>#N/A</v>
      </c>
      <c r="AF457" s="34" t="e">
        <f t="shared" ca="1" si="162"/>
        <v>#N/A</v>
      </c>
      <c r="AG457" s="34" t="e">
        <f t="shared" ca="1" si="163"/>
        <v>#N/A</v>
      </c>
      <c r="AH457" s="34" t="e">
        <f t="shared" ca="1" si="164"/>
        <v>#N/A</v>
      </c>
      <c r="AI457" s="33" t="e">
        <f t="shared" ca="1" si="171"/>
        <v>#N/A</v>
      </c>
      <c r="AJ457" s="34" t="e">
        <f t="shared" ca="1" si="172"/>
        <v>#N/A</v>
      </c>
      <c r="AK457" s="34" t="e">
        <f t="shared" ca="1" si="165"/>
        <v>#N/A</v>
      </c>
      <c r="AL457" s="34" t="e">
        <f t="shared" ca="1" si="166"/>
        <v>#N/A</v>
      </c>
      <c r="AM457" s="33" t="e">
        <f t="shared" ca="1" si="173"/>
        <v>#N/A</v>
      </c>
      <c r="AN457" s="34" t="e">
        <f t="shared" ca="1" si="174"/>
        <v>#N/A</v>
      </c>
    </row>
    <row r="458" spans="1:40" x14ac:dyDescent="0.3">
      <c r="A458" s="2">
        <v>44125</v>
      </c>
      <c r="B458" s="9">
        <v>55.32</v>
      </c>
      <c r="C458" s="9">
        <v>75.010002</v>
      </c>
      <c r="D458" s="9">
        <v>40.540000999999997</v>
      </c>
      <c r="E458" s="10"/>
      <c r="F458" s="13">
        <v>455</v>
      </c>
      <c r="G458" s="2">
        <v>44125</v>
      </c>
      <c r="H458" s="14">
        <f t="shared" si="155"/>
        <v>-1.7560010587097767E-2</v>
      </c>
      <c r="I458" s="14">
        <f t="shared" si="156"/>
        <v>2.0199986051477641E-2</v>
      </c>
      <c r="J458" s="14">
        <f t="shared" si="157"/>
        <v>-3.9389513277243889E-3</v>
      </c>
      <c r="K458" s="22">
        <v>455</v>
      </c>
      <c r="L458" s="12"/>
      <c r="Q458" s="15">
        <f t="shared" si="158"/>
        <v>455</v>
      </c>
      <c r="R458" s="2">
        <f t="shared" si="154"/>
        <v>44125</v>
      </c>
      <c r="S458" s="9">
        <f t="shared" ca="1" si="159"/>
        <v>-1.7560010587097767E-2</v>
      </c>
      <c r="T458" s="9">
        <f t="shared" ca="1" si="160"/>
        <v>2.0199986051477641E-2</v>
      </c>
      <c r="U458" s="9">
        <f t="shared" ca="1" si="161"/>
        <v>-3.9389513277243889E-3</v>
      </c>
      <c r="AB458" s="33" t="e">
        <f t="shared" ca="1" si="167"/>
        <v>#N/A</v>
      </c>
      <c r="AC458" s="34" t="e">
        <f t="shared" ca="1" si="168"/>
        <v>#N/A</v>
      </c>
      <c r="AD458" s="34" t="e">
        <f t="shared" ca="1" si="169"/>
        <v>#N/A</v>
      </c>
      <c r="AE458" s="33" t="e">
        <f t="shared" ca="1" si="170"/>
        <v>#N/A</v>
      </c>
      <c r="AF458" s="34" t="e">
        <f t="shared" ca="1" si="162"/>
        <v>#N/A</v>
      </c>
      <c r="AG458" s="34" t="e">
        <f t="shared" ca="1" si="163"/>
        <v>#N/A</v>
      </c>
      <c r="AH458" s="34" t="e">
        <f t="shared" ca="1" si="164"/>
        <v>#N/A</v>
      </c>
      <c r="AI458" s="33" t="e">
        <f t="shared" ca="1" si="171"/>
        <v>#N/A</v>
      </c>
      <c r="AJ458" s="34" t="e">
        <f t="shared" ca="1" si="172"/>
        <v>#N/A</v>
      </c>
      <c r="AK458" s="34" t="e">
        <f t="shared" ca="1" si="165"/>
        <v>#N/A</v>
      </c>
      <c r="AL458" s="34" t="e">
        <f t="shared" ca="1" si="166"/>
        <v>#N/A</v>
      </c>
      <c r="AM458" s="33" t="e">
        <f t="shared" ca="1" si="173"/>
        <v>#N/A</v>
      </c>
      <c r="AN458" s="34" t="e">
        <f t="shared" ca="1" si="174"/>
        <v>#N/A</v>
      </c>
    </row>
    <row r="459" spans="1:40" x14ac:dyDescent="0.3">
      <c r="A459" s="2">
        <v>44126</v>
      </c>
      <c r="B459" s="9">
        <v>56.32</v>
      </c>
      <c r="C459" s="9">
        <v>77.110000999999997</v>
      </c>
      <c r="D459" s="9">
        <v>41.279998999999997</v>
      </c>
      <c r="E459" s="10"/>
      <c r="F459" s="13">
        <v>456</v>
      </c>
      <c r="G459" s="2">
        <v>44126</v>
      </c>
      <c r="H459" s="14">
        <f t="shared" si="155"/>
        <v>1.7915205053229549E-2</v>
      </c>
      <c r="I459" s="14">
        <f t="shared" si="156"/>
        <v>2.7611522168699644E-2</v>
      </c>
      <c r="J459" s="14">
        <f t="shared" si="157"/>
        <v>1.8088931257651562E-2</v>
      </c>
      <c r="K459" s="22">
        <v>456</v>
      </c>
      <c r="L459" s="12"/>
      <c r="Q459" s="15">
        <f t="shared" si="158"/>
        <v>456</v>
      </c>
      <c r="R459" s="2">
        <f t="shared" si="154"/>
        <v>44126</v>
      </c>
      <c r="S459" s="9">
        <f t="shared" ca="1" si="159"/>
        <v>1.7915205053229549E-2</v>
      </c>
      <c r="T459" s="9">
        <f t="shared" ca="1" si="160"/>
        <v>2.7611522168699644E-2</v>
      </c>
      <c r="U459" s="9">
        <f t="shared" ca="1" si="161"/>
        <v>1.8088931257651562E-2</v>
      </c>
      <c r="AB459" s="33" t="e">
        <f t="shared" ca="1" si="167"/>
        <v>#N/A</v>
      </c>
      <c r="AC459" s="34" t="e">
        <f t="shared" ca="1" si="168"/>
        <v>#N/A</v>
      </c>
      <c r="AD459" s="34" t="e">
        <f t="shared" ca="1" si="169"/>
        <v>#N/A</v>
      </c>
      <c r="AE459" s="33" t="e">
        <f t="shared" ca="1" si="170"/>
        <v>#N/A</v>
      </c>
      <c r="AF459" s="34" t="e">
        <f t="shared" ca="1" si="162"/>
        <v>#N/A</v>
      </c>
      <c r="AG459" s="34" t="e">
        <f t="shared" ca="1" si="163"/>
        <v>#N/A</v>
      </c>
      <c r="AH459" s="34" t="e">
        <f t="shared" ca="1" si="164"/>
        <v>#N/A</v>
      </c>
      <c r="AI459" s="33" t="e">
        <f t="shared" ca="1" si="171"/>
        <v>#N/A</v>
      </c>
      <c r="AJ459" s="34" t="e">
        <f t="shared" ca="1" si="172"/>
        <v>#N/A</v>
      </c>
      <c r="AK459" s="34" t="e">
        <f t="shared" ca="1" si="165"/>
        <v>#N/A</v>
      </c>
      <c r="AL459" s="34" t="e">
        <f t="shared" ca="1" si="166"/>
        <v>#N/A</v>
      </c>
      <c r="AM459" s="33" t="e">
        <f t="shared" ca="1" si="173"/>
        <v>#N/A</v>
      </c>
      <c r="AN459" s="34" t="e">
        <f t="shared" ca="1" si="174"/>
        <v>#N/A</v>
      </c>
    </row>
    <row r="460" spans="1:40" x14ac:dyDescent="0.3">
      <c r="A460" s="2">
        <v>44127</v>
      </c>
      <c r="B460" s="9">
        <v>51.669998</v>
      </c>
      <c r="C460" s="9">
        <v>77.389999000000003</v>
      </c>
      <c r="D460" s="9">
        <v>41.970001000000003</v>
      </c>
      <c r="E460" s="10"/>
      <c r="F460" s="13">
        <v>457</v>
      </c>
      <c r="G460" s="2">
        <v>44127</v>
      </c>
      <c r="H460" s="14">
        <f t="shared" si="155"/>
        <v>-8.6172408257874714E-2</v>
      </c>
      <c r="I460" s="14">
        <f t="shared" si="156"/>
        <v>3.6245735474458186E-3</v>
      </c>
      <c r="J460" s="14">
        <f t="shared" si="157"/>
        <v>1.6577004223541313E-2</v>
      </c>
      <c r="K460" s="22">
        <v>457</v>
      </c>
      <c r="L460" s="12"/>
      <c r="Q460" s="15">
        <f t="shared" si="158"/>
        <v>457</v>
      </c>
      <c r="R460" s="2">
        <f t="shared" si="154"/>
        <v>44127</v>
      </c>
      <c r="S460" s="9">
        <f t="shared" ca="1" si="159"/>
        <v>-8.6172408257874714E-2</v>
      </c>
      <c r="T460" s="9">
        <f t="shared" ca="1" si="160"/>
        <v>3.6245735474458186E-3</v>
      </c>
      <c r="U460" s="9">
        <f t="shared" ca="1" si="161"/>
        <v>1.6577004223541313E-2</v>
      </c>
      <c r="AB460" s="33" t="e">
        <f t="shared" ca="1" si="167"/>
        <v>#N/A</v>
      </c>
      <c r="AC460" s="34" t="e">
        <f t="shared" ca="1" si="168"/>
        <v>#N/A</v>
      </c>
      <c r="AD460" s="34" t="e">
        <f t="shared" ca="1" si="169"/>
        <v>#N/A</v>
      </c>
      <c r="AE460" s="33" t="e">
        <f t="shared" ca="1" si="170"/>
        <v>#N/A</v>
      </c>
      <c r="AF460" s="34" t="e">
        <f t="shared" ca="1" si="162"/>
        <v>#N/A</v>
      </c>
      <c r="AG460" s="34" t="e">
        <f t="shared" ca="1" si="163"/>
        <v>#N/A</v>
      </c>
      <c r="AH460" s="34" t="e">
        <f t="shared" ca="1" si="164"/>
        <v>#N/A</v>
      </c>
      <c r="AI460" s="33" t="e">
        <f t="shared" ca="1" si="171"/>
        <v>#N/A</v>
      </c>
      <c r="AJ460" s="34" t="e">
        <f t="shared" ca="1" si="172"/>
        <v>#N/A</v>
      </c>
      <c r="AK460" s="34" t="e">
        <f t="shared" ca="1" si="165"/>
        <v>#N/A</v>
      </c>
      <c r="AL460" s="34" t="e">
        <f t="shared" ca="1" si="166"/>
        <v>#N/A</v>
      </c>
      <c r="AM460" s="33" t="e">
        <f t="shared" ca="1" si="173"/>
        <v>#N/A</v>
      </c>
      <c r="AN460" s="34" t="e">
        <f t="shared" ca="1" si="174"/>
        <v>#N/A</v>
      </c>
    </row>
    <row r="461" spans="1:40" x14ac:dyDescent="0.3">
      <c r="A461" s="2">
        <v>44130</v>
      </c>
      <c r="B461" s="9">
        <v>50.939999</v>
      </c>
      <c r="C461" s="9">
        <v>76.800003000000004</v>
      </c>
      <c r="D461" s="9">
        <v>39.540000999999997</v>
      </c>
      <c r="E461" s="10"/>
      <c r="F461" s="13">
        <v>458</v>
      </c>
      <c r="G461" s="2">
        <v>44130</v>
      </c>
      <c r="H461" s="14">
        <f t="shared" si="155"/>
        <v>-1.4228853671539919E-2</v>
      </c>
      <c r="I461" s="14">
        <f t="shared" si="156"/>
        <v>-7.6528811446758601E-3</v>
      </c>
      <c r="J461" s="14">
        <f t="shared" si="157"/>
        <v>-5.9642258138726888E-2</v>
      </c>
      <c r="K461" s="22">
        <v>458</v>
      </c>
      <c r="L461" s="12"/>
      <c r="Q461" s="15">
        <f t="shared" si="158"/>
        <v>458</v>
      </c>
      <c r="R461" s="2">
        <f t="shared" si="154"/>
        <v>44130</v>
      </c>
      <c r="S461" s="9">
        <f t="shared" ca="1" si="159"/>
        <v>-1.4228853671539919E-2</v>
      </c>
      <c r="T461" s="9">
        <f t="shared" ca="1" si="160"/>
        <v>-7.6528811446758601E-3</v>
      </c>
      <c r="U461" s="9">
        <f t="shared" ca="1" si="161"/>
        <v>-5.9642258138726888E-2</v>
      </c>
      <c r="AB461" s="33" t="e">
        <f t="shared" ca="1" si="167"/>
        <v>#N/A</v>
      </c>
      <c r="AC461" s="34" t="e">
        <f t="shared" ca="1" si="168"/>
        <v>#N/A</v>
      </c>
      <c r="AD461" s="34" t="e">
        <f t="shared" ca="1" si="169"/>
        <v>#N/A</v>
      </c>
      <c r="AE461" s="33" t="e">
        <f t="shared" ca="1" si="170"/>
        <v>#N/A</v>
      </c>
      <c r="AF461" s="34" t="e">
        <f t="shared" ca="1" si="162"/>
        <v>#N/A</v>
      </c>
      <c r="AG461" s="34" t="e">
        <f t="shared" ca="1" si="163"/>
        <v>#N/A</v>
      </c>
      <c r="AH461" s="34" t="e">
        <f t="shared" ca="1" si="164"/>
        <v>#N/A</v>
      </c>
      <c r="AI461" s="33" t="e">
        <f t="shared" ca="1" si="171"/>
        <v>#N/A</v>
      </c>
      <c r="AJ461" s="34" t="e">
        <f t="shared" ca="1" si="172"/>
        <v>#N/A</v>
      </c>
      <c r="AK461" s="34" t="e">
        <f t="shared" ca="1" si="165"/>
        <v>#N/A</v>
      </c>
      <c r="AL461" s="34" t="e">
        <f t="shared" ca="1" si="166"/>
        <v>#N/A</v>
      </c>
      <c r="AM461" s="33" t="e">
        <f t="shared" ca="1" si="173"/>
        <v>#N/A</v>
      </c>
      <c r="AN461" s="34" t="e">
        <f t="shared" ca="1" si="174"/>
        <v>#N/A</v>
      </c>
    </row>
    <row r="462" spans="1:40" x14ac:dyDescent="0.3">
      <c r="A462" s="2">
        <v>44131</v>
      </c>
      <c r="B462" s="9">
        <v>50.349997999999999</v>
      </c>
      <c r="C462" s="9">
        <v>74.470000999999996</v>
      </c>
      <c r="D462" s="9">
        <v>38.259998000000003</v>
      </c>
      <c r="E462" s="10"/>
      <c r="F462" s="13">
        <v>459</v>
      </c>
      <c r="G462" s="2">
        <v>44131</v>
      </c>
      <c r="H462" s="14">
        <f t="shared" si="155"/>
        <v>-1.1649870477748233E-2</v>
      </c>
      <c r="I462" s="14">
        <f t="shared" si="156"/>
        <v>-3.0808306065345625E-2</v>
      </c>
      <c r="J462" s="14">
        <f t="shared" si="157"/>
        <v>-3.2907931295124926E-2</v>
      </c>
      <c r="K462" s="22">
        <v>459</v>
      </c>
      <c r="L462" s="12"/>
      <c r="Q462" s="15">
        <f t="shared" si="158"/>
        <v>459</v>
      </c>
      <c r="R462" s="2">
        <f t="shared" si="154"/>
        <v>44131</v>
      </c>
      <c r="S462" s="9">
        <f t="shared" ca="1" si="159"/>
        <v>-1.1649870477748233E-2</v>
      </c>
      <c r="T462" s="9">
        <f t="shared" ca="1" si="160"/>
        <v>-3.0808306065345625E-2</v>
      </c>
      <c r="U462" s="9">
        <f t="shared" ca="1" si="161"/>
        <v>-3.2907931295124926E-2</v>
      </c>
      <c r="AB462" s="33" t="e">
        <f t="shared" ca="1" si="167"/>
        <v>#N/A</v>
      </c>
      <c r="AC462" s="34" t="e">
        <f t="shared" ca="1" si="168"/>
        <v>#N/A</v>
      </c>
      <c r="AD462" s="34" t="e">
        <f t="shared" ca="1" si="169"/>
        <v>#N/A</v>
      </c>
      <c r="AE462" s="33" t="e">
        <f t="shared" ca="1" si="170"/>
        <v>#N/A</v>
      </c>
      <c r="AF462" s="34" t="e">
        <f t="shared" ca="1" si="162"/>
        <v>#N/A</v>
      </c>
      <c r="AG462" s="34" t="e">
        <f t="shared" ca="1" si="163"/>
        <v>#N/A</v>
      </c>
      <c r="AH462" s="34" t="e">
        <f t="shared" ca="1" si="164"/>
        <v>#N/A</v>
      </c>
      <c r="AI462" s="33" t="e">
        <f t="shared" ca="1" si="171"/>
        <v>#N/A</v>
      </c>
      <c r="AJ462" s="34" t="e">
        <f t="shared" ca="1" si="172"/>
        <v>#N/A</v>
      </c>
      <c r="AK462" s="34" t="e">
        <f t="shared" ca="1" si="165"/>
        <v>#N/A</v>
      </c>
      <c r="AL462" s="34" t="e">
        <f t="shared" ca="1" si="166"/>
        <v>#N/A</v>
      </c>
      <c r="AM462" s="33" t="e">
        <f t="shared" ca="1" si="173"/>
        <v>#N/A</v>
      </c>
      <c r="AN462" s="34" t="e">
        <f t="shared" ca="1" si="174"/>
        <v>#N/A</v>
      </c>
    </row>
    <row r="463" spans="1:40" x14ac:dyDescent="0.3">
      <c r="A463" s="2">
        <v>44132</v>
      </c>
      <c r="B463" s="9">
        <v>48.82</v>
      </c>
      <c r="C463" s="9">
        <v>74.300003000000004</v>
      </c>
      <c r="D463" s="9">
        <v>36.189999</v>
      </c>
      <c r="E463" s="10"/>
      <c r="F463" s="13">
        <v>460</v>
      </c>
      <c r="G463" s="2">
        <v>44132</v>
      </c>
      <c r="H463" s="14">
        <f t="shared" si="155"/>
        <v>-3.0858514477810097E-2</v>
      </c>
      <c r="I463" s="14">
        <f t="shared" si="156"/>
        <v>-2.2853810502168367E-3</v>
      </c>
      <c r="J463" s="14">
        <f t="shared" si="157"/>
        <v>-5.5622101794482036E-2</v>
      </c>
      <c r="K463" s="22">
        <v>460</v>
      </c>
      <c r="L463" s="12"/>
      <c r="Q463" s="15">
        <f t="shared" si="158"/>
        <v>460</v>
      </c>
      <c r="R463" s="2">
        <f t="shared" si="154"/>
        <v>44132</v>
      </c>
      <c r="S463" s="9">
        <f t="shared" ca="1" si="159"/>
        <v>-3.0858514477810097E-2</v>
      </c>
      <c r="T463" s="9">
        <f t="shared" ca="1" si="160"/>
        <v>-2.2853810502168367E-3</v>
      </c>
      <c r="U463" s="9">
        <f t="shared" ca="1" si="161"/>
        <v>-5.5622101794482036E-2</v>
      </c>
      <c r="AB463" s="33" t="e">
        <f t="shared" ca="1" si="167"/>
        <v>#N/A</v>
      </c>
      <c r="AC463" s="34" t="e">
        <f t="shared" ca="1" si="168"/>
        <v>#N/A</v>
      </c>
      <c r="AD463" s="34" t="e">
        <f t="shared" ca="1" si="169"/>
        <v>#N/A</v>
      </c>
      <c r="AE463" s="33" t="e">
        <f t="shared" ca="1" si="170"/>
        <v>#N/A</v>
      </c>
      <c r="AF463" s="34" t="e">
        <f t="shared" ca="1" si="162"/>
        <v>#N/A</v>
      </c>
      <c r="AG463" s="34" t="e">
        <f t="shared" ca="1" si="163"/>
        <v>#N/A</v>
      </c>
      <c r="AH463" s="34" t="e">
        <f t="shared" ca="1" si="164"/>
        <v>#N/A</v>
      </c>
      <c r="AI463" s="33" t="e">
        <f t="shared" ca="1" si="171"/>
        <v>#N/A</v>
      </c>
      <c r="AJ463" s="34" t="e">
        <f t="shared" ca="1" si="172"/>
        <v>#N/A</v>
      </c>
      <c r="AK463" s="34" t="e">
        <f t="shared" ca="1" si="165"/>
        <v>#N/A</v>
      </c>
      <c r="AL463" s="34" t="e">
        <f t="shared" ca="1" si="166"/>
        <v>#N/A</v>
      </c>
      <c r="AM463" s="33" t="e">
        <f t="shared" ca="1" si="173"/>
        <v>#N/A</v>
      </c>
      <c r="AN463" s="34" t="e">
        <f t="shared" ca="1" si="174"/>
        <v>#N/A</v>
      </c>
    </row>
    <row r="464" spans="1:40" x14ac:dyDescent="0.3">
      <c r="A464" s="2">
        <v>44133</v>
      </c>
      <c r="B464" s="9">
        <v>49.450001</v>
      </c>
      <c r="C464" s="9">
        <v>70.580001999999993</v>
      </c>
      <c r="D464" s="9">
        <v>37.529998999999997</v>
      </c>
      <c r="E464" s="10"/>
      <c r="F464" s="13">
        <v>461</v>
      </c>
      <c r="G464" s="2">
        <v>44133</v>
      </c>
      <c r="H464" s="14">
        <f t="shared" si="155"/>
        <v>1.2822013326353757E-2</v>
      </c>
      <c r="I464" s="14">
        <f t="shared" si="156"/>
        <v>-5.1364145516800526E-2</v>
      </c>
      <c r="J464" s="14">
        <f t="shared" si="157"/>
        <v>3.6357776557870487E-2</v>
      </c>
      <c r="K464" s="22">
        <v>461</v>
      </c>
      <c r="L464" s="12"/>
      <c r="Q464" s="15">
        <f t="shared" si="158"/>
        <v>461</v>
      </c>
      <c r="R464" s="2">
        <f t="shared" si="154"/>
        <v>44133</v>
      </c>
      <c r="S464" s="9">
        <f t="shared" ca="1" si="159"/>
        <v>1.2822013326353757E-2</v>
      </c>
      <c r="T464" s="9">
        <f t="shared" ca="1" si="160"/>
        <v>-5.1364145516800526E-2</v>
      </c>
      <c r="U464" s="9">
        <f t="shared" ca="1" si="161"/>
        <v>3.6357776557870487E-2</v>
      </c>
      <c r="AB464" s="33" t="e">
        <f t="shared" ca="1" si="167"/>
        <v>#N/A</v>
      </c>
      <c r="AC464" s="34" t="e">
        <f t="shared" ca="1" si="168"/>
        <v>#N/A</v>
      </c>
      <c r="AD464" s="34" t="e">
        <f t="shared" ca="1" si="169"/>
        <v>#N/A</v>
      </c>
      <c r="AE464" s="33" t="e">
        <f t="shared" ca="1" si="170"/>
        <v>#N/A</v>
      </c>
      <c r="AF464" s="34" t="e">
        <f t="shared" ca="1" si="162"/>
        <v>#N/A</v>
      </c>
      <c r="AG464" s="34" t="e">
        <f t="shared" ca="1" si="163"/>
        <v>#N/A</v>
      </c>
      <c r="AH464" s="34" t="e">
        <f t="shared" ca="1" si="164"/>
        <v>#N/A</v>
      </c>
      <c r="AI464" s="33" t="e">
        <f t="shared" ca="1" si="171"/>
        <v>#N/A</v>
      </c>
      <c r="AJ464" s="34" t="e">
        <f t="shared" ca="1" si="172"/>
        <v>#N/A</v>
      </c>
      <c r="AK464" s="34" t="e">
        <f t="shared" ca="1" si="165"/>
        <v>#N/A</v>
      </c>
      <c r="AL464" s="34" t="e">
        <f t="shared" ca="1" si="166"/>
        <v>#N/A</v>
      </c>
      <c r="AM464" s="33" t="e">
        <f t="shared" ca="1" si="173"/>
        <v>#N/A</v>
      </c>
      <c r="AN464" s="34" t="e">
        <f t="shared" ca="1" si="174"/>
        <v>#N/A</v>
      </c>
    </row>
    <row r="465" spans="1:40" x14ac:dyDescent="0.3">
      <c r="A465" s="2">
        <v>44134</v>
      </c>
      <c r="B465" s="9">
        <v>50.689999</v>
      </c>
      <c r="C465" s="9">
        <v>66.849997999999999</v>
      </c>
      <c r="D465" s="9">
        <v>38.610000999999997</v>
      </c>
      <c r="E465" s="10"/>
      <c r="F465" s="13">
        <v>462</v>
      </c>
      <c r="G465" s="2">
        <v>44134</v>
      </c>
      <c r="H465" s="14">
        <f t="shared" si="155"/>
        <v>2.4766554465333046E-2</v>
      </c>
      <c r="I465" s="14">
        <f t="shared" si="156"/>
        <v>-5.4295572953537277E-2</v>
      </c>
      <c r="J465" s="14">
        <f t="shared" si="157"/>
        <v>2.8370749674591925E-2</v>
      </c>
      <c r="K465" s="22">
        <v>462</v>
      </c>
      <c r="L465" s="12"/>
      <c r="Q465" s="15">
        <f t="shared" si="158"/>
        <v>462</v>
      </c>
      <c r="R465" s="2">
        <f t="shared" si="154"/>
        <v>44134</v>
      </c>
      <c r="S465" s="9">
        <f t="shared" ca="1" si="159"/>
        <v>2.4766554465333046E-2</v>
      </c>
      <c r="T465" s="9">
        <f t="shared" ca="1" si="160"/>
        <v>-5.4295572953537277E-2</v>
      </c>
      <c r="U465" s="9">
        <f t="shared" ca="1" si="161"/>
        <v>2.8370749674591925E-2</v>
      </c>
      <c r="AB465" s="33" t="e">
        <f t="shared" ca="1" si="167"/>
        <v>#N/A</v>
      </c>
      <c r="AC465" s="34" t="e">
        <f t="shared" ca="1" si="168"/>
        <v>#N/A</v>
      </c>
      <c r="AD465" s="34" t="e">
        <f t="shared" ca="1" si="169"/>
        <v>#N/A</v>
      </c>
      <c r="AE465" s="33" t="e">
        <f t="shared" ca="1" si="170"/>
        <v>#N/A</v>
      </c>
      <c r="AF465" s="34" t="e">
        <f t="shared" ca="1" si="162"/>
        <v>#N/A</v>
      </c>
      <c r="AG465" s="34" t="e">
        <f t="shared" ca="1" si="163"/>
        <v>#N/A</v>
      </c>
      <c r="AH465" s="34" t="e">
        <f t="shared" ca="1" si="164"/>
        <v>#N/A</v>
      </c>
      <c r="AI465" s="33" t="e">
        <f t="shared" ca="1" si="171"/>
        <v>#N/A</v>
      </c>
      <c r="AJ465" s="34" t="e">
        <f t="shared" ca="1" si="172"/>
        <v>#N/A</v>
      </c>
      <c r="AK465" s="34" t="e">
        <f t="shared" ca="1" si="165"/>
        <v>#N/A</v>
      </c>
      <c r="AL465" s="34" t="e">
        <f t="shared" ca="1" si="166"/>
        <v>#N/A</v>
      </c>
      <c r="AM465" s="33" t="e">
        <f t="shared" ca="1" si="173"/>
        <v>#N/A</v>
      </c>
      <c r="AN465" s="34" t="e">
        <f t="shared" ca="1" si="174"/>
        <v>#N/A</v>
      </c>
    </row>
    <row r="466" spans="1:40" x14ac:dyDescent="0.3">
      <c r="A466" s="2">
        <v>44137</v>
      </c>
      <c r="B466" s="9">
        <v>51.610000999999997</v>
      </c>
      <c r="C466" s="9">
        <v>67.430000000000007</v>
      </c>
      <c r="D466" s="9">
        <v>39.900002000000001</v>
      </c>
      <c r="E466" s="10"/>
      <c r="F466" s="13">
        <v>463</v>
      </c>
      <c r="G466" s="2">
        <v>44137</v>
      </c>
      <c r="H466" s="14">
        <f t="shared" si="155"/>
        <v>1.7986838780224515E-2</v>
      </c>
      <c r="I466" s="14">
        <f t="shared" si="156"/>
        <v>8.6387491162652607E-3</v>
      </c>
      <c r="J466" s="14">
        <f t="shared" si="157"/>
        <v>3.2865037844959338E-2</v>
      </c>
      <c r="K466" s="22">
        <v>463</v>
      </c>
      <c r="L466" s="12"/>
      <c r="Q466" s="15">
        <f t="shared" si="158"/>
        <v>463</v>
      </c>
      <c r="R466" s="2">
        <f t="shared" si="154"/>
        <v>44137</v>
      </c>
      <c r="S466" s="9">
        <f t="shared" ca="1" si="159"/>
        <v>1.7986838780224515E-2</v>
      </c>
      <c r="T466" s="9">
        <f t="shared" ca="1" si="160"/>
        <v>8.6387491162652607E-3</v>
      </c>
      <c r="U466" s="9">
        <f t="shared" ca="1" si="161"/>
        <v>3.2865037844959338E-2</v>
      </c>
      <c r="AB466" s="33" t="e">
        <f t="shared" ca="1" si="167"/>
        <v>#N/A</v>
      </c>
      <c r="AC466" s="34" t="e">
        <f t="shared" ca="1" si="168"/>
        <v>#N/A</v>
      </c>
      <c r="AD466" s="34" t="e">
        <f t="shared" ca="1" si="169"/>
        <v>#N/A</v>
      </c>
      <c r="AE466" s="33" t="e">
        <f t="shared" ca="1" si="170"/>
        <v>#N/A</v>
      </c>
      <c r="AF466" s="34" t="e">
        <f t="shared" ca="1" si="162"/>
        <v>#N/A</v>
      </c>
      <c r="AG466" s="34" t="e">
        <f t="shared" ca="1" si="163"/>
        <v>#N/A</v>
      </c>
      <c r="AH466" s="34" t="e">
        <f t="shared" ca="1" si="164"/>
        <v>#N/A</v>
      </c>
      <c r="AI466" s="33" t="e">
        <f t="shared" ca="1" si="171"/>
        <v>#N/A</v>
      </c>
      <c r="AJ466" s="34" t="e">
        <f t="shared" ca="1" si="172"/>
        <v>#N/A</v>
      </c>
      <c r="AK466" s="34" t="e">
        <f t="shared" ca="1" si="165"/>
        <v>#N/A</v>
      </c>
      <c r="AL466" s="34" t="e">
        <f t="shared" ca="1" si="166"/>
        <v>#N/A</v>
      </c>
      <c r="AM466" s="33" t="e">
        <f t="shared" ca="1" si="173"/>
        <v>#N/A</v>
      </c>
      <c r="AN466" s="34" t="e">
        <f t="shared" ca="1" si="174"/>
        <v>#N/A</v>
      </c>
    </row>
    <row r="467" spans="1:40" x14ac:dyDescent="0.3">
      <c r="A467" s="2">
        <v>44138</v>
      </c>
      <c r="B467" s="9">
        <v>52.59</v>
      </c>
      <c r="C467" s="9">
        <v>69.120002999999997</v>
      </c>
      <c r="D467" s="9">
        <v>39.479999999999997</v>
      </c>
      <c r="E467" s="10"/>
      <c r="F467" s="13">
        <v>464</v>
      </c>
      <c r="G467" s="2">
        <v>44138</v>
      </c>
      <c r="H467" s="14">
        <f t="shared" si="155"/>
        <v>1.8810516064527424E-2</v>
      </c>
      <c r="I467" s="14">
        <f t="shared" si="156"/>
        <v>2.4754145152086304E-2</v>
      </c>
      <c r="J467" s="14">
        <f t="shared" si="157"/>
        <v>-1.0582159455849045E-2</v>
      </c>
      <c r="K467" s="22">
        <v>464</v>
      </c>
      <c r="L467" s="12"/>
      <c r="Q467" s="15">
        <f t="shared" si="158"/>
        <v>464</v>
      </c>
      <c r="R467" s="2">
        <f t="shared" si="154"/>
        <v>44138</v>
      </c>
      <c r="S467" s="9">
        <f t="shared" ca="1" si="159"/>
        <v>1.8810516064527424E-2</v>
      </c>
      <c r="T467" s="9">
        <f t="shared" ca="1" si="160"/>
        <v>2.4754145152086304E-2</v>
      </c>
      <c r="U467" s="9">
        <f t="shared" ca="1" si="161"/>
        <v>-1.0582159455849045E-2</v>
      </c>
      <c r="AB467" s="33" t="e">
        <f t="shared" ca="1" si="167"/>
        <v>#N/A</v>
      </c>
      <c r="AC467" s="34" t="e">
        <f t="shared" ca="1" si="168"/>
        <v>#N/A</v>
      </c>
      <c r="AD467" s="34" t="e">
        <f t="shared" ca="1" si="169"/>
        <v>#N/A</v>
      </c>
      <c r="AE467" s="33" t="e">
        <f t="shared" ca="1" si="170"/>
        <v>#N/A</v>
      </c>
      <c r="AF467" s="34" t="e">
        <f t="shared" ca="1" si="162"/>
        <v>#N/A</v>
      </c>
      <c r="AG467" s="34" t="e">
        <f t="shared" ca="1" si="163"/>
        <v>#N/A</v>
      </c>
      <c r="AH467" s="34" t="e">
        <f t="shared" ca="1" si="164"/>
        <v>#N/A</v>
      </c>
      <c r="AI467" s="33" t="e">
        <f t="shared" ca="1" si="171"/>
        <v>#N/A</v>
      </c>
      <c r="AJ467" s="34" t="e">
        <f t="shared" ca="1" si="172"/>
        <v>#N/A</v>
      </c>
      <c r="AK467" s="34" t="e">
        <f t="shared" ca="1" si="165"/>
        <v>#N/A</v>
      </c>
      <c r="AL467" s="34" t="e">
        <f t="shared" ca="1" si="166"/>
        <v>#N/A</v>
      </c>
      <c r="AM467" s="33" t="e">
        <f t="shared" ca="1" si="173"/>
        <v>#N/A</v>
      </c>
      <c r="AN467" s="34" t="e">
        <f t="shared" ca="1" si="174"/>
        <v>#N/A</v>
      </c>
    </row>
    <row r="468" spans="1:40" x14ac:dyDescent="0.3">
      <c r="A468" s="2">
        <v>44139</v>
      </c>
      <c r="B468" s="9">
        <v>51.16</v>
      </c>
      <c r="C468" s="9">
        <v>68.709998999999996</v>
      </c>
      <c r="D468" s="9">
        <v>38.970001000000003</v>
      </c>
      <c r="E468" s="10"/>
      <c r="F468" s="13">
        <v>465</v>
      </c>
      <c r="G468" s="2">
        <v>44139</v>
      </c>
      <c r="H468" s="14">
        <f t="shared" si="155"/>
        <v>-2.7568010890610967E-2</v>
      </c>
      <c r="I468" s="14">
        <f t="shared" si="156"/>
        <v>-5.9494334095148114E-3</v>
      </c>
      <c r="J468" s="14">
        <f t="shared" si="157"/>
        <v>-1.3002069553898496E-2</v>
      </c>
      <c r="K468" s="22">
        <v>465</v>
      </c>
      <c r="L468" s="12"/>
      <c r="Q468" s="15">
        <f t="shared" si="158"/>
        <v>465</v>
      </c>
      <c r="R468" s="2">
        <f t="shared" si="154"/>
        <v>44139</v>
      </c>
      <c r="S468" s="9">
        <f t="shared" ca="1" si="159"/>
        <v>-2.7568010890610967E-2</v>
      </c>
      <c r="T468" s="9">
        <f t="shared" ca="1" si="160"/>
        <v>-5.9494334095148114E-3</v>
      </c>
      <c r="U468" s="9">
        <f t="shared" ca="1" si="161"/>
        <v>-1.3002069553898496E-2</v>
      </c>
      <c r="AB468" s="33" t="e">
        <f t="shared" ca="1" si="167"/>
        <v>#N/A</v>
      </c>
      <c r="AC468" s="34" t="e">
        <f t="shared" ca="1" si="168"/>
        <v>#N/A</v>
      </c>
      <c r="AD468" s="34" t="e">
        <f t="shared" ca="1" si="169"/>
        <v>#N/A</v>
      </c>
      <c r="AE468" s="33" t="e">
        <f t="shared" ca="1" si="170"/>
        <v>#N/A</v>
      </c>
      <c r="AF468" s="34" t="e">
        <f t="shared" ca="1" si="162"/>
        <v>#N/A</v>
      </c>
      <c r="AG468" s="34" t="e">
        <f t="shared" ca="1" si="163"/>
        <v>#N/A</v>
      </c>
      <c r="AH468" s="34" t="e">
        <f t="shared" ca="1" si="164"/>
        <v>#N/A</v>
      </c>
      <c r="AI468" s="33" t="e">
        <f t="shared" ca="1" si="171"/>
        <v>#N/A</v>
      </c>
      <c r="AJ468" s="34" t="e">
        <f t="shared" ca="1" si="172"/>
        <v>#N/A</v>
      </c>
      <c r="AK468" s="34" t="e">
        <f t="shared" ca="1" si="165"/>
        <v>#N/A</v>
      </c>
      <c r="AL468" s="34" t="e">
        <f t="shared" ca="1" si="166"/>
        <v>#N/A</v>
      </c>
      <c r="AM468" s="33" t="e">
        <f t="shared" ca="1" si="173"/>
        <v>#N/A</v>
      </c>
      <c r="AN468" s="34" t="e">
        <f t="shared" ca="1" si="174"/>
        <v>#N/A</v>
      </c>
    </row>
    <row r="469" spans="1:40" x14ac:dyDescent="0.3">
      <c r="A469" s="2">
        <v>44140</v>
      </c>
      <c r="B469" s="9">
        <v>52.220001000000003</v>
      </c>
      <c r="C469" s="9">
        <v>69.930000000000007</v>
      </c>
      <c r="D469" s="9">
        <v>39.529998999999997</v>
      </c>
      <c r="E469" s="10"/>
      <c r="F469" s="13">
        <v>466</v>
      </c>
      <c r="G469" s="2">
        <v>44140</v>
      </c>
      <c r="H469" s="14">
        <f t="shared" si="155"/>
        <v>2.0507605710091838E-2</v>
      </c>
      <c r="I469" s="14">
        <f t="shared" si="156"/>
        <v>1.7600007226713475E-2</v>
      </c>
      <c r="J469" s="14">
        <f t="shared" si="157"/>
        <v>1.426770699996883E-2</v>
      </c>
      <c r="K469" s="22">
        <v>466</v>
      </c>
      <c r="L469" s="12"/>
      <c r="Q469" s="15">
        <f t="shared" si="158"/>
        <v>466</v>
      </c>
      <c r="R469" s="2">
        <f t="shared" si="154"/>
        <v>44140</v>
      </c>
      <c r="S469" s="9">
        <f t="shared" ca="1" si="159"/>
        <v>2.0507605710091838E-2</v>
      </c>
      <c r="T469" s="9">
        <f t="shared" ca="1" si="160"/>
        <v>1.7600007226713475E-2</v>
      </c>
      <c r="U469" s="9">
        <f t="shared" ca="1" si="161"/>
        <v>1.426770699996883E-2</v>
      </c>
      <c r="AB469" s="33" t="e">
        <f t="shared" ca="1" si="167"/>
        <v>#N/A</v>
      </c>
      <c r="AC469" s="34" t="e">
        <f t="shared" ca="1" si="168"/>
        <v>#N/A</v>
      </c>
      <c r="AD469" s="34" t="e">
        <f t="shared" ca="1" si="169"/>
        <v>#N/A</v>
      </c>
      <c r="AE469" s="33" t="e">
        <f t="shared" ca="1" si="170"/>
        <v>#N/A</v>
      </c>
      <c r="AF469" s="34" t="e">
        <f t="shared" ca="1" si="162"/>
        <v>#N/A</v>
      </c>
      <c r="AG469" s="34" t="e">
        <f t="shared" ca="1" si="163"/>
        <v>#N/A</v>
      </c>
      <c r="AH469" s="34" t="e">
        <f t="shared" ca="1" si="164"/>
        <v>#N/A</v>
      </c>
      <c r="AI469" s="33" t="e">
        <f t="shared" ca="1" si="171"/>
        <v>#N/A</v>
      </c>
      <c r="AJ469" s="34" t="e">
        <f t="shared" ca="1" si="172"/>
        <v>#N/A</v>
      </c>
      <c r="AK469" s="34" t="e">
        <f t="shared" ca="1" si="165"/>
        <v>#N/A</v>
      </c>
      <c r="AL469" s="34" t="e">
        <f t="shared" ca="1" si="166"/>
        <v>#N/A</v>
      </c>
      <c r="AM469" s="33" t="e">
        <f t="shared" ca="1" si="173"/>
        <v>#N/A</v>
      </c>
      <c r="AN469" s="34" t="e">
        <f t="shared" ca="1" si="174"/>
        <v>#N/A</v>
      </c>
    </row>
    <row r="470" spans="1:40" x14ac:dyDescent="0.3">
      <c r="A470" s="2">
        <v>44141</v>
      </c>
      <c r="B470" s="9">
        <v>51.740001999999997</v>
      </c>
      <c r="C470" s="9">
        <v>68.230002999999996</v>
      </c>
      <c r="D470" s="9">
        <v>38.169998</v>
      </c>
      <c r="E470" s="10"/>
      <c r="F470" s="13">
        <v>467</v>
      </c>
      <c r="G470" s="2">
        <v>44141</v>
      </c>
      <c r="H470" s="14">
        <f t="shared" si="155"/>
        <v>-9.2343670080389465E-3</v>
      </c>
      <c r="I470" s="14">
        <f t="shared" si="156"/>
        <v>-2.4610346919515663E-2</v>
      </c>
      <c r="J470" s="14">
        <f t="shared" si="157"/>
        <v>-3.5010037651384683E-2</v>
      </c>
      <c r="K470" s="22">
        <v>467</v>
      </c>
      <c r="L470" s="12"/>
      <c r="Q470" s="15">
        <f t="shared" si="158"/>
        <v>467</v>
      </c>
      <c r="R470" s="2">
        <f t="shared" si="154"/>
        <v>44141</v>
      </c>
      <c r="S470" s="9">
        <f t="shared" ca="1" si="159"/>
        <v>-9.2343670080389465E-3</v>
      </c>
      <c r="T470" s="9">
        <f t="shared" ca="1" si="160"/>
        <v>-2.4610346919515663E-2</v>
      </c>
      <c r="U470" s="9">
        <f t="shared" ca="1" si="161"/>
        <v>-3.5010037651384683E-2</v>
      </c>
      <c r="AB470" s="33" t="e">
        <f t="shared" ca="1" si="167"/>
        <v>#N/A</v>
      </c>
      <c r="AC470" s="34" t="e">
        <f t="shared" ca="1" si="168"/>
        <v>#N/A</v>
      </c>
      <c r="AD470" s="34" t="e">
        <f t="shared" ca="1" si="169"/>
        <v>#N/A</v>
      </c>
      <c r="AE470" s="33" t="e">
        <f t="shared" ca="1" si="170"/>
        <v>#N/A</v>
      </c>
      <c r="AF470" s="34" t="e">
        <f t="shared" ca="1" si="162"/>
        <v>#N/A</v>
      </c>
      <c r="AG470" s="34" t="e">
        <f t="shared" ca="1" si="163"/>
        <v>#N/A</v>
      </c>
      <c r="AH470" s="34" t="e">
        <f t="shared" ca="1" si="164"/>
        <v>#N/A</v>
      </c>
      <c r="AI470" s="33" t="e">
        <f t="shared" ca="1" si="171"/>
        <v>#N/A</v>
      </c>
      <c r="AJ470" s="34" t="e">
        <f t="shared" ca="1" si="172"/>
        <v>#N/A</v>
      </c>
      <c r="AK470" s="34" t="e">
        <f t="shared" ca="1" si="165"/>
        <v>#N/A</v>
      </c>
      <c r="AL470" s="34" t="e">
        <f t="shared" ca="1" si="166"/>
        <v>#N/A</v>
      </c>
      <c r="AM470" s="33" t="e">
        <f t="shared" ca="1" si="173"/>
        <v>#N/A</v>
      </c>
      <c r="AN470" s="34" t="e">
        <f t="shared" ca="1" si="174"/>
        <v>#N/A</v>
      </c>
    </row>
    <row r="471" spans="1:40" x14ac:dyDescent="0.3">
      <c r="A471" s="2">
        <v>44144</v>
      </c>
      <c r="B471" s="9">
        <v>62.110000999999997</v>
      </c>
      <c r="C471" s="9">
        <v>81.739998</v>
      </c>
      <c r="D471" s="9">
        <v>50.080002</v>
      </c>
      <c r="E471" s="10"/>
      <c r="F471" s="13">
        <v>468</v>
      </c>
      <c r="G471" s="2">
        <v>44144</v>
      </c>
      <c r="H471" s="14">
        <f t="shared" si="155"/>
        <v>0.1826758072589835</v>
      </c>
      <c r="I471" s="14">
        <f t="shared" si="156"/>
        <v>0.18065905887204622</v>
      </c>
      <c r="J471" s="14">
        <f t="shared" si="157"/>
        <v>0.27157195236797815</v>
      </c>
      <c r="K471" s="22">
        <v>468</v>
      </c>
      <c r="L471" s="12"/>
      <c r="Q471" s="15">
        <f t="shared" si="158"/>
        <v>468</v>
      </c>
      <c r="R471" s="2">
        <f t="shared" si="154"/>
        <v>44144</v>
      </c>
      <c r="S471" s="9">
        <f t="shared" ca="1" si="159"/>
        <v>0.1826758072589835</v>
      </c>
      <c r="T471" s="9">
        <f t="shared" ca="1" si="160"/>
        <v>0.18065905887204622</v>
      </c>
      <c r="U471" s="9">
        <f t="shared" ca="1" si="161"/>
        <v>0.27157195236797815</v>
      </c>
      <c r="AB471" s="33" t="e">
        <f t="shared" ca="1" si="167"/>
        <v>#N/A</v>
      </c>
      <c r="AC471" s="34" t="e">
        <f t="shared" ca="1" si="168"/>
        <v>#N/A</v>
      </c>
      <c r="AD471" s="34" t="e">
        <f t="shared" ca="1" si="169"/>
        <v>#N/A</v>
      </c>
      <c r="AE471" s="33" t="e">
        <f t="shared" ca="1" si="170"/>
        <v>#N/A</v>
      </c>
      <c r="AF471" s="34" t="e">
        <f t="shared" ca="1" si="162"/>
        <v>#N/A</v>
      </c>
      <c r="AG471" s="34" t="e">
        <f t="shared" ca="1" si="163"/>
        <v>#N/A</v>
      </c>
      <c r="AH471" s="34" t="e">
        <f t="shared" ca="1" si="164"/>
        <v>#N/A</v>
      </c>
      <c r="AI471" s="33" t="e">
        <f t="shared" ca="1" si="171"/>
        <v>#N/A</v>
      </c>
      <c r="AJ471" s="34" t="e">
        <f t="shared" ca="1" si="172"/>
        <v>#N/A</v>
      </c>
      <c r="AK471" s="34" t="e">
        <f t="shared" ca="1" si="165"/>
        <v>#N/A</v>
      </c>
      <c r="AL471" s="34" t="e">
        <f t="shared" ca="1" si="166"/>
        <v>#N/A</v>
      </c>
      <c r="AM471" s="33" t="e">
        <f t="shared" ca="1" si="173"/>
        <v>#N/A</v>
      </c>
      <c r="AN471" s="34" t="e">
        <f t="shared" ca="1" si="174"/>
        <v>#N/A</v>
      </c>
    </row>
    <row r="472" spans="1:40" x14ac:dyDescent="0.3">
      <c r="A472" s="2">
        <v>44145</v>
      </c>
      <c r="B472" s="9">
        <v>64.029999000000004</v>
      </c>
      <c r="C472" s="9">
        <v>81.349997999999999</v>
      </c>
      <c r="D472" s="9">
        <v>49.959999000000003</v>
      </c>
      <c r="E472" s="10"/>
      <c r="F472" s="13">
        <v>469</v>
      </c>
      <c r="G472" s="2">
        <v>44145</v>
      </c>
      <c r="H472" s="14">
        <f t="shared" si="155"/>
        <v>3.0444685241353114E-2</v>
      </c>
      <c r="I472" s="14">
        <f t="shared" si="156"/>
        <v>-4.7826445883856509E-3</v>
      </c>
      <c r="J472" s="14">
        <f t="shared" si="157"/>
        <v>-2.3991014865805357E-3</v>
      </c>
      <c r="K472" s="22">
        <v>469</v>
      </c>
      <c r="L472" s="12"/>
      <c r="Q472" s="15">
        <f t="shared" si="158"/>
        <v>469</v>
      </c>
      <c r="R472" s="2">
        <f t="shared" si="154"/>
        <v>44145</v>
      </c>
      <c r="S472" s="9">
        <f t="shared" ca="1" si="159"/>
        <v>3.0444685241353114E-2</v>
      </c>
      <c r="T472" s="9">
        <f t="shared" ca="1" si="160"/>
        <v>-4.7826445883856509E-3</v>
      </c>
      <c r="U472" s="9">
        <f t="shared" ca="1" si="161"/>
        <v>-2.3991014865805357E-3</v>
      </c>
      <c r="AB472" s="33" t="e">
        <f t="shared" ca="1" si="167"/>
        <v>#N/A</v>
      </c>
      <c r="AC472" s="34" t="e">
        <f t="shared" ca="1" si="168"/>
        <v>#N/A</v>
      </c>
      <c r="AD472" s="34" t="e">
        <f t="shared" ca="1" si="169"/>
        <v>#N/A</v>
      </c>
      <c r="AE472" s="33" t="e">
        <f t="shared" ca="1" si="170"/>
        <v>#N/A</v>
      </c>
      <c r="AF472" s="34" t="e">
        <f t="shared" ca="1" si="162"/>
        <v>#N/A</v>
      </c>
      <c r="AG472" s="34" t="e">
        <f t="shared" ca="1" si="163"/>
        <v>#N/A</v>
      </c>
      <c r="AH472" s="34" t="e">
        <f t="shared" ca="1" si="164"/>
        <v>#N/A</v>
      </c>
      <c r="AI472" s="33" t="e">
        <f t="shared" ca="1" si="171"/>
        <v>#N/A</v>
      </c>
      <c r="AJ472" s="34" t="e">
        <f t="shared" ca="1" si="172"/>
        <v>#N/A</v>
      </c>
      <c r="AK472" s="34" t="e">
        <f t="shared" ca="1" si="165"/>
        <v>#N/A</v>
      </c>
      <c r="AL472" s="34" t="e">
        <f t="shared" ca="1" si="166"/>
        <v>#N/A</v>
      </c>
      <c r="AM472" s="33" t="e">
        <f t="shared" ca="1" si="173"/>
        <v>#N/A</v>
      </c>
      <c r="AN472" s="34" t="e">
        <f t="shared" ca="1" si="174"/>
        <v>#N/A</v>
      </c>
    </row>
    <row r="473" spans="1:40" x14ac:dyDescent="0.3">
      <c r="A473" s="2">
        <v>44146</v>
      </c>
      <c r="B473" s="9">
        <v>62.970001000000003</v>
      </c>
      <c r="C473" s="9">
        <v>76.209998999999996</v>
      </c>
      <c r="D473" s="9">
        <v>49.790000999999997</v>
      </c>
      <c r="E473" s="10"/>
      <c r="F473" s="13">
        <v>470</v>
      </c>
      <c r="G473" s="2">
        <v>44146</v>
      </c>
      <c r="H473" s="14">
        <f t="shared" si="155"/>
        <v>-1.6693269531802255E-2</v>
      </c>
      <c r="I473" s="14">
        <f t="shared" si="156"/>
        <v>-6.5268134523532098E-2</v>
      </c>
      <c r="J473" s="14">
        <f t="shared" si="157"/>
        <v>-3.4084845029186605E-3</v>
      </c>
      <c r="K473" s="22">
        <v>470</v>
      </c>
      <c r="L473" s="12"/>
      <c r="Q473" s="15">
        <f t="shared" si="158"/>
        <v>470</v>
      </c>
      <c r="R473" s="2">
        <f t="shared" si="154"/>
        <v>44146</v>
      </c>
      <c r="S473" s="9">
        <f t="shared" ca="1" si="159"/>
        <v>-1.6693269531802255E-2</v>
      </c>
      <c r="T473" s="9">
        <f t="shared" ca="1" si="160"/>
        <v>-6.5268134523532098E-2</v>
      </c>
      <c r="U473" s="9">
        <f t="shared" ca="1" si="161"/>
        <v>-3.4084845029186605E-3</v>
      </c>
      <c r="AB473" s="33" t="e">
        <f t="shared" ca="1" si="167"/>
        <v>#N/A</v>
      </c>
      <c r="AC473" s="34" t="e">
        <f t="shared" ca="1" si="168"/>
        <v>#N/A</v>
      </c>
      <c r="AD473" s="34" t="e">
        <f t="shared" ca="1" si="169"/>
        <v>#N/A</v>
      </c>
      <c r="AE473" s="33" t="e">
        <f t="shared" ca="1" si="170"/>
        <v>#N/A</v>
      </c>
      <c r="AF473" s="34" t="e">
        <f t="shared" ca="1" si="162"/>
        <v>#N/A</v>
      </c>
      <c r="AG473" s="34" t="e">
        <f t="shared" ca="1" si="163"/>
        <v>#N/A</v>
      </c>
      <c r="AH473" s="34" t="e">
        <f t="shared" ca="1" si="164"/>
        <v>#N/A</v>
      </c>
      <c r="AI473" s="33" t="e">
        <f t="shared" ca="1" si="171"/>
        <v>#N/A</v>
      </c>
      <c r="AJ473" s="34" t="e">
        <f t="shared" ca="1" si="172"/>
        <v>#N/A</v>
      </c>
      <c r="AK473" s="34" t="e">
        <f t="shared" ca="1" si="165"/>
        <v>#N/A</v>
      </c>
      <c r="AL473" s="34" t="e">
        <f t="shared" ca="1" si="166"/>
        <v>#N/A</v>
      </c>
      <c r="AM473" s="33" t="e">
        <f t="shared" ca="1" si="173"/>
        <v>#N/A</v>
      </c>
      <c r="AN473" s="34" t="e">
        <f t="shared" ca="1" si="174"/>
        <v>#N/A</v>
      </c>
    </row>
    <row r="474" spans="1:40" x14ac:dyDescent="0.3">
      <c r="A474" s="2">
        <v>44147</v>
      </c>
      <c r="B474" s="9">
        <v>61.490001999999997</v>
      </c>
      <c r="C474" s="9">
        <v>74.269997000000004</v>
      </c>
      <c r="D474" s="9">
        <v>47.279998999999997</v>
      </c>
      <c r="E474" s="10"/>
      <c r="F474" s="13">
        <v>471</v>
      </c>
      <c r="G474" s="2">
        <v>44147</v>
      </c>
      <c r="H474" s="14">
        <f t="shared" si="155"/>
        <v>-2.3783845890237618E-2</v>
      </c>
      <c r="I474" s="14">
        <f t="shared" si="156"/>
        <v>-2.57856132683442E-2</v>
      </c>
      <c r="J474" s="14">
        <f t="shared" si="157"/>
        <v>-5.1726828791195154E-2</v>
      </c>
      <c r="K474" s="22">
        <v>471</v>
      </c>
      <c r="L474" s="12"/>
      <c r="Q474" s="15">
        <f t="shared" si="158"/>
        <v>471</v>
      </c>
      <c r="R474" s="2">
        <f t="shared" si="154"/>
        <v>44147</v>
      </c>
      <c r="S474" s="9">
        <f t="shared" ca="1" si="159"/>
        <v>-2.3783845890237618E-2</v>
      </c>
      <c r="T474" s="9">
        <f t="shared" ca="1" si="160"/>
        <v>-2.57856132683442E-2</v>
      </c>
      <c r="U474" s="9">
        <f t="shared" ca="1" si="161"/>
        <v>-5.1726828791195154E-2</v>
      </c>
      <c r="AB474" s="33" t="e">
        <f t="shared" ca="1" si="167"/>
        <v>#N/A</v>
      </c>
      <c r="AC474" s="34" t="e">
        <f t="shared" ca="1" si="168"/>
        <v>#N/A</v>
      </c>
      <c r="AD474" s="34" t="e">
        <f t="shared" ca="1" si="169"/>
        <v>#N/A</v>
      </c>
      <c r="AE474" s="33" t="e">
        <f t="shared" ca="1" si="170"/>
        <v>#N/A</v>
      </c>
      <c r="AF474" s="34" t="e">
        <f t="shared" ca="1" si="162"/>
        <v>#N/A</v>
      </c>
      <c r="AG474" s="34" t="e">
        <f t="shared" ca="1" si="163"/>
        <v>#N/A</v>
      </c>
      <c r="AH474" s="34" t="e">
        <f t="shared" ca="1" si="164"/>
        <v>#N/A</v>
      </c>
      <c r="AI474" s="33" t="e">
        <f t="shared" ca="1" si="171"/>
        <v>#N/A</v>
      </c>
      <c r="AJ474" s="34" t="e">
        <f t="shared" ca="1" si="172"/>
        <v>#N/A</v>
      </c>
      <c r="AK474" s="34" t="e">
        <f t="shared" ca="1" si="165"/>
        <v>#N/A</v>
      </c>
      <c r="AL474" s="34" t="e">
        <f t="shared" ca="1" si="166"/>
        <v>#N/A</v>
      </c>
      <c r="AM474" s="33" t="e">
        <f t="shared" ca="1" si="173"/>
        <v>#N/A</v>
      </c>
      <c r="AN474" s="34" t="e">
        <f t="shared" ca="1" si="174"/>
        <v>#N/A</v>
      </c>
    </row>
    <row r="475" spans="1:40" x14ac:dyDescent="0.3">
      <c r="A475" s="2">
        <v>44148</v>
      </c>
      <c r="B475" s="9">
        <v>63.189999</v>
      </c>
      <c r="C475" s="9">
        <v>77.610000999999997</v>
      </c>
      <c r="D475" s="9">
        <v>50.919998</v>
      </c>
      <c r="E475" s="10"/>
      <c r="F475" s="13">
        <v>472</v>
      </c>
      <c r="G475" s="2">
        <v>44148</v>
      </c>
      <c r="H475" s="14">
        <f t="shared" si="155"/>
        <v>2.7271452469083208E-2</v>
      </c>
      <c r="I475" s="14">
        <f t="shared" si="156"/>
        <v>4.3989236462940583E-2</v>
      </c>
      <c r="J475" s="14">
        <f t="shared" si="157"/>
        <v>7.4168382464657109E-2</v>
      </c>
      <c r="K475" s="22">
        <v>472</v>
      </c>
      <c r="L475" s="12"/>
      <c r="Q475" s="15">
        <f t="shared" si="158"/>
        <v>472</v>
      </c>
      <c r="R475" s="2">
        <f t="shared" si="154"/>
        <v>44148</v>
      </c>
      <c r="S475" s="9">
        <f t="shared" ca="1" si="159"/>
        <v>2.7271452469083208E-2</v>
      </c>
      <c r="T475" s="9">
        <f t="shared" ca="1" si="160"/>
        <v>4.3989236462940583E-2</v>
      </c>
      <c r="U475" s="9">
        <f t="shared" ca="1" si="161"/>
        <v>7.4168382464657109E-2</v>
      </c>
      <c r="AB475" s="33" t="e">
        <f t="shared" ca="1" si="167"/>
        <v>#N/A</v>
      </c>
      <c r="AC475" s="34" t="e">
        <f t="shared" ca="1" si="168"/>
        <v>#N/A</v>
      </c>
      <c r="AD475" s="34" t="e">
        <f t="shared" ca="1" si="169"/>
        <v>#N/A</v>
      </c>
      <c r="AE475" s="33" t="e">
        <f t="shared" ca="1" si="170"/>
        <v>#N/A</v>
      </c>
      <c r="AF475" s="34" t="e">
        <f t="shared" ca="1" si="162"/>
        <v>#N/A</v>
      </c>
      <c r="AG475" s="34" t="e">
        <f t="shared" ca="1" si="163"/>
        <v>#N/A</v>
      </c>
      <c r="AH475" s="34" t="e">
        <f t="shared" ca="1" si="164"/>
        <v>#N/A</v>
      </c>
      <c r="AI475" s="33" t="e">
        <f t="shared" ca="1" si="171"/>
        <v>#N/A</v>
      </c>
      <c r="AJ475" s="34" t="e">
        <f t="shared" ca="1" si="172"/>
        <v>#N/A</v>
      </c>
      <c r="AK475" s="34" t="e">
        <f t="shared" ca="1" si="165"/>
        <v>#N/A</v>
      </c>
      <c r="AL475" s="34" t="e">
        <f t="shared" ca="1" si="166"/>
        <v>#N/A</v>
      </c>
      <c r="AM475" s="33" t="e">
        <f t="shared" ca="1" si="173"/>
        <v>#N/A</v>
      </c>
      <c r="AN475" s="34" t="e">
        <f t="shared" ca="1" si="174"/>
        <v>#N/A</v>
      </c>
    </row>
    <row r="476" spans="1:40" x14ac:dyDescent="0.3">
      <c r="A476" s="2">
        <v>44151</v>
      </c>
      <c r="B476" s="9">
        <v>66.180000000000007</v>
      </c>
      <c r="C476" s="9">
        <v>79.339995999999999</v>
      </c>
      <c r="D476" s="9">
        <v>55.669998</v>
      </c>
      <c r="E476" s="10"/>
      <c r="F476" s="13">
        <v>473</v>
      </c>
      <c r="G476" s="2">
        <v>44151</v>
      </c>
      <c r="H476" s="14">
        <f t="shared" si="155"/>
        <v>4.6232257533391288E-2</v>
      </c>
      <c r="I476" s="14">
        <f t="shared" si="156"/>
        <v>2.2046066919266579E-2</v>
      </c>
      <c r="J476" s="14">
        <f t="shared" si="157"/>
        <v>8.9185631857516101E-2</v>
      </c>
      <c r="K476" s="22">
        <v>473</v>
      </c>
      <c r="L476" s="12"/>
      <c r="Q476" s="15">
        <f t="shared" si="158"/>
        <v>473</v>
      </c>
      <c r="R476" s="2">
        <f t="shared" si="154"/>
        <v>44151</v>
      </c>
      <c r="S476" s="9">
        <f t="shared" ca="1" si="159"/>
        <v>4.6232257533391288E-2</v>
      </c>
      <c r="T476" s="9">
        <f t="shared" ca="1" si="160"/>
        <v>2.2046066919266579E-2</v>
      </c>
      <c r="U476" s="9">
        <f t="shared" ca="1" si="161"/>
        <v>8.9185631857516101E-2</v>
      </c>
      <c r="AB476" s="33" t="e">
        <f t="shared" ca="1" si="167"/>
        <v>#N/A</v>
      </c>
      <c r="AC476" s="34" t="e">
        <f t="shared" ca="1" si="168"/>
        <v>#N/A</v>
      </c>
      <c r="AD476" s="34" t="e">
        <f t="shared" ca="1" si="169"/>
        <v>#N/A</v>
      </c>
      <c r="AE476" s="33" t="e">
        <f t="shared" ca="1" si="170"/>
        <v>#N/A</v>
      </c>
      <c r="AF476" s="34" t="e">
        <f t="shared" ca="1" si="162"/>
        <v>#N/A</v>
      </c>
      <c r="AG476" s="34" t="e">
        <f t="shared" ca="1" si="163"/>
        <v>#N/A</v>
      </c>
      <c r="AH476" s="34" t="e">
        <f t="shared" ca="1" si="164"/>
        <v>#N/A</v>
      </c>
      <c r="AI476" s="33" t="e">
        <f t="shared" ca="1" si="171"/>
        <v>#N/A</v>
      </c>
      <c r="AJ476" s="34" t="e">
        <f t="shared" ca="1" si="172"/>
        <v>#N/A</v>
      </c>
      <c r="AK476" s="34" t="e">
        <f t="shared" ca="1" si="165"/>
        <v>#N/A</v>
      </c>
      <c r="AL476" s="34" t="e">
        <f t="shared" ca="1" si="166"/>
        <v>#N/A</v>
      </c>
      <c r="AM476" s="33" t="e">
        <f t="shared" ca="1" si="173"/>
        <v>#N/A</v>
      </c>
      <c r="AN476" s="34" t="e">
        <f t="shared" ca="1" si="174"/>
        <v>#N/A</v>
      </c>
    </row>
    <row r="477" spans="1:40" x14ac:dyDescent="0.3">
      <c r="A477" s="2">
        <v>44152</v>
      </c>
      <c r="B477" s="9">
        <v>65.529999000000004</v>
      </c>
      <c r="C477" s="9">
        <v>84.099997999999999</v>
      </c>
      <c r="D477" s="9">
        <v>54.150002000000001</v>
      </c>
      <c r="E477" s="10"/>
      <c r="F477" s="13">
        <v>474</v>
      </c>
      <c r="G477" s="2">
        <v>44152</v>
      </c>
      <c r="H477" s="14">
        <f t="shared" si="155"/>
        <v>-9.8702647022469604E-3</v>
      </c>
      <c r="I477" s="14">
        <f t="shared" si="156"/>
        <v>5.8264178527437968E-2</v>
      </c>
      <c r="J477" s="14">
        <f t="shared" si="157"/>
        <v>-2.7683355887982933E-2</v>
      </c>
      <c r="K477" s="22">
        <v>474</v>
      </c>
      <c r="L477" s="12"/>
      <c r="Q477" s="15">
        <f t="shared" si="158"/>
        <v>474</v>
      </c>
      <c r="R477" s="2">
        <f t="shared" si="154"/>
        <v>44152</v>
      </c>
      <c r="S477" s="9">
        <f t="shared" ca="1" si="159"/>
        <v>-9.8702647022469604E-3</v>
      </c>
      <c r="T477" s="9">
        <f t="shared" ca="1" si="160"/>
        <v>5.8264178527437968E-2</v>
      </c>
      <c r="U477" s="9">
        <f t="shared" ca="1" si="161"/>
        <v>-2.7683355887982933E-2</v>
      </c>
      <c r="AB477" s="33" t="e">
        <f t="shared" ca="1" si="167"/>
        <v>#N/A</v>
      </c>
      <c r="AC477" s="34" t="e">
        <f t="shared" ca="1" si="168"/>
        <v>#N/A</v>
      </c>
      <c r="AD477" s="34" t="e">
        <f t="shared" ca="1" si="169"/>
        <v>#N/A</v>
      </c>
      <c r="AE477" s="33" t="e">
        <f t="shared" ca="1" si="170"/>
        <v>#N/A</v>
      </c>
      <c r="AF477" s="34" t="e">
        <f t="shared" ca="1" si="162"/>
        <v>#N/A</v>
      </c>
      <c r="AG477" s="34" t="e">
        <f t="shared" ca="1" si="163"/>
        <v>#N/A</v>
      </c>
      <c r="AH477" s="34" t="e">
        <f t="shared" ca="1" si="164"/>
        <v>#N/A</v>
      </c>
      <c r="AI477" s="33" t="e">
        <f t="shared" ca="1" si="171"/>
        <v>#N/A</v>
      </c>
      <c r="AJ477" s="34" t="e">
        <f t="shared" ca="1" si="172"/>
        <v>#N/A</v>
      </c>
      <c r="AK477" s="34" t="e">
        <f t="shared" ca="1" si="165"/>
        <v>#N/A</v>
      </c>
      <c r="AL477" s="34" t="e">
        <f t="shared" ca="1" si="166"/>
        <v>#N/A</v>
      </c>
      <c r="AM477" s="33" t="e">
        <f t="shared" ca="1" si="173"/>
        <v>#N/A</v>
      </c>
      <c r="AN477" s="34" t="e">
        <f t="shared" ca="1" si="174"/>
        <v>#N/A</v>
      </c>
    </row>
    <row r="478" spans="1:40" x14ac:dyDescent="0.3">
      <c r="A478" s="2">
        <v>44153</v>
      </c>
      <c r="B478" s="9">
        <v>65.370002999999997</v>
      </c>
      <c r="C478" s="9">
        <v>81.739998</v>
      </c>
      <c r="D478" s="9">
        <v>51.25</v>
      </c>
      <c r="E478" s="10"/>
      <c r="F478" s="13">
        <v>475</v>
      </c>
      <c r="G478" s="2">
        <v>44153</v>
      </c>
      <c r="H478" s="14">
        <f t="shared" si="155"/>
        <v>-2.4445542739708723E-3</v>
      </c>
      <c r="I478" s="14">
        <f t="shared" si="156"/>
        <v>-2.8463089529383073E-2</v>
      </c>
      <c r="J478" s="14">
        <f t="shared" si="157"/>
        <v>-5.5042392362922701E-2</v>
      </c>
      <c r="K478" s="22">
        <v>475</v>
      </c>
      <c r="L478" s="12"/>
      <c r="Q478" s="15">
        <f t="shared" si="158"/>
        <v>475</v>
      </c>
      <c r="R478" s="2">
        <f t="shared" si="154"/>
        <v>44153</v>
      </c>
      <c r="S478" s="9">
        <f t="shared" ca="1" si="159"/>
        <v>-2.4445542739708723E-3</v>
      </c>
      <c r="T478" s="9">
        <f t="shared" ca="1" si="160"/>
        <v>-2.8463089529383073E-2</v>
      </c>
      <c r="U478" s="9">
        <f t="shared" ca="1" si="161"/>
        <v>-5.5042392362922701E-2</v>
      </c>
      <c r="AB478" s="33" t="e">
        <f t="shared" ca="1" si="167"/>
        <v>#N/A</v>
      </c>
      <c r="AC478" s="34" t="e">
        <f t="shared" ca="1" si="168"/>
        <v>#N/A</v>
      </c>
      <c r="AD478" s="34" t="e">
        <f t="shared" ca="1" si="169"/>
        <v>#N/A</v>
      </c>
      <c r="AE478" s="33" t="e">
        <f t="shared" ca="1" si="170"/>
        <v>#N/A</v>
      </c>
      <c r="AF478" s="34" t="e">
        <f t="shared" ca="1" si="162"/>
        <v>#N/A</v>
      </c>
      <c r="AG478" s="34" t="e">
        <f t="shared" ca="1" si="163"/>
        <v>#N/A</v>
      </c>
      <c r="AH478" s="34" t="e">
        <f t="shared" ca="1" si="164"/>
        <v>#N/A</v>
      </c>
      <c r="AI478" s="33" t="e">
        <f t="shared" ca="1" si="171"/>
        <v>#N/A</v>
      </c>
      <c r="AJ478" s="34" t="e">
        <f t="shared" ca="1" si="172"/>
        <v>#N/A</v>
      </c>
      <c r="AK478" s="34" t="e">
        <f t="shared" ca="1" si="165"/>
        <v>#N/A</v>
      </c>
      <c r="AL478" s="34" t="e">
        <f t="shared" ca="1" si="166"/>
        <v>#N/A</v>
      </c>
      <c r="AM478" s="33" t="e">
        <f t="shared" ca="1" si="173"/>
        <v>#N/A</v>
      </c>
      <c r="AN478" s="34" t="e">
        <f t="shared" ca="1" si="174"/>
        <v>#N/A</v>
      </c>
    </row>
    <row r="479" spans="1:40" x14ac:dyDescent="0.3">
      <c r="A479" s="2">
        <v>44154</v>
      </c>
      <c r="B479" s="9">
        <v>62.32</v>
      </c>
      <c r="C479" s="9">
        <v>80.589995999999999</v>
      </c>
      <c r="D479" s="9">
        <v>51.209999000000003</v>
      </c>
      <c r="E479" s="10"/>
      <c r="F479" s="13">
        <v>476</v>
      </c>
      <c r="G479" s="2">
        <v>44154</v>
      </c>
      <c r="H479" s="14">
        <f t="shared" si="155"/>
        <v>-4.7781081954755576E-2</v>
      </c>
      <c r="I479" s="14">
        <f t="shared" si="156"/>
        <v>-1.4168930965837018E-2</v>
      </c>
      <c r="J479" s="14">
        <f t="shared" si="157"/>
        <v>-7.8081207149482284E-4</v>
      </c>
      <c r="K479" s="22">
        <v>476</v>
      </c>
      <c r="L479" s="12"/>
      <c r="Q479" s="15">
        <f t="shared" si="158"/>
        <v>476</v>
      </c>
      <c r="R479" s="2">
        <f t="shared" si="154"/>
        <v>44154</v>
      </c>
      <c r="S479" s="9">
        <f t="shared" ca="1" si="159"/>
        <v>-4.7781081954755576E-2</v>
      </c>
      <c r="T479" s="9">
        <f t="shared" ca="1" si="160"/>
        <v>-1.4168930965837018E-2</v>
      </c>
      <c r="U479" s="9">
        <f t="shared" ca="1" si="161"/>
        <v>-7.8081207149482284E-4</v>
      </c>
      <c r="AB479" s="33" t="e">
        <f t="shared" ca="1" si="167"/>
        <v>#N/A</v>
      </c>
      <c r="AC479" s="34" t="e">
        <f t="shared" ca="1" si="168"/>
        <v>#N/A</v>
      </c>
      <c r="AD479" s="34" t="e">
        <f t="shared" ca="1" si="169"/>
        <v>#N/A</v>
      </c>
      <c r="AE479" s="33" t="e">
        <f t="shared" ca="1" si="170"/>
        <v>#N/A</v>
      </c>
      <c r="AF479" s="34" t="e">
        <f t="shared" ca="1" si="162"/>
        <v>#N/A</v>
      </c>
      <c r="AG479" s="34" t="e">
        <f t="shared" ca="1" si="163"/>
        <v>#N/A</v>
      </c>
      <c r="AH479" s="34" t="e">
        <f t="shared" ca="1" si="164"/>
        <v>#N/A</v>
      </c>
      <c r="AI479" s="33" t="e">
        <f t="shared" ca="1" si="171"/>
        <v>#N/A</v>
      </c>
      <c r="AJ479" s="34" t="e">
        <f t="shared" ca="1" si="172"/>
        <v>#N/A</v>
      </c>
      <c r="AK479" s="34" t="e">
        <f t="shared" ca="1" si="165"/>
        <v>#N/A</v>
      </c>
      <c r="AL479" s="34" t="e">
        <f t="shared" ca="1" si="166"/>
        <v>#N/A</v>
      </c>
      <c r="AM479" s="33" t="e">
        <f t="shared" ca="1" si="173"/>
        <v>#N/A</v>
      </c>
      <c r="AN479" s="34" t="e">
        <f t="shared" ca="1" si="174"/>
        <v>#N/A</v>
      </c>
    </row>
    <row r="480" spans="1:40" x14ac:dyDescent="0.3">
      <c r="A480" s="2">
        <v>44155</v>
      </c>
      <c r="B480" s="9">
        <v>60.990001999999997</v>
      </c>
      <c r="C480" s="9">
        <v>78.220000999999996</v>
      </c>
      <c r="D480" s="9">
        <v>50.82</v>
      </c>
      <c r="E480" s="10"/>
      <c r="F480" s="13">
        <v>477</v>
      </c>
      <c r="G480" s="2">
        <v>44155</v>
      </c>
      <c r="H480" s="14">
        <f t="shared" si="155"/>
        <v>-2.1572452461867425E-2</v>
      </c>
      <c r="I480" s="14">
        <f t="shared" si="156"/>
        <v>-2.9849140590647048E-2</v>
      </c>
      <c r="J480" s="14">
        <f t="shared" si="157"/>
        <v>-7.644828055004764E-3</v>
      </c>
      <c r="K480" s="22">
        <v>477</v>
      </c>
      <c r="L480" s="12"/>
      <c r="Q480" s="15">
        <f t="shared" si="158"/>
        <v>477</v>
      </c>
      <c r="R480" s="2">
        <f t="shared" si="154"/>
        <v>44155</v>
      </c>
      <c r="S480" s="9">
        <f t="shared" ca="1" si="159"/>
        <v>-2.1572452461867425E-2</v>
      </c>
      <c r="T480" s="9">
        <f t="shared" ca="1" si="160"/>
        <v>-2.9849140590647048E-2</v>
      </c>
      <c r="U480" s="9">
        <f t="shared" ca="1" si="161"/>
        <v>-7.644828055004764E-3</v>
      </c>
      <c r="AB480" s="33" t="e">
        <f t="shared" ca="1" si="167"/>
        <v>#N/A</v>
      </c>
      <c r="AC480" s="34" t="e">
        <f t="shared" ca="1" si="168"/>
        <v>#N/A</v>
      </c>
      <c r="AD480" s="34" t="e">
        <f t="shared" ca="1" si="169"/>
        <v>#N/A</v>
      </c>
      <c r="AE480" s="33" t="e">
        <f t="shared" ca="1" si="170"/>
        <v>#N/A</v>
      </c>
      <c r="AF480" s="34" t="e">
        <f t="shared" ca="1" si="162"/>
        <v>#N/A</v>
      </c>
      <c r="AG480" s="34" t="e">
        <f t="shared" ca="1" si="163"/>
        <v>#N/A</v>
      </c>
      <c r="AH480" s="34" t="e">
        <f t="shared" ca="1" si="164"/>
        <v>#N/A</v>
      </c>
      <c r="AI480" s="33" t="e">
        <f t="shared" ca="1" si="171"/>
        <v>#N/A</v>
      </c>
      <c r="AJ480" s="34" t="e">
        <f t="shared" ca="1" si="172"/>
        <v>#N/A</v>
      </c>
      <c r="AK480" s="34" t="e">
        <f t="shared" ca="1" si="165"/>
        <v>#N/A</v>
      </c>
      <c r="AL480" s="34" t="e">
        <f t="shared" ca="1" si="166"/>
        <v>#N/A</v>
      </c>
      <c r="AM480" s="33" t="e">
        <f t="shared" ca="1" si="173"/>
        <v>#N/A</v>
      </c>
      <c r="AN480" s="34" t="e">
        <f t="shared" ca="1" si="174"/>
        <v>#N/A</v>
      </c>
    </row>
    <row r="481" spans="1:40" x14ac:dyDescent="0.3">
      <c r="A481" s="2">
        <v>44158</v>
      </c>
      <c r="B481" s="9">
        <v>65.410004000000001</v>
      </c>
      <c r="C481" s="9">
        <v>83.339995999999999</v>
      </c>
      <c r="D481" s="9">
        <v>56.09</v>
      </c>
      <c r="E481" s="10"/>
      <c r="F481" s="13">
        <v>478</v>
      </c>
      <c r="G481" s="2">
        <v>44158</v>
      </c>
      <c r="H481" s="14">
        <f t="shared" si="155"/>
        <v>6.9965264025223101E-2</v>
      </c>
      <c r="I481" s="14">
        <f t="shared" si="156"/>
        <v>6.3403195886323926E-2</v>
      </c>
      <c r="J481" s="14">
        <f t="shared" si="157"/>
        <v>9.8667565628227677E-2</v>
      </c>
      <c r="K481" s="22">
        <v>478</v>
      </c>
      <c r="L481" s="12"/>
      <c r="Q481" s="15">
        <f t="shared" si="158"/>
        <v>478</v>
      </c>
      <c r="R481" s="2">
        <f t="shared" si="154"/>
        <v>44158</v>
      </c>
      <c r="S481" s="9">
        <f t="shared" ca="1" si="159"/>
        <v>6.9965264025223101E-2</v>
      </c>
      <c r="T481" s="9">
        <f t="shared" ca="1" si="160"/>
        <v>6.3403195886323926E-2</v>
      </c>
      <c r="U481" s="9">
        <f t="shared" ca="1" si="161"/>
        <v>9.8667565628227677E-2</v>
      </c>
      <c r="AB481" s="33" t="e">
        <f t="shared" ca="1" si="167"/>
        <v>#N/A</v>
      </c>
      <c r="AC481" s="34" t="e">
        <f t="shared" ca="1" si="168"/>
        <v>#N/A</v>
      </c>
      <c r="AD481" s="34" t="e">
        <f t="shared" ca="1" si="169"/>
        <v>#N/A</v>
      </c>
      <c r="AE481" s="33" t="e">
        <f t="shared" ca="1" si="170"/>
        <v>#N/A</v>
      </c>
      <c r="AF481" s="34" t="e">
        <f t="shared" ca="1" si="162"/>
        <v>#N/A</v>
      </c>
      <c r="AG481" s="34" t="e">
        <f t="shared" ca="1" si="163"/>
        <v>#N/A</v>
      </c>
      <c r="AH481" s="34" t="e">
        <f t="shared" ca="1" si="164"/>
        <v>#N/A</v>
      </c>
      <c r="AI481" s="33" t="e">
        <f t="shared" ca="1" si="171"/>
        <v>#N/A</v>
      </c>
      <c r="AJ481" s="34" t="e">
        <f t="shared" ca="1" si="172"/>
        <v>#N/A</v>
      </c>
      <c r="AK481" s="34" t="e">
        <f t="shared" ca="1" si="165"/>
        <v>#N/A</v>
      </c>
      <c r="AL481" s="34" t="e">
        <f t="shared" ca="1" si="166"/>
        <v>#N/A</v>
      </c>
      <c r="AM481" s="33" t="e">
        <f t="shared" ca="1" si="173"/>
        <v>#N/A</v>
      </c>
      <c r="AN481" s="34" t="e">
        <f t="shared" ca="1" si="174"/>
        <v>#N/A</v>
      </c>
    </row>
    <row r="482" spans="1:40" x14ac:dyDescent="0.3">
      <c r="A482" s="2">
        <v>44159</v>
      </c>
      <c r="B482" s="9">
        <v>66.519997000000004</v>
      </c>
      <c r="C482" s="9">
        <v>89.029999000000004</v>
      </c>
      <c r="D482" s="9">
        <v>58.490001999999997</v>
      </c>
      <c r="E482" s="10"/>
      <c r="F482" s="13">
        <v>479</v>
      </c>
      <c r="G482" s="2">
        <v>44159</v>
      </c>
      <c r="H482" s="14">
        <f t="shared" si="155"/>
        <v>1.6827396099659168E-2</v>
      </c>
      <c r="I482" s="14">
        <f t="shared" si="156"/>
        <v>6.6044802355264998E-2</v>
      </c>
      <c r="J482" s="14">
        <f t="shared" si="157"/>
        <v>4.1898290128567404E-2</v>
      </c>
      <c r="K482" s="22">
        <v>479</v>
      </c>
      <c r="L482" s="12"/>
      <c r="Q482" s="15">
        <f t="shared" si="158"/>
        <v>479</v>
      </c>
      <c r="R482" s="2">
        <f t="shared" si="154"/>
        <v>44159</v>
      </c>
      <c r="S482" s="9">
        <f t="shared" ca="1" si="159"/>
        <v>1.6827396099659168E-2</v>
      </c>
      <c r="T482" s="9">
        <f t="shared" ca="1" si="160"/>
        <v>6.6044802355264998E-2</v>
      </c>
      <c r="U482" s="9">
        <f t="shared" ca="1" si="161"/>
        <v>4.1898290128567404E-2</v>
      </c>
      <c r="AB482" s="33" t="e">
        <f t="shared" ca="1" si="167"/>
        <v>#N/A</v>
      </c>
      <c r="AC482" s="34" t="e">
        <f t="shared" ca="1" si="168"/>
        <v>#N/A</v>
      </c>
      <c r="AD482" s="34" t="e">
        <f t="shared" ca="1" si="169"/>
        <v>#N/A</v>
      </c>
      <c r="AE482" s="33" t="e">
        <f t="shared" ca="1" si="170"/>
        <v>#N/A</v>
      </c>
      <c r="AF482" s="34" t="e">
        <f t="shared" ca="1" si="162"/>
        <v>#N/A</v>
      </c>
      <c r="AG482" s="34" t="e">
        <f t="shared" ca="1" si="163"/>
        <v>#N/A</v>
      </c>
      <c r="AH482" s="34" t="e">
        <f t="shared" ca="1" si="164"/>
        <v>#N/A</v>
      </c>
      <c r="AI482" s="33" t="e">
        <f t="shared" ca="1" si="171"/>
        <v>#N/A</v>
      </c>
      <c r="AJ482" s="34" t="e">
        <f t="shared" ca="1" si="172"/>
        <v>#N/A</v>
      </c>
      <c r="AK482" s="34" t="e">
        <f t="shared" ca="1" si="165"/>
        <v>#N/A</v>
      </c>
      <c r="AL482" s="34" t="e">
        <f t="shared" ca="1" si="166"/>
        <v>#N/A</v>
      </c>
      <c r="AM482" s="33" t="e">
        <f t="shared" ca="1" si="173"/>
        <v>#N/A</v>
      </c>
      <c r="AN482" s="34" t="e">
        <f t="shared" ca="1" si="174"/>
        <v>#N/A</v>
      </c>
    </row>
    <row r="483" spans="1:40" x14ac:dyDescent="0.3">
      <c r="A483" s="2">
        <v>44160</v>
      </c>
      <c r="B483" s="9">
        <v>65.830001999999993</v>
      </c>
      <c r="C483" s="9">
        <v>88.029999000000004</v>
      </c>
      <c r="D483" s="9">
        <v>56.43</v>
      </c>
      <c r="E483" s="10"/>
      <c r="F483" s="13">
        <v>480</v>
      </c>
      <c r="G483" s="2">
        <v>44160</v>
      </c>
      <c r="H483" s="14">
        <f t="shared" si="155"/>
        <v>-1.0426917364437752E-2</v>
      </c>
      <c r="I483" s="14">
        <f t="shared" si="156"/>
        <v>-1.1295726240359783E-2</v>
      </c>
      <c r="J483" s="14">
        <f t="shared" si="157"/>
        <v>-3.5854901667764318E-2</v>
      </c>
      <c r="K483" s="22">
        <v>480</v>
      </c>
      <c r="L483" s="12"/>
      <c r="Q483" s="15">
        <f t="shared" si="158"/>
        <v>480</v>
      </c>
      <c r="R483" s="2">
        <f t="shared" si="154"/>
        <v>44160</v>
      </c>
      <c r="S483" s="9">
        <f t="shared" ca="1" si="159"/>
        <v>-1.0426917364437752E-2</v>
      </c>
      <c r="T483" s="9">
        <f t="shared" ca="1" si="160"/>
        <v>-1.1295726240359783E-2</v>
      </c>
      <c r="U483" s="9">
        <f t="shared" ca="1" si="161"/>
        <v>-3.5854901667764318E-2</v>
      </c>
      <c r="AB483" s="33" t="e">
        <f t="shared" ca="1" si="167"/>
        <v>#N/A</v>
      </c>
      <c r="AC483" s="34" t="e">
        <f t="shared" ca="1" si="168"/>
        <v>#N/A</v>
      </c>
      <c r="AD483" s="34" t="e">
        <f t="shared" ca="1" si="169"/>
        <v>#N/A</v>
      </c>
      <c r="AE483" s="33" t="e">
        <f t="shared" ca="1" si="170"/>
        <v>#N/A</v>
      </c>
      <c r="AF483" s="34" t="e">
        <f t="shared" ca="1" si="162"/>
        <v>#N/A</v>
      </c>
      <c r="AG483" s="34" t="e">
        <f t="shared" ca="1" si="163"/>
        <v>#N/A</v>
      </c>
      <c r="AH483" s="34" t="e">
        <f t="shared" ca="1" si="164"/>
        <v>#N/A</v>
      </c>
      <c r="AI483" s="33" t="e">
        <f t="shared" ca="1" si="171"/>
        <v>#N/A</v>
      </c>
      <c r="AJ483" s="34" t="e">
        <f t="shared" ca="1" si="172"/>
        <v>#N/A</v>
      </c>
      <c r="AK483" s="34" t="e">
        <f t="shared" ca="1" si="165"/>
        <v>#N/A</v>
      </c>
      <c r="AL483" s="34" t="e">
        <f t="shared" ca="1" si="166"/>
        <v>#N/A</v>
      </c>
      <c r="AM483" s="33" t="e">
        <f t="shared" ca="1" si="173"/>
        <v>#N/A</v>
      </c>
      <c r="AN483" s="34" t="e">
        <f t="shared" ca="1" si="174"/>
        <v>#N/A</v>
      </c>
    </row>
    <row r="484" spans="1:40" x14ac:dyDescent="0.3">
      <c r="A484" s="2">
        <v>44162</v>
      </c>
      <c r="B484" s="9">
        <v>65.510002</v>
      </c>
      <c r="C484" s="9">
        <v>87.980002999999996</v>
      </c>
      <c r="D484" s="9">
        <v>56.619999</v>
      </c>
      <c r="E484" s="10"/>
      <c r="F484" s="13">
        <v>481</v>
      </c>
      <c r="G484" s="2">
        <v>44162</v>
      </c>
      <c r="H484" s="14">
        <f t="shared" si="155"/>
        <v>-4.8728585875952675E-3</v>
      </c>
      <c r="I484" s="14">
        <f t="shared" si="156"/>
        <v>-5.6810409381919172E-4</v>
      </c>
      <c r="J484" s="14">
        <f t="shared" si="157"/>
        <v>3.3613300411010618E-3</v>
      </c>
      <c r="K484" s="22">
        <v>481</v>
      </c>
      <c r="L484" s="12"/>
      <c r="Q484" s="15">
        <f t="shared" si="158"/>
        <v>481</v>
      </c>
      <c r="R484" s="2">
        <f t="shared" si="154"/>
        <v>44162</v>
      </c>
      <c r="S484" s="9">
        <f t="shared" ca="1" si="159"/>
        <v>-4.8728585875952675E-3</v>
      </c>
      <c r="T484" s="9">
        <f t="shared" ca="1" si="160"/>
        <v>-5.6810409381919172E-4</v>
      </c>
      <c r="U484" s="9">
        <f t="shared" ca="1" si="161"/>
        <v>3.3613300411010618E-3</v>
      </c>
      <c r="AB484" s="33" t="e">
        <f t="shared" ca="1" si="167"/>
        <v>#N/A</v>
      </c>
      <c r="AC484" s="34" t="e">
        <f t="shared" ca="1" si="168"/>
        <v>#N/A</v>
      </c>
      <c r="AD484" s="34" t="e">
        <f t="shared" ca="1" si="169"/>
        <v>#N/A</v>
      </c>
      <c r="AE484" s="33" t="e">
        <f t="shared" ca="1" si="170"/>
        <v>#N/A</v>
      </c>
      <c r="AF484" s="34" t="e">
        <f t="shared" ca="1" si="162"/>
        <v>#N/A</v>
      </c>
      <c r="AG484" s="34" t="e">
        <f t="shared" ca="1" si="163"/>
        <v>#N/A</v>
      </c>
      <c r="AH484" s="34" t="e">
        <f t="shared" ca="1" si="164"/>
        <v>#N/A</v>
      </c>
      <c r="AI484" s="33" t="e">
        <f t="shared" ca="1" si="171"/>
        <v>#N/A</v>
      </c>
      <c r="AJ484" s="34" t="e">
        <f t="shared" ca="1" si="172"/>
        <v>#N/A</v>
      </c>
      <c r="AK484" s="34" t="e">
        <f t="shared" ca="1" si="165"/>
        <v>#N/A</v>
      </c>
      <c r="AL484" s="34" t="e">
        <f t="shared" ca="1" si="166"/>
        <v>#N/A</v>
      </c>
      <c r="AM484" s="33" t="e">
        <f t="shared" ca="1" si="173"/>
        <v>#N/A</v>
      </c>
      <c r="AN484" s="34" t="e">
        <f t="shared" ca="1" si="174"/>
        <v>#N/A</v>
      </c>
    </row>
    <row r="485" spans="1:40" x14ac:dyDescent="0.3">
      <c r="A485" s="2">
        <v>44165</v>
      </c>
      <c r="B485" s="9">
        <v>64.180000000000007</v>
      </c>
      <c r="C485" s="9">
        <v>85.75</v>
      </c>
      <c r="D485" s="9">
        <v>53.77</v>
      </c>
      <c r="E485" s="10"/>
      <c r="F485" s="13">
        <v>482</v>
      </c>
      <c r="G485" s="2">
        <v>44165</v>
      </c>
      <c r="H485" s="14">
        <f t="shared" si="155"/>
        <v>-2.0511197591763678E-2</v>
      </c>
      <c r="I485" s="14">
        <f t="shared" si="156"/>
        <v>-2.5673463973182511E-2</v>
      </c>
      <c r="J485" s="14">
        <f t="shared" si="157"/>
        <v>-5.1646571200562964E-2</v>
      </c>
      <c r="K485" s="22">
        <v>482</v>
      </c>
      <c r="L485" s="12"/>
      <c r="Q485" s="15">
        <f t="shared" si="158"/>
        <v>482</v>
      </c>
      <c r="R485" s="2">
        <f t="shared" si="154"/>
        <v>44165</v>
      </c>
      <c r="S485" s="9">
        <f t="shared" ca="1" si="159"/>
        <v>-2.0511197591763678E-2</v>
      </c>
      <c r="T485" s="9">
        <f t="shared" ca="1" si="160"/>
        <v>-2.5673463973182511E-2</v>
      </c>
      <c r="U485" s="9">
        <f t="shared" ca="1" si="161"/>
        <v>-5.1646571200562964E-2</v>
      </c>
      <c r="AB485" s="33" t="e">
        <f t="shared" ca="1" si="167"/>
        <v>#N/A</v>
      </c>
      <c r="AC485" s="34" t="e">
        <f t="shared" ca="1" si="168"/>
        <v>#N/A</v>
      </c>
      <c r="AD485" s="34" t="e">
        <f t="shared" ca="1" si="169"/>
        <v>#N/A</v>
      </c>
      <c r="AE485" s="33" t="e">
        <f t="shared" ca="1" si="170"/>
        <v>#N/A</v>
      </c>
      <c r="AF485" s="34" t="e">
        <f t="shared" ca="1" si="162"/>
        <v>#N/A</v>
      </c>
      <c r="AG485" s="34" t="e">
        <f t="shared" ca="1" si="163"/>
        <v>#N/A</v>
      </c>
      <c r="AH485" s="34" t="e">
        <f t="shared" ca="1" si="164"/>
        <v>#N/A</v>
      </c>
      <c r="AI485" s="33" t="e">
        <f t="shared" ca="1" si="171"/>
        <v>#N/A</v>
      </c>
      <c r="AJ485" s="34" t="e">
        <f t="shared" ca="1" si="172"/>
        <v>#N/A</v>
      </c>
      <c r="AK485" s="34" t="e">
        <f t="shared" ca="1" si="165"/>
        <v>#N/A</v>
      </c>
      <c r="AL485" s="34" t="e">
        <f t="shared" ca="1" si="166"/>
        <v>#N/A</v>
      </c>
      <c r="AM485" s="33" t="e">
        <f t="shared" ca="1" si="173"/>
        <v>#N/A</v>
      </c>
      <c r="AN485" s="34" t="e">
        <f t="shared" ca="1" si="174"/>
        <v>#N/A</v>
      </c>
    </row>
    <row r="486" spans="1:40" x14ac:dyDescent="0.3">
      <c r="A486" s="2">
        <v>44166</v>
      </c>
      <c r="B486" s="9">
        <v>64.779999000000004</v>
      </c>
      <c r="C486" s="9">
        <v>88.620002999999997</v>
      </c>
      <c r="D486" s="9">
        <v>54.400002000000001</v>
      </c>
      <c r="E486" s="10"/>
      <c r="F486" s="13">
        <v>483</v>
      </c>
      <c r="G486" s="2">
        <v>44166</v>
      </c>
      <c r="H486" s="14">
        <f t="shared" si="155"/>
        <v>9.3052626246089842E-3</v>
      </c>
      <c r="I486" s="14">
        <f t="shared" si="156"/>
        <v>3.2921513577697084E-2</v>
      </c>
      <c r="J486" s="14">
        <f t="shared" si="157"/>
        <v>1.1648499805015372E-2</v>
      </c>
      <c r="K486" s="22">
        <v>483</v>
      </c>
      <c r="L486" s="12"/>
      <c r="Q486" s="15">
        <f t="shared" si="158"/>
        <v>483</v>
      </c>
      <c r="R486" s="2">
        <f t="shared" si="154"/>
        <v>44166</v>
      </c>
      <c r="S486" s="9">
        <f t="shared" ca="1" si="159"/>
        <v>9.3052626246089842E-3</v>
      </c>
      <c r="T486" s="9">
        <f t="shared" ca="1" si="160"/>
        <v>3.2921513577697084E-2</v>
      </c>
      <c r="U486" s="9">
        <f t="shared" ca="1" si="161"/>
        <v>1.1648499805015372E-2</v>
      </c>
      <c r="AB486" s="33" t="e">
        <f t="shared" ca="1" si="167"/>
        <v>#N/A</v>
      </c>
      <c r="AC486" s="34" t="e">
        <f t="shared" ca="1" si="168"/>
        <v>#N/A</v>
      </c>
      <c r="AD486" s="34" t="e">
        <f t="shared" ca="1" si="169"/>
        <v>#N/A</v>
      </c>
      <c r="AE486" s="33" t="e">
        <f t="shared" ca="1" si="170"/>
        <v>#N/A</v>
      </c>
      <c r="AF486" s="34" t="e">
        <f t="shared" ca="1" si="162"/>
        <v>#N/A</v>
      </c>
      <c r="AG486" s="34" t="e">
        <f t="shared" ca="1" si="163"/>
        <v>#N/A</v>
      </c>
      <c r="AH486" s="34" t="e">
        <f t="shared" ca="1" si="164"/>
        <v>#N/A</v>
      </c>
      <c r="AI486" s="33" t="e">
        <f t="shared" ca="1" si="171"/>
        <v>#N/A</v>
      </c>
      <c r="AJ486" s="34" t="e">
        <f t="shared" ca="1" si="172"/>
        <v>#N/A</v>
      </c>
      <c r="AK486" s="34" t="e">
        <f t="shared" ca="1" si="165"/>
        <v>#N/A</v>
      </c>
      <c r="AL486" s="34" t="e">
        <f t="shared" ca="1" si="166"/>
        <v>#N/A</v>
      </c>
      <c r="AM486" s="33" t="e">
        <f t="shared" ca="1" si="173"/>
        <v>#N/A</v>
      </c>
      <c r="AN486" s="34" t="e">
        <f t="shared" ca="1" si="174"/>
        <v>#N/A</v>
      </c>
    </row>
    <row r="487" spans="1:40" x14ac:dyDescent="0.3">
      <c r="A487" s="2">
        <v>44167</v>
      </c>
      <c r="B487" s="9">
        <v>64.790001000000004</v>
      </c>
      <c r="C487" s="9">
        <v>88.919998000000007</v>
      </c>
      <c r="D487" s="9">
        <v>58.07</v>
      </c>
      <c r="E487" s="10"/>
      <c r="F487" s="13">
        <v>484</v>
      </c>
      <c r="G487" s="2">
        <v>44167</v>
      </c>
      <c r="H487" s="14">
        <f t="shared" si="155"/>
        <v>1.5438759002658277E-4</v>
      </c>
      <c r="I487" s="14">
        <f t="shared" si="156"/>
        <v>3.379466980121564E-3</v>
      </c>
      <c r="J487" s="14">
        <f t="shared" si="157"/>
        <v>6.5284988757356333E-2</v>
      </c>
      <c r="K487" s="22">
        <v>484</v>
      </c>
      <c r="L487" s="12"/>
      <c r="Q487" s="15">
        <f t="shared" si="158"/>
        <v>484</v>
      </c>
      <c r="R487" s="2">
        <f t="shared" si="154"/>
        <v>44167</v>
      </c>
      <c r="S487" s="9">
        <f t="shared" ca="1" si="159"/>
        <v>1.5438759002658277E-4</v>
      </c>
      <c r="T487" s="9">
        <f t="shared" ca="1" si="160"/>
        <v>3.379466980121564E-3</v>
      </c>
      <c r="U487" s="9">
        <f t="shared" ca="1" si="161"/>
        <v>6.5284988757356333E-2</v>
      </c>
      <c r="AB487" s="33" t="e">
        <f t="shared" ca="1" si="167"/>
        <v>#N/A</v>
      </c>
      <c r="AC487" s="34" t="e">
        <f t="shared" ca="1" si="168"/>
        <v>#N/A</v>
      </c>
      <c r="AD487" s="34" t="e">
        <f t="shared" ca="1" si="169"/>
        <v>#N/A</v>
      </c>
      <c r="AE487" s="33" t="e">
        <f t="shared" ca="1" si="170"/>
        <v>#N/A</v>
      </c>
      <c r="AF487" s="34" t="e">
        <f t="shared" ca="1" si="162"/>
        <v>#N/A</v>
      </c>
      <c r="AG487" s="34" t="e">
        <f t="shared" ca="1" si="163"/>
        <v>#N/A</v>
      </c>
      <c r="AH487" s="34" t="e">
        <f t="shared" ca="1" si="164"/>
        <v>#N/A</v>
      </c>
      <c r="AI487" s="33" t="e">
        <f t="shared" ca="1" si="171"/>
        <v>#N/A</v>
      </c>
      <c r="AJ487" s="34" t="e">
        <f t="shared" ca="1" si="172"/>
        <v>#N/A</v>
      </c>
      <c r="AK487" s="34" t="e">
        <f t="shared" ca="1" si="165"/>
        <v>#N/A</v>
      </c>
      <c r="AL487" s="34" t="e">
        <f t="shared" ca="1" si="166"/>
        <v>#N/A</v>
      </c>
      <c r="AM487" s="33" t="e">
        <f t="shared" ca="1" si="173"/>
        <v>#N/A</v>
      </c>
      <c r="AN487" s="34" t="e">
        <f t="shared" ca="1" si="174"/>
        <v>#N/A</v>
      </c>
    </row>
    <row r="488" spans="1:40" x14ac:dyDescent="0.3">
      <c r="A488" s="2">
        <v>44168</v>
      </c>
      <c r="B488" s="9">
        <v>64.690002000000007</v>
      </c>
      <c r="C488" s="9">
        <v>96.660004000000001</v>
      </c>
      <c r="D488" s="9">
        <v>57.91</v>
      </c>
      <c r="E488" s="10"/>
      <c r="F488" s="13">
        <v>485</v>
      </c>
      <c r="G488" s="2">
        <v>44168</v>
      </c>
      <c r="H488" s="14">
        <f t="shared" si="155"/>
        <v>-1.5446249237732275E-3</v>
      </c>
      <c r="I488" s="14">
        <f t="shared" si="156"/>
        <v>8.3462641195233611E-2</v>
      </c>
      <c r="J488" s="14">
        <f t="shared" si="157"/>
        <v>-2.7590981462601526E-3</v>
      </c>
      <c r="K488" s="22">
        <v>485</v>
      </c>
      <c r="L488" s="12"/>
      <c r="Q488" s="15">
        <f t="shared" si="158"/>
        <v>485</v>
      </c>
      <c r="R488" s="2">
        <f t="shared" si="154"/>
        <v>44168</v>
      </c>
      <c r="S488" s="9">
        <f t="shared" ca="1" si="159"/>
        <v>-1.5446249237732275E-3</v>
      </c>
      <c r="T488" s="9">
        <f t="shared" ca="1" si="160"/>
        <v>8.3462641195233611E-2</v>
      </c>
      <c r="U488" s="9">
        <f t="shared" ca="1" si="161"/>
        <v>-2.7590981462601526E-3</v>
      </c>
      <c r="AB488" s="33" t="e">
        <f t="shared" ca="1" si="167"/>
        <v>#N/A</v>
      </c>
      <c r="AC488" s="34" t="e">
        <f t="shared" ca="1" si="168"/>
        <v>#N/A</v>
      </c>
      <c r="AD488" s="34" t="e">
        <f t="shared" ca="1" si="169"/>
        <v>#N/A</v>
      </c>
      <c r="AE488" s="33" t="e">
        <f t="shared" ca="1" si="170"/>
        <v>#N/A</v>
      </c>
      <c r="AF488" s="34" t="e">
        <f t="shared" ca="1" si="162"/>
        <v>#N/A</v>
      </c>
      <c r="AG488" s="34" t="e">
        <f t="shared" ca="1" si="163"/>
        <v>#N/A</v>
      </c>
      <c r="AH488" s="34" t="e">
        <f t="shared" ca="1" si="164"/>
        <v>#N/A</v>
      </c>
      <c r="AI488" s="33" t="e">
        <f t="shared" ca="1" si="171"/>
        <v>#N/A</v>
      </c>
      <c r="AJ488" s="34" t="e">
        <f t="shared" ca="1" si="172"/>
        <v>#N/A</v>
      </c>
      <c r="AK488" s="34" t="e">
        <f t="shared" ca="1" si="165"/>
        <v>#N/A</v>
      </c>
      <c r="AL488" s="34" t="e">
        <f t="shared" ca="1" si="166"/>
        <v>#N/A</v>
      </c>
      <c r="AM488" s="33" t="e">
        <f t="shared" ca="1" si="173"/>
        <v>#N/A</v>
      </c>
      <c r="AN488" s="34" t="e">
        <f t="shared" ca="1" si="174"/>
        <v>#N/A</v>
      </c>
    </row>
    <row r="489" spans="1:40" x14ac:dyDescent="0.3">
      <c r="A489" s="2">
        <v>44169</v>
      </c>
      <c r="B489" s="9">
        <v>65.970000999999996</v>
      </c>
      <c r="C489" s="9">
        <v>96.209998999999996</v>
      </c>
      <c r="D489" s="9">
        <v>61.27</v>
      </c>
      <c r="E489" s="10"/>
      <c r="F489" s="13">
        <v>486</v>
      </c>
      <c r="G489" s="2">
        <v>44169</v>
      </c>
      <c r="H489" s="14">
        <f t="shared" si="155"/>
        <v>1.9593447420611535E-2</v>
      </c>
      <c r="I489" s="14">
        <f t="shared" si="156"/>
        <v>-4.6664158198582335E-3</v>
      </c>
      <c r="J489" s="14">
        <f t="shared" si="157"/>
        <v>5.6400245499864957E-2</v>
      </c>
      <c r="K489" s="22">
        <v>486</v>
      </c>
      <c r="L489" s="12"/>
      <c r="Q489" s="15">
        <f t="shared" si="158"/>
        <v>486</v>
      </c>
      <c r="R489" s="2">
        <f t="shared" si="154"/>
        <v>44169</v>
      </c>
      <c r="S489" s="9">
        <f t="shared" ca="1" si="159"/>
        <v>1.9593447420611535E-2</v>
      </c>
      <c r="T489" s="9">
        <f t="shared" ca="1" si="160"/>
        <v>-4.6664158198582335E-3</v>
      </c>
      <c r="U489" s="9">
        <f t="shared" ca="1" si="161"/>
        <v>5.6400245499864957E-2</v>
      </c>
      <c r="AB489" s="33" t="e">
        <f t="shared" ca="1" si="167"/>
        <v>#N/A</v>
      </c>
      <c r="AC489" s="34" t="e">
        <f t="shared" ca="1" si="168"/>
        <v>#N/A</v>
      </c>
      <c r="AD489" s="34" t="e">
        <f t="shared" ca="1" si="169"/>
        <v>#N/A</v>
      </c>
      <c r="AE489" s="33" t="e">
        <f t="shared" ca="1" si="170"/>
        <v>#N/A</v>
      </c>
      <c r="AF489" s="34" t="e">
        <f t="shared" ca="1" si="162"/>
        <v>#N/A</v>
      </c>
      <c r="AG489" s="34" t="e">
        <f t="shared" ca="1" si="163"/>
        <v>#N/A</v>
      </c>
      <c r="AH489" s="34" t="e">
        <f t="shared" ca="1" si="164"/>
        <v>#N/A</v>
      </c>
      <c r="AI489" s="33" t="e">
        <f t="shared" ca="1" si="171"/>
        <v>#N/A</v>
      </c>
      <c r="AJ489" s="34" t="e">
        <f t="shared" ca="1" si="172"/>
        <v>#N/A</v>
      </c>
      <c r="AK489" s="34" t="e">
        <f t="shared" ca="1" si="165"/>
        <v>#N/A</v>
      </c>
      <c r="AL489" s="34" t="e">
        <f t="shared" ca="1" si="166"/>
        <v>#N/A</v>
      </c>
      <c r="AM489" s="33" t="e">
        <f t="shared" ca="1" si="173"/>
        <v>#N/A</v>
      </c>
      <c r="AN489" s="34" t="e">
        <f t="shared" ca="1" si="174"/>
        <v>#N/A</v>
      </c>
    </row>
    <row r="490" spans="1:40" x14ac:dyDescent="0.3">
      <c r="A490" s="2">
        <v>44172</v>
      </c>
      <c r="B490" s="9">
        <v>64.529999000000004</v>
      </c>
      <c r="C490" s="9">
        <v>95.489998</v>
      </c>
      <c r="D490" s="9">
        <v>59.459999000000003</v>
      </c>
      <c r="E490" s="10"/>
      <c r="F490" s="13">
        <v>487</v>
      </c>
      <c r="G490" s="2">
        <v>44172</v>
      </c>
      <c r="H490" s="14">
        <f t="shared" si="155"/>
        <v>-2.2069891942104597E-2</v>
      </c>
      <c r="I490" s="14">
        <f t="shared" si="156"/>
        <v>-7.5117829617338547E-3</v>
      </c>
      <c r="J490" s="14">
        <f t="shared" si="157"/>
        <v>-2.9986525985640597E-2</v>
      </c>
      <c r="K490" s="22">
        <v>487</v>
      </c>
      <c r="L490" s="12"/>
      <c r="Q490" s="15">
        <f t="shared" si="158"/>
        <v>487</v>
      </c>
      <c r="R490" s="2">
        <f t="shared" si="154"/>
        <v>44172</v>
      </c>
      <c r="S490" s="9">
        <f t="shared" ca="1" si="159"/>
        <v>-2.2069891942104597E-2</v>
      </c>
      <c r="T490" s="9">
        <f t="shared" ca="1" si="160"/>
        <v>-7.5117829617338547E-3</v>
      </c>
      <c r="U490" s="9">
        <f t="shared" ca="1" si="161"/>
        <v>-2.9986525985640597E-2</v>
      </c>
      <c r="AB490" s="33" t="e">
        <f t="shared" ca="1" si="167"/>
        <v>#N/A</v>
      </c>
      <c r="AC490" s="34" t="e">
        <f t="shared" ca="1" si="168"/>
        <v>#N/A</v>
      </c>
      <c r="AD490" s="34" t="e">
        <f t="shared" ca="1" si="169"/>
        <v>#N/A</v>
      </c>
      <c r="AE490" s="33" t="e">
        <f t="shared" ca="1" si="170"/>
        <v>#N/A</v>
      </c>
      <c r="AF490" s="34" t="e">
        <f t="shared" ca="1" si="162"/>
        <v>#N/A</v>
      </c>
      <c r="AG490" s="34" t="e">
        <f t="shared" ca="1" si="163"/>
        <v>#N/A</v>
      </c>
      <c r="AH490" s="34" t="e">
        <f t="shared" ca="1" si="164"/>
        <v>#N/A</v>
      </c>
      <c r="AI490" s="33" t="e">
        <f t="shared" ca="1" si="171"/>
        <v>#N/A</v>
      </c>
      <c r="AJ490" s="34" t="e">
        <f t="shared" ca="1" si="172"/>
        <v>#N/A</v>
      </c>
      <c r="AK490" s="34" t="e">
        <f t="shared" ca="1" si="165"/>
        <v>#N/A</v>
      </c>
      <c r="AL490" s="34" t="e">
        <f t="shared" ca="1" si="166"/>
        <v>#N/A</v>
      </c>
      <c r="AM490" s="33" t="e">
        <f t="shared" ca="1" si="173"/>
        <v>#N/A</v>
      </c>
      <c r="AN490" s="34" t="e">
        <f t="shared" ca="1" si="174"/>
        <v>#N/A</v>
      </c>
    </row>
    <row r="491" spans="1:40" x14ac:dyDescent="0.3">
      <c r="A491" s="2">
        <v>44173</v>
      </c>
      <c r="B491" s="9">
        <v>64.980002999999996</v>
      </c>
      <c r="C491" s="9">
        <v>97.150002000000001</v>
      </c>
      <c r="D491" s="9">
        <v>58.98</v>
      </c>
      <c r="E491" s="10"/>
      <c r="F491" s="13">
        <v>488</v>
      </c>
      <c r="G491" s="2">
        <v>44173</v>
      </c>
      <c r="H491" s="14">
        <f t="shared" si="155"/>
        <v>6.9493599579246437E-3</v>
      </c>
      <c r="I491" s="14">
        <f t="shared" si="156"/>
        <v>1.7234687392660961E-2</v>
      </c>
      <c r="J491" s="14">
        <f t="shared" si="157"/>
        <v>-8.1053973647924518E-3</v>
      </c>
      <c r="K491" s="22">
        <v>488</v>
      </c>
      <c r="L491" s="12"/>
      <c r="Q491" s="15">
        <f t="shared" si="158"/>
        <v>488</v>
      </c>
      <c r="R491" s="2">
        <f t="shared" si="154"/>
        <v>44173</v>
      </c>
      <c r="S491" s="9">
        <f t="shared" ca="1" si="159"/>
        <v>6.9493599579246437E-3</v>
      </c>
      <c r="T491" s="9">
        <f t="shared" ca="1" si="160"/>
        <v>1.7234687392660961E-2</v>
      </c>
      <c r="U491" s="9">
        <f t="shared" ca="1" si="161"/>
        <v>-8.1053973647924518E-3</v>
      </c>
      <c r="AB491" s="33" t="e">
        <f t="shared" ca="1" si="167"/>
        <v>#N/A</v>
      </c>
      <c r="AC491" s="34" t="e">
        <f t="shared" ca="1" si="168"/>
        <v>#N/A</v>
      </c>
      <c r="AD491" s="34" t="e">
        <f t="shared" ca="1" si="169"/>
        <v>#N/A</v>
      </c>
      <c r="AE491" s="33" t="e">
        <f t="shared" ca="1" si="170"/>
        <v>#N/A</v>
      </c>
      <c r="AF491" s="34" t="e">
        <f t="shared" ca="1" si="162"/>
        <v>#N/A</v>
      </c>
      <c r="AG491" s="34" t="e">
        <f t="shared" ca="1" si="163"/>
        <v>#N/A</v>
      </c>
      <c r="AH491" s="34" t="e">
        <f t="shared" ca="1" si="164"/>
        <v>#N/A</v>
      </c>
      <c r="AI491" s="33" t="e">
        <f t="shared" ca="1" si="171"/>
        <v>#N/A</v>
      </c>
      <c r="AJ491" s="34" t="e">
        <f t="shared" ca="1" si="172"/>
        <v>#N/A</v>
      </c>
      <c r="AK491" s="34" t="e">
        <f t="shared" ca="1" si="165"/>
        <v>#N/A</v>
      </c>
      <c r="AL491" s="34" t="e">
        <f t="shared" ca="1" si="166"/>
        <v>#N/A</v>
      </c>
      <c r="AM491" s="33" t="e">
        <f t="shared" ca="1" si="173"/>
        <v>#N/A</v>
      </c>
      <c r="AN491" s="34" t="e">
        <f t="shared" ca="1" si="174"/>
        <v>#N/A</v>
      </c>
    </row>
    <row r="492" spans="1:40" x14ac:dyDescent="0.3">
      <c r="A492" s="2">
        <v>44174</v>
      </c>
      <c r="B492" s="9">
        <v>64.610000999999997</v>
      </c>
      <c r="C492" s="9">
        <v>100.83000199999999</v>
      </c>
      <c r="D492" s="9">
        <v>58.799999</v>
      </c>
      <c r="E492" s="10"/>
      <c r="F492" s="13">
        <v>489</v>
      </c>
      <c r="G492" s="2">
        <v>44174</v>
      </c>
      <c r="H492" s="14">
        <f t="shared" si="155"/>
        <v>-5.7103633614506008E-3</v>
      </c>
      <c r="I492" s="14">
        <f t="shared" si="156"/>
        <v>3.7179753830319802E-2</v>
      </c>
      <c r="J492" s="14">
        <f t="shared" si="157"/>
        <v>-3.0565654893518176E-3</v>
      </c>
      <c r="K492" s="22">
        <v>489</v>
      </c>
      <c r="L492" s="12"/>
      <c r="Q492" s="15">
        <f t="shared" si="158"/>
        <v>489</v>
      </c>
      <c r="R492" s="2">
        <f t="shared" si="154"/>
        <v>44174</v>
      </c>
      <c r="S492" s="9">
        <f t="shared" ca="1" si="159"/>
        <v>-5.7103633614506008E-3</v>
      </c>
      <c r="T492" s="9">
        <f t="shared" ca="1" si="160"/>
        <v>3.7179753830319802E-2</v>
      </c>
      <c r="U492" s="9">
        <f t="shared" ca="1" si="161"/>
        <v>-3.0565654893518176E-3</v>
      </c>
      <c r="AB492" s="33" t="e">
        <f t="shared" ca="1" si="167"/>
        <v>#N/A</v>
      </c>
      <c r="AC492" s="34" t="e">
        <f t="shared" ca="1" si="168"/>
        <v>#N/A</v>
      </c>
      <c r="AD492" s="34" t="e">
        <f t="shared" ca="1" si="169"/>
        <v>#N/A</v>
      </c>
      <c r="AE492" s="33" t="e">
        <f t="shared" ca="1" si="170"/>
        <v>#N/A</v>
      </c>
      <c r="AF492" s="34" t="e">
        <f t="shared" ca="1" si="162"/>
        <v>#N/A</v>
      </c>
      <c r="AG492" s="34" t="e">
        <f t="shared" ca="1" si="163"/>
        <v>#N/A</v>
      </c>
      <c r="AH492" s="34" t="e">
        <f t="shared" ca="1" si="164"/>
        <v>#N/A</v>
      </c>
      <c r="AI492" s="33" t="e">
        <f t="shared" ca="1" si="171"/>
        <v>#N/A</v>
      </c>
      <c r="AJ492" s="34" t="e">
        <f t="shared" ca="1" si="172"/>
        <v>#N/A</v>
      </c>
      <c r="AK492" s="34" t="e">
        <f t="shared" ca="1" si="165"/>
        <v>#N/A</v>
      </c>
      <c r="AL492" s="34" t="e">
        <f t="shared" ca="1" si="166"/>
        <v>#N/A</v>
      </c>
      <c r="AM492" s="33" t="e">
        <f t="shared" ca="1" si="173"/>
        <v>#N/A</v>
      </c>
      <c r="AN492" s="34" t="e">
        <f t="shared" ca="1" si="174"/>
        <v>#N/A</v>
      </c>
    </row>
    <row r="493" spans="1:40" x14ac:dyDescent="0.3">
      <c r="A493" s="2">
        <v>44175</v>
      </c>
      <c r="B493" s="9">
        <v>64.129997000000003</v>
      </c>
      <c r="C493" s="9">
        <v>103.849998</v>
      </c>
      <c r="D493" s="9">
        <v>59.869999</v>
      </c>
      <c r="E493" s="10"/>
      <c r="F493" s="13">
        <v>490</v>
      </c>
      <c r="G493" s="2">
        <v>44175</v>
      </c>
      <c r="H493" s="14">
        <f t="shared" si="155"/>
        <v>-7.4569866667618754E-3</v>
      </c>
      <c r="I493" s="14">
        <f t="shared" si="156"/>
        <v>2.951158082308495E-2</v>
      </c>
      <c r="J493" s="14">
        <f t="shared" si="157"/>
        <v>1.8033690336625902E-2</v>
      </c>
      <c r="K493" s="22">
        <v>490</v>
      </c>
      <c r="L493" s="12"/>
      <c r="Q493" s="15">
        <f t="shared" si="158"/>
        <v>490</v>
      </c>
      <c r="R493" s="2">
        <f t="shared" si="154"/>
        <v>44175</v>
      </c>
      <c r="S493" s="9">
        <f t="shared" ca="1" si="159"/>
        <v>-7.4569866667618754E-3</v>
      </c>
      <c r="T493" s="9">
        <f t="shared" ca="1" si="160"/>
        <v>2.951158082308495E-2</v>
      </c>
      <c r="U493" s="9">
        <f t="shared" ca="1" si="161"/>
        <v>1.8033690336625902E-2</v>
      </c>
      <c r="AB493" s="33" t="e">
        <f t="shared" ca="1" si="167"/>
        <v>#N/A</v>
      </c>
      <c r="AC493" s="34" t="e">
        <f t="shared" ca="1" si="168"/>
        <v>#N/A</v>
      </c>
      <c r="AD493" s="34" t="e">
        <f t="shared" ca="1" si="169"/>
        <v>#N/A</v>
      </c>
      <c r="AE493" s="33" t="e">
        <f t="shared" ca="1" si="170"/>
        <v>#N/A</v>
      </c>
      <c r="AF493" s="34" t="e">
        <f t="shared" ca="1" si="162"/>
        <v>#N/A</v>
      </c>
      <c r="AG493" s="34" t="e">
        <f t="shared" ca="1" si="163"/>
        <v>#N/A</v>
      </c>
      <c r="AH493" s="34" t="e">
        <f t="shared" ca="1" si="164"/>
        <v>#N/A</v>
      </c>
      <c r="AI493" s="33" t="e">
        <f t="shared" ca="1" si="171"/>
        <v>#N/A</v>
      </c>
      <c r="AJ493" s="34" t="e">
        <f t="shared" ca="1" si="172"/>
        <v>#N/A</v>
      </c>
      <c r="AK493" s="34" t="e">
        <f t="shared" ca="1" si="165"/>
        <v>#N/A</v>
      </c>
      <c r="AL493" s="34" t="e">
        <f t="shared" ca="1" si="166"/>
        <v>#N/A</v>
      </c>
      <c r="AM493" s="33" t="e">
        <f t="shared" ca="1" si="173"/>
        <v>#N/A</v>
      </c>
      <c r="AN493" s="34" t="e">
        <f t="shared" ca="1" si="174"/>
        <v>#N/A</v>
      </c>
    </row>
    <row r="494" spans="1:40" x14ac:dyDescent="0.3">
      <c r="A494" s="2">
        <v>44176</v>
      </c>
      <c r="B494" s="9">
        <v>64.199996999999996</v>
      </c>
      <c r="C494" s="9">
        <v>101.339996</v>
      </c>
      <c r="D494" s="9">
        <v>59.029998999999997</v>
      </c>
      <c r="E494" s="10"/>
      <c r="F494" s="13">
        <v>491</v>
      </c>
      <c r="G494" s="2">
        <v>44176</v>
      </c>
      <c r="H494" s="14">
        <f t="shared" si="155"/>
        <v>1.0909375861500913E-3</v>
      </c>
      <c r="I494" s="14">
        <f t="shared" si="156"/>
        <v>-2.4466370486899692E-2</v>
      </c>
      <c r="J494" s="14">
        <f t="shared" si="157"/>
        <v>-1.412975592234531E-2</v>
      </c>
      <c r="K494" s="22">
        <v>491</v>
      </c>
      <c r="L494" s="12"/>
      <c r="Q494" s="15">
        <f t="shared" si="158"/>
        <v>491</v>
      </c>
      <c r="R494" s="2">
        <f t="shared" si="154"/>
        <v>44176</v>
      </c>
      <c r="S494" s="9">
        <f t="shared" ca="1" si="159"/>
        <v>1.0909375861500913E-3</v>
      </c>
      <c r="T494" s="9">
        <f t="shared" ca="1" si="160"/>
        <v>-2.4466370486899692E-2</v>
      </c>
      <c r="U494" s="9">
        <f t="shared" ca="1" si="161"/>
        <v>-1.412975592234531E-2</v>
      </c>
      <c r="AB494" s="33" t="e">
        <f t="shared" ca="1" si="167"/>
        <v>#N/A</v>
      </c>
      <c r="AC494" s="34" t="e">
        <f t="shared" ca="1" si="168"/>
        <v>#N/A</v>
      </c>
      <c r="AD494" s="34" t="e">
        <f t="shared" ca="1" si="169"/>
        <v>#N/A</v>
      </c>
      <c r="AE494" s="33" t="e">
        <f t="shared" ca="1" si="170"/>
        <v>#N/A</v>
      </c>
      <c r="AF494" s="34" t="e">
        <f t="shared" ca="1" si="162"/>
        <v>#N/A</v>
      </c>
      <c r="AG494" s="34" t="e">
        <f t="shared" ca="1" si="163"/>
        <v>#N/A</v>
      </c>
      <c r="AH494" s="34" t="e">
        <f t="shared" ca="1" si="164"/>
        <v>#N/A</v>
      </c>
      <c r="AI494" s="33" t="e">
        <f t="shared" ca="1" si="171"/>
        <v>#N/A</v>
      </c>
      <c r="AJ494" s="34" t="e">
        <f t="shared" ca="1" si="172"/>
        <v>#N/A</v>
      </c>
      <c r="AK494" s="34" t="e">
        <f t="shared" ca="1" si="165"/>
        <v>#N/A</v>
      </c>
      <c r="AL494" s="34" t="e">
        <f t="shared" ca="1" si="166"/>
        <v>#N/A</v>
      </c>
      <c r="AM494" s="33" t="e">
        <f t="shared" ca="1" si="173"/>
        <v>#N/A</v>
      </c>
      <c r="AN494" s="34" t="e">
        <f t="shared" ca="1" si="174"/>
        <v>#N/A</v>
      </c>
    </row>
    <row r="495" spans="1:40" x14ac:dyDescent="0.3">
      <c r="A495" s="2">
        <v>44179</v>
      </c>
      <c r="B495" s="9">
        <v>63.080002</v>
      </c>
      <c r="C495" s="9">
        <v>98.900002000000001</v>
      </c>
      <c r="D495" s="9">
        <v>56.389999000000003</v>
      </c>
      <c r="E495" s="10"/>
      <c r="F495" s="13">
        <v>492</v>
      </c>
      <c r="G495" s="2">
        <v>44179</v>
      </c>
      <c r="H495" s="14">
        <f t="shared" si="155"/>
        <v>-1.7599370166334796E-2</v>
      </c>
      <c r="I495" s="14">
        <f t="shared" si="156"/>
        <v>-2.4371901725562292E-2</v>
      </c>
      <c r="J495" s="14">
        <f t="shared" si="157"/>
        <v>-4.575395222660919E-2</v>
      </c>
      <c r="K495" s="22">
        <v>492</v>
      </c>
      <c r="L495" s="12"/>
      <c r="Q495" s="15">
        <f t="shared" si="158"/>
        <v>492</v>
      </c>
      <c r="R495" s="2">
        <f t="shared" si="154"/>
        <v>44179</v>
      </c>
      <c r="S495" s="9">
        <f t="shared" ca="1" si="159"/>
        <v>-1.7599370166334796E-2</v>
      </c>
      <c r="T495" s="9">
        <f t="shared" ca="1" si="160"/>
        <v>-2.4371901725562292E-2</v>
      </c>
      <c r="U495" s="9">
        <f t="shared" ca="1" si="161"/>
        <v>-4.575395222660919E-2</v>
      </c>
      <c r="AB495" s="33" t="e">
        <f t="shared" ca="1" si="167"/>
        <v>#N/A</v>
      </c>
      <c r="AC495" s="34" t="e">
        <f t="shared" ca="1" si="168"/>
        <v>#N/A</v>
      </c>
      <c r="AD495" s="34" t="e">
        <f t="shared" ca="1" si="169"/>
        <v>#N/A</v>
      </c>
      <c r="AE495" s="33" t="e">
        <f t="shared" ca="1" si="170"/>
        <v>#N/A</v>
      </c>
      <c r="AF495" s="34" t="e">
        <f t="shared" ca="1" si="162"/>
        <v>#N/A</v>
      </c>
      <c r="AG495" s="34" t="e">
        <f t="shared" ca="1" si="163"/>
        <v>#N/A</v>
      </c>
      <c r="AH495" s="34" t="e">
        <f t="shared" ca="1" si="164"/>
        <v>#N/A</v>
      </c>
      <c r="AI495" s="33" t="e">
        <f t="shared" ca="1" si="171"/>
        <v>#N/A</v>
      </c>
      <c r="AJ495" s="34" t="e">
        <f t="shared" ca="1" si="172"/>
        <v>#N/A</v>
      </c>
      <c r="AK495" s="34" t="e">
        <f t="shared" ca="1" si="165"/>
        <v>#N/A</v>
      </c>
      <c r="AL495" s="34" t="e">
        <f t="shared" ca="1" si="166"/>
        <v>#N/A</v>
      </c>
      <c r="AM495" s="33" t="e">
        <f t="shared" ca="1" si="173"/>
        <v>#N/A</v>
      </c>
      <c r="AN495" s="34" t="e">
        <f t="shared" ca="1" si="174"/>
        <v>#N/A</v>
      </c>
    </row>
    <row r="496" spans="1:40" x14ac:dyDescent="0.3">
      <c r="A496" s="2">
        <v>44180</v>
      </c>
      <c r="B496" s="9">
        <v>63.34</v>
      </c>
      <c r="C496" s="9">
        <v>100.529999</v>
      </c>
      <c r="D496" s="9">
        <v>57.48</v>
      </c>
      <c r="E496" s="10"/>
      <c r="F496" s="13">
        <v>493</v>
      </c>
      <c r="G496" s="2">
        <v>44180</v>
      </c>
      <c r="H496" s="14">
        <f t="shared" si="155"/>
        <v>4.1132473098860929E-3</v>
      </c>
      <c r="I496" s="14">
        <f t="shared" si="156"/>
        <v>1.6346921618936083E-2</v>
      </c>
      <c r="J496" s="14">
        <f t="shared" si="157"/>
        <v>1.9145241125374163E-2</v>
      </c>
      <c r="K496" s="22">
        <v>493</v>
      </c>
      <c r="L496" s="12"/>
      <c r="Q496" s="15">
        <f t="shared" si="158"/>
        <v>493</v>
      </c>
      <c r="R496" s="2">
        <f t="shared" si="154"/>
        <v>44180</v>
      </c>
      <c r="S496" s="9">
        <f t="shared" ca="1" si="159"/>
        <v>4.1132473098860929E-3</v>
      </c>
      <c r="T496" s="9">
        <f t="shared" ca="1" si="160"/>
        <v>1.6346921618936083E-2</v>
      </c>
      <c r="U496" s="9">
        <f t="shared" ca="1" si="161"/>
        <v>1.9145241125374163E-2</v>
      </c>
      <c r="AB496" s="33" t="e">
        <f t="shared" ca="1" si="167"/>
        <v>#N/A</v>
      </c>
      <c r="AC496" s="34" t="e">
        <f t="shared" ca="1" si="168"/>
        <v>#N/A</v>
      </c>
      <c r="AD496" s="34" t="e">
        <f t="shared" ca="1" si="169"/>
        <v>#N/A</v>
      </c>
      <c r="AE496" s="33" t="e">
        <f t="shared" ca="1" si="170"/>
        <v>#N/A</v>
      </c>
      <c r="AF496" s="34" t="e">
        <f t="shared" ca="1" si="162"/>
        <v>#N/A</v>
      </c>
      <c r="AG496" s="34" t="e">
        <f t="shared" ca="1" si="163"/>
        <v>#N/A</v>
      </c>
      <c r="AH496" s="34" t="e">
        <f t="shared" ca="1" si="164"/>
        <v>#N/A</v>
      </c>
      <c r="AI496" s="33" t="e">
        <f t="shared" ca="1" si="171"/>
        <v>#N/A</v>
      </c>
      <c r="AJ496" s="34" t="e">
        <f t="shared" ca="1" si="172"/>
        <v>#N/A</v>
      </c>
      <c r="AK496" s="34" t="e">
        <f t="shared" ca="1" si="165"/>
        <v>#N/A</v>
      </c>
      <c r="AL496" s="34" t="e">
        <f t="shared" ca="1" si="166"/>
        <v>#N/A</v>
      </c>
      <c r="AM496" s="33" t="e">
        <f t="shared" ca="1" si="173"/>
        <v>#N/A</v>
      </c>
      <c r="AN496" s="34" t="e">
        <f t="shared" ca="1" si="174"/>
        <v>#N/A</v>
      </c>
    </row>
    <row r="497" spans="1:40" x14ac:dyDescent="0.3">
      <c r="A497" s="2">
        <v>44181</v>
      </c>
      <c r="B497" s="9">
        <v>62.599997999999999</v>
      </c>
      <c r="C497" s="9">
        <v>99.5</v>
      </c>
      <c r="D497" s="9">
        <v>56.919998</v>
      </c>
      <c r="E497" s="10"/>
      <c r="F497" s="13">
        <v>494</v>
      </c>
      <c r="G497" s="2">
        <v>44181</v>
      </c>
      <c r="H497" s="14">
        <f t="shared" si="155"/>
        <v>-1.1751794953323298E-2</v>
      </c>
      <c r="I497" s="14">
        <f t="shared" si="156"/>
        <v>-1.0298536305502171E-2</v>
      </c>
      <c r="J497" s="14">
        <f t="shared" si="157"/>
        <v>-9.7903231262075879E-3</v>
      </c>
      <c r="K497" s="22">
        <v>494</v>
      </c>
      <c r="L497" s="12"/>
      <c r="Q497" s="15">
        <f t="shared" si="158"/>
        <v>494</v>
      </c>
      <c r="R497" s="2">
        <f t="shared" si="154"/>
        <v>44181</v>
      </c>
      <c r="S497" s="9">
        <f t="shared" ca="1" si="159"/>
        <v>-1.1751794953323298E-2</v>
      </c>
      <c r="T497" s="9">
        <f t="shared" ca="1" si="160"/>
        <v>-1.0298536305502171E-2</v>
      </c>
      <c r="U497" s="9">
        <f t="shared" ca="1" si="161"/>
        <v>-9.7903231262075879E-3</v>
      </c>
      <c r="AB497" s="33" t="e">
        <f t="shared" ca="1" si="167"/>
        <v>#N/A</v>
      </c>
      <c r="AC497" s="34" t="e">
        <f t="shared" ca="1" si="168"/>
        <v>#N/A</v>
      </c>
      <c r="AD497" s="34" t="e">
        <f t="shared" ca="1" si="169"/>
        <v>#N/A</v>
      </c>
      <c r="AE497" s="33" t="e">
        <f t="shared" ca="1" si="170"/>
        <v>#N/A</v>
      </c>
      <c r="AF497" s="34" t="e">
        <f t="shared" ca="1" si="162"/>
        <v>#N/A</v>
      </c>
      <c r="AG497" s="34" t="e">
        <f t="shared" ca="1" si="163"/>
        <v>#N/A</v>
      </c>
      <c r="AH497" s="34" t="e">
        <f t="shared" ca="1" si="164"/>
        <v>#N/A</v>
      </c>
      <c r="AI497" s="33" t="e">
        <f t="shared" ca="1" si="171"/>
        <v>#N/A</v>
      </c>
      <c r="AJ497" s="34" t="e">
        <f t="shared" ca="1" si="172"/>
        <v>#N/A</v>
      </c>
      <c r="AK497" s="34" t="e">
        <f t="shared" ca="1" si="165"/>
        <v>#N/A</v>
      </c>
      <c r="AL497" s="34" t="e">
        <f t="shared" ca="1" si="166"/>
        <v>#N/A</v>
      </c>
      <c r="AM497" s="33" t="e">
        <f t="shared" ca="1" si="173"/>
        <v>#N/A</v>
      </c>
      <c r="AN497" s="34" t="e">
        <f t="shared" ca="1" si="174"/>
        <v>#N/A</v>
      </c>
    </row>
    <row r="498" spans="1:40" x14ac:dyDescent="0.3">
      <c r="A498" s="2">
        <v>44182</v>
      </c>
      <c r="B498" s="9">
        <v>62.349997999999999</v>
      </c>
      <c r="C498" s="9">
        <v>100.989998</v>
      </c>
      <c r="D498" s="9">
        <v>56.34</v>
      </c>
      <c r="E498" s="10"/>
      <c r="F498" s="13">
        <v>495</v>
      </c>
      <c r="G498" s="2">
        <v>44182</v>
      </c>
      <c r="H498" s="14">
        <f t="shared" si="155"/>
        <v>-4.0016061081103839E-3</v>
      </c>
      <c r="I498" s="14">
        <f t="shared" si="156"/>
        <v>1.4863838069977308E-2</v>
      </c>
      <c r="J498" s="14">
        <f t="shared" si="157"/>
        <v>-1.0241975636389983E-2</v>
      </c>
      <c r="K498" s="22">
        <v>495</v>
      </c>
      <c r="L498" s="12"/>
      <c r="Q498" s="15">
        <f t="shared" si="158"/>
        <v>495</v>
      </c>
      <c r="R498" s="2">
        <f t="shared" si="154"/>
        <v>44182</v>
      </c>
      <c r="S498" s="9">
        <f t="shared" ca="1" si="159"/>
        <v>-4.0016061081103839E-3</v>
      </c>
      <c r="T498" s="9">
        <f t="shared" ca="1" si="160"/>
        <v>1.4863838069977308E-2</v>
      </c>
      <c r="U498" s="9">
        <f t="shared" ca="1" si="161"/>
        <v>-1.0241975636389983E-2</v>
      </c>
      <c r="AB498" s="33" t="e">
        <f t="shared" ca="1" si="167"/>
        <v>#N/A</v>
      </c>
      <c r="AC498" s="34" t="e">
        <f t="shared" ca="1" si="168"/>
        <v>#N/A</v>
      </c>
      <c r="AD498" s="34" t="e">
        <f t="shared" ca="1" si="169"/>
        <v>#N/A</v>
      </c>
      <c r="AE498" s="33" t="e">
        <f t="shared" ca="1" si="170"/>
        <v>#N/A</v>
      </c>
      <c r="AF498" s="34" t="e">
        <f t="shared" ca="1" si="162"/>
        <v>#N/A</v>
      </c>
      <c r="AG498" s="34" t="e">
        <f t="shared" ca="1" si="163"/>
        <v>#N/A</v>
      </c>
      <c r="AH498" s="34" t="e">
        <f t="shared" ca="1" si="164"/>
        <v>#N/A</v>
      </c>
      <c r="AI498" s="33" t="e">
        <f t="shared" ca="1" si="171"/>
        <v>#N/A</v>
      </c>
      <c r="AJ498" s="34" t="e">
        <f t="shared" ca="1" si="172"/>
        <v>#N/A</v>
      </c>
      <c r="AK498" s="34" t="e">
        <f t="shared" ca="1" si="165"/>
        <v>#N/A</v>
      </c>
      <c r="AL498" s="34" t="e">
        <f t="shared" ca="1" si="166"/>
        <v>#N/A</v>
      </c>
      <c r="AM498" s="33" t="e">
        <f t="shared" ca="1" si="173"/>
        <v>#N/A</v>
      </c>
      <c r="AN498" s="34" t="e">
        <f t="shared" ca="1" si="174"/>
        <v>#N/A</v>
      </c>
    </row>
    <row r="499" spans="1:40" x14ac:dyDescent="0.3">
      <c r="A499" s="2">
        <v>44183</v>
      </c>
      <c r="B499" s="9">
        <v>63.049999</v>
      </c>
      <c r="C499" s="9">
        <v>101.209999</v>
      </c>
      <c r="D499" s="9">
        <v>54.77</v>
      </c>
      <c r="E499" s="10"/>
      <c r="F499" s="13">
        <v>496</v>
      </c>
      <c r="G499" s="2">
        <v>44183</v>
      </c>
      <c r="H499" s="14">
        <f t="shared" si="155"/>
        <v>1.1164406501439968E-2</v>
      </c>
      <c r="I499" s="14">
        <f t="shared" si="156"/>
        <v>2.1760740858388777E-3</v>
      </c>
      <c r="J499" s="14">
        <f t="shared" si="157"/>
        <v>-2.8262163652596622E-2</v>
      </c>
      <c r="K499" s="22">
        <v>496</v>
      </c>
      <c r="L499" s="12"/>
      <c r="Q499" s="15">
        <f t="shared" si="158"/>
        <v>496</v>
      </c>
      <c r="R499" s="2">
        <f t="shared" si="154"/>
        <v>44183</v>
      </c>
      <c r="S499" s="9">
        <f t="shared" ca="1" si="159"/>
        <v>1.1164406501439968E-2</v>
      </c>
      <c r="T499" s="9">
        <f t="shared" ca="1" si="160"/>
        <v>2.1760740858388777E-3</v>
      </c>
      <c r="U499" s="9">
        <f t="shared" ca="1" si="161"/>
        <v>-2.8262163652596622E-2</v>
      </c>
      <c r="AB499" s="33" t="e">
        <f t="shared" ca="1" si="167"/>
        <v>#N/A</v>
      </c>
      <c r="AC499" s="34" t="e">
        <f t="shared" ca="1" si="168"/>
        <v>#N/A</v>
      </c>
      <c r="AD499" s="34" t="e">
        <f t="shared" ca="1" si="169"/>
        <v>#N/A</v>
      </c>
      <c r="AE499" s="33" t="e">
        <f t="shared" ca="1" si="170"/>
        <v>#N/A</v>
      </c>
      <c r="AF499" s="34" t="e">
        <f t="shared" ca="1" si="162"/>
        <v>#N/A</v>
      </c>
      <c r="AG499" s="34" t="e">
        <f t="shared" ca="1" si="163"/>
        <v>#N/A</v>
      </c>
      <c r="AH499" s="34" t="e">
        <f t="shared" ca="1" si="164"/>
        <v>#N/A</v>
      </c>
      <c r="AI499" s="33" t="e">
        <f t="shared" ca="1" si="171"/>
        <v>#N/A</v>
      </c>
      <c r="AJ499" s="34" t="e">
        <f t="shared" ca="1" si="172"/>
        <v>#N/A</v>
      </c>
      <c r="AK499" s="34" t="e">
        <f t="shared" ca="1" si="165"/>
        <v>#N/A</v>
      </c>
      <c r="AL499" s="34" t="e">
        <f t="shared" ca="1" si="166"/>
        <v>#N/A</v>
      </c>
      <c r="AM499" s="33" t="e">
        <f t="shared" ca="1" si="173"/>
        <v>#N/A</v>
      </c>
      <c r="AN499" s="34" t="e">
        <f t="shared" ca="1" si="174"/>
        <v>#N/A</v>
      </c>
    </row>
    <row r="500" spans="1:40" x14ac:dyDescent="0.3">
      <c r="A500" s="2">
        <v>44186</v>
      </c>
      <c r="B500" s="9">
        <v>62.029998999999997</v>
      </c>
      <c r="C500" s="9">
        <v>101.33000199999999</v>
      </c>
      <c r="D500" s="9">
        <v>54.049999</v>
      </c>
      <c r="E500" s="10"/>
      <c r="F500" s="13">
        <v>497</v>
      </c>
      <c r="G500" s="2">
        <v>44186</v>
      </c>
      <c r="H500" s="14">
        <f t="shared" si="155"/>
        <v>-1.6309923686705839E-2</v>
      </c>
      <c r="I500" s="14">
        <f t="shared" si="156"/>
        <v>1.18498087735408E-3</v>
      </c>
      <c r="J500" s="14">
        <f t="shared" si="157"/>
        <v>-1.3233073211800506E-2</v>
      </c>
      <c r="K500" s="22">
        <v>497</v>
      </c>
      <c r="L500" s="12"/>
      <c r="Q500" s="15">
        <f t="shared" si="158"/>
        <v>497</v>
      </c>
      <c r="R500" s="2">
        <f t="shared" si="154"/>
        <v>44186</v>
      </c>
      <c r="S500" s="9">
        <f t="shared" ca="1" si="159"/>
        <v>-1.6309923686705839E-2</v>
      </c>
      <c r="T500" s="9">
        <f t="shared" ca="1" si="160"/>
        <v>1.18498087735408E-3</v>
      </c>
      <c r="U500" s="9">
        <f t="shared" ca="1" si="161"/>
        <v>-1.3233073211800506E-2</v>
      </c>
      <c r="AB500" s="33" t="e">
        <f t="shared" ca="1" si="167"/>
        <v>#N/A</v>
      </c>
      <c r="AC500" s="34" t="e">
        <f t="shared" ca="1" si="168"/>
        <v>#N/A</v>
      </c>
      <c r="AD500" s="34" t="e">
        <f t="shared" ca="1" si="169"/>
        <v>#N/A</v>
      </c>
      <c r="AE500" s="33" t="e">
        <f t="shared" ca="1" si="170"/>
        <v>#N/A</v>
      </c>
      <c r="AF500" s="34" t="e">
        <f t="shared" ca="1" si="162"/>
        <v>#N/A</v>
      </c>
      <c r="AG500" s="34" t="e">
        <f t="shared" ca="1" si="163"/>
        <v>#N/A</v>
      </c>
      <c r="AH500" s="34" t="e">
        <f t="shared" ca="1" si="164"/>
        <v>#N/A</v>
      </c>
      <c r="AI500" s="33" t="e">
        <f t="shared" ca="1" si="171"/>
        <v>#N/A</v>
      </c>
      <c r="AJ500" s="34" t="e">
        <f t="shared" ca="1" si="172"/>
        <v>#N/A</v>
      </c>
      <c r="AK500" s="34" t="e">
        <f t="shared" ca="1" si="165"/>
        <v>#N/A</v>
      </c>
      <c r="AL500" s="34" t="e">
        <f t="shared" ca="1" si="166"/>
        <v>#N/A</v>
      </c>
      <c r="AM500" s="33" t="e">
        <f t="shared" ca="1" si="173"/>
        <v>#N/A</v>
      </c>
      <c r="AN500" s="34" t="e">
        <f t="shared" ca="1" si="174"/>
        <v>#N/A</v>
      </c>
    </row>
    <row r="501" spans="1:40" x14ac:dyDescent="0.3">
      <c r="A501" s="2">
        <v>44187</v>
      </c>
      <c r="B501" s="9">
        <v>62.040000999999997</v>
      </c>
      <c r="C501" s="9">
        <v>98.839995999999999</v>
      </c>
      <c r="D501" s="9">
        <v>53.700001</v>
      </c>
      <c r="E501" s="10"/>
      <c r="F501" s="13">
        <v>498</v>
      </c>
      <c r="G501" s="2">
        <v>44187</v>
      </c>
      <c r="H501" s="14">
        <f t="shared" si="155"/>
        <v>1.6123156317680821E-4</v>
      </c>
      <c r="I501" s="14">
        <f t="shared" si="156"/>
        <v>-2.4880196546754378E-2</v>
      </c>
      <c r="J501" s="14">
        <f t="shared" si="157"/>
        <v>-6.4965054470367475E-3</v>
      </c>
      <c r="K501" s="22">
        <v>498</v>
      </c>
      <c r="L501" s="12"/>
      <c r="Q501" s="15">
        <f t="shared" si="158"/>
        <v>498</v>
      </c>
      <c r="R501" s="2">
        <f t="shared" si="154"/>
        <v>44187</v>
      </c>
      <c r="S501" s="9">
        <f t="shared" ca="1" si="159"/>
        <v>1.6123156317680821E-4</v>
      </c>
      <c r="T501" s="9">
        <f t="shared" ca="1" si="160"/>
        <v>-2.4880196546754378E-2</v>
      </c>
      <c r="U501" s="9">
        <f t="shared" ca="1" si="161"/>
        <v>-6.4965054470367475E-3</v>
      </c>
      <c r="AB501" s="33" t="e">
        <f t="shared" ca="1" si="167"/>
        <v>#N/A</v>
      </c>
      <c r="AC501" s="34" t="e">
        <f t="shared" ca="1" si="168"/>
        <v>#N/A</v>
      </c>
      <c r="AD501" s="34" t="e">
        <f t="shared" ca="1" si="169"/>
        <v>#N/A</v>
      </c>
      <c r="AE501" s="33" t="e">
        <f t="shared" ca="1" si="170"/>
        <v>#N/A</v>
      </c>
      <c r="AF501" s="34" t="e">
        <f t="shared" ca="1" si="162"/>
        <v>#N/A</v>
      </c>
      <c r="AG501" s="34" t="e">
        <f t="shared" ca="1" si="163"/>
        <v>#N/A</v>
      </c>
      <c r="AH501" s="34" t="e">
        <f t="shared" ca="1" si="164"/>
        <v>#N/A</v>
      </c>
      <c r="AI501" s="33" t="e">
        <f t="shared" ca="1" si="171"/>
        <v>#N/A</v>
      </c>
      <c r="AJ501" s="34" t="e">
        <f t="shared" ca="1" si="172"/>
        <v>#N/A</v>
      </c>
      <c r="AK501" s="34" t="e">
        <f t="shared" ca="1" si="165"/>
        <v>#N/A</v>
      </c>
      <c r="AL501" s="34" t="e">
        <f t="shared" ca="1" si="166"/>
        <v>#N/A</v>
      </c>
      <c r="AM501" s="33" t="e">
        <f t="shared" ca="1" si="173"/>
        <v>#N/A</v>
      </c>
      <c r="AN501" s="34" t="e">
        <f t="shared" ca="1" si="174"/>
        <v>#N/A</v>
      </c>
    </row>
    <row r="502" spans="1:40" x14ac:dyDescent="0.3">
      <c r="A502" s="2">
        <v>44188</v>
      </c>
      <c r="B502" s="9">
        <v>62.27</v>
      </c>
      <c r="C502" s="9">
        <v>101.959999</v>
      </c>
      <c r="D502" s="9">
        <v>55.790000999999997</v>
      </c>
      <c r="E502" s="10"/>
      <c r="F502" s="13">
        <v>499</v>
      </c>
      <c r="G502" s="2">
        <v>44188</v>
      </c>
      <c r="H502" s="14">
        <f t="shared" si="155"/>
        <v>3.7004144573896097E-3</v>
      </c>
      <c r="I502" s="14">
        <f t="shared" si="156"/>
        <v>3.1078229049183913E-2</v>
      </c>
      <c r="J502" s="14">
        <f t="shared" si="157"/>
        <v>3.8181639645003214E-2</v>
      </c>
      <c r="K502" s="22">
        <v>499</v>
      </c>
      <c r="L502" s="12"/>
      <c r="Q502" s="15">
        <f t="shared" si="158"/>
        <v>499</v>
      </c>
      <c r="R502" s="2">
        <f t="shared" si="154"/>
        <v>44188</v>
      </c>
      <c r="S502" s="9">
        <f t="shared" ca="1" si="159"/>
        <v>3.7004144573896097E-3</v>
      </c>
      <c r="T502" s="9">
        <f t="shared" ca="1" si="160"/>
        <v>3.1078229049183913E-2</v>
      </c>
      <c r="U502" s="9">
        <f t="shared" ca="1" si="161"/>
        <v>3.8181639645003214E-2</v>
      </c>
      <c r="AB502" s="33" t="e">
        <f t="shared" ca="1" si="167"/>
        <v>#N/A</v>
      </c>
      <c r="AC502" s="34" t="e">
        <f t="shared" ca="1" si="168"/>
        <v>#N/A</v>
      </c>
      <c r="AD502" s="34" t="e">
        <f t="shared" ca="1" si="169"/>
        <v>#N/A</v>
      </c>
      <c r="AE502" s="33" t="e">
        <f t="shared" ca="1" si="170"/>
        <v>#N/A</v>
      </c>
      <c r="AF502" s="34" t="e">
        <f t="shared" ca="1" si="162"/>
        <v>#N/A</v>
      </c>
      <c r="AG502" s="34" t="e">
        <f t="shared" ca="1" si="163"/>
        <v>#N/A</v>
      </c>
      <c r="AH502" s="34" t="e">
        <f t="shared" ca="1" si="164"/>
        <v>#N/A</v>
      </c>
      <c r="AI502" s="33" t="e">
        <f t="shared" ca="1" si="171"/>
        <v>#N/A</v>
      </c>
      <c r="AJ502" s="34" t="e">
        <f t="shared" ca="1" si="172"/>
        <v>#N/A</v>
      </c>
      <c r="AK502" s="34" t="e">
        <f t="shared" ca="1" si="165"/>
        <v>#N/A</v>
      </c>
      <c r="AL502" s="34" t="e">
        <f t="shared" ca="1" si="166"/>
        <v>#N/A</v>
      </c>
      <c r="AM502" s="33" t="e">
        <f t="shared" ca="1" si="173"/>
        <v>#N/A</v>
      </c>
      <c r="AN502" s="34" t="e">
        <f t="shared" ca="1" si="174"/>
        <v>#N/A</v>
      </c>
    </row>
    <row r="503" spans="1:40" x14ac:dyDescent="0.3">
      <c r="A503" s="2">
        <v>44189</v>
      </c>
      <c r="B503" s="9">
        <v>62.209999000000003</v>
      </c>
      <c r="C503" s="9">
        <v>100.91999800000001</v>
      </c>
      <c r="D503" s="9">
        <v>55.68</v>
      </c>
      <c r="E503" s="10"/>
      <c r="F503" s="13">
        <v>500</v>
      </c>
      <c r="G503" s="2">
        <v>44189</v>
      </c>
      <c r="H503" s="14">
        <f t="shared" si="155"/>
        <v>-9.6402643201838709E-4</v>
      </c>
      <c r="I503" s="14">
        <f t="shared" si="156"/>
        <v>-1.0252465744967383E-2</v>
      </c>
      <c r="J503" s="14">
        <f t="shared" si="157"/>
        <v>-1.9736437556317722E-3</v>
      </c>
      <c r="K503" s="22">
        <v>500</v>
      </c>
      <c r="L503" s="12"/>
      <c r="Q503" s="15">
        <f t="shared" si="158"/>
        <v>500</v>
      </c>
      <c r="R503" s="2">
        <f t="shared" si="154"/>
        <v>44189</v>
      </c>
      <c r="S503" s="9">
        <f t="shared" ca="1" si="159"/>
        <v>-9.6402643201838709E-4</v>
      </c>
      <c r="T503" s="9">
        <f t="shared" ca="1" si="160"/>
        <v>-1.0252465744967383E-2</v>
      </c>
      <c r="U503" s="9">
        <f t="shared" ca="1" si="161"/>
        <v>-1.9736437556317722E-3</v>
      </c>
      <c r="AB503" s="33" t="e">
        <f t="shared" ca="1" si="167"/>
        <v>#N/A</v>
      </c>
      <c r="AC503" s="34" t="e">
        <f t="shared" ca="1" si="168"/>
        <v>#N/A</v>
      </c>
      <c r="AD503" s="34" t="e">
        <f t="shared" ca="1" si="169"/>
        <v>#N/A</v>
      </c>
      <c r="AE503" s="33" t="e">
        <f t="shared" ca="1" si="170"/>
        <v>#N/A</v>
      </c>
      <c r="AF503" s="34" t="e">
        <f t="shared" ca="1" si="162"/>
        <v>#N/A</v>
      </c>
      <c r="AG503" s="34" t="e">
        <f t="shared" ca="1" si="163"/>
        <v>#N/A</v>
      </c>
      <c r="AH503" s="34" t="e">
        <f t="shared" ca="1" si="164"/>
        <v>#N/A</v>
      </c>
      <c r="AI503" s="33" t="e">
        <f t="shared" ca="1" si="171"/>
        <v>#N/A</v>
      </c>
      <c r="AJ503" s="34" t="e">
        <f t="shared" ca="1" si="172"/>
        <v>#N/A</v>
      </c>
      <c r="AK503" s="34" t="e">
        <f t="shared" ca="1" si="165"/>
        <v>#N/A</v>
      </c>
      <c r="AL503" s="34" t="e">
        <f t="shared" ca="1" si="166"/>
        <v>#N/A</v>
      </c>
      <c r="AM503" s="33" t="e">
        <f t="shared" ca="1" si="173"/>
        <v>#N/A</v>
      </c>
      <c r="AN503" s="34" t="e">
        <f t="shared" ca="1" si="174"/>
        <v>#N/A</v>
      </c>
    </row>
    <row r="504" spans="1:40" x14ac:dyDescent="0.3">
      <c r="A504" s="2">
        <v>44193</v>
      </c>
      <c r="B504" s="9">
        <v>62.689999</v>
      </c>
      <c r="C504" s="9">
        <v>103.44000200000001</v>
      </c>
      <c r="D504" s="9">
        <v>55.09</v>
      </c>
      <c r="E504" s="10"/>
      <c r="F504" s="13">
        <v>501</v>
      </c>
      <c r="G504" s="2">
        <v>44193</v>
      </c>
      <c r="H504" s="14">
        <f t="shared" si="155"/>
        <v>7.6861868820273767E-3</v>
      </c>
      <c r="I504" s="14">
        <f t="shared" si="156"/>
        <v>2.4663649843302642E-2</v>
      </c>
      <c r="J504" s="14">
        <f t="shared" si="157"/>
        <v>-1.0652804541538972E-2</v>
      </c>
      <c r="K504" s="22">
        <v>501</v>
      </c>
      <c r="L504" s="12"/>
      <c r="Q504" s="15">
        <f t="shared" si="158"/>
        <v>501</v>
      </c>
      <c r="R504" s="2">
        <f t="shared" si="154"/>
        <v>44193</v>
      </c>
      <c r="S504" s="9">
        <f t="shared" ca="1" si="159"/>
        <v>7.6861868820273767E-3</v>
      </c>
      <c r="T504" s="9">
        <f t="shared" ca="1" si="160"/>
        <v>2.4663649843302642E-2</v>
      </c>
      <c r="U504" s="9">
        <f t="shared" ca="1" si="161"/>
        <v>-1.0652804541538972E-2</v>
      </c>
      <c r="AB504" s="33" t="e">
        <f t="shared" ca="1" si="167"/>
        <v>#N/A</v>
      </c>
      <c r="AC504" s="34" t="e">
        <f t="shared" ca="1" si="168"/>
        <v>#N/A</v>
      </c>
      <c r="AD504" s="34" t="e">
        <f t="shared" ca="1" si="169"/>
        <v>#N/A</v>
      </c>
      <c r="AE504" s="33" t="e">
        <f t="shared" ca="1" si="170"/>
        <v>#N/A</v>
      </c>
      <c r="AF504" s="34" t="e">
        <f t="shared" ca="1" si="162"/>
        <v>#N/A</v>
      </c>
      <c r="AG504" s="34" t="e">
        <f t="shared" ca="1" si="163"/>
        <v>#N/A</v>
      </c>
      <c r="AH504" s="34" t="e">
        <f t="shared" ca="1" si="164"/>
        <v>#N/A</v>
      </c>
      <c r="AI504" s="33" t="e">
        <f t="shared" ca="1" si="171"/>
        <v>#N/A</v>
      </c>
      <c r="AJ504" s="34" t="e">
        <f t="shared" ca="1" si="172"/>
        <v>#N/A</v>
      </c>
      <c r="AK504" s="34" t="e">
        <f t="shared" ca="1" si="165"/>
        <v>#N/A</v>
      </c>
      <c r="AL504" s="34" t="e">
        <f t="shared" ca="1" si="166"/>
        <v>#N/A</v>
      </c>
      <c r="AM504" s="33" t="e">
        <f t="shared" ca="1" si="173"/>
        <v>#N/A</v>
      </c>
      <c r="AN504" s="34" t="e">
        <f t="shared" ca="1" si="174"/>
        <v>#N/A</v>
      </c>
    </row>
    <row r="505" spans="1:40" x14ac:dyDescent="0.3">
      <c r="A505" s="2">
        <v>44194</v>
      </c>
      <c r="B505" s="9">
        <v>62.259998000000003</v>
      </c>
      <c r="C505" s="9">
        <v>101.55999799999999</v>
      </c>
      <c r="D505" s="9">
        <v>55.450001</v>
      </c>
      <c r="E505" s="10"/>
      <c r="F505" s="13">
        <v>502</v>
      </c>
      <c r="G505" s="2">
        <v>44194</v>
      </c>
      <c r="H505" s="14">
        <f t="shared" si="155"/>
        <v>-6.8827964442616761E-3</v>
      </c>
      <c r="I505" s="14">
        <f t="shared" si="156"/>
        <v>-1.8342016654797101E-2</v>
      </c>
      <c r="J505" s="14">
        <f t="shared" si="157"/>
        <v>6.5135203460157109E-3</v>
      </c>
      <c r="K505" s="22">
        <v>502</v>
      </c>
      <c r="L505" s="12"/>
      <c r="Q505" s="15">
        <f t="shared" si="158"/>
        <v>502</v>
      </c>
      <c r="R505" s="2">
        <f t="shared" si="154"/>
        <v>44194</v>
      </c>
      <c r="S505" s="9">
        <f t="shared" ca="1" si="159"/>
        <v>-6.8827964442616761E-3</v>
      </c>
      <c r="T505" s="9">
        <f t="shared" ca="1" si="160"/>
        <v>-1.8342016654797101E-2</v>
      </c>
      <c r="U505" s="9">
        <f t="shared" ca="1" si="161"/>
        <v>6.5135203460157109E-3</v>
      </c>
      <c r="AB505" s="33" t="e">
        <f t="shared" ca="1" si="167"/>
        <v>#N/A</v>
      </c>
      <c r="AC505" s="34" t="e">
        <f t="shared" ca="1" si="168"/>
        <v>#N/A</v>
      </c>
      <c r="AD505" s="34" t="e">
        <f t="shared" ca="1" si="169"/>
        <v>#N/A</v>
      </c>
      <c r="AE505" s="33" t="e">
        <f t="shared" ca="1" si="170"/>
        <v>#N/A</v>
      </c>
      <c r="AF505" s="34" t="e">
        <f t="shared" ca="1" si="162"/>
        <v>#N/A</v>
      </c>
      <c r="AG505" s="34" t="e">
        <f t="shared" ca="1" si="163"/>
        <v>#N/A</v>
      </c>
      <c r="AH505" s="34" t="e">
        <f t="shared" ca="1" si="164"/>
        <v>#N/A</v>
      </c>
      <c r="AI505" s="33" t="e">
        <f t="shared" ca="1" si="171"/>
        <v>#N/A</v>
      </c>
      <c r="AJ505" s="34" t="e">
        <f t="shared" ca="1" si="172"/>
        <v>#N/A</v>
      </c>
      <c r="AK505" s="34" t="e">
        <f t="shared" ca="1" si="165"/>
        <v>#N/A</v>
      </c>
      <c r="AL505" s="34" t="e">
        <f t="shared" ca="1" si="166"/>
        <v>#N/A</v>
      </c>
      <c r="AM505" s="33" t="e">
        <f t="shared" ca="1" si="173"/>
        <v>#N/A</v>
      </c>
      <c r="AN505" s="34" t="e">
        <f t="shared" ca="1" si="174"/>
        <v>#N/A</v>
      </c>
    </row>
    <row r="506" spans="1:40" x14ac:dyDescent="0.3">
      <c r="A506" s="2">
        <v>44195</v>
      </c>
      <c r="B506" s="9">
        <v>62.099997999999999</v>
      </c>
      <c r="C506" s="9">
        <v>103.94000200000001</v>
      </c>
      <c r="D506" s="9">
        <v>56.720001000000003</v>
      </c>
      <c r="E506" s="10"/>
      <c r="F506" s="13">
        <v>503</v>
      </c>
      <c r="G506" s="2">
        <v>44195</v>
      </c>
      <c r="H506" s="14">
        <f t="shared" si="155"/>
        <v>-2.5731761567945369E-3</v>
      </c>
      <c r="I506" s="14">
        <f t="shared" si="156"/>
        <v>2.3164091678480974E-2</v>
      </c>
      <c r="J506" s="14">
        <f t="shared" si="157"/>
        <v>2.264516802369651E-2</v>
      </c>
      <c r="K506" s="22">
        <v>503</v>
      </c>
      <c r="L506" s="12"/>
      <c r="Q506" s="15">
        <f t="shared" si="158"/>
        <v>503</v>
      </c>
      <c r="R506" s="2">
        <f t="shared" si="154"/>
        <v>44195</v>
      </c>
      <c r="S506" s="9">
        <f t="shared" ca="1" si="159"/>
        <v>-2.5731761567945369E-3</v>
      </c>
      <c r="T506" s="9">
        <f t="shared" ca="1" si="160"/>
        <v>2.3164091678480974E-2</v>
      </c>
      <c r="U506" s="9">
        <f t="shared" ca="1" si="161"/>
        <v>2.264516802369651E-2</v>
      </c>
      <c r="AB506" s="33" t="e">
        <f t="shared" ca="1" si="167"/>
        <v>#N/A</v>
      </c>
      <c r="AC506" s="34" t="e">
        <f t="shared" ca="1" si="168"/>
        <v>#N/A</v>
      </c>
      <c r="AD506" s="34" t="e">
        <f t="shared" ca="1" si="169"/>
        <v>#N/A</v>
      </c>
      <c r="AE506" s="33" t="e">
        <f t="shared" ca="1" si="170"/>
        <v>#N/A</v>
      </c>
      <c r="AF506" s="34" t="e">
        <f t="shared" ca="1" si="162"/>
        <v>#N/A</v>
      </c>
      <c r="AG506" s="34" t="e">
        <f t="shared" ca="1" si="163"/>
        <v>#N/A</v>
      </c>
      <c r="AH506" s="34" t="e">
        <f t="shared" ca="1" si="164"/>
        <v>#N/A</v>
      </c>
      <c r="AI506" s="33" t="e">
        <f t="shared" ca="1" si="171"/>
        <v>#N/A</v>
      </c>
      <c r="AJ506" s="34" t="e">
        <f t="shared" ca="1" si="172"/>
        <v>#N/A</v>
      </c>
      <c r="AK506" s="34" t="e">
        <f t="shared" ca="1" si="165"/>
        <v>#N/A</v>
      </c>
      <c r="AL506" s="34" t="e">
        <f t="shared" ca="1" si="166"/>
        <v>#N/A</v>
      </c>
      <c r="AM506" s="33" t="e">
        <f t="shared" ca="1" si="173"/>
        <v>#N/A</v>
      </c>
      <c r="AN506" s="34" t="e">
        <f t="shared" ca="1" si="174"/>
        <v>#N/A</v>
      </c>
    </row>
    <row r="507" spans="1:40" x14ac:dyDescent="0.3">
      <c r="A507" s="2">
        <v>44196</v>
      </c>
      <c r="B507" s="9">
        <v>62.48</v>
      </c>
      <c r="C507" s="9">
        <v>103.739998</v>
      </c>
      <c r="D507" s="9">
        <v>56.57</v>
      </c>
      <c r="E507" s="10"/>
      <c r="F507" s="13">
        <v>504</v>
      </c>
      <c r="G507" s="2">
        <v>44196</v>
      </c>
      <c r="H507" s="14">
        <f t="shared" si="155"/>
        <v>6.1005487981170819E-3</v>
      </c>
      <c r="I507" s="14">
        <f t="shared" si="156"/>
        <v>-1.9260791778787296E-3</v>
      </c>
      <c r="J507" s="14">
        <f t="shared" si="157"/>
        <v>-2.6480904992730644E-3</v>
      </c>
      <c r="K507" s="22">
        <v>504</v>
      </c>
      <c r="L507" s="12"/>
      <c r="Q507" s="15">
        <f t="shared" si="158"/>
        <v>504</v>
      </c>
      <c r="R507" s="2">
        <f t="shared" si="154"/>
        <v>44196</v>
      </c>
      <c r="S507" s="9">
        <f t="shared" ca="1" si="159"/>
        <v>6.1005487981170819E-3</v>
      </c>
      <c r="T507" s="9">
        <f t="shared" ca="1" si="160"/>
        <v>-1.9260791778787296E-3</v>
      </c>
      <c r="U507" s="9">
        <f t="shared" ca="1" si="161"/>
        <v>-2.6480904992730644E-3</v>
      </c>
      <c r="AB507" s="33" t="e">
        <f t="shared" ca="1" si="167"/>
        <v>#N/A</v>
      </c>
      <c r="AC507" s="34" t="e">
        <f t="shared" ca="1" si="168"/>
        <v>#N/A</v>
      </c>
      <c r="AD507" s="34" t="e">
        <f t="shared" ca="1" si="169"/>
        <v>#N/A</v>
      </c>
      <c r="AE507" s="33" t="e">
        <f t="shared" ca="1" si="170"/>
        <v>#N/A</v>
      </c>
      <c r="AF507" s="34" t="e">
        <f t="shared" ca="1" si="162"/>
        <v>#N/A</v>
      </c>
      <c r="AG507" s="34" t="e">
        <f t="shared" ca="1" si="163"/>
        <v>#N/A</v>
      </c>
      <c r="AH507" s="34" t="e">
        <f t="shared" ca="1" si="164"/>
        <v>#N/A</v>
      </c>
      <c r="AI507" s="33" t="e">
        <f t="shared" ca="1" si="171"/>
        <v>#N/A</v>
      </c>
      <c r="AJ507" s="34" t="e">
        <f t="shared" ca="1" si="172"/>
        <v>#N/A</v>
      </c>
      <c r="AK507" s="34" t="e">
        <f t="shared" ca="1" si="165"/>
        <v>#N/A</v>
      </c>
      <c r="AL507" s="34" t="e">
        <f t="shared" ca="1" si="166"/>
        <v>#N/A</v>
      </c>
      <c r="AM507" s="33" t="e">
        <f t="shared" ca="1" si="173"/>
        <v>#N/A</v>
      </c>
      <c r="AN507" s="34" t="e">
        <f t="shared" ca="1" si="174"/>
        <v>#N/A</v>
      </c>
    </row>
    <row r="508" spans="1:40" x14ac:dyDescent="0.3">
      <c r="A508" s="2">
        <v>44200</v>
      </c>
      <c r="B508" s="9">
        <v>61.150002000000001</v>
      </c>
      <c r="C508" s="9">
        <v>101.33000199999999</v>
      </c>
      <c r="D508" s="9">
        <v>55.73</v>
      </c>
      <c r="E508" s="10"/>
      <c r="F508" s="13">
        <v>505</v>
      </c>
      <c r="G508" s="2">
        <v>44200</v>
      </c>
      <c r="H508" s="14">
        <f t="shared" si="155"/>
        <v>-2.151661069179012E-2</v>
      </c>
      <c r="I508" s="14">
        <f t="shared" si="156"/>
        <v>-2.3505212446569997E-2</v>
      </c>
      <c r="J508" s="14">
        <f t="shared" si="157"/>
        <v>-1.4960207773619456E-2</v>
      </c>
      <c r="K508" s="22">
        <v>505</v>
      </c>
      <c r="L508" s="12"/>
      <c r="Q508" s="15">
        <f t="shared" si="158"/>
        <v>505</v>
      </c>
      <c r="R508" s="2">
        <f t="shared" si="154"/>
        <v>44200</v>
      </c>
      <c r="S508" s="9">
        <f t="shared" ca="1" si="159"/>
        <v>-2.151661069179012E-2</v>
      </c>
      <c r="T508" s="9">
        <f t="shared" ca="1" si="160"/>
        <v>-2.3505212446569997E-2</v>
      </c>
      <c r="U508" s="9">
        <f t="shared" ca="1" si="161"/>
        <v>-1.4960207773619456E-2</v>
      </c>
      <c r="AB508" s="33" t="e">
        <f t="shared" ca="1" si="167"/>
        <v>#N/A</v>
      </c>
      <c r="AC508" s="34" t="e">
        <f t="shared" ca="1" si="168"/>
        <v>#N/A</v>
      </c>
      <c r="AD508" s="34" t="e">
        <f t="shared" ca="1" si="169"/>
        <v>#N/A</v>
      </c>
      <c r="AE508" s="33" t="e">
        <f t="shared" ca="1" si="170"/>
        <v>#N/A</v>
      </c>
      <c r="AF508" s="34" t="e">
        <f t="shared" ca="1" si="162"/>
        <v>#N/A</v>
      </c>
      <c r="AG508" s="34" t="e">
        <f t="shared" ca="1" si="163"/>
        <v>#N/A</v>
      </c>
      <c r="AH508" s="34" t="e">
        <f t="shared" ca="1" si="164"/>
        <v>#N/A</v>
      </c>
      <c r="AI508" s="33" t="e">
        <f t="shared" ca="1" si="171"/>
        <v>#N/A</v>
      </c>
      <c r="AJ508" s="34" t="e">
        <f t="shared" ca="1" si="172"/>
        <v>#N/A</v>
      </c>
      <c r="AK508" s="34" t="e">
        <f t="shared" ca="1" si="165"/>
        <v>#N/A</v>
      </c>
      <c r="AL508" s="34" t="e">
        <f t="shared" ca="1" si="166"/>
        <v>#N/A</v>
      </c>
      <c r="AM508" s="33" t="e">
        <f t="shared" ca="1" si="173"/>
        <v>#N/A</v>
      </c>
      <c r="AN508" s="34" t="e">
        <f t="shared" ca="1" si="174"/>
        <v>#N/A</v>
      </c>
    </row>
    <row r="509" spans="1:40" x14ac:dyDescent="0.3">
      <c r="A509" s="2">
        <v>44201</v>
      </c>
      <c r="B509" s="9">
        <v>62.080002</v>
      </c>
      <c r="C509" s="9">
        <v>104</v>
      </c>
      <c r="D509" s="9">
        <v>57.32</v>
      </c>
      <c r="E509" s="10"/>
      <c r="F509" s="13">
        <v>506</v>
      </c>
      <c r="G509" s="2">
        <v>44201</v>
      </c>
      <c r="H509" s="14">
        <f t="shared" si="155"/>
        <v>1.5094013251817234E-2</v>
      </c>
      <c r="I509" s="14">
        <f t="shared" si="156"/>
        <v>2.600836194365538E-2</v>
      </c>
      <c r="J509" s="14">
        <f t="shared" si="157"/>
        <v>2.8131001378526144E-2</v>
      </c>
      <c r="K509" s="22">
        <v>506</v>
      </c>
      <c r="L509" s="12"/>
      <c r="Q509" s="15">
        <f t="shared" si="158"/>
        <v>506</v>
      </c>
      <c r="R509" s="2">
        <f t="shared" si="154"/>
        <v>44201</v>
      </c>
      <c r="S509" s="9">
        <f t="shared" ca="1" si="159"/>
        <v>1.5094013251817234E-2</v>
      </c>
      <c r="T509" s="9">
        <f t="shared" ca="1" si="160"/>
        <v>2.600836194365538E-2</v>
      </c>
      <c r="U509" s="9">
        <f t="shared" ca="1" si="161"/>
        <v>2.8131001378526144E-2</v>
      </c>
      <c r="AB509" s="33" t="e">
        <f t="shared" ca="1" si="167"/>
        <v>#N/A</v>
      </c>
      <c r="AC509" s="34" t="e">
        <f t="shared" ca="1" si="168"/>
        <v>#N/A</v>
      </c>
      <c r="AD509" s="34" t="e">
        <f t="shared" ca="1" si="169"/>
        <v>#N/A</v>
      </c>
      <c r="AE509" s="33" t="e">
        <f t="shared" ca="1" si="170"/>
        <v>#N/A</v>
      </c>
      <c r="AF509" s="34" t="e">
        <f t="shared" ca="1" si="162"/>
        <v>#N/A</v>
      </c>
      <c r="AG509" s="34" t="e">
        <f t="shared" ca="1" si="163"/>
        <v>#N/A</v>
      </c>
      <c r="AH509" s="34" t="e">
        <f t="shared" ca="1" si="164"/>
        <v>#N/A</v>
      </c>
      <c r="AI509" s="33" t="e">
        <f t="shared" ca="1" si="171"/>
        <v>#N/A</v>
      </c>
      <c r="AJ509" s="34" t="e">
        <f t="shared" ca="1" si="172"/>
        <v>#N/A</v>
      </c>
      <c r="AK509" s="34" t="e">
        <f t="shared" ca="1" si="165"/>
        <v>#N/A</v>
      </c>
      <c r="AL509" s="34" t="e">
        <f t="shared" ca="1" si="166"/>
        <v>#N/A</v>
      </c>
      <c r="AM509" s="33" t="e">
        <f t="shared" ca="1" si="173"/>
        <v>#N/A</v>
      </c>
      <c r="AN509" s="34" t="e">
        <f t="shared" ca="1" si="174"/>
        <v>#N/A</v>
      </c>
    </row>
    <row r="510" spans="1:40" x14ac:dyDescent="0.3">
      <c r="A510" s="2">
        <v>44202</v>
      </c>
      <c r="B510" s="9">
        <v>64.120002999999997</v>
      </c>
      <c r="C510" s="9">
        <v>109.44000200000001</v>
      </c>
      <c r="D510" s="9">
        <v>58.599997999999999</v>
      </c>
      <c r="E510" s="10"/>
      <c r="F510" s="13">
        <v>507</v>
      </c>
      <c r="G510" s="2">
        <v>44202</v>
      </c>
      <c r="H510" s="14">
        <f t="shared" si="155"/>
        <v>3.2332466437167334E-2</v>
      </c>
      <c r="I510" s="14">
        <f t="shared" si="156"/>
        <v>5.0985573007721351E-2</v>
      </c>
      <c r="J510" s="14">
        <f t="shared" si="157"/>
        <v>2.2085059493302407E-2</v>
      </c>
      <c r="K510" s="22">
        <v>507</v>
      </c>
      <c r="L510" s="12"/>
      <c r="Q510" s="15">
        <f t="shared" si="158"/>
        <v>507</v>
      </c>
      <c r="R510" s="2">
        <f t="shared" si="154"/>
        <v>44202</v>
      </c>
      <c r="S510" s="9">
        <f t="shared" ca="1" si="159"/>
        <v>3.2332466437167334E-2</v>
      </c>
      <c r="T510" s="9">
        <f t="shared" ca="1" si="160"/>
        <v>5.0985573007721351E-2</v>
      </c>
      <c r="U510" s="9">
        <f t="shared" ca="1" si="161"/>
        <v>2.2085059493302407E-2</v>
      </c>
      <c r="AB510" s="33" t="e">
        <f t="shared" ca="1" si="167"/>
        <v>#N/A</v>
      </c>
      <c r="AC510" s="34" t="e">
        <f t="shared" ca="1" si="168"/>
        <v>#N/A</v>
      </c>
      <c r="AD510" s="34" t="e">
        <f t="shared" ca="1" si="169"/>
        <v>#N/A</v>
      </c>
      <c r="AE510" s="33" t="e">
        <f t="shared" ca="1" si="170"/>
        <v>#N/A</v>
      </c>
      <c r="AF510" s="34" t="e">
        <f t="shared" ca="1" si="162"/>
        <v>#N/A</v>
      </c>
      <c r="AG510" s="34" t="e">
        <f t="shared" ca="1" si="163"/>
        <v>#N/A</v>
      </c>
      <c r="AH510" s="34" t="e">
        <f t="shared" ca="1" si="164"/>
        <v>#N/A</v>
      </c>
      <c r="AI510" s="33" t="e">
        <f t="shared" ca="1" si="171"/>
        <v>#N/A</v>
      </c>
      <c r="AJ510" s="34" t="e">
        <f t="shared" ca="1" si="172"/>
        <v>#N/A</v>
      </c>
      <c r="AK510" s="34" t="e">
        <f t="shared" ca="1" si="165"/>
        <v>#N/A</v>
      </c>
      <c r="AL510" s="34" t="e">
        <f t="shared" ca="1" si="166"/>
        <v>#N/A</v>
      </c>
      <c r="AM510" s="33" t="e">
        <f t="shared" ca="1" si="173"/>
        <v>#N/A</v>
      </c>
      <c r="AN510" s="34" t="e">
        <f t="shared" ca="1" si="174"/>
        <v>#N/A</v>
      </c>
    </row>
    <row r="511" spans="1:40" x14ac:dyDescent="0.3">
      <c r="A511" s="2">
        <v>44203</v>
      </c>
      <c r="B511" s="9">
        <v>65.069999999999993</v>
      </c>
      <c r="C511" s="9">
        <v>112.18</v>
      </c>
      <c r="D511" s="9">
        <v>59.669998</v>
      </c>
      <c r="E511" s="10"/>
      <c r="F511" s="13">
        <v>508</v>
      </c>
      <c r="G511" s="2">
        <v>44203</v>
      </c>
      <c r="H511" s="14">
        <f t="shared" si="155"/>
        <v>1.4707238978267593E-2</v>
      </c>
      <c r="I511" s="14">
        <f t="shared" si="156"/>
        <v>2.4728251931096932E-2</v>
      </c>
      <c r="J511" s="14">
        <f t="shared" si="157"/>
        <v>1.8094685563035767E-2</v>
      </c>
      <c r="K511" s="22">
        <v>508</v>
      </c>
      <c r="L511" s="12"/>
      <c r="Q511" s="15">
        <f t="shared" si="158"/>
        <v>508</v>
      </c>
      <c r="R511" s="2">
        <f t="shared" si="154"/>
        <v>44203</v>
      </c>
      <c r="S511" s="9">
        <f t="shared" ca="1" si="159"/>
        <v>1.4707238978267593E-2</v>
      </c>
      <c r="T511" s="9">
        <f t="shared" ca="1" si="160"/>
        <v>2.4728251931096932E-2</v>
      </c>
      <c r="U511" s="9">
        <f t="shared" ca="1" si="161"/>
        <v>1.8094685563035767E-2</v>
      </c>
      <c r="AB511" s="33" t="e">
        <f t="shared" ca="1" si="167"/>
        <v>#N/A</v>
      </c>
      <c r="AC511" s="34" t="e">
        <f t="shared" ca="1" si="168"/>
        <v>#N/A</v>
      </c>
      <c r="AD511" s="34" t="e">
        <f t="shared" ca="1" si="169"/>
        <v>#N/A</v>
      </c>
      <c r="AE511" s="33" t="e">
        <f t="shared" ca="1" si="170"/>
        <v>#N/A</v>
      </c>
      <c r="AF511" s="34" t="e">
        <f t="shared" ca="1" si="162"/>
        <v>#N/A</v>
      </c>
      <c r="AG511" s="34" t="e">
        <f t="shared" ca="1" si="163"/>
        <v>#N/A</v>
      </c>
      <c r="AH511" s="34" t="e">
        <f t="shared" ca="1" si="164"/>
        <v>#N/A</v>
      </c>
      <c r="AI511" s="33" t="e">
        <f t="shared" ca="1" si="171"/>
        <v>#N/A</v>
      </c>
      <c r="AJ511" s="34" t="e">
        <f t="shared" ca="1" si="172"/>
        <v>#N/A</v>
      </c>
      <c r="AK511" s="34" t="e">
        <f t="shared" ca="1" si="165"/>
        <v>#N/A</v>
      </c>
      <c r="AL511" s="34" t="e">
        <f t="shared" ca="1" si="166"/>
        <v>#N/A</v>
      </c>
      <c r="AM511" s="33" t="e">
        <f t="shared" ca="1" si="173"/>
        <v>#N/A</v>
      </c>
      <c r="AN511" s="34" t="e">
        <f t="shared" ca="1" si="174"/>
        <v>#N/A</v>
      </c>
    </row>
    <row r="512" spans="1:40" x14ac:dyDescent="0.3">
      <c r="A512" s="2">
        <v>44204</v>
      </c>
      <c r="B512" s="9">
        <v>64.370002999999997</v>
      </c>
      <c r="C512" s="9">
        <v>109.480003</v>
      </c>
      <c r="D512" s="9">
        <v>57.709999000000003</v>
      </c>
      <c r="E512" s="10"/>
      <c r="F512" s="13">
        <v>509</v>
      </c>
      <c r="G512" s="2">
        <v>44204</v>
      </c>
      <c r="H512" s="14">
        <f t="shared" si="155"/>
        <v>-1.0815880836807642E-2</v>
      </c>
      <c r="I512" s="14">
        <f t="shared" si="156"/>
        <v>-2.4362812505447785E-2</v>
      </c>
      <c r="J512" s="14">
        <f t="shared" si="157"/>
        <v>-3.3398896621453851E-2</v>
      </c>
      <c r="K512" s="22">
        <v>509</v>
      </c>
      <c r="L512" s="12"/>
      <c r="Q512" s="15">
        <f t="shared" si="158"/>
        <v>509</v>
      </c>
      <c r="R512" s="2">
        <f t="shared" si="154"/>
        <v>44204</v>
      </c>
      <c r="S512" s="9">
        <f t="shared" ca="1" si="159"/>
        <v>-1.0815880836807642E-2</v>
      </c>
      <c r="T512" s="9">
        <f t="shared" ca="1" si="160"/>
        <v>-2.4362812505447785E-2</v>
      </c>
      <c r="U512" s="9">
        <f t="shared" ca="1" si="161"/>
        <v>-3.3398896621453851E-2</v>
      </c>
      <c r="AB512" s="33" t="e">
        <f t="shared" ca="1" si="167"/>
        <v>#N/A</v>
      </c>
      <c r="AC512" s="34" t="e">
        <f t="shared" ca="1" si="168"/>
        <v>#N/A</v>
      </c>
      <c r="AD512" s="34" t="e">
        <f t="shared" ca="1" si="169"/>
        <v>#N/A</v>
      </c>
      <c r="AE512" s="33" t="e">
        <f t="shared" ca="1" si="170"/>
        <v>#N/A</v>
      </c>
      <c r="AF512" s="34" t="e">
        <f t="shared" ca="1" si="162"/>
        <v>#N/A</v>
      </c>
      <c r="AG512" s="34" t="e">
        <f t="shared" ca="1" si="163"/>
        <v>#N/A</v>
      </c>
      <c r="AH512" s="34" t="e">
        <f t="shared" ca="1" si="164"/>
        <v>#N/A</v>
      </c>
      <c r="AI512" s="33" t="e">
        <f t="shared" ca="1" si="171"/>
        <v>#N/A</v>
      </c>
      <c r="AJ512" s="34" t="e">
        <f t="shared" ca="1" si="172"/>
        <v>#N/A</v>
      </c>
      <c r="AK512" s="34" t="e">
        <f t="shared" ca="1" si="165"/>
        <v>#N/A</v>
      </c>
      <c r="AL512" s="34" t="e">
        <f t="shared" ca="1" si="166"/>
        <v>#N/A</v>
      </c>
      <c r="AM512" s="33" t="e">
        <f t="shared" ca="1" si="173"/>
        <v>#N/A</v>
      </c>
      <c r="AN512" s="34" t="e">
        <f t="shared" ca="1" si="174"/>
        <v>#N/A</v>
      </c>
    </row>
    <row r="513" spans="1:40" x14ac:dyDescent="0.3">
      <c r="A513" s="2">
        <v>44207</v>
      </c>
      <c r="B513" s="9">
        <v>63.080002</v>
      </c>
      <c r="C513" s="9">
        <v>110.589996</v>
      </c>
      <c r="D513" s="9">
        <v>58.639999000000003</v>
      </c>
      <c r="E513" s="10"/>
      <c r="F513" s="13">
        <v>510</v>
      </c>
      <c r="G513" s="2">
        <v>44207</v>
      </c>
      <c r="H513" s="14">
        <f t="shared" si="155"/>
        <v>-2.024393886947732E-2</v>
      </c>
      <c r="I513" s="14">
        <f t="shared" si="156"/>
        <v>1.0087721342889183E-2</v>
      </c>
      <c r="J513" s="14">
        <f t="shared" si="157"/>
        <v>1.5986589130334461E-2</v>
      </c>
      <c r="K513" s="22">
        <v>510</v>
      </c>
      <c r="L513" s="12"/>
      <c r="Q513" s="15">
        <f t="shared" si="158"/>
        <v>510</v>
      </c>
      <c r="R513" s="2">
        <f t="shared" si="154"/>
        <v>44207</v>
      </c>
      <c r="S513" s="9">
        <f t="shared" ca="1" si="159"/>
        <v>-2.024393886947732E-2</v>
      </c>
      <c r="T513" s="9">
        <f t="shared" ca="1" si="160"/>
        <v>1.0087721342889183E-2</v>
      </c>
      <c r="U513" s="9">
        <f t="shared" ca="1" si="161"/>
        <v>1.5986589130334461E-2</v>
      </c>
      <c r="AB513" s="33" t="e">
        <f t="shared" ca="1" si="167"/>
        <v>#N/A</v>
      </c>
      <c r="AC513" s="34" t="e">
        <f t="shared" ca="1" si="168"/>
        <v>#N/A</v>
      </c>
      <c r="AD513" s="34" t="e">
        <f t="shared" ca="1" si="169"/>
        <v>#N/A</v>
      </c>
      <c r="AE513" s="33" t="e">
        <f t="shared" ca="1" si="170"/>
        <v>#N/A</v>
      </c>
      <c r="AF513" s="34" t="e">
        <f t="shared" ca="1" si="162"/>
        <v>#N/A</v>
      </c>
      <c r="AG513" s="34" t="e">
        <f t="shared" ca="1" si="163"/>
        <v>#N/A</v>
      </c>
      <c r="AH513" s="34" t="e">
        <f t="shared" ca="1" si="164"/>
        <v>#N/A</v>
      </c>
      <c r="AI513" s="33" t="e">
        <f t="shared" ca="1" si="171"/>
        <v>#N/A</v>
      </c>
      <c r="AJ513" s="34" t="e">
        <f t="shared" ca="1" si="172"/>
        <v>#N/A</v>
      </c>
      <c r="AK513" s="34" t="e">
        <f t="shared" ca="1" si="165"/>
        <v>#N/A</v>
      </c>
      <c r="AL513" s="34" t="e">
        <f t="shared" ca="1" si="166"/>
        <v>#N/A</v>
      </c>
      <c r="AM513" s="33" t="e">
        <f t="shared" ca="1" si="173"/>
        <v>#N/A</v>
      </c>
      <c r="AN513" s="34" t="e">
        <f t="shared" ca="1" si="174"/>
        <v>#N/A</v>
      </c>
    </row>
    <row r="514" spans="1:40" x14ac:dyDescent="0.3">
      <c r="A514" s="2">
        <v>44208</v>
      </c>
      <c r="B514" s="9">
        <v>64.400002000000001</v>
      </c>
      <c r="C514" s="9">
        <v>114.510002</v>
      </c>
      <c r="D514" s="9">
        <v>59.509998000000003</v>
      </c>
      <c r="E514" s="10"/>
      <c r="F514" s="13">
        <v>511</v>
      </c>
      <c r="G514" s="2">
        <v>44208</v>
      </c>
      <c r="H514" s="14">
        <f t="shared" si="155"/>
        <v>2.0709870365600458E-2</v>
      </c>
      <c r="I514" s="14">
        <f t="shared" si="156"/>
        <v>3.4832539973339044E-2</v>
      </c>
      <c r="J514" s="14">
        <f t="shared" si="157"/>
        <v>1.4727291523773186E-2</v>
      </c>
      <c r="K514" s="22">
        <v>511</v>
      </c>
      <c r="L514" s="12"/>
      <c r="Q514" s="15">
        <f t="shared" si="158"/>
        <v>511</v>
      </c>
      <c r="R514" s="2">
        <f t="shared" si="154"/>
        <v>44208</v>
      </c>
      <c r="S514" s="9">
        <f t="shared" ca="1" si="159"/>
        <v>2.0709870365600458E-2</v>
      </c>
      <c r="T514" s="9">
        <f t="shared" ca="1" si="160"/>
        <v>3.4832539973339044E-2</v>
      </c>
      <c r="U514" s="9">
        <f t="shared" ca="1" si="161"/>
        <v>1.4727291523773186E-2</v>
      </c>
      <c r="AB514" s="33" t="e">
        <f t="shared" ca="1" si="167"/>
        <v>#N/A</v>
      </c>
      <c r="AC514" s="34" t="e">
        <f t="shared" ca="1" si="168"/>
        <v>#N/A</v>
      </c>
      <c r="AD514" s="34" t="e">
        <f t="shared" ca="1" si="169"/>
        <v>#N/A</v>
      </c>
      <c r="AE514" s="33" t="e">
        <f t="shared" ca="1" si="170"/>
        <v>#N/A</v>
      </c>
      <c r="AF514" s="34" t="e">
        <f t="shared" ca="1" si="162"/>
        <v>#N/A</v>
      </c>
      <c r="AG514" s="34" t="e">
        <f t="shared" ca="1" si="163"/>
        <v>#N/A</v>
      </c>
      <c r="AH514" s="34" t="e">
        <f t="shared" ca="1" si="164"/>
        <v>#N/A</v>
      </c>
      <c r="AI514" s="33" t="e">
        <f t="shared" ca="1" si="171"/>
        <v>#N/A</v>
      </c>
      <c r="AJ514" s="34" t="e">
        <f t="shared" ca="1" si="172"/>
        <v>#N/A</v>
      </c>
      <c r="AK514" s="34" t="e">
        <f t="shared" ca="1" si="165"/>
        <v>#N/A</v>
      </c>
      <c r="AL514" s="34" t="e">
        <f t="shared" ca="1" si="166"/>
        <v>#N/A</v>
      </c>
      <c r="AM514" s="33" t="e">
        <f t="shared" ca="1" si="173"/>
        <v>#N/A</v>
      </c>
      <c r="AN514" s="34" t="e">
        <f t="shared" ca="1" si="174"/>
        <v>#N/A</v>
      </c>
    </row>
    <row r="515" spans="1:40" x14ac:dyDescent="0.3">
      <c r="A515" s="2">
        <v>44209</v>
      </c>
      <c r="B515" s="9">
        <v>63.630001</v>
      </c>
      <c r="C515" s="9">
        <v>112.94000200000001</v>
      </c>
      <c r="D515" s="9">
        <v>57.700001</v>
      </c>
      <c r="E515" s="10"/>
      <c r="F515" s="13">
        <v>512</v>
      </c>
      <c r="G515" s="2">
        <v>44209</v>
      </c>
      <c r="H515" s="14">
        <f t="shared" si="155"/>
        <v>-1.2028591205650105E-2</v>
      </c>
      <c r="I515" s="14">
        <f t="shared" si="156"/>
        <v>-1.3805450937763083E-2</v>
      </c>
      <c r="J515" s="14">
        <f t="shared" si="157"/>
        <v>-3.0887141203886942E-2</v>
      </c>
      <c r="K515" s="22">
        <v>512</v>
      </c>
      <c r="L515" s="12"/>
      <c r="Q515" s="15">
        <f t="shared" si="158"/>
        <v>512</v>
      </c>
      <c r="R515" s="2">
        <f t="shared" si="154"/>
        <v>44209</v>
      </c>
      <c r="S515" s="9">
        <f t="shared" ca="1" si="159"/>
        <v>-1.2028591205650105E-2</v>
      </c>
      <c r="T515" s="9">
        <f t="shared" ca="1" si="160"/>
        <v>-1.3805450937763083E-2</v>
      </c>
      <c r="U515" s="9">
        <f t="shared" ca="1" si="161"/>
        <v>-3.0887141203886942E-2</v>
      </c>
      <c r="AB515" s="33" t="e">
        <f t="shared" ca="1" si="167"/>
        <v>#N/A</v>
      </c>
      <c r="AC515" s="34" t="e">
        <f t="shared" ca="1" si="168"/>
        <v>#N/A</v>
      </c>
      <c r="AD515" s="34" t="e">
        <f t="shared" ca="1" si="169"/>
        <v>#N/A</v>
      </c>
      <c r="AE515" s="33" t="e">
        <f t="shared" ca="1" si="170"/>
        <v>#N/A</v>
      </c>
      <c r="AF515" s="34" t="e">
        <f t="shared" ca="1" si="162"/>
        <v>#N/A</v>
      </c>
      <c r="AG515" s="34" t="e">
        <f t="shared" ca="1" si="163"/>
        <v>#N/A</v>
      </c>
      <c r="AH515" s="34" t="e">
        <f t="shared" ca="1" si="164"/>
        <v>#N/A</v>
      </c>
      <c r="AI515" s="33" t="e">
        <f t="shared" ca="1" si="171"/>
        <v>#N/A</v>
      </c>
      <c r="AJ515" s="34" t="e">
        <f t="shared" ca="1" si="172"/>
        <v>#N/A</v>
      </c>
      <c r="AK515" s="34" t="e">
        <f t="shared" ca="1" si="165"/>
        <v>#N/A</v>
      </c>
      <c r="AL515" s="34" t="e">
        <f t="shared" ca="1" si="166"/>
        <v>#N/A</v>
      </c>
      <c r="AM515" s="33" t="e">
        <f t="shared" ca="1" si="173"/>
        <v>#N/A</v>
      </c>
      <c r="AN515" s="34" t="e">
        <f t="shared" ca="1" si="174"/>
        <v>#N/A</v>
      </c>
    </row>
    <row r="516" spans="1:40" x14ac:dyDescent="0.3">
      <c r="A516" s="2">
        <v>44210</v>
      </c>
      <c r="B516" s="9">
        <v>65.349997999999999</v>
      </c>
      <c r="C516" s="9">
        <v>111.470001</v>
      </c>
      <c r="D516" s="9">
        <v>60.27</v>
      </c>
      <c r="E516" s="10"/>
      <c r="F516" s="13">
        <v>513</v>
      </c>
      <c r="G516" s="2">
        <v>44210</v>
      </c>
      <c r="H516" s="14">
        <f t="shared" si="155"/>
        <v>2.667233650523481E-2</v>
      </c>
      <c r="I516" s="14">
        <f t="shared" si="156"/>
        <v>-1.3101216580652652E-2</v>
      </c>
      <c r="J516" s="14">
        <f t="shared" si="157"/>
        <v>4.3577276649876477E-2</v>
      </c>
      <c r="K516" s="22">
        <v>513</v>
      </c>
      <c r="L516" s="12"/>
      <c r="Q516" s="15">
        <f t="shared" si="158"/>
        <v>513</v>
      </c>
      <c r="R516" s="2">
        <f t="shared" ref="R516:R579" si="175">IF(Q516="","",VLOOKUP(Q516,F516:J1773,2))</f>
        <v>44210</v>
      </c>
      <c r="S516" s="9">
        <f t="shared" ca="1" si="159"/>
        <v>2.667233650523481E-2</v>
      </c>
      <c r="T516" s="9">
        <f t="shared" ca="1" si="160"/>
        <v>-1.3101216580652652E-2</v>
      </c>
      <c r="U516" s="9">
        <f t="shared" ca="1" si="161"/>
        <v>4.3577276649876477E-2</v>
      </c>
      <c r="AB516" s="33" t="e">
        <f t="shared" ca="1" si="167"/>
        <v>#N/A</v>
      </c>
      <c r="AC516" s="34" t="e">
        <f t="shared" ca="1" si="168"/>
        <v>#N/A</v>
      </c>
      <c r="AD516" s="34" t="e">
        <f t="shared" ca="1" si="169"/>
        <v>#N/A</v>
      </c>
      <c r="AE516" s="33" t="e">
        <f t="shared" ca="1" si="170"/>
        <v>#N/A</v>
      </c>
      <c r="AF516" s="34" t="e">
        <f t="shared" ca="1" si="162"/>
        <v>#N/A</v>
      </c>
      <c r="AG516" s="34" t="e">
        <f t="shared" ca="1" si="163"/>
        <v>#N/A</v>
      </c>
      <c r="AH516" s="34" t="e">
        <f t="shared" ca="1" si="164"/>
        <v>#N/A</v>
      </c>
      <c r="AI516" s="33" t="e">
        <f t="shared" ca="1" si="171"/>
        <v>#N/A</v>
      </c>
      <c r="AJ516" s="34" t="e">
        <f t="shared" ca="1" si="172"/>
        <v>#N/A</v>
      </c>
      <c r="AK516" s="34" t="e">
        <f t="shared" ca="1" si="165"/>
        <v>#N/A</v>
      </c>
      <c r="AL516" s="34" t="e">
        <f t="shared" ca="1" si="166"/>
        <v>#N/A</v>
      </c>
      <c r="AM516" s="33" t="e">
        <f t="shared" ca="1" si="173"/>
        <v>#N/A</v>
      </c>
      <c r="AN516" s="34" t="e">
        <f t="shared" ca="1" si="174"/>
        <v>#N/A</v>
      </c>
    </row>
    <row r="517" spans="1:40" x14ac:dyDescent="0.3">
      <c r="A517" s="2">
        <v>44211</v>
      </c>
      <c r="B517" s="9">
        <v>63.790000999999997</v>
      </c>
      <c r="C517" s="9">
        <v>110.07</v>
      </c>
      <c r="D517" s="9">
        <v>58.299999</v>
      </c>
      <c r="E517" s="10"/>
      <c r="F517" s="13">
        <v>514</v>
      </c>
      <c r="G517" s="2">
        <v>44211</v>
      </c>
      <c r="H517" s="14">
        <f t="shared" ref="H517:H580" si="176">LN(B517/B516)</f>
        <v>-2.4160955535490782E-2</v>
      </c>
      <c r="I517" s="14">
        <f t="shared" ref="I517:I580" si="177">LN(C517/C516)</f>
        <v>-1.2638978337255281E-2</v>
      </c>
      <c r="J517" s="14">
        <f t="shared" ref="J517:J580" si="178">LN(D517/D516)</f>
        <v>-3.3232391291164863E-2</v>
      </c>
      <c r="K517" s="22">
        <v>514</v>
      </c>
      <c r="L517" s="12"/>
      <c r="Q517" s="15">
        <f t="shared" ref="Q517:Q580" si="179">IF(Q516="","",IF(Q516+1&lt;=$M$6,Q516+1,""))</f>
        <v>514</v>
      </c>
      <c r="R517" s="2">
        <f t="shared" si="175"/>
        <v>44211</v>
      </c>
      <c r="S517" s="9">
        <f t="shared" ref="S517:S580" ca="1" si="180">IF(Q517="","",OFFSET(H$3,$Q517,0))</f>
        <v>-2.4160955535490782E-2</v>
      </c>
      <c r="T517" s="9">
        <f t="shared" ref="T517:T580" ca="1" si="181">IF(R517="","",OFFSET(I$3,$Q517,0))</f>
        <v>-1.2638978337255281E-2</v>
      </c>
      <c r="U517" s="9">
        <f t="shared" ref="U517:U580" ca="1" si="182">IF(S517="","",OFFSET(J$3,$Q517,0))</f>
        <v>-3.3232391291164863E-2</v>
      </c>
      <c r="AB517" s="33" t="e">
        <f t="shared" ca="1" si="167"/>
        <v>#N/A</v>
      </c>
      <c r="AC517" s="34" t="e">
        <f t="shared" ca="1" si="168"/>
        <v>#N/A</v>
      </c>
      <c r="AD517" s="34" t="e">
        <f t="shared" ca="1" si="169"/>
        <v>#N/A</v>
      </c>
      <c r="AE517" s="33" t="e">
        <f t="shared" ca="1" si="170"/>
        <v>#N/A</v>
      </c>
      <c r="AF517" s="34" t="e">
        <f t="shared" ref="AF517:AF580" ca="1" si="183">IF(AB517&lt;=$X$6,(AE517/$X$5)/$X$7,"")</f>
        <v>#N/A</v>
      </c>
      <c r="AG517" s="34" t="e">
        <f t="shared" ref="AG517:AG580" ca="1" si="184">IF(AB517&lt;=$Y$6,AG516+$Y$7,"")</f>
        <v>#N/A</v>
      </c>
      <c r="AH517" s="34" t="e">
        <f t="shared" ref="AH517:AH580" ca="1" si="185">IF(AB517&lt;=$Y$6,AG517-$Y$7/2,"")</f>
        <v>#N/A</v>
      </c>
      <c r="AI517" s="33" t="e">
        <f t="shared" ca="1" si="171"/>
        <v>#N/A</v>
      </c>
      <c r="AJ517" s="34" t="e">
        <f t="shared" ca="1" si="172"/>
        <v>#N/A</v>
      </c>
      <c r="AK517" s="34" t="e">
        <f t="shared" ref="AK517:AK580" ca="1" si="186">IF(AB517&lt;=$Z$6,AK516+$Z$7,"")</f>
        <v>#N/A</v>
      </c>
      <c r="AL517" s="34" t="e">
        <f t="shared" ref="AL517:AL580" ca="1" si="187">IF(AB517&lt;=$Z$6,AK517-$Z$7/2,"")</f>
        <v>#N/A</v>
      </c>
      <c r="AM517" s="33" t="e">
        <f t="shared" ca="1" si="173"/>
        <v>#N/A</v>
      </c>
      <c r="AN517" s="34" t="e">
        <f t="shared" ca="1" si="174"/>
        <v>#N/A</v>
      </c>
    </row>
    <row r="518" spans="1:40" x14ac:dyDescent="0.3">
      <c r="A518" s="2">
        <v>44215</v>
      </c>
      <c r="B518" s="9">
        <v>64.199996999999996</v>
      </c>
      <c r="C518" s="9">
        <v>107.25</v>
      </c>
      <c r="D518" s="9">
        <v>60.540000999999997</v>
      </c>
      <c r="E518" s="10"/>
      <c r="F518" s="13">
        <v>515</v>
      </c>
      <c r="G518" s="2">
        <v>44215</v>
      </c>
      <c r="H518" s="14">
        <f t="shared" si="176"/>
        <v>6.4067100366403734E-3</v>
      </c>
      <c r="I518" s="14">
        <f t="shared" si="177"/>
        <v>-2.5953969227173909E-2</v>
      </c>
      <c r="J518" s="14">
        <f t="shared" si="178"/>
        <v>3.7702243907789194E-2</v>
      </c>
      <c r="K518" s="22">
        <v>515</v>
      </c>
      <c r="L518" s="12"/>
      <c r="Q518" s="15">
        <f t="shared" si="179"/>
        <v>515</v>
      </c>
      <c r="R518" s="2">
        <f t="shared" si="175"/>
        <v>44215</v>
      </c>
      <c r="S518" s="9">
        <f t="shared" ca="1" si="180"/>
        <v>6.4067100366403734E-3</v>
      </c>
      <c r="T518" s="9">
        <f t="shared" ca="1" si="181"/>
        <v>-2.5953969227173909E-2</v>
      </c>
      <c r="U518" s="9">
        <f t="shared" ca="1" si="182"/>
        <v>3.7702243907789194E-2</v>
      </c>
      <c r="AB518" s="33" t="e">
        <f t="shared" ref="AB518:AB581" ca="1" si="188">IF(AB517&lt;$X$6,AB517+1,NA())</f>
        <v>#N/A</v>
      </c>
      <c r="AC518" s="34" t="e">
        <f t="shared" ref="AC518:AC581" ca="1" si="189">IF(AB518&lt;=$X$6,AC517+$X$7,"")</f>
        <v>#N/A</v>
      </c>
      <c r="AD518" s="34" t="e">
        <f t="shared" ref="AD518:AD581" ca="1" si="190">IF(AB518&lt;=$X$6,AC518-$X$7/2,"")</f>
        <v>#N/A</v>
      </c>
      <c r="AE518" s="33" t="e">
        <f t="shared" ref="AE518:AE581" ca="1" si="191">IF(AB518&lt;=$X$6,COUNTIFS($S$3:$S$1260,"&gt;"&amp;AC517,$S$3:$S$1260,"&lt;="&amp;AC518),"")</f>
        <v>#N/A</v>
      </c>
      <c r="AF518" s="34" t="e">
        <f t="shared" ca="1" si="183"/>
        <v>#N/A</v>
      </c>
      <c r="AG518" s="34" t="e">
        <f t="shared" ca="1" si="184"/>
        <v>#N/A</v>
      </c>
      <c r="AH518" s="34" t="e">
        <f t="shared" ca="1" si="185"/>
        <v>#N/A</v>
      </c>
      <c r="AI518" s="33" t="e">
        <f t="shared" ref="AI518:AI581" ca="1" si="192">IF(AB518&lt;=$Y$6,COUNTIFS($T$3:$T$1260,"&gt;"&amp;AG517,$T$3:$T$1260,"&lt;="&amp;AG518),"")</f>
        <v>#N/A</v>
      </c>
      <c r="AJ518" s="34" t="e">
        <f t="shared" ref="AJ518:AJ581" ca="1" si="193">IF(AB518&lt;=$Y$6,(AI518/$Y$5)/$Y$7,"")</f>
        <v>#N/A</v>
      </c>
      <c r="AK518" s="34" t="e">
        <f t="shared" ca="1" si="186"/>
        <v>#N/A</v>
      </c>
      <c r="AL518" s="34" t="e">
        <f t="shared" ca="1" si="187"/>
        <v>#N/A</v>
      </c>
      <c r="AM518" s="33" t="e">
        <f t="shared" ref="AM518:AM581" ca="1" si="194">IF(AB518&lt;=$Z$6,COUNTIFS($U$3:$U$1260,"&gt;"&amp;AK517,$U$3:$U$1260,"&lt;="&amp;AK518),"")</f>
        <v>#N/A</v>
      </c>
      <c r="AN518" s="34" t="e">
        <f t="shared" ref="AN518:AN581" ca="1" si="195">IF(AB518&lt;=$Z$6,(AM518/$Z$5)/$Z$7,"")</f>
        <v>#N/A</v>
      </c>
    </row>
    <row r="519" spans="1:40" x14ac:dyDescent="0.3">
      <c r="A519" s="2">
        <v>44216</v>
      </c>
      <c r="B519" s="9">
        <v>66.690002000000007</v>
      </c>
      <c r="C519" s="9">
        <v>106.589996</v>
      </c>
      <c r="D519" s="9">
        <v>60.57</v>
      </c>
      <c r="E519" s="10"/>
      <c r="F519" s="13">
        <v>516</v>
      </c>
      <c r="G519" s="2">
        <v>44216</v>
      </c>
      <c r="H519" s="14">
        <f t="shared" si="176"/>
        <v>3.8051882666775956E-2</v>
      </c>
      <c r="I519" s="14">
        <f t="shared" si="177"/>
        <v>-6.1728966340541458E-3</v>
      </c>
      <c r="J519" s="14">
        <f t="shared" si="178"/>
        <v>4.9540088127885469E-4</v>
      </c>
      <c r="K519" s="22">
        <v>516</v>
      </c>
      <c r="L519" s="12"/>
      <c r="Q519" s="15">
        <f t="shared" si="179"/>
        <v>516</v>
      </c>
      <c r="R519" s="2">
        <f t="shared" si="175"/>
        <v>44216</v>
      </c>
      <c r="S519" s="9">
        <f t="shared" ca="1" si="180"/>
        <v>3.8051882666775956E-2</v>
      </c>
      <c r="T519" s="9">
        <f t="shared" ca="1" si="181"/>
        <v>-6.1728966340541458E-3</v>
      </c>
      <c r="U519" s="9">
        <f t="shared" ca="1" si="182"/>
        <v>4.9540088127885469E-4</v>
      </c>
      <c r="AB519" s="33" t="e">
        <f t="shared" ca="1" si="188"/>
        <v>#N/A</v>
      </c>
      <c r="AC519" s="34" t="e">
        <f t="shared" ca="1" si="189"/>
        <v>#N/A</v>
      </c>
      <c r="AD519" s="34" t="e">
        <f t="shared" ca="1" si="190"/>
        <v>#N/A</v>
      </c>
      <c r="AE519" s="33" t="e">
        <f t="shared" ca="1" si="191"/>
        <v>#N/A</v>
      </c>
      <c r="AF519" s="34" t="e">
        <f t="shared" ca="1" si="183"/>
        <v>#N/A</v>
      </c>
      <c r="AG519" s="34" t="e">
        <f t="shared" ca="1" si="184"/>
        <v>#N/A</v>
      </c>
      <c r="AH519" s="34" t="e">
        <f t="shared" ca="1" si="185"/>
        <v>#N/A</v>
      </c>
      <c r="AI519" s="33" t="e">
        <f t="shared" ca="1" si="192"/>
        <v>#N/A</v>
      </c>
      <c r="AJ519" s="34" t="e">
        <f t="shared" ca="1" si="193"/>
        <v>#N/A</v>
      </c>
      <c r="AK519" s="34" t="e">
        <f t="shared" ca="1" si="186"/>
        <v>#N/A</v>
      </c>
      <c r="AL519" s="34" t="e">
        <f t="shared" ca="1" si="187"/>
        <v>#N/A</v>
      </c>
      <c r="AM519" s="33" t="e">
        <f t="shared" ca="1" si="194"/>
        <v>#N/A</v>
      </c>
      <c r="AN519" s="34" t="e">
        <f t="shared" ca="1" si="195"/>
        <v>#N/A</v>
      </c>
    </row>
    <row r="520" spans="1:40" x14ac:dyDescent="0.3">
      <c r="A520" s="2">
        <v>44217</v>
      </c>
      <c r="B520" s="9">
        <v>68.080001999999993</v>
      </c>
      <c r="C520" s="9">
        <v>107.889999</v>
      </c>
      <c r="D520" s="9">
        <v>58.860000999999997</v>
      </c>
      <c r="E520" s="10"/>
      <c r="F520" s="13">
        <v>517</v>
      </c>
      <c r="G520" s="2">
        <v>44217</v>
      </c>
      <c r="H520" s="14">
        <f t="shared" si="176"/>
        <v>2.0628467008603137E-2</v>
      </c>
      <c r="I520" s="14">
        <f t="shared" si="177"/>
        <v>1.2122519120476894E-2</v>
      </c>
      <c r="J520" s="14">
        <f t="shared" si="178"/>
        <v>-2.8637961198062788E-2</v>
      </c>
      <c r="K520" s="22">
        <v>517</v>
      </c>
      <c r="L520" s="12"/>
      <c r="Q520" s="15">
        <f t="shared" si="179"/>
        <v>517</v>
      </c>
      <c r="R520" s="2">
        <f t="shared" si="175"/>
        <v>44217</v>
      </c>
      <c r="S520" s="9">
        <f t="shared" ca="1" si="180"/>
        <v>2.0628467008603137E-2</v>
      </c>
      <c r="T520" s="9">
        <f t="shared" ca="1" si="181"/>
        <v>1.2122519120476894E-2</v>
      </c>
      <c r="U520" s="9">
        <f t="shared" ca="1" si="182"/>
        <v>-2.8637961198062788E-2</v>
      </c>
      <c r="AB520" s="33" t="e">
        <f t="shared" ca="1" si="188"/>
        <v>#N/A</v>
      </c>
      <c r="AC520" s="34" t="e">
        <f t="shared" ca="1" si="189"/>
        <v>#N/A</v>
      </c>
      <c r="AD520" s="34" t="e">
        <f t="shared" ca="1" si="190"/>
        <v>#N/A</v>
      </c>
      <c r="AE520" s="33" t="e">
        <f t="shared" ca="1" si="191"/>
        <v>#N/A</v>
      </c>
      <c r="AF520" s="34" t="e">
        <f t="shared" ca="1" si="183"/>
        <v>#N/A</v>
      </c>
      <c r="AG520" s="34" t="e">
        <f t="shared" ca="1" si="184"/>
        <v>#N/A</v>
      </c>
      <c r="AH520" s="34" t="e">
        <f t="shared" ca="1" si="185"/>
        <v>#N/A</v>
      </c>
      <c r="AI520" s="33" t="e">
        <f t="shared" ca="1" si="192"/>
        <v>#N/A</v>
      </c>
      <c r="AJ520" s="34" t="e">
        <f t="shared" ca="1" si="193"/>
        <v>#N/A</v>
      </c>
      <c r="AK520" s="34" t="e">
        <f t="shared" ca="1" si="186"/>
        <v>#N/A</v>
      </c>
      <c r="AL520" s="34" t="e">
        <f t="shared" ca="1" si="187"/>
        <v>#N/A</v>
      </c>
      <c r="AM520" s="33" t="e">
        <f t="shared" ca="1" si="194"/>
        <v>#N/A</v>
      </c>
      <c r="AN520" s="34" t="e">
        <f t="shared" ca="1" si="195"/>
        <v>#N/A</v>
      </c>
    </row>
    <row r="521" spans="1:40" x14ac:dyDescent="0.3">
      <c r="A521" s="2">
        <v>44218</v>
      </c>
      <c r="B521" s="9">
        <v>68.309997999999993</v>
      </c>
      <c r="C521" s="9">
        <v>108.470001</v>
      </c>
      <c r="D521" s="9">
        <v>59.450001</v>
      </c>
      <c r="E521" s="10"/>
      <c r="F521" s="13">
        <v>518</v>
      </c>
      <c r="G521" s="2">
        <v>44218</v>
      </c>
      <c r="H521" s="14">
        <f t="shared" si="176"/>
        <v>3.3726258231457067E-3</v>
      </c>
      <c r="I521" s="14">
        <f t="shared" si="177"/>
        <v>5.3614659767159401E-3</v>
      </c>
      <c r="J521" s="14">
        <f t="shared" si="178"/>
        <v>9.973880162855572E-3</v>
      </c>
      <c r="K521" s="22">
        <v>518</v>
      </c>
      <c r="L521" s="12"/>
      <c r="Q521" s="15">
        <f t="shared" si="179"/>
        <v>518</v>
      </c>
      <c r="R521" s="2">
        <f t="shared" si="175"/>
        <v>44218</v>
      </c>
      <c r="S521" s="9">
        <f t="shared" ca="1" si="180"/>
        <v>3.3726258231457067E-3</v>
      </c>
      <c r="T521" s="9">
        <f t="shared" ca="1" si="181"/>
        <v>5.3614659767159401E-3</v>
      </c>
      <c r="U521" s="9">
        <f t="shared" ca="1" si="182"/>
        <v>9.973880162855572E-3</v>
      </c>
      <c r="AB521" s="33" t="e">
        <f t="shared" ca="1" si="188"/>
        <v>#N/A</v>
      </c>
      <c r="AC521" s="34" t="e">
        <f t="shared" ca="1" si="189"/>
        <v>#N/A</v>
      </c>
      <c r="AD521" s="34" t="e">
        <f t="shared" ca="1" si="190"/>
        <v>#N/A</v>
      </c>
      <c r="AE521" s="33" t="e">
        <f t="shared" ca="1" si="191"/>
        <v>#N/A</v>
      </c>
      <c r="AF521" s="34" t="e">
        <f t="shared" ca="1" si="183"/>
        <v>#N/A</v>
      </c>
      <c r="AG521" s="34" t="e">
        <f t="shared" ca="1" si="184"/>
        <v>#N/A</v>
      </c>
      <c r="AH521" s="34" t="e">
        <f t="shared" ca="1" si="185"/>
        <v>#N/A</v>
      </c>
      <c r="AI521" s="33" t="e">
        <f t="shared" ca="1" si="192"/>
        <v>#N/A</v>
      </c>
      <c r="AJ521" s="34" t="e">
        <f t="shared" ca="1" si="193"/>
        <v>#N/A</v>
      </c>
      <c r="AK521" s="34" t="e">
        <f t="shared" ca="1" si="186"/>
        <v>#N/A</v>
      </c>
      <c r="AL521" s="34" t="e">
        <f t="shared" ca="1" si="187"/>
        <v>#N/A</v>
      </c>
      <c r="AM521" s="33" t="e">
        <f t="shared" ca="1" si="194"/>
        <v>#N/A</v>
      </c>
      <c r="AN521" s="34" t="e">
        <f t="shared" ca="1" si="195"/>
        <v>#N/A</v>
      </c>
    </row>
    <row r="522" spans="1:40" x14ac:dyDescent="0.3">
      <c r="A522" s="2">
        <v>44221</v>
      </c>
      <c r="B522" s="9">
        <v>68.559997999999993</v>
      </c>
      <c r="C522" s="9">
        <v>109.489998</v>
      </c>
      <c r="D522" s="9">
        <v>59.41</v>
      </c>
      <c r="E522" s="10"/>
      <c r="F522" s="13">
        <v>519</v>
      </c>
      <c r="G522" s="2">
        <v>44221</v>
      </c>
      <c r="H522" s="14">
        <f t="shared" si="176"/>
        <v>3.6531056525280076E-3</v>
      </c>
      <c r="I522" s="14">
        <f t="shared" si="177"/>
        <v>9.3595563475600621E-3</v>
      </c>
      <c r="J522" s="14">
        <f t="shared" si="178"/>
        <v>-6.7307758999851034E-4</v>
      </c>
      <c r="K522" s="22">
        <v>519</v>
      </c>
      <c r="L522" s="12"/>
      <c r="Q522" s="15">
        <f t="shared" si="179"/>
        <v>519</v>
      </c>
      <c r="R522" s="2">
        <f t="shared" si="175"/>
        <v>44221</v>
      </c>
      <c r="S522" s="9">
        <f t="shared" ca="1" si="180"/>
        <v>3.6531056525280076E-3</v>
      </c>
      <c r="T522" s="9">
        <f t="shared" ca="1" si="181"/>
        <v>9.3595563475600621E-3</v>
      </c>
      <c r="U522" s="9">
        <f t="shared" ca="1" si="182"/>
        <v>-6.7307758999851034E-4</v>
      </c>
      <c r="AB522" s="33" t="e">
        <f t="shared" ca="1" si="188"/>
        <v>#N/A</v>
      </c>
      <c r="AC522" s="34" t="e">
        <f t="shared" ca="1" si="189"/>
        <v>#N/A</v>
      </c>
      <c r="AD522" s="34" t="e">
        <f t="shared" ca="1" si="190"/>
        <v>#N/A</v>
      </c>
      <c r="AE522" s="33" t="e">
        <f t="shared" ca="1" si="191"/>
        <v>#N/A</v>
      </c>
      <c r="AF522" s="34" t="e">
        <f t="shared" ca="1" si="183"/>
        <v>#N/A</v>
      </c>
      <c r="AG522" s="34" t="e">
        <f t="shared" ca="1" si="184"/>
        <v>#N/A</v>
      </c>
      <c r="AH522" s="34" t="e">
        <f t="shared" ca="1" si="185"/>
        <v>#N/A</v>
      </c>
      <c r="AI522" s="33" t="e">
        <f t="shared" ca="1" si="192"/>
        <v>#N/A</v>
      </c>
      <c r="AJ522" s="34" t="e">
        <f t="shared" ca="1" si="193"/>
        <v>#N/A</v>
      </c>
      <c r="AK522" s="34" t="e">
        <f t="shared" ca="1" si="186"/>
        <v>#N/A</v>
      </c>
      <c r="AL522" s="34" t="e">
        <f t="shared" ca="1" si="187"/>
        <v>#N/A</v>
      </c>
      <c r="AM522" s="33" t="e">
        <f t="shared" ca="1" si="194"/>
        <v>#N/A</v>
      </c>
      <c r="AN522" s="34" t="e">
        <f t="shared" ca="1" si="195"/>
        <v>#N/A</v>
      </c>
    </row>
    <row r="523" spans="1:40" x14ac:dyDescent="0.3">
      <c r="A523" s="2">
        <v>44222</v>
      </c>
      <c r="B523" s="9">
        <v>67.610000999999997</v>
      </c>
      <c r="C523" s="9">
        <v>107.07</v>
      </c>
      <c r="D523" s="9">
        <v>58.150002000000001</v>
      </c>
      <c r="E523" s="10"/>
      <c r="F523" s="13">
        <v>520</v>
      </c>
      <c r="G523" s="2">
        <v>44222</v>
      </c>
      <c r="H523" s="14">
        <f t="shared" si="176"/>
        <v>-1.3953329224697397E-2</v>
      </c>
      <c r="I523" s="14">
        <f t="shared" si="177"/>
        <v>-2.2350376448646365E-2</v>
      </c>
      <c r="J523" s="14">
        <f t="shared" si="178"/>
        <v>-2.1436649009168099E-2</v>
      </c>
      <c r="K523" s="22">
        <v>520</v>
      </c>
      <c r="L523" s="12"/>
      <c r="Q523" s="15">
        <f t="shared" si="179"/>
        <v>520</v>
      </c>
      <c r="R523" s="2">
        <f t="shared" si="175"/>
        <v>44222</v>
      </c>
      <c r="S523" s="9">
        <f t="shared" ca="1" si="180"/>
        <v>-1.3953329224697397E-2</v>
      </c>
      <c r="T523" s="9">
        <f t="shared" ca="1" si="181"/>
        <v>-2.2350376448646365E-2</v>
      </c>
      <c r="U523" s="9">
        <f t="shared" ca="1" si="182"/>
        <v>-2.1436649009168099E-2</v>
      </c>
      <c r="AB523" s="33" t="e">
        <f t="shared" ca="1" si="188"/>
        <v>#N/A</v>
      </c>
      <c r="AC523" s="34" t="e">
        <f t="shared" ca="1" si="189"/>
        <v>#N/A</v>
      </c>
      <c r="AD523" s="34" t="e">
        <f t="shared" ca="1" si="190"/>
        <v>#N/A</v>
      </c>
      <c r="AE523" s="33" t="e">
        <f t="shared" ca="1" si="191"/>
        <v>#N/A</v>
      </c>
      <c r="AF523" s="34" t="e">
        <f t="shared" ca="1" si="183"/>
        <v>#N/A</v>
      </c>
      <c r="AG523" s="34" t="e">
        <f t="shared" ca="1" si="184"/>
        <v>#N/A</v>
      </c>
      <c r="AH523" s="34" t="e">
        <f t="shared" ca="1" si="185"/>
        <v>#N/A</v>
      </c>
      <c r="AI523" s="33" t="e">
        <f t="shared" ca="1" si="192"/>
        <v>#N/A</v>
      </c>
      <c r="AJ523" s="34" t="e">
        <f t="shared" ca="1" si="193"/>
        <v>#N/A</v>
      </c>
      <c r="AK523" s="34" t="e">
        <f t="shared" ca="1" si="186"/>
        <v>#N/A</v>
      </c>
      <c r="AL523" s="34" t="e">
        <f t="shared" ca="1" si="187"/>
        <v>#N/A</v>
      </c>
      <c r="AM523" s="33" t="e">
        <f t="shared" ca="1" si="194"/>
        <v>#N/A</v>
      </c>
      <c r="AN523" s="34" t="e">
        <f t="shared" ca="1" si="195"/>
        <v>#N/A</v>
      </c>
    </row>
    <row r="524" spans="1:40" x14ac:dyDescent="0.3">
      <c r="A524" s="2">
        <v>44223</v>
      </c>
      <c r="B524" s="9">
        <v>65.480002999999996</v>
      </c>
      <c r="C524" s="9">
        <v>100.80999799999999</v>
      </c>
      <c r="D524" s="9">
        <v>58.73</v>
      </c>
      <c r="E524" s="10"/>
      <c r="F524" s="13">
        <v>521</v>
      </c>
      <c r="G524" s="2">
        <v>44223</v>
      </c>
      <c r="H524" s="14">
        <f t="shared" si="176"/>
        <v>-3.2011117574848515E-2</v>
      </c>
      <c r="I524" s="14">
        <f t="shared" si="177"/>
        <v>-6.0245288943630383E-2</v>
      </c>
      <c r="J524" s="14">
        <f t="shared" si="178"/>
        <v>9.924756175946136E-3</v>
      </c>
      <c r="K524" s="22">
        <v>521</v>
      </c>
      <c r="L524" s="12"/>
      <c r="Q524" s="15">
        <f t="shared" si="179"/>
        <v>521</v>
      </c>
      <c r="R524" s="2">
        <f t="shared" si="175"/>
        <v>44223</v>
      </c>
      <c r="S524" s="9">
        <f t="shared" ca="1" si="180"/>
        <v>-3.2011117574848515E-2</v>
      </c>
      <c r="T524" s="9">
        <f t="shared" ca="1" si="181"/>
        <v>-6.0245288943630383E-2</v>
      </c>
      <c r="U524" s="9">
        <f t="shared" ca="1" si="182"/>
        <v>9.924756175946136E-3</v>
      </c>
      <c r="AB524" s="33" t="e">
        <f t="shared" ca="1" si="188"/>
        <v>#N/A</v>
      </c>
      <c r="AC524" s="34" t="e">
        <f t="shared" ca="1" si="189"/>
        <v>#N/A</v>
      </c>
      <c r="AD524" s="34" t="e">
        <f t="shared" ca="1" si="190"/>
        <v>#N/A</v>
      </c>
      <c r="AE524" s="33" t="e">
        <f t="shared" ca="1" si="191"/>
        <v>#N/A</v>
      </c>
      <c r="AF524" s="34" t="e">
        <f t="shared" ca="1" si="183"/>
        <v>#N/A</v>
      </c>
      <c r="AG524" s="34" t="e">
        <f t="shared" ca="1" si="184"/>
        <v>#N/A</v>
      </c>
      <c r="AH524" s="34" t="e">
        <f t="shared" ca="1" si="185"/>
        <v>#N/A</v>
      </c>
      <c r="AI524" s="33" t="e">
        <f t="shared" ca="1" si="192"/>
        <v>#N/A</v>
      </c>
      <c r="AJ524" s="34" t="e">
        <f t="shared" ca="1" si="193"/>
        <v>#N/A</v>
      </c>
      <c r="AK524" s="34" t="e">
        <f t="shared" ca="1" si="186"/>
        <v>#N/A</v>
      </c>
      <c r="AL524" s="34" t="e">
        <f t="shared" ca="1" si="187"/>
        <v>#N/A</v>
      </c>
      <c r="AM524" s="33" t="e">
        <f t="shared" ca="1" si="194"/>
        <v>#N/A</v>
      </c>
      <c r="AN524" s="34" t="e">
        <f t="shared" ca="1" si="195"/>
        <v>#N/A</v>
      </c>
    </row>
    <row r="525" spans="1:40" x14ac:dyDescent="0.3">
      <c r="A525" s="2">
        <v>44224</v>
      </c>
      <c r="B525" s="9">
        <v>64.800003000000004</v>
      </c>
      <c r="C525" s="9">
        <v>103.540001</v>
      </c>
      <c r="D525" s="9">
        <v>58.330002</v>
      </c>
      <c r="E525" s="10"/>
      <c r="F525" s="13">
        <v>522</v>
      </c>
      <c r="G525" s="2">
        <v>44224</v>
      </c>
      <c r="H525" s="14">
        <f t="shared" si="176"/>
        <v>-1.0439148663924919E-2</v>
      </c>
      <c r="I525" s="14">
        <f t="shared" si="177"/>
        <v>2.6720483905310191E-2</v>
      </c>
      <c r="J525" s="14">
        <f t="shared" si="178"/>
        <v>-6.8340944812087757E-3</v>
      </c>
      <c r="K525" s="22">
        <v>522</v>
      </c>
      <c r="L525" s="12"/>
      <c r="Q525" s="15">
        <f t="shared" si="179"/>
        <v>522</v>
      </c>
      <c r="R525" s="2">
        <f t="shared" si="175"/>
        <v>44224</v>
      </c>
      <c r="S525" s="9">
        <f t="shared" ca="1" si="180"/>
        <v>-1.0439148663924919E-2</v>
      </c>
      <c r="T525" s="9">
        <f t="shared" ca="1" si="181"/>
        <v>2.6720483905310191E-2</v>
      </c>
      <c r="U525" s="9">
        <f t="shared" ca="1" si="182"/>
        <v>-6.8340944812087757E-3</v>
      </c>
      <c r="AB525" s="33" t="e">
        <f t="shared" ca="1" si="188"/>
        <v>#N/A</v>
      </c>
      <c r="AC525" s="34" t="e">
        <f t="shared" ca="1" si="189"/>
        <v>#N/A</v>
      </c>
      <c r="AD525" s="34" t="e">
        <f t="shared" ca="1" si="190"/>
        <v>#N/A</v>
      </c>
      <c r="AE525" s="33" t="e">
        <f t="shared" ca="1" si="191"/>
        <v>#N/A</v>
      </c>
      <c r="AF525" s="34" t="e">
        <f t="shared" ca="1" si="183"/>
        <v>#N/A</v>
      </c>
      <c r="AG525" s="34" t="e">
        <f t="shared" ca="1" si="184"/>
        <v>#N/A</v>
      </c>
      <c r="AH525" s="34" t="e">
        <f t="shared" ca="1" si="185"/>
        <v>#N/A</v>
      </c>
      <c r="AI525" s="33" t="e">
        <f t="shared" ca="1" si="192"/>
        <v>#N/A</v>
      </c>
      <c r="AJ525" s="34" t="e">
        <f t="shared" ca="1" si="193"/>
        <v>#N/A</v>
      </c>
      <c r="AK525" s="34" t="e">
        <f t="shared" ca="1" si="186"/>
        <v>#N/A</v>
      </c>
      <c r="AL525" s="34" t="e">
        <f t="shared" ca="1" si="187"/>
        <v>#N/A</v>
      </c>
      <c r="AM525" s="33" t="e">
        <f t="shared" ca="1" si="194"/>
        <v>#N/A</v>
      </c>
      <c r="AN525" s="34" t="e">
        <f t="shared" ca="1" si="195"/>
        <v>#N/A</v>
      </c>
    </row>
    <row r="526" spans="1:40" x14ac:dyDescent="0.3">
      <c r="A526" s="2">
        <v>44225</v>
      </c>
      <c r="B526" s="9">
        <v>67.5</v>
      </c>
      <c r="C526" s="9">
        <v>101.050003</v>
      </c>
      <c r="D526" s="9">
        <v>56.43</v>
      </c>
      <c r="E526" s="10"/>
      <c r="F526" s="13">
        <v>523</v>
      </c>
      <c r="G526" s="2">
        <v>44225</v>
      </c>
      <c r="H526" s="14">
        <f t="shared" si="176"/>
        <v>4.0821948223959757E-2</v>
      </c>
      <c r="I526" s="14">
        <f t="shared" si="177"/>
        <v>-2.4342547593955682E-2</v>
      </c>
      <c r="J526" s="14">
        <f t="shared" si="178"/>
        <v>-3.3115643072170527E-2</v>
      </c>
      <c r="K526" s="22">
        <v>523</v>
      </c>
      <c r="L526" s="12"/>
      <c r="Q526" s="15">
        <f t="shared" si="179"/>
        <v>523</v>
      </c>
      <c r="R526" s="2">
        <f t="shared" si="175"/>
        <v>44225</v>
      </c>
      <c r="S526" s="9">
        <f t="shared" ca="1" si="180"/>
        <v>4.0821948223959757E-2</v>
      </c>
      <c r="T526" s="9">
        <f t="shared" ca="1" si="181"/>
        <v>-2.4342547593955682E-2</v>
      </c>
      <c r="U526" s="9">
        <f t="shared" ca="1" si="182"/>
        <v>-3.3115643072170527E-2</v>
      </c>
      <c r="AB526" s="33" t="e">
        <f t="shared" ca="1" si="188"/>
        <v>#N/A</v>
      </c>
      <c r="AC526" s="34" t="e">
        <f t="shared" ca="1" si="189"/>
        <v>#N/A</v>
      </c>
      <c r="AD526" s="34" t="e">
        <f t="shared" ca="1" si="190"/>
        <v>#N/A</v>
      </c>
      <c r="AE526" s="33" t="e">
        <f t="shared" ca="1" si="191"/>
        <v>#N/A</v>
      </c>
      <c r="AF526" s="34" t="e">
        <f t="shared" ca="1" si="183"/>
        <v>#N/A</v>
      </c>
      <c r="AG526" s="34" t="e">
        <f t="shared" ca="1" si="184"/>
        <v>#N/A</v>
      </c>
      <c r="AH526" s="34" t="e">
        <f t="shared" ca="1" si="185"/>
        <v>#N/A</v>
      </c>
      <c r="AI526" s="33" t="e">
        <f t="shared" ca="1" si="192"/>
        <v>#N/A</v>
      </c>
      <c r="AJ526" s="34" t="e">
        <f t="shared" ca="1" si="193"/>
        <v>#N/A</v>
      </c>
      <c r="AK526" s="34" t="e">
        <f t="shared" ca="1" si="186"/>
        <v>#N/A</v>
      </c>
      <c r="AL526" s="34" t="e">
        <f t="shared" ca="1" si="187"/>
        <v>#N/A</v>
      </c>
      <c r="AM526" s="33" t="e">
        <f t="shared" ca="1" si="194"/>
        <v>#N/A</v>
      </c>
      <c r="AN526" s="34" t="e">
        <f t="shared" ca="1" si="195"/>
        <v>#N/A</v>
      </c>
    </row>
    <row r="527" spans="1:40" x14ac:dyDescent="0.3">
      <c r="A527" s="2">
        <v>44228</v>
      </c>
      <c r="B527" s="9">
        <v>68.699996999999996</v>
      </c>
      <c r="C527" s="9">
        <v>102.480003</v>
      </c>
      <c r="D527" s="9">
        <v>56.240001999999997</v>
      </c>
      <c r="E527" s="10"/>
      <c r="F527" s="13">
        <v>524</v>
      </c>
      <c r="G527" s="2">
        <v>44228</v>
      </c>
      <c r="H527" s="14">
        <f t="shared" si="176"/>
        <v>1.7621557681696282E-2</v>
      </c>
      <c r="I527" s="14">
        <f t="shared" si="177"/>
        <v>1.4052213324580291E-2</v>
      </c>
      <c r="J527" s="14">
        <f t="shared" si="178"/>
        <v>-3.3726489167622341E-3</v>
      </c>
      <c r="K527" s="22">
        <v>524</v>
      </c>
      <c r="L527" s="12"/>
      <c r="Q527" s="15">
        <f t="shared" si="179"/>
        <v>524</v>
      </c>
      <c r="R527" s="2">
        <f t="shared" si="175"/>
        <v>44228</v>
      </c>
      <c r="S527" s="9">
        <f t="shared" ca="1" si="180"/>
        <v>1.7621557681696282E-2</v>
      </c>
      <c r="T527" s="9">
        <f t="shared" ca="1" si="181"/>
        <v>1.4052213324580291E-2</v>
      </c>
      <c r="U527" s="9">
        <f t="shared" ca="1" si="182"/>
        <v>-3.3726489167622341E-3</v>
      </c>
      <c r="AB527" s="33" t="e">
        <f t="shared" ca="1" si="188"/>
        <v>#N/A</v>
      </c>
      <c r="AC527" s="34" t="e">
        <f t="shared" ca="1" si="189"/>
        <v>#N/A</v>
      </c>
      <c r="AD527" s="34" t="e">
        <f t="shared" ca="1" si="190"/>
        <v>#N/A</v>
      </c>
      <c r="AE527" s="33" t="e">
        <f t="shared" ca="1" si="191"/>
        <v>#N/A</v>
      </c>
      <c r="AF527" s="34" t="e">
        <f t="shared" ca="1" si="183"/>
        <v>#N/A</v>
      </c>
      <c r="AG527" s="34" t="e">
        <f t="shared" ca="1" si="184"/>
        <v>#N/A</v>
      </c>
      <c r="AH527" s="34" t="e">
        <f t="shared" ca="1" si="185"/>
        <v>#N/A</v>
      </c>
      <c r="AI527" s="33" t="e">
        <f t="shared" ca="1" si="192"/>
        <v>#N/A</v>
      </c>
      <c r="AJ527" s="34" t="e">
        <f t="shared" ca="1" si="193"/>
        <v>#N/A</v>
      </c>
      <c r="AK527" s="34" t="e">
        <f t="shared" ca="1" si="186"/>
        <v>#N/A</v>
      </c>
      <c r="AL527" s="34" t="e">
        <f t="shared" ca="1" si="187"/>
        <v>#N/A</v>
      </c>
      <c r="AM527" s="33" t="e">
        <f t="shared" ca="1" si="194"/>
        <v>#N/A</v>
      </c>
      <c r="AN527" s="34" t="e">
        <f t="shared" ca="1" si="195"/>
        <v>#N/A</v>
      </c>
    </row>
    <row r="528" spans="1:40" x14ac:dyDescent="0.3">
      <c r="A528" s="2">
        <v>44229</v>
      </c>
      <c r="B528" s="9">
        <v>67.5</v>
      </c>
      <c r="C528" s="9">
        <v>103.43</v>
      </c>
      <c r="D528" s="9">
        <v>57.77</v>
      </c>
      <c r="E528" s="10"/>
      <c r="F528" s="13">
        <v>525</v>
      </c>
      <c r="G528" s="2">
        <v>44229</v>
      </c>
      <c r="H528" s="14">
        <f t="shared" si="176"/>
        <v>-1.7621557681696251E-2</v>
      </c>
      <c r="I528" s="14">
        <f t="shared" si="177"/>
        <v>9.2273685272293519E-3</v>
      </c>
      <c r="J528" s="14">
        <f t="shared" si="178"/>
        <v>2.6841326728887782E-2</v>
      </c>
      <c r="K528" s="22">
        <v>525</v>
      </c>
      <c r="L528" s="12"/>
      <c r="Q528" s="15">
        <f t="shared" si="179"/>
        <v>525</v>
      </c>
      <c r="R528" s="2">
        <f t="shared" si="175"/>
        <v>44229</v>
      </c>
      <c r="S528" s="9">
        <f t="shared" ca="1" si="180"/>
        <v>-1.7621557681696251E-2</v>
      </c>
      <c r="T528" s="9">
        <f t="shared" ca="1" si="181"/>
        <v>9.2273685272293519E-3</v>
      </c>
      <c r="U528" s="9">
        <f t="shared" ca="1" si="182"/>
        <v>2.6841326728887782E-2</v>
      </c>
      <c r="AB528" s="33" t="e">
        <f t="shared" ca="1" si="188"/>
        <v>#N/A</v>
      </c>
      <c r="AC528" s="34" t="e">
        <f t="shared" ca="1" si="189"/>
        <v>#N/A</v>
      </c>
      <c r="AD528" s="34" t="e">
        <f t="shared" ca="1" si="190"/>
        <v>#N/A</v>
      </c>
      <c r="AE528" s="33" t="e">
        <f t="shared" ca="1" si="191"/>
        <v>#N/A</v>
      </c>
      <c r="AF528" s="34" t="e">
        <f t="shared" ca="1" si="183"/>
        <v>#N/A</v>
      </c>
      <c r="AG528" s="34" t="e">
        <f t="shared" ca="1" si="184"/>
        <v>#N/A</v>
      </c>
      <c r="AH528" s="34" t="e">
        <f t="shared" ca="1" si="185"/>
        <v>#N/A</v>
      </c>
      <c r="AI528" s="33" t="e">
        <f t="shared" ca="1" si="192"/>
        <v>#N/A</v>
      </c>
      <c r="AJ528" s="34" t="e">
        <f t="shared" ca="1" si="193"/>
        <v>#N/A</v>
      </c>
      <c r="AK528" s="34" t="e">
        <f t="shared" ca="1" si="186"/>
        <v>#N/A</v>
      </c>
      <c r="AL528" s="34" t="e">
        <f t="shared" ca="1" si="187"/>
        <v>#N/A</v>
      </c>
      <c r="AM528" s="33" t="e">
        <f t="shared" ca="1" si="194"/>
        <v>#N/A</v>
      </c>
      <c r="AN528" s="34" t="e">
        <f t="shared" ca="1" si="195"/>
        <v>#N/A</v>
      </c>
    </row>
    <row r="529" spans="1:40" x14ac:dyDescent="0.3">
      <c r="A529" s="2">
        <v>44230</v>
      </c>
      <c r="B529" s="9">
        <v>70.300003000000004</v>
      </c>
      <c r="C529" s="9">
        <v>105.19000200000001</v>
      </c>
      <c r="D529" s="9">
        <v>60.099997999999999</v>
      </c>
      <c r="E529" s="10"/>
      <c r="F529" s="13">
        <v>526</v>
      </c>
      <c r="G529" s="2">
        <v>44230</v>
      </c>
      <c r="H529" s="14">
        <f t="shared" si="176"/>
        <v>4.0644243612387464E-2</v>
      </c>
      <c r="I529" s="14">
        <f t="shared" si="177"/>
        <v>1.6873202374684385E-2</v>
      </c>
      <c r="J529" s="14">
        <f t="shared" si="178"/>
        <v>3.9540198470116986E-2</v>
      </c>
      <c r="K529" s="22">
        <v>526</v>
      </c>
      <c r="L529" s="12"/>
      <c r="Q529" s="15">
        <f t="shared" si="179"/>
        <v>526</v>
      </c>
      <c r="R529" s="2">
        <f t="shared" si="175"/>
        <v>44230</v>
      </c>
      <c r="S529" s="9">
        <f t="shared" ca="1" si="180"/>
        <v>4.0644243612387464E-2</v>
      </c>
      <c r="T529" s="9">
        <f t="shared" ca="1" si="181"/>
        <v>1.6873202374684385E-2</v>
      </c>
      <c r="U529" s="9">
        <f t="shared" ca="1" si="182"/>
        <v>3.9540198470116986E-2</v>
      </c>
      <c r="AB529" s="33" t="e">
        <f t="shared" ca="1" si="188"/>
        <v>#N/A</v>
      </c>
      <c r="AC529" s="34" t="e">
        <f t="shared" ca="1" si="189"/>
        <v>#N/A</v>
      </c>
      <c r="AD529" s="34" t="e">
        <f t="shared" ca="1" si="190"/>
        <v>#N/A</v>
      </c>
      <c r="AE529" s="33" t="e">
        <f t="shared" ca="1" si="191"/>
        <v>#N/A</v>
      </c>
      <c r="AF529" s="34" t="e">
        <f t="shared" ca="1" si="183"/>
        <v>#N/A</v>
      </c>
      <c r="AG529" s="34" t="e">
        <f t="shared" ca="1" si="184"/>
        <v>#N/A</v>
      </c>
      <c r="AH529" s="34" t="e">
        <f t="shared" ca="1" si="185"/>
        <v>#N/A</v>
      </c>
      <c r="AI529" s="33" t="e">
        <f t="shared" ca="1" si="192"/>
        <v>#N/A</v>
      </c>
      <c r="AJ529" s="34" t="e">
        <f t="shared" ca="1" si="193"/>
        <v>#N/A</v>
      </c>
      <c r="AK529" s="34" t="e">
        <f t="shared" ca="1" si="186"/>
        <v>#N/A</v>
      </c>
      <c r="AL529" s="34" t="e">
        <f t="shared" ca="1" si="187"/>
        <v>#N/A</v>
      </c>
      <c r="AM529" s="33" t="e">
        <f t="shared" ca="1" si="194"/>
        <v>#N/A</v>
      </c>
      <c r="AN529" s="34" t="e">
        <f t="shared" ca="1" si="195"/>
        <v>#N/A</v>
      </c>
    </row>
    <row r="530" spans="1:40" x14ac:dyDescent="0.3">
      <c r="A530" s="2">
        <v>44231</v>
      </c>
      <c r="B530" s="9">
        <v>70.370002999999997</v>
      </c>
      <c r="C530" s="9">
        <v>107.83000199999999</v>
      </c>
      <c r="D530" s="9">
        <v>61.060001</v>
      </c>
      <c r="E530" s="10"/>
      <c r="F530" s="13">
        <v>527</v>
      </c>
      <c r="G530" s="2">
        <v>44231</v>
      </c>
      <c r="H530" s="14">
        <f t="shared" si="176"/>
        <v>9.9523711938831255E-4</v>
      </c>
      <c r="I530" s="14">
        <f t="shared" si="177"/>
        <v>2.4787673677297863E-2</v>
      </c>
      <c r="J530" s="14">
        <f t="shared" si="178"/>
        <v>1.5847195420774285E-2</v>
      </c>
      <c r="K530" s="22">
        <v>527</v>
      </c>
      <c r="L530" s="12"/>
      <c r="Q530" s="15">
        <f t="shared" si="179"/>
        <v>527</v>
      </c>
      <c r="R530" s="2">
        <f t="shared" si="175"/>
        <v>44231</v>
      </c>
      <c r="S530" s="9">
        <f t="shared" ca="1" si="180"/>
        <v>9.9523711938831255E-4</v>
      </c>
      <c r="T530" s="9">
        <f t="shared" ca="1" si="181"/>
        <v>2.4787673677297863E-2</v>
      </c>
      <c r="U530" s="9">
        <f t="shared" ca="1" si="182"/>
        <v>1.5847195420774285E-2</v>
      </c>
      <c r="AB530" s="33" t="e">
        <f t="shared" ca="1" si="188"/>
        <v>#N/A</v>
      </c>
      <c r="AC530" s="34" t="e">
        <f t="shared" ca="1" si="189"/>
        <v>#N/A</v>
      </c>
      <c r="AD530" s="34" t="e">
        <f t="shared" ca="1" si="190"/>
        <v>#N/A</v>
      </c>
      <c r="AE530" s="33" t="e">
        <f t="shared" ca="1" si="191"/>
        <v>#N/A</v>
      </c>
      <c r="AF530" s="34" t="e">
        <f t="shared" ca="1" si="183"/>
        <v>#N/A</v>
      </c>
      <c r="AG530" s="34" t="e">
        <f t="shared" ca="1" si="184"/>
        <v>#N/A</v>
      </c>
      <c r="AH530" s="34" t="e">
        <f t="shared" ca="1" si="185"/>
        <v>#N/A</v>
      </c>
      <c r="AI530" s="33" t="e">
        <f t="shared" ca="1" si="192"/>
        <v>#N/A</v>
      </c>
      <c r="AJ530" s="34" t="e">
        <f t="shared" ca="1" si="193"/>
        <v>#N/A</v>
      </c>
      <c r="AK530" s="34" t="e">
        <f t="shared" ca="1" si="186"/>
        <v>#N/A</v>
      </c>
      <c r="AL530" s="34" t="e">
        <f t="shared" ca="1" si="187"/>
        <v>#N/A</v>
      </c>
      <c r="AM530" s="33" t="e">
        <f t="shared" ca="1" si="194"/>
        <v>#N/A</v>
      </c>
      <c r="AN530" s="34" t="e">
        <f t="shared" ca="1" si="195"/>
        <v>#N/A</v>
      </c>
    </row>
    <row r="531" spans="1:40" x14ac:dyDescent="0.3">
      <c r="A531" s="2">
        <v>44232</v>
      </c>
      <c r="B531" s="9">
        <v>70.819999999999993</v>
      </c>
      <c r="C531" s="9">
        <v>108.5</v>
      </c>
      <c r="D531" s="9">
        <v>61.720001000000003</v>
      </c>
      <c r="E531" s="10"/>
      <c r="F531" s="13">
        <v>528</v>
      </c>
      <c r="G531" s="2">
        <v>44232</v>
      </c>
      <c r="H531" s="14">
        <f t="shared" si="176"/>
        <v>6.374368073497577E-3</v>
      </c>
      <c r="I531" s="14">
        <f t="shared" si="177"/>
        <v>6.194241538819447E-3</v>
      </c>
      <c r="J531" s="14">
        <f t="shared" si="178"/>
        <v>1.0751040013098189E-2</v>
      </c>
      <c r="K531" s="22">
        <v>528</v>
      </c>
      <c r="L531" s="12"/>
      <c r="Q531" s="15">
        <f t="shared" si="179"/>
        <v>528</v>
      </c>
      <c r="R531" s="2">
        <f t="shared" si="175"/>
        <v>44232</v>
      </c>
      <c r="S531" s="9">
        <f t="shared" ca="1" si="180"/>
        <v>6.374368073497577E-3</v>
      </c>
      <c r="T531" s="9">
        <f t="shared" ca="1" si="181"/>
        <v>6.194241538819447E-3</v>
      </c>
      <c r="U531" s="9">
        <f t="shared" ca="1" si="182"/>
        <v>1.0751040013098189E-2</v>
      </c>
      <c r="AB531" s="33" t="e">
        <f t="shared" ca="1" si="188"/>
        <v>#N/A</v>
      </c>
      <c r="AC531" s="34" t="e">
        <f t="shared" ca="1" si="189"/>
        <v>#N/A</v>
      </c>
      <c r="AD531" s="34" t="e">
        <f t="shared" ca="1" si="190"/>
        <v>#N/A</v>
      </c>
      <c r="AE531" s="33" t="e">
        <f t="shared" ca="1" si="191"/>
        <v>#N/A</v>
      </c>
      <c r="AF531" s="34" t="e">
        <f t="shared" ca="1" si="183"/>
        <v>#N/A</v>
      </c>
      <c r="AG531" s="34" t="e">
        <f t="shared" ca="1" si="184"/>
        <v>#N/A</v>
      </c>
      <c r="AH531" s="34" t="e">
        <f t="shared" ca="1" si="185"/>
        <v>#N/A</v>
      </c>
      <c r="AI531" s="33" t="e">
        <f t="shared" ca="1" si="192"/>
        <v>#N/A</v>
      </c>
      <c r="AJ531" s="34" t="e">
        <f t="shared" ca="1" si="193"/>
        <v>#N/A</v>
      </c>
      <c r="AK531" s="34" t="e">
        <f t="shared" ca="1" si="186"/>
        <v>#N/A</v>
      </c>
      <c r="AL531" s="34" t="e">
        <f t="shared" ca="1" si="187"/>
        <v>#N/A</v>
      </c>
      <c r="AM531" s="33" t="e">
        <f t="shared" ca="1" si="194"/>
        <v>#N/A</v>
      </c>
      <c r="AN531" s="34" t="e">
        <f t="shared" ca="1" si="195"/>
        <v>#N/A</v>
      </c>
    </row>
    <row r="532" spans="1:40" x14ac:dyDescent="0.3">
      <c r="A532" s="2">
        <v>44235</v>
      </c>
      <c r="B532" s="9">
        <v>72.099997999999999</v>
      </c>
      <c r="C532" s="9">
        <v>110.209999</v>
      </c>
      <c r="D532" s="9">
        <v>64.790001000000004</v>
      </c>
      <c r="E532" s="10"/>
      <c r="F532" s="13">
        <v>529</v>
      </c>
      <c r="G532" s="2">
        <v>44235</v>
      </c>
      <c r="H532" s="14">
        <f t="shared" si="176"/>
        <v>1.7912569867894409E-2</v>
      </c>
      <c r="I532" s="14">
        <f t="shared" si="177"/>
        <v>1.5637454649349496E-2</v>
      </c>
      <c r="J532" s="14">
        <f t="shared" si="178"/>
        <v>4.8543242199182858E-2</v>
      </c>
      <c r="K532" s="22">
        <v>529</v>
      </c>
      <c r="L532" s="12"/>
      <c r="Q532" s="15">
        <f t="shared" si="179"/>
        <v>529</v>
      </c>
      <c r="R532" s="2">
        <f t="shared" si="175"/>
        <v>44235</v>
      </c>
      <c r="S532" s="9">
        <f t="shared" ca="1" si="180"/>
        <v>1.7912569867894409E-2</v>
      </c>
      <c r="T532" s="9">
        <f t="shared" ca="1" si="181"/>
        <v>1.5637454649349496E-2</v>
      </c>
      <c r="U532" s="9">
        <f t="shared" ca="1" si="182"/>
        <v>4.8543242199182858E-2</v>
      </c>
      <c r="AB532" s="33" t="e">
        <f t="shared" ca="1" si="188"/>
        <v>#N/A</v>
      </c>
      <c r="AC532" s="34" t="e">
        <f t="shared" ca="1" si="189"/>
        <v>#N/A</v>
      </c>
      <c r="AD532" s="34" t="e">
        <f t="shared" ca="1" si="190"/>
        <v>#N/A</v>
      </c>
      <c r="AE532" s="33" t="e">
        <f t="shared" ca="1" si="191"/>
        <v>#N/A</v>
      </c>
      <c r="AF532" s="34" t="e">
        <f t="shared" ca="1" si="183"/>
        <v>#N/A</v>
      </c>
      <c r="AG532" s="34" t="e">
        <f t="shared" ca="1" si="184"/>
        <v>#N/A</v>
      </c>
      <c r="AH532" s="34" t="e">
        <f t="shared" ca="1" si="185"/>
        <v>#N/A</v>
      </c>
      <c r="AI532" s="33" t="e">
        <f t="shared" ca="1" si="192"/>
        <v>#N/A</v>
      </c>
      <c r="AJ532" s="34" t="e">
        <f t="shared" ca="1" si="193"/>
        <v>#N/A</v>
      </c>
      <c r="AK532" s="34" t="e">
        <f t="shared" ca="1" si="186"/>
        <v>#N/A</v>
      </c>
      <c r="AL532" s="34" t="e">
        <f t="shared" ca="1" si="187"/>
        <v>#N/A</v>
      </c>
      <c r="AM532" s="33" t="e">
        <f t="shared" ca="1" si="194"/>
        <v>#N/A</v>
      </c>
      <c r="AN532" s="34" t="e">
        <f t="shared" ca="1" si="195"/>
        <v>#N/A</v>
      </c>
    </row>
    <row r="533" spans="1:40" x14ac:dyDescent="0.3">
      <c r="A533" s="2">
        <v>44236</v>
      </c>
      <c r="B533" s="9">
        <v>72.190002000000007</v>
      </c>
      <c r="C533" s="9">
        <v>110.360001</v>
      </c>
      <c r="D533" s="9">
        <v>64.589995999999999</v>
      </c>
      <c r="E533" s="10"/>
      <c r="F533" s="13">
        <v>530</v>
      </c>
      <c r="G533" s="2">
        <v>44236</v>
      </c>
      <c r="H533" s="14">
        <f t="shared" si="176"/>
        <v>1.2475433040856762E-3</v>
      </c>
      <c r="I533" s="14">
        <f t="shared" si="177"/>
        <v>1.3601307804756127E-3</v>
      </c>
      <c r="J533" s="14">
        <f t="shared" si="178"/>
        <v>-3.0917477810581944E-3</v>
      </c>
      <c r="K533" s="22">
        <v>530</v>
      </c>
      <c r="L533" s="12"/>
      <c r="Q533" s="15">
        <f t="shared" si="179"/>
        <v>530</v>
      </c>
      <c r="R533" s="2">
        <f t="shared" si="175"/>
        <v>44236</v>
      </c>
      <c r="S533" s="9">
        <f t="shared" ca="1" si="180"/>
        <v>1.2475433040856762E-3</v>
      </c>
      <c r="T533" s="9">
        <f t="shared" ca="1" si="181"/>
        <v>1.3601307804756127E-3</v>
      </c>
      <c r="U533" s="9">
        <f t="shared" ca="1" si="182"/>
        <v>-3.0917477810581944E-3</v>
      </c>
      <c r="AB533" s="33" t="e">
        <f t="shared" ca="1" si="188"/>
        <v>#N/A</v>
      </c>
      <c r="AC533" s="34" t="e">
        <f t="shared" ca="1" si="189"/>
        <v>#N/A</v>
      </c>
      <c r="AD533" s="34" t="e">
        <f t="shared" ca="1" si="190"/>
        <v>#N/A</v>
      </c>
      <c r="AE533" s="33" t="e">
        <f t="shared" ca="1" si="191"/>
        <v>#N/A</v>
      </c>
      <c r="AF533" s="34" t="e">
        <f t="shared" ca="1" si="183"/>
        <v>#N/A</v>
      </c>
      <c r="AG533" s="34" t="e">
        <f t="shared" ca="1" si="184"/>
        <v>#N/A</v>
      </c>
      <c r="AH533" s="34" t="e">
        <f t="shared" ca="1" si="185"/>
        <v>#N/A</v>
      </c>
      <c r="AI533" s="33" t="e">
        <f t="shared" ca="1" si="192"/>
        <v>#N/A</v>
      </c>
      <c r="AJ533" s="34" t="e">
        <f t="shared" ca="1" si="193"/>
        <v>#N/A</v>
      </c>
      <c r="AK533" s="34" t="e">
        <f t="shared" ca="1" si="186"/>
        <v>#N/A</v>
      </c>
      <c r="AL533" s="34" t="e">
        <f t="shared" ca="1" si="187"/>
        <v>#N/A</v>
      </c>
      <c r="AM533" s="33" t="e">
        <f t="shared" ca="1" si="194"/>
        <v>#N/A</v>
      </c>
      <c r="AN533" s="34" t="e">
        <f t="shared" ca="1" si="195"/>
        <v>#N/A</v>
      </c>
    </row>
    <row r="534" spans="1:40" x14ac:dyDescent="0.3">
      <c r="A534" s="2">
        <v>44237</v>
      </c>
      <c r="B534" s="9">
        <v>73.010002</v>
      </c>
      <c r="C534" s="9">
        <v>112.160004</v>
      </c>
      <c r="D534" s="9">
        <v>65.110000999999997</v>
      </c>
      <c r="E534" s="10"/>
      <c r="F534" s="13">
        <v>531</v>
      </c>
      <c r="G534" s="2">
        <v>44237</v>
      </c>
      <c r="H534" s="14">
        <f t="shared" si="176"/>
        <v>1.129488560576407E-2</v>
      </c>
      <c r="I534" s="14">
        <f t="shared" si="177"/>
        <v>1.6178700539278095E-2</v>
      </c>
      <c r="J534" s="14">
        <f t="shared" si="178"/>
        <v>8.0186244921061477E-3</v>
      </c>
      <c r="K534" s="22">
        <v>531</v>
      </c>
      <c r="L534" s="12"/>
      <c r="Q534" s="15">
        <f t="shared" si="179"/>
        <v>531</v>
      </c>
      <c r="R534" s="2">
        <f t="shared" si="175"/>
        <v>44237</v>
      </c>
      <c r="S534" s="9">
        <f t="shared" ca="1" si="180"/>
        <v>1.129488560576407E-2</v>
      </c>
      <c r="T534" s="9">
        <f t="shared" ca="1" si="181"/>
        <v>1.6178700539278095E-2</v>
      </c>
      <c r="U534" s="9">
        <f t="shared" ca="1" si="182"/>
        <v>8.0186244921061477E-3</v>
      </c>
      <c r="AB534" s="33" t="e">
        <f t="shared" ca="1" si="188"/>
        <v>#N/A</v>
      </c>
      <c r="AC534" s="34" t="e">
        <f t="shared" ca="1" si="189"/>
        <v>#N/A</v>
      </c>
      <c r="AD534" s="34" t="e">
        <f t="shared" ca="1" si="190"/>
        <v>#N/A</v>
      </c>
      <c r="AE534" s="33" t="e">
        <f t="shared" ca="1" si="191"/>
        <v>#N/A</v>
      </c>
      <c r="AF534" s="34" t="e">
        <f t="shared" ca="1" si="183"/>
        <v>#N/A</v>
      </c>
      <c r="AG534" s="34" t="e">
        <f t="shared" ca="1" si="184"/>
        <v>#N/A</v>
      </c>
      <c r="AH534" s="34" t="e">
        <f t="shared" ca="1" si="185"/>
        <v>#N/A</v>
      </c>
      <c r="AI534" s="33" t="e">
        <f t="shared" ca="1" si="192"/>
        <v>#N/A</v>
      </c>
      <c r="AJ534" s="34" t="e">
        <f t="shared" ca="1" si="193"/>
        <v>#N/A</v>
      </c>
      <c r="AK534" s="34" t="e">
        <f t="shared" ca="1" si="186"/>
        <v>#N/A</v>
      </c>
      <c r="AL534" s="34" t="e">
        <f t="shared" ca="1" si="187"/>
        <v>#N/A</v>
      </c>
      <c r="AM534" s="33" t="e">
        <f t="shared" ca="1" si="194"/>
        <v>#N/A</v>
      </c>
      <c r="AN534" s="34" t="e">
        <f t="shared" ca="1" si="195"/>
        <v>#N/A</v>
      </c>
    </row>
    <row r="535" spans="1:40" x14ac:dyDescent="0.3">
      <c r="A535" s="2">
        <v>44238</v>
      </c>
      <c r="B535" s="9">
        <v>73.059997999999993</v>
      </c>
      <c r="C535" s="9">
        <v>113.44000200000001</v>
      </c>
      <c r="D535" s="9">
        <v>64.550003000000004</v>
      </c>
      <c r="E535" s="10"/>
      <c r="F535" s="13">
        <v>532</v>
      </c>
      <c r="G535" s="2">
        <v>44238</v>
      </c>
      <c r="H535" s="14">
        <f t="shared" si="176"/>
        <v>6.8454853087386558E-4</v>
      </c>
      <c r="I535" s="14">
        <f t="shared" si="177"/>
        <v>1.1347621464665315E-2</v>
      </c>
      <c r="J535" s="14">
        <f t="shared" si="178"/>
        <v>-8.6379988391435871E-3</v>
      </c>
      <c r="K535" s="22">
        <v>532</v>
      </c>
      <c r="L535" s="12"/>
      <c r="Q535" s="15">
        <f t="shared" si="179"/>
        <v>532</v>
      </c>
      <c r="R535" s="2">
        <f t="shared" si="175"/>
        <v>44238</v>
      </c>
      <c r="S535" s="9">
        <f t="shared" ca="1" si="180"/>
        <v>6.8454853087386558E-4</v>
      </c>
      <c r="T535" s="9">
        <f t="shared" ca="1" si="181"/>
        <v>1.1347621464665315E-2</v>
      </c>
      <c r="U535" s="9">
        <f t="shared" ca="1" si="182"/>
        <v>-8.6379988391435871E-3</v>
      </c>
      <c r="AB535" s="33" t="e">
        <f t="shared" ca="1" si="188"/>
        <v>#N/A</v>
      </c>
      <c r="AC535" s="34" t="e">
        <f t="shared" ca="1" si="189"/>
        <v>#N/A</v>
      </c>
      <c r="AD535" s="34" t="e">
        <f t="shared" ca="1" si="190"/>
        <v>#N/A</v>
      </c>
      <c r="AE535" s="33" t="e">
        <f t="shared" ca="1" si="191"/>
        <v>#N/A</v>
      </c>
      <c r="AF535" s="34" t="e">
        <f t="shared" ca="1" si="183"/>
        <v>#N/A</v>
      </c>
      <c r="AG535" s="34" t="e">
        <f t="shared" ca="1" si="184"/>
        <v>#N/A</v>
      </c>
      <c r="AH535" s="34" t="e">
        <f t="shared" ca="1" si="185"/>
        <v>#N/A</v>
      </c>
      <c r="AI535" s="33" t="e">
        <f t="shared" ca="1" si="192"/>
        <v>#N/A</v>
      </c>
      <c r="AJ535" s="34" t="e">
        <f t="shared" ca="1" si="193"/>
        <v>#N/A</v>
      </c>
      <c r="AK535" s="34" t="e">
        <f t="shared" ca="1" si="186"/>
        <v>#N/A</v>
      </c>
      <c r="AL535" s="34" t="e">
        <f t="shared" ca="1" si="187"/>
        <v>#N/A</v>
      </c>
      <c r="AM535" s="33" t="e">
        <f t="shared" ca="1" si="194"/>
        <v>#N/A</v>
      </c>
      <c r="AN535" s="34" t="e">
        <f t="shared" ca="1" si="195"/>
        <v>#N/A</v>
      </c>
    </row>
    <row r="536" spans="1:40" x14ac:dyDescent="0.3">
      <c r="A536" s="2">
        <v>44239</v>
      </c>
      <c r="B536" s="9">
        <v>73.779999000000004</v>
      </c>
      <c r="C536" s="9">
        <v>110.699997</v>
      </c>
      <c r="D536" s="9">
        <v>64.739998</v>
      </c>
      <c r="E536" s="10"/>
      <c r="F536" s="13">
        <v>533</v>
      </c>
      <c r="G536" s="2">
        <v>44239</v>
      </c>
      <c r="H536" s="14">
        <f t="shared" si="176"/>
        <v>9.8066846223453033E-3</v>
      </c>
      <c r="I536" s="14">
        <f t="shared" si="177"/>
        <v>-2.4450267799962924E-2</v>
      </c>
      <c r="J536" s="14">
        <f t="shared" si="178"/>
        <v>2.9390538370450414E-3</v>
      </c>
      <c r="K536" s="22">
        <v>533</v>
      </c>
      <c r="L536" s="12"/>
      <c r="Q536" s="15">
        <f t="shared" si="179"/>
        <v>533</v>
      </c>
      <c r="R536" s="2">
        <f t="shared" si="175"/>
        <v>44239</v>
      </c>
      <c r="S536" s="9">
        <f t="shared" ca="1" si="180"/>
        <v>9.8066846223453033E-3</v>
      </c>
      <c r="T536" s="9">
        <f t="shared" ca="1" si="181"/>
        <v>-2.4450267799962924E-2</v>
      </c>
      <c r="U536" s="9">
        <f t="shared" ca="1" si="182"/>
        <v>2.9390538370450414E-3</v>
      </c>
      <c r="AB536" s="33" t="e">
        <f t="shared" ca="1" si="188"/>
        <v>#N/A</v>
      </c>
      <c r="AC536" s="34" t="e">
        <f t="shared" ca="1" si="189"/>
        <v>#N/A</v>
      </c>
      <c r="AD536" s="34" t="e">
        <f t="shared" ca="1" si="190"/>
        <v>#N/A</v>
      </c>
      <c r="AE536" s="33" t="e">
        <f t="shared" ca="1" si="191"/>
        <v>#N/A</v>
      </c>
      <c r="AF536" s="34" t="e">
        <f t="shared" ca="1" si="183"/>
        <v>#N/A</v>
      </c>
      <c r="AG536" s="34" t="e">
        <f t="shared" ca="1" si="184"/>
        <v>#N/A</v>
      </c>
      <c r="AH536" s="34" t="e">
        <f t="shared" ca="1" si="185"/>
        <v>#N/A</v>
      </c>
      <c r="AI536" s="33" t="e">
        <f t="shared" ca="1" si="192"/>
        <v>#N/A</v>
      </c>
      <c r="AJ536" s="34" t="e">
        <f t="shared" ca="1" si="193"/>
        <v>#N/A</v>
      </c>
      <c r="AK536" s="34" t="e">
        <f t="shared" ca="1" si="186"/>
        <v>#N/A</v>
      </c>
      <c r="AL536" s="34" t="e">
        <f t="shared" ca="1" si="187"/>
        <v>#N/A</v>
      </c>
      <c r="AM536" s="33" t="e">
        <f t="shared" ca="1" si="194"/>
        <v>#N/A</v>
      </c>
      <c r="AN536" s="34" t="e">
        <f t="shared" ca="1" si="195"/>
        <v>#N/A</v>
      </c>
    </row>
    <row r="537" spans="1:40" x14ac:dyDescent="0.3">
      <c r="A537" s="2">
        <v>44243</v>
      </c>
      <c r="B537" s="9">
        <v>74.760002</v>
      </c>
      <c r="C537" s="9">
        <v>111.769997</v>
      </c>
      <c r="D537" s="9">
        <v>66.959998999999996</v>
      </c>
      <c r="E537" s="10"/>
      <c r="F537" s="13">
        <v>534</v>
      </c>
      <c r="G537" s="2">
        <v>44243</v>
      </c>
      <c r="H537" s="14">
        <f t="shared" si="176"/>
        <v>1.3195330724914687E-2</v>
      </c>
      <c r="I537" s="14">
        <f t="shared" si="177"/>
        <v>9.6193489423661016E-3</v>
      </c>
      <c r="J537" s="14">
        <f t="shared" si="178"/>
        <v>3.3716193641634806E-2</v>
      </c>
      <c r="K537" s="22">
        <v>534</v>
      </c>
      <c r="L537" s="12"/>
      <c r="Q537" s="15">
        <f t="shared" si="179"/>
        <v>534</v>
      </c>
      <c r="R537" s="2">
        <f t="shared" si="175"/>
        <v>44243</v>
      </c>
      <c r="S537" s="9">
        <f t="shared" ca="1" si="180"/>
        <v>1.3195330724914687E-2</v>
      </c>
      <c r="T537" s="9">
        <f t="shared" ca="1" si="181"/>
        <v>9.6193489423661016E-3</v>
      </c>
      <c r="U537" s="9">
        <f t="shared" ca="1" si="182"/>
        <v>3.3716193641634806E-2</v>
      </c>
      <c r="AB537" s="33" t="e">
        <f t="shared" ca="1" si="188"/>
        <v>#N/A</v>
      </c>
      <c r="AC537" s="34" t="e">
        <f t="shared" ca="1" si="189"/>
        <v>#N/A</v>
      </c>
      <c r="AD537" s="34" t="e">
        <f t="shared" ca="1" si="190"/>
        <v>#N/A</v>
      </c>
      <c r="AE537" s="33" t="e">
        <f t="shared" ca="1" si="191"/>
        <v>#N/A</v>
      </c>
      <c r="AF537" s="34" t="e">
        <f t="shared" ca="1" si="183"/>
        <v>#N/A</v>
      </c>
      <c r="AG537" s="34" t="e">
        <f t="shared" ca="1" si="184"/>
        <v>#N/A</v>
      </c>
      <c r="AH537" s="34" t="e">
        <f t="shared" ca="1" si="185"/>
        <v>#N/A</v>
      </c>
      <c r="AI537" s="33" t="e">
        <f t="shared" ca="1" si="192"/>
        <v>#N/A</v>
      </c>
      <c r="AJ537" s="34" t="e">
        <f t="shared" ca="1" si="193"/>
        <v>#N/A</v>
      </c>
      <c r="AK537" s="34" t="e">
        <f t="shared" ca="1" si="186"/>
        <v>#N/A</v>
      </c>
      <c r="AL537" s="34" t="e">
        <f t="shared" ca="1" si="187"/>
        <v>#N/A</v>
      </c>
      <c r="AM537" s="33" t="e">
        <f t="shared" ca="1" si="194"/>
        <v>#N/A</v>
      </c>
      <c r="AN537" s="34" t="e">
        <f t="shared" ca="1" si="195"/>
        <v>#N/A</v>
      </c>
    </row>
    <row r="538" spans="1:40" x14ac:dyDescent="0.3">
      <c r="A538" s="2">
        <v>44244</v>
      </c>
      <c r="B538" s="9">
        <v>76.5</v>
      </c>
      <c r="C538" s="9">
        <v>111.410004</v>
      </c>
      <c r="D538" s="9">
        <v>68.120002999999997</v>
      </c>
      <c r="E538" s="10"/>
      <c r="F538" s="13">
        <v>535</v>
      </c>
      <c r="G538" s="2">
        <v>44244</v>
      </c>
      <c r="H538" s="14">
        <f t="shared" si="176"/>
        <v>2.3007731492854466E-2</v>
      </c>
      <c r="I538" s="14">
        <f t="shared" si="177"/>
        <v>-3.2260355820416856E-3</v>
      </c>
      <c r="J538" s="14">
        <f t="shared" si="178"/>
        <v>1.7175488587485414E-2</v>
      </c>
      <c r="K538" s="22">
        <v>535</v>
      </c>
      <c r="L538" s="12"/>
      <c r="Q538" s="15">
        <f t="shared" si="179"/>
        <v>535</v>
      </c>
      <c r="R538" s="2">
        <f t="shared" si="175"/>
        <v>44244</v>
      </c>
      <c r="S538" s="9">
        <f t="shared" ca="1" si="180"/>
        <v>2.3007731492854466E-2</v>
      </c>
      <c r="T538" s="9">
        <f t="shared" ca="1" si="181"/>
        <v>-3.2260355820416856E-3</v>
      </c>
      <c r="U538" s="9">
        <f t="shared" ca="1" si="182"/>
        <v>1.7175488587485414E-2</v>
      </c>
      <c r="AB538" s="33" t="e">
        <f t="shared" ca="1" si="188"/>
        <v>#N/A</v>
      </c>
      <c r="AC538" s="34" t="e">
        <f t="shared" ca="1" si="189"/>
        <v>#N/A</v>
      </c>
      <c r="AD538" s="34" t="e">
        <f t="shared" ca="1" si="190"/>
        <v>#N/A</v>
      </c>
      <c r="AE538" s="33" t="e">
        <f t="shared" ca="1" si="191"/>
        <v>#N/A</v>
      </c>
      <c r="AF538" s="34" t="e">
        <f t="shared" ca="1" si="183"/>
        <v>#N/A</v>
      </c>
      <c r="AG538" s="34" t="e">
        <f t="shared" ca="1" si="184"/>
        <v>#N/A</v>
      </c>
      <c r="AH538" s="34" t="e">
        <f t="shared" ca="1" si="185"/>
        <v>#N/A</v>
      </c>
      <c r="AI538" s="33" t="e">
        <f t="shared" ca="1" si="192"/>
        <v>#N/A</v>
      </c>
      <c r="AJ538" s="34" t="e">
        <f t="shared" ca="1" si="193"/>
        <v>#N/A</v>
      </c>
      <c r="AK538" s="34" t="e">
        <f t="shared" ca="1" si="186"/>
        <v>#N/A</v>
      </c>
      <c r="AL538" s="34" t="e">
        <f t="shared" ca="1" si="187"/>
        <v>#N/A</v>
      </c>
      <c r="AM538" s="33" t="e">
        <f t="shared" ca="1" si="194"/>
        <v>#N/A</v>
      </c>
      <c r="AN538" s="34" t="e">
        <f t="shared" ca="1" si="195"/>
        <v>#N/A</v>
      </c>
    </row>
    <row r="539" spans="1:40" x14ac:dyDescent="0.3">
      <c r="A539" s="2">
        <v>44245</v>
      </c>
      <c r="B539" s="9">
        <v>76.889999000000003</v>
      </c>
      <c r="C539" s="9">
        <v>110.989998</v>
      </c>
      <c r="D539" s="9">
        <v>67.830001999999993</v>
      </c>
      <c r="E539" s="10"/>
      <c r="F539" s="13">
        <v>536</v>
      </c>
      <c r="G539" s="2">
        <v>44245</v>
      </c>
      <c r="H539" s="14">
        <f t="shared" si="176"/>
        <v>5.0850752060068961E-3</v>
      </c>
      <c r="I539" s="14">
        <f t="shared" si="177"/>
        <v>-3.7770368303977225E-3</v>
      </c>
      <c r="J539" s="14">
        <f t="shared" si="178"/>
        <v>-4.2662953909500456E-3</v>
      </c>
      <c r="K539" s="22">
        <v>536</v>
      </c>
      <c r="L539" s="12"/>
      <c r="Q539" s="15">
        <f t="shared" si="179"/>
        <v>536</v>
      </c>
      <c r="R539" s="2">
        <f t="shared" si="175"/>
        <v>44245</v>
      </c>
      <c r="S539" s="9">
        <f t="shared" ca="1" si="180"/>
        <v>5.0850752060068961E-3</v>
      </c>
      <c r="T539" s="9">
        <f t="shared" ca="1" si="181"/>
        <v>-3.7770368303977225E-3</v>
      </c>
      <c r="U539" s="9">
        <f t="shared" ca="1" si="182"/>
        <v>-4.2662953909500456E-3</v>
      </c>
      <c r="AB539" s="33" t="e">
        <f t="shared" ca="1" si="188"/>
        <v>#N/A</v>
      </c>
      <c r="AC539" s="34" t="e">
        <f t="shared" ca="1" si="189"/>
        <v>#N/A</v>
      </c>
      <c r="AD539" s="34" t="e">
        <f t="shared" ca="1" si="190"/>
        <v>#N/A</v>
      </c>
      <c r="AE539" s="33" t="e">
        <f t="shared" ca="1" si="191"/>
        <v>#N/A</v>
      </c>
      <c r="AF539" s="34" t="e">
        <f t="shared" ca="1" si="183"/>
        <v>#N/A</v>
      </c>
      <c r="AG539" s="34" t="e">
        <f t="shared" ca="1" si="184"/>
        <v>#N/A</v>
      </c>
      <c r="AH539" s="34" t="e">
        <f t="shared" ca="1" si="185"/>
        <v>#N/A</v>
      </c>
      <c r="AI539" s="33" t="e">
        <f t="shared" ca="1" si="192"/>
        <v>#N/A</v>
      </c>
      <c r="AJ539" s="34" t="e">
        <f t="shared" ca="1" si="193"/>
        <v>#N/A</v>
      </c>
      <c r="AK539" s="34" t="e">
        <f t="shared" ca="1" si="186"/>
        <v>#N/A</v>
      </c>
      <c r="AL539" s="34" t="e">
        <f t="shared" ca="1" si="187"/>
        <v>#N/A</v>
      </c>
      <c r="AM539" s="33" t="e">
        <f t="shared" ca="1" si="194"/>
        <v>#N/A</v>
      </c>
      <c r="AN539" s="34" t="e">
        <f t="shared" ca="1" si="195"/>
        <v>#N/A</v>
      </c>
    </row>
    <row r="540" spans="1:40" x14ac:dyDescent="0.3">
      <c r="A540" s="2">
        <v>44246</v>
      </c>
      <c r="B540" s="9">
        <v>78.430000000000007</v>
      </c>
      <c r="C540" s="9">
        <v>113.459999</v>
      </c>
      <c r="D540" s="9">
        <v>71.529999000000004</v>
      </c>
      <c r="E540" s="10"/>
      <c r="F540" s="13">
        <v>537</v>
      </c>
      <c r="G540" s="2">
        <v>44246</v>
      </c>
      <c r="H540" s="14">
        <f t="shared" si="176"/>
        <v>1.9830691186078119E-2</v>
      </c>
      <c r="I540" s="14">
        <f t="shared" si="177"/>
        <v>2.2010253940495581E-2</v>
      </c>
      <c r="J540" s="14">
        <f t="shared" si="178"/>
        <v>5.3112323696678079E-2</v>
      </c>
      <c r="K540" s="22">
        <v>537</v>
      </c>
      <c r="L540" s="12"/>
      <c r="Q540" s="15">
        <f t="shared" si="179"/>
        <v>537</v>
      </c>
      <c r="R540" s="2">
        <f t="shared" si="175"/>
        <v>44246</v>
      </c>
      <c r="S540" s="9">
        <f t="shared" ca="1" si="180"/>
        <v>1.9830691186078119E-2</v>
      </c>
      <c r="T540" s="9">
        <f t="shared" ca="1" si="181"/>
        <v>2.2010253940495581E-2</v>
      </c>
      <c r="U540" s="9">
        <f t="shared" ca="1" si="182"/>
        <v>5.3112323696678079E-2</v>
      </c>
      <c r="AB540" s="33" t="e">
        <f t="shared" ca="1" si="188"/>
        <v>#N/A</v>
      </c>
      <c r="AC540" s="34" t="e">
        <f t="shared" ca="1" si="189"/>
        <v>#N/A</v>
      </c>
      <c r="AD540" s="34" t="e">
        <f t="shared" ca="1" si="190"/>
        <v>#N/A</v>
      </c>
      <c r="AE540" s="33" t="e">
        <f t="shared" ca="1" si="191"/>
        <v>#N/A</v>
      </c>
      <c r="AF540" s="34" t="e">
        <f t="shared" ca="1" si="183"/>
        <v>#N/A</v>
      </c>
      <c r="AG540" s="34" t="e">
        <f t="shared" ca="1" si="184"/>
        <v>#N/A</v>
      </c>
      <c r="AH540" s="34" t="e">
        <f t="shared" ca="1" si="185"/>
        <v>#N/A</v>
      </c>
      <c r="AI540" s="33" t="e">
        <f t="shared" ca="1" si="192"/>
        <v>#N/A</v>
      </c>
      <c r="AJ540" s="34" t="e">
        <f t="shared" ca="1" si="193"/>
        <v>#N/A</v>
      </c>
      <c r="AK540" s="34" t="e">
        <f t="shared" ca="1" si="186"/>
        <v>#N/A</v>
      </c>
      <c r="AL540" s="34" t="e">
        <f t="shared" ca="1" si="187"/>
        <v>#N/A</v>
      </c>
      <c r="AM540" s="33" t="e">
        <f t="shared" ca="1" si="194"/>
        <v>#N/A</v>
      </c>
      <c r="AN540" s="34" t="e">
        <f t="shared" ca="1" si="195"/>
        <v>#N/A</v>
      </c>
    </row>
    <row r="541" spans="1:40" x14ac:dyDescent="0.3">
      <c r="A541" s="2">
        <v>44249</v>
      </c>
      <c r="B541" s="9">
        <v>81.050003000000004</v>
      </c>
      <c r="C541" s="9">
        <v>117.379997</v>
      </c>
      <c r="D541" s="9">
        <v>74.25</v>
      </c>
      <c r="E541" s="10"/>
      <c r="F541" s="13">
        <v>538</v>
      </c>
      <c r="G541" s="2">
        <v>44249</v>
      </c>
      <c r="H541" s="14">
        <f t="shared" si="176"/>
        <v>3.2859777971298111E-2</v>
      </c>
      <c r="I541" s="14">
        <f t="shared" si="177"/>
        <v>3.3966166487429249E-2</v>
      </c>
      <c r="J541" s="14">
        <f t="shared" si="178"/>
        <v>3.7320849542664784E-2</v>
      </c>
      <c r="K541" s="22">
        <v>538</v>
      </c>
      <c r="L541" s="12"/>
      <c r="Q541" s="15">
        <f t="shared" si="179"/>
        <v>538</v>
      </c>
      <c r="R541" s="2">
        <f t="shared" si="175"/>
        <v>44249</v>
      </c>
      <c r="S541" s="9">
        <f t="shared" ca="1" si="180"/>
        <v>3.2859777971298111E-2</v>
      </c>
      <c r="T541" s="9">
        <f t="shared" ca="1" si="181"/>
        <v>3.3966166487429249E-2</v>
      </c>
      <c r="U541" s="9">
        <f t="shared" ca="1" si="182"/>
        <v>3.7320849542664784E-2</v>
      </c>
      <c r="AB541" s="33" t="e">
        <f t="shared" ca="1" si="188"/>
        <v>#N/A</v>
      </c>
      <c r="AC541" s="34" t="e">
        <f t="shared" ca="1" si="189"/>
        <v>#N/A</v>
      </c>
      <c r="AD541" s="34" t="e">
        <f t="shared" ca="1" si="190"/>
        <v>#N/A</v>
      </c>
      <c r="AE541" s="33" t="e">
        <f t="shared" ca="1" si="191"/>
        <v>#N/A</v>
      </c>
      <c r="AF541" s="34" t="e">
        <f t="shared" ca="1" si="183"/>
        <v>#N/A</v>
      </c>
      <c r="AG541" s="34" t="e">
        <f t="shared" ca="1" si="184"/>
        <v>#N/A</v>
      </c>
      <c r="AH541" s="34" t="e">
        <f t="shared" ca="1" si="185"/>
        <v>#N/A</v>
      </c>
      <c r="AI541" s="33" t="e">
        <f t="shared" ca="1" si="192"/>
        <v>#N/A</v>
      </c>
      <c r="AJ541" s="34" t="e">
        <f t="shared" ca="1" si="193"/>
        <v>#N/A</v>
      </c>
      <c r="AK541" s="34" t="e">
        <f t="shared" ca="1" si="186"/>
        <v>#N/A</v>
      </c>
      <c r="AL541" s="34" t="e">
        <f t="shared" ca="1" si="187"/>
        <v>#N/A</v>
      </c>
      <c r="AM541" s="33" t="e">
        <f t="shared" ca="1" si="194"/>
        <v>#N/A</v>
      </c>
      <c r="AN541" s="34" t="e">
        <f t="shared" ca="1" si="195"/>
        <v>#N/A</v>
      </c>
    </row>
    <row r="542" spans="1:40" x14ac:dyDescent="0.3">
      <c r="A542" s="2">
        <v>44250</v>
      </c>
      <c r="B542" s="9">
        <v>82.790001000000004</v>
      </c>
      <c r="C542" s="9">
        <v>117.129997</v>
      </c>
      <c r="D542" s="9">
        <v>75.809997999999993</v>
      </c>
      <c r="E542" s="10"/>
      <c r="F542" s="13">
        <v>539</v>
      </c>
      <c r="G542" s="2">
        <v>44250</v>
      </c>
      <c r="H542" s="14">
        <f t="shared" si="176"/>
        <v>2.1241008033594598E-2</v>
      </c>
      <c r="I542" s="14">
        <f t="shared" si="177"/>
        <v>-2.1321061029556439E-3</v>
      </c>
      <c r="J542" s="14">
        <f t="shared" si="178"/>
        <v>2.0792406003659256E-2</v>
      </c>
      <c r="K542" s="22">
        <v>539</v>
      </c>
      <c r="L542" s="12"/>
      <c r="Q542" s="15">
        <f t="shared" si="179"/>
        <v>539</v>
      </c>
      <c r="R542" s="2">
        <f t="shared" si="175"/>
        <v>44250</v>
      </c>
      <c r="S542" s="9">
        <f t="shared" ca="1" si="180"/>
        <v>2.1241008033594598E-2</v>
      </c>
      <c r="T542" s="9">
        <f t="shared" ca="1" si="181"/>
        <v>-2.1321061029556439E-3</v>
      </c>
      <c r="U542" s="9">
        <f t="shared" ca="1" si="182"/>
        <v>2.0792406003659256E-2</v>
      </c>
      <c r="AB542" s="33" t="e">
        <f t="shared" ca="1" si="188"/>
        <v>#N/A</v>
      </c>
      <c r="AC542" s="34" t="e">
        <f t="shared" ca="1" si="189"/>
        <v>#N/A</v>
      </c>
      <c r="AD542" s="34" t="e">
        <f t="shared" ca="1" si="190"/>
        <v>#N/A</v>
      </c>
      <c r="AE542" s="33" t="e">
        <f t="shared" ca="1" si="191"/>
        <v>#N/A</v>
      </c>
      <c r="AF542" s="34" t="e">
        <f t="shared" ca="1" si="183"/>
        <v>#N/A</v>
      </c>
      <c r="AG542" s="34" t="e">
        <f t="shared" ca="1" si="184"/>
        <v>#N/A</v>
      </c>
      <c r="AH542" s="34" t="e">
        <f t="shared" ca="1" si="185"/>
        <v>#N/A</v>
      </c>
      <c r="AI542" s="33" t="e">
        <f t="shared" ca="1" si="192"/>
        <v>#N/A</v>
      </c>
      <c r="AJ542" s="34" t="e">
        <f t="shared" ca="1" si="193"/>
        <v>#N/A</v>
      </c>
      <c r="AK542" s="34" t="e">
        <f t="shared" ca="1" si="186"/>
        <v>#N/A</v>
      </c>
      <c r="AL542" s="34" t="e">
        <f t="shared" ca="1" si="187"/>
        <v>#N/A</v>
      </c>
      <c r="AM542" s="33" t="e">
        <f t="shared" ca="1" si="194"/>
        <v>#N/A</v>
      </c>
      <c r="AN542" s="34" t="e">
        <f t="shared" ca="1" si="195"/>
        <v>#N/A</v>
      </c>
    </row>
    <row r="543" spans="1:40" x14ac:dyDescent="0.3">
      <c r="A543" s="2">
        <v>44251</v>
      </c>
      <c r="B543" s="9">
        <v>82.150002000000001</v>
      </c>
      <c r="C543" s="9">
        <v>119.879997</v>
      </c>
      <c r="D543" s="9">
        <v>78.160004000000001</v>
      </c>
      <c r="E543" s="10"/>
      <c r="F543" s="13">
        <v>540</v>
      </c>
      <c r="G543" s="2">
        <v>44251</v>
      </c>
      <c r="H543" s="14">
        <f t="shared" si="176"/>
        <v>-7.7604244004820418E-3</v>
      </c>
      <c r="I543" s="14">
        <f t="shared" si="177"/>
        <v>2.3206813954221424E-2</v>
      </c>
      <c r="J543" s="14">
        <f t="shared" si="178"/>
        <v>3.0527875225130424E-2</v>
      </c>
      <c r="K543" s="22">
        <v>540</v>
      </c>
      <c r="L543" s="12"/>
      <c r="Q543" s="15">
        <f t="shared" si="179"/>
        <v>540</v>
      </c>
      <c r="R543" s="2">
        <f t="shared" si="175"/>
        <v>44251</v>
      </c>
      <c r="S543" s="9">
        <f t="shared" ca="1" si="180"/>
        <v>-7.7604244004820418E-3</v>
      </c>
      <c r="T543" s="9">
        <f t="shared" ca="1" si="181"/>
        <v>2.3206813954221424E-2</v>
      </c>
      <c r="U543" s="9">
        <f t="shared" ca="1" si="182"/>
        <v>3.0527875225130424E-2</v>
      </c>
      <c r="AB543" s="33" t="e">
        <f t="shared" ca="1" si="188"/>
        <v>#N/A</v>
      </c>
      <c r="AC543" s="34" t="e">
        <f t="shared" ca="1" si="189"/>
        <v>#N/A</v>
      </c>
      <c r="AD543" s="34" t="e">
        <f t="shared" ca="1" si="190"/>
        <v>#N/A</v>
      </c>
      <c r="AE543" s="33" t="e">
        <f t="shared" ca="1" si="191"/>
        <v>#N/A</v>
      </c>
      <c r="AF543" s="34" t="e">
        <f t="shared" ca="1" si="183"/>
        <v>#N/A</v>
      </c>
      <c r="AG543" s="34" t="e">
        <f t="shared" ca="1" si="184"/>
        <v>#N/A</v>
      </c>
      <c r="AH543" s="34" t="e">
        <f t="shared" ca="1" si="185"/>
        <v>#N/A</v>
      </c>
      <c r="AI543" s="33" t="e">
        <f t="shared" ca="1" si="192"/>
        <v>#N/A</v>
      </c>
      <c r="AJ543" s="34" t="e">
        <f t="shared" ca="1" si="193"/>
        <v>#N/A</v>
      </c>
      <c r="AK543" s="34" t="e">
        <f t="shared" ca="1" si="186"/>
        <v>#N/A</v>
      </c>
      <c r="AL543" s="34" t="e">
        <f t="shared" ca="1" si="187"/>
        <v>#N/A</v>
      </c>
      <c r="AM543" s="33" t="e">
        <f t="shared" ca="1" si="194"/>
        <v>#N/A</v>
      </c>
      <c r="AN543" s="34" t="e">
        <f t="shared" ca="1" si="195"/>
        <v>#N/A</v>
      </c>
    </row>
    <row r="544" spans="1:40" x14ac:dyDescent="0.3">
      <c r="A544" s="2">
        <v>44252</v>
      </c>
      <c r="B544" s="9">
        <v>79.389999000000003</v>
      </c>
      <c r="C544" s="9">
        <v>117.58000199999999</v>
      </c>
      <c r="D544" s="9">
        <v>78.150002000000001</v>
      </c>
      <c r="E544" s="10"/>
      <c r="F544" s="13">
        <v>541</v>
      </c>
      <c r="G544" s="2">
        <v>44252</v>
      </c>
      <c r="H544" s="14">
        <f t="shared" si="176"/>
        <v>-3.4174465688008776E-2</v>
      </c>
      <c r="I544" s="14">
        <f t="shared" si="177"/>
        <v>-1.9372247439632975E-2</v>
      </c>
      <c r="J544" s="14">
        <f t="shared" si="178"/>
        <v>-1.2797645230275145E-4</v>
      </c>
      <c r="K544" s="22">
        <v>541</v>
      </c>
      <c r="L544" s="12"/>
      <c r="Q544" s="15">
        <f t="shared" si="179"/>
        <v>541</v>
      </c>
      <c r="R544" s="2">
        <f t="shared" si="175"/>
        <v>44252</v>
      </c>
      <c r="S544" s="9">
        <f t="shared" ca="1" si="180"/>
        <v>-3.4174465688008776E-2</v>
      </c>
      <c r="T544" s="9">
        <f t="shared" ca="1" si="181"/>
        <v>-1.9372247439632975E-2</v>
      </c>
      <c r="U544" s="9">
        <f t="shared" ca="1" si="182"/>
        <v>-1.2797645230275145E-4</v>
      </c>
      <c r="AB544" s="33" t="e">
        <f t="shared" ca="1" si="188"/>
        <v>#N/A</v>
      </c>
      <c r="AC544" s="34" t="e">
        <f t="shared" ca="1" si="189"/>
        <v>#N/A</v>
      </c>
      <c r="AD544" s="34" t="e">
        <f t="shared" ca="1" si="190"/>
        <v>#N/A</v>
      </c>
      <c r="AE544" s="33" t="e">
        <f t="shared" ca="1" si="191"/>
        <v>#N/A</v>
      </c>
      <c r="AF544" s="34" t="e">
        <f t="shared" ca="1" si="183"/>
        <v>#N/A</v>
      </c>
      <c r="AG544" s="34" t="e">
        <f t="shared" ca="1" si="184"/>
        <v>#N/A</v>
      </c>
      <c r="AH544" s="34" t="e">
        <f t="shared" ca="1" si="185"/>
        <v>#N/A</v>
      </c>
      <c r="AI544" s="33" t="e">
        <f t="shared" ca="1" si="192"/>
        <v>#N/A</v>
      </c>
      <c r="AJ544" s="34" t="e">
        <f t="shared" ca="1" si="193"/>
        <v>#N/A</v>
      </c>
      <c r="AK544" s="34" t="e">
        <f t="shared" ca="1" si="186"/>
        <v>#N/A</v>
      </c>
      <c r="AL544" s="34" t="e">
        <f t="shared" ca="1" si="187"/>
        <v>#N/A</v>
      </c>
      <c r="AM544" s="33" t="e">
        <f t="shared" ca="1" si="194"/>
        <v>#N/A</v>
      </c>
      <c r="AN544" s="34" t="e">
        <f t="shared" ca="1" si="195"/>
        <v>#N/A</v>
      </c>
    </row>
    <row r="545" spans="1:40" x14ac:dyDescent="0.3">
      <c r="A545" s="2">
        <v>44253</v>
      </c>
      <c r="B545" s="9">
        <v>77.790001000000004</v>
      </c>
      <c r="C545" s="9">
        <v>117.08000199999999</v>
      </c>
      <c r="D545" s="9">
        <v>76.980002999999996</v>
      </c>
      <c r="E545" s="10"/>
      <c r="F545" s="13">
        <v>542</v>
      </c>
      <c r="G545" s="2">
        <v>44253</v>
      </c>
      <c r="H545" s="14">
        <f t="shared" si="176"/>
        <v>-2.0359502067171645E-2</v>
      </c>
      <c r="I545" s="14">
        <f t="shared" si="177"/>
        <v>-4.2614910777823952E-3</v>
      </c>
      <c r="J545" s="14">
        <f t="shared" si="178"/>
        <v>-1.5084395632535308E-2</v>
      </c>
      <c r="K545" s="22">
        <v>542</v>
      </c>
      <c r="L545" s="12"/>
      <c r="Q545" s="15">
        <f t="shared" si="179"/>
        <v>542</v>
      </c>
      <c r="R545" s="2">
        <f t="shared" si="175"/>
        <v>44253</v>
      </c>
      <c r="S545" s="9">
        <f t="shared" ca="1" si="180"/>
        <v>-2.0359502067171645E-2</v>
      </c>
      <c r="T545" s="9">
        <f t="shared" ca="1" si="181"/>
        <v>-4.2614910777823952E-3</v>
      </c>
      <c r="U545" s="9">
        <f t="shared" ca="1" si="182"/>
        <v>-1.5084395632535308E-2</v>
      </c>
      <c r="AB545" s="33" t="e">
        <f t="shared" ca="1" si="188"/>
        <v>#N/A</v>
      </c>
      <c r="AC545" s="34" t="e">
        <f t="shared" ca="1" si="189"/>
        <v>#N/A</v>
      </c>
      <c r="AD545" s="34" t="e">
        <f t="shared" ca="1" si="190"/>
        <v>#N/A</v>
      </c>
      <c r="AE545" s="33" t="e">
        <f t="shared" ca="1" si="191"/>
        <v>#N/A</v>
      </c>
      <c r="AF545" s="34" t="e">
        <f t="shared" ca="1" si="183"/>
        <v>#N/A</v>
      </c>
      <c r="AG545" s="34" t="e">
        <f t="shared" ca="1" si="184"/>
        <v>#N/A</v>
      </c>
      <c r="AH545" s="34" t="e">
        <f t="shared" ca="1" si="185"/>
        <v>#N/A</v>
      </c>
      <c r="AI545" s="33" t="e">
        <f t="shared" ca="1" si="192"/>
        <v>#N/A</v>
      </c>
      <c r="AJ545" s="34" t="e">
        <f t="shared" ca="1" si="193"/>
        <v>#N/A</v>
      </c>
      <c r="AK545" s="34" t="e">
        <f t="shared" ca="1" si="186"/>
        <v>#N/A</v>
      </c>
      <c r="AL545" s="34" t="e">
        <f t="shared" ca="1" si="187"/>
        <v>#N/A</v>
      </c>
      <c r="AM545" s="33" t="e">
        <f t="shared" ca="1" si="194"/>
        <v>#N/A</v>
      </c>
      <c r="AN545" s="34" t="e">
        <f t="shared" ca="1" si="195"/>
        <v>#N/A</v>
      </c>
    </row>
    <row r="546" spans="1:40" x14ac:dyDescent="0.3">
      <c r="A546" s="2">
        <v>44256</v>
      </c>
      <c r="B546" s="9">
        <v>79.040001000000004</v>
      </c>
      <c r="C546" s="9">
        <v>120.339996</v>
      </c>
      <c r="D546" s="9">
        <v>77.800003000000004</v>
      </c>
      <c r="E546" s="10"/>
      <c r="F546" s="13">
        <v>543</v>
      </c>
      <c r="G546" s="2">
        <v>44256</v>
      </c>
      <c r="H546" s="14">
        <f t="shared" si="176"/>
        <v>1.5941165017628732E-2</v>
      </c>
      <c r="I546" s="14">
        <f t="shared" si="177"/>
        <v>2.7463557647027587E-2</v>
      </c>
      <c r="J546" s="14">
        <f t="shared" si="178"/>
        <v>1.0595782917996012E-2</v>
      </c>
      <c r="K546" s="22">
        <v>543</v>
      </c>
      <c r="L546" s="12"/>
      <c r="Q546" s="15">
        <f t="shared" si="179"/>
        <v>543</v>
      </c>
      <c r="R546" s="2">
        <f t="shared" si="175"/>
        <v>44256</v>
      </c>
      <c r="S546" s="9">
        <f t="shared" ca="1" si="180"/>
        <v>1.5941165017628732E-2</v>
      </c>
      <c r="T546" s="9">
        <f t="shared" ca="1" si="181"/>
        <v>2.7463557647027587E-2</v>
      </c>
      <c r="U546" s="9">
        <f t="shared" ca="1" si="182"/>
        <v>1.0595782917996012E-2</v>
      </c>
      <c r="AB546" s="33" t="e">
        <f t="shared" ca="1" si="188"/>
        <v>#N/A</v>
      </c>
      <c r="AC546" s="34" t="e">
        <f t="shared" ca="1" si="189"/>
        <v>#N/A</v>
      </c>
      <c r="AD546" s="34" t="e">
        <f t="shared" ca="1" si="190"/>
        <v>#N/A</v>
      </c>
      <c r="AE546" s="33" t="e">
        <f t="shared" ca="1" si="191"/>
        <v>#N/A</v>
      </c>
      <c r="AF546" s="34" t="e">
        <f t="shared" ca="1" si="183"/>
        <v>#N/A</v>
      </c>
      <c r="AG546" s="34" t="e">
        <f t="shared" ca="1" si="184"/>
        <v>#N/A</v>
      </c>
      <c r="AH546" s="34" t="e">
        <f t="shared" ca="1" si="185"/>
        <v>#N/A</v>
      </c>
      <c r="AI546" s="33" t="e">
        <f t="shared" ca="1" si="192"/>
        <v>#N/A</v>
      </c>
      <c r="AJ546" s="34" t="e">
        <f t="shared" ca="1" si="193"/>
        <v>#N/A</v>
      </c>
      <c r="AK546" s="34" t="e">
        <f t="shared" ca="1" si="186"/>
        <v>#N/A</v>
      </c>
      <c r="AL546" s="34" t="e">
        <f t="shared" ca="1" si="187"/>
        <v>#N/A</v>
      </c>
      <c r="AM546" s="33" t="e">
        <f t="shared" ca="1" si="194"/>
        <v>#N/A</v>
      </c>
      <c r="AN546" s="34" t="e">
        <f t="shared" ca="1" si="195"/>
        <v>#N/A</v>
      </c>
    </row>
    <row r="547" spans="1:40" x14ac:dyDescent="0.3">
      <c r="A547" s="2">
        <v>44257</v>
      </c>
      <c r="B547" s="9">
        <v>77.610000999999997</v>
      </c>
      <c r="C547" s="9">
        <v>121.639999</v>
      </c>
      <c r="D547" s="9">
        <v>76.629997000000003</v>
      </c>
      <c r="E547" s="10"/>
      <c r="F547" s="13">
        <v>544</v>
      </c>
      <c r="G547" s="2">
        <v>44257</v>
      </c>
      <c r="H547" s="14">
        <f t="shared" si="176"/>
        <v>-1.8257768340449315E-2</v>
      </c>
      <c r="I547" s="14">
        <f t="shared" si="177"/>
        <v>1.0744818035134477E-2</v>
      </c>
      <c r="J547" s="14">
        <f t="shared" si="178"/>
        <v>-1.5152863911602563E-2</v>
      </c>
      <c r="K547" s="22">
        <v>544</v>
      </c>
      <c r="L547" s="12"/>
      <c r="Q547" s="15">
        <f t="shared" si="179"/>
        <v>544</v>
      </c>
      <c r="R547" s="2">
        <f t="shared" si="175"/>
        <v>44257</v>
      </c>
      <c r="S547" s="9">
        <f t="shared" ca="1" si="180"/>
        <v>-1.8257768340449315E-2</v>
      </c>
      <c r="T547" s="9">
        <f t="shared" ca="1" si="181"/>
        <v>1.0744818035134477E-2</v>
      </c>
      <c r="U547" s="9">
        <f t="shared" ca="1" si="182"/>
        <v>-1.5152863911602563E-2</v>
      </c>
      <c r="AB547" s="33" t="e">
        <f t="shared" ca="1" si="188"/>
        <v>#N/A</v>
      </c>
      <c r="AC547" s="34" t="e">
        <f t="shared" ca="1" si="189"/>
        <v>#N/A</v>
      </c>
      <c r="AD547" s="34" t="e">
        <f t="shared" ca="1" si="190"/>
        <v>#N/A</v>
      </c>
      <c r="AE547" s="33" t="e">
        <f t="shared" ca="1" si="191"/>
        <v>#N/A</v>
      </c>
      <c r="AF547" s="34" t="e">
        <f t="shared" ca="1" si="183"/>
        <v>#N/A</v>
      </c>
      <c r="AG547" s="34" t="e">
        <f t="shared" ca="1" si="184"/>
        <v>#N/A</v>
      </c>
      <c r="AH547" s="34" t="e">
        <f t="shared" ca="1" si="185"/>
        <v>#N/A</v>
      </c>
      <c r="AI547" s="33" t="e">
        <f t="shared" ca="1" si="192"/>
        <v>#N/A</v>
      </c>
      <c r="AJ547" s="34" t="e">
        <f t="shared" ca="1" si="193"/>
        <v>#N/A</v>
      </c>
      <c r="AK547" s="34" t="e">
        <f t="shared" ca="1" si="186"/>
        <v>#N/A</v>
      </c>
      <c r="AL547" s="34" t="e">
        <f t="shared" ca="1" si="187"/>
        <v>#N/A</v>
      </c>
      <c r="AM547" s="33" t="e">
        <f t="shared" ca="1" si="194"/>
        <v>#N/A</v>
      </c>
      <c r="AN547" s="34" t="e">
        <f t="shared" ca="1" si="195"/>
        <v>#N/A</v>
      </c>
    </row>
    <row r="548" spans="1:40" x14ac:dyDescent="0.3">
      <c r="A548" s="2">
        <v>44258</v>
      </c>
      <c r="B548" s="9">
        <v>76.910004000000001</v>
      </c>
      <c r="C548" s="9">
        <v>122.300003</v>
      </c>
      <c r="D548" s="9">
        <v>77.529999000000004</v>
      </c>
      <c r="E548" s="10"/>
      <c r="F548" s="13">
        <v>545</v>
      </c>
      <c r="G548" s="2">
        <v>44258</v>
      </c>
      <c r="H548" s="14">
        <f t="shared" si="176"/>
        <v>-9.0603386731822767E-3</v>
      </c>
      <c r="I548" s="14">
        <f t="shared" si="177"/>
        <v>5.4112126347871112E-3</v>
      </c>
      <c r="J548" s="14">
        <f t="shared" si="178"/>
        <v>1.1676339499480742E-2</v>
      </c>
      <c r="K548" s="22">
        <v>545</v>
      </c>
      <c r="L548" s="12"/>
      <c r="Q548" s="15">
        <f t="shared" si="179"/>
        <v>545</v>
      </c>
      <c r="R548" s="2">
        <f t="shared" si="175"/>
        <v>44258</v>
      </c>
      <c r="S548" s="9">
        <f t="shared" ca="1" si="180"/>
        <v>-9.0603386731822767E-3</v>
      </c>
      <c r="T548" s="9">
        <f t="shared" ca="1" si="181"/>
        <v>5.4112126347871112E-3</v>
      </c>
      <c r="U548" s="9">
        <f t="shared" ca="1" si="182"/>
        <v>1.1676339499480742E-2</v>
      </c>
      <c r="AB548" s="33" t="e">
        <f t="shared" ca="1" si="188"/>
        <v>#N/A</v>
      </c>
      <c r="AC548" s="34" t="e">
        <f t="shared" ca="1" si="189"/>
        <v>#N/A</v>
      </c>
      <c r="AD548" s="34" t="e">
        <f t="shared" ca="1" si="190"/>
        <v>#N/A</v>
      </c>
      <c r="AE548" s="33" t="e">
        <f t="shared" ca="1" si="191"/>
        <v>#N/A</v>
      </c>
      <c r="AF548" s="34" t="e">
        <f t="shared" ca="1" si="183"/>
        <v>#N/A</v>
      </c>
      <c r="AG548" s="34" t="e">
        <f t="shared" ca="1" si="184"/>
        <v>#N/A</v>
      </c>
      <c r="AH548" s="34" t="e">
        <f t="shared" ca="1" si="185"/>
        <v>#N/A</v>
      </c>
      <c r="AI548" s="33" t="e">
        <f t="shared" ca="1" si="192"/>
        <v>#N/A</v>
      </c>
      <c r="AJ548" s="34" t="e">
        <f t="shared" ca="1" si="193"/>
        <v>#N/A</v>
      </c>
      <c r="AK548" s="34" t="e">
        <f t="shared" ca="1" si="186"/>
        <v>#N/A</v>
      </c>
      <c r="AL548" s="34" t="e">
        <f t="shared" ca="1" si="187"/>
        <v>#N/A</v>
      </c>
      <c r="AM548" s="33" t="e">
        <f t="shared" ca="1" si="194"/>
        <v>#N/A</v>
      </c>
      <c r="AN548" s="34" t="e">
        <f t="shared" ca="1" si="195"/>
        <v>#N/A</v>
      </c>
    </row>
    <row r="549" spans="1:40" x14ac:dyDescent="0.3">
      <c r="A549" s="2">
        <v>44259</v>
      </c>
      <c r="B549" s="9">
        <v>75.800003000000004</v>
      </c>
      <c r="C549" s="9">
        <v>120.970001</v>
      </c>
      <c r="D549" s="9">
        <v>76.370002999999997</v>
      </c>
      <c r="E549" s="10"/>
      <c r="F549" s="13">
        <v>546</v>
      </c>
      <c r="G549" s="2">
        <v>44259</v>
      </c>
      <c r="H549" s="14">
        <f t="shared" si="176"/>
        <v>-1.4537626851640924E-2</v>
      </c>
      <c r="I549" s="14">
        <f t="shared" si="177"/>
        <v>-1.0934477984701837E-2</v>
      </c>
      <c r="J549" s="14">
        <f t="shared" si="178"/>
        <v>-1.5074957149902007E-2</v>
      </c>
      <c r="K549" s="22">
        <v>546</v>
      </c>
      <c r="L549" s="12"/>
      <c r="Q549" s="15">
        <f t="shared" si="179"/>
        <v>546</v>
      </c>
      <c r="R549" s="2">
        <f t="shared" si="175"/>
        <v>44259</v>
      </c>
      <c r="S549" s="9">
        <f t="shared" ca="1" si="180"/>
        <v>-1.4537626851640924E-2</v>
      </c>
      <c r="T549" s="9">
        <f t="shared" ca="1" si="181"/>
        <v>-1.0934477984701837E-2</v>
      </c>
      <c r="U549" s="9">
        <f t="shared" ca="1" si="182"/>
        <v>-1.5074957149902007E-2</v>
      </c>
      <c r="AB549" s="33" t="e">
        <f t="shared" ca="1" si="188"/>
        <v>#N/A</v>
      </c>
      <c r="AC549" s="34" t="e">
        <f t="shared" ca="1" si="189"/>
        <v>#N/A</v>
      </c>
      <c r="AD549" s="34" t="e">
        <f t="shared" ca="1" si="190"/>
        <v>#N/A</v>
      </c>
      <c r="AE549" s="33" t="e">
        <f t="shared" ca="1" si="191"/>
        <v>#N/A</v>
      </c>
      <c r="AF549" s="34" t="e">
        <f t="shared" ca="1" si="183"/>
        <v>#N/A</v>
      </c>
      <c r="AG549" s="34" t="e">
        <f t="shared" ca="1" si="184"/>
        <v>#N/A</v>
      </c>
      <c r="AH549" s="34" t="e">
        <f t="shared" ca="1" si="185"/>
        <v>#N/A</v>
      </c>
      <c r="AI549" s="33" t="e">
        <f t="shared" ca="1" si="192"/>
        <v>#N/A</v>
      </c>
      <c r="AJ549" s="34" t="e">
        <f t="shared" ca="1" si="193"/>
        <v>#N/A</v>
      </c>
      <c r="AK549" s="34" t="e">
        <f t="shared" ca="1" si="186"/>
        <v>#N/A</v>
      </c>
      <c r="AL549" s="34" t="e">
        <f t="shared" ca="1" si="187"/>
        <v>#N/A</v>
      </c>
      <c r="AM549" s="33" t="e">
        <f t="shared" ca="1" si="194"/>
        <v>#N/A</v>
      </c>
      <c r="AN549" s="34" t="e">
        <f t="shared" ca="1" si="195"/>
        <v>#N/A</v>
      </c>
    </row>
    <row r="550" spans="1:40" x14ac:dyDescent="0.3">
      <c r="A550" s="2">
        <v>44260</v>
      </c>
      <c r="B550" s="9">
        <v>76.919998000000007</v>
      </c>
      <c r="C550" s="9">
        <v>122.199997</v>
      </c>
      <c r="D550" s="9">
        <v>79.029999000000004</v>
      </c>
      <c r="E550" s="10"/>
      <c r="F550" s="13">
        <v>547</v>
      </c>
      <c r="G550" s="2">
        <v>44260</v>
      </c>
      <c r="H550" s="14">
        <f t="shared" si="176"/>
        <v>1.4667562493377102E-2</v>
      </c>
      <c r="I550" s="14">
        <f t="shared" si="177"/>
        <v>1.011643294930718E-2</v>
      </c>
      <c r="J550" s="14">
        <f t="shared" si="178"/>
        <v>3.4237526380728439E-2</v>
      </c>
      <c r="K550" s="22">
        <v>547</v>
      </c>
      <c r="L550" s="12"/>
      <c r="Q550" s="15">
        <f t="shared" si="179"/>
        <v>547</v>
      </c>
      <c r="R550" s="2">
        <f t="shared" si="175"/>
        <v>44260</v>
      </c>
      <c r="S550" s="9">
        <f t="shared" ca="1" si="180"/>
        <v>1.4667562493377102E-2</v>
      </c>
      <c r="T550" s="9">
        <f t="shared" ca="1" si="181"/>
        <v>1.011643294930718E-2</v>
      </c>
      <c r="U550" s="9">
        <f t="shared" ca="1" si="182"/>
        <v>3.4237526380728439E-2</v>
      </c>
      <c r="AB550" s="33" t="e">
        <f t="shared" ca="1" si="188"/>
        <v>#N/A</v>
      </c>
      <c r="AC550" s="34" t="e">
        <f t="shared" ca="1" si="189"/>
        <v>#N/A</v>
      </c>
      <c r="AD550" s="34" t="e">
        <f t="shared" ca="1" si="190"/>
        <v>#N/A</v>
      </c>
      <c r="AE550" s="33" t="e">
        <f t="shared" ca="1" si="191"/>
        <v>#N/A</v>
      </c>
      <c r="AF550" s="34" t="e">
        <f t="shared" ca="1" si="183"/>
        <v>#N/A</v>
      </c>
      <c r="AG550" s="34" t="e">
        <f t="shared" ca="1" si="184"/>
        <v>#N/A</v>
      </c>
      <c r="AH550" s="34" t="e">
        <f t="shared" ca="1" si="185"/>
        <v>#N/A</v>
      </c>
      <c r="AI550" s="33" t="e">
        <f t="shared" ca="1" si="192"/>
        <v>#N/A</v>
      </c>
      <c r="AJ550" s="34" t="e">
        <f t="shared" ca="1" si="193"/>
        <v>#N/A</v>
      </c>
      <c r="AK550" s="34" t="e">
        <f t="shared" ca="1" si="186"/>
        <v>#N/A</v>
      </c>
      <c r="AL550" s="34" t="e">
        <f t="shared" ca="1" si="187"/>
        <v>#N/A</v>
      </c>
      <c r="AM550" s="33" t="e">
        <f t="shared" ca="1" si="194"/>
        <v>#N/A</v>
      </c>
      <c r="AN550" s="34" t="e">
        <f t="shared" ca="1" si="195"/>
        <v>#N/A</v>
      </c>
    </row>
    <row r="551" spans="1:40" x14ac:dyDescent="0.3">
      <c r="A551" s="2">
        <v>44263</v>
      </c>
      <c r="B551" s="9">
        <v>77.209998999999996</v>
      </c>
      <c r="C551" s="9">
        <v>126.550003</v>
      </c>
      <c r="D551" s="9">
        <v>80.559997999999993</v>
      </c>
      <c r="E551" s="10"/>
      <c r="F551" s="13">
        <v>548</v>
      </c>
      <c r="G551" s="2">
        <v>44263</v>
      </c>
      <c r="H551" s="14">
        <f t="shared" si="176"/>
        <v>3.7630746494954847E-3</v>
      </c>
      <c r="I551" s="14">
        <f t="shared" si="177"/>
        <v>3.4978488509601502E-2</v>
      </c>
      <c r="J551" s="14">
        <f t="shared" si="178"/>
        <v>1.9174709020628851E-2</v>
      </c>
      <c r="K551" s="22">
        <v>548</v>
      </c>
      <c r="L551" s="12"/>
      <c r="Q551" s="15">
        <f t="shared" si="179"/>
        <v>548</v>
      </c>
      <c r="R551" s="2">
        <f t="shared" si="175"/>
        <v>44263</v>
      </c>
      <c r="S551" s="9">
        <f t="shared" ca="1" si="180"/>
        <v>3.7630746494954847E-3</v>
      </c>
      <c r="T551" s="9">
        <f t="shared" ca="1" si="181"/>
        <v>3.4978488509601502E-2</v>
      </c>
      <c r="U551" s="9">
        <f t="shared" ca="1" si="182"/>
        <v>1.9174709020628851E-2</v>
      </c>
      <c r="AB551" s="33" t="e">
        <f t="shared" ca="1" si="188"/>
        <v>#N/A</v>
      </c>
      <c r="AC551" s="34" t="e">
        <f t="shared" ca="1" si="189"/>
        <v>#N/A</v>
      </c>
      <c r="AD551" s="34" t="e">
        <f t="shared" ca="1" si="190"/>
        <v>#N/A</v>
      </c>
      <c r="AE551" s="33" t="e">
        <f t="shared" ca="1" si="191"/>
        <v>#N/A</v>
      </c>
      <c r="AF551" s="34" t="e">
        <f t="shared" ca="1" si="183"/>
        <v>#N/A</v>
      </c>
      <c r="AG551" s="34" t="e">
        <f t="shared" ca="1" si="184"/>
        <v>#N/A</v>
      </c>
      <c r="AH551" s="34" t="e">
        <f t="shared" ca="1" si="185"/>
        <v>#N/A</v>
      </c>
      <c r="AI551" s="33" t="e">
        <f t="shared" ca="1" si="192"/>
        <v>#N/A</v>
      </c>
      <c r="AJ551" s="34" t="e">
        <f t="shared" ca="1" si="193"/>
        <v>#N/A</v>
      </c>
      <c r="AK551" s="34" t="e">
        <f t="shared" ca="1" si="186"/>
        <v>#N/A</v>
      </c>
      <c r="AL551" s="34" t="e">
        <f t="shared" ca="1" si="187"/>
        <v>#N/A</v>
      </c>
      <c r="AM551" s="33" t="e">
        <f t="shared" ca="1" si="194"/>
        <v>#N/A</v>
      </c>
      <c r="AN551" s="34" t="e">
        <f t="shared" ca="1" si="195"/>
        <v>#N/A</v>
      </c>
    </row>
    <row r="552" spans="1:40" x14ac:dyDescent="0.3">
      <c r="A552" s="2">
        <v>44264</v>
      </c>
      <c r="B552" s="9">
        <v>76.800003000000004</v>
      </c>
      <c r="C552" s="9">
        <v>124.949997</v>
      </c>
      <c r="D552" s="9">
        <v>76.580001999999993</v>
      </c>
      <c r="E552" s="10"/>
      <c r="F552" s="13">
        <v>549</v>
      </c>
      <c r="G552" s="2">
        <v>44264</v>
      </c>
      <c r="H552" s="14">
        <f t="shared" si="176"/>
        <v>-5.3242901529082795E-3</v>
      </c>
      <c r="I552" s="14">
        <f t="shared" si="177"/>
        <v>-1.2723877425820608E-2</v>
      </c>
      <c r="J552" s="14">
        <f t="shared" si="178"/>
        <v>-5.0666251418462503E-2</v>
      </c>
      <c r="K552" s="22">
        <v>549</v>
      </c>
      <c r="L552" s="12"/>
      <c r="Q552" s="15">
        <f t="shared" si="179"/>
        <v>549</v>
      </c>
      <c r="R552" s="2">
        <f t="shared" si="175"/>
        <v>44264</v>
      </c>
      <c r="S552" s="9">
        <f t="shared" ca="1" si="180"/>
        <v>-5.3242901529082795E-3</v>
      </c>
      <c r="T552" s="9">
        <f t="shared" ca="1" si="181"/>
        <v>-1.2723877425820608E-2</v>
      </c>
      <c r="U552" s="9">
        <f t="shared" ca="1" si="182"/>
        <v>-5.0666251418462503E-2</v>
      </c>
      <c r="AB552" s="33" t="e">
        <f t="shared" ca="1" si="188"/>
        <v>#N/A</v>
      </c>
      <c r="AC552" s="34" t="e">
        <f t="shared" ca="1" si="189"/>
        <v>#N/A</v>
      </c>
      <c r="AD552" s="34" t="e">
        <f t="shared" ca="1" si="190"/>
        <v>#N/A</v>
      </c>
      <c r="AE552" s="33" t="e">
        <f t="shared" ca="1" si="191"/>
        <v>#N/A</v>
      </c>
      <c r="AF552" s="34" t="e">
        <f t="shared" ca="1" si="183"/>
        <v>#N/A</v>
      </c>
      <c r="AG552" s="34" t="e">
        <f t="shared" ca="1" si="184"/>
        <v>#N/A</v>
      </c>
      <c r="AH552" s="34" t="e">
        <f t="shared" ca="1" si="185"/>
        <v>#N/A</v>
      </c>
      <c r="AI552" s="33" t="e">
        <f t="shared" ca="1" si="192"/>
        <v>#N/A</v>
      </c>
      <c r="AJ552" s="34" t="e">
        <f t="shared" ca="1" si="193"/>
        <v>#N/A</v>
      </c>
      <c r="AK552" s="34" t="e">
        <f t="shared" ca="1" si="186"/>
        <v>#N/A</v>
      </c>
      <c r="AL552" s="34" t="e">
        <f t="shared" ca="1" si="187"/>
        <v>#N/A</v>
      </c>
      <c r="AM552" s="33" t="e">
        <f t="shared" ca="1" si="194"/>
        <v>#N/A</v>
      </c>
      <c r="AN552" s="34" t="e">
        <f t="shared" ca="1" si="195"/>
        <v>#N/A</v>
      </c>
    </row>
    <row r="553" spans="1:40" x14ac:dyDescent="0.3">
      <c r="A553" s="2">
        <v>44265</v>
      </c>
      <c r="B553" s="9">
        <v>76.510002</v>
      </c>
      <c r="C553" s="9">
        <v>122.610001</v>
      </c>
      <c r="D553" s="9">
        <v>81.370002999999997</v>
      </c>
      <c r="E553" s="10"/>
      <c r="F553" s="13">
        <v>550</v>
      </c>
      <c r="G553" s="2">
        <v>44265</v>
      </c>
      <c r="H553" s="14">
        <f t="shared" si="176"/>
        <v>-3.7832018319918512E-3</v>
      </c>
      <c r="I553" s="14">
        <f t="shared" si="177"/>
        <v>-1.8905038871120022E-2</v>
      </c>
      <c r="J553" s="14">
        <f t="shared" si="178"/>
        <v>6.0670719411562414E-2</v>
      </c>
      <c r="K553" s="22">
        <v>550</v>
      </c>
      <c r="L553" s="12"/>
      <c r="Q553" s="15">
        <f t="shared" si="179"/>
        <v>550</v>
      </c>
      <c r="R553" s="2">
        <f t="shared" si="175"/>
        <v>44265</v>
      </c>
      <c r="S553" s="9">
        <f t="shared" ca="1" si="180"/>
        <v>-3.7832018319918512E-3</v>
      </c>
      <c r="T553" s="9">
        <f t="shared" ca="1" si="181"/>
        <v>-1.8905038871120022E-2</v>
      </c>
      <c r="U553" s="9">
        <f t="shared" ca="1" si="182"/>
        <v>6.0670719411562414E-2</v>
      </c>
      <c r="AB553" s="33" t="e">
        <f t="shared" ca="1" si="188"/>
        <v>#N/A</v>
      </c>
      <c r="AC553" s="34" t="e">
        <f t="shared" ca="1" si="189"/>
        <v>#N/A</v>
      </c>
      <c r="AD553" s="34" t="e">
        <f t="shared" ca="1" si="190"/>
        <v>#N/A</v>
      </c>
      <c r="AE553" s="33" t="e">
        <f t="shared" ca="1" si="191"/>
        <v>#N/A</v>
      </c>
      <c r="AF553" s="34" t="e">
        <f t="shared" ca="1" si="183"/>
        <v>#N/A</v>
      </c>
      <c r="AG553" s="34" t="e">
        <f t="shared" ca="1" si="184"/>
        <v>#N/A</v>
      </c>
      <c r="AH553" s="34" t="e">
        <f t="shared" ca="1" si="185"/>
        <v>#N/A</v>
      </c>
      <c r="AI553" s="33" t="e">
        <f t="shared" ca="1" si="192"/>
        <v>#N/A</v>
      </c>
      <c r="AJ553" s="34" t="e">
        <f t="shared" ca="1" si="193"/>
        <v>#N/A</v>
      </c>
      <c r="AK553" s="34" t="e">
        <f t="shared" ca="1" si="186"/>
        <v>#N/A</v>
      </c>
      <c r="AL553" s="34" t="e">
        <f t="shared" ca="1" si="187"/>
        <v>#N/A</v>
      </c>
      <c r="AM553" s="33" t="e">
        <f t="shared" ca="1" si="194"/>
        <v>#N/A</v>
      </c>
      <c r="AN553" s="34" t="e">
        <f t="shared" ca="1" si="195"/>
        <v>#N/A</v>
      </c>
    </row>
    <row r="554" spans="1:40" x14ac:dyDescent="0.3">
      <c r="A554" s="2">
        <v>44266</v>
      </c>
      <c r="B554" s="9">
        <v>77.339995999999999</v>
      </c>
      <c r="C554" s="9">
        <v>121.75</v>
      </c>
      <c r="D554" s="9">
        <v>82.480002999999996</v>
      </c>
      <c r="E554" s="10"/>
      <c r="F554" s="13">
        <v>551</v>
      </c>
      <c r="G554" s="2">
        <v>44266</v>
      </c>
      <c r="H554" s="14">
        <f t="shared" si="176"/>
        <v>1.078975707533646E-2</v>
      </c>
      <c r="I554" s="14">
        <f t="shared" si="177"/>
        <v>-7.0388324375379599E-3</v>
      </c>
      <c r="J554" s="14">
        <f t="shared" si="178"/>
        <v>1.3549184503967747E-2</v>
      </c>
      <c r="K554" s="22">
        <v>551</v>
      </c>
      <c r="L554" s="12"/>
      <c r="Q554" s="15">
        <f t="shared" si="179"/>
        <v>551</v>
      </c>
      <c r="R554" s="2">
        <f t="shared" si="175"/>
        <v>44266</v>
      </c>
      <c r="S554" s="9">
        <f t="shared" ca="1" si="180"/>
        <v>1.078975707533646E-2</v>
      </c>
      <c r="T554" s="9">
        <f t="shared" ca="1" si="181"/>
        <v>-7.0388324375379599E-3</v>
      </c>
      <c r="U554" s="9">
        <f t="shared" ca="1" si="182"/>
        <v>1.3549184503967747E-2</v>
      </c>
      <c r="AB554" s="33" t="e">
        <f t="shared" ca="1" si="188"/>
        <v>#N/A</v>
      </c>
      <c r="AC554" s="34" t="e">
        <f t="shared" ca="1" si="189"/>
        <v>#N/A</v>
      </c>
      <c r="AD554" s="34" t="e">
        <f t="shared" ca="1" si="190"/>
        <v>#N/A</v>
      </c>
      <c r="AE554" s="33" t="e">
        <f t="shared" ca="1" si="191"/>
        <v>#N/A</v>
      </c>
      <c r="AF554" s="34" t="e">
        <f t="shared" ca="1" si="183"/>
        <v>#N/A</v>
      </c>
      <c r="AG554" s="34" t="e">
        <f t="shared" ca="1" si="184"/>
        <v>#N/A</v>
      </c>
      <c r="AH554" s="34" t="e">
        <f t="shared" ca="1" si="185"/>
        <v>#N/A</v>
      </c>
      <c r="AI554" s="33" t="e">
        <f t="shared" ca="1" si="192"/>
        <v>#N/A</v>
      </c>
      <c r="AJ554" s="34" t="e">
        <f t="shared" ca="1" si="193"/>
        <v>#N/A</v>
      </c>
      <c r="AK554" s="34" t="e">
        <f t="shared" ca="1" si="186"/>
        <v>#N/A</v>
      </c>
      <c r="AL554" s="34" t="e">
        <f t="shared" ca="1" si="187"/>
        <v>#N/A</v>
      </c>
      <c r="AM554" s="33" t="e">
        <f t="shared" ca="1" si="194"/>
        <v>#N/A</v>
      </c>
      <c r="AN554" s="34" t="e">
        <f t="shared" ca="1" si="195"/>
        <v>#N/A</v>
      </c>
    </row>
    <row r="555" spans="1:40" x14ac:dyDescent="0.3">
      <c r="A555" s="2">
        <v>44267</v>
      </c>
      <c r="B555" s="9">
        <v>78.430000000000007</v>
      </c>
      <c r="C555" s="9">
        <v>123.980003</v>
      </c>
      <c r="D555" s="9">
        <v>82.419998000000007</v>
      </c>
      <c r="E555" s="10"/>
      <c r="F555" s="13">
        <v>552</v>
      </c>
      <c r="G555" s="2">
        <v>44267</v>
      </c>
      <c r="H555" s="14">
        <f t="shared" si="176"/>
        <v>1.399527276510492E-2</v>
      </c>
      <c r="I555" s="14">
        <f t="shared" si="177"/>
        <v>1.8150524508524939E-2</v>
      </c>
      <c r="J555" s="14">
        <f t="shared" si="178"/>
        <v>-7.2777443644150125E-4</v>
      </c>
      <c r="K555" s="22">
        <v>552</v>
      </c>
      <c r="L555" s="12"/>
      <c r="Q555" s="15">
        <f t="shared" si="179"/>
        <v>552</v>
      </c>
      <c r="R555" s="2">
        <f t="shared" si="175"/>
        <v>44267</v>
      </c>
      <c r="S555" s="9">
        <f t="shared" ca="1" si="180"/>
        <v>1.399527276510492E-2</v>
      </c>
      <c r="T555" s="9">
        <f t="shared" ca="1" si="181"/>
        <v>1.8150524508524939E-2</v>
      </c>
      <c r="U555" s="9">
        <f t="shared" ca="1" si="182"/>
        <v>-7.2777443644150125E-4</v>
      </c>
      <c r="AB555" s="33" t="e">
        <f t="shared" ca="1" si="188"/>
        <v>#N/A</v>
      </c>
      <c r="AC555" s="34" t="e">
        <f t="shared" ca="1" si="189"/>
        <v>#N/A</v>
      </c>
      <c r="AD555" s="34" t="e">
        <f t="shared" ca="1" si="190"/>
        <v>#N/A</v>
      </c>
      <c r="AE555" s="33" t="e">
        <f t="shared" ca="1" si="191"/>
        <v>#N/A</v>
      </c>
      <c r="AF555" s="34" t="e">
        <f t="shared" ca="1" si="183"/>
        <v>#N/A</v>
      </c>
      <c r="AG555" s="34" t="e">
        <f t="shared" ca="1" si="184"/>
        <v>#N/A</v>
      </c>
      <c r="AH555" s="34" t="e">
        <f t="shared" ca="1" si="185"/>
        <v>#N/A</v>
      </c>
      <c r="AI555" s="33" t="e">
        <f t="shared" ca="1" si="192"/>
        <v>#N/A</v>
      </c>
      <c r="AJ555" s="34" t="e">
        <f t="shared" ca="1" si="193"/>
        <v>#N/A</v>
      </c>
      <c r="AK555" s="34" t="e">
        <f t="shared" ca="1" si="186"/>
        <v>#N/A</v>
      </c>
      <c r="AL555" s="34" t="e">
        <f t="shared" ca="1" si="187"/>
        <v>#N/A</v>
      </c>
      <c r="AM555" s="33" t="e">
        <f t="shared" ca="1" si="194"/>
        <v>#N/A</v>
      </c>
      <c r="AN555" s="34" t="e">
        <f t="shared" ca="1" si="195"/>
        <v>#N/A</v>
      </c>
    </row>
    <row r="556" spans="1:40" x14ac:dyDescent="0.3">
      <c r="A556" s="2">
        <v>44270</v>
      </c>
      <c r="B556" s="9">
        <v>77.559997999999993</v>
      </c>
      <c r="C556" s="9">
        <v>124</v>
      </c>
      <c r="D556" s="9">
        <v>81.830001999999993</v>
      </c>
      <c r="E556" s="10"/>
      <c r="F556" s="13">
        <v>553</v>
      </c>
      <c r="G556" s="2">
        <v>44270</v>
      </c>
      <c r="H556" s="14">
        <f t="shared" si="176"/>
        <v>-1.1154702636612493E-2</v>
      </c>
      <c r="I556" s="14">
        <f t="shared" si="177"/>
        <v>1.6127913381268623E-4</v>
      </c>
      <c r="J556" s="14">
        <f t="shared" si="178"/>
        <v>-7.184152664512145E-3</v>
      </c>
      <c r="K556" s="22">
        <v>553</v>
      </c>
      <c r="L556" s="12"/>
      <c r="Q556" s="15">
        <f t="shared" si="179"/>
        <v>553</v>
      </c>
      <c r="R556" s="2">
        <f t="shared" si="175"/>
        <v>44270</v>
      </c>
      <c r="S556" s="9">
        <f t="shared" ca="1" si="180"/>
        <v>-1.1154702636612493E-2</v>
      </c>
      <c r="T556" s="9">
        <f t="shared" ca="1" si="181"/>
        <v>1.6127913381268623E-4</v>
      </c>
      <c r="U556" s="9">
        <f t="shared" ca="1" si="182"/>
        <v>-7.184152664512145E-3</v>
      </c>
      <c r="AB556" s="33" t="e">
        <f t="shared" ca="1" si="188"/>
        <v>#N/A</v>
      </c>
      <c r="AC556" s="34" t="e">
        <f t="shared" ca="1" si="189"/>
        <v>#N/A</v>
      </c>
      <c r="AD556" s="34" t="e">
        <f t="shared" ca="1" si="190"/>
        <v>#N/A</v>
      </c>
      <c r="AE556" s="33" t="e">
        <f t="shared" ca="1" si="191"/>
        <v>#N/A</v>
      </c>
      <c r="AF556" s="34" t="e">
        <f t="shared" ca="1" si="183"/>
        <v>#N/A</v>
      </c>
      <c r="AG556" s="34" t="e">
        <f t="shared" ca="1" si="184"/>
        <v>#N/A</v>
      </c>
      <c r="AH556" s="34" t="e">
        <f t="shared" ca="1" si="185"/>
        <v>#N/A</v>
      </c>
      <c r="AI556" s="33" t="e">
        <f t="shared" ca="1" si="192"/>
        <v>#N/A</v>
      </c>
      <c r="AJ556" s="34" t="e">
        <f t="shared" ca="1" si="193"/>
        <v>#N/A</v>
      </c>
      <c r="AK556" s="34" t="e">
        <f t="shared" ca="1" si="186"/>
        <v>#N/A</v>
      </c>
      <c r="AL556" s="34" t="e">
        <f t="shared" ca="1" si="187"/>
        <v>#N/A</v>
      </c>
      <c r="AM556" s="33" t="e">
        <f t="shared" ca="1" si="194"/>
        <v>#N/A</v>
      </c>
      <c r="AN556" s="34" t="e">
        <f t="shared" ca="1" si="195"/>
        <v>#N/A</v>
      </c>
    </row>
    <row r="557" spans="1:40" x14ac:dyDescent="0.3">
      <c r="A557" s="2">
        <v>44271</v>
      </c>
      <c r="B557" s="9">
        <v>75.680000000000007</v>
      </c>
      <c r="C557" s="9">
        <v>121.760002</v>
      </c>
      <c r="D557" s="9">
        <v>79.319999999999993</v>
      </c>
      <c r="E557" s="10"/>
      <c r="F557" s="13">
        <v>554</v>
      </c>
      <c r="G557" s="2">
        <v>44271</v>
      </c>
      <c r="H557" s="14">
        <f t="shared" si="176"/>
        <v>-2.4537879844339836E-2</v>
      </c>
      <c r="I557" s="14">
        <f t="shared" si="177"/>
        <v>-1.8229655065905747E-2</v>
      </c>
      <c r="J557" s="14">
        <f t="shared" si="178"/>
        <v>-3.1153645328608971E-2</v>
      </c>
      <c r="K557" s="22">
        <v>554</v>
      </c>
      <c r="L557" s="12"/>
      <c r="Q557" s="15">
        <f t="shared" si="179"/>
        <v>554</v>
      </c>
      <c r="R557" s="2">
        <f t="shared" si="175"/>
        <v>44271</v>
      </c>
      <c r="S557" s="9">
        <f t="shared" ca="1" si="180"/>
        <v>-2.4537879844339836E-2</v>
      </c>
      <c r="T557" s="9">
        <f t="shared" ca="1" si="181"/>
        <v>-1.8229655065905747E-2</v>
      </c>
      <c r="U557" s="9">
        <f t="shared" ca="1" si="182"/>
        <v>-3.1153645328608971E-2</v>
      </c>
      <c r="AB557" s="33" t="e">
        <f t="shared" ca="1" si="188"/>
        <v>#N/A</v>
      </c>
      <c r="AC557" s="34" t="e">
        <f t="shared" ca="1" si="189"/>
        <v>#N/A</v>
      </c>
      <c r="AD557" s="34" t="e">
        <f t="shared" ca="1" si="190"/>
        <v>#N/A</v>
      </c>
      <c r="AE557" s="33" t="e">
        <f t="shared" ca="1" si="191"/>
        <v>#N/A</v>
      </c>
      <c r="AF557" s="34" t="e">
        <f t="shared" ca="1" si="183"/>
        <v>#N/A</v>
      </c>
      <c r="AG557" s="34" t="e">
        <f t="shared" ca="1" si="184"/>
        <v>#N/A</v>
      </c>
      <c r="AH557" s="34" t="e">
        <f t="shared" ca="1" si="185"/>
        <v>#N/A</v>
      </c>
      <c r="AI557" s="33" t="e">
        <f t="shared" ca="1" si="192"/>
        <v>#N/A</v>
      </c>
      <c r="AJ557" s="34" t="e">
        <f t="shared" ca="1" si="193"/>
        <v>#N/A</v>
      </c>
      <c r="AK557" s="34" t="e">
        <f t="shared" ca="1" si="186"/>
        <v>#N/A</v>
      </c>
      <c r="AL557" s="34" t="e">
        <f t="shared" ca="1" si="187"/>
        <v>#N/A</v>
      </c>
      <c r="AM557" s="33" t="e">
        <f t="shared" ca="1" si="194"/>
        <v>#N/A</v>
      </c>
      <c r="AN557" s="34" t="e">
        <f t="shared" ca="1" si="195"/>
        <v>#N/A</v>
      </c>
    </row>
    <row r="558" spans="1:40" x14ac:dyDescent="0.3">
      <c r="A558" s="2">
        <v>44272</v>
      </c>
      <c r="B558" s="9">
        <v>75.669998000000007</v>
      </c>
      <c r="C558" s="9">
        <v>121.07</v>
      </c>
      <c r="D558" s="9">
        <v>79.139999000000003</v>
      </c>
      <c r="E558" s="10"/>
      <c r="F558" s="13">
        <v>555</v>
      </c>
      <c r="G558" s="2">
        <v>44272</v>
      </c>
      <c r="H558" s="14">
        <f t="shared" si="176"/>
        <v>-1.3217046774665801E-4</v>
      </c>
      <c r="I558" s="14">
        <f t="shared" si="177"/>
        <v>-5.6830198194823189E-3</v>
      </c>
      <c r="J558" s="14">
        <f t="shared" si="178"/>
        <v>-2.2718803301522198E-3</v>
      </c>
      <c r="K558" s="22">
        <v>555</v>
      </c>
      <c r="L558" s="12"/>
      <c r="Q558" s="15">
        <f t="shared" si="179"/>
        <v>555</v>
      </c>
      <c r="R558" s="2">
        <f t="shared" si="175"/>
        <v>44272</v>
      </c>
      <c r="S558" s="9">
        <f t="shared" ca="1" si="180"/>
        <v>-1.3217046774665801E-4</v>
      </c>
      <c r="T558" s="9">
        <f t="shared" ca="1" si="181"/>
        <v>-5.6830198194823189E-3</v>
      </c>
      <c r="U558" s="9">
        <f t="shared" ca="1" si="182"/>
        <v>-2.2718803301522198E-3</v>
      </c>
      <c r="AB558" s="33" t="e">
        <f t="shared" ca="1" si="188"/>
        <v>#N/A</v>
      </c>
      <c r="AC558" s="34" t="e">
        <f t="shared" ca="1" si="189"/>
        <v>#N/A</v>
      </c>
      <c r="AD558" s="34" t="e">
        <f t="shared" ca="1" si="190"/>
        <v>#N/A</v>
      </c>
      <c r="AE558" s="33" t="e">
        <f t="shared" ca="1" si="191"/>
        <v>#N/A</v>
      </c>
      <c r="AF558" s="34" t="e">
        <f t="shared" ca="1" si="183"/>
        <v>#N/A</v>
      </c>
      <c r="AG558" s="34" t="e">
        <f t="shared" ca="1" si="184"/>
        <v>#N/A</v>
      </c>
      <c r="AH558" s="34" t="e">
        <f t="shared" ca="1" si="185"/>
        <v>#N/A</v>
      </c>
      <c r="AI558" s="33" t="e">
        <f t="shared" ca="1" si="192"/>
        <v>#N/A</v>
      </c>
      <c r="AJ558" s="34" t="e">
        <f t="shared" ca="1" si="193"/>
        <v>#N/A</v>
      </c>
      <c r="AK558" s="34" t="e">
        <f t="shared" ca="1" si="186"/>
        <v>#N/A</v>
      </c>
      <c r="AL558" s="34" t="e">
        <f t="shared" ca="1" si="187"/>
        <v>#N/A</v>
      </c>
      <c r="AM558" s="33" t="e">
        <f t="shared" ca="1" si="194"/>
        <v>#N/A</v>
      </c>
      <c r="AN558" s="34" t="e">
        <f t="shared" ca="1" si="195"/>
        <v>#N/A</v>
      </c>
    </row>
    <row r="559" spans="1:40" x14ac:dyDescent="0.3">
      <c r="A559" s="2">
        <v>44273</v>
      </c>
      <c r="B559" s="9">
        <v>77.489998</v>
      </c>
      <c r="C559" s="9">
        <v>122.480003</v>
      </c>
      <c r="D559" s="9">
        <v>73.699996999999996</v>
      </c>
      <c r="E559" s="10"/>
      <c r="F559" s="13">
        <v>556</v>
      </c>
      <c r="G559" s="2">
        <v>44273</v>
      </c>
      <c r="H559" s="14">
        <f t="shared" si="176"/>
        <v>2.3767115690200392E-2</v>
      </c>
      <c r="I559" s="14">
        <f t="shared" si="177"/>
        <v>1.1578885123573987E-2</v>
      </c>
      <c r="J559" s="14">
        <f t="shared" si="178"/>
        <v>-7.1215664831716027E-2</v>
      </c>
      <c r="K559" s="22">
        <v>556</v>
      </c>
      <c r="L559" s="12"/>
      <c r="Q559" s="15">
        <f t="shared" si="179"/>
        <v>556</v>
      </c>
      <c r="R559" s="2">
        <f t="shared" si="175"/>
        <v>44273</v>
      </c>
      <c r="S559" s="9">
        <f t="shared" ca="1" si="180"/>
        <v>2.3767115690200392E-2</v>
      </c>
      <c r="T559" s="9">
        <f t="shared" ca="1" si="181"/>
        <v>1.1578885123573987E-2</v>
      </c>
      <c r="U559" s="9">
        <f t="shared" ca="1" si="182"/>
        <v>-7.1215664831716027E-2</v>
      </c>
      <c r="AB559" s="33" t="e">
        <f t="shared" ca="1" si="188"/>
        <v>#N/A</v>
      </c>
      <c r="AC559" s="34" t="e">
        <f t="shared" ca="1" si="189"/>
        <v>#N/A</v>
      </c>
      <c r="AD559" s="34" t="e">
        <f t="shared" ca="1" si="190"/>
        <v>#N/A</v>
      </c>
      <c r="AE559" s="33" t="e">
        <f t="shared" ca="1" si="191"/>
        <v>#N/A</v>
      </c>
      <c r="AF559" s="34" t="e">
        <f t="shared" ca="1" si="183"/>
        <v>#N/A</v>
      </c>
      <c r="AG559" s="34" t="e">
        <f t="shared" ca="1" si="184"/>
        <v>#N/A</v>
      </c>
      <c r="AH559" s="34" t="e">
        <f t="shared" ca="1" si="185"/>
        <v>#N/A</v>
      </c>
      <c r="AI559" s="33" t="e">
        <f t="shared" ca="1" si="192"/>
        <v>#N/A</v>
      </c>
      <c r="AJ559" s="34" t="e">
        <f t="shared" ca="1" si="193"/>
        <v>#N/A</v>
      </c>
      <c r="AK559" s="34" t="e">
        <f t="shared" ca="1" si="186"/>
        <v>#N/A</v>
      </c>
      <c r="AL559" s="34" t="e">
        <f t="shared" ca="1" si="187"/>
        <v>#N/A</v>
      </c>
      <c r="AM559" s="33" t="e">
        <f t="shared" ca="1" si="194"/>
        <v>#N/A</v>
      </c>
      <c r="AN559" s="34" t="e">
        <f t="shared" ca="1" si="195"/>
        <v>#N/A</v>
      </c>
    </row>
    <row r="560" spans="1:40" x14ac:dyDescent="0.3">
      <c r="A560" s="2">
        <v>44274</v>
      </c>
      <c r="B560" s="9">
        <v>76.709998999999996</v>
      </c>
      <c r="C560" s="9">
        <v>121.75</v>
      </c>
      <c r="D560" s="9">
        <v>73.699996999999996</v>
      </c>
      <c r="E560" s="10"/>
      <c r="F560" s="13">
        <v>557</v>
      </c>
      <c r="G560" s="2">
        <v>44274</v>
      </c>
      <c r="H560" s="14">
        <f t="shared" si="176"/>
        <v>-1.0116805030981776E-2</v>
      </c>
      <c r="I560" s="14">
        <f t="shared" si="177"/>
        <v>-5.9780138805237215E-3</v>
      </c>
      <c r="J560" s="14">
        <f t="shared" si="178"/>
        <v>0</v>
      </c>
      <c r="K560" s="22">
        <v>557</v>
      </c>
      <c r="L560" s="12"/>
      <c r="Q560" s="15">
        <f t="shared" si="179"/>
        <v>557</v>
      </c>
      <c r="R560" s="2">
        <f t="shared" si="175"/>
        <v>44274</v>
      </c>
      <c r="S560" s="9">
        <f t="shared" ca="1" si="180"/>
        <v>-1.0116805030981776E-2</v>
      </c>
      <c r="T560" s="9">
        <f t="shared" ca="1" si="181"/>
        <v>-5.9780138805237215E-3</v>
      </c>
      <c r="U560" s="9">
        <f t="shared" ca="1" si="182"/>
        <v>0</v>
      </c>
      <c r="AB560" s="33" t="e">
        <f t="shared" ca="1" si="188"/>
        <v>#N/A</v>
      </c>
      <c r="AC560" s="34" t="e">
        <f t="shared" ca="1" si="189"/>
        <v>#N/A</v>
      </c>
      <c r="AD560" s="34" t="e">
        <f t="shared" ca="1" si="190"/>
        <v>#N/A</v>
      </c>
      <c r="AE560" s="33" t="e">
        <f t="shared" ca="1" si="191"/>
        <v>#N/A</v>
      </c>
      <c r="AF560" s="34" t="e">
        <f t="shared" ca="1" si="183"/>
        <v>#N/A</v>
      </c>
      <c r="AG560" s="34" t="e">
        <f t="shared" ca="1" si="184"/>
        <v>#N/A</v>
      </c>
      <c r="AH560" s="34" t="e">
        <f t="shared" ca="1" si="185"/>
        <v>#N/A</v>
      </c>
      <c r="AI560" s="33" t="e">
        <f t="shared" ca="1" si="192"/>
        <v>#N/A</v>
      </c>
      <c r="AJ560" s="34" t="e">
        <f t="shared" ca="1" si="193"/>
        <v>#N/A</v>
      </c>
      <c r="AK560" s="34" t="e">
        <f t="shared" ca="1" si="186"/>
        <v>#N/A</v>
      </c>
      <c r="AL560" s="34" t="e">
        <f t="shared" ca="1" si="187"/>
        <v>#N/A</v>
      </c>
      <c r="AM560" s="33" t="e">
        <f t="shared" ca="1" si="194"/>
        <v>#N/A</v>
      </c>
      <c r="AN560" s="34" t="e">
        <f t="shared" ca="1" si="195"/>
        <v>#N/A</v>
      </c>
    </row>
    <row r="561" spans="1:40" x14ac:dyDescent="0.3">
      <c r="A561" s="2">
        <v>44277</v>
      </c>
      <c r="B561" s="9">
        <v>75.5</v>
      </c>
      <c r="C561" s="9">
        <v>121.519997</v>
      </c>
      <c r="D561" s="9">
        <v>72.279999000000004</v>
      </c>
      <c r="E561" s="10"/>
      <c r="F561" s="13">
        <v>558</v>
      </c>
      <c r="G561" s="2">
        <v>44277</v>
      </c>
      <c r="H561" s="14">
        <f t="shared" si="176"/>
        <v>-1.5899408680115724E-2</v>
      </c>
      <c r="I561" s="14">
        <f t="shared" si="177"/>
        <v>-1.8909283624762825E-3</v>
      </c>
      <c r="J561" s="14">
        <f t="shared" si="178"/>
        <v>-1.9455306600785063E-2</v>
      </c>
      <c r="K561" s="22">
        <v>558</v>
      </c>
      <c r="L561" s="12"/>
      <c r="Q561" s="15">
        <f t="shared" si="179"/>
        <v>558</v>
      </c>
      <c r="R561" s="2">
        <f t="shared" si="175"/>
        <v>44277</v>
      </c>
      <c r="S561" s="9">
        <f t="shared" ca="1" si="180"/>
        <v>-1.5899408680115724E-2</v>
      </c>
      <c r="T561" s="9">
        <f t="shared" ca="1" si="181"/>
        <v>-1.8909283624762825E-3</v>
      </c>
      <c r="U561" s="9">
        <f t="shared" ca="1" si="182"/>
        <v>-1.9455306600785063E-2</v>
      </c>
      <c r="AB561" s="33" t="e">
        <f t="shared" ca="1" si="188"/>
        <v>#N/A</v>
      </c>
      <c r="AC561" s="34" t="e">
        <f t="shared" ca="1" si="189"/>
        <v>#N/A</v>
      </c>
      <c r="AD561" s="34" t="e">
        <f t="shared" ca="1" si="190"/>
        <v>#N/A</v>
      </c>
      <c r="AE561" s="33" t="e">
        <f t="shared" ca="1" si="191"/>
        <v>#N/A</v>
      </c>
      <c r="AF561" s="34" t="e">
        <f t="shared" ca="1" si="183"/>
        <v>#N/A</v>
      </c>
      <c r="AG561" s="34" t="e">
        <f t="shared" ca="1" si="184"/>
        <v>#N/A</v>
      </c>
      <c r="AH561" s="34" t="e">
        <f t="shared" ca="1" si="185"/>
        <v>#N/A</v>
      </c>
      <c r="AI561" s="33" t="e">
        <f t="shared" ca="1" si="192"/>
        <v>#N/A</v>
      </c>
      <c r="AJ561" s="34" t="e">
        <f t="shared" ca="1" si="193"/>
        <v>#N/A</v>
      </c>
      <c r="AK561" s="34" t="e">
        <f t="shared" ca="1" si="186"/>
        <v>#N/A</v>
      </c>
      <c r="AL561" s="34" t="e">
        <f t="shared" ca="1" si="187"/>
        <v>#N/A</v>
      </c>
      <c r="AM561" s="33" t="e">
        <f t="shared" ca="1" si="194"/>
        <v>#N/A</v>
      </c>
      <c r="AN561" s="34" t="e">
        <f t="shared" ca="1" si="195"/>
        <v>#N/A</v>
      </c>
    </row>
    <row r="562" spans="1:40" x14ac:dyDescent="0.3">
      <c r="A562" s="2">
        <v>44278</v>
      </c>
      <c r="B562" s="9">
        <v>73.440002000000007</v>
      </c>
      <c r="C562" s="9">
        <v>113.55999799999999</v>
      </c>
      <c r="D562" s="9">
        <v>70.080001999999993</v>
      </c>
      <c r="E562" s="10"/>
      <c r="F562" s="13">
        <v>559</v>
      </c>
      <c r="G562" s="2">
        <v>44278</v>
      </c>
      <c r="H562" s="14">
        <f t="shared" si="176"/>
        <v>-2.7663882709628836E-2</v>
      </c>
      <c r="I562" s="14">
        <f t="shared" si="177"/>
        <v>-6.7747519607287851E-2</v>
      </c>
      <c r="J562" s="14">
        <f t="shared" si="178"/>
        <v>-3.0909976721993641E-2</v>
      </c>
      <c r="K562" s="22">
        <v>559</v>
      </c>
      <c r="L562" s="12"/>
      <c r="Q562" s="15">
        <f t="shared" si="179"/>
        <v>559</v>
      </c>
      <c r="R562" s="2">
        <f t="shared" si="175"/>
        <v>44278</v>
      </c>
      <c r="S562" s="9">
        <f t="shared" ca="1" si="180"/>
        <v>-2.7663882709628836E-2</v>
      </c>
      <c r="T562" s="9">
        <f t="shared" ca="1" si="181"/>
        <v>-6.7747519607287851E-2</v>
      </c>
      <c r="U562" s="9">
        <f t="shared" ca="1" si="182"/>
        <v>-3.0909976721993641E-2</v>
      </c>
      <c r="AB562" s="33" t="e">
        <f t="shared" ca="1" si="188"/>
        <v>#N/A</v>
      </c>
      <c r="AC562" s="34" t="e">
        <f t="shared" ca="1" si="189"/>
        <v>#N/A</v>
      </c>
      <c r="AD562" s="34" t="e">
        <f t="shared" ca="1" si="190"/>
        <v>#N/A</v>
      </c>
      <c r="AE562" s="33" t="e">
        <f t="shared" ca="1" si="191"/>
        <v>#N/A</v>
      </c>
      <c r="AF562" s="34" t="e">
        <f t="shared" ca="1" si="183"/>
        <v>#N/A</v>
      </c>
      <c r="AG562" s="34" t="e">
        <f t="shared" ca="1" si="184"/>
        <v>#N/A</v>
      </c>
      <c r="AH562" s="34" t="e">
        <f t="shared" ca="1" si="185"/>
        <v>#N/A</v>
      </c>
      <c r="AI562" s="33" t="e">
        <f t="shared" ca="1" si="192"/>
        <v>#N/A</v>
      </c>
      <c r="AJ562" s="34" t="e">
        <f t="shared" ca="1" si="193"/>
        <v>#N/A</v>
      </c>
      <c r="AK562" s="34" t="e">
        <f t="shared" ca="1" si="186"/>
        <v>#N/A</v>
      </c>
      <c r="AL562" s="34" t="e">
        <f t="shared" ca="1" si="187"/>
        <v>#N/A</v>
      </c>
      <c r="AM562" s="33" t="e">
        <f t="shared" ca="1" si="194"/>
        <v>#N/A</v>
      </c>
      <c r="AN562" s="34" t="e">
        <f t="shared" ca="1" si="195"/>
        <v>#N/A</v>
      </c>
    </row>
    <row r="563" spans="1:40" x14ac:dyDescent="0.3">
      <c r="A563" s="2">
        <v>44279</v>
      </c>
      <c r="B563" s="9">
        <v>73.690002000000007</v>
      </c>
      <c r="C563" s="9">
        <v>113.959999</v>
      </c>
      <c r="D563" s="9">
        <v>71.779999000000004</v>
      </c>
      <c r="E563" s="10"/>
      <c r="F563" s="13">
        <v>560</v>
      </c>
      <c r="G563" s="2">
        <v>44279</v>
      </c>
      <c r="H563" s="14">
        <f t="shared" si="176"/>
        <v>3.398358374282158E-3</v>
      </c>
      <c r="I563" s="14">
        <f t="shared" si="177"/>
        <v>3.5161868617635348E-3</v>
      </c>
      <c r="J563" s="14">
        <f t="shared" si="178"/>
        <v>2.3968396621055665E-2</v>
      </c>
      <c r="K563" s="22">
        <v>560</v>
      </c>
      <c r="L563" s="12"/>
      <c r="Q563" s="15">
        <f t="shared" si="179"/>
        <v>560</v>
      </c>
      <c r="R563" s="2">
        <f t="shared" si="175"/>
        <v>44279</v>
      </c>
      <c r="S563" s="9">
        <f t="shared" ca="1" si="180"/>
        <v>3.398358374282158E-3</v>
      </c>
      <c r="T563" s="9">
        <f t="shared" ca="1" si="181"/>
        <v>3.5161868617635348E-3</v>
      </c>
      <c r="U563" s="9">
        <f t="shared" ca="1" si="182"/>
        <v>2.3968396621055665E-2</v>
      </c>
      <c r="AB563" s="33" t="e">
        <f t="shared" ca="1" si="188"/>
        <v>#N/A</v>
      </c>
      <c r="AC563" s="34" t="e">
        <f t="shared" ca="1" si="189"/>
        <v>#N/A</v>
      </c>
      <c r="AD563" s="34" t="e">
        <f t="shared" ca="1" si="190"/>
        <v>#N/A</v>
      </c>
      <c r="AE563" s="33" t="e">
        <f t="shared" ca="1" si="191"/>
        <v>#N/A</v>
      </c>
      <c r="AF563" s="34" t="e">
        <f t="shared" ca="1" si="183"/>
        <v>#N/A</v>
      </c>
      <c r="AG563" s="34" t="e">
        <f t="shared" ca="1" si="184"/>
        <v>#N/A</v>
      </c>
      <c r="AH563" s="34" t="e">
        <f t="shared" ca="1" si="185"/>
        <v>#N/A</v>
      </c>
      <c r="AI563" s="33" t="e">
        <f t="shared" ca="1" si="192"/>
        <v>#N/A</v>
      </c>
      <c r="AJ563" s="34" t="e">
        <f t="shared" ca="1" si="193"/>
        <v>#N/A</v>
      </c>
      <c r="AK563" s="34" t="e">
        <f t="shared" ca="1" si="186"/>
        <v>#N/A</v>
      </c>
      <c r="AL563" s="34" t="e">
        <f t="shared" ca="1" si="187"/>
        <v>#N/A</v>
      </c>
      <c r="AM563" s="33" t="e">
        <f t="shared" ca="1" si="194"/>
        <v>#N/A</v>
      </c>
      <c r="AN563" s="34" t="e">
        <f t="shared" ca="1" si="195"/>
        <v>#N/A</v>
      </c>
    </row>
    <row r="564" spans="1:40" x14ac:dyDescent="0.3">
      <c r="A564" s="2">
        <v>44280</v>
      </c>
      <c r="B564" s="9">
        <v>75.180000000000007</v>
      </c>
      <c r="C564" s="9">
        <v>118.300003</v>
      </c>
      <c r="D564" s="9">
        <v>72.419998000000007</v>
      </c>
      <c r="E564" s="10"/>
      <c r="F564" s="13">
        <v>561</v>
      </c>
      <c r="G564" s="2">
        <v>44280</v>
      </c>
      <c r="H564" s="14">
        <f t="shared" si="176"/>
        <v>2.0018106216399711E-2</v>
      </c>
      <c r="I564" s="14">
        <f t="shared" si="177"/>
        <v>3.7376295488898224E-2</v>
      </c>
      <c r="J564" s="14">
        <f t="shared" si="178"/>
        <v>8.8766049328105109E-3</v>
      </c>
      <c r="K564" s="22">
        <v>561</v>
      </c>
      <c r="L564" s="12"/>
      <c r="Q564" s="15">
        <f t="shared" si="179"/>
        <v>561</v>
      </c>
      <c r="R564" s="2">
        <f t="shared" si="175"/>
        <v>44280</v>
      </c>
      <c r="S564" s="9">
        <f t="shared" ca="1" si="180"/>
        <v>2.0018106216399711E-2</v>
      </c>
      <c r="T564" s="9">
        <f t="shared" ca="1" si="181"/>
        <v>3.7376295488898224E-2</v>
      </c>
      <c r="U564" s="9">
        <f t="shared" ca="1" si="182"/>
        <v>8.8766049328105109E-3</v>
      </c>
      <c r="AB564" s="33" t="e">
        <f t="shared" ca="1" si="188"/>
        <v>#N/A</v>
      </c>
      <c r="AC564" s="34" t="e">
        <f t="shared" ca="1" si="189"/>
        <v>#N/A</v>
      </c>
      <c r="AD564" s="34" t="e">
        <f t="shared" ca="1" si="190"/>
        <v>#N/A</v>
      </c>
      <c r="AE564" s="33" t="e">
        <f t="shared" ca="1" si="191"/>
        <v>#N/A</v>
      </c>
      <c r="AF564" s="34" t="e">
        <f t="shared" ca="1" si="183"/>
        <v>#N/A</v>
      </c>
      <c r="AG564" s="34" t="e">
        <f t="shared" ca="1" si="184"/>
        <v>#N/A</v>
      </c>
      <c r="AH564" s="34" t="e">
        <f t="shared" ca="1" si="185"/>
        <v>#N/A</v>
      </c>
      <c r="AI564" s="33" t="e">
        <f t="shared" ca="1" si="192"/>
        <v>#N/A</v>
      </c>
      <c r="AJ564" s="34" t="e">
        <f t="shared" ca="1" si="193"/>
        <v>#N/A</v>
      </c>
      <c r="AK564" s="34" t="e">
        <f t="shared" ca="1" si="186"/>
        <v>#N/A</v>
      </c>
      <c r="AL564" s="34" t="e">
        <f t="shared" ca="1" si="187"/>
        <v>#N/A</v>
      </c>
      <c r="AM564" s="33" t="e">
        <f t="shared" ca="1" si="194"/>
        <v>#N/A</v>
      </c>
      <c r="AN564" s="34" t="e">
        <f t="shared" ca="1" si="195"/>
        <v>#N/A</v>
      </c>
    </row>
    <row r="565" spans="1:40" x14ac:dyDescent="0.3">
      <c r="A565" s="2">
        <v>44281</v>
      </c>
      <c r="B565" s="9">
        <v>77.139999000000003</v>
      </c>
      <c r="C565" s="9">
        <v>122.160004</v>
      </c>
      <c r="D565" s="9">
        <v>73.110000999999997</v>
      </c>
      <c r="E565" s="10"/>
      <c r="F565" s="13">
        <v>562</v>
      </c>
      <c r="G565" s="2">
        <v>44281</v>
      </c>
      <c r="H565" s="14">
        <f t="shared" si="176"/>
        <v>2.5736701680606468E-2</v>
      </c>
      <c r="I565" s="14">
        <f t="shared" si="177"/>
        <v>3.2107897310721979E-2</v>
      </c>
      <c r="J565" s="14">
        <f t="shared" si="178"/>
        <v>9.482693262429568E-3</v>
      </c>
      <c r="K565" s="22">
        <v>562</v>
      </c>
      <c r="L565" s="12"/>
      <c r="Q565" s="15">
        <f t="shared" si="179"/>
        <v>562</v>
      </c>
      <c r="R565" s="2">
        <f t="shared" si="175"/>
        <v>44281</v>
      </c>
      <c r="S565" s="9">
        <f t="shared" ca="1" si="180"/>
        <v>2.5736701680606468E-2</v>
      </c>
      <c r="T565" s="9">
        <f t="shared" ca="1" si="181"/>
        <v>3.2107897310721979E-2</v>
      </c>
      <c r="U565" s="9">
        <f t="shared" ca="1" si="182"/>
        <v>9.482693262429568E-3</v>
      </c>
      <c r="AB565" s="33" t="e">
        <f t="shared" ca="1" si="188"/>
        <v>#N/A</v>
      </c>
      <c r="AC565" s="34" t="e">
        <f t="shared" ca="1" si="189"/>
        <v>#N/A</v>
      </c>
      <c r="AD565" s="34" t="e">
        <f t="shared" ca="1" si="190"/>
        <v>#N/A</v>
      </c>
      <c r="AE565" s="33" t="e">
        <f t="shared" ca="1" si="191"/>
        <v>#N/A</v>
      </c>
      <c r="AF565" s="34" t="e">
        <f t="shared" ca="1" si="183"/>
        <v>#N/A</v>
      </c>
      <c r="AG565" s="34" t="e">
        <f t="shared" ca="1" si="184"/>
        <v>#N/A</v>
      </c>
      <c r="AH565" s="34" t="e">
        <f t="shared" ca="1" si="185"/>
        <v>#N/A</v>
      </c>
      <c r="AI565" s="33" t="e">
        <f t="shared" ca="1" si="192"/>
        <v>#N/A</v>
      </c>
      <c r="AJ565" s="34" t="e">
        <f t="shared" ca="1" si="193"/>
        <v>#N/A</v>
      </c>
      <c r="AK565" s="34" t="e">
        <f t="shared" ca="1" si="186"/>
        <v>#N/A</v>
      </c>
      <c r="AL565" s="34" t="e">
        <f t="shared" ca="1" si="187"/>
        <v>#N/A</v>
      </c>
      <c r="AM565" s="33" t="e">
        <f t="shared" ca="1" si="194"/>
        <v>#N/A</v>
      </c>
      <c r="AN565" s="34" t="e">
        <f t="shared" ca="1" si="195"/>
        <v>#N/A</v>
      </c>
    </row>
    <row r="566" spans="1:40" x14ac:dyDescent="0.3">
      <c r="A566" s="2">
        <v>44284</v>
      </c>
      <c r="B566" s="9">
        <v>76.379997000000003</v>
      </c>
      <c r="C566" s="9">
        <v>117.989998</v>
      </c>
      <c r="D566" s="9">
        <v>71.860000999999997</v>
      </c>
      <c r="E566" s="10"/>
      <c r="F566" s="13">
        <v>563</v>
      </c>
      <c r="G566" s="2">
        <v>44284</v>
      </c>
      <c r="H566" s="14">
        <f t="shared" si="176"/>
        <v>-9.9010972965668572E-3</v>
      </c>
      <c r="I566" s="14">
        <f t="shared" si="177"/>
        <v>-3.4731835493080121E-2</v>
      </c>
      <c r="J566" s="14">
        <f t="shared" si="178"/>
        <v>-1.7245374381923584E-2</v>
      </c>
      <c r="K566" s="22">
        <v>563</v>
      </c>
      <c r="L566" s="12"/>
      <c r="Q566" s="15">
        <f t="shared" si="179"/>
        <v>563</v>
      </c>
      <c r="R566" s="2">
        <f t="shared" si="175"/>
        <v>44284</v>
      </c>
      <c r="S566" s="9">
        <f t="shared" ca="1" si="180"/>
        <v>-9.9010972965668572E-3</v>
      </c>
      <c r="T566" s="9">
        <f t="shared" ca="1" si="181"/>
        <v>-3.4731835493080121E-2</v>
      </c>
      <c r="U566" s="9">
        <f t="shared" ca="1" si="182"/>
        <v>-1.7245374381923584E-2</v>
      </c>
      <c r="AB566" s="33" t="e">
        <f t="shared" ca="1" si="188"/>
        <v>#N/A</v>
      </c>
      <c r="AC566" s="34" t="e">
        <f t="shared" ca="1" si="189"/>
        <v>#N/A</v>
      </c>
      <c r="AD566" s="34" t="e">
        <f t="shared" ca="1" si="190"/>
        <v>#N/A</v>
      </c>
      <c r="AE566" s="33" t="e">
        <f t="shared" ca="1" si="191"/>
        <v>#N/A</v>
      </c>
      <c r="AF566" s="34" t="e">
        <f t="shared" ca="1" si="183"/>
        <v>#N/A</v>
      </c>
      <c r="AG566" s="34" t="e">
        <f t="shared" ca="1" si="184"/>
        <v>#N/A</v>
      </c>
      <c r="AH566" s="34" t="e">
        <f t="shared" ca="1" si="185"/>
        <v>#N/A</v>
      </c>
      <c r="AI566" s="33" t="e">
        <f t="shared" ca="1" si="192"/>
        <v>#N/A</v>
      </c>
      <c r="AJ566" s="34" t="e">
        <f t="shared" ca="1" si="193"/>
        <v>#N/A</v>
      </c>
      <c r="AK566" s="34" t="e">
        <f t="shared" ca="1" si="186"/>
        <v>#N/A</v>
      </c>
      <c r="AL566" s="34" t="e">
        <f t="shared" ca="1" si="187"/>
        <v>#N/A</v>
      </c>
      <c r="AM566" s="33" t="e">
        <f t="shared" ca="1" si="194"/>
        <v>#N/A</v>
      </c>
      <c r="AN566" s="34" t="e">
        <f t="shared" ca="1" si="195"/>
        <v>#N/A</v>
      </c>
    </row>
    <row r="567" spans="1:40" x14ac:dyDescent="0.3">
      <c r="A567" s="2">
        <v>44285</v>
      </c>
      <c r="B567" s="9">
        <v>77.559997999999993</v>
      </c>
      <c r="C567" s="9">
        <v>120.239998</v>
      </c>
      <c r="D567" s="9">
        <v>71.779999000000004</v>
      </c>
      <c r="E567" s="10"/>
      <c r="F567" s="13">
        <v>564</v>
      </c>
      <c r="G567" s="2">
        <v>44285</v>
      </c>
      <c r="H567" s="14">
        <f t="shared" si="176"/>
        <v>1.5330962067891106E-2</v>
      </c>
      <c r="I567" s="14">
        <f t="shared" si="177"/>
        <v>1.8889870650080291E-2</v>
      </c>
      <c r="J567" s="14">
        <f t="shared" si="178"/>
        <v>-1.1139238133163168E-3</v>
      </c>
      <c r="K567" s="22">
        <v>564</v>
      </c>
      <c r="L567" s="12"/>
      <c r="Q567" s="15">
        <f t="shared" si="179"/>
        <v>564</v>
      </c>
      <c r="R567" s="2">
        <f t="shared" si="175"/>
        <v>44285</v>
      </c>
      <c r="S567" s="9">
        <f t="shared" ca="1" si="180"/>
        <v>1.5330962067891106E-2</v>
      </c>
      <c r="T567" s="9">
        <f t="shared" ca="1" si="181"/>
        <v>1.8889870650080291E-2</v>
      </c>
      <c r="U567" s="9">
        <f t="shared" ca="1" si="182"/>
        <v>-1.1139238133163168E-3</v>
      </c>
      <c r="AB567" s="33" t="e">
        <f t="shared" ca="1" si="188"/>
        <v>#N/A</v>
      </c>
      <c r="AC567" s="34" t="e">
        <f t="shared" ca="1" si="189"/>
        <v>#N/A</v>
      </c>
      <c r="AD567" s="34" t="e">
        <f t="shared" ca="1" si="190"/>
        <v>#N/A</v>
      </c>
      <c r="AE567" s="33" t="e">
        <f t="shared" ca="1" si="191"/>
        <v>#N/A</v>
      </c>
      <c r="AF567" s="34" t="e">
        <f t="shared" ca="1" si="183"/>
        <v>#N/A</v>
      </c>
      <c r="AG567" s="34" t="e">
        <f t="shared" ca="1" si="184"/>
        <v>#N/A</v>
      </c>
      <c r="AH567" s="34" t="e">
        <f t="shared" ca="1" si="185"/>
        <v>#N/A</v>
      </c>
      <c r="AI567" s="33" t="e">
        <f t="shared" ca="1" si="192"/>
        <v>#N/A</v>
      </c>
      <c r="AJ567" s="34" t="e">
        <f t="shared" ca="1" si="193"/>
        <v>#N/A</v>
      </c>
      <c r="AK567" s="34" t="e">
        <f t="shared" ca="1" si="186"/>
        <v>#N/A</v>
      </c>
      <c r="AL567" s="34" t="e">
        <f t="shared" ca="1" si="187"/>
        <v>#N/A</v>
      </c>
      <c r="AM567" s="33" t="e">
        <f t="shared" ca="1" si="194"/>
        <v>#N/A</v>
      </c>
      <c r="AN567" s="34" t="e">
        <f t="shared" ca="1" si="195"/>
        <v>#N/A</v>
      </c>
    </row>
    <row r="568" spans="1:40" x14ac:dyDescent="0.3">
      <c r="A568" s="2">
        <v>44286</v>
      </c>
      <c r="B568" s="9">
        <v>78.069999999999993</v>
      </c>
      <c r="C568" s="9">
        <v>123.160004</v>
      </c>
      <c r="D568" s="9">
        <v>71.599997999999999</v>
      </c>
      <c r="E568" s="10"/>
      <c r="F568" s="13">
        <v>565</v>
      </c>
      <c r="G568" s="2">
        <v>44286</v>
      </c>
      <c r="H568" s="14">
        <f t="shared" si="176"/>
        <v>6.5540555442368106E-3</v>
      </c>
      <c r="I568" s="14">
        <f t="shared" si="177"/>
        <v>2.3994626723057442E-2</v>
      </c>
      <c r="J568" s="14">
        <f t="shared" si="178"/>
        <v>-2.5108257543653137E-3</v>
      </c>
      <c r="K568" s="22">
        <v>565</v>
      </c>
      <c r="L568" s="12"/>
      <c r="Q568" s="15">
        <f t="shared" si="179"/>
        <v>565</v>
      </c>
      <c r="R568" s="2">
        <f t="shared" si="175"/>
        <v>44286</v>
      </c>
      <c r="S568" s="9">
        <f t="shared" ca="1" si="180"/>
        <v>6.5540555442368106E-3</v>
      </c>
      <c r="T568" s="9">
        <f t="shared" ca="1" si="181"/>
        <v>2.3994626723057442E-2</v>
      </c>
      <c r="U568" s="9">
        <f t="shared" ca="1" si="182"/>
        <v>-2.5108257543653137E-3</v>
      </c>
      <c r="AB568" s="33" t="e">
        <f t="shared" ca="1" si="188"/>
        <v>#N/A</v>
      </c>
      <c r="AC568" s="34" t="e">
        <f t="shared" ca="1" si="189"/>
        <v>#N/A</v>
      </c>
      <c r="AD568" s="34" t="e">
        <f t="shared" ca="1" si="190"/>
        <v>#N/A</v>
      </c>
      <c r="AE568" s="33" t="e">
        <f t="shared" ca="1" si="191"/>
        <v>#N/A</v>
      </c>
      <c r="AF568" s="34" t="e">
        <f t="shared" ca="1" si="183"/>
        <v>#N/A</v>
      </c>
      <c r="AG568" s="34" t="e">
        <f t="shared" ca="1" si="184"/>
        <v>#N/A</v>
      </c>
      <c r="AH568" s="34" t="e">
        <f t="shared" ca="1" si="185"/>
        <v>#N/A</v>
      </c>
      <c r="AI568" s="33" t="e">
        <f t="shared" ca="1" si="192"/>
        <v>#N/A</v>
      </c>
      <c r="AJ568" s="34" t="e">
        <f t="shared" ca="1" si="193"/>
        <v>#N/A</v>
      </c>
      <c r="AK568" s="34" t="e">
        <f t="shared" ca="1" si="186"/>
        <v>#N/A</v>
      </c>
      <c r="AL568" s="34" t="e">
        <f t="shared" ca="1" si="187"/>
        <v>#N/A</v>
      </c>
      <c r="AM568" s="33" t="e">
        <f t="shared" ca="1" si="194"/>
        <v>#N/A</v>
      </c>
      <c r="AN568" s="34" t="e">
        <f t="shared" ca="1" si="195"/>
        <v>#N/A</v>
      </c>
    </row>
    <row r="569" spans="1:40" x14ac:dyDescent="0.3">
      <c r="A569" s="2">
        <v>44287</v>
      </c>
      <c r="B569" s="9">
        <v>77.660004000000001</v>
      </c>
      <c r="C569" s="9">
        <v>119.94000200000001</v>
      </c>
      <c r="D569" s="9">
        <v>75.300003000000004</v>
      </c>
      <c r="E569" s="10"/>
      <c r="F569" s="13">
        <v>566</v>
      </c>
      <c r="G569" s="2">
        <v>44287</v>
      </c>
      <c r="H569" s="14">
        <f t="shared" si="176"/>
        <v>-5.2654843221124192E-3</v>
      </c>
      <c r="I569" s="14">
        <f t="shared" si="177"/>
        <v>-2.6492721119008598E-2</v>
      </c>
      <c r="J569" s="14">
        <f t="shared" si="178"/>
        <v>5.0385128612846053E-2</v>
      </c>
      <c r="K569" s="22">
        <v>566</v>
      </c>
      <c r="L569" s="12"/>
      <c r="Q569" s="15">
        <f t="shared" si="179"/>
        <v>566</v>
      </c>
      <c r="R569" s="2">
        <f t="shared" si="175"/>
        <v>44287</v>
      </c>
      <c r="S569" s="9">
        <f t="shared" ca="1" si="180"/>
        <v>-5.2654843221124192E-3</v>
      </c>
      <c r="T569" s="9">
        <f t="shared" ca="1" si="181"/>
        <v>-2.6492721119008598E-2</v>
      </c>
      <c r="U569" s="9">
        <f t="shared" ca="1" si="182"/>
        <v>5.0385128612846053E-2</v>
      </c>
      <c r="AB569" s="33" t="e">
        <f t="shared" ca="1" si="188"/>
        <v>#N/A</v>
      </c>
      <c r="AC569" s="34" t="e">
        <f t="shared" ca="1" si="189"/>
        <v>#N/A</v>
      </c>
      <c r="AD569" s="34" t="e">
        <f t="shared" ca="1" si="190"/>
        <v>#N/A</v>
      </c>
      <c r="AE569" s="33" t="e">
        <f t="shared" ca="1" si="191"/>
        <v>#N/A</v>
      </c>
      <c r="AF569" s="34" t="e">
        <f t="shared" ca="1" si="183"/>
        <v>#N/A</v>
      </c>
      <c r="AG569" s="34" t="e">
        <f t="shared" ca="1" si="184"/>
        <v>#N/A</v>
      </c>
      <c r="AH569" s="34" t="e">
        <f t="shared" ca="1" si="185"/>
        <v>#N/A</v>
      </c>
      <c r="AI569" s="33" t="e">
        <f t="shared" ca="1" si="192"/>
        <v>#N/A</v>
      </c>
      <c r="AJ569" s="34" t="e">
        <f t="shared" ca="1" si="193"/>
        <v>#N/A</v>
      </c>
      <c r="AK569" s="34" t="e">
        <f t="shared" ca="1" si="186"/>
        <v>#N/A</v>
      </c>
      <c r="AL569" s="34" t="e">
        <f t="shared" ca="1" si="187"/>
        <v>#N/A</v>
      </c>
      <c r="AM569" s="33" t="e">
        <f t="shared" ca="1" si="194"/>
        <v>#N/A</v>
      </c>
      <c r="AN569" s="34" t="e">
        <f t="shared" ca="1" si="195"/>
        <v>#N/A</v>
      </c>
    </row>
    <row r="570" spans="1:40" x14ac:dyDescent="0.3">
      <c r="A570" s="2">
        <v>44291</v>
      </c>
      <c r="B570" s="9">
        <v>78.190002000000007</v>
      </c>
      <c r="C570" s="9">
        <v>123.30999799999999</v>
      </c>
      <c r="D570" s="9">
        <v>74.620002999999997</v>
      </c>
      <c r="E570" s="10"/>
      <c r="F570" s="13">
        <v>567</v>
      </c>
      <c r="G570" s="2">
        <v>44291</v>
      </c>
      <c r="H570" s="14">
        <f t="shared" si="176"/>
        <v>6.8014119050538576E-3</v>
      </c>
      <c r="I570" s="14">
        <f t="shared" si="177"/>
        <v>2.7709859247786291E-2</v>
      </c>
      <c r="J570" s="14">
        <f t="shared" si="178"/>
        <v>-9.0715666497748777E-3</v>
      </c>
      <c r="K570" s="22">
        <v>567</v>
      </c>
      <c r="L570" s="12"/>
      <c r="Q570" s="15">
        <f t="shared" si="179"/>
        <v>567</v>
      </c>
      <c r="R570" s="2">
        <f t="shared" si="175"/>
        <v>44291</v>
      </c>
      <c r="S570" s="9">
        <f t="shared" ca="1" si="180"/>
        <v>6.8014119050538576E-3</v>
      </c>
      <c r="T570" s="9">
        <f t="shared" ca="1" si="181"/>
        <v>2.7709859247786291E-2</v>
      </c>
      <c r="U570" s="9">
        <f t="shared" ca="1" si="182"/>
        <v>-9.0715666497748777E-3</v>
      </c>
      <c r="AB570" s="33" t="e">
        <f t="shared" ca="1" si="188"/>
        <v>#N/A</v>
      </c>
      <c r="AC570" s="34" t="e">
        <f t="shared" ca="1" si="189"/>
        <v>#N/A</v>
      </c>
      <c r="AD570" s="34" t="e">
        <f t="shared" ca="1" si="190"/>
        <v>#N/A</v>
      </c>
      <c r="AE570" s="33" t="e">
        <f t="shared" ca="1" si="191"/>
        <v>#N/A</v>
      </c>
      <c r="AF570" s="34" t="e">
        <f t="shared" ca="1" si="183"/>
        <v>#N/A</v>
      </c>
      <c r="AG570" s="34" t="e">
        <f t="shared" ca="1" si="184"/>
        <v>#N/A</v>
      </c>
      <c r="AH570" s="34" t="e">
        <f t="shared" ca="1" si="185"/>
        <v>#N/A</v>
      </c>
      <c r="AI570" s="33" t="e">
        <f t="shared" ca="1" si="192"/>
        <v>#N/A</v>
      </c>
      <c r="AJ570" s="34" t="e">
        <f t="shared" ca="1" si="193"/>
        <v>#N/A</v>
      </c>
      <c r="AK570" s="34" t="e">
        <f t="shared" ca="1" si="186"/>
        <v>#N/A</v>
      </c>
      <c r="AL570" s="34" t="e">
        <f t="shared" ca="1" si="187"/>
        <v>#N/A</v>
      </c>
      <c r="AM570" s="33" t="e">
        <f t="shared" ca="1" si="194"/>
        <v>#N/A</v>
      </c>
      <c r="AN570" s="34" t="e">
        <f t="shared" ca="1" si="195"/>
        <v>#N/A</v>
      </c>
    </row>
    <row r="571" spans="1:40" x14ac:dyDescent="0.3">
      <c r="A571" s="2">
        <v>44292</v>
      </c>
      <c r="B571" s="9">
        <v>79.349997999999999</v>
      </c>
      <c r="C571" s="9">
        <v>123.699997</v>
      </c>
      <c r="D571" s="9">
        <v>74.180000000000007</v>
      </c>
      <c r="E571" s="10"/>
      <c r="F571" s="13">
        <v>568</v>
      </c>
      <c r="G571" s="2">
        <v>44292</v>
      </c>
      <c r="H571" s="14">
        <f t="shared" si="176"/>
        <v>1.4726634052487862E-2</v>
      </c>
      <c r="I571" s="14">
        <f t="shared" si="177"/>
        <v>3.1577614830645634E-3</v>
      </c>
      <c r="J571" s="14">
        <f t="shared" si="178"/>
        <v>-5.9140359352648419E-3</v>
      </c>
      <c r="K571" s="22">
        <v>568</v>
      </c>
      <c r="L571" s="12"/>
      <c r="Q571" s="15">
        <f t="shared" si="179"/>
        <v>568</v>
      </c>
      <c r="R571" s="2">
        <f t="shared" si="175"/>
        <v>44292</v>
      </c>
      <c r="S571" s="9">
        <f t="shared" ca="1" si="180"/>
        <v>1.4726634052487862E-2</v>
      </c>
      <c r="T571" s="9">
        <f t="shared" ca="1" si="181"/>
        <v>3.1577614830645634E-3</v>
      </c>
      <c r="U571" s="9">
        <f t="shared" ca="1" si="182"/>
        <v>-5.9140359352648419E-3</v>
      </c>
      <c r="AB571" s="33" t="e">
        <f t="shared" ca="1" si="188"/>
        <v>#N/A</v>
      </c>
      <c r="AC571" s="34" t="e">
        <f t="shared" ca="1" si="189"/>
        <v>#N/A</v>
      </c>
      <c r="AD571" s="34" t="e">
        <f t="shared" ca="1" si="190"/>
        <v>#N/A</v>
      </c>
      <c r="AE571" s="33" t="e">
        <f t="shared" ca="1" si="191"/>
        <v>#N/A</v>
      </c>
      <c r="AF571" s="34" t="e">
        <f t="shared" ca="1" si="183"/>
        <v>#N/A</v>
      </c>
      <c r="AG571" s="34" t="e">
        <f t="shared" ca="1" si="184"/>
        <v>#N/A</v>
      </c>
      <c r="AH571" s="34" t="e">
        <f t="shared" ca="1" si="185"/>
        <v>#N/A</v>
      </c>
      <c r="AI571" s="33" t="e">
        <f t="shared" ca="1" si="192"/>
        <v>#N/A</v>
      </c>
      <c r="AJ571" s="34" t="e">
        <f t="shared" ca="1" si="193"/>
        <v>#N/A</v>
      </c>
      <c r="AK571" s="34" t="e">
        <f t="shared" ca="1" si="186"/>
        <v>#N/A</v>
      </c>
      <c r="AL571" s="34" t="e">
        <f t="shared" ca="1" si="187"/>
        <v>#N/A</v>
      </c>
      <c r="AM571" s="33" t="e">
        <f t="shared" ca="1" si="194"/>
        <v>#N/A</v>
      </c>
      <c r="AN571" s="34" t="e">
        <f t="shared" ca="1" si="195"/>
        <v>#N/A</v>
      </c>
    </row>
    <row r="572" spans="1:40" x14ac:dyDescent="0.3">
      <c r="A572" s="2">
        <v>44293</v>
      </c>
      <c r="B572" s="9">
        <v>79.580001999999993</v>
      </c>
      <c r="C572" s="9">
        <v>123.639999</v>
      </c>
      <c r="D572" s="9">
        <v>74.410004000000001</v>
      </c>
      <c r="E572" s="10"/>
      <c r="F572" s="13">
        <v>569</v>
      </c>
      <c r="G572" s="2">
        <v>44293</v>
      </c>
      <c r="H572" s="14">
        <f t="shared" si="176"/>
        <v>2.8944083630960101E-3</v>
      </c>
      <c r="I572" s="14">
        <f t="shared" si="177"/>
        <v>-4.8514597030062428E-4</v>
      </c>
      <c r="J572" s="14">
        <f t="shared" si="178"/>
        <v>3.0958231039391422E-3</v>
      </c>
      <c r="K572" s="22">
        <v>569</v>
      </c>
      <c r="L572" s="12"/>
      <c r="Q572" s="15">
        <f t="shared" si="179"/>
        <v>569</v>
      </c>
      <c r="R572" s="2">
        <f t="shared" si="175"/>
        <v>44293</v>
      </c>
      <c r="S572" s="9">
        <f t="shared" ca="1" si="180"/>
        <v>2.8944083630960101E-3</v>
      </c>
      <c r="T572" s="9">
        <f t="shared" ca="1" si="181"/>
        <v>-4.8514597030062428E-4</v>
      </c>
      <c r="U572" s="9">
        <f t="shared" ca="1" si="182"/>
        <v>3.0958231039391422E-3</v>
      </c>
      <c r="AB572" s="33" t="e">
        <f t="shared" ca="1" si="188"/>
        <v>#N/A</v>
      </c>
      <c r="AC572" s="34" t="e">
        <f t="shared" ca="1" si="189"/>
        <v>#N/A</v>
      </c>
      <c r="AD572" s="34" t="e">
        <f t="shared" ca="1" si="190"/>
        <v>#N/A</v>
      </c>
      <c r="AE572" s="33" t="e">
        <f t="shared" ca="1" si="191"/>
        <v>#N/A</v>
      </c>
      <c r="AF572" s="34" t="e">
        <f t="shared" ca="1" si="183"/>
        <v>#N/A</v>
      </c>
      <c r="AG572" s="34" t="e">
        <f t="shared" ca="1" si="184"/>
        <v>#N/A</v>
      </c>
      <c r="AH572" s="34" t="e">
        <f t="shared" ca="1" si="185"/>
        <v>#N/A</v>
      </c>
      <c r="AI572" s="33" t="e">
        <f t="shared" ca="1" si="192"/>
        <v>#N/A</v>
      </c>
      <c r="AJ572" s="34" t="e">
        <f t="shared" ca="1" si="193"/>
        <v>#N/A</v>
      </c>
      <c r="AK572" s="34" t="e">
        <f t="shared" ca="1" si="186"/>
        <v>#N/A</v>
      </c>
      <c r="AL572" s="34" t="e">
        <f t="shared" ca="1" si="187"/>
        <v>#N/A</v>
      </c>
      <c r="AM572" s="33" t="e">
        <f t="shared" ca="1" si="194"/>
        <v>#N/A</v>
      </c>
      <c r="AN572" s="34" t="e">
        <f t="shared" ca="1" si="195"/>
        <v>#N/A</v>
      </c>
    </row>
    <row r="573" spans="1:40" x14ac:dyDescent="0.3">
      <c r="A573" s="2">
        <v>44294</v>
      </c>
      <c r="B573" s="9">
        <v>80.239998</v>
      </c>
      <c r="C573" s="9">
        <v>123.58000199999999</v>
      </c>
      <c r="D573" s="9">
        <v>72.879997000000003</v>
      </c>
      <c r="E573" s="10"/>
      <c r="F573" s="13">
        <v>570</v>
      </c>
      <c r="G573" s="2">
        <v>44294</v>
      </c>
      <c r="H573" s="14">
        <f t="shared" si="176"/>
        <v>8.2592885977306654E-3</v>
      </c>
      <c r="I573" s="14">
        <f t="shared" si="177"/>
        <v>-4.8537335923634812E-4</v>
      </c>
      <c r="J573" s="14">
        <f t="shared" si="178"/>
        <v>-2.0776183377238421E-2</v>
      </c>
      <c r="K573" s="22">
        <v>570</v>
      </c>
      <c r="L573" s="12"/>
      <c r="Q573" s="15">
        <f t="shared" si="179"/>
        <v>570</v>
      </c>
      <c r="R573" s="2">
        <f t="shared" si="175"/>
        <v>44294</v>
      </c>
      <c r="S573" s="9">
        <f t="shared" ca="1" si="180"/>
        <v>8.2592885977306654E-3</v>
      </c>
      <c r="T573" s="9">
        <f t="shared" ca="1" si="181"/>
        <v>-4.8537335923634812E-4</v>
      </c>
      <c r="U573" s="9">
        <f t="shared" ca="1" si="182"/>
        <v>-2.0776183377238421E-2</v>
      </c>
      <c r="AB573" s="33" t="e">
        <f t="shared" ca="1" si="188"/>
        <v>#N/A</v>
      </c>
      <c r="AC573" s="34" t="e">
        <f t="shared" ca="1" si="189"/>
        <v>#N/A</v>
      </c>
      <c r="AD573" s="34" t="e">
        <f t="shared" ca="1" si="190"/>
        <v>#N/A</v>
      </c>
      <c r="AE573" s="33" t="e">
        <f t="shared" ca="1" si="191"/>
        <v>#N/A</v>
      </c>
      <c r="AF573" s="34" t="e">
        <f t="shared" ca="1" si="183"/>
        <v>#N/A</v>
      </c>
      <c r="AG573" s="34" t="e">
        <f t="shared" ca="1" si="184"/>
        <v>#N/A</v>
      </c>
      <c r="AH573" s="34" t="e">
        <f t="shared" ca="1" si="185"/>
        <v>#N/A</v>
      </c>
      <c r="AI573" s="33" t="e">
        <f t="shared" ca="1" si="192"/>
        <v>#N/A</v>
      </c>
      <c r="AJ573" s="34" t="e">
        <f t="shared" ca="1" si="193"/>
        <v>#N/A</v>
      </c>
      <c r="AK573" s="34" t="e">
        <f t="shared" ca="1" si="186"/>
        <v>#N/A</v>
      </c>
      <c r="AL573" s="34" t="e">
        <f t="shared" ca="1" si="187"/>
        <v>#N/A</v>
      </c>
      <c r="AM573" s="33" t="e">
        <f t="shared" ca="1" si="194"/>
        <v>#N/A</v>
      </c>
      <c r="AN573" s="34" t="e">
        <f t="shared" ca="1" si="195"/>
        <v>#N/A</v>
      </c>
    </row>
    <row r="574" spans="1:40" x14ac:dyDescent="0.3">
      <c r="A574" s="2">
        <v>44295</v>
      </c>
      <c r="B574" s="9">
        <v>81.349997999999999</v>
      </c>
      <c r="C574" s="9">
        <v>127.540001</v>
      </c>
      <c r="D574" s="9">
        <v>71.089995999999999</v>
      </c>
      <c r="E574" s="10"/>
      <c r="F574" s="13">
        <v>571</v>
      </c>
      <c r="G574" s="2">
        <v>44295</v>
      </c>
      <c r="H574" s="14">
        <f t="shared" si="176"/>
        <v>1.3738690351465009E-2</v>
      </c>
      <c r="I574" s="14">
        <f t="shared" si="177"/>
        <v>3.1541312911121118E-2</v>
      </c>
      <c r="J574" s="14">
        <f t="shared" si="178"/>
        <v>-2.4867588113459561E-2</v>
      </c>
      <c r="K574" s="22">
        <v>571</v>
      </c>
      <c r="L574" s="12"/>
      <c r="Q574" s="15">
        <f t="shared" si="179"/>
        <v>571</v>
      </c>
      <c r="R574" s="2">
        <f t="shared" si="175"/>
        <v>44295</v>
      </c>
      <c r="S574" s="9">
        <f t="shared" ca="1" si="180"/>
        <v>1.3738690351465009E-2</v>
      </c>
      <c r="T574" s="9">
        <f t="shared" ca="1" si="181"/>
        <v>3.1541312911121118E-2</v>
      </c>
      <c r="U574" s="9">
        <f t="shared" ca="1" si="182"/>
        <v>-2.4867588113459561E-2</v>
      </c>
      <c r="AB574" s="33" t="e">
        <f t="shared" ca="1" si="188"/>
        <v>#N/A</v>
      </c>
      <c r="AC574" s="34" t="e">
        <f t="shared" ca="1" si="189"/>
        <v>#N/A</v>
      </c>
      <c r="AD574" s="34" t="e">
        <f t="shared" ca="1" si="190"/>
        <v>#N/A</v>
      </c>
      <c r="AE574" s="33" t="e">
        <f t="shared" ca="1" si="191"/>
        <v>#N/A</v>
      </c>
      <c r="AF574" s="34" t="e">
        <f t="shared" ca="1" si="183"/>
        <v>#N/A</v>
      </c>
      <c r="AG574" s="34" t="e">
        <f t="shared" ca="1" si="184"/>
        <v>#N/A</v>
      </c>
      <c r="AH574" s="34" t="e">
        <f t="shared" ca="1" si="185"/>
        <v>#N/A</v>
      </c>
      <c r="AI574" s="33" t="e">
        <f t="shared" ca="1" si="192"/>
        <v>#N/A</v>
      </c>
      <c r="AJ574" s="34" t="e">
        <f t="shared" ca="1" si="193"/>
        <v>#N/A</v>
      </c>
      <c r="AK574" s="34" t="e">
        <f t="shared" ca="1" si="186"/>
        <v>#N/A</v>
      </c>
      <c r="AL574" s="34" t="e">
        <f t="shared" ca="1" si="187"/>
        <v>#N/A</v>
      </c>
      <c r="AM574" s="33" t="e">
        <f t="shared" ca="1" si="194"/>
        <v>#N/A</v>
      </c>
      <c r="AN574" s="34" t="e">
        <f t="shared" ca="1" si="195"/>
        <v>#N/A</v>
      </c>
    </row>
    <row r="575" spans="1:40" x14ac:dyDescent="0.3">
      <c r="A575" s="2">
        <v>44298</v>
      </c>
      <c r="B575" s="9">
        <v>81.849997999999999</v>
      </c>
      <c r="C575" s="9">
        <v>127.760002</v>
      </c>
      <c r="D575" s="9">
        <v>70.300003000000004</v>
      </c>
      <c r="E575" s="10"/>
      <c r="F575" s="13">
        <v>572</v>
      </c>
      <c r="G575" s="2">
        <v>44298</v>
      </c>
      <c r="H575" s="14">
        <f t="shared" si="176"/>
        <v>6.1274703022811241E-3</v>
      </c>
      <c r="I575" s="14">
        <f t="shared" si="177"/>
        <v>1.7234708333058464E-3</v>
      </c>
      <c r="J575" s="14">
        <f t="shared" si="178"/>
        <v>-1.1174782183814376E-2</v>
      </c>
      <c r="K575" s="22">
        <v>572</v>
      </c>
      <c r="L575" s="12"/>
      <c r="Q575" s="15">
        <f t="shared" si="179"/>
        <v>572</v>
      </c>
      <c r="R575" s="2">
        <f t="shared" si="175"/>
        <v>44298</v>
      </c>
      <c r="S575" s="9">
        <f t="shared" ca="1" si="180"/>
        <v>6.1274703022811241E-3</v>
      </c>
      <c r="T575" s="9">
        <f t="shared" ca="1" si="181"/>
        <v>1.7234708333058464E-3</v>
      </c>
      <c r="U575" s="9">
        <f t="shared" ca="1" si="182"/>
        <v>-1.1174782183814376E-2</v>
      </c>
      <c r="AB575" s="33" t="e">
        <f t="shared" ca="1" si="188"/>
        <v>#N/A</v>
      </c>
      <c r="AC575" s="34" t="e">
        <f t="shared" ca="1" si="189"/>
        <v>#N/A</v>
      </c>
      <c r="AD575" s="34" t="e">
        <f t="shared" ca="1" si="190"/>
        <v>#N/A</v>
      </c>
      <c r="AE575" s="33" t="e">
        <f t="shared" ca="1" si="191"/>
        <v>#N/A</v>
      </c>
      <c r="AF575" s="34" t="e">
        <f t="shared" ca="1" si="183"/>
        <v>#N/A</v>
      </c>
      <c r="AG575" s="34" t="e">
        <f t="shared" ca="1" si="184"/>
        <v>#N/A</v>
      </c>
      <c r="AH575" s="34" t="e">
        <f t="shared" ca="1" si="185"/>
        <v>#N/A</v>
      </c>
      <c r="AI575" s="33" t="e">
        <f t="shared" ca="1" si="192"/>
        <v>#N/A</v>
      </c>
      <c r="AJ575" s="34" t="e">
        <f t="shared" ca="1" si="193"/>
        <v>#N/A</v>
      </c>
      <c r="AK575" s="34" t="e">
        <f t="shared" ca="1" si="186"/>
        <v>#N/A</v>
      </c>
      <c r="AL575" s="34" t="e">
        <f t="shared" ca="1" si="187"/>
        <v>#N/A</v>
      </c>
      <c r="AM575" s="33" t="e">
        <f t="shared" ca="1" si="194"/>
        <v>#N/A</v>
      </c>
      <c r="AN575" s="34" t="e">
        <f t="shared" ca="1" si="195"/>
        <v>#N/A</v>
      </c>
    </row>
    <row r="576" spans="1:40" x14ac:dyDescent="0.3">
      <c r="A576" s="2">
        <v>44299</v>
      </c>
      <c r="B576" s="9">
        <v>82.57</v>
      </c>
      <c r="C576" s="9">
        <v>124.519997</v>
      </c>
      <c r="D576" s="9">
        <v>70.279999000000004</v>
      </c>
      <c r="E576" s="10"/>
      <c r="F576" s="13">
        <v>573</v>
      </c>
      <c r="G576" s="2">
        <v>44299</v>
      </c>
      <c r="H576" s="14">
        <f t="shared" si="176"/>
        <v>8.7581390471354117E-3</v>
      </c>
      <c r="I576" s="14">
        <f t="shared" si="177"/>
        <v>-2.5687198080216939E-2</v>
      </c>
      <c r="J576" s="14">
        <f t="shared" si="178"/>
        <v>-2.8459240077422112E-4</v>
      </c>
      <c r="K576" s="22">
        <v>573</v>
      </c>
      <c r="L576" s="12"/>
      <c r="Q576" s="15">
        <f t="shared" si="179"/>
        <v>573</v>
      </c>
      <c r="R576" s="2">
        <f t="shared" si="175"/>
        <v>44299</v>
      </c>
      <c r="S576" s="9">
        <f t="shared" ca="1" si="180"/>
        <v>8.7581390471354117E-3</v>
      </c>
      <c r="T576" s="9">
        <f t="shared" ca="1" si="181"/>
        <v>-2.5687198080216939E-2</v>
      </c>
      <c r="U576" s="9">
        <f t="shared" ca="1" si="182"/>
        <v>-2.8459240077422112E-4</v>
      </c>
      <c r="AB576" s="33" t="e">
        <f t="shared" ca="1" si="188"/>
        <v>#N/A</v>
      </c>
      <c r="AC576" s="34" t="e">
        <f t="shared" ca="1" si="189"/>
        <v>#N/A</v>
      </c>
      <c r="AD576" s="34" t="e">
        <f t="shared" ca="1" si="190"/>
        <v>#N/A</v>
      </c>
      <c r="AE576" s="33" t="e">
        <f t="shared" ca="1" si="191"/>
        <v>#N/A</v>
      </c>
      <c r="AF576" s="34" t="e">
        <f t="shared" ca="1" si="183"/>
        <v>#N/A</v>
      </c>
      <c r="AG576" s="34" t="e">
        <f t="shared" ca="1" si="184"/>
        <v>#N/A</v>
      </c>
      <c r="AH576" s="34" t="e">
        <f t="shared" ca="1" si="185"/>
        <v>#N/A</v>
      </c>
      <c r="AI576" s="33" t="e">
        <f t="shared" ca="1" si="192"/>
        <v>#N/A</v>
      </c>
      <c r="AJ576" s="34" t="e">
        <f t="shared" ca="1" si="193"/>
        <v>#N/A</v>
      </c>
      <c r="AK576" s="34" t="e">
        <f t="shared" ca="1" si="186"/>
        <v>#N/A</v>
      </c>
      <c r="AL576" s="34" t="e">
        <f t="shared" ca="1" si="187"/>
        <v>#N/A</v>
      </c>
      <c r="AM576" s="33" t="e">
        <f t="shared" ca="1" si="194"/>
        <v>#N/A</v>
      </c>
      <c r="AN576" s="34" t="e">
        <f t="shared" ca="1" si="195"/>
        <v>#N/A</v>
      </c>
    </row>
    <row r="577" spans="1:40" x14ac:dyDescent="0.3">
      <c r="A577" s="2">
        <v>44300</v>
      </c>
      <c r="B577" s="9">
        <v>82.889999000000003</v>
      </c>
      <c r="C577" s="9">
        <v>125.790001</v>
      </c>
      <c r="D577" s="9">
        <v>72.279999000000004</v>
      </c>
      <c r="E577" s="10"/>
      <c r="F577" s="13">
        <v>574</v>
      </c>
      <c r="G577" s="2">
        <v>44300</v>
      </c>
      <c r="H577" s="14">
        <f t="shared" si="176"/>
        <v>3.867997109916269E-3</v>
      </c>
      <c r="I577" s="14">
        <f t="shared" si="177"/>
        <v>1.0147536319646691E-2</v>
      </c>
      <c r="J577" s="14">
        <f t="shared" si="178"/>
        <v>2.8060202798844514E-2</v>
      </c>
      <c r="K577" s="22">
        <v>574</v>
      </c>
      <c r="L577" s="12"/>
      <c r="Q577" s="15">
        <f t="shared" si="179"/>
        <v>574</v>
      </c>
      <c r="R577" s="2">
        <f t="shared" si="175"/>
        <v>44300</v>
      </c>
      <c r="S577" s="9">
        <f t="shared" ca="1" si="180"/>
        <v>3.867997109916269E-3</v>
      </c>
      <c r="T577" s="9">
        <f t="shared" ca="1" si="181"/>
        <v>1.0147536319646691E-2</v>
      </c>
      <c r="U577" s="9">
        <f t="shared" ca="1" si="182"/>
        <v>2.8060202798844514E-2</v>
      </c>
      <c r="AB577" s="33" t="e">
        <f t="shared" ca="1" si="188"/>
        <v>#N/A</v>
      </c>
      <c r="AC577" s="34" t="e">
        <f t="shared" ca="1" si="189"/>
        <v>#N/A</v>
      </c>
      <c r="AD577" s="34" t="e">
        <f t="shared" ca="1" si="190"/>
        <v>#N/A</v>
      </c>
      <c r="AE577" s="33" t="e">
        <f t="shared" ca="1" si="191"/>
        <v>#N/A</v>
      </c>
      <c r="AF577" s="34" t="e">
        <f t="shared" ca="1" si="183"/>
        <v>#N/A</v>
      </c>
      <c r="AG577" s="34" t="e">
        <f t="shared" ca="1" si="184"/>
        <v>#N/A</v>
      </c>
      <c r="AH577" s="34" t="e">
        <f t="shared" ca="1" si="185"/>
        <v>#N/A</v>
      </c>
      <c r="AI577" s="33" t="e">
        <f t="shared" ca="1" si="192"/>
        <v>#N/A</v>
      </c>
      <c r="AJ577" s="34" t="e">
        <f t="shared" ca="1" si="193"/>
        <v>#N/A</v>
      </c>
      <c r="AK577" s="34" t="e">
        <f t="shared" ca="1" si="186"/>
        <v>#N/A</v>
      </c>
      <c r="AL577" s="34" t="e">
        <f t="shared" ca="1" si="187"/>
        <v>#N/A</v>
      </c>
      <c r="AM577" s="33" t="e">
        <f t="shared" ca="1" si="194"/>
        <v>#N/A</v>
      </c>
      <c r="AN577" s="34" t="e">
        <f t="shared" ca="1" si="195"/>
        <v>#N/A</v>
      </c>
    </row>
    <row r="578" spans="1:40" x14ac:dyDescent="0.3">
      <c r="A578" s="2">
        <v>44301</v>
      </c>
      <c r="B578" s="9">
        <v>82.230002999999996</v>
      </c>
      <c r="C578" s="9">
        <v>125.980003</v>
      </c>
      <c r="D578" s="9">
        <v>71.389999000000003</v>
      </c>
      <c r="E578" s="10"/>
      <c r="F578" s="13">
        <v>575</v>
      </c>
      <c r="G578" s="2">
        <v>44301</v>
      </c>
      <c r="H578" s="14">
        <f t="shared" si="176"/>
        <v>-7.9941800734146182E-3</v>
      </c>
      <c r="I578" s="14">
        <f t="shared" si="177"/>
        <v>1.5093302065479124E-3</v>
      </c>
      <c r="J578" s="14">
        <f t="shared" si="178"/>
        <v>-1.2389662382136906E-2</v>
      </c>
      <c r="K578" s="22">
        <v>575</v>
      </c>
      <c r="L578" s="12"/>
      <c r="Q578" s="15">
        <f t="shared" si="179"/>
        <v>575</v>
      </c>
      <c r="R578" s="2">
        <f t="shared" si="175"/>
        <v>44301</v>
      </c>
      <c r="S578" s="9">
        <f t="shared" ca="1" si="180"/>
        <v>-7.9941800734146182E-3</v>
      </c>
      <c r="T578" s="9">
        <f t="shared" ca="1" si="181"/>
        <v>1.5093302065479124E-3</v>
      </c>
      <c r="U578" s="9">
        <f t="shared" ca="1" si="182"/>
        <v>-1.2389662382136906E-2</v>
      </c>
      <c r="AB578" s="33" t="e">
        <f t="shared" ca="1" si="188"/>
        <v>#N/A</v>
      </c>
      <c r="AC578" s="34" t="e">
        <f t="shared" ca="1" si="189"/>
        <v>#N/A</v>
      </c>
      <c r="AD578" s="34" t="e">
        <f t="shared" ca="1" si="190"/>
        <v>#N/A</v>
      </c>
      <c r="AE578" s="33" t="e">
        <f t="shared" ca="1" si="191"/>
        <v>#N/A</v>
      </c>
      <c r="AF578" s="34" t="e">
        <f t="shared" ca="1" si="183"/>
        <v>#N/A</v>
      </c>
      <c r="AG578" s="34" t="e">
        <f t="shared" ca="1" si="184"/>
        <v>#N/A</v>
      </c>
      <c r="AH578" s="34" t="e">
        <f t="shared" ca="1" si="185"/>
        <v>#N/A</v>
      </c>
      <c r="AI578" s="33" t="e">
        <f t="shared" ca="1" si="192"/>
        <v>#N/A</v>
      </c>
      <c r="AJ578" s="34" t="e">
        <f t="shared" ca="1" si="193"/>
        <v>#N/A</v>
      </c>
      <c r="AK578" s="34" t="e">
        <f t="shared" ca="1" si="186"/>
        <v>#N/A</v>
      </c>
      <c r="AL578" s="34" t="e">
        <f t="shared" ca="1" si="187"/>
        <v>#N/A</v>
      </c>
      <c r="AM578" s="33" t="e">
        <f t="shared" ca="1" si="194"/>
        <v>#N/A</v>
      </c>
      <c r="AN578" s="34" t="e">
        <f t="shared" ca="1" si="195"/>
        <v>#N/A</v>
      </c>
    </row>
    <row r="579" spans="1:40" x14ac:dyDescent="0.3">
      <c r="A579" s="2">
        <v>44302</v>
      </c>
      <c r="B579" s="9">
        <v>83.300003000000004</v>
      </c>
      <c r="C579" s="9">
        <v>124.55999799999999</v>
      </c>
      <c r="D579" s="9">
        <v>72.5</v>
      </c>
      <c r="E579" s="10"/>
      <c r="F579" s="13">
        <v>576</v>
      </c>
      <c r="G579" s="2">
        <v>44302</v>
      </c>
      <c r="H579" s="14">
        <f t="shared" si="176"/>
        <v>1.2928349721363436E-2</v>
      </c>
      <c r="I579" s="14">
        <f t="shared" si="177"/>
        <v>-1.1335676537862632E-2</v>
      </c>
      <c r="J579" s="14">
        <f t="shared" si="178"/>
        <v>1.5428772353824144E-2</v>
      </c>
      <c r="K579" s="22">
        <v>576</v>
      </c>
      <c r="L579" s="12"/>
      <c r="Q579" s="15">
        <f t="shared" si="179"/>
        <v>576</v>
      </c>
      <c r="R579" s="2">
        <f t="shared" si="175"/>
        <v>44302</v>
      </c>
      <c r="S579" s="9">
        <f t="shared" ca="1" si="180"/>
        <v>1.2928349721363436E-2</v>
      </c>
      <c r="T579" s="9">
        <f t="shared" ca="1" si="181"/>
        <v>-1.1335676537862632E-2</v>
      </c>
      <c r="U579" s="9">
        <f t="shared" ca="1" si="182"/>
        <v>1.5428772353824144E-2</v>
      </c>
      <c r="AB579" s="33" t="e">
        <f t="shared" ca="1" si="188"/>
        <v>#N/A</v>
      </c>
      <c r="AC579" s="34" t="e">
        <f t="shared" ca="1" si="189"/>
        <v>#N/A</v>
      </c>
      <c r="AD579" s="34" t="e">
        <f t="shared" ca="1" si="190"/>
        <v>#N/A</v>
      </c>
      <c r="AE579" s="33" t="e">
        <f t="shared" ca="1" si="191"/>
        <v>#N/A</v>
      </c>
      <c r="AF579" s="34" t="e">
        <f t="shared" ca="1" si="183"/>
        <v>#N/A</v>
      </c>
      <c r="AG579" s="34" t="e">
        <f t="shared" ca="1" si="184"/>
        <v>#N/A</v>
      </c>
      <c r="AH579" s="34" t="e">
        <f t="shared" ca="1" si="185"/>
        <v>#N/A</v>
      </c>
      <c r="AI579" s="33" t="e">
        <f t="shared" ca="1" si="192"/>
        <v>#N/A</v>
      </c>
      <c r="AJ579" s="34" t="e">
        <f t="shared" ca="1" si="193"/>
        <v>#N/A</v>
      </c>
      <c r="AK579" s="34" t="e">
        <f t="shared" ca="1" si="186"/>
        <v>#N/A</v>
      </c>
      <c r="AL579" s="34" t="e">
        <f t="shared" ca="1" si="187"/>
        <v>#N/A</v>
      </c>
      <c r="AM579" s="33" t="e">
        <f t="shared" ca="1" si="194"/>
        <v>#N/A</v>
      </c>
      <c r="AN579" s="34" t="e">
        <f t="shared" ca="1" si="195"/>
        <v>#N/A</v>
      </c>
    </row>
    <row r="580" spans="1:40" x14ac:dyDescent="0.3">
      <c r="A580" s="2">
        <v>44305</v>
      </c>
      <c r="B580" s="9">
        <v>81.480002999999996</v>
      </c>
      <c r="C580" s="9">
        <v>122.18</v>
      </c>
      <c r="D580" s="9">
        <v>70.849997999999999</v>
      </c>
      <c r="E580" s="10"/>
      <c r="F580" s="13">
        <v>577</v>
      </c>
      <c r="G580" s="2">
        <v>44305</v>
      </c>
      <c r="H580" s="14">
        <f t="shared" si="176"/>
        <v>-2.2090957009746618E-2</v>
      </c>
      <c r="I580" s="14">
        <f t="shared" si="177"/>
        <v>-1.9292144247602824E-2</v>
      </c>
      <c r="J580" s="14">
        <f t="shared" si="178"/>
        <v>-2.3021623952592107E-2</v>
      </c>
      <c r="K580" s="22">
        <v>577</v>
      </c>
      <c r="L580" s="12"/>
      <c r="Q580" s="15">
        <f t="shared" si="179"/>
        <v>577</v>
      </c>
      <c r="R580" s="2">
        <f t="shared" ref="R580:R643" si="196">IF(Q580="","",VLOOKUP(Q580,F580:J1837,2))</f>
        <v>44305</v>
      </c>
      <c r="S580" s="9">
        <f t="shared" ca="1" si="180"/>
        <v>-2.2090957009746618E-2</v>
      </c>
      <c r="T580" s="9">
        <f t="shared" ca="1" si="181"/>
        <v>-1.9292144247602824E-2</v>
      </c>
      <c r="U580" s="9">
        <f t="shared" ca="1" si="182"/>
        <v>-2.3021623952592107E-2</v>
      </c>
      <c r="AB580" s="33" t="e">
        <f t="shared" ca="1" si="188"/>
        <v>#N/A</v>
      </c>
      <c r="AC580" s="34" t="e">
        <f t="shared" ca="1" si="189"/>
        <v>#N/A</v>
      </c>
      <c r="AD580" s="34" t="e">
        <f t="shared" ca="1" si="190"/>
        <v>#N/A</v>
      </c>
      <c r="AE580" s="33" t="e">
        <f t="shared" ca="1" si="191"/>
        <v>#N/A</v>
      </c>
      <c r="AF580" s="34" t="e">
        <f t="shared" ca="1" si="183"/>
        <v>#N/A</v>
      </c>
      <c r="AG580" s="34" t="e">
        <f t="shared" ca="1" si="184"/>
        <v>#N/A</v>
      </c>
      <c r="AH580" s="34" t="e">
        <f t="shared" ca="1" si="185"/>
        <v>#N/A</v>
      </c>
      <c r="AI580" s="33" t="e">
        <f t="shared" ca="1" si="192"/>
        <v>#N/A</v>
      </c>
      <c r="AJ580" s="34" t="e">
        <f t="shared" ca="1" si="193"/>
        <v>#N/A</v>
      </c>
      <c r="AK580" s="34" t="e">
        <f t="shared" ca="1" si="186"/>
        <v>#N/A</v>
      </c>
      <c r="AL580" s="34" t="e">
        <f t="shared" ca="1" si="187"/>
        <v>#N/A</v>
      </c>
      <c r="AM580" s="33" t="e">
        <f t="shared" ca="1" si="194"/>
        <v>#N/A</v>
      </c>
      <c r="AN580" s="34" t="e">
        <f t="shared" ca="1" si="195"/>
        <v>#N/A</v>
      </c>
    </row>
    <row r="581" spans="1:40" x14ac:dyDescent="0.3">
      <c r="A581" s="2">
        <v>44306</v>
      </c>
      <c r="B581" s="9">
        <v>81.25</v>
      </c>
      <c r="C581" s="9">
        <v>119.44000200000001</v>
      </c>
      <c r="D581" s="9">
        <v>68.680000000000007</v>
      </c>
      <c r="E581" s="10"/>
      <c r="F581" s="13">
        <v>578</v>
      </c>
      <c r="G581" s="2">
        <v>44306</v>
      </c>
      <c r="H581" s="14">
        <f t="shared" ref="H581:H644" si="197">LN(B581/B580)</f>
        <v>-2.8268069676087712E-3</v>
      </c>
      <c r="I581" s="14">
        <f t="shared" ref="I581:I644" si="198">LN(C581/C580)</f>
        <v>-2.268119724587702E-2</v>
      </c>
      <c r="J581" s="14">
        <f t="shared" ref="J581:J644" si="199">LN(D581/D580)</f>
        <v>-3.1106901878762114E-2</v>
      </c>
      <c r="K581" s="22">
        <v>578</v>
      </c>
      <c r="L581" s="12"/>
      <c r="Q581" s="15">
        <f t="shared" ref="Q581:Q644" si="200">IF(Q580="","",IF(Q580+1&lt;=$M$6,Q580+1,""))</f>
        <v>578</v>
      </c>
      <c r="R581" s="2">
        <f t="shared" si="196"/>
        <v>44306</v>
      </c>
      <c r="S581" s="9">
        <f t="shared" ref="S581:S644" ca="1" si="201">IF(Q581="","",OFFSET(H$3,$Q581,0))</f>
        <v>-2.8268069676087712E-3</v>
      </c>
      <c r="T581" s="9">
        <f t="shared" ref="T581:T644" ca="1" si="202">IF(R581="","",OFFSET(I$3,$Q581,0))</f>
        <v>-2.268119724587702E-2</v>
      </c>
      <c r="U581" s="9">
        <f t="shared" ref="U581:U644" ca="1" si="203">IF(S581="","",OFFSET(J$3,$Q581,0))</f>
        <v>-3.1106901878762114E-2</v>
      </c>
      <c r="AB581" s="33" t="e">
        <f t="shared" ca="1" si="188"/>
        <v>#N/A</v>
      </c>
      <c r="AC581" s="34" t="e">
        <f t="shared" ca="1" si="189"/>
        <v>#N/A</v>
      </c>
      <c r="AD581" s="34" t="e">
        <f t="shared" ca="1" si="190"/>
        <v>#N/A</v>
      </c>
      <c r="AE581" s="33" t="e">
        <f t="shared" ca="1" si="191"/>
        <v>#N/A</v>
      </c>
      <c r="AF581" s="34" t="e">
        <f t="shared" ref="AF581:AF644" ca="1" si="204">IF(AB581&lt;=$X$6,(AE581/$X$5)/$X$7,"")</f>
        <v>#N/A</v>
      </c>
      <c r="AG581" s="34" t="e">
        <f t="shared" ref="AG581:AG644" ca="1" si="205">IF(AB581&lt;=$Y$6,AG580+$Y$7,"")</f>
        <v>#N/A</v>
      </c>
      <c r="AH581" s="34" t="e">
        <f t="shared" ref="AH581:AH644" ca="1" si="206">IF(AB581&lt;=$Y$6,AG581-$Y$7/2,"")</f>
        <v>#N/A</v>
      </c>
      <c r="AI581" s="33" t="e">
        <f t="shared" ca="1" si="192"/>
        <v>#N/A</v>
      </c>
      <c r="AJ581" s="34" t="e">
        <f t="shared" ca="1" si="193"/>
        <v>#N/A</v>
      </c>
      <c r="AK581" s="34" t="e">
        <f t="shared" ref="AK581:AK644" ca="1" si="207">IF(AB581&lt;=$Z$6,AK580+$Z$7,"")</f>
        <v>#N/A</v>
      </c>
      <c r="AL581" s="34" t="e">
        <f t="shared" ref="AL581:AL644" ca="1" si="208">IF(AB581&lt;=$Z$6,AK581-$Z$7/2,"")</f>
        <v>#N/A</v>
      </c>
      <c r="AM581" s="33" t="e">
        <f t="shared" ca="1" si="194"/>
        <v>#N/A</v>
      </c>
      <c r="AN581" s="34" t="e">
        <f t="shared" ca="1" si="195"/>
        <v>#N/A</v>
      </c>
    </row>
    <row r="582" spans="1:40" x14ac:dyDescent="0.3">
      <c r="A582" s="2">
        <v>44307</v>
      </c>
      <c r="B582" s="9">
        <v>82.5</v>
      </c>
      <c r="C582" s="9">
        <v>122.629997</v>
      </c>
      <c r="D582" s="9">
        <v>70.300003000000004</v>
      </c>
      <c r="E582" s="10"/>
      <c r="F582" s="13">
        <v>579</v>
      </c>
      <c r="G582" s="2">
        <v>44307</v>
      </c>
      <c r="H582" s="14">
        <f t="shared" si="197"/>
        <v>1.5267472130788381E-2</v>
      </c>
      <c r="I582" s="14">
        <f t="shared" si="198"/>
        <v>2.6357497334356217E-2</v>
      </c>
      <c r="J582" s="14">
        <f t="shared" si="199"/>
        <v>2.3313805461596723E-2</v>
      </c>
      <c r="K582" s="22">
        <v>579</v>
      </c>
      <c r="L582" s="12"/>
      <c r="Q582" s="15">
        <f t="shared" si="200"/>
        <v>579</v>
      </c>
      <c r="R582" s="2">
        <f t="shared" si="196"/>
        <v>44307</v>
      </c>
      <c r="S582" s="9">
        <f t="shared" ca="1" si="201"/>
        <v>1.5267472130788381E-2</v>
      </c>
      <c r="T582" s="9">
        <f t="shared" ca="1" si="202"/>
        <v>2.6357497334356217E-2</v>
      </c>
      <c r="U582" s="9">
        <f t="shared" ca="1" si="203"/>
        <v>2.3313805461596723E-2</v>
      </c>
      <c r="AB582" s="33" t="e">
        <f t="shared" ref="AB582:AB645" ca="1" si="209">IF(AB581&lt;$X$6,AB581+1,NA())</f>
        <v>#N/A</v>
      </c>
      <c r="AC582" s="34" t="e">
        <f t="shared" ref="AC582:AC645" ca="1" si="210">IF(AB582&lt;=$X$6,AC581+$X$7,"")</f>
        <v>#N/A</v>
      </c>
      <c r="AD582" s="34" t="e">
        <f t="shared" ref="AD582:AD645" ca="1" si="211">IF(AB582&lt;=$X$6,AC582-$X$7/2,"")</f>
        <v>#N/A</v>
      </c>
      <c r="AE582" s="33" t="e">
        <f t="shared" ref="AE582:AE645" ca="1" si="212">IF(AB582&lt;=$X$6,COUNTIFS($S$3:$S$1260,"&gt;"&amp;AC581,$S$3:$S$1260,"&lt;="&amp;AC582),"")</f>
        <v>#N/A</v>
      </c>
      <c r="AF582" s="34" t="e">
        <f t="shared" ca="1" si="204"/>
        <v>#N/A</v>
      </c>
      <c r="AG582" s="34" t="e">
        <f t="shared" ca="1" si="205"/>
        <v>#N/A</v>
      </c>
      <c r="AH582" s="34" t="e">
        <f t="shared" ca="1" si="206"/>
        <v>#N/A</v>
      </c>
      <c r="AI582" s="33" t="e">
        <f t="shared" ref="AI582:AI645" ca="1" si="213">IF(AB582&lt;=$Y$6,COUNTIFS($T$3:$T$1260,"&gt;"&amp;AG581,$T$3:$T$1260,"&lt;="&amp;AG582),"")</f>
        <v>#N/A</v>
      </c>
      <c r="AJ582" s="34" t="e">
        <f t="shared" ref="AJ582:AJ645" ca="1" si="214">IF(AB582&lt;=$Y$6,(AI582/$Y$5)/$Y$7,"")</f>
        <v>#N/A</v>
      </c>
      <c r="AK582" s="34" t="e">
        <f t="shared" ca="1" si="207"/>
        <v>#N/A</v>
      </c>
      <c r="AL582" s="34" t="e">
        <f t="shared" ca="1" si="208"/>
        <v>#N/A</v>
      </c>
      <c r="AM582" s="33" t="e">
        <f t="shared" ref="AM582:AM645" ca="1" si="215">IF(AB582&lt;=$Z$6,COUNTIFS($U$3:$U$1260,"&gt;"&amp;AK581,$U$3:$U$1260,"&lt;="&amp;AK582),"")</f>
        <v>#N/A</v>
      </c>
      <c r="AN582" s="34" t="e">
        <f t="shared" ref="AN582:AN645" ca="1" si="216">IF(AB582&lt;=$Z$6,(AM582/$Z$5)/$Z$7,"")</f>
        <v>#N/A</v>
      </c>
    </row>
    <row r="583" spans="1:40" x14ac:dyDescent="0.3">
      <c r="A583" s="2">
        <v>44308</v>
      </c>
      <c r="B583" s="9">
        <v>85.199996999999996</v>
      </c>
      <c r="C583" s="9">
        <v>123.43</v>
      </c>
      <c r="D583" s="9">
        <v>68.480002999999996</v>
      </c>
      <c r="E583" s="10"/>
      <c r="F583" s="13">
        <v>580</v>
      </c>
      <c r="G583" s="2">
        <v>44308</v>
      </c>
      <c r="H583" s="14">
        <f t="shared" si="197"/>
        <v>3.2203105283366548E-2</v>
      </c>
      <c r="I583" s="14">
        <f t="shared" si="198"/>
        <v>6.502526445737373E-3</v>
      </c>
      <c r="J583" s="14">
        <f t="shared" si="199"/>
        <v>-2.6230065848974669E-2</v>
      </c>
      <c r="K583" s="22">
        <v>580</v>
      </c>
      <c r="L583" s="12"/>
      <c r="Q583" s="15">
        <f t="shared" si="200"/>
        <v>580</v>
      </c>
      <c r="R583" s="2">
        <f t="shared" si="196"/>
        <v>44308</v>
      </c>
      <c r="S583" s="9">
        <f t="shared" ca="1" si="201"/>
        <v>3.2203105283366548E-2</v>
      </c>
      <c r="T583" s="9">
        <f t="shared" ca="1" si="202"/>
        <v>6.502526445737373E-3</v>
      </c>
      <c r="U583" s="9">
        <f t="shared" ca="1" si="203"/>
        <v>-2.6230065848974669E-2</v>
      </c>
      <c r="AB583" s="33" t="e">
        <f t="shared" ca="1" si="209"/>
        <v>#N/A</v>
      </c>
      <c r="AC583" s="34" t="e">
        <f t="shared" ca="1" si="210"/>
        <v>#N/A</v>
      </c>
      <c r="AD583" s="34" t="e">
        <f t="shared" ca="1" si="211"/>
        <v>#N/A</v>
      </c>
      <c r="AE583" s="33" t="e">
        <f t="shared" ca="1" si="212"/>
        <v>#N/A</v>
      </c>
      <c r="AF583" s="34" t="e">
        <f t="shared" ca="1" si="204"/>
        <v>#N/A</v>
      </c>
      <c r="AG583" s="34" t="e">
        <f t="shared" ca="1" si="205"/>
        <v>#N/A</v>
      </c>
      <c r="AH583" s="34" t="e">
        <f t="shared" ca="1" si="206"/>
        <v>#N/A</v>
      </c>
      <c r="AI583" s="33" t="e">
        <f t="shared" ca="1" si="213"/>
        <v>#N/A</v>
      </c>
      <c r="AJ583" s="34" t="e">
        <f t="shared" ca="1" si="214"/>
        <v>#N/A</v>
      </c>
      <c r="AK583" s="34" t="e">
        <f t="shared" ca="1" si="207"/>
        <v>#N/A</v>
      </c>
      <c r="AL583" s="34" t="e">
        <f t="shared" ca="1" si="208"/>
        <v>#N/A</v>
      </c>
      <c r="AM583" s="33" t="e">
        <f t="shared" ca="1" si="215"/>
        <v>#N/A</v>
      </c>
      <c r="AN583" s="34" t="e">
        <f t="shared" ca="1" si="216"/>
        <v>#N/A</v>
      </c>
    </row>
    <row r="584" spans="1:40" x14ac:dyDescent="0.3">
      <c r="A584" s="2">
        <v>44309</v>
      </c>
      <c r="B584" s="9">
        <v>87</v>
      </c>
      <c r="C584" s="9">
        <v>125.480003</v>
      </c>
      <c r="D584" s="9">
        <v>70.180000000000007</v>
      </c>
      <c r="E584" s="10"/>
      <c r="F584" s="13">
        <v>581</v>
      </c>
      <c r="G584" s="2">
        <v>44309</v>
      </c>
      <c r="H584" s="14">
        <f t="shared" si="197"/>
        <v>2.0906720030582037E-2</v>
      </c>
      <c r="I584" s="14">
        <f t="shared" si="198"/>
        <v>1.6472213474832312E-2</v>
      </c>
      <c r="J584" s="14">
        <f t="shared" si="199"/>
        <v>2.4521594513172224E-2</v>
      </c>
      <c r="K584" s="22">
        <v>581</v>
      </c>
      <c r="L584" s="12"/>
      <c r="Q584" s="15">
        <f t="shared" si="200"/>
        <v>581</v>
      </c>
      <c r="R584" s="2">
        <f t="shared" si="196"/>
        <v>44309</v>
      </c>
      <c r="S584" s="9">
        <f t="shared" ca="1" si="201"/>
        <v>2.0906720030582037E-2</v>
      </c>
      <c r="T584" s="9">
        <f t="shared" ca="1" si="202"/>
        <v>1.6472213474832312E-2</v>
      </c>
      <c r="U584" s="9">
        <f t="shared" ca="1" si="203"/>
        <v>2.4521594513172224E-2</v>
      </c>
      <c r="AB584" s="33" t="e">
        <f t="shared" ca="1" si="209"/>
        <v>#N/A</v>
      </c>
      <c r="AC584" s="34" t="e">
        <f t="shared" ca="1" si="210"/>
        <v>#N/A</v>
      </c>
      <c r="AD584" s="34" t="e">
        <f t="shared" ca="1" si="211"/>
        <v>#N/A</v>
      </c>
      <c r="AE584" s="33" t="e">
        <f t="shared" ca="1" si="212"/>
        <v>#N/A</v>
      </c>
      <c r="AF584" s="34" t="e">
        <f t="shared" ca="1" si="204"/>
        <v>#N/A</v>
      </c>
      <c r="AG584" s="34" t="e">
        <f t="shared" ca="1" si="205"/>
        <v>#N/A</v>
      </c>
      <c r="AH584" s="34" t="e">
        <f t="shared" ca="1" si="206"/>
        <v>#N/A</v>
      </c>
      <c r="AI584" s="33" t="e">
        <f t="shared" ca="1" si="213"/>
        <v>#N/A</v>
      </c>
      <c r="AJ584" s="34" t="e">
        <f t="shared" ca="1" si="214"/>
        <v>#N/A</v>
      </c>
      <c r="AK584" s="34" t="e">
        <f t="shared" ca="1" si="207"/>
        <v>#N/A</v>
      </c>
      <c r="AL584" s="34" t="e">
        <f t="shared" ca="1" si="208"/>
        <v>#N/A</v>
      </c>
      <c r="AM584" s="33" t="e">
        <f t="shared" ca="1" si="215"/>
        <v>#N/A</v>
      </c>
      <c r="AN584" s="34" t="e">
        <f t="shared" ca="1" si="216"/>
        <v>#N/A</v>
      </c>
    </row>
    <row r="585" spans="1:40" x14ac:dyDescent="0.3">
      <c r="A585" s="2">
        <v>44312</v>
      </c>
      <c r="B585" s="9">
        <v>87.699996999999996</v>
      </c>
      <c r="C585" s="9">
        <v>125.83000199999999</v>
      </c>
      <c r="D585" s="9">
        <v>70.519997000000004</v>
      </c>
      <c r="E585" s="10"/>
      <c r="F585" s="13">
        <v>582</v>
      </c>
      <c r="G585" s="2">
        <v>44312</v>
      </c>
      <c r="H585" s="14">
        <f t="shared" si="197"/>
        <v>8.013746516027348E-3</v>
      </c>
      <c r="I585" s="14">
        <f t="shared" si="198"/>
        <v>2.7853982676675415E-3</v>
      </c>
      <c r="J585" s="14">
        <f t="shared" si="199"/>
        <v>4.8329448334763969E-3</v>
      </c>
      <c r="K585" s="22">
        <v>582</v>
      </c>
      <c r="L585" s="12"/>
      <c r="Q585" s="15">
        <f t="shared" si="200"/>
        <v>582</v>
      </c>
      <c r="R585" s="2">
        <f t="shared" si="196"/>
        <v>44312</v>
      </c>
      <c r="S585" s="9">
        <f t="shared" ca="1" si="201"/>
        <v>8.013746516027348E-3</v>
      </c>
      <c r="T585" s="9">
        <f t="shared" ca="1" si="202"/>
        <v>2.7853982676675415E-3</v>
      </c>
      <c r="U585" s="9">
        <f t="shared" ca="1" si="203"/>
        <v>4.8329448334763969E-3</v>
      </c>
      <c r="AB585" s="33" t="e">
        <f t="shared" ca="1" si="209"/>
        <v>#N/A</v>
      </c>
      <c r="AC585" s="34" t="e">
        <f t="shared" ca="1" si="210"/>
        <v>#N/A</v>
      </c>
      <c r="AD585" s="34" t="e">
        <f t="shared" ca="1" si="211"/>
        <v>#N/A</v>
      </c>
      <c r="AE585" s="33" t="e">
        <f t="shared" ca="1" si="212"/>
        <v>#N/A</v>
      </c>
      <c r="AF585" s="34" t="e">
        <f t="shared" ca="1" si="204"/>
        <v>#N/A</v>
      </c>
      <c r="AG585" s="34" t="e">
        <f t="shared" ca="1" si="205"/>
        <v>#N/A</v>
      </c>
      <c r="AH585" s="34" t="e">
        <f t="shared" ca="1" si="206"/>
        <v>#N/A</v>
      </c>
      <c r="AI585" s="33" t="e">
        <f t="shared" ca="1" si="213"/>
        <v>#N/A</v>
      </c>
      <c r="AJ585" s="34" t="e">
        <f t="shared" ca="1" si="214"/>
        <v>#N/A</v>
      </c>
      <c r="AK585" s="34" t="e">
        <f t="shared" ca="1" si="207"/>
        <v>#N/A</v>
      </c>
      <c r="AL585" s="34" t="e">
        <f t="shared" ca="1" si="208"/>
        <v>#N/A</v>
      </c>
      <c r="AM585" s="33" t="e">
        <f t="shared" ca="1" si="215"/>
        <v>#N/A</v>
      </c>
      <c r="AN585" s="34" t="e">
        <f t="shared" ca="1" si="216"/>
        <v>#N/A</v>
      </c>
    </row>
    <row r="586" spans="1:40" x14ac:dyDescent="0.3">
      <c r="A586" s="2">
        <v>44313</v>
      </c>
      <c r="B586" s="9">
        <v>88.940002000000007</v>
      </c>
      <c r="C586" s="9">
        <v>128.85000600000001</v>
      </c>
      <c r="D586" s="9">
        <v>71.819999999999993</v>
      </c>
      <c r="E586" s="10"/>
      <c r="F586" s="13">
        <v>583</v>
      </c>
      <c r="G586" s="2">
        <v>44313</v>
      </c>
      <c r="H586" s="14">
        <f t="shared" si="197"/>
        <v>1.4040142399009118E-2</v>
      </c>
      <c r="I586" s="14">
        <f t="shared" si="198"/>
        <v>2.3717178165810069E-2</v>
      </c>
      <c r="J586" s="14">
        <f t="shared" si="199"/>
        <v>1.8266673809391145E-2</v>
      </c>
      <c r="K586" s="22">
        <v>583</v>
      </c>
      <c r="L586" s="12"/>
      <c r="Q586" s="15">
        <f t="shared" si="200"/>
        <v>583</v>
      </c>
      <c r="R586" s="2">
        <f t="shared" si="196"/>
        <v>44313</v>
      </c>
      <c r="S586" s="9">
        <f t="shared" ca="1" si="201"/>
        <v>1.4040142399009118E-2</v>
      </c>
      <c r="T586" s="9">
        <f t="shared" ca="1" si="202"/>
        <v>2.3717178165810069E-2</v>
      </c>
      <c r="U586" s="9">
        <f t="shared" ca="1" si="203"/>
        <v>1.8266673809391145E-2</v>
      </c>
      <c r="AB586" s="33" t="e">
        <f t="shared" ca="1" si="209"/>
        <v>#N/A</v>
      </c>
      <c r="AC586" s="34" t="e">
        <f t="shared" ca="1" si="210"/>
        <v>#N/A</v>
      </c>
      <c r="AD586" s="34" t="e">
        <f t="shared" ca="1" si="211"/>
        <v>#N/A</v>
      </c>
      <c r="AE586" s="33" t="e">
        <f t="shared" ca="1" si="212"/>
        <v>#N/A</v>
      </c>
      <c r="AF586" s="34" t="e">
        <f t="shared" ca="1" si="204"/>
        <v>#N/A</v>
      </c>
      <c r="AG586" s="34" t="e">
        <f t="shared" ca="1" si="205"/>
        <v>#N/A</v>
      </c>
      <c r="AH586" s="34" t="e">
        <f t="shared" ca="1" si="206"/>
        <v>#N/A</v>
      </c>
      <c r="AI586" s="33" t="e">
        <f t="shared" ca="1" si="213"/>
        <v>#N/A</v>
      </c>
      <c r="AJ586" s="34" t="e">
        <f t="shared" ca="1" si="214"/>
        <v>#N/A</v>
      </c>
      <c r="AK586" s="34" t="e">
        <f t="shared" ca="1" si="207"/>
        <v>#N/A</v>
      </c>
      <c r="AL586" s="34" t="e">
        <f t="shared" ca="1" si="208"/>
        <v>#N/A</v>
      </c>
      <c r="AM586" s="33" t="e">
        <f t="shared" ca="1" si="215"/>
        <v>#N/A</v>
      </c>
      <c r="AN586" s="34" t="e">
        <f t="shared" ca="1" si="216"/>
        <v>#N/A</v>
      </c>
    </row>
    <row r="587" spans="1:40" x14ac:dyDescent="0.3">
      <c r="A587" s="2">
        <v>44314</v>
      </c>
      <c r="B587" s="9">
        <v>87.68</v>
      </c>
      <c r="C587" s="9">
        <v>132.28999300000001</v>
      </c>
      <c r="D587" s="9">
        <v>74.120002999999997</v>
      </c>
      <c r="E587" s="10"/>
      <c r="F587" s="13">
        <v>584</v>
      </c>
      <c r="G587" s="2">
        <v>44314</v>
      </c>
      <c r="H587" s="14">
        <f t="shared" si="197"/>
        <v>-1.4268184369914673E-2</v>
      </c>
      <c r="I587" s="14">
        <f t="shared" si="198"/>
        <v>2.6347445896087677E-2</v>
      </c>
      <c r="J587" s="14">
        <f t="shared" si="199"/>
        <v>3.1522453094127004E-2</v>
      </c>
      <c r="K587" s="22">
        <v>584</v>
      </c>
      <c r="L587" s="12"/>
      <c r="Q587" s="15">
        <f t="shared" si="200"/>
        <v>584</v>
      </c>
      <c r="R587" s="2">
        <f t="shared" si="196"/>
        <v>44314</v>
      </c>
      <c r="S587" s="9">
        <f t="shared" ca="1" si="201"/>
        <v>-1.4268184369914673E-2</v>
      </c>
      <c r="T587" s="9">
        <f t="shared" ca="1" si="202"/>
        <v>2.6347445896087677E-2</v>
      </c>
      <c r="U587" s="9">
        <f t="shared" ca="1" si="203"/>
        <v>3.1522453094127004E-2</v>
      </c>
      <c r="AB587" s="33" t="e">
        <f t="shared" ca="1" si="209"/>
        <v>#N/A</v>
      </c>
      <c r="AC587" s="34" t="e">
        <f t="shared" ca="1" si="210"/>
        <v>#N/A</v>
      </c>
      <c r="AD587" s="34" t="e">
        <f t="shared" ca="1" si="211"/>
        <v>#N/A</v>
      </c>
      <c r="AE587" s="33" t="e">
        <f t="shared" ca="1" si="212"/>
        <v>#N/A</v>
      </c>
      <c r="AF587" s="34" t="e">
        <f t="shared" ca="1" si="204"/>
        <v>#N/A</v>
      </c>
      <c r="AG587" s="34" t="e">
        <f t="shared" ca="1" si="205"/>
        <v>#N/A</v>
      </c>
      <c r="AH587" s="34" t="e">
        <f t="shared" ca="1" si="206"/>
        <v>#N/A</v>
      </c>
      <c r="AI587" s="33" t="e">
        <f t="shared" ca="1" si="213"/>
        <v>#N/A</v>
      </c>
      <c r="AJ587" s="34" t="e">
        <f t="shared" ca="1" si="214"/>
        <v>#N/A</v>
      </c>
      <c r="AK587" s="34" t="e">
        <f t="shared" ca="1" si="207"/>
        <v>#N/A</v>
      </c>
      <c r="AL587" s="34" t="e">
        <f t="shared" ca="1" si="208"/>
        <v>#N/A</v>
      </c>
      <c r="AM587" s="33" t="e">
        <f t="shared" ca="1" si="215"/>
        <v>#N/A</v>
      </c>
      <c r="AN587" s="34" t="e">
        <f t="shared" ca="1" si="216"/>
        <v>#N/A</v>
      </c>
    </row>
    <row r="588" spans="1:40" x14ac:dyDescent="0.3">
      <c r="A588" s="2">
        <v>44315</v>
      </c>
      <c r="B588" s="9">
        <v>88.800003000000004</v>
      </c>
      <c r="C588" s="9">
        <v>133.41000399999999</v>
      </c>
      <c r="D588" s="9">
        <v>74.860000999999997</v>
      </c>
      <c r="E588" s="10"/>
      <c r="F588" s="13">
        <v>585</v>
      </c>
      <c r="G588" s="2">
        <v>44315</v>
      </c>
      <c r="H588" s="14">
        <f t="shared" si="197"/>
        <v>1.2692860582202193E-2</v>
      </c>
      <c r="I588" s="14">
        <f t="shared" si="198"/>
        <v>8.4306936132391812E-3</v>
      </c>
      <c r="J588" s="14">
        <f t="shared" si="199"/>
        <v>9.9342739424877133E-3</v>
      </c>
      <c r="K588" s="22">
        <v>585</v>
      </c>
      <c r="L588" s="12"/>
      <c r="Q588" s="15">
        <f t="shared" si="200"/>
        <v>585</v>
      </c>
      <c r="R588" s="2">
        <f t="shared" si="196"/>
        <v>44315</v>
      </c>
      <c r="S588" s="9">
        <f t="shared" ca="1" si="201"/>
        <v>1.2692860582202193E-2</v>
      </c>
      <c r="T588" s="9">
        <f t="shared" ca="1" si="202"/>
        <v>8.4306936132391812E-3</v>
      </c>
      <c r="U588" s="9">
        <f t="shared" ca="1" si="203"/>
        <v>9.9342739424877133E-3</v>
      </c>
      <c r="AB588" s="33" t="e">
        <f t="shared" ca="1" si="209"/>
        <v>#N/A</v>
      </c>
      <c r="AC588" s="34" t="e">
        <f t="shared" ca="1" si="210"/>
        <v>#N/A</v>
      </c>
      <c r="AD588" s="34" t="e">
        <f t="shared" ca="1" si="211"/>
        <v>#N/A</v>
      </c>
      <c r="AE588" s="33" t="e">
        <f t="shared" ca="1" si="212"/>
        <v>#N/A</v>
      </c>
      <c r="AF588" s="34" t="e">
        <f t="shared" ca="1" si="204"/>
        <v>#N/A</v>
      </c>
      <c r="AG588" s="34" t="e">
        <f t="shared" ca="1" si="205"/>
        <v>#N/A</v>
      </c>
      <c r="AH588" s="34" t="e">
        <f t="shared" ca="1" si="206"/>
        <v>#N/A</v>
      </c>
      <c r="AI588" s="33" t="e">
        <f t="shared" ca="1" si="213"/>
        <v>#N/A</v>
      </c>
      <c r="AJ588" s="34" t="e">
        <f t="shared" ca="1" si="214"/>
        <v>#N/A</v>
      </c>
      <c r="AK588" s="34" t="e">
        <f t="shared" ca="1" si="207"/>
        <v>#N/A</v>
      </c>
      <c r="AL588" s="34" t="e">
        <f t="shared" ca="1" si="208"/>
        <v>#N/A</v>
      </c>
      <c r="AM588" s="33" t="e">
        <f t="shared" ca="1" si="215"/>
        <v>#N/A</v>
      </c>
      <c r="AN588" s="34" t="e">
        <f t="shared" ca="1" si="216"/>
        <v>#N/A</v>
      </c>
    </row>
    <row r="589" spans="1:40" x14ac:dyDescent="0.3">
      <c r="A589" s="2">
        <v>44316</v>
      </c>
      <c r="B589" s="9">
        <v>87.610000999999997</v>
      </c>
      <c r="C589" s="9">
        <v>133.28999300000001</v>
      </c>
      <c r="D589" s="9">
        <v>73.959998999999996</v>
      </c>
      <c r="E589" s="10"/>
      <c r="F589" s="13">
        <v>586</v>
      </c>
      <c r="G589" s="2">
        <v>44316</v>
      </c>
      <c r="H589" s="14">
        <f t="shared" si="197"/>
        <v>-1.3491525689413168E-2</v>
      </c>
      <c r="I589" s="14">
        <f t="shared" si="198"/>
        <v>-8.9997007461665296E-4</v>
      </c>
      <c r="J589" s="14">
        <f t="shared" si="199"/>
        <v>-1.2095322836449632E-2</v>
      </c>
      <c r="K589" s="22">
        <v>586</v>
      </c>
      <c r="L589" s="12"/>
      <c r="Q589" s="15">
        <f t="shared" si="200"/>
        <v>586</v>
      </c>
      <c r="R589" s="2">
        <f t="shared" si="196"/>
        <v>44316</v>
      </c>
      <c r="S589" s="9">
        <f t="shared" ca="1" si="201"/>
        <v>-1.3491525689413168E-2</v>
      </c>
      <c r="T589" s="9">
        <f t="shared" ca="1" si="202"/>
        <v>-8.9997007461665296E-4</v>
      </c>
      <c r="U589" s="9">
        <f t="shared" ca="1" si="203"/>
        <v>-1.2095322836449632E-2</v>
      </c>
      <c r="AB589" s="33" t="e">
        <f t="shared" ca="1" si="209"/>
        <v>#N/A</v>
      </c>
      <c r="AC589" s="34" t="e">
        <f t="shared" ca="1" si="210"/>
        <v>#N/A</v>
      </c>
      <c r="AD589" s="34" t="e">
        <f t="shared" ca="1" si="211"/>
        <v>#N/A</v>
      </c>
      <c r="AE589" s="33" t="e">
        <f t="shared" ca="1" si="212"/>
        <v>#N/A</v>
      </c>
      <c r="AF589" s="34" t="e">
        <f t="shared" ca="1" si="204"/>
        <v>#N/A</v>
      </c>
      <c r="AG589" s="34" t="e">
        <f t="shared" ca="1" si="205"/>
        <v>#N/A</v>
      </c>
      <c r="AH589" s="34" t="e">
        <f t="shared" ca="1" si="206"/>
        <v>#N/A</v>
      </c>
      <c r="AI589" s="33" t="e">
        <f t="shared" ca="1" si="213"/>
        <v>#N/A</v>
      </c>
      <c r="AJ589" s="34" t="e">
        <f t="shared" ca="1" si="214"/>
        <v>#N/A</v>
      </c>
      <c r="AK589" s="34" t="e">
        <f t="shared" ca="1" si="207"/>
        <v>#N/A</v>
      </c>
      <c r="AL589" s="34" t="e">
        <f t="shared" ca="1" si="208"/>
        <v>#N/A</v>
      </c>
      <c r="AM589" s="33" t="e">
        <f t="shared" ca="1" si="215"/>
        <v>#N/A</v>
      </c>
      <c r="AN589" s="34" t="e">
        <f t="shared" ca="1" si="216"/>
        <v>#N/A</v>
      </c>
    </row>
    <row r="590" spans="1:40" x14ac:dyDescent="0.3">
      <c r="A590" s="2">
        <v>44319</v>
      </c>
      <c r="B590" s="9">
        <v>87.550003000000004</v>
      </c>
      <c r="C590" s="9">
        <v>136.30999800000001</v>
      </c>
      <c r="D590" s="9">
        <v>78.150002000000001</v>
      </c>
      <c r="E590" s="10"/>
      <c r="F590" s="13">
        <v>587</v>
      </c>
      <c r="G590" s="2">
        <v>44319</v>
      </c>
      <c r="H590" s="14">
        <f t="shared" si="197"/>
        <v>-6.8506509450056699E-4</v>
      </c>
      <c r="I590" s="14">
        <f t="shared" si="198"/>
        <v>2.2404535811456436E-2</v>
      </c>
      <c r="J590" s="14">
        <f t="shared" si="199"/>
        <v>5.5105689461194103E-2</v>
      </c>
      <c r="K590" s="22">
        <v>587</v>
      </c>
      <c r="L590" s="12"/>
      <c r="Q590" s="15">
        <f t="shared" si="200"/>
        <v>587</v>
      </c>
      <c r="R590" s="2">
        <f t="shared" si="196"/>
        <v>44319</v>
      </c>
      <c r="S590" s="9">
        <f t="shared" ca="1" si="201"/>
        <v>-6.8506509450056699E-4</v>
      </c>
      <c r="T590" s="9">
        <f t="shared" ca="1" si="202"/>
        <v>2.2404535811456436E-2</v>
      </c>
      <c r="U590" s="9">
        <f t="shared" ca="1" si="203"/>
        <v>5.5105689461194103E-2</v>
      </c>
      <c r="AB590" s="33" t="e">
        <f t="shared" ca="1" si="209"/>
        <v>#N/A</v>
      </c>
      <c r="AC590" s="34" t="e">
        <f t="shared" ca="1" si="210"/>
        <v>#N/A</v>
      </c>
      <c r="AD590" s="34" t="e">
        <f t="shared" ca="1" si="211"/>
        <v>#N/A</v>
      </c>
      <c r="AE590" s="33" t="e">
        <f t="shared" ca="1" si="212"/>
        <v>#N/A</v>
      </c>
      <c r="AF590" s="34" t="e">
        <f t="shared" ca="1" si="204"/>
        <v>#N/A</v>
      </c>
      <c r="AG590" s="34" t="e">
        <f t="shared" ca="1" si="205"/>
        <v>#N/A</v>
      </c>
      <c r="AH590" s="34" t="e">
        <f t="shared" ca="1" si="206"/>
        <v>#N/A</v>
      </c>
      <c r="AI590" s="33" t="e">
        <f t="shared" ca="1" si="213"/>
        <v>#N/A</v>
      </c>
      <c r="AJ590" s="34" t="e">
        <f t="shared" ca="1" si="214"/>
        <v>#N/A</v>
      </c>
      <c r="AK590" s="34" t="e">
        <f t="shared" ca="1" si="207"/>
        <v>#N/A</v>
      </c>
      <c r="AL590" s="34" t="e">
        <f t="shared" ca="1" si="208"/>
        <v>#N/A</v>
      </c>
      <c r="AM590" s="33" t="e">
        <f t="shared" ca="1" si="215"/>
        <v>#N/A</v>
      </c>
      <c r="AN590" s="34" t="e">
        <f t="shared" ca="1" si="216"/>
        <v>#N/A</v>
      </c>
    </row>
    <row r="591" spans="1:40" x14ac:dyDescent="0.3">
      <c r="A591" s="2">
        <v>44320</v>
      </c>
      <c r="B591" s="9">
        <v>89.160004000000001</v>
      </c>
      <c r="C591" s="9">
        <v>135.41000399999999</v>
      </c>
      <c r="D591" s="9">
        <v>78.160004000000001</v>
      </c>
      <c r="E591" s="10"/>
      <c r="F591" s="13">
        <v>588</v>
      </c>
      <c r="G591" s="2">
        <v>44320</v>
      </c>
      <c r="H591" s="14">
        <f t="shared" si="197"/>
        <v>1.8222460382840516E-2</v>
      </c>
      <c r="I591" s="14">
        <f t="shared" si="198"/>
        <v>-6.6244463756658777E-3</v>
      </c>
      <c r="J591" s="14">
        <f t="shared" si="199"/>
        <v>1.2797645230269681E-4</v>
      </c>
      <c r="K591" s="22">
        <v>588</v>
      </c>
      <c r="L591" s="12"/>
      <c r="Q591" s="15">
        <f t="shared" si="200"/>
        <v>588</v>
      </c>
      <c r="R591" s="2">
        <f t="shared" si="196"/>
        <v>44320</v>
      </c>
      <c r="S591" s="9">
        <f t="shared" ca="1" si="201"/>
        <v>1.8222460382840516E-2</v>
      </c>
      <c r="T591" s="9">
        <f t="shared" ca="1" si="202"/>
        <v>-6.6244463756658777E-3</v>
      </c>
      <c r="U591" s="9">
        <f t="shared" ca="1" si="203"/>
        <v>1.2797645230269681E-4</v>
      </c>
      <c r="AB591" s="33" t="e">
        <f t="shared" ca="1" si="209"/>
        <v>#N/A</v>
      </c>
      <c r="AC591" s="34" t="e">
        <f t="shared" ca="1" si="210"/>
        <v>#N/A</v>
      </c>
      <c r="AD591" s="34" t="e">
        <f t="shared" ca="1" si="211"/>
        <v>#N/A</v>
      </c>
      <c r="AE591" s="33" t="e">
        <f t="shared" ca="1" si="212"/>
        <v>#N/A</v>
      </c>
      <c r="AF591" s="34" t="e">
        <f t="shared" ca="1" si="204"/>
        <v>#N/A</v>
      </c>
      <c r="AG591" s="34" t="e">
        <f t="shared" ca="1" si="205"/>
        <v>#N/A</v>
      </c>
      <c r="AH591" s="34" t="e">
        <f t="shared" ca="1" si="206"/>
        <v>#N/A</v>
      </c>
      <c r="AI591" s="33" t="e">
        <f t="shared" ca="1" si="213"/>
        <v>#N/A</v>
      </c>
      <c r="AJ591" s="34" t="e">
        <f t="shared" ca="1" si="214"/>
        <v>#N/A</v>
      </c>
      <c r="AK591" s="34" t="e">
        <f t="shared" ca="1" si="207"/>
        <v>#N/A</v>
      </c>
      <c r="AL591" s="34" t="e">
        <f t="shared" ca="1" si="208"/>
        <v>#N/A</v>
      </c>
      <c r="AM591" s="33" t="e">
        <f t="shared" ca="1" si="215"/>
        <v>#N/A</v>
      </c>
      <c r="AN591" s="34" t="e">
        <f t="shared" ca="1" si="216"/>
        <v>#N/A</v>
      </c>
    </row>
    <row r="592" spans="1:40" x14ac:dyDescent="0.3">
      <c r="A592" s="2">
        <v>44321</v>
      </c>
      <c r="B592" s="9">
        <v>89.139999000000003</v>
      </c>
      <c r="C592" s="9">
        <v>134.949997</v>
      </c>
      <c r="D592" s="9">
        <v>80.059997999999993</v>
      </c>
      <c r="E592" s="10"/>
      <c r="F592" s="13">
        <v>589</v>
      </c>
      <c r="G592" s="2">
        <v>44321</v>
      </c>
      <c r="H592" s="14">
        <f t="shared" si="197"/>
        <v>-2.2439708073302355E-4</v>
      </c>
      <c r="I592" s="14">
        <f t="shared" si="198"/>
        <v>-3.4029253010903391E-3</v>
      </c>
      <c r="J592" s="14">
        <f t="shared" si="199"/>
        <v>2.4018269671564434E-2</v>
      </c>
      <c r="K592" s="22">
        <v>589</v>
      </c>
      <c r="L592" s="12"/>
      <c r="Q592" s="15">
        <f t="shared" si="200"/>
        <v>589</v>
      </c>
      <c r="R592" s="2">
        <f t="shared" si="196"/>
        <v>44321</v>
      </c>
      <c r="S592" s="9">
        <f t="shared" ca="1" si="201"/>
        <v>-2.2439708073302355E-4</v>
      </c>
      <c r="T592" s="9">
        <f t="shared" ca="1" si="202"/>
        <v>-3.4029253010903391E-3</v>
      </c>
      <c r="U592" s="9">
        <f t="shared" ca="1" si="203"/>
        <v>2.4018269671564434E-2</v>
      </c>
      <c r="AB592" s="33" t="e">
        <f t="shared" ca="1" si="209"/>
        <v>#N/A</v>
      </c>
      <c r="AC592" s="34" t="e">
        <f t="shared" ca="1" si="210"/>
        <v>#N/A</v>
      </c>
      <c r="AD592" s="34" t="e">
        <f t="shared" ca="1" si="211"/>
        <v>#N/A</v>
      </c>
      <c r="AE592" s="33" t="e">
        <f t="shared" ca="1" si="212"/>
        <v>#N/A</v>
      </c>
      <c r="AF592" s="34" t="e">
        <f t="shared" ca="1" si="204"/>
        <v>#N/A</v>
      </c>
      <c r="AG592" s="34" t="e">
        <f t="shared" ca="1" si="205"/>
        <v>#N/A</v>
      </c>
      <c r="AH592" s="34" t="e">
        <f t="shared" ca="1" si="206"/>
        <v>#N/A</v>
      </c>
      <c r="AI592" s="33" t="e">
        <f t="shared" ca="1" si="213"/>
        <v>#N/A</v>
      </c>
      <c r="AJ592" s="34" t="e">
        <f t="shared" ca="1" si="214"/>
        <v>#N/A</v>
      </c>
      <c r="AK592" s="34" t="e">
        <f t="shared" ca="1" si="207"/>
        <v>#N/A</v>
      </c>
      <c r="AL592" s="34" t="e">
        <f t="shared" ca="1" si="208"/>
        <v>#N/A</v>
      </c>
      <c r="AM592" s="33" t="e">
        <f t="shared" ca="1" si="215"/>
        <v>#N/A</v>
      </c>
      <c r="AN592" s="34" t="e">
        <f t="shared" ca="1" si="216"/>
        <v>#N/A</v>
      </c>
    </row>
    <row r="593" spans="1:40" x14ac:dyDescent="0.3">
      <c r="A593" s="2">
        <v>44322</v>
      </c>
      <c r="B593" s="9">
        <v>89.699996999999996</v>
      </c>
      <c r="C593" s="9">
        <v>134</v>
      </c>
      <c r="D593" s="9">
        <v>80.459998999999996</v>
      </c>
      <c r="E593" s="10"/>
      <c r="F593" s="13">
        <v>590</v>
      </c>
      <c r="G593" s="2">
        <v>44322</v>
      </c>
      <c r="H593" s="14">
        <f t="shared" si="197"/>
        <v>6.2625793198322456E-3</v>
      </c>
      <c r="I593" s="14">
        <f t="shared" si="198"/>
        <v>-7.0645172826462798E-3</v>
      </c>
      <c r="J593" s="14">
        <f t="shared" si="199"/>
        <v>4.9838255099430183E-3</v>
      </c>
      <c r="K593" s="22">
        <v>590</v>
      </c>
      <c r="L593" s="12"/>
      <c r="Q593" s="15">
        <f t="shared" si="200"/>
        <v>590</v>
      </c>
      <c r="R593" s="2">
        <f t="shared" si="196"/>
        <v>44322</v>
      </c>
      <c r="S593" s="9">
        <f t="shared" ca="1" si="201"/>
        <v>6.2625793198322456E-3</v>
      </c>
      <c r="T593" s="9">
        <f t="shared" ca="1" si="202"/>
        <v>-7.0645172826462798E-3</v>
      </c>
      <c r="U593" s="9">
        <f t="shared" ca="1" si="203"/>
        <v>4.9838255099430183E-3</v>
      </c>
      <c r="AB593" s="33" t="e">
        <f t="shared" ca="1" si="209"/>
        <v>#N/A</v>
      </c>
      <c r="AC593" s="34" t="e">
        <f t="shared" ca="1" si="210"/>
        <v>#N/A</v>
      </c>
      <c r="AD593" s="34" t="e">
        <f t="shared" ca="1" si="211"/>
        <v>#N/A</v>
      </c>
      <c r="AE593" s="33" t="e">
        <f t="shared" ca="1" si="212"/>
        <v>#N/A</v>
      </c>
      <c r="AF593" s="34" t="e">
        <f t="shared" ca="1" si="204"/>
        <v>#N/A</v>
      </c>
      <c r="AG593" s="34" t="e">
        <f t="shared" ca="1" si="205"/>
        <v>#N/A</v>
      </c>
      <c r="AH593" s="34" t="e">
        <f t="shared" ca="1" si="206"/>
        <v>#N/A</v>
      </c>
      <c r="AI593" s="33" t="e">
        <f t="shared" ca="1" si="213"/>
        <v>#N/A</v>
      </c>
      <c r="AJ593" s="34" t="e">
        <f t="shared" ca="1" si="214"/>
        <v>#N/A</v>
      </c>
      <c r="AK593" s="34" t="e">
        <f t="shared" ca="1" si="207"/>
        <v>#N/A</v>
      </c>
      <c r="AL593" s="34" t="e">
        <f t="shared" ca="1" si="208"/>
        <v>#N/A</v>
      </c>
      <c r="AM593" s="33" t="e">
        <f t="shared" ca="1" si="215"/>
        <v>#N/A</v>
      </c>
      <c r="AN593" s="34" t="e">
        <f t="shared" ca="1" si="216"/>
        <v>#N/A</v>
      </c>
    </row>
    <row r="594" spans="1:40" x14ac:dyDescent="0.3">
      <c r="A594" s="2">
        <v>44323</v>
      </c>
      <c r="B594" s="9">
        <v>90.32</v>
      </c>
      <c r="C594" s="9">
        <v>139.63999899999999</v>
      </c>
      <c r="D594" s="9">
        <v>80.489998</v>
      </c>
      <c r="E594" s="10"/>
      <c r="F594" s="13">
        <v>591</v>
      </c>
      <c r="G594" s="2">
        <v>44323</v>
      </c>
      <c r="H594" s="14">
        <f t="shared" si="197"/>
        <v>6.8881842214726938E-3</v>
      </c>
      <c r="I594" s="14">
        <f t="shared" si="198"/>
        <v>4.1227875124652015E-2</v>
      </c>
      <c r="J594" s="14">
        <f t="shared" si="199"/>
        <v>3.7277416472885364E-4</v>
      </c>
      <c r="K594" s="22">
        <v>591</v>
      </c>
      <c r="L594" s="12"/>
      <c r="Q594" s="15">
        <f t="shared" si="200"/>
        <v>591</v>
      </c>
      <c r="R594" s="2">
        <f t="shared" si="196"/>
        <v>44323</v>
      </c>
      <c r="S594" s="9">
        <f t="shared" ca="1" si="201"/>
        <v>6.8881842214726938E-3</v>
      </c>
      <c r="T594" s="9">
        <f t="shared" ca="1" si="202"/>
        <v>4.1227875124652015E-2</v>
      </c>
      <c r="U594" s="9">
        <f t="shared" ca="1" si="203"/>
        <v>3.7277416472885364E-4</v>
      </c>
      <c r="AB594" s="33" t="e">
        <f t="shared" ca="1" si="209"/>
        <v>#N/A</v>
      </c>
      <c r="AC594" s="34" t="e">
        <f t="shared" ca="1" si="210"/>
        <v>#N/A</v>
      </c>
      <c r="AD594" s="34" t="e">
        <f t="shared" ca="1" si="211"/>
        <v>#N/A</v>
      </c>
      <c r="AE594" s="33" t="e">
        <f t="shared" ca="1" si="212"/>
        <v>#N/A</v>
      </c>
      <c r="AF594" s="34" t="e">
        <f t="shared" ca="1" si="204"/>
        <v>#N/A</v>
      </c>
      <c r="AG594" s="34" t="e">
        <f t="shared" ca="1" si="205"/>
        <v>#N/A</v>
      </c>
      <c r="AH594" s="34" t="e">
        <f t="shared" ca="1" si="206"/>
        <v>#N/A</v>
      </c>
      <c r="AI594" s="33" t="e">
        <f t="shared" ca="1" si="213"/>
        <v>#N/A</v>
      </c>
      <c r="AJ594" s="34" t="e">
        <f t="shared" ca="1" si="214"/>
        <v>#N/A</v>
      </c>
      <c r="AK594" s="34" t="e">
        <f t="shared" ca="1" si="207"/>
        <v>#N/A</v>
      </c>
      <c r="AL594" s="34" t="e">
        <f t="shared" ca="1" si="208"/>
        <v>#N/A</v>
      </c>
      <c r="AM594" s="33" t="e">
        <f t="shared" ca="1" si="215"/>
        <v>#N/A</v>
      </c>
      <c r="AN594" s="34" t="e">
        <f t="shared" ca="1" si="216"/>
        <v>#N/A</v>
      </c>
    </row>
    <row r="595" spans="1:40" x14ac:dyDescent="0.3">
      <c r="A595" s="2">
        <v>44326</v>
      </c>
      <c r="B595" s="9">
        <v>90.800003000000004</v>
      </c>
      <c r="C595" s="9">
        <v>137.570007</v>
      </c>
      <c r="D595" s="9">
        <v>79.639999000000003</v>
      </c>
      <c r="E595" s="10"/>
      <c r="F595" s="13">
        <v>592</v>
      </c>
      <c r="G595" s="2">
        <v>44326</v>
      </c>
      <c r="H595" s="14">
        <f t="shared" si="197"/>
        <v>5.3003988054882772E-3</v>
      </c>
      <c r="I595" s="14">
        <f t="shared" si="198"/>
        <v>-1.4934745719473607E-2</v>
      </c>
      <c r="J595" s="14">
        <f t="shared" si="199"/>
        <v>-1.0616461618343787E-2</v>
      </c>
      <c r="K595" s="22">
        <v>592</v>
      </c>
      <c r="L595" s="12"/>
      <c r="Q595" s="15">
        <f t="shared" si="200"/>
        <v>592</v>
      </c>
      <c r="R595" s="2">
        <f t="shared" si="196"/>
        <v>44326</v>
      </c>
      <c r="S595" s="9">
        <f t="shared" ca="1" si="201"/>
        <v>5.3003988054882772E-3</v>
      </c>
      <c r="T595" s="9">
        <f t="shared" ca="1" si="202"/>
        <v>-1.4934745719473607E-2</v>
      </c>
      <c r="U595" s="9">
        <f t="shared" ca="1" si="203"/>
        <v>-1.0616461618343787E-2</v>
      </c>
      <c r="AB595" s="33" t="e">
        <f t="shared" ca="1" si="209"/>
        <v>#N/A</v>
      </c>
      <c r="AC595" s="34" t="e">
        <f t="shared" ca="1" si="210"/>
        <v>#N/A</v>
      </c>
      <c r="AD595" s="34" t="e">
        <f t="shared" ca="1" si="211"/>
        <v>#N/A</v>
      </c>
      <c r="AE595" s="33" t="e">
        <f t="shared" ca="1" si="212"/>
        <v>#N/A</v>
      </c>
      <c r="AF595" s="34" t="e">
        <f t="shared" ca="1" si="204"/>
        <v>#N/A</v>
      </c>
      <c r="AG595" s="34" t="e">
        <f t="shared" ca="1" si="205"/>
        <v>#N/A</v>
      </c>
      <c r="AH595" s="34" t="e">
        <f t="shared" ca="1" si="206"/>
        <v>#N/A</v>
      </c>
      <c r="AI595" s="33" t="e">
        <f t="shared" ca="1" si="213"/>
        <v>#N/A</v>
      </c>
      <c r="AJ595" s="34" t="e">
        <f t="shared" ca="1" si="214"/>
        <v>#N/A</v>
      </c>
      <c r="AK595" s="34" t="e">
        <f t="shared" ca="1" si="207"/>
        <v>#N/A</v>
      </c>
      <c r="AL595" s="34" t="e">
        <f t="shared" ca="1" si="208"/>
        <v>#N/A</v>
      </c>
      <c r="AM595" s="33" t="e">
        <f t="shared" ca="1" si="215"/>
        <v>#N/A</v>
      </c>
      <c r="AN595" s="34" t="e">
        <f t="shared" ca="1" si="216"/>
        <v>#N/A</v>
      </c>
    </row>
    <row r="596" spans="1:40" x14ac:dyDescent="0.3">
      <c r="A596" s="2">
        <v>44327</v>
      </c>
      <c r="B596" s="9">
        <v>89.68</v>
      </c>
      <c r="C596" s="9">
        <v>134.050003</v>
      </c>
      <c r="D596" s="9">
        <v>77.690002000000007</v>
      </c>
      <c r="E596" s="10"/>
      <c r="F596" s="13">
        <v>593</v>
      </c>
      <c r="G596" s="2">
        <v>44327</v>
      </c>
      <c r="H596" s="14">
        <f t="shared" si="197"/>
        <v>-1.2411539882990085E-2</v>
      </c>
      <c r="I596" s="14">
        <f t="shared" si="198"/>
        <v>-2.5920042294412499E-2</v>
      </c>
      <c r="J596" s="14">
        <f t="shared" si="199"/>
        <v>-2.4789891933823142E-2</v>
      </c>
      <c r="K596" s="22">
        <v>593</v>
      </c>
      <c r="L596" s="12"/>
      <c r="Q596" s="15">
        <f t="shared" si="200"/>
        <v>593</v>
      </c>
      <c r="R596" s="2">
        <f t="shared" si="196"/>
        <v>44327</v>
      </c>
      <c r="S596" s="9">
        <f t="shared" ca="1" si="201"/>
        <v>-1.2411539882990085E-2</v>
      </c>
      <c r="T596" s="9">
        <f t="shared" ca="1" si="202"/>
        <v>-2.5920042294412499E-2</v>
      </c>
      <c r="U596" s="9">
        <f t="shared" ca="1" si="203"/>
        <v>-2.4789891933823142E-2</v>
      </c>
      <c r="AB596" s="33" t="e">
        <f t="shared" ca="1" si="209"/>
        <v>#N/A</v>
      </c>
      <c r="AC596" s="34" t="e">
        <f t="shared" ca="1" si="210"/>
        <v>#N/A</v>
      </c>
      <c r="AD596" s="34" t="e">
        <f t="shared" ca="1" si="211"/>
        <v>#N/A</v>
      </c>
      <c r="AE596" s="33" t="e">
        <f t="shared" ca="1" si="212"/>
        <v>#N/A</v>
      </c>
      <c r="AF596" s="34" t="e">
        <f t="shared" ca="1" si="204"/>
        <v>#N/A</v>
      </c>
      <c r="AG596" s="34" t="e">
        <f t="shared" ca="1" si="205"/>
        <v>#N/A</v>
      </c>
      <c r="AH596" s="34" t="e">
        <f t="shared" ca="1" si="206"/>
        <v>#N/A</v>
      </c>
      <c r="AI596" s="33" t="e">
        <f t="shared" ca="1" si="213"/>
        <v>#N/A</v>
      </c>
      <c r="AJ596" s="34" t="e">
        <f t="shared" ca="1" si="214"/>
        <v>#N/A</v>
      </c>
      <c r="AK596" s="34" t="e">
        <f t="shared" ca="1" si="207"/>
        <v>#N/A</v>
      </c>
      <c r="AL596" s="34" t="e">
        <f t="shared" ca="1" si="208"/>
        <v>#N/A</v>
      </c>
      <c r="AM596" s="33" t="e">
        <f t="shared" ca="1" si="215"/>
        <v>#N/A</v>
      </c>
      <c r="AN596" s="34" t="e">
        <f t="shared" ca="1" si="216"/>
        <v>#N/A</v>
      </c>
    </row>
    <row r="597" spans="1:40" x14ac:dyDescent="0.3">
      <c r="A597" s="2">
        <v>44328</v>
      </c>
      <c r="B597" s="9">
        <v>87.449996999999996</v>
      </c>
      <c r="C597" s="9">
        <v>128.03999300000001</v>
      </c>
      <c r="D597" s="9">
        <v>79.970000999999996</v>
      </c>
      <c r="E597" s="10"/>
      <c r="F597" s="13">
        <v>594</v>
      </c>
      <c r="G597" s="2">
        <v>44328</v>
      </c>
      <c r="H597" s="14">
        <f t="shared" si="197"/>
        <v>-2.5180611604611429E-2</v>
      </c>
      <c r="I597" s="14">
        <f t="shared" si="198"/>
        <v>-4.5870226630431797E-2</v>
      </c>
      <c r="J597" s="14">
        <f t="shared" si="199"/>
        <v>2.8925002142819522E-2</v>
      </c>
      <c r="K597" s="22">
        <v>594</v>
      </c>
      <c r="L597" s="12"/>
      <c r="Q597" s="15">
        <f t="shared" si="200"/>
        <v>594</v>
      </c>
      <c r="R597" s="2">
        <f t="shared" si="196"/>
        <v>44328</v>
      </c>
      <c r="S597" s="9">
        <f t="shared" ca="1" si="201"/>
        <v>-2.5180611604611429E-2</v>
      </c>
      <c r="T597" s="9">
        <f t="shared" ca="1" si="202"/>
        <v>-4.5870226630431797E-2</v>
      </c>
      <c r="U597" s="9">
        <f t="shared" ca="1" si="203"/>
        <v>2.8925002142819522E-2</v>
      </c>
      <c r="AB597" s="33" t="e">
        <f t="shared" ca="1" si="209"/>
        <v>#N/A</v>
      </c>
      <c r="AC597" s="34" t="e">
        <f t="shared" ca="1" si="210"/>
        <v>#N/A</v>
      </c>
      <c r="AD597" s="34" t="e">
        <f t="shared" ca="1" si="211"/>
        <v>#N/A</v>
      </c>
      <c r="AE597" s="33" t="e">
        <f t="shared" ca="1" si="212"/>
        <v>#N/A</v>
      </c>
      <c r="AF597" s="34" t="e">
        <f t="shared" ca="1" si="204"/>
        <v>#N/A</v>
      </c>
      <c r="AG597" s="34" t="e">
        <f t="shared" ca="1" si="205"/>
        <v>#N/A</v>
      </c>
      <c r="AH597" s="34" t="e">
        <f t="shared" ca="1" si="206"/>
        <v>#N/A</v>
      </c>
      <c r="AI597" s="33" t="e">
        <f t="shared" ca="1" si="213"/>
        <v>#N/A</v>
      </c>
      <c r="AJ597" s="34" t="e">
        <f t="shared" ca="1" si="214"/>
        <v>#N/A</v>
      </c>
      <c r="AK597" s="34" t="e">
        <f t="shared" ca="1" si="207"/>
        <v>#N/A</v>
      </c>
      <c r="AL597" s="34" t="e">
        <f t="shared" ca="1" si="208"/>
        <v>#N/A</v>
      </c>
      <c r="AM597" s="33" t="e">
        <f t="shared" ca="1" si="215"/>
        <v>#N/A</v>
      </c>
      <c r="AN597" s="34" t="e">
        <f t="shared" ca="1" si="216"/>
        <v>#N/A</v>
      </c>
    </row>
    <row r="598" spans="1:40" x14ac:dyDescent="0.3">
      <c r="A598" s="2">
        <v>44329</v>
      </c>
      <c r="B598" s="9">
        <v>88.610000999999997</v>
      </c>
      <c r="C598" s="9">
        <v>131.53999300000001</v>
      </c>
      <c r="D598" s="9">
        <v>78.5</v>
      </c>
      <c r="E598" s="10"/>
      <c r="F598" s="13">
        <v>595</v>
      </c>
      <c r="G598" s="2">
        <v>44329</v>
      </c>
      <c r="H598" s="14">
        <f t="shared" si="197"/>
        <v>1.3177562185325894E-2</v>
      </c>
      <c r="I598" s="14">
        <f t="shared" si="198"/>
        <v>2.6968274226206287E-2</v>
      </c>
      <c r="J598" s="14">
        <f t="shared" si="199"/>
        <v>-1.855295206012491E-2</v>
      </c>
      <c r="K598" s="22">
        <v>595</v>
      </c>
      <c r="L598" s="12"/>
      <c r="Q598" s="15">
        <f t="shared" si="200"/>
        <v>595</v>
      </c>
      <c r="R598" s="2">
        <f t="shared" si="196"/>
        <v>44329</v>
      </c>
      <c r="S598" s="9">
        <f t="shared" ca="1" si="201"/>
        <v>1.3177562185325894E-2</v>
      </c>
      <c r="T598" s="9">
        <f t="shared" ca="1" si="202"/>
        <v>2.6968274226206287E-2</v>
      </c>
      <c r="U598" s="9">
        <f t="shared" ca="1" si="203"/>
        <v>-1.855295206012491E-2</v>
      </c>
      <c r="AB598" s="33" t="e">
        <f t="shared" ca="1" si="209"/>
        <v>#N/A</v>
      </c>
      <c r="AC598" s="34" t="e">
        <f t="shared" ca="1" si="210"/>
        <v>#N/A</v>
      </c>
      <c r="AD598" s="34" t="e">
        <f t="shared" ca="1" si="211"/>
        <v>#N/A</v>
      </c>
      <c r="AE598" s="33" t="e">
        <f t="shared" ca="1" si="212"/>
        <v>#N/A</v>
      </c>
      <c r="AF598" s="34" t="e">
        <f t="shared" ca="1" si="204"/>
        <v>#N/A</v>
      </c>
      <c r="AG598" s="34" t="e">
        <f t="shared" ca="1" si="205"/>
        <v>#N/A</v>
      </c>
      <c r="AH598" s="34" t="e">
        <f t="shared" ca="1" si="206"/>
        <v>#N/A</v>
      </c>
      <c r="AI598" s="33" t="e">
        <f t="shared" ca="1" si="213"/>
        <v>#N/A</v>
      </c>
      <c r="AJ598" s="34" t="e">
        <f t="shared" ca="1" si="214"/>
        <v>#N/A</v>
      </c>
      <c r="AK598" s="34" t="e">
        <f t="shared" ca="1" si="207"/>
        <v>#N/A</v>
      </c>
      <c r="AL598" s="34" t="e">
        <f t="shared" ca="1" si="208"/>
        <v>#N/A</v>
      </c>
      <c r="AM598" s="33" t="e">
        <f t="shared" ca="1" si="215"/>
        <v>#N/A</v>
      </c>
      <c r="AN598" s="34" t="e">
        <f t="shared" ca="1" si="216"/>
        <v>#N/A</v>
      </c>
    </row>
    <row r="599" spans="1:40" x14ac:dyDescent="0.3">
      <c r="A599" s="2">
        <v>44330</v>
      </c>
      <c r="B599" s="9">
        <v>90.120002999999997</v>
      </c>
      <c r="C599" s="9">
        <v>136.479996</v>
      </c>
      <c r="D599" s="9">
        <v>81.209998999999996</v>
      </c>
      <c r="E599" s="10"/>
      <c r="F599" s="13">
        <v>596</v>
      </c>
      <c r="G599" s="2">
        <v>44330</v>
      </c>
      <c r="H599" s="14">
        <f t="shared" si="197"/>
        <v>1.6897419508372178E-2</v>
      </c>
      <c r="I599" s="14">
        <f t="shared" si="198"/>
        <v>3.6867119777593195E-2</v>
      </c>
      <c r="J599" s="14">
        <f t="shared" si="199"/>
        <v>3.3939755192202249E-2</v>
      </c>
      <c r="K599" s="22">
        <v>596</v>
      </c>
      <c r="L599" s="12"/>
      <c r="Q599" s="15">
        <f t="shared" si="200"/>
        <v>596</v>
      </c>
      <c r="R599" s="2">
        <f t="shared" si="196"/>
        <v>44330</v>
      </c>
      <c r="S599" s="9">
        <f t="shared" ca="1" si="201"/>
        <v>1.6897419508372178E-2</v>
      </c>
      <c r="T599" s="9">
        <f t="shared" ca="1" si="202"/>
        <v>3.6867119777593195E-2</v>
      </c>
      <c r="U599" s="9">
        <f t="shared" ca="1" si="203"/>
        <v>3.3939755192202249E-2</v>
      </c>
      <c r="AB599" s="33" t="e">
        <f t="shared" ca="1" si="209"/>
        <v>#N/A</v>
      </c>
      <c r="AC599" s="34" t="e">
        <f t="shared" ca="1" si="210"/>
        <v>#N/A</v>
      </c>
      <c r="AD599" s="34" t="e">
        <f t="shared" ca="1" si="211"/>
        <v>#N/A</v>
      </c>
      <c r="AE599" s="33" t="e">
        <f t="shared" ca="1" si="212"/>
        <v>#N/A</v>
      </c>
      <c r="AF599" s="34" t="e">
        <f t="shared" ca="1" si="204"/>
        <v>#N/A</v>
      </c>
      <c r="AG599" s="34" t="e">
        <f t="shared" ca="1" si="205"/>
        <v>#N/A</v>
      </c>
      <c r="AH599" s="34" t="e">
        <f t="shared" ca="1" si="206"/>
        <v>#N/A</v>
      </c>
      <c r="AI599" s="33" t="e">
        <f t="shared" ca="1" si="213"/>
        <v>#N/A</v>
      </c>
      <c r="AJ599" s="34" t="e">
        <f t="shared" ca="1" si="214"/>
        <v>#N/A</v>
      </c>
      <c r="AK599" s="34" t="e">
        <f t="shared" ca="1" si="207"/>
        <v>#N/A</v>
      </c>
      <c r="AL599" s="34" t="e">
        <f t="shared" ca="1" si="208"/>
        <v>#N/A</v>
      </c>
      <c r="AM599" s="33" t="e">
        <f t="shared" ca="1" si="215"/>
        <v>#N/A</v>
      </c>
      <c r="AN599" s="34" t="e">
        <f t="shared" ca="1" si="216"/>
        <v>#N/A</v>
      </c>
    </row>
    <row r="600" spans="1:40" x14ac:dyDescent="0.3">
      <c r="A600" s="2">
        <v>44333</v>
      </c>
      <c r="B600" s="9">
        <v>89.730002999999996</v>
      </c>
      <c r="C600" s="9">
        <v>138.11999499999999</v>
      </c>
      <c r="D600" s="9">
        <v>81.620002999999997</v>
      </c>
      <c r="E600" s="10"/>
      <c r="F600" s="13">
        <v>597</v>
      </c>
      <c r="G600" s="2">
        <v>44333</v>
      </c>
      <c r="H600" s="14">
        <f t="shared" si="197"/>
        <v>-4.3369541093911832E-3</v>
      </c>
      <c r="I600" s="14">
        <f t="shared" si="198"/>
        <v>1.1944781886340372E-2</v>
      </c>
      <c r="J600" s="14">
        <f t="shared" si="199"/>
        <v>5.0359867527911906E-3</v>
      </c>
      <c r="K600" s="22">
        <v>597</v>
      </c>
      <c r="L600" s="12"/>
      <c r="Q600" s="15">
        <f t="shared" si="200"/>
        <v>597</v>
      </c>
      <c r="R600" s="2">
        <f t="shared" si="196"/>
        <v>44333</v>
      </c>
      <c r="S600" s="9">
        <f t="shared" ca="1" si="201"/>
        <v>-4.3369541093911832E-3</v>
      </c>
      <c r="T600" s="9">
        <f t="shared" ca="1" si="202"/>
        <v>1.1944781886340372E-2</v>
      </c>
      <c r="U600" s="9">
        <f t="shared" ca="1" si="203"/>
        <v>5.0359867527911906E-3</v>
      </c>
      <c r="AB600" s="33" t="e">
        <f t="shared" ca="1" si="209"/>
        <v>#N/A</v>
      </c>
      <c r="AC600" s="34" t="e">
        <f t="shared" ca="1" si="210"/>
        <v>#N/A</v>
      </c>
      <c r="AD600" s="34" t="e">
        <f t="shared" ca="1" si="211"/>
        <v>#N/A</v>
      </c>
      <c r="AE600" s="33" t="e">
        <f t="shared" ca="1" si="212"/>
        <v>#N/A</v>
      </c>
      <c r="AF600" s="34" t="e">
        <f t="shared" ca="1" si="204"/>
        <v>#N/A</v>
      </c>
      <c r="AG600" s="34" t="e">
        <f t="shared" ca="1" si="205"/>
        <v>#N/A</v>
      </c>
      <c r="AH600" s="34" t="e">
        <f t="shared" ca="1" si="206"/>
        <v>#N/A</v>
      </c>
      <c r="AI600" s="33" t="e">
        <f t="shared" ca="1" si="213"/>
        <v>#N/A</v>
      </c>
      <c r="AJ600" s="34" t="e">
        <f t="shared" ca="1" si="214"/>
        <v>#N/A</v>
      </c>
      <c r="AK600" s="34" t="e">
        <f t="shared" ca="1" si="207"/>
        <v>#N/A</v>
      </c>
      <c r="AL600" s="34" t="e">
        <f t="shared" ca="1" si="208"/>
        <v>#N/A</v>
      </c>
      <c r="AM600" s="33" t="e">
        <f t="shared" ca="1" si="215"/>
        <v>#N/A</v>
      </c>
      <c r="AN600" s="34" t="e">
        <f t="shared" ca="1" si="216"/>
        <v>#N/A</v>
      </c>
    </row>
    <row r="601" spans="1:40" x14ac:dyDescent="0.3">
      <c r="A601" s="2">
        <v>44334</v>
      </c>
      <c r="B601" s="9">
        <v>88.360000999999997</v>
      </c>
      <c r="C601" s="9">
        <v>136.699997</v>
      </c>
      <c r="D601" s="9">
        <v>79.580001999999993</v>
      </c>
      <c r="E601" s="10"/>
      <c r="F601" s="13">
        <v>598</v>
      </c>
      <c r="G601" s="2">
        <v>44334</v>
      </c>
      <c r="H601" s="14">
        <f t="shared" si="197"/>
        <v>-1.5385804874345543E-2</v>
      </c>
      <c r="I601" s="14">
        <f t="shared" si="198"/>
        <v>-1.0334114537348647E-2</v>
      </c>
      <c r="J601" s="14">
        <f t="shared" si="199"/>
        <v>-2.5311536602631215E-2</v>
      </c>
      <c r="K601" s="22">
        <v>598</v>
      </c>
      <c r="L601" s="12"/>
      <c r="Q601" s="15">
        <f t="shared" si="200"/>
        <v>598</v>
      </c>
      <c r="R601" s="2">
        <f t="shared" si="196"/>
        <v>44334</v>
      </c>
      <c r="S601" s="9">
        <f t="shared" ca="1" si="201"/>
        <v>-1.5385804874345543E-2</v>
      </c>
      <c r="T601" s="9">
        <f t="shared" ca="1" si="202"/>
        <v>-1.0334114537348647E-2</v>
      </c>
      <c r="U601" s="9">
        <f t="shared" ca="1" si="203"/>
        <v>-2.5311536602631215E-2</v>
      </c>
      <c r="AB601" s="33" t="e">
        <f t="shared" ca="1" si="209"/>
        <v>#N/A</v>
      </c>
      <c r="AC601" s="34" t="e">
        <f t="shared" ca="1" si="210"/>
        <v>#N/A</v>
      </c>
      <c r="AD601" s="34" t="e">
        <f t="shared" ca="1" si="211"/>
        <v>#N/A</v>
      </c>
      <c r="AE601" s="33" t="e">
        <f t="shared" ca="1" si="212"/>
        <v>#N/A</v>
      </c>
      <c r="AF601" s="34" t="e">
        <f t="shared" ca="1" si="204"/>
        <v>#N/A</v>
      </c>
      <c r="AG601" s="34" t="e">
        <f t="shared" ca="1" si="205"/>
        <v>#N/A</v>
      </c>
      <c r="AH601" s="34" t="e">
        <f t="shared" ca="1" si="206"/>
        <v>#N/A</v>
      </c>
      <c r="AI601" s="33" t="e">
        <f t="shared" ca="1" si="213"/>
        <v>#N/A</v>
      </c>
      <c r="AJ601" s="34" t="e">
        <f t="shared" ca="1" si="214"/>
        <v>#N/A</v>
      </c>
      <c r="AK601" s="34" t="e">
        <f t="shared" ca="1" si="207"/>
        <v>#N/A</v>
      </c>
      <c r="AL601" s="34" t="e">
        <f t="shared" ca="1" si="208"/>
        <v>#N/A</v>
      </c>
      <c r="AM601" s="33" t="e">
        <f t="shared" ca="1" si="215"/>
        <v>#N/A</v>
      </c>
      <c r="AN601" s="34" t="e">
        <f t="shared" ca="1" si="216"/>
        <v>#N/A</v>
      </c>
    </row>
    <row r="602" spans="1:40" x14ac:dyDescent="0.3">
      <c r="A602" s="2">
        <v>44335</v>
      </c>
      <c r="B602" s="9">
        <v>88.050003000000004</v>
      </c>
      <c r="C602" s="9">
        <v>131.050003</v>
      </c>
      <c r="D602" s="9">
        <v>77.279999000000004</v>
      </c>
      <c r="E602" s="10"/>
      <c r="F602" s="13">
        <v>599</v>
      </c>
      <c r="G602" s="2">
        <v>44335</v>
      </c>
      <c r="H602" s="14">
        <f t="shared" si="197"/>
        <v>-3.5145208554896237E-3</v>
      </c>
      <c r="I602" s="14">
        <f t="shared" si="198"/>
        <v>-4.2209769122595726E-2</v>
      </c>
      <c r="J602" s="14">
        <f t="shared" si="199"/>
        <v>-2.9327653166420987E-2</v>
      </c>
      <c r="K602" s="22">
        <v>599</v>
      </c>
      <c r="L602" s="12"/>
      <c r="Q602" s="15">
        <f t="shared" si="200"/>
        <v>599</v>
      </c>
      <c r="R602" s="2">
        <f t="shared" si="196"/>
        <v>44335</v>
      </c>
      <c r="S602" s="9">
        <f t="shared" ca="1" si="201"/>
        <v>-3.5145208554896237E-3</v>
      </c>
      <c r="T602" s="9">
        <f t="shared" ca="1" si="202"/>
        <v>-4.2209769122595726E-2</v>
      </c>
      <c r="U602" s="9">
        <f t="shared" ca="1" si="203"/>
        <v>-2.9327653166420987E-2</v>
      </c>
      <c r="AB602" s="33" t="e">
        <f t="shared" ca="1" si="209"/>
        <v>#N/A</v>
      </c>
      <c r="AC602" s="34" t="e">
        <f t="shared" ca="1" si="210"/>
        <v>#N/A</v>
      </c>
      <c r="AD602" s="34" t="e">
        <f t="shared" ca="1" si="211"/>
        <v>#N/A</v>
      </c>
      <c r="AE602" s="33" t="e">
        <f t="shared" ca="1" si="212"/>
        <v>#N/A</v>
      </c>
      <c r="AF602" s="34" t="e">
        <f t="shared" ca="1" si="204"/>
        <v>#N/A</v>
      </c>
      <c r="AG602" s="34" t="e">
        <f t="shared" ca="1" si="205"/>
        <v>#N/A</v>
      </c>
      <c r="AH602" s="34" t="e">
        <f t="shared" ca="1" si="206"/>
        <v>#N/A</v>
      </c>
      <c r="AI602" s="33" t="e">
        <f t="shared" ca="1" si="213"/>
        <v>#N/A</v>
      </c>
      <c r="AJ602" s="34" t="e">
        <f t="shared" ca="1" si="214"/>
        <v>#N/A</v>
      </c>
      <c r="AK602" s="34" t="e">
        <f t="shared" ca="1" si="207"/>
        <v>#N/A</v>
      </c>
      <c r="AL602" s="34" t="e">
        <f t="shared" ca="1" si="208"/>
        <v>#N/A</v>
      </c>
      <c r="AM602" s="33" t="e">
        <f t="shared" ca="1" si="215"/>
        <v>#N/A</v>
      </c>
      <c r="AN602" s="34" t="e">
        <f t="shared" ca="1" si="216"/>
        <v>#N/A</v>
      </c>
    </row>
    <row r="603" spans="1:40" x14ac:dyDescent="0.3">
      <c r="A603" s="2">
        <v>44336</v>
      </c>
      <c r="B603" s="9">
        <v>87.720000999999996</v>
      </c>
      <c r="C603" s="9">
        <v>121.870003</v>
      </c>
      <c r="D603" s="9">
        <v>76.989998</v>
      </c>
      <c r="E603" s="10"/>
      <c r="F603" s="13">
        <v>600</v>
      </c>
      <c r="G603" s="2">
        <v>44336</v>
      </c>
      <c r="H603" s="14">
        <f t="shared" si="197"/>
        <v>-3.754934064168713E-3</v>
      </c>
      <c r="I603" s="14">
        <f t="shared" si="198"/>
        <v>-7.2624025209635942E-2</v>
      </c>
      <c r="J603" s="14">
        <f t="shared" si="199"/>
        <v>-3.7596596517457241E-3</v>
      </c>
      <c r="K603" s="22">
        <v>600</v>
      </c>
      <c r="L603" s="12"/>
      <c r="Q603" s="15">
        <f t="shared" si="200"/>
        <v>600</v>
      </c>
      <c r="R603" s="2">
        <f t="shared" si="196"/>
        <v>44336</v>
      </c>
      <c r="S603" s="9">
        <f t="shared" ca="1" si="201"/>
        <v>-3.754934064168713E-3</v>
      </c>
      <c r="T603" s="9">
        <f t="shared" ca="1" si="202"/>
        <v>-7.2624025209635942E-2</v>
      </c>
      <c r="U603" s="9">
        <f t="shared" ca="1" si="203"/>
        <v>-3.7596596517457241E-3</v>
      </c>
      <c r="AB603" s="33" t="e">
        <f t="shared" ca="1" si="209"/>
        <v>#N/A</v>
      </c>
      <c r="AC603" s="34" t="e">
        <f t="shared" ca="1" si="210"/>
        <v>#N/A</v>
      </c>
      <c r="AD603" s="34" t="e">
        <f t="shared" ca="1" si="211"/>
        <v>#N/A</v>
      </c>
      <c r="AE603" s="33" t="e">
        <f t="shared" ca="1" si="212"/>
        <v>#N/A</v>
      </c>
      <c r="AF603" s="34" t="e">
        <f t="shared" ca="1" si="204"/>
        <v>#N/A</v>
      </c>
      <c r="AG603" s="34" t="e">
        <f t="shared" ca="1" si="205"/>
        <v>#N/A</v>
      </c>
      <c r="AH603" s="34" t="e">
        <f t="shared" ca="1" si="206"/>
        <v>#N/A</v>
      </c>
      <c r="AI603" s="33" t="e">
        <f t="shared" ca="1" si="213"/>
        <v>#N/A</v>
      </c>
      <c r="AJ603" s="34" t="e">
        <f t="shared" ca="1" si="214"/>
        <v>#N/A</v>
      </c>
      <c r="AK603" s="34" t="e">
        <f t="shared" ca="1" si="207"/>
        <v>#N/A</v>
      </c>
      <c r="AL603" s="34" t="e">
        <f t="shared" ca="1" si="208"/>
        <v>#N/A</v>
      </c>
      <c r="AM603" s="33" t="e">
        <f t="shared" ca="1" si="215"/>
        <v>#N/A</v>
      </c>
      <c r="AN603" s="34" t="e">
        <f t="shared" ca="1" si="216"/>
        <v>#N/A</v>
      </c>
    </row>
    <row r="604" spans="1:40" x14ac:dyDescent="0.3">
      <c r="A604" s="2">
        <v>44337</v>
      </c>
      <c r="B604" s="9">
        <v>88.010002</v>
      </c>
      <c r="C604" s="9">
        <v>121.089996</v>
      </c>
      <c r="D604" s="9">
        <v>77.199996999999996</v>
      </c>
      <c r="E604" s="10"/>
      <c r="F604" s="13">
        <v>601</v>
      </c>
      <c r="G604" s="2">
        <v>44337</v>
      </c>
      <c r="H604" s="14">
        <f t="shared" si="197"/>
        <v>3.3005321608144097E-3</v>
      </c>
      <c r="I604" s="14">
        <f t="shared" si="198"/>
        <v>-6.4208897188117826E-3</v>
      </c>
      <c r="J604" s="14">
        <f t="shared" si="199"/>
        <v>2.7239008580677662E-3</v>
      </c>
      <c r="K604" s="22">
        <v>601</v>
      </c>
      <c r="L604" s="12"/>
      <c r="Q604" s="15">
        <f t="shared" si="200"/>
        <v>601</v>
      </c>
      <c r="R604" s="2">
        <f t="shared" si="196"/>
        <v>44337</v>
      </c>
      <c r="S604" s="9">
        <f t="shared" ca="1" si="201"/>
        <v>3.3005321608144097E-3</v>
      </c>
      <c r="T604" s="9">
        <f t="shared" ca="1" si="202"/>
        <v>-6.4208897188117826E-3</v>
      </c>
      <c r="U604" s="9">
        <f t="shared" ca="1" si="203"/>
        <v>2.7239008580677662E-3</v>
      </c>
      <c r="AB604" s="33" t="e">
        <f t="shared" ca="1" si="209"/>
        <v>#N/A</v>
      </c>
      <c r="AC604" s="34" t="e">
        <f t="shared" ca="1" si="210"/>
        <v>#N/A</v>
      </c>
      <c r="AD604" s="34" t="e">
        <f t="shared" ca="1" si="211"/>
        <v>#N/A</v>
      </c>
      <c r="AE604" s="33" t="e">
        <f t="shared" ca="1" si="212"/>
        <v>#N/A</v>
      </c>
      <c r="AF604" s="34" t="e">
        <f t="shared" ca="1" si="204"/>
        <v>#N/A</v>
      </c>
      <c r="AG604" s="34" t="e">
        <f t="shared" ca="1" si="205"/>
        <v>#N/A</v>
      </c>
      <c r="AH604" s="34" t="e">
        <f t="shared" ca="1" si="206"/>
        <v>#N/A</v>
      </c>
      <c r="AI604" s="33" t="e">
        <f t="shared" ca="1" si="213"/>
        <v>#N/A</v>
      </c>
      <c r="AJ604" s="34" t="e">
        <f t="shared" ca="1" si="214"/>
        <v>#N/A</v>
      </c>
      <c r="AK604" s="34" t="e">
        <f t="shared" ca="1" si="207"/>
        <v>#N/A</v>
      </c>
      <c r="AL604" s="34" t="e">
        <f t="shared" ca="1" si="208"/>
        <v>#N/A</v>
      </c>
      <c r="AM604" s="33" t="e">
        <f t="shared" ca="1" si="215"/>
        <v>#N/A</v>
      </c>
      <c r="AN604" s="34" t="e">
        <f t="shared" ca="1" si="216"/>
        <v>#N/A</v>
      </c>
    </row>
    <row r="605" spans="1:40" x14ac:dyDescent="0.3">
      <c r="A605" s="2">
        <v>44340</v>
      </c>
      <c r="B605" s="9">
        <v>88.019997000000004</v>
      </c>
      <c r="C605" s="9">
        <v>119.610001</v>
      </c>
      <c r="D605" s="9">
        <v>78.309997999999993</v>
      </c>
      <c r="E605" s="10"/>
      <c r="F605" s="13">
        <v>602</v>
      </c>
      <c r="G605" s="2">
        <v>44340</v>
      </c>
      <c r="H605" s="14">
        <f t="shared" si="197"/>
        <v>1.1356018937139185E-4</v>
      </c>
      <c r="I605" s="14">
        <f t="shared" si="198"/>
        <v>-1.2297579311115045E-2</v>
      </c>
      <c r="J605" s="14">
        <f t="shared" si="199"/>
        <v>1.4275865052697474E-2</v>
      </c>
      <c r="K605" s="22">
        <v>602</v>
      </c>
      <c r="L605" s="12"/>
      <c r="Q605" s="15">
        <f t="shared" si="200"/>
        <v>602</v>
      </c>
      <c r="R605" s="2">
        <f t="shared" si="196"/>
        <v>44340</v>
      </c>
      <c r="S605" s="9">
        <f t="shared" ca="1" si="201"/>
        <v>1.1356018937139185E-4</v>
      </c>
      <c r="T605" s="9">
        <f t="shared" ca="1" si="202"/>
        <v>-1.2297579311115045E-2</v>
      </c>
      <c r="U605" s="9">
        <f t="shared" ca="1" si="203"/>
        <v>1.4275865052697474E-2</v>
      </c>
      <c r="AB605" s="33" t="e">
        <f t="shared" ca="1" si="209"/>
        <v>#N/A</v>
      </c>
      <c r="AC605" s="34" t="e">
        <f t="shared" ca="1" si="210"/>
        <v>#N/A</v>
      </c>
      <c r="AD605" s="34" t="e">
        <f t="shared" ca="1" si="211"/>
        <v>#N/A</v>
      </c>
      <c r="AE605" s="33" t="e">
        <f t="shared" ca="1" si="212"/>
        <v>#N/A</v>
      </c>
      <c r="AF605" s="34" t="e">
        <f t="shared" ca="1" si="204"/>
        <v>#N/A</v>
      </c>
      <c r="AG605" s="34" t="e">
        <f t="shared" ca="1" si="205"/>
        <v>#N/A</v>
      </c>
      <c r="AH605" s="34" t="e">
        <f t="shared" ca="1" si="206"/>
        <v>#N/A</v>
      </c>
      <c r="AI605" s="33" t="e">
        <f t="shared" ca="1" si="213"/>
        <v>#N/A</v>
      </c>
      <c r="AJ605" s="34" t="e">
        <f t="shared" ca="1" si="214"/>
        <v>#N/A</v>
      </c>
      <c r="AK605" s="34" t="e">
        <f t="shared" ca="1" si="207"/>
        <v>#N/A</v>
      </c>
      <c r="AL605" s="34" t="e">
        <f t="shared" ca="1" si="208"/>
        <v>#N/A</v>
      </c>
      <c r="AM605" s="33" t="e">
        <f t="shared" ca="1" si="215"/>
        <v>#N/A</v>
      </c>
      <c r="AN605" s="34" t="e">
        <f t="shared" ca="1" si="216"/>
        <v>#N/A</v>
      </c>
    </row>
    <row r="606" spans="1:40" x14ac:dyDescent="0.3">
      <c r="A606" s="2">
        <v>44341</v>
      </c>
      <c r="B606" s="9">
        <v>87.220000999999996</v>
      </c>
      <c r="C606" s="9">
        <v>121.550003</v>
      </c>
      <c r="D606" s="9">
        <v>77.330001999999993</v>
      </c>
      <c r="E606" s="10"/>
      <c r="F606" s="13">
        <v>603</v>
      </c>
      <c r="G606" s="2">
        <v>44341</v>
      </c>
      <c r="H606" s="14">
        <f t="shared" si="197"/>
        <v>-9.1303534199012933E-3</v>
      </c>
      <c r="I606" s="14">
        <f t="shared" si="198"/>
        <v>1.6089267021454922E-2</v>
      </c>
      <c r="J606" s="14">
        <f t="shared" si="199"/>
        <v>-1.259327873919603E-2</v>
      </c>
      <c r="K606" s="22">
        <v>603</v>
      </c>
      <c r="L606" s="12"/>
      <c r="Q606" s="15">
        <f t="shared" si="200"/>
        <v>603</v>
      </c>
      <c r="R606" s="2">
        <f t="shared" si="196"/>
        <v>44341</v>
      </c>
      <c r="S606" s="9">
        <f t="shared" ca="1" si="201"/>
        <v>-9.1303534199012933E-3</v>
      </c>
      <c r="T606" s="9">
        <f t="shared" ca="1" si="202"/>
        <v>1.6089267021454922E-2</v>
      </c>
      <c r="U606" s="9">
        <f t="shared" ca="1" si="203"/>
        <v>-1.259327873919603E-2</v>
      </c>
      <c r="AB606" s="33" t="e">
        <f t="shared" ca="1" si="209"/>
        <v>#N/A</v>
      </c>
      <c r="AC606" s="34" t="e">
        <f t="shared" ca="1" si="210"/>
        <v>#N/A</v>
      </c>
      <c r="AD606" s="34" t="e">
        <f t="shared" ca="1" si="211"/>
        <v>#N/A</v>
      </c>
      <c r="AE606" s="33" t="e">
        <f t="shared" ca="1" si="212"/>
        <v>#N/A</v>
      </c>
      <c r="AF606" s="34" t="e">
        <f t="shared" ca="1" si="204"/>
        <v>#N/A</v>
      </c>
      <c r="AG606" s="34" t="e">
        <f t="shared" ca="1" si="205"/>
        <v>#N/A</v>
      </c>
      <c r="AH606" s="34" t="e">
        <f t="shared" ca="1" si="206"/>
        <v>#N/A</v>
      </c>
      <c r="AI606" s="33" t="e">
        <f t="shared" ca="1" si="213"/>
        <v>#N/A</v>
      </c>
      <c r="AJ606" s="34" t="e">
        <f t="shared" ca="1" si="214"/>
        <v>#N/A</v>
      </c>
      <c r="AK606" s="34" t="e">
        <f t="shared" ca="1" si="207"/>
        <v>#N/A</v>
      </c>
      <c r="AL606" s="34" t="e">
        <f t="shared" ca="1" si="208"/>
        <v>#N/A</v>
      </c>
      <c r="AM606" s="33" t="e">
        <f t="shared" ca="1" si="215"/>
        <v>#N/A</v>
      </c>
      <c r="AN606" s="34" t="e">
        <f t="shared" ca="1" si="216"/>
        <v>#N/A</v>
      </c>
    </row>
    <row r="607" spans="1:40" x14ac:dyDescent="0.3">
      <c r="A607" s="2">
        <v>44342</v>
      </c>
      <c r="B607" s="9">
        <v>87.68</v>
      </c>
      <c r="C607" s="9">
        <v>124.040001</v>
      </c>
      <c r="D607" s="9">
        <v>79.089995999999999</v>
      </c>
      <c r="E607" s="10"/>
      <c r="F607" s="13">
        <v>604</v>
      </c>
      <c r="G607" s="2">
        <v>44342</v>
      </c>
      <c r="H607" s="14">
        <f t="shared" si="197"/>
        <v>5.2601493198250358E-3</v>
      </c>
      <c r="I607" s="14">
        <f t="shared" si="198"/>
        <v>2.0278376850830376E-2</v>
      </c>
      <c r="J607" s="14">
        <f t="shared" si="199"/>
        <v>2.2504389471903183E-2</v>
      </c>
      <c r="K607" s="22">
        <v>604</v>
      </c>
      <c r="L607" s="12"/>
      <c r="Q607" s="15">
        <f t="shared" si="200"/>
        <v>604</v>
      </c>
      <c r="R607" s="2">
        <f t="shared" si="196"/>
        <v>44342</v>
      </c>
      <c r="S607" s="9">
        <f t="shared" ca="1" si="201"/>
        <v>5.2601493198250358E-3</v>
      </c>
      <c r="T607" s="9">
        <f t="shared" ca="1" si="202"/>
        <v>2.0278376850830376E-2</v>
      </c>
      <c r="U607" s="9">
        <f t="shared" ca="1" si="203"/>
        <v>2.2504389471903183E-2</v>
      </c>
      <c r="AB607" s="33" t="e">
        <f t="shared" ca="1" si="209"/>
        <v>#N/A</v>
      </c>
      <c r="AC607" s="34" t="e">
        <f t="shared" ca="1" si="210"/>
        <v>#N/A</v>
      </c>
      <c r="AD607" s="34" t="e">
        <f t="shared" ca="1" si="211"/>
        <v>#N/A</v>
      </c>
      <c r="AE607" s="33" t="e">
        <f t="shared" ca="1" si="212"/>
        <v>#N/A</v>
      </c>
      <c r="AF607" s="34" t="e">
        <f t="shared" ca="1" si="204"/>
        <v>#N/A</v>
      </c>
      <c r="AG607" s="34" t="e">
        <f t="shared" ca="1" si="205"/>
        <v>#N/A</v>
      </c>
      <c r="AH607" s="34" t="e">
        <f t="shared" ca="1" si="206"/>
        <v>#N/A</v>
      </c>
      <c r="AI607" s="33" t="e">
        <f t="shared" ca="1" si="213"/>
        <v>#N/A</v>
      </c>
      <c r="AJ607" s="34" t="e">
        <f t="shared" ca="1" si="214"/>
        <v>#N/A</v>
      </c>
      <c r="AK607" s="34" t="e">
        <f t="shared" ca="1" si="207"/>
        <v>#N/A</v>
      </c>
      <c r="AL607" s="34" t="e">
        <f t="shared" ca="1" si="208"/>
        <v>#N/A</v>
      </c>
      <c r="AM607" s="33" t="e">
        <f t="shared" ca="1" si="215"/>
        <v>#N/A</v>
      </c>
      <c r="AN607" s="34" t="e">
        <f t="shared" ca="1" si="216"/>
        <v>#N/A</v>
      </c>
    </row>
    <row r="608" spans="1:40" x14ac:dyDescent="0.3">
      <c r="A608" s="2">
        <v>44343</v>
      </c>
      <c r="B608" s="9">
        <v>88.940002000000007</v>
      </c>
      <c r="C608" s="9">
        <v>125.639999</v>
      </c>
      <c r="D608" s="9">
        <v>80.790001000000004</v>
      </c>
      <c r="E608" s="10"/>
      <c r="F608" s="13">
        <v>605</v>
      </c>
      <c r="G608" s="2">
        <v>44343</v>
      </c>
      <c r="H608" s="14">
        <f t="shared" si="197"/>
        <v>1.4268184369914763E-2</v>
      </c>
      <c r="I608" s="14">
        <f t="shared" si="198"/>
        <v>1.2816564417033499E-2</v>
      </c>
      <c r="J608" s="14">
        <f t="shared" si="199"/>
        <v>2.1266813913356046E-2</v>
      </c>
      <c r="K608" s="22">
        <v>605</v>
      </c>
      <c r="L608" s="12"/>
      <c r="Q608" s="15">
        <f t="shared" si="200"/>
        <v>605</v>
      </c>
      <c r="R608" s="2">
        <f t="shared" si="196"/>
        <v>44343</v>
      </c>
      <c r="S608" s="9">
        <f t="shared" ca="1" si="201"/>
        <v>1.4268184369914763E-2</v>
      </c>
      <c r="T608" s="9">
        <f t="shared" ca="1" si="202"/>
        <v>1.2816564417033499E-2</v>
      </c>
      <c r="U608" s="9">
        <f t="shared" ca="1" si="203"/>
        <v>2.1266813913356046E-2</v>
      </c>
      <c r="AB608" s="33" t="e">
        <f t="shared" ca="1" si="209"/>
        <v>#N/A</v>
      </c>
      <c r="AC608" s="34" t="e">
        <f t="shared" ca="1" si="210"/>
        <v>#N/A</v>
      </c>
      <c r="AD608" s="34" t="e">
        <f t="shared" ca="1" si="211"/>
        <v>#N/A</v>
      </c>
      <c r="AE608" s="33" t="e">
        <f t="shared" ca="1" si="212"/>
        <v>#N/A</v>
      </c>
      <c r="AF608" s="34" t="e">
        <f t="shared" ca="1" si="204"/>
        <v>#N/A</v>
      </c>
      <c r="AG608" s="34" t="e">
        <f t="shared" ca="1" si="205"/>
        <v>#N/A</v>
      </c>
      <c r="AH608" s="34" t="e">
        <f t="shared" ca="1" si="206"/>
        <v>#N/A</v>
      </c>
      <c r="AI608" s="33" t="e">
        <f t="shared" ca="1" si="213"/>
        <v>#N/A</v>
      </c>
      <c r="AJ608" s="34" t="e">
        <f t="shared" ca="1" si="214"/>
        <v>#N/A</v>
      </c>
      <c r="AK608" s="34" t="e">
        <f t="shared" ca="1" si="207"/>
        <v>#N/A</v>
      </c>
      <c r="AL608" s="34" t="e">
        <f t="shared" ca="1" si="208"/>
        <v>#N/A</v>
      </c>
      <c r="AM608" s="33" t="e">
        <f t="shared" ca="1" si="215"/>
        <v>#N/A</v>
      </c>
      <c r="AN608" s="34" t="e">
        <f t="shared" ca="1" si="216"/>
        <v>#N/A</v>
      </c>
    </row>
    <row r="609" spans="1:40" x14ac:dyDescent="0.3">
      <c r="A609" s="2">
        <v>44344</v>
      </c>
      <c r="B609" s="9">
        <v>88.790001000000004</v>
      </c>
      <c r="C609" s="9">
        <v>124.08000199999999</v>
      </c>
      <c r="D609" s="9">
        <v>80.400002000000001</v>
      </c>
      <c r="E609" s="10"/>
      <c r="F609" s="13">
        <v>606</v>
      </c>
      <c r="G609" s="2">
        <v>44344</v>
      </c>
      <c r="H609" s="14">
        <f t="shared" si="197"/>
        <v>-1.6879652628551556E-3</v>
      </c>
      <c r="I609" s="14">
        <f t="shared" si="198"/>
        <v>-1.2494131724280821E-2</v>
      </c>
      <c r="J609" s="14">
        <f t="shared" si="199"/>
        <v>-4.8390068088444782E-3</v>
      </c>
      <c r="K609" s="22">
        <v>606</v>
      </c>
      <c r="L609" s="12"/>
      <c r="Q609" s="15">
        <f t="shared" si="200"/>
        <v>606</v>
      </c>
      <c r="R609" s="2">
        <f t="shared" si="196"/>
        <v>44344</v>
      </c>
      <c r="S609" s="9">
        <f t="shared" ca="1" si="201"/>
        <v>-1.6879652628551556E-3</v>
      </c>
      <c r="T609" s="9">
        <f t="shared" ca="1" si="202"/>
        <v>-1.2494131724280821E-2</v>
      </c>
      <c r="U609" s="9">
        <f t="shared" ca="1" si="203"/>
        <v>-4.8390068088444782E-3</v>
      </c>
      <c r="AB609" s="33" t="e">
        <f t="shared" ca="1" si="209"/>
        <v>#N/A</v>
      </c>
      <c r="AC609" s="34" t="e">
        <f t="shared" ca="1" si="210"/>
        <v>#N/A</v>
      </c>
      <c r="AD609" s="34" t="e">
        <f t="shared" ca="1" si="211"/>
        <v>#N/A</v>
      </c>
      <c r="AE609" s="33" t="e">
        <f t="shared" ca="1" si="212"/>
        <v>#N/A</v>
      </c>
      <c r="AF609" s="34" t="e">
        <f t="shared" ca="1" si="204"/>
        <v>#N/A</v>
      </c>
      <c r="AG609" s="34" t="e">
        <f t="shared" ca="1" si="205"/>
        <v>#N/A</v>
      </c>
      <c r="AH609" s="34" t="e">
        <f t="shared" ca="1" si="206"/>
        <v>#N/A</v>
      </c>
      <c r="AI609" s="33" t="e">
        <f t="shared" ca="1" si="213"/>
        <v>#N/A</v>
      </c>
      <c r="AJ609" s="34" t="e">
        <f t="shared" ca="1" si="214"/>
        <v>#N/A</v>
      </c>
      <c r="AK609" s="34" t="e">
        <f t="shared" ca="1" si="207"/>
        <v>#N/A</v>
      </c>
      <c r="AL609" s="34" t="e">
        <f t="shared" ca="1" si="208"/>
        <v>#N/A</v>
      </c>
      <c r="AM609" s="33" t="e">
        <f t="shared" ca="1" si="215"/>
        <v>#N/A</v>
      </c>
      <c r="AN609" s="34" t="e">
        <f t="shared" ca="1" si="216"/>
        <v>#N/A</v>
      </c>
    </row>
    <row r="610" spans="1:40" x14ac:dyDescent="0.3">
      <c r="A610" s="2">
        <v>44348</v>
      </c>
      <c r="B610" s="9">
        <v>90.269997000000004</v>
      </c>
      <c r="C610" s="9">
        <v>124.91999800000001</v>
      </c>
      <c r="D610" s="9">
        <v>82.18</v>
      </c>
      <c r="E610" s="10"/>
      <c r="F610" s="13">
        <v>607</v>
      </c>
      <c r="G610" s="2">
        <v>44348</v>
      </c>
      <c r="H610" s="14">
        <f t="shared" si="197"/>
        <v>1.6531103769665725E-2</v>
      </c>
      <c r="I610" s="14">
        <f t="shared" si="198"/>
        <v>6.7469814177148158E-3</v>
      </c>
      <c r="J610" s="14">
        <f t="shared" si="199"/>
        <v>2.1897762394721396E-2</v>
      </c>
      <c r="K610" s="22">
        <v>607</v>
      </c>
      <c r="L610" s="12"/>
      <c r="Q610" s="15">
        <f t="shared" si="200"/>
        <v>607</v>
      </c>
      <c r="R610" s="2">
        <f t="shared" si="196"/>
        <v>44348</v>
      </c>
      <c r="S610" s="9">
        <f t="shared" ca="1" si="201"/>
        <v>1.6531103769665725E-2</v>
      </c>
      <c r="T610" s="9">
        <f t="shared" ca="1" si="202"/>
        <v>6.7469814177148158E-3</v>
      </c>
      <c r="U610" s="9">
        <f t="shared" ca="1" si="203"/>
        <v>2.1897762394721396E-2</v>
      </c>
      <c r="AB610" s="33" t="e">
        <f t="shared" ca="1" si="209"/>
        <v>#N/A</v>
      </c>
      <c r="AC610" s="34" t="e">
        <f t="shared" ca="1" si="210"/>
        <v>#N/A</v>
      </c>
      <c r="AD610" s="34" t="e">
        <f t="shared" ca="1" si="211"/>
        <v>#N/A</v>
      </c>
      <c r="AE610" s="33" t="e">
        <f t="shared" ca="1" si="212"/>
        <v>#N/A</v>
      </c>
      <c r="AF610" s="34" t="e">
        <f t="shared" ca="1" si="204"/>
        <v>#N/A</v>
      </c>
      <c r="AG610" s="34" t="e">
        <f t="shared" ca="1" si="205"/>
        <v>#N/A</v>
      </c>
      <c r="AH610" s="34" t="e">
        <f t="shared" ca="1" si="206"/>
        <v>#N/A</v>
      </c>
      <c r="AI610" s="33" t="e">
        <f t="shared" ca="1" si="213"/>
        <v>#N/A</v>
      </c>
      <c r="AJ610" s="34" t="e">
        <f t="shared" ca="1" si="214"/>
        <v>#N/A</v>
      </c>
      <c r="AK610" s="34" t="e">
        <f t="shared" ca="1" si="207"/>
        <v>#N/A</v>
      </c>
      <c r="AL610" s="34" t="e">
        <f t="shared" ca="1" si="208"/>
        <v>#N/A</v>
      </c>
      <c r="AM610" s="33" t="e">
        <f t="shared" ca="1" si="215"/>
        <v>#N/A</v>
      </c>
      <c r="AN610" s="34" t="e">
        <f t="shared" ca="1" si="216"/>
        <v>#N/A</v>
      </c>
    </row>
    <row r="611" spans="1:40" x14ac:dyDescent="0.3">
      <c r="A611" s="2">
        <v>44349</v>
      </c>
      <c r="B611" s="9">
        <v>90.220000999999996</v>
      </c>
      <c r="C611" s="9">
        <v>122.91999800000001</v>
      </c>
      <c r="D611" s="9">
        <v>84.389999000000003</v>
      </c>
      <c r="E611" s="10"/>
      <c r="F611" s="13">
        <v>608</v>
      </c>
      <c r="G611" s="2">
        <v>44349</v>
      </c>
      <c r="H611" s="14">
        <f t="shared" si="197"/>
        <v>-5.5400301216400728E-4</v>
      </c>
      <c r="I611" s="14">
        <f t="shared" si="198"/>
        <v>-1.6139795413092572E-2</v>
      </c>
      <c r="J611" s="14">
        <f t="shared" si="199"/>
        <v>2.6536935864866239E-2</v>
      </c>
      <c r="K611" s="22">
        <v>608</v>
      </c>
      <c r="L611" s="12"/>
      <c r="Q611" s="15">
        <f t="shared" si="200"/>
        <v>608</v>
      </c>
      <c r="R611" s="2">
        <f t="shared" si="196"/>
        <v>44349</v>
      </c>
      <c r="S611" s="9">
        <f t="shared" ca="1" si="201"/>
        <v>-5.5400301216400728E-4</v>
      </c>
      <c r="T611" s="9">
        <f t="shared" ca="1" si="202"/>
        <v>-1.6139795413092572E-2</v>
      </c>
      <c r="U611" s="9">
        <f t="shared" ca="1" si="203"/>
        <v>2.6536935864866239E-2</v>
      </c>
      <c r="AB611" s="33" t="e">
        <f t="shared" ca="1" si="209"/>
        <v>#N/A</v>
      </c>
      <c r="AC611" s="34" t="e">
        <f t="shared" ca="1" si="210"/>
        <v>#N/A</v>
      </c>
      <c r="AD611" s="34" t="e">
        <f t="shared" ca="1" si="211"/>
        <v>#N/A</v>
      </c>
      <c r="AE611" s="33" t="e">
        <f t="shared" ca="1" si="212"/>
        <v>#N/A</v>
      </c>
      <c r="AF611" s="34" t="e">
        <f t="shared" ca="1" si="204"/>
        <v>#N/A</v>
      </c>
      <c r="AG611" s="34" t="e">
        <f t="shared" ca="1" si="205"/>
        <v>#N/A</v>
      </c>
      <c r="AH611" s="34" t="e">
        <f t="shared" ca="1" si="206"/>
        <v>#N/A</v>
      </c>
      <c r="AI611" s="33" t="e">
        <f t="shared" ca="1" si="213"/>
        <v>#N/A</v>
      </c>
      <c r="AJ611" s="34" t="e">
        <f t="shared" ca="1" si="214"/>
        <v>#N/A</v>
      </c>
      <c r="AK611" s="34" t="e">
        <f t="shared" ca="1" si="207"/>
        <v>#N/A</v>
      </c>
      <c r="AL611" s="34" t="e">
        <f t="shared" ca="1" si="208"/>
        <v>#N/A</v>
      </c>
      <c r="AM611" s="33" t="e">
        <f t="shared" ca="1" si="215"/>
        <v>#N/A</v>
      </c>
      <c r="AN611" s="34" t="e">
        <f t="shared" ca="1" si="216"/>
        <v>#N/A</v>
      </c>
    </row>
    <row r="612" spans="1:40" x14ac:dyDescent="0.3">
      <c r="A612" s="2">
        <v>44350</v>
      </c>
      <c r="B612" s="9">
        <v>90.07</v>
      </c>
      <c r="C612" s="9">
        <v>121.139999</v>
      </c>
      <c r="D612" s="9">
        <v>83.32</v>
      </c>
      <c r="E612" s="10"/>
      <c r="F612" s="13">
        <v>609</v>
      </c>
      <c r="G612" s="2">
        <v>44350</v>
      </c>
      <c r="H612" s="14">
        <f t="shared" si="197"/>
        <v>-1.6639972686152778E-3</v>
      </c>
      <c r="I612" s="14">
        <f t="shared" si="198"/>
        <v>-1.4586827693649216E-2</v>
      </c>
      <c r="J612" s="14">
        <f t="shared" si="199"/>
        <v>-1.2760282927358802E-2</v>
      </c>
      <c r="K612" s="22">
        <v>609</v>
      </c>
      <c r="L612" s="12"/>
      <c r="Q612" s="15">
        <f t="shared" si="200"/>
        <v>609</v>
      </c>
      <c r="R612" s="2">
        <f t="shared" si="196"/>
        <v>44350</v>
      </c>
      <c r="S612" s="9">
        <f t="shared" ca="1" si="201"/>
        <v>-1.6639972686152778E-3</v>
      </c>
      <c r="T612" s="9">
        <f t="shared" ca="1" si="202"/>
        <v>-1.4586827693649216E-2</v>
      </c>
      <c r="U612" s="9">
        <f t="shared" ca="1" si="203"/>
        <v>-1.2760282927358802E-2</v>
      </c>
      <c r="AB612" s="33" t="e">
        <f t="shared" ca="1" si="209"/>
        <v>#N/A</v>
      </c>
      <c r="AC612" s="34" t="e">
        <f t="shared" ca="1" si="210"/>
        <v>#N/A</v>
      </c>
      <c r="AD612" s="34" t="e">
        <f t="shared" ca="1" si="211"/>
        <v>#N/A</v>
      </c>
      <c r="AE612" s="33" t="e">
        <f t="shared" ca="1" si="212"/>
        <v>#N/A</v>
      </c>
      <c r="AF612" s="34" t="e">
        <f t="shared" ca="1" si="204"/>
        <v>#N/A</v>
      </c>
      <c r="AG612" s="34" t="e">
        <f t="shared" ca="1" si="205"/>
        <v>#N/A</v>
      </c>
      <c r="AH612" s="34" t="e">
        <f t="shared" ca="1" si="206"/>
        <v>#N/A</v>
      </c>
      <c r="AI612" s="33" t="e">
        <f t="shared" ca="1" si="213"/>
        <v>#N/A</v>
      </c>
      <c r="AJ612" s="34" t="e">
        <f t="shared" ca="1" si="214"/>
        <v>#N/A</v>
      </c>
      <c r="AK612" s="34" t="e">
        <f t="shared" ca="1" si="207"/>
        <v>#N/A</v>
      </c>
      <c r="AL612" s="34" t="e">
        <f t="shared" ca="1" si="208"/>
        <v>#N/A</v>
      </c>
      <c r="AM612" s="33" t="e">
        <f t="shared" ca="1" si="215"/>
        <v>#N/A</v>
      </c>
      <c r="AN612" s="34" t="e">
        <f t="shared" ca="1" si="216"/>
        <v>#N/A</v>
      </c>
    </row>
    <row r="613" spans="1:40" x14ac:dyDescent="0.3">
      <c r="A613" s="2">
        <v>44351</v>
      </c>
      <c r="B613" s="9">
        <v>90.379997000000003</v>
      </c>
      <c r="C613" s="9">
        <v>120.769997</v>
      </c>
      <c r="D613" s="9">
        <v>83.239998</v>
      </c>
      <c r="E613" s="10"/>
      <c r="F613" s="13">
        <v>610</v>
      </c>
      <c r="G613" s="2">
        <v>44351</v>
      </c>
      <c r="H613" s="14">
        <f t="shared" si="197"/>
        <v>3.4358249942972896E-3</v>
      </c>
      <c r="I613" s="14">
        <f t="shared" si="198"/>
        <v>-3.0590078512119064E-3</v>
      </c>
      <c r="J613" s="14">
        <f t="shared" si="199"/>
        <v>-9.6063889424793827E-4</v>
      </c>
      <c r="K613" s="22">
        <v>610</v>
      </c>
      <c r="L613" s="12"/>
      <c r="Q613" s="15">
        <f t="shared" si="200"/>
        <v>610</v>
      </c>
      <c r="R613" s="2">
        <f t="shared" si="196"/>
        <v>44351</v>
      </c>
      <c r="S613" s="9">
        <f t="shared" ca="1" si="201"/>
        <v>3.4358249942972896E-3</v>
      </c>
      <c r="T613" s="9">
        <f t="shared" ca="1" si="202"/>
        <v>-3.0590078512119064E-3</v>
      </c>
      <c r="U613" s="9">
        <f t="shared" ca="1" si="203"/>
        <v>-9.6063889424793827E-4</v>
      </c>
      <c r="AB613" s="33" t="e">
        <f t="shared" ca="1" si="209"/>
        <v>#N/A</v>
      </c>
      <c r="AC613" s="34" t="e">
        <f t="shared" ca="1" si="210"/>
        <v>#N/A</v>
      </c>
      <c r="AD613" s="34" t="e">
        <f t="shared" ca="1" si="211"/>
        <v>#N/A</v>
      </c>
      <c r="AE613" s="33" t="e">
        <f t="shared" ca="1" si="212"/>
        <v>#N/A</v>
      </c>
      <c r="AF613" s="34" t="e">
        <f t="shared" ca="1" si="204"/>
        <v>#N/A</v>
      </c>
      <c r="AG613" s="34" t="e">
        <f t="shared" ca="1" si="205"/>
        <v>#N/A</v>
      </c>
      <c r="AH613" s="34" t="e">
        <f t="shared" ca="1" si="206"/>
        <v>#N/A</v>
      </c>
      <c r="AI613" s="33" t="e">
        <f t="shared" ca="1" si="213"/>
        <v>#N/A</v>
      </c>
      <c r="AJ613" s="34" t="e">
        <f t="shared" ca="1" si="214"/>
        <v>#N/A</v>
      </c>
      <c r="AK613" s="34" t="e">
        <f t="shared" ca="1" si="207"/>
        <v>#N/A</v>
      </c>
      <c r="AL613" s="34" t="e">
        <f t="shared" ca="1" si="208"/>
        <v>#N/A</v>
      </c>
      <c r="AM613" s="33" t="e">
        <f t="shared" ca="1" si="215"/>
        <v>#N/A</v>
      </c>
      <c r="AN613" s="34" t="e">
        <f t="shared" ca="1" si="216"/>
        <v>#N/A</v>
      </c>
    </row>
    <row r="614" spans="1:40" x14ac:dyDescent="0.3">
      <c r="A614" s="2">
        <v>44354</v>
      </c>
      <c r="B614" s="9">
        <v>89.830001999999993</v>
      </c>
      <c r="C614" s="9">
        <v>120.949997</v>
      </c>
      <c r="D614" s="9">
        <v>82.690002000000007</v>
      </c>
      <c r="E614" s="10"/>
      <c r="F614" s="13">
        <v>611</v>
      </c>
      <c r="G614" s="2">
        <v>44354</v>
      </c>
      <c r="H614" s="14">
        <f t="shared" si="197"/>
        <v>-6.1039532845569202E-3</v>
      </c>
      <c r="I614" s="14">
        <f t="shared" si="198"/>
        <v>1.4893268057204563E-3</v>
      </c>
      <c r="J614" s="14">
        <f t="shared" si="199"/>
        <v>-6.6292775777266411E-3</v>
      </c>
      <c r="K614" s="22">
        <v>611</v>
      </c>
      <c r="L614" s="12"/>
      <c r="Q614" s="15">
        <f t="shared" si="200"/>
        <v>611</v>
      </c>
      <c r="R614" s="2">
        <f t="shared" si="196"/>
        <v>44354</v>
      </c>
      <c r="S614" s="9">
        <f t="shared" ca="1" si="201"/>
        <v>-6.1039532845569202E-3</v>
      </c>
      <c r="T614" s="9">
        <f t="shared" ca="1" si="202"/>
        <v>1.4893268057204563E-3</v>
      </c>
      <c r="U614" s="9">
        <f t="shared" ca="1" si="203"/>
        <v>-6.6292775777266411E-3</v>
      </c>
      <c r="AB614" s="33" t="e">
        <f t="shared" ca="1" si="209"/>
        <v>#N/A</v>
      </c>
      <c r="AC614" s="34" t="e">
        <f t="shared" ca="1" si="210"/>
        <v>#N/A</v>
      </c>
      <c r="AD614" s="34" t="e">
        <f t="shared" ca="1" si="211"/>
        <v>#N/A</v>
      </c>
      <c r="AE614" s="33" t="e">
        <f t="shared" ca="1" si="212"/>
        <v>#N/A</v>
      </c>
      <c r="AF614" s="34" t="e">
        <f t="shared" ca="1" si="204"/>
        <v>#N/A</v>
      </c>
      <c r="AG614" s="34" t="e">
        <f t="shared" ca="1" si="205"/>
        <v>#N/A</v>
      </c>
      <c r="AH614" s="34" t="e">
        <f t="shared" ca="1" si="206"/>
        <v>#N/A</v>
      </c>
      <c r="AI614" s="33" t="e">
        <f t="shared" ca="1" si="213"/>
        <v>#N/A</v>
      </c>
      <c r="AJ614" s="34" t="e">
        <f t="shared" ca="1" si="214"/>
        <v>#N/A</v>
      </c>
      <c r="AK614" s="34" t="e">
        <f t="shared" ca="1" si="207"/>
        <v>#N/A</v>
      </c>
      <c r="AL614" s="34" t="e">
        <f t="shared" ca="1" si="208"/>
        <v>#N/A</v>
      </c>
      <c r="AM614" s="33" t="e">
        <f t="shared" ca="1" si="215"/>
        <v>#N/A</v>
      </c>
      <c r="AN614" s="34" t="e">
        <f t="shared" ca="1" si="216"/>
        <v>#N/A</v>
      </c>
    </row>
    <row r="615" spans="1:40" x14ac:dyDescent="0.3">
      <c r="A615" s="2">
        <v>44355</v>
      </c>
      <c r="B615" s="9">
        <v>91.309997999999993</v>
      </c>
      <c r="C615" s="9">
        <v>122.459999</v>
      </c>
      <c r="D615" s="9">
        <v>83.260002</v>
      </c>
      <c r="E615" s="10"/>
      <c r="F615" s="13">
        <v>612</v>
      </c>
      <c r="G615" s="2">
        <v>44355</v>
      </c>
      <c r="H615" s="14">
        <f t="shared" si="197"/>
        <v>1.6341271219450511E-2</v>
      </c>
      <c r="I615" s="14">
        <f t="shared" si="198"/>
        <v>1.2407225631478568E-2</v>
      </c>
      <c r="J615" s="14">
        <f t="shared" si="199"/>
        <v>6.8695658671711485E-3</v>
      </c>
      <c r="K615" s="22">
        <v>612</v>
      </c>
      <c r="L615" s="12"/>
      <c r="Q615" s="15">
        <f t="shared" si="200"/>
        <v>612</v>
      </c>
      <c r="R615" s="2">
        <f t="shared" si="196"/>
        <v>44355</v>
      </c>
      <c r="S615" s="9">
        <f t="shared" ca="1" si="201"/>
        <v>1.6341271219450511E-2</v>
      </c>
      <c r="T615" s="9">
        <f t="shared" ca="1" si="202"/>
        <v>1.2407225631478568E-2</v>
      </c>
      <c r="U615" s="9">
        <f t="shared" ca="1" si="203"/>
        <v>6.8695658671711485E-3</v>
      </c>
      <c r="AB615" s="33" t="e">
        <f t="shared" ca="1" si="209"/>
        <v>#N/A</v>
      </c>
      <c r="AC615" s="34" t="e">
        <f t="shared" ca="1" si="210"/>
        <v>#N/A</v>
      </c>
      <c r="AD615" s="34" t="e">
        <f t="shared" ca="1" si="211"/>
        <v>#N/A</v>
      </c>
      <c r="AE615" s="33" t="e">
        <f t="shared" ca="1" si="212"/>
        <v>#N/A</v>
      </c>
      <c r="AF615" s="34" t="e">
        <f t="shared" ca="1" si="204"/>
        <v>#N/A</v>
      </c>
      <c r="AG615" s="34" t="e">
        <f t="shared" ca="1" si="205"/>
        <v>#N/A</v>
      </c>
      <c r="AH615" s="34" t="e">
        <f t="shared" ca="1" si="206"/>
        <v>#N/A</v>
      </c>
      <c r="AI615" s="33" t="e">
        <f t="shared" ca="1" si="213"/>
        <v>#N/A</v>
      </c>
      <c r="AJ615" s="34" t="e">
        <f t="shared" ca="1" si="214"/>
        <v>#N/A</v>
      </c>
      <c r="AK615" s="34" t="e">
        <f t="shared" ca="1" si="207"/>
        <v>#N/A</v>
      </c>
      <c r="AL615" s="34" t="e">
        <f t="shared" ca="1" si="208"/>
        <v>#N/A</v>
      </c>
      <c r="AM615" s="33" t="e">
        <f t="shared" ca="1" si="215"/>
        <v>#N/A</v>
      </c>
      <c r="AN615" s="34" t="e">
        <f t="shared" ca="1" si="216"/>
        <v>#N/A</v>
      </c>
    </row>
    <row r="616" spans="1:40" x14ac:dyDescent="0.3">
      <c r="A616" s="2">
        <v>44356</v>
      </c>
      <c r="B616" s="9">
        <v>91.309997999999993</v>
      </c>
      <c r="C616" s="9">
        <v>121.44000200000001</v>
      </c>
      <c r="D616" s="9">
        <v>81.93</v>
      </c>
      <c r="E616" s="10"/>
      <c r="F616" s="13">
        <v>613</v>
      </c>
      <c r="G616" s="2">
        <v>44356</v>
      </c>
      <c r="H616" s="14">
        <f t="shared" si="197"/>
        <v>0</v>
      </c>
      <c r="I616" s="14">
        <f t="shared" si="198"/>
        <v>-8.3641077675186502E-3</v>
      </c>
      <c r="J616" s="14">
        <f t="shared" si="199"/>
        <v>-1.6103041634244263E-2</v>
      </c>
      <c r="K616" s="22">
        <v>613</v>
      </c>
      <c r="L616" s="12"/>
      <c r="Q616" s="15">
        <f t="shared" si="200"/>
        <v>613</v>
      </c>
      <c r="R616" s="2">
        <f t="shared" si="196"/>
        <v>44356</v>
      </c>
      <c r="S616" s="9">
        <f t="shared" ca="1" si="201"/>
        <v>0</v>
      </c>
      <c r="T616" s="9">
        <f t="shared" ca="1" si="202"/>
        <v>-8.3641077675186502E-3</v>
      </c>
      <c r="U616" s="9">
        <f t="shared" ca="1" si="203"/>
        <v>-1.6103041634244263E-2</v>
      </c>
      <c r="AB616" s="33" t="e">
        <f t="shared" ca="1" si="209"/>
        <v>#N/A</v>
      </c>
      <c r="AC616" s="34" t="e">
        <f t="shared" ca="1" si="210"/>
        <v>#N/A</v>
      </c>
      <c r="AD616" s="34" t="e">
        <f t="shared" ca="1" si="211"/>
        <v>#N/A</v>
      </c>
      <c r="AE616" s="33" t="e">
        <f t="shared" ca="1" si="212"/>
        <v>#N/A</v>
      </c>
      <c r="AF616" s="34" t="e">
        <f t="shared" ca="1" si="204"/>
        <v>#N/A</v>
      </c>
      <c r="AG616" s="34" t="e">
        <f t="shared" ca="1" si="205"/>
        <v>#N/A</v>
      </c>
      <c r="AH616" s="34" t="e">
        <f t="shared" ca="1" si="206"/>
        <v>#N/A</v>
      </c>
      <c r="AI616" s="33" t="e">
        <f t="shared" ca="1" si="213"/>
        <v>#N/A</v>
      </c>
      <c r="AJ616" s="34" t="e">
        <f t="shared" ca="1" si="214"/>
        <v>#N/A</v>
      </c>
      <c r="AK616" s="34" t="e">
        <f t="shared" ca="1" si="207"/>
        <v>#N/A</v>
      </c>
      <c r="AL616" s="34" t="e">
        <f t="shared" ca="1" si="208"/>
        <v>#N/A</v>
      </c>
      <c r="AM616" s="33" t="e">
        <f t="shared" ca="1" si="215"/>
        <v>#N/A</v>
      </c>
      <c r="AN616" s="34" t="e">
        <f t="shared" ca="1" si="216"/>
        <v>#N/A</v>
      </c>
    </row>
    <row r="617" spans="1:40" x14ac:dyDescent="0.3">
      <c r="A617" s="2">
        <v>44357</v>
      </c>
      <c r="B617" s="9">
        <v>91.230002999999996</v>
      </c>
      <c r="C617" s="9">
        <v>119.660004</v>
      </c>
      <c r="D617" s="9">
        <v>81.940002000000007</v>
      </c>
      <c r="E617" s="10"/>
      <c r="F617" s="13">
        <v>614</v>
      </c>
      <c r="G617" s="2">
        <v>44357</v>
      </c>
      <c r="H617" s="14">
        <f t="shared" si="197"/>
        <v>-8.7646548354031607E-4</v>
      </c>
      <c r="I617" s="14">
        <f t="shared" si="198"/>
        <v>-1.4765908726426615E-2</v>
      </c>
      <c r="J617" s="14">
        <f t="shared" si="199"/>
        <v>1.2207237310495707E-4</v>
      </c>
      <c r="K617" s="22">
        <v>614</v>
      </c>
      <c r="L617" s="12"/>
      <c r="Q617" s="15">
        <f t="shared" si="200"/>
        <v>614</v>
      </c>
      <c r="R617" s="2">
        <f t="shared" si="196"/>
        <v>44357</v>
      </c>
      <c r="S617" s="9">
        <f t="shared" ca="1" si="201"/>
        <v>-8.7646548354031607E-4</v>
      </c>
      <c r="T617" s="9">
        <f t="shared" ca="1" si="202"/>
        <v>-1.4765908726426615E-2</v>
      </c>
      <c r="U617" s="9">
        <f t="shared" ca="1" si="203"/>
        <v>1.2207237310495707E-4</v>
      </c>
      <c r="AB617" s="33" t="e">
        <f t="shared" ca="1" si="209"/>
        <v>#N/A</v>
      </c>
      <c r="AC617" s="34" t="e">
        <f t="shared" ca="1" si="210"/>
        <v>#N/A</v>
      </c>
      <c r="AD617" s="34" t="e">
        <f t="shared" ca="1" si="211"/>
        <v>#N/A</v>
      </c>
      <c r="AE617" s="33" t="e">
        <f t="shared" ca="1" si="212"/>
        <v>#N/A</v>
      </c>
      <c r="AF617" s="34" t="e">
        <f t="shared" ca="1" si="204"/>
        <v>#N/A</v>
      </c>
      <c r="AG617" s="34" t="e">
        <f t="shared" ca="1" si="205"/>
        <v>#N/A</v>
      </c>
      <c r="AH617" s="34" t="e">
        <f t="shared" ca="1" si="206"/>
        <v>#N/A</v>
      </c>
      <c r="AI617" s="33" t="e">
        <f t="shared" ca="1" si="213"/>
        <v>#N/A</v>
      </c>
      <c r="AJ617" s="34" t="e">
        <f t="shared" ca="1" si="214"/>
        <v>#N/A</v>
      </c>
      <c r="AK617" s="34" t="e">
        <f t="shared" ca="1" si="207"/>
        <v>#N/A</v>
      </c>
      <c r="AL617" s="34" t="e">
        <f t="shared" ca="1" si="208"/>
        <v>#N/A</v>
      </c>
      <c r="AM617" s="33" t="e">
        <f t="shared" ca="1" si="215"/>
        <v>#N/A</v>
      </c>
      <c r="AN617" s="34" t="e">
        <f t="shared" ca="1" si="216"/>
        <v>#N/A</v>
      </c>
    </row>
    <row r="618" spans="1:40" x14ac:dyDescent="0.3">
      <c r="A618" s="2">
        <v>44358</v>
      </c>
      <c r="B618" s="9">
        <v>90.639999000000003</v>
      </c>
      <c r="C618" s="9">
        <v>122.730003</v>
      </c>
      <c r="D618" s="9">
        <v>81.290001000000004</v>
      </c>
      <c r="E618" s="10"/>
      <c r="F618" s="13">
        <v>615</v>
      </c>
      <c r="G618" s="2">
        <v>44358</v>
      </c>
      <c r="H618" s="14">
        <f t="shared" si="197"/>
        <v>-6.4882175542079852E-3</v>
      </c>
      <c r="I618" s="14">
        <f t="shared" si="198"/>
        <v>2.5332423663386418E-2</v>
      </c>
      <c r="J618" s="14">
        <f t="shared" si="199"/>
        <v>-7.9642764667112627E-3</v>
      </c>
      <c r="K618" s="22">
        <v>615</v>
      </c>
      <c r="L618" s="12"/>
      <c r="Q618" s="15">
        <f t="shared" si="200"/>
        <v>615</v>
      </c>
      <c r="R618" s="2">
        <f t="shared" si="196"/>
        <v>44358</v>
      </c>
      <c r="S618" s="9">
        <f t="shared" ca="1" si="201"/>
        <v>-6.4882175542079852E-3</v>
      </c>
      <c r="T618" s="9">
        <f t="shared" ca="1" si="202"/>
        <v>2.5332423663386418E-2</v>
      </c>
      <c r="U618" s="9">
        <f t="shared" ca="1" si="203"/>
        <v>-7.9642764667112627E-3</v>
      </c>
      <c r="AB618" s="33" t="e">
        <f t="shared" ca="1" si="209"/>
        <v>#N/A</v>
      </c>
      <c r="AC618" s="34" t="e">
        <f t="shared" ca="1" si="210"/>
        <v>#N/A</v>
      </c>
      <c r="AD618" s="34" t="e">
        <f t="shared" ca="1" si="211"/>
        <v>#N/A</v>
      </c>
      <c r="AE618" s="33" t="e">
        <f t="shared" ca="1" si="212"/>
        <v>#N/A</v>
      </c>
      <c r="AF618" s="34" t="e">
        <f t="shared" ca="1" si="204"/>
        <v>#N/A</v>
      </c>
      <c r="AG618" s="34" t="e">
        <f t="shared" ca="1" si="205"/>
        <v>#N/A</v>
      </c>
      <c r="AH618" s="34" t="e">
        <f t="shared" ca="1" si="206"/>
        <v>#N/A</v>
      </c>
      <c r="AI618" s="33" t="e">
        <f t="shared" ca="1" si="213"/>
        <v>#N/A</v>
      </c>
      <c r="AJ618" s="34" t="e">
        <f t="shared" ca="1" si="214"/>
        <v>#N/A</v>
      </c>
      <c r="AK618" s="34" t="e">
        <f t="shared" ca="1" si="207"/>
        <v>#N/A</v>
      </c>
      <c r="AL618" s="34" t="e">
        <f t="shared" ca="1" si="208"/>
        <v>#N/A</v>
      </c>
      <c r="AM618" s="33" t="e">
        <f t="shared" ca="1" si="215"/>
        <v>#N/A</v>
      </c>
      <c r="AN618" s="34" t="e">
        <f t="shared" ca="1" si="216"/>
        <v>#N/A</v>
      </c>
    </row>
    <row r="619" spans="1:40" x14ac:dyDescent="0.3">
      <c r="A619" s="2">
        <v>44361</v>
      </c>
      <c r="B619" s="9">
        <v>90.68</v>
      </c>
      <c r="C619" s="9">
        <v>120.379997</v>
      </c>
      <c r="D619" s="9">
        <v>81.949996999999996</v>
      </c>
      <c r="E619" s="10"/>
      <c r="F619" s="13">
        <v>616</v>
      </c>
      <c r="G619" s="2">
        <v>44361</v>
      </c>
      <c r="H619" s="14">
        <f t="shared" si="197"/>
        <v>4.4121995223402808E-4</v>
      </c>
      <c r="I619" s="14">
        <f t="shared" si="198"/>
        <v>-1.9333463854776571E-2</v>
      </c>
      <c r="J619" s="14">
        <f t="shared" si="199"/>
        <v>8.0862485220332889E-3</v>
      </c>
      <c r="K619" s="22">
        <v>616</v>
      </c>
      <c r="L619" s="12"/>
      <c r="Q619" s="15">
        <f t="shared" si="200"/>
        <v>616</v>
      </c>
      <c r="R619" s="2">
        <f t="shared" si="196"/>
        <v>44361</v>
      </c>
      <c r="S619" s="9">
        <f t="shared" ca="1" si="201"/>
        <v>4.4121995223402808E-4</v>
      </c>
      <c r="T619" s="9">
        <f t="shared" ca="1" si="202"/>
        <v>-1.9333463854776571E-2</v>
      </c>
      <c r="U619" s="9">
        <f t="shared" ca="1" si="203"/>
        <v>8.0862485220332889E-3</v>
      </c>
      <c r="AB619" s="33" t="e">
        <f t="shared" ca="1" si="209"/>
        <v>#N/A</v>
      </c>
      <c r="AC619" s="34" t="e">
        <f t="shared" ca="1" si="210"/>
        <v>#N/A</v>
      </c>
      <c r="AD619" s="34" t="e">
        <f t="shared" ca="1" si="211"/>
        <v>#N/A</v>
      </c>
      <c r="AE619" s="33" t="e">
        <f t="shared" ca="1" si="212"/>
        <v>#N/A</v>
      </c>
      <c r="AF619" s="34" t="e">
        <f t="shared" ca="1" si="204"/>
        <v>#N/A</v>
      </c>
      <c r="AG619" s="34" t="e">
        <f t="shared" ca="1" si="205"/>
        <v>#N/A</v>
      </c>
      <c r="AH619" s="34" t="e">
        <f t="shared" ca="1" si="206"/>
        <v>#N/A</v>
      </c>
      <c r="AI619" s="33" t="e">
        <f t="shared" ca="1" si="213"/>
        <v>#N/A</v>
      </c>
      <c r="AJ619" s="34" t="e">
        <f t="shared" ca="1" si="214"/>
        <v>#N/A</v>
      </c>
      <c r="AK619" s="34" t="e">
        <f t="shared" ca="1" si="207"/>
        <v>#N/A</v>
      </c>
      <c r="AL619" s="34" t="e">
        <f t="shared" ca="1" si="208"/>
        <v>#N/A</v>
      </c>
      <c r="AM619" s="33" t="e">
        <f t="shared" ca="1" si="215"/>
        <v>#N/A</v>
      </c>
      <c r="AN619" s="34" t="e">
        <f t="shared" ca="1" si="216"/>
        <v>#N/A</v>
      </c>
    </row>
    <row r="620" spans="1:40" x14ac:dyDescent="0.3">
      <c r="A620" s="2">
        <v>44362</v>
      </c>
      <c r="B620" s="9">
        <v>91.43</v>
      </c>
      <c r="C620" s="9">
        <v>121.30999799999999</v>
      </c>
      <c r="D620" s="9">
        <v>82.300003000000004</v>
      </c>
      <c r="E620" s="10"/>
      <c r="F620" s="13">
        <v>617</v>
      </c>
      <c r="G620" s="2">
        <v>44362</v>
      </c>
      <c r="H620" s="14">
        <f t="shared" si="197"/>
        <v>8.2368265370069416E-3</v>
      </c>
      <c r="I620" s="14">
        <f t="shared" si="198"/>
        <v>7.6958550975995263E-3</v>
      </c>
      <c r="J620" s="14">
        <f t="shared" si="199"/>
        <v>4.2618755528780715E-3</v>
      </c>
      <c r="K620" s="22">
        <v>617</v>
      </c>
      <c r="L620" s="12"/>
      <c r="Q620" s="15">
        <f t="shared" si="200"/>
        <v>617</v>
      </c>
      <c r="R620" s="2">
        <f t="shared" si="196"/>
        <v>44362</v>
      </c>
      <c r="S620" s="9">
        <f t="shared" ca="1" si="201"/>
        <v>8.2368265370069416E-3</v>
      </c>
      <c r="T620" s="9">
        <f t="shared" ca="1" si="202"/>
        <v>7.6958550975995263E-3</v>
      </c>
      <c r="U620" s="9">
        <f t="shared" ca="1" si="203"/>
        <v>4.2618755528780715E-3</v>
      </c>
      <c r="AB620" s="33" t="e">
        <f t="shared" ca="1" si="209"/>
        <v>#N/A</v>
      </c>
      <c r="AC620" s="34" t="e">
        <f t="shared" ca="1" si="210"/>
        <v>#N/A</v>
      </c>
      <c r="AD620" s="34" t="e">
        <f t="shared" ca="1" si="211"/>
        <v>#N/A</v>
      </c>
      <c r="AE620" s="33" t="e">
        <f t="shared" ca="1" si="212"/>
        <v>#N/A</v>
      </c>
      <c r="AF620" s="34" t="e">
        <f t="shared" ca="1" si="204"/>
        <v>#N/A</v>
      </c>
      <c r="AG620" s="34" t="e">
        <f t="shared" ca="1" si="205"/>
        <v>#N/A</v>
      </c>
      <c r="AH620" s="34" t="e">
        <f t="shared" ca="1" si="206"/>
        <v>#N/A</v>
      </c>
      <c r="AI620" s="33" t="e">
        <f t="shared" ca="1" si="213"/>
        <v>#N/A</v>
      </c>
      <c r="AJ620" s="34" t="e">
        <f t="shared" ca="1" si="214"/>
        <v>#N/A</v>
      </c>
      <c r="AK620" s="34" t="e">
        <f t="shared" ca="1" si="207"/>
        <v>#N/A</v>
      </c>
      <c r="AL620" s="34" t="e">
        <f t="shared" ca="1" si="208"/>
        <v>#N/A</v>
      </c>
      <c r="AM620" s="33" t="e">
        <f t="shared" ca="1" si="215"/>
        <v>#N/A</v>
      </c>
      <c r="AN620" s="34" t="e">
        <f t="shared" ca="1" si="216"/>
        <v>#N/A</v>
      </c>
    </row>
    <row r="621" spans="1:40" x14ac:dyDescent="0.3">
      <c r="A621" s="2">
        <v>44363</v>
      </c>
      <c r="B621" s="9">
        <v>91.209998999999996</v>
      </c>
      <c r="C621" s="9">
        <v>121.470001</v>
      </c>
      <c r="D621" s="9">
        <v>81.459998999999996</v>
      </c>
      <c r="E621" s="10"/>
      <c r="F621" s="13">
        <v>618</v>
      </c>
      <c r="G621" s="2">
        <v>44363</v>
      </c>
      <c r="H621" s="14">
        <f t="shared" si="197"/>
        <v>-2.4091229479784272E-3</v>
      </c>
      <c r="I621" s="14">
        <f t="shared" si="198"/>
        <v>1.3180906485238777E-3</v>
      </c>
      <c r="J621" s="14">
        <f t="shared" si="199"/>
        <v>-1.0259054190725592E-2</v>
      </c>
      <c r="K621" s="22">
        <v>618</v>
      </c>
      <c r="L621" s="12"/>
      <c r="Q621" s="15">
        <f t="shared" si="200"/>
        <v>618</v>
      </c>
      <c r="R621" s="2">
        <f t="shared" si="196"/>
        <v>44363</v>
      </c>
      <c r="S621" s="9">
        <f t="shared" ca="1" si="201"/>
        <v>-2.4091229479784272E-3</v>
      </c>
      <c r="T621" s="9">
        <f t="shared" ca="1" si="202"/>
        <v>1.3180906485238777E-3</v>
      </c>
      <c r="U621" s="9">
        <f t="shared" ca="1" si="203"/>
        <v>-1.0259054190725592E-2</v>
      </c>
      <c r="AB621" s="33" t="e">
        <f t="shared" ca="1" si="209"/>
        <v>#N/A</v>
      </c>
      <c r="AC621" s="34" t="e">
        <f t="shared" ca="1" si="210"/>
        <v>#N/A</v>
      </c>
      <c r="AD621" s="34" t="e">
        <f t="shared" ca="1" si="211"/>
        <v>#N/A</v>
      </c>
      <c r="AE621" s="33" t="e">
        <f t="shared" ca="1" si="212"/>
        <v>#N/A</v>
      </c>
      <c r="AF621" s="34" t="e">
        <f t="shared" ca="1" si="204"/>
        <v>#N/A</v>
      </c>
      <c r="AG621" s="34" t="e">
        <f t="shared" ca="1" si="205"/>
        <v>#N/A</v>
      </c>
      <c r="AH621" s="34" t="e">
        <f t="shared" ca="1" si="206"/>
        <v>#N/A</v>
      </c>
      <c r="AI621" s="33" t="e">
        <f t="shared" ca="1" si="213"/>
        <v>#N/A</v>
      </c>
      <c r="AJ621" s="34" t="e">
        <f t="shared" ca="1" si="214"/>
        <v>#N/A</v>
      </c>
      <c r="AK621" s="34" t="e">
        <f t="shared" ca="1" si="207"/>
        <v>#N/A</v>
      </c>
      <c r="AL621" s="34" t="e">
        <f t="shared" ca="1" si="208"/>
        <v>#N/A</v>
      </c>
      <c r="AM621" s="33" t="e">
        <f t="shared" ca="1" si="215"/>
        <v>#N/A</v>
      </c>
      <c r="AN621" s="34" t="e">
        <f t="shared" ca="1" si="216"/>
        <v>#N/A</v>
      </c>
    </row>
    <row r="622" spans="1:40" x14ac:dyDescent="0.3">
      <c r="A622" s="2">
        <v>44364</v>
      </c>
      <c r="B622" s="9">
        <v>87.839995999999999</v>
      </c>
      <c r="C622" s="9">
        <v>117.050003</v>
      </c>
      <c r="D622" s="9">
        <v>78.580001999999993</v>
      </c>
      <c r="E622" s="10"/>
      <c r="F622" s="13">
        <v>619</v>
      </c>
      <c r="G622" s="2">
        <v>44364</v>
      </c>
      <c r="H622" s="14">
        <f t="shared" si="197"/>
        <v>-3.7647597004477985E-2</v>
      </c>
      <c r="I622" s="14">
        <f t="shared" si="198"/>
        <v>-3.7066107377672665E-2</v>
      </c>
      <c r="J622" s="14">
        <f t="shared" si="199"/>
        <v>-3.5994850362220547E-2</v>
      </c>
      <c r="K622" s="22">
        <v>619</v>
      </c>
      <c r="L622" s="12"/>
      <c r="Q622" s="15">
        <f t="shared" si="200"/>
        <v>619</v>
      </c>
      <c r="R622" s="2">
        <f t="shared" si="196"/>
        <v>44364</v>
      </c>
      <c r="S622" s="9">
        <f t="shared" ca="1" si="201"/>
        <v>-3.7647597004477985E-2</v>
      </c>
      <c r="T622" s="9">
        <f t="shared" ca="1" si="202"/>
        <v>-3.7066107377672665E-2</v>
      </c>
      <c r="U622" s="9">
        <f t="shared" ca="1" si="203"/>
        <v>-3.5994850362220547E-2</v>
      </c>
      <c r="AB622" s="33" t="e">
        <f t="shared" ca="1" si="209"/>
        <v>#N/A</v>
      </c>
      <c r="AC622" s="34" t="e">
        <f t="shared" ca="1" si="210"/>
        <v>#N/A</v>
      </c>
      <c r="AD622" s="34" t="e">
        <f t="shared" ca="1" si="211"/>
        <v>#N/A</v>
      </c>
      <c r="AE622" s="33" t="e">
        <f t="shared" ca="1" si="212"/>
        <v>#N/A</v>
      </c>
      <c r="AF622" s="34" t="e">
        <f t="shared" ca="1" si="204"/>
        <v>#N/A</v>
      </c>
      <c r="AG622" s="34" t="e">
        <f t="shared" ca="1" si="205"/>
        <v>#N/A</v>
      </c>
      <c r="AH622" s="34" t="e">
        <f t="shared" ca="1" si="206"/>
        <v>#N/A</v>
      </c>
      <c r="AI622" s="33" t="e">
        <f t="shared" ca="1" si="213"/>
        <v>#N/A</v>
      </c>
      <c r="AJ622" s="34" t="e">
        <f t="shared" ca="1" si="214"/>
        <v>#N/A</v>
      </c>
      <c r="AK622" s="34" t="e">
        <f t="shared" ca="1" si="207"/>
        <v>#N/A</v>
      </c>
      <c r="AL622" s="34" t="e">
        <f t="shared" ca="1" si="208"/>
        <v>#N/A</v>
      </c>
      <c r="AM622" s="33" t="e">
        <f t="shared" ca="1" si="215"/>
        <v>#N/A</v>
      </c>
      <c r="AN622" s="34" t="e">
        <f t="shared" ca="1" si="216"/>
        <v>#N/A</v>
      </c>
    </row>
    <row r="623" spans="1:40" x14ac:dyDescent="0.3">
      <c r="A623" s="2">
        <v>44365</v>
      </c>
      <c r="B623" s="9">
        <v>86.019997000000004</v>
      </c>
      <c r="C623" s="9">
        <v>113.480003</v>
      </c>
      <c r="D623" s="9">
        <v>76.019997000000004</v>
      </c>
      <c r="E623" s="10"/>
      <c r="F623" s="13">
        <v>620</v>
      </c>
      <c r="G623" s="2">
        <v>44365</v>
      </c>
      <c r="H623" s="14">
        <f t="shared" si="197"/>
        <v>-2.0937139743899488E-2</v>
      </c>
      <c r="I623" s="14">
        <f t="shared" si="198"/>
        <v>-3.0974583189965422E-2</v>
      </c>
      <c r="J623" s="14">
        <f t="shared" si="199"/>
        <v>-3.312081548427942E-2</v>
      </c>
      <c r="K623" s="22">
        <v>620</v>
      </c>
      <c r="L623" s="12"/>
      <c r="Q623" s="15">
        <f t="shared" si="200"/>
        <v>620</v>
      </c>
      <c r="R623" s="2">
        <f t="shared" si="196"/>
        <v>44365</v>
      </c>
      <c r="S623" s="9">
        <f t="shared" ca="1" si="201"/>
        <v>-2.0937139743899488E-2</v>
      </c>
      <c r="T623" s="9">
        <f t="shared" ca="1" si="202"/>
        <v>-3.0974583189965422E-2</v>
      </c>
      <c r="U623" s="9">
        <f t="shared" ca="1" si="203"/>
        <v>-3.312081548427942E-2</v>
      </c>
      <c r="AB623" s="33" t="e">
        <f t="shared" ca="1" si="209"/>
        <v>#N/A</v>
      </c>
      <c r="AC623" s="34" t="e">
        <f t="shared" ca="1" si="210"/>
        <v>#N/A</v>
      </c>
      <c r="AD623" s="34" t="e">
        <f t="shared" ca="1" si="211"/>
        <v>#N/A</v>
      </c>
      <c r="AE623" s="33" t="e">
        <f t="shared" ca="1" si="212"/>
        <v>#N/A</v>
      </c>
      <c r="AF623" s="34" t="e">
        <f t="shared" ca="1" si="204"/>
        <v>#N/A</v>
      </c>
      <c r="AG623" s="34" t="e">
        <f t="shared" ca="1" si="205"/>
        <v>#N/A</v>
      </c>
      <c r="AH623" s="34" t="e">
        <f t="shared" ca="1" si="206"/>
        <v>#N/A</v>
      </c>
      <c r="AI623" s="33" t="e">
        <f t="shared" ca="1" si="213"/>
        <v>#N/A</v>
      </c>
      <c r="AJ623" s="34" t="e">
        <f t="shared" ca="1" si="214"/>
        <v>#N/A</v>
      </c>
      <c r="AK623" s="34" t="e">
        <f t="shared" ca="1" si="207"/>
        <v>#N/A</v>
      </c>
      <c r="AL623" s="34" t="e">
        <f t="shared" ca="1" si="208"/>
        <v>#N/A</v>
      </c>
      <c r="AM623" s="33" t="e">
        <f t="shared" ca="1" si="215"/>
        <v>#N/A</v>
      </c>
      <c r="AN623" s="34" t="e">
        <f t="shared" ca="1" si="216"/>
        <v>#N/A</v>
      </c>
    </row>
    <row r="624" spans="1:40" x14ac:dyDescent="0.3">
      <c r="A624" s="2">
        <v>44368</v>
      </c>
      <c r="B624" s="9">
        <v>87.940002000000007</v>
      </c>
      <c r="C624" s="9">
        <v>115.43</v>
      </c>
      <c r="D624" s="9">
        <v>79.980002999999996</v>
      </c>
      <c r="E624" s="10"/>
      <c r="F624" s="13">
        <v>621</v>
      </c>
      <c r="G624" s="2">
        <v>44368</v>
      </c>
      <c r="H624" s="14">
        <f t="shared" si="197"/>
        <v>2.2074994015463607E-2</v>
      </c>
      <c r="I624" s="14">
        <f t="shared" si="198"/>
        <v>1.7037649249794264E-2</v>
      </c>
      <c r="J624" s="14">
        <f t="shared" si="199"/>
        <v>5.0780216830246042E-2</v>
      </c>
      <c r="K624" s="22">
        <v>621</v>
      </c>
      <c r="L624" s="12"/>
      <c r="Q624" s="15">
        <f t="shared" si="200"/>
        <v>621</v>
      </c>
      <c r="R624" s="2">
        <f t="shared" si="196"/>
        <v>44368</v>
      </c>
      <c r="S624" s="9">
        <f t="shared" ca="1" si="201"/>
        <v>2.2074994015463607E-2</v>
      </c>
      <c r="T624" s="9">
        <f t="shared" ca="1" si="202"/>
        <v>1.7037649249794264E-2</v>
      </c>
      <c r="U624" s="9">
        <f t="shared" ca="1" si="203"/>
        <v>5.0780216830246042E-2</v>
      </c>
      <c r="AB624" s="33" t="e">
        <f t="shared" ca="1" si="209"/>
        <v>#N/A</v>
      </c>
      <c r="AC624" s="34" t="e">
        <f t="shared" ca="1" si="210"/>
        <v>#N/A</v>
      </c>
      <c r="AD624" s="34" t="e">
        <f t="shared" ca="1" si="211"/>
        <v>#N/A</v>
      </c>
      <c r="AE624" s="33" t="e">
        <f t="shared" ca="1" si="212"/>
        <v>#N/A</v>
      </c>
      <c r="AF624" s="34" t="e">
        <f t="shared" ca="1" si="204"/>
        <v>#N/A</v>
      </c>
      <c r="AG624" s="34" t="e">
        <f t="shared" ca="1" si="205"/>
        <v>#N/A</v>
      </c>
      <c r="AH624" s="34" t="e">
        <f t="shared" ca="1" si="206"/>
        <v>#N/A</v>
      </c>
      <c r="AI624" s="33" t="e">
        <f t="shared" ca="1" si="213"/>
        <v>#N/A</v>
      </c>
      <c r="AJ624" s="34" t="e">
        <f t="shared" ca="1" si="214"/>
        <v>#N/A</v>
      </c>
      <c r="AK624" s="34" t="e">
        <f t="shared" ca="1" si="207"/>
        <v>#N/A</v>
      </c>
      <c r="AL624" s="34" t="e">
        <f t="shared" ca="1" si="208"/>
        <v>#N/A</v>
      </c>
      <c r="AM624" s="33" t="e">
        <f t="shared" ca="1" si="215"/>
        <v>#N/A</v>
      </c>
      <c r="AN624" s="34" t="e">
        <f t="shared" ca="1" si="216"/>
        <v>#N/A</v>
      </c>
    </row>
    <row r="625" spans="1:40" x14ac:dyDescent="0.3">
      <c r="A625" s="2">
        <v>44369</v>
      </c>
      <c r="B625" s="9">
        <v>87.879997000000003</v>
      </c>
      <c r="C625" s="9">
        <v>117.349998</v>
      </c>
      <c r="D625" s="9">
        <v>80.980002999999996</v>
      </c>
      <c r="E625" s="10"/>
      <c r="F625" s="13">
        <v>622</v>
      </c>
      <c r="G625" s="2">
        <v>44369</v>
      </c>
      <c r="H625" s="14">
        <f t="shared" si="197"/>
        <v>-6.82573116494309E-4</v>
      </c>
      <c r="I625" s="14">
        <f t="shared" si="198"/>
        <v>1.6496619627177835E-2</v>
      </c>
      <c r="J625" s="14">
        <f t="shared" si="199"/>
        <v>1.2425606722149766E-2</v>
      </c>
      <c r="K625" s="22">
        <v>622</v>
      </c>
      <c r="L625" s="12"/>
      <c r="Q625" s="15">
        <f t="shared" si="200"/>
        <v>622</v>
      </c>
      <c r="R625" s="2">
        <f t="shared" si="196"/>
        <v>44369</v>
      </c>
      <c r="S625" s="9">
        <f t="shared" ca="1" si="201"/>
        <v>-6.82573116494309E-4</v>
      </c>
      <c r="T625" s="9">
        <f t="shared" ca="1" si="202"/>
        <v>1.6496619627177835E-2</v>
      </c>
      <c r="U625" s="9">
        <f t="shared" ca="1" si="203"/>
        <v>1.2425606722149766E-2</v>
      </c>
      <c r="AB625" s="33" t="e">
        <f t="shared" ca="1" si="209"/>
        <v>#N/A</v>
      </c>
      <c r="AC625" s="34" t="e">
        <f t="shared" ca="1" si="210"/>
        <v>#N/A</v>
      </c>
      <c r="AD625" s="34" t="e">
        <f t="shared" ca="1" si="211"/>
        <v>#N/A</v>
      </c>
      <c r="AE625" s="33" t="e">
        <f t="shared" ca="1" si="212"/>
        <v>#N/A</v>
      </c>
      <c r="AF625" s="34" t="e">
        <f t="shared" ca="1" si="204"/>
        <v>#N/A</v>
      </c>
      <c r="AG625" s="34" t="e">
        <f t="shared" ca="1" si="205"/>
        <v>#N/A</v>
      </c>
      <c r="AH625" s="34" t="e">
        <f t="shared" ca="1" si="206"/>
        <v>#N/A</v>
      </c>
      <c r="AI625" s="33" t="e">
        <f t="shared" ca="1" si="213"/>
        <v>#N/A</v>
      </c>
      <c r="AJ625" s="34" t="e">
        <f t="shared" ca="1" si="214"/>
        <v>#N/A</v>
      </c>
      <c r="AK625" s="34" t="e">
        <f t="shared" ca="1" si="207"/>
        <v>#N/A</v>
      </c>
      <c r="AL625" s="34" t="e">
        <f t="shared" ca="1" si="208"/>
        <v>#N/A</v>
      </c>
      <c r="AM625" s="33" t="e">
        <f t="shared" ca="1" si="215"/>
        <v>#N/A</v>
      </c>
      <c r="AN625" s="34" t="e">
        <f t="shared" ca="1" si="216"/>
        <v>#N/A</v>
      </c>
    </row>
    <row r="626" spans="1:40" x14ac:dyDescent="0.3">
      <c r="A626" s="2">
        <v>44370</v>
      </c>
      <c r="B626" s="9">
        <v>87.75</v>
      </c>
      <c r="C626" s="9">
        <v>119.66999800000001</v>
      </c>
      <c r="D626" s="9">
        <v>80.849997999999999</v>
      </c>
      <c r="E626" s="10"/>
      <c r="F626" s="13">
        <v>623</v>
      </c>
      <c r="G626" s="2">
        <v>44370</v>
      </c>
      <c r="H626" s="14">
        <f t="shared" si="197"/>
        <v>-1.4803510329735685E-3</v>
      </c>
      <c r="I626" s="14">
        <f t="shared" si="198"/>
        <v>1.9577032618799776E-2</v>
      </c>
      <c r="J626" s="14">
        <f t="shared" si="199"/>
        <v>-1.6066863642506606E-3</v>
      </c>
      <c r="K626" s="22">
        <v>623</v>
      </c>
      <c r="L626" s="12"/>
      <c r="Q626" s="15">
        <f t="shared" si="200"/>
        <v>623</v>
      </c>
      <c r="R626" s="2">
        <f t="shared" si="196"/>
        <v>44370</v>
      </c>
      <c r="S626" s="9">
        <f t="shared" ca="1" si="201"/>
        <v>-1.4803510329735685E-3</v>
      </c>
      <c r="T626" s="9">
        <f t="shared" ca="1" si="202"/>
        <v>1.9577032618799776E-2</v>
      </c>
      <c r="U626" s="9">
        <f t="shared" ca="1" si="203"/>
        <v>-1.6066863642506606E-3</v>
      </c>
      <c r="AB626" s="33" t="e">
        <f t="shared" ca="1" si="209"/>
        <v>#N/A</v>
      </c>
      <c r="AC626" s="34" t="e">
        <f t="shared" ca="1" si="210"/>
        <v>#N/A</v>
      </c>
      <c r="AD626" s="34" t="e">
        <f t="shared" ca="1" si="211"/>
        <v>#N/A</v>
      </c>
      <c r="AE626" s="33" t="e">
        <f t="shared" ca="1" si="212"/>
        <v>#N/A</v>
      </c>
      <c r="AF626" s="34" t="e">
        <f t="shared" ca="1" si="204"/>
        <v>#N/A</v>
      </c>
      <c r="AG626" s="34" t="e">
        <f t="shared" ca="1" si="205"/>
        <v>#N/A</v>
      </c>
      <c r="AH626" s="34" t="e">
        <f t="shared" ca="1" si="206"/>
        <v>#N/A</v>
      </c>
      <c r="AI626" s="33" t="e">
        <f t="shared" ca="1" si="213"/>
        <v>#N/A</v>
      </c>
      <c r="AJ626" s="34" t="e">
        <f t="shared" ca="1" si="214"/>
        <v>#N/A</v>
      </c>
      <c r="AK626" s="34" t="e">
        <f t="shared" ca="1" si="207"/>
        <v>#N/A</v>
      </c>
      <c r="AL626" s="34" t="e">
        <f t="shared" ca="1" si="208"/>
        <v>#N/A</v>
      </c>
      <c r="AM626" s="33" t="e">
        <f t="shared" ca="1" si="215"/>
        <v>#N/A</v>
      </c>
      <c r="AN626" s="34" t="e">
        <f t="shared" ca="1" si="216"/>
        <v>#N/A</v>
      </c>
    </row>
    <row r="627" spans="1:40" x14ac:dyDescent="0.3">
      <c r="A627" s="2">
        <v>44371</v>
      </c>
      <c r="B627" s="9">
        <v>89.339995999999999</v>
      </c>
      <c r="C627" s="9">
        <v>120.389999</v>
      </c>
      <c r="D627" s="9">
        <v>81.730002999999996</v>
      </c>
      <c r="E627" s="10"/>
      <c r="F627" s="13">
        <v>624</v>
      </c>
      <c r="G627" s="2">
        <v>44371</v>
      </c>
      <c r="H627" s="14">
        <f t="shared" si="197"/>
        <v>1.7957408805218188E-2</v>
      </c>
      <c r="I627" s="14">
        <f t="shared" si="198"/>
        <v>5.9985267677988676E-3</v>
      </c>
      <c r="J627" s="14">
        <f t="shared" si="199"/>
        <v>1.0825606948317509E-2</v>
      </c>
      <c r="K627" s="22">
        <v>624</v>
      </c>
      <c r="L627" s="12"/>
      <c r="Q627" s="15">
        <f t="shared" si="200"/>
        <v>624</v>
      </c>
      <c r="R627" s="2">
        <f t="shared" si="196"/>
        <v>44371</v>
      </c>
      <c r="S627" s="9">
        <f t="shared" ca="1" si="201"/>
        <v>1.7957408805218188E-2</v>
      </c>
      <c r="T627" s="9">
        <f t="shared" ca="1" si="202"/>
        <v>5.9985267677988676E-3</v>
      </c>
      <c r="U627" s="9">
        <f t="shared" ca="1" si="203"/>
        <v>1.0825606948317509E-2</v>
      </c>
      <c r="AB627" s="33" t="e">
        <f t="shared" ca="1" si="209"/>
        <v>#N/A</v>
      </c>
      <c r="AC627" s="34" t="e">
        <f t="shared" ca="1" si="210"/>
        <v>#N/A</v>
      </c>
      <c r="AD627" s="34" t="e">
        <f t="shared" ca="1" si="211"/>
        <v>#N/A</v>
      </c>
      <c r="AE627" s="33" t="e">
        <f t="shared" ca="1" si="212"/>
        <v>#N/A</v>
      </c>
      <c r="AF627" s="34" t="e">
        <f t="shared" ca="1" si="204"/>
        <v>#N/A</v>
      </c>
      <c r="AG627" s="34" t="e">
        <f t="shared" ca="1" si="205"/>
        <v>#N/A</v>
      </c>
      <c r="AH627" s="34" t="e">
        <f t="shared" ca="1" si="206"/>
        <v>#N/A</v>
      </c>
      <c r="AI627" s="33" t="e">
        <f t="shared" ca="1" si="213"/>
        <v>#N/A</v>
      </c>
      <c r="AJ627" s="34" t="e">
        <f t="shared" ca="1" si="214"/>
        <v>#N/A</v>
      </c>
      <c r="AK627" s="34" t="e">
        <f t="shared" ca="1" si="207"/>
        <v>#N/A</v>
      </c>
      <c r="AL627" s="34" t="e">
        <f t="shared" ca="1" si="208"/>
        <v>#N/A</v>
      </c>
      <c r="AM627" s="33" t="e">
        <f t="shared" ca="1" si="215"/>
        <v>#N/A</v>
      </c>
      <c r="AN627" s="34" t="e">
        <f t="shared" ca="1" si="216"/>
        <v>#N/A</v>
      </c>
    </row>
    <row r="628" spans="1:40" x14ac:dyDescent="0.3">
      <c r="A628" s="2">
        <v>44372</v>
      </c>
      <c r="B628" s="9">
        <v>89.690002000000007</v>
      </c>
      <c r="C628" s="9">
        <v>121.18</v>
      </c>
      <c r="D628" s="9">
        <v>82.089995999999999</v>
      </c>
      <c r="E628" s="10"/>
      <c r="F628" s="13">
        <v>625</v>
      </c>
      <c r="G628" s="2">
        <v>44372</v>
      </c>
      <c r="H628" s="14">
        <f t="shared" si="197"/>
        <v>3.9100312777481166E-3</v>
      </c>
      <c r="I628" s="14">
        <f t="shared" si="198"/>
        <v>6.5405788762456368E-3</v>
      </c>
      <c r="J628" s="14">
        <f t="shared" si="199"/>
        <v>4.394989398901125E-3</v>
      </c>
      <c r="K628" s="22">
        <v>625</v>
      </c>
      <c r="L628" s="12"/>
      <c r="Q628" s="15">
        <f t="shared" si="200"/>
        <v>625</v>
      </c>
      <c r="R628" s="2">
        <f t="shared" si="196"/>
        <v>44372</v>
      </c>
      <c r="S628" s="9">
        <f t="shared" ca="1" si="201"/>
        <v>3.9100312777481166E-3</v>
      </c>
      <c r="T628" s="9">
        <f t="shared" ca="1" si="202"/>
        <v>6.5405788762456368E-3</v>
      </c>
      <c r="U628" s="9">
        <f t="shared" ca="1" si="203"/>
        <v>4.394989398901125E-3</v>
      </c>
      <c r="AB628" s="33" t="e">
        <f t="shared" ca="1" si="209"/>
        <v>#N/A</v>
      </c>
      <c r="AC628" s="34" t="e">
        <f t="shared" ca="1" si="210"/>
        <v>#N/A</v>
      </c>
      <c r="AD628" s="34" t="e">
        <f t="shared" ca="1" si="211"/>
        <v>#N/A</v>
      </c>
      <c r="AE628" s="33" t="e">
        <f t="shared" ca="1" si="212"/>
        <v>#N/A</v>
      </c>
      <c r="AF628" s="34" t="e">
        <f t="shared" ca="1" si="204"/>
        <v>#N/A</v>
      </c>
      <c r="AG628" s="34" t="e">
        <f t="shared" ca="1" si="205"/>
        <v>#N/A</v>
      </c>
      <c r="AH628" s="34" t="e">
        <f t="shared" ca="1" si="206"/>
        <v>#N/A</v>
      </c>
      <c r="AI628" s="33" t="e">
        <f t="shared" ca="1" si="213"/>
        <v>#N/A</v>
      </c>
      <c r="AJ628" s="34" t="e">
        <f t="shared" ca="1" si="214"/>
        <v>#N/A</v>
      </c>
      <c r="AK628" s="34" t="e">
        <f t="shared" ca="1" si="207"/>
        <v>#N/A</v>
      </c>
      <c r="AL628" s="34" t="e">
        <f t="shared" ca="1" si="208"/>
        <v>#N/A</v>
      </c>
      <c r="AM628" s="33" t="e">
        <f t="shared" ca="1" si="215"/>
        <v>#N/A</v>
      </c>
      <c r="AN628" s="34" t="e">
        <f t="shared" ca="1" si="216"/>
        <v>#N/A</v>
      </c>
    </row>
    <row r="629" spans="1:40" x14ac:dyDescent="0.3">
      <c r="A629" s="2">
        <v>44375</v>
      </c>
      <c r="B629" s="9">
        <v>88.940002000000007</v>
      </c>
      <c r="C629" s="9">
        <v>117.199997</v>
      </c>
      <c r="D629" s="9">
        <v>77.720000999999996</v>
      </c>
      <c r="E629" s="10"/>
      <c r="F629" s="13">
        <v>626</v>
      </c>
      <c r="G629" s="2">
        <v>44375</v>
      </c>
      <c r="H629" s="14">
        <f t="shared" si="197"/>
        <v>-8.3972948593214296E-3</v>
      </c>
      <c r="I629" s="14">
        <f t="shared" si="198"/>
        <v>-3.339519197120077E-2</v>
      </c>
      <c r="J629" s="14">
        <f t="shared" si="199"/>
        <v>-5.4703520257226461E-2</v>
      </c>
      <c r="K629" s="22">
        <v>626</v>
      </c>
      <c r="L629" s="12"/>
      <c r="Q629" s="15">
        <f t="shared" si="200"/>
        <v>626</v>
      </c>
      <c r="R629" s="2">
        <f t="shared" si="196"/>
        <v>44375</v>
      </c>
      <c r="S629" s="9">
        <f t="shared" ca="1" si="201"/>
        <v>-8.3972948593214296E-3</v>
      </c>
      <c r="T629" s="9">
        <f t="shared" ca="1" si="202"/>
        <v>-3.339519197120077E-2</v>
      </c>
      <c r="U629" s="9">
        <f t="shared" ca="1" si="203"/>
        <v>-5.4703520257226461E-2</v>
      </c>
      <c r="AB629" s="33" t="e">
        <f t="shared" ca="1" si="209"/>
        <v>#N/A</v>
      </c>
      <c r="AC629" s="34" t="e">
        <f t="shared" ca="1" si="210"/>
        <v>#N/A</v>
      </c>
      <c r="AD629" s="34" t="e">
        <f t="shared" ca="1" si="211"/>
        <v>#N/A</v>
      </c>
      <c r="AE629" s="33" t="e">
        <f t="shared" ca="1" si="212"/>
        <v>#N/A</v>
      </c>
      <c r="AF629" s="34" t="e">
        <f t="shared" ca="1" si="204"/>
        <v>#N/A</v>
      </c>
      <c r="AG629" s="34" t="e">
        <f t="shared" ca="1" si="205"/>
        <v>#N/A</v>
      </c>
      <c r="AH629" s="34" t="e">
        <f t="shared" ca="1" si="206"/>
        <v>#N/A</v>
      </c>
      <c r="AI629" s="33" t="e">
        <f t="shared" ca="1" si="213"/>
        <v>#N/A</v>
      </c>
      <c r="AJ629" s="34" t="e">
        <f t="shared" ca="1" si="214"/>
        <v>#N/A</v>
      </c>
      <c r="AK629" s="34" t="e">
        <f t="shared" ca="1" si="207"/>
        <v>#N/A</v>
      </c>
      <c r="AL629" s="34" t="e">
        <f t="shared" ca="1" si="208"/>
        <v>#N/A</v>
      </c>
      <c r="AM629" s="33" t="e">
        <f t="shared" ca="1" si="215"/>
        <v>#N/A</v>
      </c>
      <c r="AN629" s="34" t="e">
        <f t="shared" ca="1" si="216"/>
        <v>#N/A</v>
      </c>
    </row>
    <row r="630" spans="1:40" x14ac:dyDescent="0.3">
      <c r="A630" s="2">
        <v>44376</v>
      </c>
      <c r="B630" s="9">
        <v>88.419998000000007</v>
      </c>
      <c r="C630" s="9">
        <v>116.910004</v>
      </c>
      <c r="D630" s="9">
        <v>76.919998000000007</v>
      </c>
      <c r="E630" s="10"/>
      <c r="F630" s="13">
        <v>627</v>
      </c>
      <c r="G630" s="2">
        <v>44376</v>
      </c>
      <c r="H630" s="14">
        <f t="shared" si="197"/>
        <v>-5.8638417908401267E-3</v>
      </c>
      <c r="I630" s="14">
        <f t="shared" si="198"/>
        <v>-2.4774093125623222E-3</v>
      </c>
      <c r="J630" s="14">
        <f t="shared" si="199"/>
        <v>-1.0346742656401458E-2</v>
      </c>
      <c r="K630" s="22">
        <v>627</v>
      </c>
      <c r="L630" s="12"/>
      <c r="Q630" s="15">
        <f t="shared" si="200"/>
        <v>627</v>
      </c>
      <c r="R630" s="2">
        <f t="shared" si="196"/>
        <v>44376</v>
      </c>
      <c r="S630" s="9">
        <f t="shared" ca="1" si="201"/>
        <v>-5.8638417908401267E-3</v>
      </c>
      <c r="T630" s="9">
        <f t="shared" ca="1" si="202"/>
        <v>-2.4774093125623222E-3</v>
      </c>
      <c r="U630" s="9">
        <f t="shared" ca="1" si="203"/>
        <v>-1.0346742656401458E-2</v>
      </c>
      <c r="AB630" s="33" t="e">
        <f t="shared" ca="1" si="209"/>
        <v>#N/A</v>
      </c>
      <c r="AC630" s="34" t="e">
        <f t="shared" ca="1" si="210"/>
        <v>#N/A</v>
      </c>
      <c r="AD630" s="34" t="e">
        <f t="shared" ca="1" si="211"/>
        <v>#N/A</v>
      </c>
      <c r="AE630" s="33" t="e">
        <f t="shared" ca="1" si="212"/>
        <v>#N/A</v>
      </c>
      <c r="AF630" s="34" t="e">
        <f t="shared" ca="1" si="204"/>
        <v>#N/A</v>
      </c>
      <c r="AG630" s="34" t="e">
        <f t="shared" ca="1" si="205"/>
        <v>#N/A</v>
      </c>
      <c r="AH630" s="34" t="e">
        <f t="shared" ca="1" si="206"/>
        <v>#N/A</v>
      </c>
      <c r="AI630" s="33" t="e">
        <f t="shared" ca="1" si="213"/>
        <v>#N/A</v>
      </c>
      <c r="AJ630" s="34" t="e">
        <f t="shared" ca="1" si="214"/>
        <v>#N/A</v>
      </c>
      <c r="AK630" s="34" t="e">
        <f t="shared" ca="1" si="207"/>
        <v>#N/A</v>
      </c>
      <c r="AL630" s="34" t="e">
        <f t="shared" ca="1" si="208"/>
        <v>#N/A</v>
      </c>
      <c r="AM630" s="33" t="e">
        <f t="shared" ca="1" si="215"/>
        <v>#N/A</v>
      </c>
      <c r="AN630" s="34" t="e">
        <f t="shared" ca="1" si="216"/>
        <v>#N/A</v>
      </c>
    </row>
    <row r="631" spans="1:40" x14ac:dyDescent="0.3">
      <c r="A631" s="2">
        <v>44377</v>
      </c>
      <c r="B631" s="9">
        <v>88.970000999999996</v>
      </c>
      <c r="C631" s="9">
        <v>117.80999799999999</v>
      </c>
      <c r="D631" s="9">
        <v>78.080001999999993</v>
      </c>
      <c r="E631" s="10"/>
      <c r="F631" s="13">
        <v>628</v>
      </c>
      <c r="G631" s="2">
        <v>44377</v>
      </c>
      <c r="H631" s="14">
        <f t="shared" si="197"/>
        <v>6.2010797176396144E-3</v>
      </c>
      <c r="I631" s="14">
        <f t="shared" si="198"/>
        <v>7.6686980484601966E-3</v>
      </c>
      <c r="J631" s="14">
        <f t="shared" si="199"/>
        <v>1.4968073000052052E-2</v>
      </c>
      <c r="K631" s="22">
        <v>628</v>
      </c>
      <c r="L631" s="12"/>
      <c r="Q631" s="15">
        <f t="shared" si="200"/>
        <v>628</v>
      </c>
      <c r="R631" s="2">
        <f t="shared" si="196"/>
        <v>44377</v>
      </c>
      <c r="S631" s="9">
        <f t="shared" ca="1" si="201"/>
        <v>6.2010797176396144E-3</v>
      </c>
      <c r="T631" s="9">
        <f t="shared" ca="1" si="202"/>
        <v>7.6686980484601966E-3</v>
      </c>
      <c r="U631" s="9">
        <f t="shared" ca="1" si="203"/>
        <v>1.4968073000052052E-2</v>
      </c>
      <c r="AB631" s="33" t="e">
        <f t="shared" ca="1" si="209"/>
        <v>#N/A</v>
      </c>
      <c r="AC631" s="34" t="e">
        <f t="shared" ca="1" si="210"/>
        <v>#N/A</v>
      </c>
      <c r="AD631" s="34" t="e">
        <f t="shared" ca="1" si="211"/>
        <v>#N/A</v>
      </c>
      <c r="AE631" s="33" t="e">
        <f t="shared" ca="1" si="212"/>
        <v>#N/A</v>
      </c>
      <c r="AF631" s="34" t="e">
        <f t="shared" ca="1" si="204"/>
        <v>#N/A</v>
      </c>
      <c r="AG631" s="34" t="e">
        <f t="shared" ca="1" si="205"/>
        <v>#N/A</v>
      </c>
      <c r="AH631" s="34" t="e">
        <f t="shared" ca="1" si="206"/>
        <v>#N/A</v>
      </c>
      <c r="AI631" s="33" t="e">
        <f t="shared" ca="1" si="213"/>
        <v>#N/A</v>
      </c>
      <c r="AJ631" s="34" t="e">
        <f t="shared" ca="1" si="214"/>
        <v>#N/A</v>
      </c>
      <c r="AK631" s="34" t="e">
        <f t="shared" ca="1" si="207"/>
        <v>#N/A</v>
      </c>
      <c r="AL631" s="34" t="e">
        <f t="shared" ca="1" si="208"/>
        <v>#N/A</v>
      </c>
      <c r="AM631" s="33" t="e">
        <f t="shared" ca="1" si="215"/>
        <v>#N/A</v>
      </c>
      <c r="AN631" s="34" t="e">
        <f t="shared" ca="1" si="216"/>
        <v>#N/A</v>
      </c>
    </row>
    <row r="632" spans="1:40" x14ac:dyDescent="0.3">
      <c r="A632" s="2">
        <v>44378</v>
      </c>
      <c r="B632" s="9">
        <v>89.360000999999997</v>
      </c>
      <c r="C632" s="9">
        <v>118.029999</v>
      </c>
      <c r="D632" s="9">
        <v>77.809997999999993</v>
      </c>
      <c r="E632" s="10"/>
      <c r="F632" s="13">
        <v>629</v>
      </c>
      <c r="G632" s="2">
        <v>44378</v>
      </c>
      <c r="H632" s="14">
        <f t="shared" si="197"/>
        <v>4.3739204552148128E-3</v>
      </c>
      <c r="I632" s="14">
        <f t="shared" si="198"/>
        <v>1.8656806870151349E-3</v>
      </c>
      <c r="J632" s="14">
        <f t="shared" si="199"/>
        <v>-3.4640357943894091E-3</v>
      </c>
      <c r="K632" s="22">
        <v>629</v>
      </c>
      <c r="L632" s="12"/>
      <c r="Q632" s="15">
        <f t="shared" si="200"/>
        <v>629</v>
      </c>
      <c r="R632" s="2">
        <f t="shared" si="196"/>
        <v>44378</v>
      </c>
      <c r="S632" s="9">
        <f t="shared" ca="1" si="201"/>
        <v>4.3739204552148128E-3</v>
      </c>
      <c r="T632" s="9">
        <f t="shared" ca="1" si="202"/>
        <v>1.8656806870151349E-3</v>
      </c>
      <c r="U632" s="9">
        <f t="shared" ca="1" si="203"/>
        <v>-3.4640357943894091E-3</v>
      </c>
      <c r="AB632" s="33" t="e">
        <f t="shared" ca="1" si="209"/>
        <v>#N/A</v>
      </c>
      <c r="AC632" s="34" t="e">
        <f t="shared" ca="1" si="210"/>
        <v>#N/A</v>
      </c>
      <c r="AD632" s="34" t="e">
        <f t="shared" ca="1" si="211"/>
        <v>#N/A</v>
      </c>
      <c r="AE632" s="33" t="e">
        <f t="shared" ca="1" si="212"/>
        <v>#N/A</v>
      </c>
      <c r="AF632" s="34" t="e">
        <f t="shared" ca="1" si="204"/>
        <v>#N/A</v>
      </c>
      <c r="AG632" s="34" t="e">
        <f t="shared" ca="1" si="205"/>
        <v>#N/A</v>
      </c>
      <c r="AH632" s="34" t="e">
        <f t="shared" ca="1" si="206"/>
        <v>#N/A</v>
      </c>
      <c r="AI632" s="33" t="e">
        <f t="shared" ca="1" si="213"/>
        <v>#N/A</v>
      </c>
      <c r="AJ632" s="34" t="e">
        <f t="shared" ca="1" si="214"/>
        <v>#N/A</v>
      </c>
      <c r="AK632" s="34" t="e">
        <f t="shared" ca="1" si="207"/>
        <v>#N/A</v>
      </c>
      <c r="AL632" s="34" t="e">
        <f t="shared" ca="1" si="208"/>
        <v>#N/A</v>
      </c>
      <c r="AM632" s="33" t="e">
        <f t="shared" ca="1" si="215"/>
        <v>#N/A</v>
      </c>
      <c r="AN632" s="34" t="e">
        <f t="shared" ca="1" si="216"/>
        <v>#N/A</v>
      </c>
    </row>
    <row r="633" spans="1:40" x14ac:dyDescent="0.3">
      <c r="A633" s="2">
        <v>44379</v>
      </c>
      <c r="B633" s="9">
        <v>88.669998000000007</v>
      </c>
      <c r="C633" s="9">
        <v>117.790001</v>
      </c>
      <c r="D633" s="9">
        <v>78.069999999999993</v>
      </c>
      <c r="E633" s="10"/>
      <c r="F633" s="13">
        <v>630</v>
      </c>
      <c r="G633" s="2">
        <v>44379</v>
      </c>
      <c r="H633" s="14">
        <f t="shared" si="197"/>
        <v>-7.7515751152620466E-3</v>
      </c>
      <c r="I633" s="14">
        <f t="shared" si="198"/>
        <v>-2.0354345081771913E-3</v>
      </c>
      <c r="J633" s="14">
        <f t="shared" si="199"/>
        <v>3.3359282069980942E-3</v>
      </c>
      <c r="K633" s="22">
        <v>630</v>
      </c>
      <c r="L633" s="12"/>
      <c r="Q633" s="15">
        <f t="shared" si="200"/>
        <v>630</v>
      </c>
      <c r="R633" s="2">
        <f t="shared" si="196"/>
        <v>44379</v>
      </c>
      <c r="S633" s="9">
        <f t="shared" ca="1" si="201"/>
        <v>-7.7515751152620466E-3</v>
      </c>
      <c r="T633" s="9">
        <f t="shared" ca="1" si="202"/>
        <v>-2.0354345081771913E-3</v>
      </c>
      <c r="U633" s="9">
        <f t="shared" ca="1" si="203"/>
        <v>3.3359282069980942E-3</v>
      </c>
      <c r="AB633" s="33" t="e">
        <f t="shared" ca="1" si="209"/>
        <v>#N/A</v>
      </c>
      <c r="AC633" s="34" t="e">
        <f t="shared" ca="1" si="210"/>
        <v>#N/A</v>
      </c>
      <c r="AD633" s="34" t="e">
        <f t="shared" ca="1" si="211"/>
        <v>#N/A</v>
      </c>
      <c r="AE633" s="33" t="e">
        <f t="shared" ca="1" si="212"/>
        <v>#N/A</v>
      </c>
      <c r="AF633" s="34" t="e">
        <f t="shared" ca="1" si="204"/>
        <v>#N/A</v>
      </c>
      <c r="AG633" s="34" t="e">
        <f t="shared" ca="1" si="205"/>
        <v>#N/A</v>
      </c>
      <c r="AH633" s="34" t="e">
        <f t="shared" ca="1" si="206"/>
        <v>#N/A</v>
      </c>
      <c r="AI633" s="33" t="e">
        <f t="shared" ca="1" si="213"/>
        <v>#N/A</v>
      </c>
      <c r="AJ633" s="34" t="e">
        <f t="shared" ca="1" si="214"/>
        <v>#N/A</v>
      </c>
      <c r="AK633" s="34" t="e">
        <f t="shared" ca="1" si="207"/>
        <v>#N/A</v>
      </c>
      <c r="AL633" s="34" t="e">
        <f t="shared" ca="1" si="208"/>
        <v>#N/A</v>
      </c>
      <c r="AM633" s="33" t="e">
        <f t="shared" ca="1" si="215"/>
        <v>#N/A</v>
      </c>
      <c r="AN633" s="34" t="e">
        <f t="shared" ca="1" si="216"/>
        <v>#N/A</v>
      </c>
    </row>
    <row r="634" spans="1:40" x14ac:dyDescent="0.3">
      <c r="A634" s="2">
        <v>44383</v>
      </c>
      <c r="B634" s="9">
        <v>86.199996999999996</v>
      </c>
      <c r="C634" s="9">
        <v>115.18</v>
      </c>
      <c r="D634" s="9">
        <v>74.699996999999996</v>
      </c>
      <c r="E634" s="10"/>
      <c r="F634" s="13">
        <v>631</v>
      </c>
      <c r="G634" s="2">
        <v>44383</v>
      </c>
      <c r="H634" s="14">
        <f t="shared" si="197"/>
        <v>-2.8251447969509961E-2</v>
      </c>
      <c r="I634" s="14">
        <f t="shared" si="198"/>
        <v>-2.2407264381851772E-2</v>
      </c>
      <c r="J634" s="14">
        <f t="shared" si="199"/>
        <v>-4.4125808154071335E-2</v>
      </c>
      <c r="K634" s="22">
        <v>631</v>
      </c>
      <c r="L634" s="12"/>
      <c r="Q634" s="15">
        <f t="shared" si="200"/>
        <v>631</v>
      </c>
      <c r="R634" s="2">
        <f t="shared" si="196"/>
        <v>44383</v>
      </c>
      <c r="S634" s="9">
        <f t="shared" ca="1" si="201"/>
        <v>-2.8251447969509961E-2</v>
      </c>
      <c r="T634" s="9">
        <f t="shared" ca="1" si="202"/>
        <v>-2.2407264381851772E-2</v>
      </c>
      <c r="U634" s="9">
        <f t="shared" ca="1" si="203"/>
        <v>-4.4125808154071335E-2</v>
      </c>
      <c r="AB634" s="33" t="e">
        <f t="shared" ca="1" si="209"/>
        <v>#N/A</v>
      </c>
      <c r="AC634" s="34" t="e">
        <f t="shared" ca="1" si="210"/>
        <v>#N/A</v>
      </c>
      <c r="AD634" s="34" t="e">
        <f t="shared" ca="1" si="211"/>
        <v>#N/A</v>
      </c>
      <c r="AE634" s="33" t="e">
        <f t="shared" ca="1" si="212"/>
        <v>#N/A</v>
      </c>
      <c r="AF634" s="34" t="e">
        <f t="shared" ca="1" si="204"/>
        <v>#N/A</v>
      </c>
      <c r="AG634" s="34" t="e">
        <f t="shared" ca="1" si="205"/>
        <v>#N/A</v>
      </c>
      <c r="AH634" s="34" t="e">
        <f t="shared" ca="1" si="206"/>
        <v>#N/A</v>
      </c>
      <c r="AI634" s="33" t="e">
        <f t="shared" ca="1" si="213"/>
        <v>#N/A</v>
      </c>
      <c r="AJ634" s="34" t="e">
        <f t="shared" ca="1" si="214"/>
        <v>#N/A</v>
      </c>
      <c r="AK634" s="34" t="e">
        <f t="shared" ca="1" si="207"/>
        <v>#N/A</v>
      </c>
      <c r="AL634" s="34" t="e">
        <f t="shared" ca="1" si="208"/>
        <v>#N/A</v>
      </c>
      <c r="AM634" s="33" t="e">
        <f t="shared" ca="1" si="215"/>
        <v>#N/A</v>
      </c>
      <c r="AN634" s="34" t="e">
        <f t="shared" ca="1" si="216"/>
        <v>#N/A</v>
      </c>
    </row>
    <row r="635" spans="1:40" x14ac:dyDescent="0.3">
      <c r="A635" s="2">
        <v>44384</v>
      </c>
      <c r="B635" s="9">
        <v>87.480002999999996</v>
      </c>
      <c r="C635" s="9">
        <v>113.470001</v>
      </c>
      <c r="D635" s="9">
        <v>72.309997999999993</v>
      </c>
      <c r="E635" s="10"/>
      <c r="F635" s="13">
        <v>632</v>
      </c>
      <c r="G635" s="2">
        <v>44384</v>
      </c>
      <c r="H635" s="14">
        <f t="shared" si="197"/>
        <v>1.4740087235256633E-2</v>
      </c>
      <c r="I635" s="14">
        <f t="shared" si="198"/>
        <v>-1.4957628462726335E-2</v>
      </c>
      <c r="J635" s="14">
        <f t="shared" si="199"/>
        <v>-3.2517647449959927E-2</v>
      </c>
      <c r="K635" s="22">
        <v>632</v>
      </c>
      <c r="L635" s="12"/>
      <c r="Q635" s="15">
        <f t="shared" si="200"/>
        <v>632</v>
      </c>
      <c r="R635" s="2">
        <f t="shared" si="196"/>
        <v>44384</v>
      </c>
      <c r="S635" s="9">
        <f t="shared" ca="1" si="201"/>
        <v>1.4740087235256633E-2</v>
      </c>
      <c r="T635" s="9">
        <f t="shared" ca="1" si="202"/>
        <v>-1.4957628462726335E-2</v>
      </c>
      <c r="U635" s="9">
        <f t="shared" ca="1" si="203"/>
        <v>-3.2517647449959927E-2</v>
      </c>
      <c r="AB635" s="33" t="e">
        <f t="shared" ca="1" si="209"/>
        <v>#N/A</v>
      </c>
      <c r="AC635" s="34" t="e">
        <f t="shared" ca="1" si="210"/>
        <v>#N/A</v>
      </c>
      <c r="AD635" s="34" t="e">
        <f t="shared" ca="1" si="211"/>
        <v>#N/A</v>
      </c>
      <c r="AE635" s="33" t="e">
        <f t="shared" ca="1" si="212"/>
        <v>#N/A</v>
      </c>
      <c r="AF635" s="34" t="e">
        <f t="shared" ca="1" si="204"/>
        <v>#N/A</v>
      </c>
      <c r="AG635" s="34" t="e">
        <f t="shared" ca="1" si="205"/>
        <v>#N/A</v>
      </c>
      <c r="AH635" s="34" t="e">
        <f t="shared" ca="1" si="206"/>
        <v>#N/A</v>
      </c>
      <c r="AI635" s="33" t="e">
        <f t="shared" ca="1" si="213"/>
        <v>#N/A</v>
      </c>
      <c r="AJ635" s="34" t="e">
        <f t="shared" ca="1" si="214"/>
        <v>#N/A</v>
      </c>
      <c r="AK635" s="34" t="e">
        <f t="shared" ca="1" si="207"/>
        <v>#N/A</v>
      </c>
      <c r="AL635" s="34" t="e">
        <f t="shared" ca="1" si="208"/>
        <v>#N/A</v>
      </c>
      <c r="AM635" s="33" t="e">
        <f t="shared" ca="1" si="215"/>
        <v>#N/A</v>
      </c>
      <c r="AN635" s="34" t="e">
        <f t="shared" ca="1" si="216"/>
        <v>#N/A</v>
      </c>
    </row>
    <row r="636" spans="1:40" x14ac:dyDescent="0.3">
      <c r="A636" s="2">
        <v>44385</v>
      </c>
      <c r="B636" s="9">
        <v>86.519997000000004</v>
      </c>
      <c r="C636" s="9">
        <v>113.57</v>
      </c>
      <c r="D636" s="9">
        <v>70.260002</v>
      </c>
      <c r="E636" s="10"/>
      <c r="F636" s="13">
        <v>633</v>
      </c>
      <c r="G636" s="2">
        <v>44385</v>
      </c>
      <c r="H636" s="14">
        <f t="shared" si="197"/>
        <v>-1.1034663691325606E-2</v>
      </c>
      <c r="I636" s="14">
        <f t="shared" si="198"/>
        <v>8.8089328775489901E-4</v>
      </c>
      <c r="J636" s="14">
        <f t="shared" si="199"/>
        <v>-2.8759729224788817E-2</v>
      </c>
      <c r="K636" s="22">
        <v>633</v>
      </c>
      <c r="L636" s="12"/>
      <c r="Q636" s="15">
        <f t="shared" si="200"/>
        <v>633</v>
      </c>
      <c r="R636" s="2">
        <f t="shared" si="196"/>
        <v>44385</v>
      </c>
      <c r="S636" s="9">
        <f t="shared" ca="1" si="201"/>
        <v>-1.1034663691325606E-2</v>
      </c>
      <c r="T636" s="9">
        <f t="shared" ca="1" si="202"/>
        <v>8.8089328775489901E-4</v>
      </c>
      <c r="U636" s="9">
        <f t="shared" ca="1" si="203"/>
        <v>-2.8759729224788817E-2</v>
      </c>
      <c r="AB636" s="33" t="e">
        <f t="shared" ca="1" si="209"/>
        <v>#N/A</v>
      </c>
      <c r="AC636" s="34" t="e">
        <f t="shared" ca="1" si="210"/>
        <v>#N/A</v>
      </c>
      <c r="AD636" s="34" t="e">
        <f t="shared" ca="1" si="211"/>
        <v>#N/A</v>
      </c>
      <c r="AE636" s="33" t="e">
        <f t="shared" ca="1" si="212"/>
        <v>#N/A</v>
      </c>
      <c r="AF636" s="34" t="e">
        <f t="shared" ca="1" si="204"/>
        <v>#N/A</v>
      </c>
      <c r="AG636" s="34" t="e">
        <f t="shared" ca="1" si="205"/>
        <v>#N/A</v>
      </c>
      <c r="AH636" s="34" t="e">
        <f t="shared" ca="1" si="206"/>
        <v>#N/A</v>
      </c>
      <c r="AI636" s="33" t="e">
        <f t="shared" ca="1" si="213"/>
        <v>#N/A</v>
      </c>
      <c r="AJ636" s="34" t="e">
        <f t="shared" ca="1" si="214"/>
        <v>#N/A</v>
      </c>
      <c r="AK636" s="34" t="e">
        <f t="shared" ca="1" si="207"/>
        <v>#N/A</v>
      </c>
      <c r="AL636" s="34" t="e">
        <f t="shared" ca="1" si="208"/>
        <v>#N/A</v>
      </c>
      <c r="AM636" s="33" t="e">
        <f t="shared" ca="1" si="215"/>
        <v>#N/A</v>
      </c>
      <c r="AN636" s="34" t="e">
        <f t="shared" ca="1" si="216"/>
        <v>#N/A</v>
      </c>
    </row>
    <row r="637" spans="1:40" x14ac:dyDescent="0.3">
      <c r="A637" s="2">
        <v>44386</v>
      </c>
      <c r="B637" s="9">
        <v>88.449996999999996</v>
      </c>
      <c r="C637" s="9">
        <v>116.400002</v>
      </c>
      <c r="D637" s="9">
        <v>72.300003000000004</v>
      </c>
      <c r="E637" s="10"/>
      <c r="F637" s="13">
        <v>634</v>
      </c>
      <c r="G637" s="2">
        <v>44386</v>
      </c>
      <c r="H637" s="14">
        <f t="shared" si="197"/>
        <v>2.2061820277532566E-2</v>
      </c>
      <c r="I637" s="14">
        <f t="shared" si="198"/>
        <v>2.4613165575913105E-2</v>
      </c>
      <c r="J637" s="14">
        <f t="shared" si="199"/>
        <v>2.8621495355114681E-2</v>
      </c>
      <c r="K637" s="22">
        <v>634</v>
      </c>
      <c r="L637" s="12"/>
      <c r="Q637" s="15">
        <f t="shared" si="200"/>
        <v>634</v>
      </c>
      <c r="R637" s="2">
        <f t="shared" si="196"/>
        <v>44386</v>
      </c>
      <c r="S637" s="9">
        <f t="shared" ca="1" si="201"/>
        <v>2.2061820277532566E-2</v>
      </c>
      <c r="T637" s="9">
        <f t="shared" ca="1" si="202"/>
        <v>2.4613165575913105E-2</v>
      </c>
      <c r="U637" s="9">
        <f t="shared" ca="1" si="203"/>
        <v>2.8621495355114681E-2</v>
      </c>
      <c r="AB637" s="33" t="e">
        <f t="shared" ca="1" si="209"/>
        <v>#N/A</v>
      </c>
      <c r="AC637" s="34" t="e">
        <f t="shared" ca="1" si="210"/>
        <v>#N/A</v>
      </c>
      <c r="AD637" s="34" t="e">
        <f t="shared" ca="1" si="211"/>
        <v>#N/A</v>
      </c>
      <c r="AE637" s="33" t="e">
        <f t="shared" ca="1" si="212"/>
        <v>#N/A</v>
      </c>
      <c r="AF637" s="34" t="e">
        <f t="shared" ca="1" si="204"/>
        <v>#N/A</v>
      </c>
      <c r="AG637" s="34" t="e">
        <f t="shared" ca="1" si="205"/>
        <v>#N/A</v>
      </c>
      <c r="AH637" s="34" t="e">
        <f t="shared" ca="1" si="206"/>
        <v>#N/A</v>
      </c>
      <c r="AI637" s="33" t="e">
        <f t="shared" ca="1" si="213"/>
        <v>#N/A</v>
      </c>
      <c r="AJ637" s="34" t="e">
        <f t="shared" ca="1" si="214"/>
        <v>#N/A</v>
      </c>
      <c r="AK637" s="34" t="e">
        <f t="shared" ca="1" si="207"/>
        <v>#N/A</v>
      </c>
      <c r="AL637" s="34" t="e">
        <f t="shared" ca="1" si="208"/>
        <v>#N/A</v>
      </c>
      <c r="AM637" s="33" t="e">
        <f t="shared" ca="1" si="215"/>
        <v>#N/A</v>
      </c>
      <c r="AN637" s="34" t="e">
        <f t="shared" ca="1" si="216"/>
        <v>#N/A</v>
      </c>
    </row>
    <row r="638" spans="1:40" x14ac:dyDescent="0.3">
      <c r="A638" s="2">
        <v>44389</v>
      </c>
      <c r="B638" s="9">
        <v>88.029999000000004</v>
      </c>
      <c r="C638" s="9">
        <v>115.699997</v>
      </c>
      <c r="D638" s="9">
        <v>71.680000000000007</v>
      </c>
      <c r="E638" s="10"/>
      <c r="F638" s="13">
        <v>635</v>
      </c>
      <c r="G638" s="2">
        <v>44389</v>
      </c>
      <c r="H638" s="14">
        <f t="shared" si="197"/>
        <v>-4.75973257527514E-3</v>
      </c>
      <c r="I638" s="14">
        <f t="shared" si="198"/>
        <v>-6.0319442089644421E-3</v>
      </c>
      <c r="J638" s="14">
        <f t="shared" si="199"/>
        <v>-8.6124019918189677E-3</v>
      </c>
      <c r="K638" s="22">
        <v>635</v>
      </c>
      <c r="L638" s="12"/>
      <c r="Q638" s="15">
        <f t="shared" si="200"/>
        <v>635</v>
      </c>
      <c r="R638" s="2">
        <f t="shared" si="196"/>
        <v>44389</v>
      </c>
      <c r="S638" s="9">
        <f t="shared" ca="1" si="201"/>
        <v>-4.75973257527514E-3</v>
      </c>
      <c r="T638" s="9">
        <f t="shared" ca="1" si="202"/>
        <v>-6.0319442089644421E-3</v>
      </c>
      <c r="U638" s="9">
        <f t="shared" ca="1" si="203"/>
        <v>-8.6124019918189677E-3</v>
      </c>
      <c r="AB638" s="33" t="e">
        <f t="shared" ca="1" si="209"/>
        <v>#N/A</v>
      </c>
      <c r="AC638" s="34" t="e">
        <f t="shared" ca="1" si="210"/>
        <v>#N/A</v>
      </c>
      <c r="AD638" s="34" t="e">
        <f t="shared" ca="1" si="211"/>
        <v>#N/A</v>
      </c>
      <c r="AE638" s="33" t="e">
        <f t="shared" ca="1" si="212"/>
        <v>#N/A</v>
      </c>
      <c r="AF638" s="34" t="e">
        <f t="shared" ca="1" si="204"/>
        <v>#N/A</v>
      </c>
      <c r="AG638" s="34" t="e">
        <f t="shared" ca="1" si="205"/>
        <v>#N/A</v>
      </c>
      <c r="AH638" s="34" t="e">
        <f t="shared" ca="1" si="206"/>
        <v>#N/A</v>
      </c>
      <c r="AI638" s="33" t="e">
        <f t="shared" ca="1" si="213"/>
        <v>#N/A</v>
      </c>
      <c r="AJ638" s="34" t="e">
        <f t="shared" ca="1" si="214"/>
        <v>#N/A</v>
      </c>
      <c r="AK638" s="34" t="e">
        <f t="shared" ca="1" si="207"/>
        <v>#N/A</v>
      </c>
      <c r="AL638" s="34" t="e">
        <f t="shared" ca="1" si="208"/>
        <v>#N/A</v>
      </c>
      <c r="AM638" s="33" t="e">
        <f t="shared" ca="1" si="215"/>
        <v>#N/A</v>
      </c>
      <c r="AN638" s="34" t="e">
        <f t="shared" ca="1" si="216"/>
        <v>#N/A</v>
      </c>
    </row>
    <row r="639" spans="1:40" x14ac:dyDescent="0.3">
      <c r="A639" s="2">
        <v>44390</v>
      </c>
      <c r="B639" s="9">
        <v>86.910004000000001</v>
      </c>
      <c r="C639" s="9">
        <v>114.66999800000001</v>
      </c>
      <c r="D639" s="9">
        <v>70.470000999999996</v>
      </c>
      <c r="E639" s="10"/>
      <c r="F639" s="13">
        <v>636</v>
      </c>
      <c r="G639" s="2">
        <v>44390</v>
      </c>
      <c r="H639" s="14">
        <f t="shared" si="197"/>
        <v>-1.2804507639060232E-2</v>
      </c>
      <c r="I639" s="14">
        <f t="shared" si="198"/>
        <v>-8.9421876616440181E-3</v>
      </c>
      <c r="J639" s="14">
        <f t="shared" si="199"/>
        <v>-1.7024667137308502E-2</v>
      </c>
      <c r="K639" s="22">
        <v>636</v>
      </c>
      <c r="L639" s="12"/>
      <c r="Q639" s="15">
        <f t="shared" si="200"/>
        <v>636</v>
      </c>
      <c r="R639" s="2">
        <f t="shared" si="196"/>
        <v>44390</v>
      </c>
      <c r="S639" s="9">
        <f t="shared" ca="1" si="201"/>
        <v>-1.2804507639060232E-2</v>
      </c>
      <c r="T639" s="9">
        <f t="shared" ca="1" si="202"/>
        <v>-8.9421876616440181E-3</v>
      </c>
      <c r="U639" s="9">
        <f t="shared" ca="1" si="203"/>
        <v>-1.7024667137308502E-2</v>
      </c>
      <c r="AB639" s="33" t="e">
        <f t="shared" ca="1" si="209"/>
        <v>#N/A</v>
      </c>
      <c r="AC639" s="34" t="e">
        <f t="shared" ca="1" si="210"/>
        <v>#N/A</v>
      </c>
      <c r="AD639" s="34" t="e">
        <f t="shared" ca="1" si="211"/>
        <v>#N/A</v>
      </c>
      <c r="AE639" s="33" t="e">
        <f t="shared" ca="1" si="212"/>
        <v>#N/A</v>
      </c>
      <c r="AF639" s="34" t="e">
        <f t="shared" ca="1" si="204"/>
        <v>#N/A</v>
      </c>
      <c r="AG639" s="34" t="e">
        <f t="shared" ca="1" si="205"/>
        <v>#N/A</v>
      </c>
      <c r="AH639" s="34" t="e">
        <f t="shared" ca="1" si="206"/>
        <v>#N/A</v>
      </c>
      <c r="AI639" s="33" t="e">
        <f t="shared" ca="1" si="213"/>
        <v>#N/A</v>
      </c>
      <c r="AJ639" s="34" t="e">
        <f t="shared" ca="1" si="214"/>
        <v>#N/A</v>
      </c>
      <c r="AK639" s="34" t="e">
        <f t="shared" ca="1" si="207"/>
        <v>#N/A</v>
      </c>
      <c r="AL639" s="34" t="e">
        <f t="shared" ca="1" si="208"/>
        <v>#N/A</v>
      </c>
      <c r="AM639" s="33" t="e">
        <f t="shared" ca="1" si="215"/>
        <v>#N/A</v>
      </c>
      <c r="AN639" s="34" t="e">
        <f t="shared" ca="1" si="216"/>
        <v>#N/A</v>
      </c>
    </row>
    <row r="640" spans="1:40" x14ac:dyDescent="0.3">
      <c r="A640" s="2">
        <v>44391</v>
      </c>
      <c r="B640" s="9">
        <v>87.410004000000001</v>
      </c>
      <c r="C640" s="9">
        <v>113.69000200000001</v>
      </c>
      <c r="D640" s="9">
        <v>67.669998000000007</v>
      </c>
      <c r="E640" s="10"/>
      <c r="F640" s="13">
        <v>637</v>
      </c>
      <c r="G640" s="2">
        <v>44391</v>
      </c>
      <c r="H640" s="14">
        <f t="shared" si="197"/>
        <v>5.7365918797592074E-3</v>
      </c>
      <c r="I640" s="14">
        <f t="shared" si="198"/>
        <v>-8.5829568761476328E-3</v>
      </c>
      <c r="J640" s="14">
        <f t="shared" si="199"/>
        <v>-4.0544180840427088E-2</v>
      </c>
      <c r="K640" s="22">
        <v>637</v>
      </c>
      <c r="L640" s="12"/>
      <c r="Q640" s="15">
        <f t="shared" si="200"/>
        <v>637</v>
      </c>
      <c r="R640" s="2">
        <f t="shared" si="196"/>
        <v>44391</v>
      </c>
      <c r="S640" s="9">
        <f t="shared" ca="1" si="201"/>
        <v>5.7365918797592074E-3</v>
      </c>
      <c r="T640" s="9">
        <f t="shared" ca="1" si="202"/>
        <v>-8.5829568761476328E-3</v>
      </c>
      <c r="U640" s="9">
        <f t="shared" ca="1" si="203"/>
        <v>-4.0544180840427088E-2</v>
      </c>
      <c r="AB640" s="33" t="e">
        <f t="shared" ca="1" si="209"/>
        <v>#N/A</v>
      </c>
      <c r="AC640" s="34" t="e">
        <f t="shared" ca="1" si="210"/>
        <v>#N/A</v>
      </c>
      <c r="AD640" s="34" t="e">
        <f t="shared" ca="1" si="211"/>
        <v>#N/A</v>
      </c>
      <c r="AE640" s="33" t="e">
        <f t="shared" ca="1" si="212"/>
        <v>#N/A</v>
      </c>
      <c r="AF640" s="34" t="e">
        <f t="shared" ca="1" si="204"/>
        <v>#N/A</v>
      </c>
      <c r="AG640" s="34" t="e">
        <f t="shared" ca="1" si="205"/>
        <v>#N/A</v>
      </c>
      <c r="AH640" s="34" t="e">
        <f t="shared" ca="1" si="206"/>
        <v>#N/A</v>
      </c>
      <c r="AI640" s="33" t="e">
        <f t="shared" ca="1" si="213"/>
        <v>#N/A</v>
      </c>
      <c r="AJ640" s="34" t="e">
        <f t="shared" ca="1" si="214"/>
        <v>#N/A</v>
      </c>
      <c r="AK640" s="34" t="e">
        <f t="shared" ca="1" si="207"/>
        <v>#N/A</v>
      </c>
      <c r="AL640" s="34" t="e">
        <f t="shared" ca="1" si="208"/>
        <v>#N/A</v>
      </c>
      <c r="AM640" s="33" t="e">
        <f t="shared" ca="1" si="215"/>
        <v>#N/A</v>
      </c>
      <c r="AN640" s="34" t="e">
        <f t="shared" ca="1" si="216"/>
        <v>#N/A</v>
      </c>
    </row>
    <row r="641" spans="1:40" x14ac:dyDescent="0.3">
      <c r="A641" s="2">
        <v>44392</v>
      </c>
      <c r="B641" s="9">
        <v>86.480002999999996</v>
      </c>
      <c r="C641" s="9">
        <v>111.57</v>
      </c>
      <c r="D641" s="9">
        <v>66.800003000000004</v>
      </c>
      <c r="E641" s="10"/>
      <c r="F641" s="13">
        <v>638</v>
      </c>
      <c r="G641" s="2">
        <v>44392</v>
      </c>
      <c r="H641" s="14">
        <f t="shared" si="197"/>
        <v>-1.069653033269609E-2</v>
      </c>
      <c r="I641" s="14">
        <f t="shared" si="198"/>
        <v>-1.8823267127623562E-2</v>
      </c>
      <c r="J641" s="14">
        <f t="shared" si="199"/>
        <v>-1.2939795236160694E-2</v>
      </c>
      <c r="K641" s="22">
        <v>638</v>
      </c>
      <c r="L641" s="12"/>
      <c r="Q641" s="15">
        <f t="shared" si="200"/>
        <v>638</v>
      </c>
      <c r="R641" s="2">
        <f t="shared" si="196"/>
        <v>44392</v>
      </c>
      <c r="S641" s="9">
        <f t="shared" ca="1" si="201"/>
        <v>-1.069653033269609E-2</v>
      </c>
      <c r="T641" s="9">
        <f t="shared" ca="1" si="202"/>
        <v>-1.8823267127623562E-2</v>
      </c>
      <c r="U641" s="9">
        <f t="shared" ca="1" si="203"/>
        <v>-1.2939795236160694E-2</v>
      </c>
      <c r="AB641" s="33" t="e">
        <f t="shared" ca="1" si="209"/>
        <v>#N/A</v>
      </c>
      <c r="AC641" s="34" t="e">
        <f t="shared" ca="1" si="210"/>
        <v>#N/A</v>
      </c>
      <c r="AD641" s="34" t="e">
        <f t="shared" ca="1" si="211"/>
        <v>#N/A</v>
      </c>
      <c r="AE641" s="33" t="e">
        <f t="shared" ca="1" si="212"/>
        <v>#N/A</v>
      </c>
      <c r="AF641" s="34" t="e">
        <f t="shared" ca="1" si="204"/>
        <v>#N/A</v>
      </c>
      <c r="AG641" s="34" t="e">
        <f t="shared" ca="1" si="205"/>
        <v>#N/A</v>
      </c>
      <c r="AH641" s="34" t="e">
        <f t="shared" ca="1" si="206"/>
        <v>#N/A</v>
      </c>
      <c r="AI641" s="33" t="e">
        <f t="shared" ca="1" si="213"/>
        <v>#N/A</v>
      </c>
      <c r="AJ641" s="34" t="e">
        <f t="shared" ca="1" si="214"/>
        <v>#N/A</v>
      </c>
      <c r="AK641" s="34" t="e">
        <f t="shared" ca="1" si="207"/>
        <v>#N/A</v>
      </c>
      <c r="AL641" s="34" t="e">
        <f t="shared" ca="1" si="208"/>
        <v>#N/A</v>
      </c>
      <c r="AM641" s="33" t="e">
        <f t="shared" ca="1" si="215"/>
        <v>#N/A</v>
      </c>
      <c r="AN641" s="34" t="e">
        <f t="shared" ca="1" si="216"/>
        <v>#N/A</v>
      </c>
    </row>
    <row r="642" spans="1:40" x14ac:dyDescent="0.3">
      <c r="A642" s="2">
        <v>44393</v>
      </c>
      <c r="B642" s="9">
        <v>85.980002999999996</v>
      </c>
      <c r="C642" s="9">
        <v>108.68</v>
      </c>
      <c r="D642" s="9">
        <v>64.879997000000003</v>
      </c>
      <c r="E642" s="10"/>
      <c r="F642" s="13">
        <v>639</v>
      </c>
      <c r="G642" s="2">
        <v>44393</v>
      </c>
      <c r="H642" s="14">
        <f t="shared" si="197"/>
        <v>-5.798462061083756E-3</v>
      </c>
      <c r="I642" s="14">
        <f t="shared" si="198"/>
        <v>-2.624441204694121E-2</v>
      </c>
      <c r="J642" s="14">
        <f t="shared" si="199"/>
        <v>-2.9163761884833123E-2</v>
      </c>
      <c r="K642" s="22">
        <v>639</v>
      </c>
      <c r="L642" s="12"/>
      <c r="Q642" s="15">
        <f t="shared" si="200"/>
        <v>639</v>
      </c>
      <c r="R642" s="2">
        <f t="shared" si="196"/>
        <v>44393</v>
      </c>
      <c r="S642" s="9">
        <f t="shared" ca="1" si="201"/>
        <v>-5.798462061083756E-3</v>
      </c>
      <c r="T642" s="9">
        <f t="shared" ca="1" si="202"/>
        <v>-2.624441204694121E-2</v>
      </c>
      <c r="U642" s="9">
        <f t="shared" ca="1" si="203"/>
        <v>-2.9163761884833123E-2</v>
      </c>
      <c r="AB642" s="33" t="e">
        <f t="shared" ca="1" si="209"/>
        <v>#N/A</v>
      </c>
      <c r="AC642" s="34" t="e">
        <f t="shared" ca="1" si="210"/>
        <v>#N/A</v>
      </c>
      <c r="AD642" s="34" t="e">
        <f t="shared" ca="1" si="211"/>
        <v>#N/A</v>
      </c>
      <c r="AE642" s="33" t="e">
        <f t="shared" ca="1" si="212"/>
        <v>#N/A</v>
      </c>
      <c r="AF642" s="34" t="e">
        <f t="shared" ca="1" si="204"/>
        <v>#N/A</v>
      </c>
      <c r="AG642" s="34" t="e">
        <f t="shared" ca="1" si="205"/>
        <v>#N/A</v>
      </c>
      <c r="AH642" s="34" t="e">
        <f t="shared" ca="1" si="206"/>
        <v>#N/A</v>
      </c>
      <c r="AI642" s="33" t="e">
        <f t="shared" ca="1" si="213"/>
        <v>#N/A</v>
      </c>
      <c r="AJ642" s="34" t="e">
        <f t="shared" ca="1" si="214"/>
        <v>#N/A</v>
      </c>
      <c r="AK642" s="34" t="e">
        <f t="shared" ca="1" si="207"/>
        <v>#N/A</v>
      </c>
      <c r="AL642" s="34" t="e">
        <f t="shared" ca="1" si="208"/>
        <v>#N/A</v>
      </c>
      <c r="AM642" s="33" t="e">
        <f t="shared" ca="1" si="215"/>
        <v>#N/A</v>
      </c>
      <c r="AN642" s="34" t="e">
        <f t="shared" ca="1" si="216"/>
        <v>#N/A</v>
      </c>
    </row>
    <row r="643" spans="1:40" x14ac:dyDescent="0.3">
      <c r="A643" s="2">
        <v>44396</v>
      </c>
      <c r="B643" s="9">
        <v>84.370002999999997</v>
      </c>
      <c r="C643" s="9">
        <v>103.790001</v>
      </c>
      <c r="D643" s="9">
        <v>61.919998</v>
      </c>
      <c r="E643" s="10"/>
      <c r="F643" s="13">
        <v>640</v>
      </c>
      <c r="G643" s="2">
        <v>44396</v>
      </c>
      <c r="H643" s="14">
        <f t="shared" si="197"/>
        <v>-1.8902822224772728E-2</v>
      </c>
      <c r="I643" s="14">
        <f t="shared" si="198"/>
        <v>-4.603814794610981E-2</v>
      </c>
      <c r="J643" s="14">
        <f t="shared" si="199"/>
        <v>-4.6696166586216087E-2</v>
      </c>
      <c r="K643" s="22">
        <v>640</v>
      </c>
      <c r="L643" s="12"/>
      <c r="Q643" s="15">
        <f t="shared" si="200"/>
        <v>640</v>
      </c>
      <c r="R643" s="2">
        <f t="shared" si="196"/>
        <v>44396</v>
      </c>
      <c r="S643" s="9">
        <f t="shared" ca="1" si="201"/>
        <v>-1.8902822224772728E-2</v>
      </c>
      <c r="T643" s="9">
        <f t="shared" ca="1" si="202"/>
        <v>-4.603814794610981E-2</v>
      </c>
      <c r="U643" s="9">
        <f t="shared" ca="1" si="203"/>
        <v>-4.6696166586216087E-2</v>
      </c>
      <c r="AB643" s="33" t="e">
        <f t="shared" ca="1" si="209"/>
        <v>#N/A</v>
      </c>
      <c r="AC643" s="34" t="e">
        <f t="shared" ca="1" si="210"/>
        <v>#N/A</v>
      </c>
      <c r="AD643" s="34" t="e">
        <f t="shared" ca="1" si="211"/>
        <v>#N/A</v>
      </c>
      <c r="AE643" s="33" t="e">
        <f t="shared" ca="1" si="212"/>
        <v>#N/A</v>
      </c>
      <c r="AF643" s="34" t="e">
        <f t="shared" ca="1" si="204"/>
        <v>#N/A</v>
      </c>
      <c r="AG643" s="34" t="e">
        <f t="shared" ca="1" si="205"/>
        <v>#N/A</v>
      </c>
      <c r="AH643" s="34" t="e">
        <f t="shared" ca="1" si="206"/>
        <v>#N/A</v>
      </c>
      <c r="AI643" s="33" t="e">
        <f t="shared" ca="1" si="213"/>
        <v>#N/A</v>
      </c>
      <c r="AJ643" s="34" t="e">
        <f t="shared" ca="1" si="214"/>
        <v>#N/A</v>
      </c>
      <c r="AK643" s="34" t="e">
        <f t="shared" ca="1" si="207"/>
        <v>#N/A</v>
      </c>
      <c r="AL643" s="34" t="e">
        <f t="shared" ca="1" si="208"/>
        <v>#N/A</v>
      </c>
      <c r="AM643" s="33" t="e">
        <f t="shared" ca="1" si="215"/>
        <v>#N/A</v>
      </c>
      <c r="AN643" s="34" t="e">
        <f t="shared" ca="1" si="216"/>
        <v>#N/A</v>
      </c>
    </row>
    <row r="644" spans="1:40" x14ac:dyDescent="0.3">
      <c r="A644" s="2">
        <v>44397</v>
      </c>
      <c r="B644" s="9">
        <v>86.470000999999996</v>
      </c>
      <c r="C644" s="9">
        <v>109.040001</v>
      </c>
      <c r="D644" s="9">
        <v>62.57</v>
      </c>
      <c r="E644" s="10"/>
      <c r="F644" s="13">
        <v>641</v>
      </c>
      <c r="G644" s="2">
        <v>44397</v>
      </c>
      <c r="H644" s="14">
        <f t="shared" si="197"/>
        <v>2.4585620801845929E-2</v>
      </c>
      <c r="I644" s="14">
        <f t="shared" si="198"/>
        <v>4.9345159947186419E-2</v>
      </c>
      <c r="J644" s="14">
        <f t="shared" si="199"/>
        <v>1.0442733028542686E-2</v>
      </c>
      <c r="K644" s="22">
        <v>641</v>
      </c>
      <c r="L644" s="12"/>
      <c r="Q644" s="15">
        <f t="shared" si="200"/>
        <v>641</v>
      </c>
      <c r="R644" s="2">
        <f t="shared" ref="R644:R707" si="217">IF(Q644="","",VLOOKUP(Q644,F644:J1901,2))</f>
        <v>44397</v>
      </c>
      <c r="S644" s="9">
        <f t="shared" ca="1" si="201"/>
        <v>2.4585620801845929E-2</v>
      </c>
      <c r="T644" s="9">
        <f t="shared" ca="1" si="202"/>
        <v>4.9345159947186419E-2</v>
      </c>
      <c r="U644" s="9">
        <f t="shared" ca="1" si="203"/>
        <v>1.0442733028542686E-2</v>
      </c>
      <c r="AB644" s="33" t="e">
        <f t="shared" ca="1" si="209"/>
        <v>#N/A</v>
      </c>
      <c r="AC644" s="34" t="e">
        <f t="shared" ca="1" si="210"/>
        <v>#N/A</v>
      </c>
      <c r="AD644" s="34" t="e">
        <f t="shared" ca="1" si="211"/>
        <v>#N/A</v>
      </c>
      <c r="AE644" s="33" t="e">
        <f t="shared" ca="1" si="212"/>
        <v>#N/A</v>
      </c>
      <c r="AF644" s="34" t="e">
        <f t="shared" ca="1" si="204"/>
        <v>#N/A</v>
      </c>
      <c r="AG644" s="34" t="e">
        <f t="shared" ca="1" si="205"/>
        <v>#N/A</v>
      </c>
      <c r="AH644" s="34" t="e">
        <f t="shared" ca="1" si="206"/>
        <v>#N/A</v>
      </c>
      <c r="AI644" s="33" t="e">
        <f t="shared" ca="1" si="213"/>
        <v>#N/A</v>
      </c>
      <c r="AJ644" s="34" t="e">
        <f t="shared" ca="1" si="214"/>
        <v>#N/A</v>
      </c>
      <c r="AK644" s="34" t="e">
        <f t="shared" ca="1" si="207"/>
        <v>#N/A</v>
      </c>
      <c r="AL644" s="34" t="e">
        <f t="shared" ca="1" si="208"/>
        <v>#N/A</v>
      </c>
      <c r="AM644" s="33" t="e">
        <f t="shared" ca="1" si="215"/>
        <v>#N/A</v>
      </c>
      <c r="AN644" s="34" t="e">
        <f t="shared" ca="1" si="216"/>
        <v>#N/A</v>
      </c>
    </row>
    <row r="645" spans="1:40" x14ac:dyDescent="0.3">
      <c r="A645" s="2">
        <v>44398</v>
      </c>
      <c r="B645" s="9">
        <v>87.5</v>
      </c>
      <c r="C645" s="9">
        <v>110.639999</v>
      </c>
      <c r="D645" s="9">
        <v>64.910004000000001</v>
      </c>
      <c r="E645" s="10"/>
      <c r="F645" s="13">
        <v>642</v>
      </c>
      <c r="G645" s="2">
        <v>44398</v>
      </c>
      <c r="H645" s="14">
        <f t="shared" ref="H645:H708" si="218">LN(B645/B644)</f>
        <v>1.1841248826525532E-2</v>
      </c>
      <c r="I645" s="14">
        <f t="shared" ref="I645:I708" si="219">LN(C645/C644)</f>
        <v>1.4566881758956658E-2</v>
      </c>
      <c r="J645" s="14">
        <f t="shared" ref="J645:J708" si="220">LN(D645/D644)</f>
        <v>3.671582665888997E-2</v>
      </c>
      <c r="K645" s="22">
        <v>642</v>
      </c>
      <c r="L645" s="12"/>
      <c r="Q645" s="15">
        <f t="shared" ref="Q645:Q708" si="221">IF(Q644="","",IF(Q644+1&lt;=$M$6,Q644+1,""))</f>
        <v>642</v>
      </c>
      <c r="R645" s="2">
        <f t="shared" si="217"/>
        <v>44398</v>
      </c>
      <c r="S645" s="9">
        <f t="shared" ref="S645:S708" ca="1" si="222">IF(Q645="","",OFFSET(H$3,$Q645,0))</f>
        <v>1.1841248826525532E-2</v>
      </c>
      <c r="T645" s="9">
        <f t="shared" ref="T645:T708" ca="1" si="223">IF(R645="","",OFFSET(I$3,$Q645,0))</f>
        <v>1.4566881758956658E-2</v>
      </c>
      <c r="U645" s="9">
        <f t="shared" ref="U645:U708" ca="1" si="224">IF(S645="","",OFFSET(J$3,$Q645,0))</f>
        <v>3.671582665888997E-2</v>
      </c>
      <c r="AB645" s="33" t="e">
        <f t="shared" ca="1" si="209"/>
        <v>#N/A</v>
      </c>
      <c r="AC645" s="34" t="e">
        <f t="shared" ca="1" si="210"/>
        <v>#N/A</v>
      </c>
      <c r="AD645" s="34" t="e">
        <f t="shared" ca="1" si="211"/>
        <v>#N/A</v>
      </c>
      <c r="AE645" s="33" t="e">
        <f t="shared" ca="1" si="212"/>
        <v>#N/A</v>
      </c>
      <c r="AF645" s="34" t="e">
        <f t="shared" ref="AF645:AF708" ca="1" si="225">IF(AB645&lt;=$X$6,(AE645/$X$5)/$X$7,"")</f>
        <v>#N/A</v>
      </c>
      <c r="AG645" s="34" t="e">
        <f t="shared" ref="AG645:AG708" ca="1" si="226">IF(AB645&lt;=$Y$6,AG644+$Y$7,"")</f>
        <v>#N/A</v>
      </c>
      <c r="AH645" s="34" t="e">
        <f t="shared" ref="AH645:AH708" ca="1" si="227">IF(AB645&lt;=$Y$6,AG645-$Y$7/2,"")</f>
        <v>#N/A</v>
      </c>
      <c r="AI645" s="33" t="e">
        <f t="shared" ca="1" si="213"/>
        <v>#N/A</v>
      </c>
      <c r="AJ645" s="34" t="e">
        <f t="shared" ca="1" si="214"/>
        <v>#N/A</v>
      </c>
      <c r="AK645" s="34" t="e">
        <f t="shared" ref="AK645:AK708" ca="1" si="228">IF(AB645&lt;=$Z$6,AK644+$Z$7,"")</f>
        <v>#N/A</v>
      </c>
      <c r="AL645" s="34" t="e">
        <f t="shared" ref="AL645:AL708" ca="1" si="229">IF(AB645&lt;=$Z$6,AK645-$Z$7/2,"")</f>
        <v>#N/A</v>
      </c>
      <c r="AM645" s="33" t="e">
        <f t="shared" ca="1" si="215"/>
        <v>#N/A</v>
      </c>
      <c r="AN645" s="34" t="e">
        <f t="shared" ca="1" si="216"/>
        <v>#N/A</v>
      </c>
    </row>
    <row r="646" spans="1:40" x14ac:dyDescent="0.3">
      <c r="A646" s="2">
        <v>44399</v>
      </c>
      <c r="B646" s="9">
        <v>86.5</v>
      </c>
      <c r="C646" s="9">
        <v>109.900002</v>
      </c>
      <c r="D646" s="9">
        <v>63.48</v>
      </c>
      <c r="E646" s="10"/>
      <c r="F646" s="13">
        <v>643</v>
      </c>
      <c r="G646" s="2">
        <v>44399</v>
      </c>
      <c r="H646" s="14">
        <f t="shared" si="218"/>
        <v>-1.1494379425735134E-2</v>
      </c>
      <c r="I646" s="14">
        <f t="shared" si="219"/>
        <v>-6.7107987102425918E-3</v>
      </c>
      <c r="J646" s="14">
        <f t="shared" si="220"/>
        <v>-2.2276861010953795E-2</v>
      </c>
      <c r="K646" s="22">
        <v>643</v>
      </c>
      <c r="L646" s="12"/>
      <c r="Q646" s="15">
        <f t="shared" si="221"/>
        <v>643</v>
      </c>
      <c r="R646" s="2">
        <f t="shared" si="217"/>
        <v>44399</v>
      </c>
      <c r="S646" s="9">
        <f t="shared" ca="1" si="222"/>
        <v>-1.1494379425735134E-2</v>
      </c>
      <c r="T646" s="9">
        <f t="shared" ca="1" si="223"/>
        <v>-6.7107987102425918E-3</v>
      </c>
      <c r="U646" s="9">
        <f t="shared" ca="1" si="224"/>
        <v>-2.2276861010953795E-2</v>
      </c>
      <c r="AB646" s="33" t="e">
        <f t="shared" ref="AB646:AB709" ca="1" si="230">IF(AB645&lt;$X$6,AB645+1,NA())</f>
        <v>#N/A</v>
      </c>
      <c r="AC646" s="34" t="e">
        <f t="shared" ref="AC646:AC709" ca="1" si="231">IF(AB646&lt;=$X$6,AC645+$X$7,"")</f>
        <v>#N/A</v>
      </c>
      <c r="AD646" s="34" t="e">
        <f t="shared" ref="AD646:AD709" ca="1" si="232">IF(AB646&lt;=$X$6,AC646-$X$7/2,"")</f>
        <v>#N/A</v>
      </c>
      <c r="AE646" s="33" t="e">
        <f t="shared" ref="AE646:AE709" ca="1" si="233">IF(AB646&lt;=$X$6,COUNTIFS($S$3:$S$1260,"&gt;"&amp;AC645,$S$3:$S$1260,"&lt;="&amp;AC646),"")</f>
        <v>#N/A</v>
      </c>
      <c r="AF646" s="34" t="e">
        <f t="shared" ca="1" si="225"/>
        <v>#N/A</v>
      </c>
      <c r="AG646" s="34" t="e">
        <f t="shared" ca="1" si="226"/>
        <v>#N/A</v>
      </c>
      <c r="AH646" s="34" t="e">
        <f t="shared" ca="1" si="227"/>
        <v>#N/A</v>
      </c>
      <c r="AI646" s="33" t="e">
        <f t="shared" ref="AI646:AI709" ca="1" si="234">IF(AB646&lt;=$Y$6,COUNTIFS($T$3:$T$1260,"&gt;"&amp;AG645,$T$3:$T$1260,"&lt;="&amp;AG646),"")</f>
        <v>#N/A</v>
      </c>
      <c r="AJ646" s="34" t="e">
        <f t="shared" ref="AJ646:AJ709" ca="1" si="235">IF(AB646&lt;=$Y$6,(AI646/$Y$5)/$Y$7,"")</f>
        <v>#N/A</v>
      </c>
      <c r="AK646" s="34" t="e">
        <f t="shared" ca="1" si="228"/>
        <v>#N/A</v>
      </c>
      <c r="AL646" s="34" t="e">
        <f t="shared" ca="1" si="229"/>
        <v>#N/A</v>
      </c>
      <c r="AM646" s="33" t="e">
        <f t="shared" ref="AM646:AM709" ca="1" si="236">IF(AB646&lt;=$Z$6,COUNTIFS($U$3:$U$1260,"&gt;"&amp;AK645,$U$3:$U$1260,"&lt;="&amp;AK646),"")</f>
        <v>#N/A</v>
      </c>
      <c r="AN646" s="34" t="e">
        <f t="shared" ref="AN646:AN709" ca="1" si="237">IF(AB646&lt;=$Z$6,(AM646/$Z$5)/$Z$7,"")</f>
        <v>#N/A</v>
      </c>
    </row>
    <row r="647" spans="1:40" x14ac:dyDescent="0.3">
      <c r="A647" s="2">
        <v>44400</v>
      </c>
      <c r="B647" s="9">
        <v>92.870002999999997</v>
      </c>
      <c r="C647" s="9">
        <v>109.989998</v>
      </c>
      <c r="D647" s="9">
        <v>63.709999000000003</v>
      </c>
      <c r="E647" s="10"/>
      <c r="F647" s="13">
        <v>644</v>
      </c>
      <c r="G647" s="2">
        <v>44400</v>
      </c>
      <c r="H647" s="14">
        <f t="shared" si="218"/>
        <v>7.105628415330241E-2</v>
      </c>
      <c r="I647" s="14">
        <f t="shared" si="219"/>
        <v>8.185547776162304E-4</v>
      </c>
      <c r="J647" s="14">
        <f t="shared" si="220"/>
        <v>3.616624774065492E-3</v>
      </c>
      <c r="K647" s="22">
        <v>644</v>
      </c>
      <c r="L647" s="12"/>
      <c r="Q647" s="15">
        <f t="shared" si="221"/>
        <v>644</v>
      </c>
      <c r="R647" s="2">
        <f t="shared" si="217"/>
        <v>44400</v>
      </c>
      <c r="S647" s="9">
        <f t="shared" ca="1" si="222"/>
        <v>7.105628415330241E-2</v>
      </c>
      <c r="T647" s="9">
        <f t="shared" ca="1" si="223"/>
        <v>8.185547776162304E-4</v>
      </c>
      <c r="U647" s="9">
        <f t="shared" ca="1" si="224"/>
        <v>3.616624774065492E-3</v>
      </c>
      <c r="AB647" s="33" t="e">
        <f t="shared" ca="1" si="230"/>
        <v>#N/A</v>
      </c>
      <c r="AC647" s="34" t="e">
        <f t="shared" ca="1" si="231"/>
        <v>#N/A</v>
      </c>
      <c r="AD647" s="34" t="e">
        <f t="shared" ca="1" si="232"/>
        <v>#N/A</v>
      </c>
      <c r="AE647" s="33" t="e">
        <f t="shared" ca="1" si="233"/>
        <v>#N/A</v>
      </c>
      <c r="AF647" s="34" t="e">
        <f t="shared" ca="1" si="225"/>
        <v>#N/A</v>
      </c>
      <c r="AG647" s="34" t="e">
        <f t="shared" ca="1" si="226"/>
        <v>#N/A</v>
      </c>
      <c r="AH647" s="34" t="e">
        <f t="shared" ca="1" si="227"/>
        <v>#N/A</v>
      </c>
      <c r="AI647" s="33" t="e">
        <f t="shared" ca="1" si="234"/>
        <v>#N/A</v>
      </c>
      <c r="AJ647" s="34" t="e">
        <f t="shared" ca="1" si="235"/>
        <v>#N/A</v>
      </c>
      <c r="AK647" s="34" t="e">
        <f t="shared" ca="1" si="228"/>
        <v>#N/A</v>
      </c>
      <c r="AL647" s="34" t="e">
        <f t="shared" ca="1" si="229"/>
        <v>#N/A</v>
      </c>
      <c r="AM647" s="33" t="e">
        <f t="shared" ca="1" si="236"/>
        <v>#N/A</v>
      </c>
      <c r="AN647" s="34" t="e">
        <f t="shared" ca="1" si="237"/>
        <v>#N/A</v>
      </c>
    </row>
    <row r="648" spans="1:40" x14ac:dyDescent="0.3">
      <c r="A648" s="2">
        <v>44403</v>
      </c>
      <c r="B648" s="9">
        <v>93.589995999999999</v>
      </c>
      <c r="C648" s="9">
        <v>111.449997</v>
      </c>
      <c r="D648" s="9">
        <v>65.540001000000004</v>
      </c>
      <c r="E648" s="10"/>
      <c r="F648" s="13">
        <v>645</v>
      </c>
      <c r="G648" s="2">
        <v>44403</v>
      </c>
      <c r="H648" s="14">
        <f t="shared" si="218"/>
        <v>7.7227993384192265E-3</v>
      </c>
      <c r="I648" s="14">
        <f t="shared" si="219"/>
        <v>1.3186598528423127E-2</v>
      </c>
      <c r="J648" s="14">
        <f t="shared" si="220"/>
        <v>2.8319138096252555E-2</v>
      </c>
      <c r="K648" s="22">
        <v>645</v>
      </c>
      <c r="L648" s="12"/>
      <c r="Q648" s="15">
        <f t="shared" si="221"/>
        <v>645</v>
      </c>
      <c r="R648" s="2">
        <f t="shared" si="217"/>
        <v>44403</v>
      </c>
      <c r="S648" s="9">
        <f t="shared" ca="1" si="222"/>
        <v>7.7227993384192265E-3</v>
      </c>
      <c r="T648" s="9">
        <f t="shared" ca="1" si="223"/>
        <v>1.3186598528423127E-2</v>
      </c>
      <c r="U648" s="9">
        <f t="shared" ca="1" si="224"/>
        <v>2.8319138096252555E-2</v>
      </c>
      <c r="AB648" s="33" t="e">
        <f t="shared" ca="1" si="230"/>
        <v>#N/A</v>
      </c>
      <c r="AC648" s="34" t="e">
        <f t="shared" ca="1" si="231"/>
        <v>#N/A</v>
      </c>
      <c r="AD648" s="34" t="e">
        <f t="shared" ca="1" si="232"/>
        <v>#N/A</v>
      </c>
      <c r="AE648" s="33" t="e">
        <f t="shared" ca="1" si="233"/>
        <v>#N/A</v>
      </c>
      <c r="AF648" s="34" t="e">
        <f t="shared" ca="1" si="225"/>
        <v>#N/A</v>
      </c>
      <c r="AG648" s="34" t="e">
        <f t="shared" ca="1" si="226"/>
        <v>#N/A</v>
      </c>
      <c r="AH648" s="34" t="e">
        <f t="shared" ca="1" si="227"/>
        <v>#N/A</v>
      </c>
      <c r="AI648" s="33" t="e">
        <f t="shared" ca="1" si="234"/>
        <v>#N/A</v>
      </c>
      <c r="AJ648" s="34" t="e">
        <f t="shared" ca="1" si="235"/>
        <v>#N/A</v>
      </c>
      <c r="AK648" s="34" t="e">
        <f t="shared" ca="1" si="228"/>
        <v>#N/A</v>
      </c>
      <c r="AL648" s="34" t="e">
        <f t="shared" ca="1" si="229"/>
        <v>#N/A</v>
      </c>
      <c r="AM648" s="33" t="e">
        <f t="shared" ca="1" si="236"/>
        <v>#N/A</v>
      </c>
      <c r="AN648" s="34" t="e">
        <f t="shared" ca="1" si="237"/>
        <v>#N/A</v>
      </c>
    </row>
    <row r="649" spans="1:40" x14ac:dyDescent="0.3">
      <c r="A649" s="2">
        <v>44404</v>
      </c>
      <c r="B649" s="9">
        <v>95.010002</v>
      </c>
      <c r="C649" s="9">
        <v>110.139999</v>
      </c>
      <c r="D649" s="9">
        <v>65.580001999999993</v>
      </c>
      <c r="E649" s="10"/>
      <c r="F649" s="13">
        <v>646</v>
      </c>
      <c r="G649" s="2">
        <v>44404</v>
      </c>
      <c r="H649" s="14">
        <f t="shared" si="218"/>
        <v>1.5058672839518446E-2</v>
      </c>
      <c r="I649" s="14">
        <f t="shared" si="219"/>
        <v>-1.1823758158995196E-2</v>
      </c>
      <c r="J649" s="14">
        <f t="shared" si="220"/>
        <v>6.1014338507804319E-4</v>
      </c>
      <c r="K649" s="22">
        <v>646</v>
      </c>
      <c r="L649" s="12"/>
      <c r="Q649" s="15">
        <f t="shared" si="221"/>
        <v>646</v>
      </c>
      <c r="R649" s="2">
        <f t="shared" si="217"/>
        <v>44404</v>
      </c>
      <c r="S649" s="9">
        <f t="shared" ca="1" si="222"/>
        <v>1.5058672839518446E-2</v>
      </c>
      <c r="T649" s="9">
        <f t="shared" ca="1" si="223"/>
        <v>-1.1823758158995196E-2</v>
      </c>
      <c r="U649" s="9">
        <f t="shared" ca="1" si="224"/>
        <v>6.1014338507804319E-4</v>
      </c>
      <c r="AB649" s="33" t="e">
        <f t="shared" ca="1" si="230"/>
        <v>#N/A</v>
      </c>
      <c r="AC649" s="34" t="e">
        <f t="shared" ca="1" si="231"/>
        <v>#N/A</v>
      </c>
      <c r="AD649" s="34" t="e">
        <f t="shared" ca="1" si="232"/>
        <v>#N/A</v>
      </c>
      <c r="AE649" s="33" t="e">
        <f t="shared" ca="1" si="233"/>
        <v>#N/A</v>
      </c>
      <c r="AF649" s="34" t="e">
        <f t="shared" ca="1" si="225"/>
        <v>#N/A</v>
      </c>
      <c r="AG649" s="34" t="e">
        <f t="shared" ca="1" si="226"/>
        <v>#N/A</v>
      </c>
      <c r="AH649" s="34" t="e">
        <f t="shared" ca="1" si="227"/>
        <v>#N/A</v>
      </c>
      <c r="AI649" s="33" t="e">
        <f t="shared" ca="1" si="234"/>
        <v>#N/A</v>
      </c>
      <c r="AJ649" s="34" t="e">
        <f t="shared" ca="1" si="235"/>
        <v>#N/A</v>
      </c>
      <c r="AK649" s="34" t="e">
        <f t="shared" ca="1" si="228"/>
        <v>#N/A</v>
      </c>
      <c r="AL649" s="34" t="e">
        <f t="shared" ca="1" si="229"/>
        <v>#N/A</v>
      </c>
      <c r="AM649" s="33" t="e">
        <f t="shared" ca="1" si="236"/>
        <v>#N/A</v>
      </c>
      <c r="AN649" s="34" t="e">
        <f t="shared" ca="1" si="237"/>
        <v>#N/A</v>
      </c>
    </row>
    <row r="650" spans="1:40" x14ac:dyDescent="0.3">
      <c r="A650" s="2">
        <v>44405</v>
      </c>
      <c r="B650" s="9">
        <v>95.669998000000007</v>
      </c>
      <c r="C650" s="9">
        <v>110.41999800000001</v>
      </c>
      <c r="D650" s="9">
        <v>67.300003000000004</v>
      </c>
      <c r="E650" s="10"/>
      <c r="F650" s="13">
        <v>647</v>
      </c>
      <c r="G650" s="2">
        <v>44405</v>
      </c>
      <c r="H650" s="14">
        <f t="shared" si="218"/>
        <v>6.9225785158071084E-3</v>
      </c>
      <c r="I650" s="14">
        <f t="shared" si="219"/>
        <v>2.5389839882557774E-3</v>
      </c>
      <c r="J650" s="14">
        <f t="shared" si="220"/>
        <v>2.5889479313599882E-2</v>
      </c>
      <c r="K650" s="22">
        <v>647</v>
      </c>
      <c r="L650" s="12"/>
      <c r="Q650" s="15">
        <f t="shared" si="221"/>
        <v>647</v>
      </c>
      <c r="R650" s="2">
        <f t="shared" si="217"/>
        <v>44405</v>
      </c>
      <c r="S650" s="9">
        <f t="shared" ca="1" si="222"/>
        <v>6.9225785158071084E-3</v>
      </c>
      <c r="T650" s="9">
        <f t="shared" ca="1" si="223"/>
        <v>2.5389839882557774E-3</v>
      </c>
      <c r="U650" s="9">
        <f t="shared" ca="1" si="224"/>
        <v>2.5889479313599882E-2</v>
      </c>
      <c r="AB650" s="33" t="e">
        <f t="shared" ca="1" si="230"/>
        <v>#N/A</v>
      </c>
      <c r="AC650" s="34" t="e">
        <f t="shared" ca="1" si="231"/>
        <v>#N/A</v>
      </c>
      <c r="AD650" s="34" t="e">
        <f t="shared" ca="1" si="232"/>
        <v>#N/A</v>
      </c>
      <c r="AE650" s="33" t="e">
        <f t="shared" ca="1" si="233"/>
        <v>#N/A</v>
      </c>
      <c r="AF650" s="34" t="e">
        <f t="shared" ca="1" si="225"/>
        <v>#N/A</v>
      </c>
      <c r="AG650" s="34" t="e">
        <f t="shared" ca="1" si="226"/>
        <v>#N/A</v>
      </c>
      <c r="AH650" s="34" t="e">
        <f t="shared" ca="1" si="227"/>
        <v>#N/A</v>
      </c>
      <c r="AI650" s="33" t="e">
        <f t="shared" ca="1" si="234"/>
        <v>#N/A</v>
      </c>
      <c r="AJ650" s="34" t="e">
        <f t="shared" ca="1" si="235"/>
        <v>#N/A</v>
      </c>
      <c r="AK650" s="34" t="e">
        <f t="shared" ca="1" si="228"/>
        <v>#N/A</v>
      </c>
      <c r="AL650" s="34" t="e">
        <f t="shared" ca="1" si="229"/>
        <v>#N/A</v>
      </c>
      <c r="AM650" s="33" t="e">
        <f t="shared" ca="1" si="236"/>
        <v>#N/A</v>
      </c>
      <c r="AN650" s="34" t="e">
        <f t="shared" ca="1" si="237"/>
        <v>#N/A</v>
      </c>
    </row>
    <row r="651" spans="1:40" x14ac:dyDescent="0.3">
      <c r="A651" s="2">
        <v>44406</v>
      </c>
      <c r="B651" s="9">
        <v>97.349997999999999</v>
      </c>
      <c r="C651" s="9">
        <v>110.160004</v>
      </c>
      <c r="D651" s="9">
        <v>67.639999000000003</v>
      </c>
      <c r="E651" s="10"/>
      <c r="F651" s="13">
        <v>648</v>
      </c>
      <c r="G651" s="2">
        <v>44406</v>
      </c>
      <c r="H651" s="14">
        <f t="shared" si="218"/>
        <v>1.740796248890019E-2</v>
      </c>
      <c r="I651" s="14">
        <f t="shared" si="219"/>
        <v>-2.3573680120182699E-3</v>
      </c>
      <c r="J651" s="14">
        <f t="shared" si="220"/>
        <v>5.0392280190238474E-3</v>
      </c>
      <c r="K651" s="22">
        <v>648</v>
      </c>
      <c r="L651" s="12"/>
      <c r="Q651" s="15">
        <f t="shared" si="221"/>
        <v>648</v>
      </c>
      <c r="R651" s="2">
        <f t="shared" si="217"/>
        <v>44406</v>
      </c>
      <c r="S651" s="9">
        <f t="shared" ca="1" si="222"/>
        <v>1.740796248890019E-2</v>
      </c>
      <c r="T651" s="9">
        <f t="shared" ca="1" si="223"/>
        <v>-2.3573680120182699E-3</v>
      </c>
      <c r="U651" s="9">
        <f t="shared" ca="1" si="224"/>
        <v>5.0392280190238474E-3</v>
      </c>
      <c r="AB651" s="33" t="e">
        <f t="shared" ca="1" si="230"/>
        <v>#N/A</v>
      </c>
      <c r="AC651" s="34" t="e">
        <f t="shared" ca="1" si="231"/>
        <v>#N/A</v>
      </c>
      <c r="AD651" s="34" t="e">
        <f t="shared" ca="1" si="232"/>
        <v>#N/A</v>
      </c>
      <c r="AE651" s="33" t="e">
        <f t="shared" ca="1" si="233"/>
        <v>#N/A</v>
      </c>
      <c r="AF651" s="34" t="e">
        <f t="shared" ca="1" si="225"/>
        <v>#N/A</v>
      </c>
      <c r="AG651" s="34" t="e">
        <f t="shared" ca="1" si="226"/>
        <v>#N/A</v>
      </c>
      <c r="AH651" s="34" t="e">
        <f t="shared" ca="1" si="227"/>
        <v>#N/A</v>
      </c>
      <c r="AI651" s="33" t="e">
        <f t="shared" ca="1" si="234"/>
        <v>#N/A</v>
      </c>
      <c r="AJ651" s="34" t="e">
        <f t="shared" ca="1" si="235"/>
        <v>#N/A</v>
      </c>
      <c r="AK651" s="34" t="e">
        <f t="shared" ca="1" si="228"/>
        <v>#N/A</v>
      </c>
      <c r="AL651" s="34" t="e">
        <f t="shared" ca="1" si="229"/>
        <v>#N/A</v>
      </c>
      <c r="AM651" s="33" t="e">
        <f t="shared" ca="1" si="236"/>
        <v>#N/A</v>
      </c>
      <c r="AN651" s="34" t="e">
        <f t="shared" ca="1" si="237"/>
        <v>#N/A</v>
      </c>
    </row>
    <row r="652" spans="1:40" x14ac:dyDescent="0.3">
      <c r="A652" s="2">
        <v>44407</v>
      </c>
      <c r="B652" s="9">
        <v>98.209998999999996</v>
      </c>
      <c r="C652" s="9">
        <v>113.519997</v>
      </c>
      <c r="D652" s="9">
        <v>66.970000999999996</v>
      </c>
      <c r="E652" s="10"/>
      <c r="F652" s="13">
        <v>649</v>
      </c>
      <c r="G652" s="2">
        <v>44407</v>
      </c>
      <c r="H652" s="14">
        <f t="shared" si="218"/>
        <v>8.7953217136391617E-3</v>
      </c>
      <c r="I652" s="14">
        <f t="shared" si="219"/>
        <v>3.004511569350618E-2</v>
      </c>
      <c r="J652" s="14">
        <f t="shared" si="220"/>
        <v>-9.95473639221027E-3</v>
      </c>
      <c r="K652" s="22">
        <v>649</v>
      </c>
      <c r="L652" s="12"/>
      <c r="Q652" s="15">
        <f t="shared" si="221"/>
        <v>649</v>
      </c>
      <c r="R652" s="2">
        <f t="shared" si="217"/>
        <v>44407</v>
      </c>
      <c r="S652" s="9">
        <f t="shared" ca="1" si="222"/>
        <v>8.7953217136391617E-3</v>
      </c>
      <c r="T652" s="9">
        <f t="shared" ca="1" si="223"/>
        <v>3.004511569350618E-2</v>
      </c>
      <c r="U652" s="9">
        <f t="shared" ca="1" si="224"/>
        <v>-9.95473639221027E-3</v>
      </c>
      <c r="AB652" s="33" t="e">
        <f t="shared" ca="1" si="230"/>
        <v>#N/A</v>
      </c>
      <c r="AC652" s="34" t="e">
        <f t="shared" ca="1" si="231"/>
        <v>#N/A</v>
      </c>
      <c r="AD652" s="34" t="e">
        <f t="shared" ca="1" si="232"/>
        <v>#N/A</v>
      </c>
      <c r="AE652" s="33" t="e">
        <f t="shared" ca="1" si="233"/>
        <v>#N/A</v>
      </c>
      <c r="AF652" s="34" t="e">
        <f t="shared" ca="1" si="225"/>
        <v>#N/A</v>
      </c>
      <c r="AG652" s="34" t="e">
        <f t="shared" ca="1" si="226"/>
        <v>#N/A</v>
      </c>
      <c r="AH652" s="34" t="e">
        <f t="shared" ca="1" si="227"/>
        <v>#N/A</v>
      </c>
      <c r="AI652" s="33" t="e">
        <f t="shared" ca="1" si="234"/>
        <v>#N/A</v>
      </c>
      <c r="AJ652" s="34" t="e">
        <f t="shared" ca="1" si="235"/>
        <v>#N/A</v>
      </c>
      <c r="AK652" s="34" t="e">
        <f t="shared" ca="1" si="228"/>
        <v>#N/A</v>
      </c>
      <c r="AL652" s="34" t="e">
        <f t="shared" ca="1" si="229"/>
        <v>#N/A</v>
      </c>
      <c r="AM652" s="33" t="e">
        <f t="shared" ca="1" si="236"/>
        <v>#N/A</v>
      </c>
      <c r="AN652" s="34" t="e">
        <f t="shared" ca="1" si="237"/>
        <v>#N/A</v>
      </c>
    </row>
    <row r="653" spans="1:40" x14ac:dyDescent="0.3">
      <c r="A653" s="2">
        <v>44410</v>
      </c>
      <c r="B653" s="9">
        <v>97.68</v>
      </c>
      <c r="C653" s="9">
        <v>117.989998</v>
      </c>
      <c r="D653" s="9">
        <v>66.400002000000001</v>
      </c>
      <c r="E653" s="10"/>
      <c r="F653" s="13">
        <v>650</v>
      </c>
      <c r="G653" s="2">
        <v>44410</v>
      </c>
      <c r="H653" s="14">
        <f t="shared" si="218"/>
        <v>-5.4112031849710149E-3</v>
      </c>
      <c r="I653" s="14">
        <f t="shared" si="219"/>
        <v>3.8620851736513112E-2</v>
      </c>
      <c r="J653" s="14">
        <f t="shared" si="220"/>
        <v>-8.5476862511481462E-3</v>
      </c>
      <c r="K653" s="22">
        <v>650</v>
      </c>
      <c r="L653" s="12"/>
      <c r="Q653" s="15">
        <f t="shared" si="221"/>
        <v>650</v>
      </c>
      <c r="R653" s="2">
        <f t="shared" si="217"/>
        <v>44410</v>
      </c>
      <c r="S653" s="9">
        <f t="shared" ca="1" si="222"/>
        <v>-5.4112031849710149E-3</v>
      </c>
      <c r="T653" s="9">
        <f t="shared" ca="1" si="223"/>
        <v>3.8620851736513112E-2</v>
      </c>
      <c r="U653" s="9">
        <f t="shared" ca="1" si="224"/>
        <v>-8.5476862511481462E-3</v>
      </c>
      <c r="AB653" s="33" t="e">
        <f t="shared" ca="1" si="230"/>
        <v>#N/A</v>
      </c>
      <c r="AC653" s="34" t="e">
        <f t="shared" ca="1" si="231"/>
        <v>#N/A</v>
      </c>
      <c r="AD653" s="34" t="e">
        <f t="shared" ca="1" si="232"/>
        <v>#N/A</v>
      </c>
      <c r="AE653" s="33" t="e">
        <f t="shared" ca="1" si="233"/>
        <v>#N/A</v>
      </c>
      <c r="AF653" s="34" t="e">
        <f t="shared" ca="1" si="225"/>
        <v>#N/A</v>
      </c>
      <c r="AG653" s="34" t="e">
        <f t="shared" ca="1" si="226"/>
        <v>#N/A</v>
      </c>
      <c r="AH653" s="34" t="e">
        <f t="shared" ca="1" si="227"/>
        <v>#N/A</v>
      </c>
      <c r="AI653" s="33" t="e">
        <f t="shared" ca="1" si="234"/>
        <v>#N/A</v>
      </c>
      <c r="AJ653" s="34" t="e">
        <f t="shared" ca="1" si="235"/>
        <v>#N/A</v>
      </c>
      <c r="AK653" s="34" t="e">
        <f t="shared" ca="1" si="228"/>
        <v>#N/A</v>
      </c>
      <c r="AL653" s="34" t="e">
        <f t="shared" ca="1" si="229"/>
        <v>#N/A</v>
      </c>
      <c r="AM653" s="33" t="e">
        <f t="shared" ca="1" si="236"/>
        <v>#N/A</v>
      </c>
      <c r="AN653" s="34" t="e">
        <f t="shared" ca="1" si="237"/>
        <v>#N/A</v>
      </c>
    </row>
    <row r="654" spans="1:40" x14ac:dyDescent="0.3">
      <c r="A654" s="2">
        <v>44411</v>
      </c>
      <c r="B654" s="9">
        <v>98.980002999999996</v>
      </c>
      <c r="C654" s="9">
        <v>125.220001</v>
      </c>
      <c r="D654" s="9">
        <v>69.010002</v>
      </c>
      <c r="E654" s="10"/>
      <c r="F654" s="13">
        <v>651</v>
      </c>
      <c r="G654" s="2">
        <v>44411</v>
      </c>
      <c r="H654" s="14">
        <f t="shared" si="218"/>
        <v>1.3221010030443571E-2</v>
      </c>
      <c r="I654" s="14">
        <f t="shared" si="219"/>
        <v>5.9472340141870299E-2</v>
      </c>
      <c r="J654" s="14">
        <f t="shared" si="220"/>
        <v>3.8554364010947369E-2</v>
      </c>
      <c r="K654" s="22">
        <v>651</v>
      </c>
      <c r="L654" s="12"/>
      <c r="Q654" s="15">
        <f t="shared" si="221"/>
        <v>651</v>
      </c>
      <c r="R654" s="2">
        <f t="shared" si="217"/>
        <v>44411</v>
      </c>
      <c r="S654" s="9">
        <f t="shared" ca="1" si="222"/>
        <v>1.3221010030443571E-2</v>
      </c>
      <c r="T654" s="9">
        <f t="shared" ca="1" si="223"/>
        <v>5.9472340141870299E-2</v>
      </c>
      <c r="U654" s="9">
        <f t="shared" ca="1" si="224"/>
        <v>3.8554364010947369E-2</v>
      </c>
      <c r="AB654" s="33" t="e">
        <f t="shared" ca="1" si="230"/>
        <v>#N/A</v>
      </c>
      <c r="AC654" s="34" t="e">
        <f t="shared" ca="1" si="231"/>
        <v>#N/A</v>
      </c>
      <c r="AD654" s="34" t="e">
        <f t="shared" ca="1" si="232"/>
        <v>#N/A</v>
      </c>
      <c r="AE654" s="33" t="e">
        <f t="shared" ca="1" si="233"/>
        <v>#N/A</v>
      </c>
      <c r="AF654" s="34" t="e">
        <f t="shared" ca="1" si="225"/>
        <v>#N/A</v>
      </c>
      <c r="AG654" s="34" t="e">
        <f t="shared" ca="1" si="226"/>
        <v>#N/A</v>
      </c>
      <c r="AH654" s="34" t="e">
        <f t="shared" ca="1" si="227"/>
        <v>#N/A</v>
      </c>
      <c r="AI654" s="33" t="e">
        <f t="shared" ca="1" si="234"/>
        <v>#N/A</v>
      </c>
      <c r="AJ654" s="34" t="e">
        <f t="shared" ca="1" si="235"/>
        <v>#N/A</v>
      </c>
      <c r="AK654" s="34" t="e">
        <f t="shared" ca="1" si="228"/>
        <v>#N/A</v>
      </c>
      <c r="AL654" s="34" t="e">
        <f t="shared" ca="1" si="229"/>
        <v>#N/A</v>
      </c>
      <c r="AM654" s="33" t="e">
        <f t="shared" ca="1" si="236"/>
        <v>#N/A</v>
      </c>
      <c r="AN654" s="34" t="e">
        <f t="shared" ca="1" si="237"/>
        <v>#N/A</v>
      </c>
    </row>
    <row r="655" spans="1:40" x14ac:dyDescent="0.3">
      <c r="A655" s="2">
        <v>44412</v>
      </c>
      <c r="B655" s="9">
        <v>97.550003000000004</v>
      </c>
      <c r="C655" s="9">
        <v>123.18</v>
      </c>
      <c r="D655" s="9">
        <v>64.180000000000007</v>
      </c>
      <c r="E655" s="10"/>
      <c r="F655" s="13">
        <v>652</v>
      </c>
      <c r="G655" s="2">
        <v>44412</v>
      </c>
      <c r="H655" s="14">
        <f t="shared" si="218"/>
        <v>-1.455274201031327E-2</v>
      </c>
      <c r="I655" s="14">
        <f t="shared" si="219"/>
        <v>-1.6425498044211766E-2</v>
      </c>
      <c r="J655" s="14">
        <f t="shared" si="220"/>
        <v>-7.255981493210624E-2</v>
      </c>
      <c r="K655" s="22">
        <v>652</v>
      </c>
      <c r="L655" s="12"/>
      <c r="Q655" s="15">
        <f t="shared" si="221"/>
        <v>652</v>
      </c>
      <c r="R655" s="2">
        <f t="shared" si="217"/>
        <v>44412</v>
      </c>
      <c r="S655" s="9">
        <f t="shared" ca="1" si="222"/>
        <v>-1.455274201031327E-2</v>
      </c>
      <c r="T655" s="9">
        <f t="shared" ca="1" si="223"/>
        <v>-1.6425498044211766E-2</v>
      </c>
      <c r="U655" s="9">
        <f t="shared" ca="1" si="224"/>
        <v>-7.255981493210624E-2</v>
      </c>
      <c r="AB655" s="33" t="e">
        <f t="shared" ca="1" si="230"/>
        <v>#N/A</v>
      </c>
      <c r="AC655" s="34" t="e">
        <f t="shared" ca="1" si="231"/>
        <v>#N/A</v>
      </c>
      <c r="AD655" s="34" t="e">
        <f t="shared" ca="1" si="232"/>
        <v>#N/A</v>
      </c>
      <c r="AE655" s="33" t="e">
        <f t="shared" ca="1" si="233"/>
        <v>#N/A</v>
      </c>
      <c r="AF655" s="34" t="e">
        <f t="shared" ca="1" si="225"/>
        <v>#N/A</v>
      </c>
      <c r="AG655" s="34" t="e">
        <f t="shared" ca="1" si="226"/>
        <v>#N/A</v>
      </c>
      <c r="AH655" s="34" t="e">
        <f t="shared" ca="1" si="227"/>
        <v>#N/A</v>
      </c>
      <c r="AI655" s="33" t="e">
        <f t="shared" ca="1" si="234"/>
        <v>#N/A</v>
      </c>
      <c r="AJ655" s="34" t="e">
        <f t="shared" ca="1" si="235"/>
        <v>#N/A</v>
      </c>
      <c r="AK655" s="34" t="e">
        <f t="shared" ca="1" si="228"/>
        <v>#N/A</v>
      </c>
      <c r="AL655" s="34" t="e">
        <f t="shared" ca="1" si="229"/>
        <v>#N/A</v>
      </c>
      <c r="AM655" s="33" t="e">
        <f t="shared" ca="1" si="236"/>
        <v>#N/A</v>
      </c>
      <c r="AN655" s="34" t="e">
        <f t="shared" ca="1" si="237"/>
        <v>#N/A</v>
      </c>
    </row>
    <row r="656" spans="1:40" x14ac:dyDescent="0.3">
      <c r="A656" s="2">
        <v>44413</v>
      </c>
      <c r="B656" s="9">
        <v>99.029999000000004</v>
      </c>
      <c r="C656" s="9">
        <v>124.529999</v>
      </c>
      <c r="D656" s="9">
        <v>65.709998999999996</v>
      </c>
      <c r="E656" s="10"/>
      <c r="F656" s="13">
        <v>653</v>
      </c>
      <c r="G656" s="2">
        <v>44413</v>
      </c>
      <c r="H656" s="14">
        <f t="shared" si="218"/>
        <v>1.505772661268167E-2</v>
      </c>
      <c r="I656" s="14">
        <f t="shared" si="219"/>
        <v>1.0899942443966207E-2</v>
      </c>
      <c r="J656" s="14">
        <f t="shared" si="220"/>
        <v>2.3559470009681692E-2</v>
      </c>
      <c r="K656" s="22">
        <v>653</v>
      </c>
      <c r="L656" s="12"/>
      <c r="Q656" s="15">
        <f t="shared" si="221"/>
        <v>653</v>
      </c>
      <c r="R656" s="2">
        <f t="shared" si="217"/>
        <v>44413</v>
      </c>
      <c r="S656" s="9">
        <f t="shared" ca="1" si="222"/>
        <v>1.505772661268167E-2</v>
      </c>
      <c r="T656" s="9">
        <f t="shared" ca="1" si="223"/>
        <v>1.0899942443966207E-2</v>
      </c>
      <c r="U656" s="9">
        <f t="shared" ca="1" si="224"/>
        <v>2.3559470009681692E-2</v>
      </c>
      <c r="AB656" s="33" t="e">
        <f t="shared" ca="1" si="230"/>
        <v>#N/A</v>
      </c>
      <c r="AC656" s="34" t="e">
        <f t="shared" ca="1" si="231"/>
        <v>#N/A</v>
      </c>
      <c r="AD656" s="34" t="e">
        <f t="shared" ca="1" si="232"/>
        <v>#N/A</v>
      </c>
      <c r="AE656" s="33" t="e">
        <f t="shared" ca="1" si="233"/>
        <v>#N/A</v>
      </c>
      <c r="AF656" s="34" t="e">
        <f t="shared" ca="1" si="225"/>
        <v>#N/A</v>
      </c>
      <c r="AG656" s="34" t="e">
        <f t="shared" ca="1" si="226"/>
        <v>#N/A</v>
      </c>
      <c r="AH656" s="34" t="e">
        <f t="shared" ca="1" si="227"/>
        <v>#N/A</v>
      </c>
      <c r="AI656" s="33" t="e">
        <f t="shared" ca="1" si="234"/>
        <v>#N/A</v>
      </c>
      <c r="AJ656" s="34" t="e">
        <f t="shared" ca="1" si="235"/>
        <v>#N/A</v>
      </c>
      <c r="AK656" s="34" t="e">
        <f t="shared" ca="1" si="228"/>
        <v>#N/A</v>
      </c>
      <c r="AL656" s="34" t="e">
        <f t="shared" ca="1" si="229"/>
        <v>#N/A</v>
      </c>
      <c r="AM656" s="33" t="e">
        <f t="shared" ca="1" si="236"/>
        <v>#N/A</v>
      </c>
      <c r="AN656" s="34" t="e">
        <f t="shared" ca="1" si="237"/>
        <v>#N/A</v>
      </c>
    </row>
    <row r="657" spans="1:40" x14ac:dyDescent="0.3">
      <c r="A657" s="2">
        <v>44414</v>
      </c>
      <c r="B657" s="9">
        <v>99.790001000000004</v>
      </c>
      <c r="C657" s="9">
        <v>123.139999</v>
      </c>
      <c r="D657" s="9">
        <v>66.5</v>
      </c>
      <c r="E657" s="10"/>
      <c r="F657" s="13">
        <v>654</v>
      </c>
      <c r="G657" s="2">
        <v>44414</v>
      </c>
      <c r="H657" s="14">
        <f t="shared" si="218"/>
        <v>7.6451634820041796E-3</v>
      </c>
      <c r="I657" s="14">
        <f t="shared" si="219"/>
        <v>-1.1224731340637553E-2</v>
      </c>
      <c r="J657" s="14">
        <f t="shared" si="220"/>
        <v>1.1950841970416006E-2</v>
      </c>
      <c r="K657" s="22">
        <v>654</v>
      </c>
      <c r="L657" s="12"/>
      <c r="Q657" s="15">
        <f t="shared" si="221"/>
        <v>654</v>
      </c>
      <c r="R657" s="2">
        <f t="shared" si="217"/>
        <v>44414</v>
      </c>
      <c r="S657" s="9">
        <f t="shared" ca="1" si="222"/>
        <v>7.6451634820041796E-3</v>
      </c>
      <c r="T657" s="9">
        <f t="shared" ca="1" si="223"/>
        <v>-1.1224731340637553E-2</v>
      </c>
      <c r="U657" s="9">
        <f t="shared" ca="1" si="224"/>
        <v>1.1950841970416006E-2</v>
      </c>
      <c r="AB657" s="33" t="e">
        <f t="shared" ca="1" si="230"/>
        <v>#N/A</v>
      </c>
      <c r="AC657" s="34" t="e">
        <f t="shared" ca="1" si="231"/>
        <v>#N/A</v>
      </c>
      <c r="AD657" s="34" t="e">
        <f t="shared" ca="1" si="232"/>
        <v>#N/A</v>
      </c>
      <c r="AE657" s="33" t="e">
        <f t="shared" ca="1" si="233"/>
        <v>#N/A</v>
      </c>
      <c r="AF657" s="34" t="e">
        <f t="shared" ca="1" si="225"/>
        <v>#N/A</v>
      </c>
      <c r="AG657" s="34" t="e">
        <f t="shared" ca="1" si="226"/>
        <v>#N/A</v>
      </c>
      <c r="AH657" s="34" t="e">
        <f t="shared" ca="1" si="227"/>
        <v>#N/A</v>
      </c>
      <c r="AI657" s="33" t="e">
        <f t="shared" ca="1" si="234"/>
        <v>#N/A</v>
      </c>
      <c r="AJ657" s="34" t="e">
        <f t="shared" ca="1" si="235"/>
        <v>#N/A</v>
      </c>
      <c r="AK657" s="34" t="e">
        <f t="shared" ca="1" si="228"/>
        <v>#N/A</v>
      </c>
      <c r="AL657" s="34" t="e">
        <f t="shared" ca="1" si="229"/>
        <v>#N/A</v>
      </c>
      <c r="AM657" s="33" t="e">
        <f t="shared" ca="1" si="236"/>
        <v>#N/A</v>
      </c>
      <c r="AN657" s="34" t="e">
        <f t="shared" ca="1" si="237"/>
        <v>#N/A</v>
      </c>
    </row>
    <row r="658" spans="1:40" x14ac:dyDescent="0.3">
      <c r="A658" s="2">
        <v>44417</v>
      </c>
      <c r="B658" s="9">
        <v>99.510002</v>
      </c>
      <c r="C658" s="9">
        <v>120.730003</v>
      </c>
      <c r="D658" s="9">
        <v>66</v>
      </c>
      <c r="E658" s="10"/>
      <c r="F658" s="13">
        <v>655</v>
      </c>
      <c r="G658" s="2">
        <v>44417</v>
      </c>
      <c r="H658" s="14">
        <f t="shared" si="218"/>
        <v>-2.8098261917122646E-3</v>
      </c>
      <c r="I658" s="14">
        <f t="shared" si="219"/>
        <v>-1.9765239169094034E-2</v>
      </c>
      <c r="J658" s="14">
        <f t="shared" si="220"/>
        <v>-7.5472056353829663E-3</v>
      </c>
      <c r="K658" s="22">
        <v>655</v>
      </c>
      <c r="L658" s="12"/>
      <c r="Q658" s="15">
        <f t="shared" si="221"/>
        <v>655</v>
      </c>
      <c r="R658" s="2">
        <f t="shared" si="217"/>
        <v>44417</v>
      </c>
      <c r="S658" s="9">
        <f t="shared" ca="1" si="222"/>
        <v>-2.8098261917122646E-3</v>
      </c>
      <c r="T658" s="9">
        <f t="shared" ca="1" si="223"/>
        <v>-1.9765239169094034E-2</v>
      </c>
      <c r="U658" s="9">
        <f t="shared" ca="1" si="224"/>
        <v>-7.5472056353829663E-3</v>
      </c>
      <c r="AB658" s="33" t="e">
        <f t="shared" ca="1" si="230"/>
        <v>#N/A</v>
      </c>
      <c r="AC658" s="34" t="e">
        <f t="shared" ca="1" si="231"/>
        <v>#N/A</v>
      </c>
      <c r="AD658" s="34" t="e">
        <f t="shared" ca="1" si="232"/>
        <v>#N/A</v>
      </c>
      <c r="AE658" s="33" t="e">
        <f t="shared" ca="1" si="233"/>
        <v>#N/A</v>
      </c>
      <c r="AF658" s="34" t="e">
        <f t="shared" ca="1" si="225"/>
        <v>#N/A</v>
      </c>
      <c r="AG658" s="34" t="e">
        <f t="shared" ca="1" si="226"/>
        <v>#N/A</v>
      </c>
      <c r="AH658" s="34" t="e">
        <f t="shared" ca="1" si="227"/>
        <v>#N/A</v>
      </c>
      <c r="AI658" s="33" t="e">
        <f t="shared" ca="1" si="234"/>
        <v>#N/A</v>
      </c>
      <c r="AJ658" s="34" t="e">
        <f t="shared" ca="1" si="235"/>
        <v>#N/A</v>
      </c>
      <c r="AK658" s="34" t="e">
        <f t="shared" ca="1" si="228"/>
        <v>#N/A</v>
      </c>
      <c r="AL658" s="34" t="e">
        <f t="shared" ca="1" si="229"/>
        <v>#N/A</v>
      </c>
      <c r="AM658" s="33" t="e">
        <f t="shared" ca="1" si="236"/>
        <v>#N/A</v>
      </c>
      <c r="AN658" s="34" t="e">
        <f t="shared" ca="1" si="237"/>
        <v>#N/A</v>
      </c>
    </row>
    <row r="659" spans="1:40" x14ac:dyDescent="0.3">
      <c r="A659" s="2">
        <v>44418</v>
      </c>
      <c r="B659" s="9">
        <v>100.389999</v>
      </c>
      <c r="C659" s="9">
        <v>120.989998</v>
      </c>
      <c r="D659" s="9">
        <v>66.900002000000001</v>
      </c>
      <c r="E659" s="10"/>
      <c r="F659" s="13">
        <v>656</v>
      </c>
      <c r="G659" s="2">
        <v>44418</v>
      </c>
      <c r="H659" s="14">
        <f t="shared" si="218"/>
        <v>8.804429016730498E-3</v>
      </c>
      <c r="I659" s="14">
        <f t="shared" si="219"/>
        <v>2.1512088299626129E-3</v>
      </c>
      <c r="J659" s="14">
        <f t="shared" si="220"/>
        <v>1.3544255003123028E-2</v>
      </c>
      <c r="K659" s="22">
        <v>656</v>
      </c>
      <c r="L659" s="12"/>
      <c r="Q659" s="15">
        <f t="shared" si="221"/>
        <v>656</v>
      </c>
      <c r="R659" s="2">
        <f t="shared" si="217"/>
        <v>44418</v>
      </c>
      <c r="S659" s="9">
        <f t="shared" ca="1" si="222"/>
        <v>8.804429016730498E-3</v>
      </c>
      <c r="T659" s="9">
        <f t="shared" ca="1" si="223"/>
        <v>2.1512088299626129E-3</v>
      </c>
      <c r="U659" s="9">
        <f t="shared" ca="1" si="224"/>
        <v>1.3544255003123028E-2</v>
      </c>
      <c r="AB659" s="33" t="e">
        <f t="shared" ca="1" si="230"/>
        <v>#N/A</v>
      </c>
      <c r="AC659" s="34" t="e">
        <f t="shared" ca="1" si="231"/>
        <v>#N/A</v>
      </c>
      <c r="AD659" s="34" t="e">
        <f t="shared" ca="1" si="232"/>
        <v>#N/A</v>
      </c>
      <c r="AE659" s="33" t="e">
        <f t="shared" ca="1" si="233"/>
        <v>#N/A</v>
      </c>
      <c r="AF659" s="34" t="e">
        <f t="shared" ca="1" si="225"/>
        <v>#N/A</v>
      </c>
      <c r="AG659" s="34" t="e">
        <f t="shared" ca="1" si="226"/>
        <v>#N/A</v>
      </c>
      <c r="AH659" s="34" t="e">
        <f t="shared" ca="1" si="227"/>
        <v>#N/A</v>
      </c>
      <c r="AI659" s="33" t="e">
        <f t="shared" ca="1" si="234"/>
        <v>#N/A</v>
      </c>
      <c r="AJ659" s="34" t="e">
        <f t="shared" ca="1" si="235"/>
        <v>#N/A</v>
      </c>
      <c r="AK659" s="34" t="e">
        <f t="shared" ca="1" si="228"/>
        <v>#N/A</v>
      </c>
      <c r="AL659" s="34" t="e">
        <f t="shared" ca="1" si="229"/>
        <v>#N/A</v>
      </c>
      <c r="AM659" s="33" t="e">
        <f t="shared" ca="1" si="236"/>
        <v>#N/A</v>
      </c>
      <c r="AN659" s="34" t="e">
        <f t="shared" ca="1" si="237"/>
        <v>#N/A</v>
      </c>
    </row>
    <row r="660" spans="1:40" x14ac:dyDescent="0.3">
      <c r="A660" s="2">
        <v>44419</v>
      </c>
      <c r="B660" s="9">
        <v>101.5</v>
      </c>
      <c r="C660" s="9">
        <v>122.769997</v>
      </c>
      <c r="D660" s="9">
        <v>66.839995999999999</v>
      </c>
      <c r="E660" s="10"/>
      <c r="F660" s="13">
        <v>657</v>
      </c>
      <c r="G660" s="2">
        <v>44419</v>
      </c>
      <c r="H660" s="14">
        <f t="shared" si="218"/>
        <v>1.0996207739558419E-2</v>
      </c>
      <c r="I660" s="14">
        <f t="shared" si="219"/>
        <v>1.4604780733716669E-2</v>
      </c>
      <c r="J660" s="14">
        <f t="shared" si="220"/>
        <v>-8.9735314676190302E-4</v>
      </c>
      <c r="K660" s="22">
        <v>657</v>
      </c>
      <c r="L660" s="12"/>
      <c r="Q660" s="15">
        <f t="shared" si="221"/>
        <v>657</v>
      </c>
      <c r="R660" s="2">
        <f t="shared" si="217"/>
        <v>44419</v>
      </c>
      <c r="S660" s="9">
        <f t="shared" ca="1" si="222"/>
        <v>1.0996207739558419E-2</v>
      </c>
      <c r="T660" s="9">
        <f t="shared" ca="1" si="223"/>
        <v>1.4604780733716669E-2</v>
      </c>
      <c r="U660" s="9">
        <f t="shared" ca="1" si="224"/>
        <v>-8.9735314676190302E-4</v>
      </c>
      <c r="AB660" s="33" t="e">
        <f t="shared" ca="1" si="230"/>
        <v>#N/A</v>
      </c>
      <c r="AC660" s="34" t="e">
        <f t="shared" ca="1" si="231"/>
        <v>#N/A</v>
      </c>
      <c r="AD660" s="34" t="e">
        <f t="shared" ca="1" si="232"/>
        <v>#N/A</v>
      </c>
      <c r="AE660" s="33" t="e">
        <f t="shared" ca="1" si="233"/>
        <v>#N/A</v>
      </c>
      <c r="AF660" s="34" t="e">
        <f t="shared" ca="1" si="225"/>
        <v>#N/A</v>
      </c>
      <c r="AG660" s="34" t="e">
        <f t="shared" ca="1" si="226"/>
        <v>#N/A</v>
      </c>
      <c r="AH660" s="34" t="e">
        <f t="shared" ca="1" si="227"/>
        <v>#N/A</v>
      </c>
      <c r="AI660" s="33" t="e">
        <f t="shared" ca="1" si="234"/>
        <v>#N/A</v>
      </c>
      <c r="AJ660" s="34" t="e">
        <f t="shared" ca="1" si="235"/>
        <v>#N/A</v>
      </c>
      <c r="AK660" s="34" t="e">
        <f t="shared" ca="1" si="228"/>
        <v>#N/A</v>
      </c>
      <c r="AL660" s="34" t="e">
        <f t="shared" ca="1" si="229"/>
        <v>#N/A</v>
      </c>
      <c r="AM660" s="33" t="e">
        <f t="shared" ca="1" si="236"/>
        <v>#N/A</v>
      </c>
      <c r="AN660" s="34" t="e">
        <f t="shared" ca="1" si="237"/>
        <v>#N/A</v>
      </c>
    </row>
    <row r="661" spans="1:40" x14ac:dyDescent="0.3">
      <c r="A661" s="2">
        <v>44420</v>
      </c>
      <c r="B661" s="9">
        <v>102.57</v>
      </c>
      <c r="C661" s="9">
        <v>124.209999</v>
      </c>
      <c r="D661" s="9">
        <v>67.25</v>
      </c>
      <c r="E661" s="10"/>
      <c r="F661" s="13">
        <v>658</v>
      </c>
      <c r="G661" s="2">
        <v>44420</v>
      </c>
      <c r="H661" s="14">
        <f t="shared" si="218"/>
        <v>1.0486693837477599E-2</v>
      </c>
      <c r="I661" s="14">
        <f t="shared" si="219"/>
        <v>1.1661011748409562E-2</v>
      </c>
      <c r="J661" s="14">
        <f t="shared" si="220"/>
        <v>6.1153745991618805E-3</v>
      </c>
      <c r="K661" s="22">
        <v>658</v>
      </c>
      <c r="L661" s="12"/>
      <c r="Q661" s="15">
        <f t="shared" si="221"/>
        <v>658</v>
      </c>
      <c r="R661" s="2">
        <f t="shared" si="217"/>
        <v>44420</v>
      </c>
      <c r="S661" s="9">
        <f t="shared" ca="1" si="222"/>
        <v>1.0486693837477599E-2</v>
      </c>
      <c r="T661" s="9">
        <f t="shared" ca="1" si="223"/>
        <v>1.1661011748409562E-2</v>
      </c>
      <c r="U661" s="9">
        <f t="shared" ca="1" si="224"/>
        <v>6.1153745991618805E-3</v>
      </c>
      <c r="AB661" s="33" t="e">
        <f t="shared" ca="1" si="230"/>
        <v>#N/A</v>
      </c>
      <c r="AC661" s="34" t="e">
        <f t="shared" ca="1" si="231"/>
        <v>#N/A</v>
      </c>
      <c r="AD661" s="34" t="e">
        <f t="shared" ca="1" si="232"/>
        <v>#N/A</v>
      </c>
      <c r="AE661" s="33" t="e">
        <f t="shared" ca="1" si="233"/>
        <v>#N/A</v>
      </c>
      <c r="AF661" s="34" t="e">
        <f t="shared" ca="1" si="225"/>
        <v>#N/A</v>
      </c>
      <c r="AG661" s="34" t="e">
        <f t="shared" ca="1" si="226"/>
        <v>#N/A</v>
      </c>
      <c r="AH661" s="34" t="e">
        <f t="shared" ca="1" si="227"/>
        <v>#N/A</v>
      </c>
      <c r="AI661" s="33" t="e">
        <f t="shared" ca="1" si="234"/>
        <v>#N/A</v>
      </c>
      <c r="AJ661" s="34" t="e">
        <f t="shared" ca="1" si="235"/>
        <v>#N/A</v>
      </c>
      <c r="AK661" s="34" t="e">
        <f t="shared" ca="1" si="228"/>
        <v>#N/A</v>
      </c>
      <c r="AL661" s="34" t="e">
        <f t="shared" ca="1" si="229"/>
        <v>#N/A</v>
      </c>
      <c r="AM661" s="33" t="e">
        <f t="shared" ca="1" si="236"/>
        <v>#N/A</v>
      </c>
      <c r="AN661" s="34" t="e">
        <f t="shared" ca="1" si="237"/>
        <v>#N/A</v>
      </c>
    </row>
    <row r="662" spans="1:40" x14ac:dyDescent="0.3">
      <c r="A662" s="2">
        <v>44421</v>
      </c>
      <c r="B662" s="9">
        <v>103.58000199999999</v>
      </c>
      <c r="C662" s="9">
        <v>124.449997</v>
      </c>
      <c r="D662" s="9">
        <v>66.25</v>
      </c>
      <c r="E662" s="10"/>
      <c r="F662" s="13">
        <v>659</v>
      </c>
      <c r="G662" s="2">
        <v>44421</v>
      </c>
      <c r="H662" s="14">
        <f t="shared" si="218"/>
        <v>9.7987879851724868E-3</v>
      </c>
      <c r="I662" s="14">
        <f t="shared" si="219"/>
        <v>1.9303312023131807E-3</v>
      </c>
      <c r="J662" s="14">
        <f t="shared" si="220"/>
        <v>-1.4981553615616946E-2</v>
      </c>
      <c r="K662" s="22">
        <v>659</v>
      </c>
      <c r="L662" s="12"/>
      <c r="Q662" s="15">
        <f t="shared" si="221"/>
        <v>659</v>
      </c>
      <c r="R662" s="2">
        <f t="shared" si="217"/>
        <v>44421</v>
      </c>
      <c r="S662" s="9">
        <f t="shared" ca="1" si="222"/>
        <v>9.7987879851724868E-3</v>
      </c>
      <c r="T662" s="9">
        <f t="shared" ca="1" si="223"/>
        <v>1.9303312023131807E-3</v>
      </c>
      <c r="U662" s="9">
        <f t="shared" ca="1" si="224"/>
        <v>-1.4981553615616946E-2</v>
      </c>
      <c r="AB662" s="33" t="e">
        <f t="shared" ca="1" si="230"/>
        <v>#N/A</v>
      </c>
      <c r="AC662" s="34" t="e">
        <f t="shared" ca="1" si="231"/>
        <v>#N/A</v>
      </c>
      <c r="AD662" s="34" t="e">
        <f t="shared" ca="1" si="232"/>
        <v>#N/A</v>
      </c>
      <c r="AE662" s="33" t="e">
        <f t="shared" ca="1" si="233"/>
        <v>#N/A</v>
      </c>
      <c r="AF662" s="34" t="e">
        <f t="shared" ca="1" si="225"/>
        <v>#N/A</v>
      </c>
      <c r="AG662" s="34" t="e">
        <f t="shared" ca="1" si="226"/>
        <v>#N/A</v>
      </c>
      <c r="AH662" s="34" t="e">
        <f t="shared" ca="1" si="227"/>
        <v>#N/A</v>
      </c>
      <c r="AI662" s="33" t="e">
        <f t="shared" ca="1" si="234"/>
        <v>#N/A</v>
      </c>
      <c r="AJ662" s="34" t="e">
        <f t="shared" ca="1" si="235"/>
        <v>#N/A</v>
      </c>
      <c r="AK662" s="34" t="e">
        <f t="shared" ca="1" si="228"/>
        <v>#N/A</v>
      </c>
      <c r="AL662" s="34" t="e">
        <f t="shared" ca="1" si="229"/>
        <v>#N/A</v>
      </c>
      <c r="AM662" s="33" t="e">
        <f t="shared" ca="1" si="236"/>
        <v>#N/A</v>
      </c>
      <c r="AN662" s="34" t="e">
        <f t="shared" ca="1" si="237"/>
        <v>#N/A</v>
      </c>
    </row>
    <row r="663" spans="1:40" x14ac:dyDescent="0.3">
      <c r="A663" s="2">
        <v>44424</v>
      </c>
      <c r="B663" s="9">
        <v>103.790001</v>
      </c>
      <c r="C663" s="9">
        <v>122.5</v>
      </c>
      <c r="D663" s="9">
        <v>64.540001000000004</v>
      </c>
      <c r="E663" s="10"/>
      <c r="F663" s="13">
        <v>660</v>
      </c>
      <c r="G663" s="2">
        <v>44424</v>
      </c>
      <c r="H663" s="14">
        <f t="shared" si="218"/>
        <v>2.0253563075451771E-3</v>
      </c>
      <c r="I663" s="14">
        <f t="shared" si="219"/>
        <v>-1.5792974722752338E-2</v>
      </c>
      <c r="J663" s="14">
        <f t="shared" si="220"/>
        <v>-2.6150262748248724E-2</v>
      </c>
      <c r="K663" s="22">
        <v>660</v>
      </c>
      <c r="L663" s="12"/>
      <c r="Q663" s="15">
        <f t="shared" si="221"/>
        <v>660</v>
      </c>
      <c r="R663" s="2">
        <f t="shared" si="217"/>
        <v>44424</v>
      </c>
      <c r="S663" s="9">
        <f t="shared" ca="1" si="222"/>
        <v>2.0253563075451771E-3</v>
      </c>
      <c r="T663" s="9">
        <f t="shared" ca="1" si="223"/>
        <v>-1.5792974722752338E-2</v>
      </c>
      <c r="U663" s="9">
        <f t="shared" ca="1" si="224"/>
        <v>-2.6150262748248724E-2</v>
      </c>
      <c r="AB663" s="33" t="e">
        <f t="shared" ca="1" si="230"/>
        <v>#N/A</v>
      </c>
      <c r="AC663" s="34" t="e">
        <f t="shared" ca="1" si="231"/>
        <v>#N/A</v>
      </c>
      <c r="AD663" s="34" t="e">
        <f t="shared" ca="1" si="232"/>
        <v>#N/A</v>
      </c>
      <c r="AE663" s="33" t="e">
        <f t="shared" ca="1" si="233"/>
        <v>#N/A</v>
      </c>
      <c r="AF663" s="34" t="e">
        <f t="shared" ca="1" si="225"/>
        <v>#N/A</v>
      </c>
      <c r="AG663" s="34" t="e">
        <f t="shared" ca="1" si="226"/>
        <v>#N/A</v>
      </c>
      <c r="AH663" s="34" t="e">
        <f t="shared" ca="1" si="227"/>
        <v>#N/A</v>
      </c>
      <c r="AI663" s="33" t="e">
        <f t="shared" ca="1" si="234"/>
        <v>#N/A</v>
      </c>
      <c r="AJ663" s="34" t="e">
        <f t="shared" ca="1" si="235"/>
        <v>#N/A</v>
      </c>
      <c r="AK663" s="34" t="e">
        <f t="shared" ca="1" si="228"/>
        <v>#N/A</v>
      </c>
      <c r="AL663" s="34" t="e">
        <f t="shared" ca="1" si="229"/>
        <v>#N/A</v>
      </c>
      <c r="AM663" s="33" t="e">
        <f t="shared" ca="1" si="236"/>
        <v>#N/A</v>
      </c>
      <c r="AN663" s="34" t="e">
        <f t="shared" ca="1" si="237"/>
        <v>#N/A</v>
      </c>
    </row>
    <row r="664" spans="1:40" x14ac:dyDescent="0.3">
      <c r="A664" s="2">
        <v>44425</v>
      </c>
      <c r="B664" s="9">
        <v>103.239998</v>
      </c>
      <c r="C664" s="9">
        <v>119.209999</v>
      </c>
      <c r="D664" s="9">
        <v>63.509998000000003</v>
      </c>
      <c r="E664" s="10"/>
      <c r="F664" s="13">
        <v>661</v>
      </c>
      <c r="G664" s="2">
        <v>44425</v>
      </c>
      <c r="H664" s="14">
        <f t="shared" si="218"/>
        <v>-5.3132811339605601E-3</v>
      </c>
      <c r="I664" s="14">
        <f t="shared" si="219"/>
        <v>-2.7224394643429538E-2</v>
      </c>
      <c r="J664" s="14">
        <f t="shared" si="220"/>
        <v>-1.6087859794303536E-2</v>
      </c>
      <c r="K664" s="22">
        <v>661</v>
      </c>
      <c r="L664" s="12"/>
      <c r="Q664" s="15">
        <f t="shared" si="221"/>
        <v>661</v>
      </c>
      <c r="R664" s="2">
        <f t="shared" si="217"/>
        <v>44425</v>
      </c>
      <c r="S664" s="9">
        <f t="shared" ca="1" si="222"/>
        <v>-5.3132811339605601E-3</v>
      </c>
      <c r="T664" s="9">
        <f t="shared" ca="1" si="223"/>
        <v>-2.7224394643429538E-2</v>
      </c>
      <c r="U664" s="9">
        <f t="shared" ca="1" si="224"/>
        <v>-1.6087859794303536E-2</v>
      </c>
      <c r="AB664" s="33" t="e">
        <f t="shared" ca="1" si="230"/>
        <v>#N/A</v>
      </c>
      <c r="AC664" s="34" t="e">
        <f t="shared" ca="1" si="231"/>
        <v>#N/A</v>
      </c>
      <c r="AD664" s="34" t="e">
        <f t="shared" ca="1" si="232"/>
        <v>#N/A</v>
      </c>
      <c r="AE664" s="33" t="e">
        <f t="shared" ca="1" si="233"/>
        <v>#N/A</v>
      </c>
      <c r="AF664" s="34" t="e">
        <f t="shared" ca="1" si="225"/>
        <v>#N/A</v>
      </c>
      <c r="AG664" s="34" t="e">
        <f t="shared" ca="1" si="226"/>
        <v>#N/A</v>
      </c>
      <c r="AH664" s="34" t="e">
        <f t="shared" ca="1" si="227"/>
        <v>#N/A</v>
      </c>
      <c r="AI664" s="33" t="e">
        <f t="shared" ca="1" si="234"/>
        <v>#N/A</v>
      </c>
      <c r="AJ664" s="34" t="e">
        <f t="shared" ca="1" si="235"/>
        <v>#N/A</v>
      </c>
      <c r="AK664" s="34" t="e">
        <f t="shared" ca="1" si="228"/>
        <v>#N/A</v>
      </c>
      <c r="AL664" s="34" t="e">
        <f t="shared" ca="1" si="229"/>
        <v>#N/A</v>
      </c>
      <c r="AM664" s="33" t="e">
        <f t="shared" ca="1" si="236"/>
        <v>#N/A</v>
      </c>
      <c r="AN664" s="34" t="e">
        <f t="shared" ca="1" si="237"/>
        <v>#N/A</v>
      </c>
    </row>
    <row r="665" spans="1:40" x14ac:dyDescent="0.3">
      <c r="A665" s="2">
        <v>44426</v>
      </c>
      <c r="B665" s="9">
        <v>101.80999799999999</v>
      </c>
      <c r="C665" s="9">
        <v>116.290001</v>
      </c>
      <c r="D665" s="9">
        <v>62.240001999999997</v>
      </c>
      <c r="E665" s="10"/>
      <c r="F665" s="13">
        <v>662</v>
      </c>
      <c r="G665" s="2">
        <v>44426</v>
      </c>
      <c r="H665" s="14">
        <f t="shared" si="218"/>
        <v>-1.3948044003408225E-2</v>
      </c>
      <c r="I665" s="14">
        <f t="shared" si="219"/>
        <v>-2.4799555437208576E-2</v>
      </c>
      <c r="J665" s="14">
        <f t="shared" si="220"/>
        <v>-2.0199430319967539E-2</v>
      </c>
      <c r="K665" s="22">
        <v>662</v>
      </c>
      <c r="L665" s="12"/>
      <c r="Q665" s="15">
        <f t="shared" si="221"/>
        <v>662</v>
      </c>
      <c r="R665" s="2">
        <f t="shared" si="217"/>
        <v>44426</v>
      </c>
      <c r="S665" s="9">
        <f t="shared" ca="1" si="222"/>
        <v>-1.3948044003408225E-2</v>
      </c>
      <c r="T665" s="9">
        <f t="shared" ca="1" si="223"/>
        <v>-2.4799555437208576E-2</v>
      </c>
      <c r="U665" s="9">
        <f t="shared" ca="1" si="224"/>
        <v>-2.0199430319967539E-2</v>
      </c>
      <c r="AB665" s="33" t="e">
        <f t="shared" ca="1" si="230"/>
        <v>#N/A</v>
      </c>
      <c r="AC665" s="34" t="e">
        <f t="shared" ca="1" si="231"/>
        <v>#N/A</v>
      </c>
      <c r="AD665" s="34" t="e">
        <f t="shared" ca="1" si="232"/>
        <v>#N/A</v>
      </c>
      <c r="AE665" s="33" t="e">
        <f t="shared" ca="1" si="233"/>
        <v>#N/A</v>
      </c>
      <c r="AF665" s="34" t="e">
        <f t="shared" ca="1" si="225"/>
        <v>#N/A</v>
      </c>
      <c r="AG665" s="34" t="e">
        <f t="shared" ca="1" si="226"/>
        <v>#N/A</v>
      </c>
      <c r="AH665" s="34" t="e">
        <f t="shared" ca="1" si="227"/>
        <v>#N/A</v>
      </c>
      <c r="AI665" s="33" t="e">
        <f t="shared" ca="1" si="234"/>
        <v>#N/A</v>
      </c>
      <c r="AJ665" s="34" t="e">
        <f t="shared" ca="1" si="235"/>
        <v>#N/A</v>
      </c>
      <c r="AK665" s="34" t="e">
        <f t="shared" ca="1" si="228"/>
        <v>#N/A</v>
      </c>
      <c r="AL665" s="34" t="e">
        <f t="shared" ca="1" si="229"/>
        <v>#N/A</v>
      </c>
      <c r="AM665" s="33" t="e">
        <f t="shared" ca="1" si="236"/>
        <v>#N/A</v>
      </c>
      <c r="AN665" s="34" t="e">
        <f t="shared" ca="1" si="237"/>
        <v>#N/A</v>
      </c>
    </row>
    <row r="666" spans="1:40" x14ac:dyDescent="0.3">
      <c r="A666" s="2">
        <v>44427</v>
      </c>
      <c r="B666" s="9">
        <v>101.629997</v>
      </c>
      <c r="C666" s="9">
        <v>114.860001</v>
      </c>
      <c r="D666" s="9">
        <v>60.240001999999997</v>
      </c>
      <c r="E666" s="10"/>
      <c r="F666" s="13">
        <v>663</v>
      </c>
      <c r="G666" s="2">
        <v>44427</v>
      </c>
      <c r="H666" s="14">
        <f t="shared" si="218"/>
        <v>-1.7695738438366262E-3</v>
      </c>
      <c r="I666" s="14">
        <f t="shared" si="219"/>
        <v>-1.2373075761741998E-2</v>
      </c>
      <c r="J666" s="14">
        <f t="shared" si="220"/>
        <v>-3.2661295311642954E-2</v>
      </c>
      <c r="K666" s="22">
        <v>663</v>
      </c>
      <c r="L666" s="12"/>
      <c r="Q666" s="15">
        <f t="shared" si="221"/>
        <v>663</v>
      </c>
      <c r="R666" s="2">
        <f t="shared" si="217"/>
        <v>44427</v>
      </c>
      <c r="S666" s="9">
        <f t="shared" ca="1" si="222"/>
        <v>-1.7695738438366262E-3</v>
      </c>
      <c r="T666" s="9">
        <f t="shared" ca="1" si="223"/>
        <v>-1.2373075761741998E-2</v>
      </c>
      <c r="U666" s="9">
        <f t="shared" ca="1" si="224"/>
        <v>-3.2661295311642954E-2</v>
      </c>
      <c r="AB666" s="33" t="e">
        <f t="shared" ca="1" si="230"/>
        <v>#N/A</v>
      </c>
      <c r="AC666" s="34" t="e">
        <f t="shared" ca="1" si="231"/>
        <v>#N/A</v>
      </c>
      <c r="AD666" s="34" t="e">
        <f t="shared" ca="1" si="232"/>
        <v>#N/A</v>
      </c>
      <c r="AE666" s="33" t="e">
        <f t="shared" ca="1" si="233"/>
        <v>#N/A</v>
      </c>
      <c r="AF666" s="34" t="e">
        <f t="shared" ca="1" si="225"/>
        <v>#N/A</v>
      </c>
      <c r="AG666" s="34" t="e">
        <f t="shared" ca="1" si="226"/>
        <v>#N/A</v>
      </c>
      <c r="AH666" s="34" t="e">
        <f t="shared" ca="1" si="227"/>
        <v>#N/A</v>
      </c>
      <c r="AI666" s="33" t="e">
        <f t="shared" ca="1" si="234"/>
        <v>#N/A</v>
      </c>
      <c r="AJ666" s="34" t="e">
        <f t="shared" ca="1" si="235"/>
        <v>#N/A</v>
      </c>
      <c r="AK666" s="34" t="e">
        <f t="shared" ca="1" si="228"/>
        <v>#N/A</v>
      </c>
      <c r="AL666" s="34" t="e">
        <f t="shared" ca="1" si="229"/>
        <v>#N/A</v>
      </c>
      <c r="AM666" s="33" t="e">
        <f t="shared" ca="1" si="236"/>
        <v>#N/A</v>
      </c>
      <c r="AN666" s="34" t="e">
        <f t="shared" ca="1" si="237"/>
        <v>#N/A</v>
      </c>
    </row>
    <row r="667" spans="1:40" x14ac:dyDescent="0.3">
      <c r="A667" s="2">
        <v>44428</v>
      </c>
      <c r="B667" s="9">
        <v>102.07</v>
      </c>
      <c r="C667" s="9">
        <v>116.269997</v>
      </c>
      <c r="D667" s="9">
        <v>60.200001</v>
      </c>
      <c r="E667" s="10"/>
      <c r="F667" s="13">
        <v>664</v>
      </c>
      <c r="G667" s="2">
        <v>44428</v>
      </c>
      <c r="H667" s="14">
        <f t="shared" si="218"/>
        <v>4.3201147845751443E-3</v>
      </c>
      <c r="I667" s="14">
        <f t="shared" si="219"/>
        <v>1.2201042736102495E-2</v>
      </c>
      <c r="J667" s="14">
        <f t="shared" si="220"/>
        <v>-6.6424776609781298E-4</v>
      </c>
      <c r="K667" s="22">
        <v>664</v>
      </c>
      <c r="L667" s="12"/>
      <c r="Q667" s="15">
        <f t="shared" si="221"/>
        <v>664</v>
      </c>
      <c r="R667" s="2">
        <f t="shared" si="217"/>
        <v>44428</v>
      </c>
      <c r="S667" s="9">
        <f t="shared" ca="1" si="222"/>
        <v>4.3201147845751443E-3</v>
      </c>
      <c r="T667" s="9">
        <f t="shared" ca="1" si="223"/>
        <v>1.2201042736102495E-2</v>
      </c>
      <c r="U667" s="9">
        <f t="shared" ca="1" si="224"/>
        <v>-6.6424776609781298E-4</v>
      </c>
      <c r="AB667" s="33" t="e">
        <f t="shared" ca="1" si="230"/>
        <v>#N/A</v>
      </c>
      <c r="AC667" s="34" t="e">
        <f t="shared" ca="1" si="231"/>
        <v>#N/A</v>
      </c>
      <c r="AD667" s="34" t="e">
        <f t="shared" ca="1" si="232"/>
        <v>#N/A</v>
      </c>
      <c r="AE667" s="33" t="e">
        <f t="shared" ca="1" si="233"/>
        <v>#N/A</v>
      </c>
      <c r="AF667" s="34" t="e">
        <f t="shared" ca="1" si="225"/>
        <v>#N/A</v>
      </c>
      <c r="AG667" s="34" t="e">
        <f t="shared" ca="1" si="226"/>
        <v>#N/A</v>
      </c>
      <c r="AH667" s="34" t="e">
        <f t="shared" ca="1" si="227"/>
        <v>#N/A</v>
      </c>
      <c r="AI667" s="33" t="e">
        <f t="shared" ca="1" si="234"/>
        <v>#N/A</v>
      </c>
      <c r="AJ667" s="34" t="e">
        <f t="shared" ca="1" si="235"/>
        <v>#N/A</v>
      </c>
      <c r="AK667" s="34" t="e">
        <f t="shared" ca="1" si="228"/>
        <v>#N/A</v>
      </c>
      <c r="AL667" s="34" t="e">
        <f t="shared" ca="1" si="229"/>
        <v>#N/A</v>
      </c>
      <c r="AM667" s="33" t="e">
        <f t="shared" ca="1" si="236"/>
        <v>#N/A</v>
      </c>
      <c r="AN667" s="34" t="e">
        <f t="shared" ca="1" si="237"/>
        <v>#N/A</v>
      </c>
    </row>
    <row r="668" spans="1:40" x14ac:dyDescent="0.3">
      <c r="A668" s="2">
        <v>44431</v>
      </c>
      <c r="B668" s="9">
        <v>102.199997</v>
      </c>
      <c r="C668" s="9">
        <v>118.260002</v>
      </c>
      <c r="D668" s="9">
        <v>63.110000999999997</v>
      </c>
      <c r="E668" s="10"/>
      <c r="F668" s="13">
        <v>665</v>
      </c>
      <c r="G668" s="2">
        <v>44431</v>
      </c>
      <c r="H668" s="14">
        <f t="shared" si="218"/>
        <v>1.2727959999891687E-3</v>
      </c>
      <c r="I668" s="14">
        <f t="shared" si="219"/>
        <v>1.6970560426068784E-2</v>
      </c>
      <c r="J668" s="14">
        <f t="shared" si="220"/>
        <v>4.720688251542652E-2</v>
      </c>
      <c r="K668" s="22">
        <v>665</v>
      </c>
      <c r="L668" s="12"/>
      <c r="Q668" s="15">
        <f t="shared" si="221"/>
        <v>665</v>
      </c>
      <c r="R668" s="2">
        <f t="shared" si="217"/>
        <v>44431</v>
      </c>
      <c r="S668" s="9">
        <f t="shared" ca="1" si="222"/>
        <v>1.2727959999891687E-3</v>
      </c>
      <c r="T668" s="9">
        <f t="shared" ca="1" si="223"/>
        <v>1.6970560426068784E-2</v>
      </c>
      <c r="U668" s="9">
        <f t="shared" ca="1" si="224"/>
        <v>4.720688251542652E-2</v>
      </c>
      <c r="AB668" s="33" t="e">
        <f t="shared" ca="1" si="230"/>
        <v>#N/A</v>
      </c>
      <c r="AC668" s="34" t="e">
        <f t="shared" ca="1" si="231"/>
        <v>#N/A</v>
      </c>
      <c r="AD668" s="34" t="e">
        <f t="shared" ca="1" si="232"/>
        <v>#N/A</v>
      </c>
      <c r="AE668" s="33" t="e">
        <f t="shared" ca="1" si="233"/>
        <v>#N/A</v>
      </c>
      <c r="AF668" s="34" t="e">
        <f t="shared" ca="1" si="225"/>
        <v>#N/A</v>
      </c>
      <c r="AG668" s="34" t="e">
        <f t="shared" ca="1" si="226"/>
        <v>#N/A</v>
      </c>
      <c r="AH668" s="34" t="e">
        <f t="shared" ca="1" si="227"/>
        <v>#N/A</v>
      </c>
      <c r="AI668" s="33" t="e">
        <f t="shared" ca="1" si="234"/>
        <v>#N/A</v>
      </c>
      <c r="AJ668" s="34" t="e">
        <f t="shared" ca="1" si="235"/>
        <v>#N/A</v>
      </c>
      <c r="AK668" s="34" t="e">
        <f t="shared" ca="1" si="228"/>
        <v>#N/A</v>
      </c>
      <c r="AL668" s="34" t="e">
        <f t="shared" ca="1" si="229"/>
        <v>#N/A</v>
      </c>
      <c r="AM668" s="33" t="e">
        <f t="shared" ca="1" si="236"/>
        <v>#N/A</v>
      </c>
      <c r="AN668" s="34" t="e">
        <f t="shared" ca="1" si="237"/>
        <v>#N/A</v>
      </c>
    </row>
    <row r="669" spans="1:40" x14ac:dyDescent="0.3">
      <c r="A669" s="2">
        <v>44432</v>
      </c>
      <c r="B669" s="9">
        <v>102.779999</v>
      </c>
      <c r="C669" s="9">
        <v>120.5</v>
      </c>
      <c r="D669" s="9">
        <v>65.230002999999996</v>
      </c>
      <c r="E669" s="10"/>
      <c r="F669" s="13">
        <v>666</v>
      </c>
      <c r="G669" s="2">
        <v>44432</v>
      </c>
      <c r="H669" s="14">
        <f t="shared" si="218"/>
        <v>5.6591234191679905E-3</v>
      </c>
      <c r="I669" s="14">
        <f t="shared" si="219"/>
        <v>1.8764145626137034E-2</v>
      </c>
      <c r="J669" s="14">
        <f t="shared" si="220"/>
        <v>3.3040280357614624E-2</v>
      </c>
      <c r="K669" s="22">
        <v>666</v>
      </c>
      <c r="L669" s="12"/>
      <c r="Q669" s="15">
        <f t="shared" si="221"/>
        <v>666</v>
      </c>
      <c r="R669" s="2">
        <f t="shared" si="217"/>
        <v>44432</v>
      </c>
      <c r="S669" s="9">
        <f t="shared" ca="1" si="222"/>
        <v>5.6591234191679905E-3</v>
      </c>
      <c r="T669" s="9">
        <f t="shared" ca="1" si="223"/>
        <v>1.8764145626137034E-2</v>
      </c>
      <c r="U669" s="9">
        <f t="shared" ca="1" si="224"/>
        <v>3.3040280357614624E-2</v>
      </c>
      <c r="AB669" s="33" t="e">
        <f t="shared" ca="1" si="230"/>
        <v>#N/A</v>
      </c>
      <c r="AC669" s="34" t="e">
        <f t="shared" ca="1" si="231"/>
        <v>#N/A</v>
      </c>
      <c r="AD669" s="34" t="e">
        <f t="shared" ca="1" si="232"/>
        <v>#N/A</v>
      </c>
      <c r="AE669" s="33" t="e">
        <f t="shared" ca="1" si="233"/>
        <v>#N/A</v>
      </c>
      <c r="AF669" s="34" t="e">
        <f t="shared" ca="1" si="225"/>
        <v>#N/A</v>
      </c>
      <c r="AG669" s="34" t="e">
        <f t="shared" ca="1" si="226"/>
        <v>#N/A</v>
      </c>
      <c r="AH669" s="34" t="e">
        <f t="shared" ca="1" si="227"/>
        <v>#N/A</v>
      </c>
      <c r="AI669" s="33" t="e">
        <f t="shared" ca="1" si="234"/>
        <v>#N/A</v>
      </c>
      <c r="AJ669" s="34" t="e">
        <f t="shared" ca="1" si="235"/>
        <v>#N/A</v>
      </c>
      <c r="AK669" s="34" t="e">
        <f t="shared" ca="1" si="228"/>
        <v>#N/A</v>
      </c>
      <c r="AL669" s="34" t="e">
        <f t="shared" ca="1" si="229"/>
        <v>#N/A</v>
      </c>
      <c r="AM669" s="33" t="e">
        <f t="shared" ca="1" si="236"/>
        <v>#N/A</v>
      </c>
      <c r="AN669" s="34" t="e">
        <f t="shared" ca="1" si="237"/>
        <v>#N/A</v>
      </c>
    </row>
    <row r="670" spans="1:40" x14ac:dyDescent="0.3">
      <c r="A670" s="2">
        <v>44433</v>
      </c>
      <c r="B670" s="9">
        <v>103.389999</v>
      </c>
      <c r="C670" s="9">
        <v>120.019997</v>
      </c>
      <c r="D670" s="9">
        <v>66.339995999999999</v>
      </c>
      <c r="E670" s="10"/>
      <c r="F670" s="13">
        <v>667</v>
      </c>
      <c r="G670" s="2">
        <v>44433</v>
      </c>
      <c r="H670" s="14">
        <f t="shared" si="218"/>
        <v>5.9174640919222605E-3</v>
      </c>
      <c r="I670" s="14">
        <f t="shared" si="219"/>
        <v>-3.9913823651772009E-3</v>
      </c>
      <c r="J670" s="14">
        <f t="shared" si="220"/>
        <v>1.6873441424344906E-2</v>
      </c>
      <c r="K670" s="22">
        <v>667</v>
      </c>
      <c r="L670" s="12"/>
      <c r="Q670" s="15">
        <f t="shared" si="221"/>
        <v>667</v>
      </c>
      <c r="R670" s="2">
        <f t="shared" si="217"/>
        <v>44433</v>
      </c>
      <c r="S670" s="9">
        <f t="shared" ca="1" si="222"/>
        <v>5.9174640919222605E-3</v>
      </c>
      <c r="T670" s="9">
        <f t="shared" ca="1" si="223"/>
        <v>-3.9913823651772009E-3</v>
      </c>
      <c r="U670" s="9">
        <f t="shared" ca="1" si="224"/>
        <v>1.6873441424344906E-2</v>
      </c>
      <c r="AB670" s="33" t="e">
        <f t="shared" ca="1" si="230"/>
        <v>#N/A</v>
      </c>
      <c r="AC670" s="34" t="e">
        <f t="shared" ca="1" si="231"/>
        <v>#N/A</v>
      </c>
      <c r="AD670" s="34" t="e">
        <f t="shared" ca="1" si="232"/>
        <v>#N/A</v>
      </c>
      <c r="AE670" s="33" t="e">
        <f t="shared" ca="1" si="233"/>
        <v>#N/A</v>
      </c>
      <c r="AF670" s="34" t="e">
        <f t="shared" ca="1" si="225"/>
        <v>#N/A</v>
      </c>
      <c r="AG670" s="34" t="e">
        <f t="shared" ca="1" si="226"/>
        <v>#N/A</v>
      </c>
      <c r="AH670" s="34" t="e">
        <f t="shared" ca="1" si="227"/>
        <v>#N/A</v>
      </c>
      <c r="AI670" s="33" t="e">
        <f t="shared" ca="1" si="234"/>
        <v>#N/A</v>
      </c>
      <c r="AJ670" s="34" t="e">
        <f t="shared" ca="1" si="235"/>
        <v>#N/A</v>
      </c>
      <c r="AK670" s="34" t="e">
        <f t="shared" ca="1" si="228"/>
        <v>#N/A</v>
      </c>
      <c r="AL670" s="34" t="e">
        <f t="shared" ca="1" si="229"/>
        <v>#N/A</v>
      </c>
      <c r="AM670" s="33" t="e">
        <f t="shared" ca="1" si="236"/>
        <v>#N/A</v>
      </c>
      <c r="AN670" s="34" t="e">
        <f t="shared" ca="1" si="237"/>
        <v>#N/A</v>
      </c>
    </row>
    <row r="671" spans="1:40" x14ac:dyDescent="0.3">
      <c r="A671" s="2">
        <v>44434</v>
      </c>
      <c r="B671" s="9">
        <v>102.779999</v>
      </c>
      <c r="C671" s="9">
        <v>116.300003</v>
      </c>
      <c r="D671" s="9">
        <v>65.459998999999996</v>
      </c>
      <c r="E671" s="10"/>
      <c r="F671" s="13">
        <v>668</v>
      </c>
      <c r="G671" s="2">
        <v>44434</v>
      </c>
      <c r="H671" s="14">
        <f t="shared" si="218"/>
        <v>-5.9174640919222093E-3</v>
      </c>
      <c r="I671" s="14">
        <f t="shared" si="219"/>
        <v>-3.1485285245557208E-2</v>
      </c>
      <c r="J671" s="14">
        <f t="shared" si="220"/>
        <v>-1.3353719426927251E-2</v>
      </c>
      <c r="K671" s="22">
        <v>668</v>
      </c>
      <c r="L671" s="12"/>
      <c r="Q671" s="15">
        <f t="shared" si="221"/>
        <v>668</v>
      </c>
      <c r="R671" s="2">
        <f t="shared" si="217"/>
        <v>44434</v>
      </c>
      <c r="S671" s="9">
        <f t="shared" ca="1" si="222"/>
        <v>-5.9174640919222093E-3</v>
      </c>
      <c r="T671" s="9">
        <f t="shared" ca="1" si="223"/>
        <v>-3.1485285245557208E-2</v>
      </c>
      <c r="U671" s="9">
        <f t="shared" ca="1" si="224"/>
        <v>-1.3353719426927251E-2</v>
      </c>
      <c r="AB671" s="33" t="e">
        <f t="shared" ca="1" si="230"/>
        <v>#N/A</v>
      </c>
      <c r="AC671" s="34" t="e">
        <f t="shared" ca="1" si="231"/>
        <v>#N/A</v>
      </c>
      <c r="AD671" s="34" t="e">
        <f t="shared" ca="1" si="232"/>
        <v>#N/A</v>
      </c>
      <c r="AE671" s="33" t="e">
        <f t="shared" ca="1" si="233"/>
        <v>#N/A</v>
      </c>
      <c r="AF671" s="34" t="e">
        <f t="shared" ca="1" si="225"/>
        <v>#N/A</v>
      </c>
      <c r="AG671" s="34" t="e">
        <f t="shared" ca="1" si="226"/>
        <v>#N/A</v>
      </c>
      <c r="AH671" s="34" t="e">
        <f t="shared" ca="1" si="227"/>
        <v>#N/A</v>
      </c>
      <c r="AI671" s="33" t="e">
        <f t="shared" ca="1" si="234"/>
        <v>#N/A</v>
      </c>
      <c r="AJ671" s="34" t="e">
        <f t="shared" ca="1" si="235"/>
        <v>#N/A</v>
      </c>
      <c r="AK671" s="34" t="e">
        <f t="shared" ca="1" si="228"/>
        <v>#N/A</v>
      </c>
      <c r="AL671" s="34" t="e">
        <f t="shared" ca="1" si="229"/>
        <v>#N/A</v>
      </c>
      <c r="AM671" s="33" t="e">
        <f t="shared" ca="1" si="236"/>
        <v>#N/A</v>
      </c>
      <c r="AN671" s="34" t="e">
        <f t="shared" ca="1" si="237"/>
        <v>#N/A</v>
      </c>
    </row>
    <row r="672" spans="1:40" x14ac:dyDescent="0.3">
      <c r="A672" s="2">
        <v>44435</v>
      </c>
      <c r="B672" s="9">
        <v>104.089996</v>
      </c>
      <c r="C672" s="9">
        <v>118.30999799999999</v>
      </c>
      <c r="D672" s="9">
        <v>67.110000999999997</v>
      </c>
      <c r="E672" s="10"/>
      <c r="F672" s="13">
        <v>669</v>
      </c>
      <c r="G672" s="2">
        <v>44435</v>
      </c>
      <c r="H672" s="14">
        <f t="shared" si="218"/>
        <v>1.2665099264528776E-2</v>
      </c>
      <c r="I672" s="14">
        <f t="shared" si="219"/>
        <v>1.7135196040854193E-2</v>
      </c>
      <c r="J672" s="14">
        <f t="shared" si="220"/>
        <v>2.4893825274527114E-2</v>
      </c>
      <c r="K672" s="22">
        <v>669</v>
      </c>
      <c r="L672" s="12"/>
      <c r="Q672" s="15">
        <f t="shared" si="221"/>
        <v>669</v>
      </c>
      <c r="R672" s="2">
        <f t="shared" si="217"/>
        <v>44435</v>
      </c>
      <c r="S672" s="9">
        <f t="shared" ca="1" si="222"/>
        <v>1.2665099264528776E-2</v>
      </c>
      <c r="T672" s="9">
        <f t="shared" ca="1" si="223"/>
        <v>1.7135196040854193E-2</v>
      </c>
      <c r="U672" s="9">
        <f t="shared" ca="1" si="224"/>
        <v>2.4893825274527114E-2</v>
      </c>
      <c r="AB672" s="33" t="e">
        <f t="shared" ca="1" si="230"/>
        <v>#N/A</v>
      </c>
      <c r="AC672" s="34" t="e">
        <f t="shared" ca="1" si="231"/>
        <v>#N/A</v>
      </c>
      <c r="AD672" s="34" t="e">
        <f t="shared" ca="1" si="232"/>
        <v>#N/A</v>
      </c>
      <c r="AE672" s="33" t="e">
        <f t="shared" ca="1" si="233"/>
        <v>#N/A</v>
      </c>
      <c r="AF672" s="34" t="e">
        <f t="shared" ca="1" si="225"/>
        <v>#N/A</v>
      </c>
      <c r="AG672" s="34" t="e">
        <f t="shared" ca="1" si="226"/>
        <v>#N/A</v>
      </c>
      <c r="AH672" s="34" t="e">
        <f t="shared" ca="1" si="227"/>
        <v>#N/A</v>
      </c>
      <c r="AI672" s="33" t="e">
        <f t="shared" ca="1" si="234"/>
        <v>#N/A</v>
      </c>
      <c r="AJ672" s="34" t="e">
        <f t="shared" ca="1" si="235"/>
        <v>#N/A</v>
      </c>
      <c r="AK672" s="34" t="e">
        <f t="shared" ca="1" si="228"/>
        <v>#N/A</v>
      </c>
      <c r="AL672" s="34" t="e">
        <f t="shared" ca="1" si="229"/>
        <v>#N/A</v>
      </c>
      <c r="AM672" s="33" t="e">
        <f t="shared" ca="1" si="236"/>
        <v>#N/A</v>
      </c>
      <c r="AN672" s="34" t="e">
        <f t="shared" ca="1" si="237"/>
        <v>#N/A</v>
      </c>
    </row>
    <row r="673" spans="1:40" x14ac:dyDescent="0.3">
      <c r="A673" s="2">
        <v>44438</v>
      </c>
      <c r="B673" s="9">
        <v>103.93</v>
      </c>
      <c r="C673" s="9">
        <v>117.029999</v>
      </c>
      <c r="D673" s="9">
        <v>66.019997000000004</v>
      </c>
      <c r="E673" s="10"/>
      <c r="F673" s="13">
        <v>670</v>
      </c>
      <c r="G673" s="2">
        <v>44438</v>
      </c>
      <c r="H673" s="14">
        <f t="shared" si="218"/>
        <v>-1.5382754987627262E-3</v>
      </c>
      <c r="I673" s="14">
        <f t="shared" si="219"/>
        <v>-1.0877977718972132E-2</v>
      </c>
      <c r="J673" s="14">
        <f t="shared" si="220"/>
        <v>-1.6375398086786327E-2</v>
      </c>
      <c r="K673" s="22">
        <v>670</v>
      </c>
      <c r="L673" s="12"/>
      <c r="Q673" s="15">
        <f t="shared" si="221"/>
        <v>670</v>
      </c>
      <c r="R673" s="2">
        <f t="shared" si="217"/>
        <v>44438</v>
      </c>
      <c r="S673" s="9">
        <f t="shared" ca="1" si="222"/>
        <v>-1.5382754987627262E-3</v>
      </c>
      <c r="T673" s="9">
        <f t="shared" ca="1" si="223"/>
        <v>-1.0877977718972132E-2</v>
      </c>
      <c r="U673" s="9">
        <f t="shared" ca="1" si="224"/>
        <v>-1.6375398086786327E-2</v>
      </c>
      <c r="AB673" s="33" t="e">
        <f t="shared" ca="1" si="230"/>
        <v>#N/A</v>
      </c>
      <c r="AC673" s="34" t="e">
        <f t="shared" ca="1" si="231"/>
        <v>#N/A</v>
      </c>
      <c r="AD673" s="34" t="e">
        <f t="shared" ca="1" si="232"/>
        <v>#N/A</v>
      </c>
      <c r="AE673" s="33" t="e">
        <f t="shared" ca="1" si="233"/>
        <v>#N/A</v>
      </c>
      <c r="AF673" s="34" t="e">
        <f t="shared" ca="1" si="225"/>
        <v>#N/A</v>
      </c>
      <c r="AG673" s="34" t="e">
        <f t="shared" ca="1" si="226"/>
        <v>#N/A</v>
      </c>
      <c r="AH673" s="34" t="e">
        <f t="shared" ca="1" si="227"/>
        <v>#N/A</v>
      </c>
      <c r="AI673" s="33" t="e">
        <f t="shared" ca="1" si="234"/>
        <v>#N/A</v>
      </c>
      <c r="AJ673" s="34" t="e">
        <f t="shared" ca="1" si="235"/>
        <v>#N/A</v>
      </c>
      <c r="AK673" s="34" t="e">
        <f t="shared" ca="1" si="228"/>
        <v>#N/A</v>
      </c>
      <c r="AL673" s="34" t="e">
        <f t="shared" ca="1" si="229"/>
        <v>#N/A</v>
      </c>
      <c r="AM673" s="33" t="e">
        <f t="shared" ca="1" si="236"/>
        <v>#N/A</v>
      </c>
      <c r="AN673" s="34" t="e">
        <f t="shared" ca="1" si="237"/>
        <v>#N/A</v>
      </c>
    </row>
    <row r="674" spans="1:40" x14ac:dyDescent="0.3">
      <c r="A674" s="2">
        <v>44439</v>
      </c>
      <c r="B674" s="9">
        <v>103.400002</v>
      </c>
      <c r="C674" s="9">
        <v>116.129997</v>
      </c>
      <c r="D674" s="9">
        <v>66.309997999999993</v>
      </c>
      <c r="E674" s="10"/>
      <c r="F674" s="13">
        <v>671</v>
      </c>
      <c r="G674" s="2">
        <v>44439</v>
      </c>
      <c r="H674" s="14">
        <f t="shared" si="218"/>
        <v>-5.1126141836420353E-3</v>
      </c>
      <c r="I674" s="14">
        <f t="shared" si="219"/>
        <v>-7.7200762173091578E-3</v>
      </c>
      <c r="J674" s="14">
        <f t="shared" si="220"/>
        <v>4.383004235141894E-3</v>
      </c>
      <c r="K674" s="22">
        <v>671</v>
      </c>
      <c r="L674" s="12"/>
      <c r="Q674" s="15">
        <f t="shared" si="221"/>
        <v>671</v>
      </c>
      <c r="R674" s="2">
        <f t="shared" si="217"/>
        <v>44439</v>
      </c>
      <c r="S674" s="9">
        <f t="shared" ca="1" si="222"/>
        <v>-5.1126141836420353E-3</v>
      </c>
      <c r="T674" s="9">
        <f t="shared" ca="1" si="223"/>
        <v>-7.7200762173091578E-3</v>
      </c>
      <c r="U674" s="9">
        <f t="shared" ca="1" si="224"/>
        <v>4.383004235141894E-3</v>
      </c>
      <c r="AB674" s="33" t="e">
        <f t="shared" ca="1" si="230"/>
        <v>#N/A</v>
      </c>
      <c r="AC674" s="34" t="e">
        <f t="shared" ca="1" si="231"/>
        <v>#N/A</v>
      </c>
      <c r="AD674" s="34" t="e">
        <f t="shared" ca="1" si="232"/>
        <v>#N/A</v>
      </c>
      <c r="AE674" s="33" t="e">
        <f t="shared" ca="1" si="233"/>
        <v>#N/A</v>
      </c>
      <c r="AF674" s="34" t="e">
        <f t="shared" ca="1" si="225"/>
        <v>#N/A</v>
      </c>
      <c r="AG674" s="34" t="e">
        <f t="shared" ca="1" si="226"/>
        <v>#N/A</v>
      </c>
      <c r="AH674" s="34" t="e">
        <f t="shared" ca="1" si="227"/>
        <v>#N/A</v>
      </c>
      <c r="AI674" s="33" t="e">
        <f t="shared" ca="1" si="234"/>
        <v>#N/A</v>
      </c>
      <c r="AJ674" s="34" t="e">
        <f t="shared" ca="1" si="235"/>
        <v>#N/A</v>
      </c>
      <c r="AK674" s="34" t="e">
        <f t="shared" ca="1" si="228"/>
        <v>#N/A</v>
      </c>
      <c r="AL674" s="34" t="e">
        <f t="shared" ca="1" si="229"/>
        <v>#N/A</v>
      </c>
      <c r="AM674" s="33" t="e">
        <f t="shared" ca="1" si="236"/>
        <v>#N/A</v>
      </c>
      <c r="AN674" s="34" t="e">
        <f t="shared" ca="1" si="237"/>
        <v>#N/A</v>
      </c>
    </row>
    <row r="675" spans="1:40" x14ac:dyDescent="0.3">
      <c r="A675" s="2">
        <v>44440</v>
      </c>
      <c r="B675" s="9">
        <v>103.050003</v>
      </c>
      <c r="C675" s="9">
        <v>118.94000200000001</v>
      </c>
      <c r="D675" s="9">
        <v>63.950001</v>
      </c>
      <c r="E675" s="10"/>
      <c r="F675" s="13">
        <v>672</v>
      </c>
      <c r="G675" s="2">
        <v>44440</v>
      </c>
      <c r="H675" s="14">
        <f t="shared" si="218"/>
        <v>-3.3906449681391721E-3</v>
      </c>
      <c r="I675" s="14">
        <f t="shared" si="219"/>
        <v>2.3908953669100317E-2</v>
      </c>
      <c r="J675" s="14">
        <f t="shared" si="220"/>
        <v>-3.6239141557344194E-2</v>
      </c>
      <c r="K675" s="22">
        <v>672</v>
      </c>
      <c r="L675" s="12"/>
      <c r="Q675" s="15">
        <f t="shared" si="221"/>
        <v>672</v>
      </c>
      <c r="R675" s="2">
        <f t="shared" si="217"/>
        <v>44440</v>
      </c>
      <c r="S675" s="9">
        <f t="shared" ca="1" si="222"/>
        <v>-3.3906449681391721E-3</v>
      </c>
      <c r="T675" s="9">
        <f t="shared" ca="1" si="223"/>
        <v>2.3908953669100317E-2</v>
      </c>
      <c r="U675" s="9">
        <f t="shared" ca="1" si="224"/>
        <v>-3.6239141557344194E-2</v>
      </c>
      <c r="AB675" s="33" t="e">
        <f t="shared" ca="1" si="230"/>
        <v>#N/A</v>
      </c>
      <c r="AC675" s="34" t="e">
        <f t="shared" ca="1" si="231"/>
        <v>#N/A</v>
      </c>
      <c r="AD675" s="34" t="e">
        <f t="shared" ca="1" si="232"/>
        <v>#N/A</v>
      </c>
      <c r="AE675" s="33" t="e">
        <f t="shared" ca="1" si="233"/>
        <v>#N/A</v>
      </c>
      <c r="AF675" s="34" t="e">
        <f t="shared" ca="1" si="225"/>
        <v>#N/A</v>
      </c>
      <c r="AG675" s="34" t="e">
        <f t="shared" ca="1" si="226"/>
        <v>#N/A</v>
      </c>
      <c r="AH675" s="34" t="e">
        <f t="shared" ca="1" si="227"/>
        <v>#N/A</v>
      </c>
      <c r="AI675" s="33" t="e">
        <f t="shared" ca="1" si="234"/>
        <v>#N/A</v>
      </c>
      <c r="AJ675" s="34" t="e">
        <f t="shared" ca="1" si="235"/>
        <v>#N/A</v>
      </c>
      <c r="AK675" s="34" t="e">
        <f t="shared" ca="1" si="228"/>
        <v>#N/A</v>
      </c>
      <c r="AL675" s="34" t="e">
        <f t="shared" ca="1" si="229"/>
        <v>#N/A</v>
      </c>
      <c r="AM675" s="33" t="e">
        <f t="shared" ca="1" si="236"/>
        <v>#N/A</v>
      </c>
      <c r="AN675" s="34" t="e">
        <f t="shared" ca="1" si="237"/>
        <v>#N/A</v>
      </c>
    </row>
    <row r="676" spans="1:40" x14ac:dyDescent="0.3">
      <c r="A676" s="2">
        <v>44441</v>
      </c>
      <c r="B676" s="9">
        <v>104.260002</v>
      </c>
      <c r="C676" s="9">
        <v>117.489998</v>
      </c>
      <c r="D676" s="9">
        <v>65.199996999999996</v>
      </c>
      <c r="E676" s="10"/>
      <c r="F676" s="13">
        <v>673</v>
      </c>
      <c r="G676" s="2">
        <v>44441</v>
      </c>
      <c r="H676" s="14">
        <f t="shared" si="218"/>
        <v>1.1673462074222719E-2</v>
      </c>
      <c r="I676" s="14">
        <f t="shared" si="219"/>
        <v>-1.226597453689272E-2</v>
      </c>
      <c r="J676" s="14">
        <f t="shared" si="220"/>
        <v>1.9357879258268131E-2</v>
      </c>
      <c r="K676" s="22">
        <v>673</v>
      </c>
      <c r="L676" s="12"/>
      <c r="Q676" s="15">
        <f t="shared" si="221"/>
        <v>673</v>
      </c>
      <c r="R676" s="2">
        <f t="shared" si="217"/>
        <v>44441</v>
      </c>
      <c r="S676" s="9">
        <f t="shared" ca="1" si="222"/>
        <v>1.1673462074222719E-2</v>
      </c>
      <c r="T676" s="9">
        <f t="shared" ca="1" si="223"/>
        <v>-1.226597453689272E-2</v>
      </c>
      <c r="U676" s="9">
        <f t="shared" ca="1" si="224"/>
        <v>1.9357879258268131E-2</v>
      </c>
      <c r="AB676" s="33" t="e">
        <f t="shared" ca="1" si="230"/>
        <v>#N/A</v>
      </c>
      <c r="AC676" s="34" t="e">
        <f t="shared" ca="1" si="231"/>
        <v>#N/A</v>
      </c>
      <c r="AD676" s="34" t="e">
        <f t="shared" ca="1" si="232"/>
        <v>#N/A</v>
      </c>
      <c r="AE676" s="33" t="e">
        <f t="shared" ca="1" si="233"/>
        <v>#N/A</v>
      </c>
      <c r="AF676" s="34" t="e">
        <f t="shared" ca="1" si="225"/>
        <v>#N/A</v>
      </c>
      <c r="AG676" s="34" t="e">
        <f t="shared" ca="1" si="226"/>
        <v>#N/A</v>
      </c>
      <c r="AH676" s="34" t="e">
        <f t="shared" ca="1" si="227"/>
        <v>#N/A</v>
      </c>
      <c r="AI676" s="33" t="e">
        <f t="shared" ca="1" si="234"/>
        <v>#N/A</v>
      </c>
      <c r="AJ676" s="34" t="e">
        <f t="shared" ca="1" si="235"/>
        <v>#N/A</v>
      </c>
      <c r="AK676" s="34" t="e">
        <f t="shared" ca="1" si="228"/>
        <v>#N/A</v>
      </c>
      <c r="AL676" s="34" t="e">
        <f t="shared" ca="1" si="229"/>
        <v>#N/A</v>
      </c>
      <c r="AM676" s="33" t="e">
        <f t="shared" ca="1" si="236"/>
        <v>#N/A</v>
      </c>
      <c r="AN676" s="34" t="e">
        <f t="shared" ca="1" si="237"/>
        <v>#N/A</v>
      </c>
    </row>
    <row r="677" spans="1:40" x14ac:dyDescent="0.3">
      <c r="A677" s="2">
        <v>44442</v>
      </c>
      <c r="B677" s="9">
        <v>103.650002</v>
      </c>
      <c r="C677" s="9">
        <v>114.83000199999999</v>
      </c>
      <c r="D677" s="9">
        <v>64.699996999999996</v>
      </c>
      <c r="E677" s="10"/>
      <c r="F677" s="13">
        <v>674</v>
      </c>
      <c r="G677" s="2">
        <v>44442</v>
      </c>
      <c r="H677" s="14">
        <f t="shared" si="218"/>
        <v>-5.8679403452767407E-3</v>
      </c>
      <c r="I677" s="14">
        <f t="shared" si="219"/>
        <v>-2.2900415351606775E-2</v>
      </c>
      <c r="J677" s="14">
        <f t="shared" si="220"/>
        <v>-7.6982677813340538E-3</v>
      </c>
      <c r="K677" s="22">
        <v>674</v>
      </c>
      <c r="L677" s="12"/>
      <c r="Q677" s="15">
        <f t="shared" si="221"/>
        <v>674</v>
      </c>
      <c r="R677" s="2">
        <f t="shared" si="217"/>
        <v>44442</v>
      </c>
      <c r="S677" s="9">
        <f t="shared" ca="1" si="222"/>
        <v>-5.8679403452767407E-3</v>
      </c>
      <c r="T677" s="9">
        <f t="shared" ca="1" si="223"/>
        <v>-2.2900415351606775E-2</v>
      </c>
      <c r="U677" s="9">
        <f t="shared" ca="1" si="224"/>
        <v>-7.6982677813340538E-3</v>
      </c>
      <c r="AB677" s="33" t="e">
        <f t="shared" ca="1" si="230"/>
        <v>#N/A</v>
      </c>
      <c r="AC677" s="34" t="e">
        <f t="shared" ca="1" si="231"/>
        <v>#N/A</v>
      </c>
      <c r="AD677" s="34" t="e">
        <f t="shared" ca="1" si="232"/>
        <v>#N/A</v>
      </c>
      <c r="AE677" s="33" t="e">
        <f t="shared" ca="1" si="233"/>
        <v>#N/A</v>
      </c>
      <c r="AF677" s="34" t="e">
        <f t="shared" ca="1" si="225"/>
        <v>#N/A</v>
      </c>
      <c r="AG677" s="34" t="e">
        <f t="shared" ca="1" si="226"/>
        <v>#N/A</v>
      </c>
      <c r="AH677" s="34" t="e">
        <f t="shared" ca="1" si="227"/>
        <v>#N/A</v>
      </c>
      <c r="AI677" s="33" t="e">
        <f t="shared" ca="1" si="234"/>
        <v>#N/A</v>
      </c>
      <c r="AJ677" s="34" t="e">
        <f t="shared" ca="1" si="235"/>
        <v>#N/A</v>
      </c>
      <c r="AK677" s="34" t="e">
        <f t="shared" ca="1" si="228"/>
        <v>#N/A</v>
      </c>
      <c r="AL677" s="34" t="e">
        <f t="shared" ca="1" si="229"/>
        <v>#N/A</v>
      </c>
      <c r="AM677" s="33" t="e">
        <f t="shared" ca="1" si="236"/>
        <v>#N/A</v>
      </c>
      <c r="AN677" s="34" t="e">
        <f t="shared" ca="1" si="237"/>
        <v>#N/A</v>
      </c>
    </row>
    <row r="678" spans="1:40" x14ac:dyDescent="0.3">
      <c r="A678" s="2">
        <v>44446</v>
      </c>
      <c r="B678" s="9">
        <v>102.019997</v>
      </c>
      <c r="C678" s="9">
        <v>112.900002</v>
      </c>
      <c r="D678" s="9">
        <v>65.519997000000004</v>
      </c>
      <c r="E678" s="10"/>
      <c r="F678" s="13">
        <v>675</v>
      </c>
      <c r="G678" s="2">
        <v>44446</v>
      </c>
      <c r="H678" s="14">
        <f t="shared" si="218"/>
        <v>-1.5851015088713807E-2</v>
      </c>
      <c r="I678" s="14">
        <f t="shared" si="219"/>
        <v>-1.6950302334740968E-2</v>
      </c>
      <c r="J678" s="14">
        <f t="shared" si="220"/>
        <v>1.2594238618265072E-2</v>
      </c>
      <c r="K678" s="22">
        <v>675</v>
      </c>
      <c r="L678" s="12"/>
      <c r="Q678" s="15">
        <f t="shared" si="221"/>
        <v>675</v>
      </c>
      <c r="R678" s="2">
        <f t="shared" si="217"/>
        <v>44446</v>
      </c>
      <c r="S678" s="9">
        <f t="shared" ca="1" si="222"/>
        <v>-1.5851015088713807E-2</v>
      </c>
      <c r="T678" s="9">
        <f t="shared" ca="1" si="223"/>
        <v>-1.6950302334740968E-2</v>
      </c>
      <c r="U678" s="9">
        <f t="shared" ca="1" si="224"/>
        <v>1.2594238618265072E-2</v>
      </c>
      <c r="AB678" s="33" t="e">
        <f t="shared" ca="1" si="230"/>
        <v>#N/A</v>
      </c>
      <c r="AC678" s="34" t="e">
        <f t="shared" ca="1" si="231"/>
        <v>#N/A</v>
      </c>
      <c r="AD678" s="34" t="e">
        <f t="shared" ca="1" si="232"/>
        <v>#N/A</v>
      </c>
      <c r="AE678" s="33" t="e">
        <f t="shared" ca="1" si="233"/>
        <v>#N/A</v>
      </c>
      <c r="AF678" s="34" t="e">
        <f t="shared" ca="1" si="225"/>
        <v>#N/A</v>
      </c>
      <c r="AG678" s="34" t="e">
        <f t="shared" ca="1" si="226"/>
        <v>#N/A</v>
      </c>
      <c r="AH678" s="34" t="e">
        <f t="shared" ca="1" si="227"/>
        <v>#N/A</v>
      </c>
      <c r="AI678" s="33" t="e">
        <f t="shared" ca="1" si="234"/>
        <v>#N/A</v>
      </c>
      <c r="AJ678" s="34" t="e">
        <f t="shared" ca="1" si="235"/>
        <v>#N/A</v>
      </c>
      <c r="AK678" s="34" t="e">
        <f t="shared" ca="1" si="228"/>
        <v>#N/A</v>
      </c>
      <c r="AL678" s="34" t="e">
        <f t="shared" ca="1" si="229"/>
        <v>#N/A</v>
      </c>
      <c r="AM678" s="33" t="e">
        <f t="shared" ca="1" si="236"/>
        <v>#N/A</v>
      </c>
      <c r="AN678" s="34" t="e">
        <f t="shared" ca="1" si="237"/>
        <v>#N/A</v>
      </c>
    </row>
    <row r="679" spans="1:40" x14ac:dyDescent="0.3">
      <c r="A679" s="2">
        <v>44447</v>
      </c>
      <c r="B679" s="9">
        <v>102.449997</v>
      </c>
      <c r="C679" s="9">
        <v>110.709999</v>
      </c>
      <c r="D679" s="9">
        <v>63.700001</v>
      </c>
      <c r="E679" s="10"/>
      <c r="F679" s="13">
        <v>676</v>
      </c>
      <c r="G679" s="2">
        <v>44447</v>
      </c>
      <c r="H679" s="14">
        <f t="shared" si="218"/>
        <v>4.2060023135502139E-3</v>
      </c>
      <c r="I679" s="14">
        <f t="shared" si="219"/>
        <v>-1.9588328031640363E-2</v>
      </c>
      <c r="J679" s="14">
        <f t="shared" si="220"/>
        <v>-2.8170815480562498E-2</v>
      </c>
      <c r="K679" s="22">
        <v>676</v>
      </c>
      <c r="L679" s="12"/>
      <c r="Q679" s="15">
        <f t="shared" si="221"/>
        <v>676</v>
      </c>
      <c r="R679" s="2">
        <f t="shared" si="217"/>
        <v>44447</v>
      </c>
      <c r="S679" s="9">
        <f t="shared" ca="1" si="222"/>
        <v>4.2060023135502139E-3</v>
      </c>
      <c r="T679" s="9">
        <f t="shared" ca="1" si="223"/>
        <v>-1.9588328031640363E-2</v>
      </c>
      <c r="U679" s="9">
        <f t="shared" ca="1" si="224"/>
        <v>-2.8170815480562498E-2</v>
      </c>
      <c r="AB679" s="33" t="e">
        <f t="shared" ca="1" si="230"/>
        <v>#N/A</v>
      </c>
      <c r="AC679" s="34" t="e">
        <f t="shared" ca="1" si="231"/>
        <v>#N/A</v>
      </c>
      <c r="AD679" s="34" t="e">
        <f t="shared" ca="1" si="232"/>
        <v>#N/A</v>
      </c>
      <c r="AE679" s="33" t="e">
        <f t="shared" ca="1" si="233"/>
        <v>#N/A</v>
      </c>
      <c r="AF679" s="34" t="e">
        <f t="shared" ca="1" si="225"/>
        <v>#N/A</v>
      </c>
      <c r="AG679" s="34" t="e">
        <f t="shared" ca="1" si="226"/>
        <v>#N/A</v>
      </c>
      <c r="AH679" s="34" t="e">
        <f t="shared" ca="1" si="227"/>
        <v>#N/A</v>
      </c>
      <c r="AI679" s="33" t="e">
        <f t="shared" ca="1" si="234"/>
        <v>#N/A</v>
      </c>
      <c r="AJ679" s="34" t="e">
        <f t="shared" ca="1" si="235"/>
        <v>#N/A</v>
      </c>
      <c r="AK679" s="34" t="e">
        <f t="shared" ca="1" si="228"/>
        <v>#N/A</v>
      </c>
      <c r="AL679" s="34" t="e">
        <f t="shared" ca="1" si="229"/>
        <v>#N/A</v>
      </c>
      <c r="AM679" s="33" t="e">
        <f t="shared" ca="1" si="236"/>
        <v>#N/A</v>
      </c>
      <c r="AN679" s="34" t="e">
        <f t="shared" ca="1" si="237"/>
        <v>#N/A</v>
      </c>
    </row>
    <row r="680" spans="1:40" x14ac:dyDescent="0.3">
      <c r="A680" s="2">
        <v>44448</v>
      </c>
      <c r="B680" s="9">
        <v>103.33000199999999</v>
      </c>
      <c r="C680" s="9">
        <v>113.760002</v>
      </c>
      <c r="D680" s="9">
        <v>63.540000999999997</v>
      </c>
      <c r="E680" s="10"/>
      <c r="F680" s="13">
        <v>677</v>
      </c>
      <c r="G680" s="2">
        <v>44448</v>
      </c>
      <c r="H680" s="14">
        <f t="shared" si="218"/>
        <v>8.5529241793949121E-3</v>
      </c>
      <c r="I680" s="14">
        <f t="shared" si="219"/>
        <v>2.7176822797034893E-2</v>
      </c>
      <c r="J680" s="14">
        <f t="shared" si="220"/>
        <v>-2.5149336972170818E-3</v>
      </c>
      <c r="K680" s="22">
        <v>677</v>
      </c>
      <c r="L680" s="12"/>
      <c r="Q680" s="15">
        <f t="shared" si="221"/>
        <v>677</v>
      </c>
      <c r="R680" s="2">
        <f t="shared" si="217"/>
        <v>44448</v>
      </c>
      <c r="S680" s="9">
        <f t="shared" ca="1" si="222"/>
        <v>8.5529241793949121E-3</v>
      </c>
      <c r="T680" s="9">
        <f t="shared" ca="1" si="223"/>
        <v>2.7176822797034893E-2</v>
      </c>
      <c r="U680" s="9">
        <f t="shared" ca="1" si="224"/>
        <v>-2.5149336972170818E-3</v>
      </c>
      <c r="AB680" s="33" t="e">
        <f t="shared" ca="1" si="230"/>
        <v>#N/A</v>
      </c>
      <c r="AC680" s="34" t="e">
        <f t="shared" ca="1" si="231"/>
        <v>#N/A</v>
      </c>
      <c r="AD680" s="34" t="e">
        <f t="shared" ca="1" si="232"/>
        <v>#N/A</v>
      </c>
      <c r="AE680" s="33" t="e">
        <f t="shared" ca="1" si="233"/>
        <v>#N/A</v>
      </c>
      <c r="AF680" s="34" t="e">
        <f t="shared" ca="1" si="225"/>
        <v>#N/A</v>
      </c>
      <c r="AG680" s="34" t="e">
        <f t="shared" ca="1" si="226"/>
        <v>#N/A</v>
      </c>
      <c r="AH680" s="34" t="e">
        <f t="shared" ca="1" si="227"/>
        <v>#N/A</v>
      </c>
      <c r="AI680" s="33" t="e">
        <f t="shared" ca="1" si="234"/>
        <v>#N/A</v>
      </c>
      <c r="AJ680" s="34" t="e">
        <f t="shared" ca="1" si="235"/>
        <v>#N/A</v>
      </c>
      <c r="AK680" s="34" t="e">
        <f t="shared" ca="1" si="228"/>
        <v>#N/A</v>
      </c>
      <c r="AL680" s="34" t="e">
        <f t="shared" ca="1" si="229"/>
        <v>#N/A</v>
      </c>
      <c r="AM680" s="33" t="e">
        <f t="shared" ca="1" si="236"/>
        <v>#N/A</v>
      </c>
      <c r="AN680" s="34" t="e">
        <f t="shared" ca="1" si="237"/>
        <v>#N/A</v>
      </c>
    </row>
    <row r="681" spans="1:40" x14ac:dyDescent="0.3">
      <c r="A681" s="2">
        <v>44449</v>
      </c>
      <c r="B681" s="9">
        <v>102.650002</v>
      </c>
      <c r="C681" s="9">
        <v>112.629997</v>
      </c>
      <c r="D681" s="9">
        <v>63.41</v>
      </c>
      <c r="E681" s="10"/>
      <c r="F681" s="13">
        <v>678</v>
      </c>
      <c r="G681" s="2">
        <v>44449</v>
      </c>
      <c r="H681" s="14">
        <f t="shared" si="218"/>
        <v>-6.6026066331015204E-3</v>
      </c>
      <c r="I681" s="14">
        <f t="shared" si="219"/>
        <v>-9.9829002120852359E-3</v>
      </c>
      <c r="J681" s="14">
        <f t="shared" si="220"/>
        <v>-2.0480668675474131E-3</v>
      </c>
      <c r="K681" s="22">
        <v>678</v>
      </c>
      <c r="L681" s="12"/>
      <c r="Q681" s="15">
        <f t="shared" si="221"/>
        <v>678</v>
      </c>
      <c r="R681" s="2">
        <f t="shared" si="217"/>
        <v>44449</v>
      </c>
      <c r="S681" s="9">
        <f t="shared" ca="1" si="222"/>
        <v>-6.6026066331015204E-3</v>
      </c>
      <c r="T681" s="9">
        <f t="shared" ca="1" si="223"/>
        <v>-9.9829002120852359E-3</v>
      </c>
      <c r="U681" s="9">
        <f t="shared" ca="1" si="224"/>
        <v>-2.0480668675474131E-3</v>
      </c>
      <c r="AB681" s="33" t="e">
        <f t="shared" ca="1" si="230"/>
        <v>#N/A</v>
      </c>
      <c r="AC681" s="34" t="e">
        <f t="shared" ca="1" si="231"/>
        <v>#N/A</v>
      </c>
      <c r="AD681" s="34" t="e">
        <f t="shared" ca="1" si="232"/>
        <v>#N/A</v>
      </c>
      <c r="AE681" s="33" t="e">
        <f t="shared" ca="1" si="233"/>
        <v>#N/A</v>
      </c>
      <c r="AF681" s="34" t="e">
        <f t="shared" ca="1" si="225"/>
        <v>#N/A</v>
      </c>
      <c r="AG681" s="34" t="e">
        <f t="shared" ca="1" si="226"/>
        <v>#N/A</v>
      </c>
      <c r="AH681" s="34" t="e">
        <f t="shared" ca="1" si="227"/>
        <v>#N/A</v>
      </c>
      <c r="AI681" s="33" t="e">
        <f t="shared" ca="1" si="234"/>
        <v>#N/A</v>
      </c>
      <c r="AJ681" s="34" t="e">
        <f t="shared" ca="1" si="235"/>
        <v>#N/A</v>
      </c>
      <c r="AK681" s="34" t="e">
        <f t="shared" ca="1" si="228"/>
        <v>#N/A</v>
      </c>
      <c r="AL681" s="34" t="e">
        <f t="shared" ca="1" si="229"/>
        <v>#N/A</v>
      </c>
      <c r="AM681" s="33" t="e">
        <f t="shared" ca="1" si="236"/>
        <v>#N/A</v>
      </c>
      <c r="AN681" s="34" t="e">
        <f t="shared" ca="1" si="237"/>
        <v>#N/A</v>
      </c>
    </row>
    <row r="682" spans="1:40" x14ac:dyDescent="0.3">
      <c r="A682" s="2">
        <v>44452</v>
      </c>
      <c r="B682" s="9">
        <v>102.75</v>
      </c>
      <c r="C682" s="9">
        <v>113.699997</v>
      </c>
      <c r="D682" s="9">
        <v>66.180000000000007</v>
      </c>
      <c r="E682" s="10"/>
      <c r="F682" s="13">
        <v>679</v>
      </c>
      <c r="G682" s="2">
        <v>44452</v>
      </c>
      <c r="H682" s="14">
        <f t="shared" si="218"/>
        <v>9.736904277191248E-4</v>
      </c>
      <c r="I682" s="14">
        <f t="shared" si="219"/>
        <v>9.4552909475483522E-3</v>
      </c>
      <c r="J682" s="14">
        <f t="shared" si="220"/>
        <v>4.2756724781526E-2</v>
      </c>
      <c r="K682" s="22">
        <v>679</v>
      </c>
      <c r="L682" s="12"/>
      <c r="Q682" s="15">
        <f t="shared" si="221"/>
        <v>679</v>
      </c>
      <c r="R682" s="2">
        <f t="shared" si="217"/>
        <v>44452</v>
      </c>
      <c r="S682" s="9">
        <f t="shared" ca="1" si="222"/>
        <v>9.736904277191248E-4</v>
      </c>
      <c r="T682" s="9">
        <f t="shared" ca="1" si="223"/>
        <v>9.4552909475483522E-3</v>
      </c>
      <c r="U682" s="9">
        <f t="shared" ca="1" si="224"/>
        <v>4.2756724781526E-2</v>
      </c>
      <c r="AB682" s="33" t="e">
        <f t="shared" ca="1" si="230"/>
        <v>#N/A</v>
      </c>
      <c r="AC682" s="34" t="e">
        <f t="shared" ca="1" si="231"/>
        <v>#N/A</v>
      </c>
      <c r="AD682" s="34" t="e">
        <f t="shared" ca="1" si="232"/>
        <v>#N/A</v>
      </c>
      <c r="AE682" s="33" t="e">
        <f t="shared" ca="1" si="233"/>
        <v>#N/A</v>
      </c>
      <c r="AF682" s="34" t="e">
        <f t="shared" ca="1" si="225"/>
        <v>#N/A</v>
      </c>
      <c r="AG682" s="34" t="e">
        <f t="shared" ca="1" si="226"/>
        <v>#N/A</v>
      </c>
      <c r="AH682" s="34" t="e">
        <f t="shared" ca="1" si="227"/>
        <v>#N/A</v>
      </c>
      <c r="AI682" s="33" t="e">
        <f t="shared" ca="1" si="234"/>
        <v>#N/A</v>
      </c>
      <c r="AJ682" s="34" t="e">
        <f t="shared" ca="1" si="235"/>
        <v>#N/A</v>
      </c>
      <c r="AK682" s="34" t="e">
        <f t="shared" ca="1" si="228"/>
        <v>#N/A</v>
      </c>
      <c r="AL682" s="34" t="e">
        <f t="shared" ca="1" si="229"/>
        <v>#N/A</v>
      </c>
      <c r="AM682" s="33" t="e">
        <f t="shared" ca="1" si="236"/>
        <v>#N/A</v>
      </c>
      <c r="AN682" s="34" t="e">
        <f t="shared" ca="1" si="237"/>
        <v>#N/A</v>
      </c>
    </row>
    <row r="683" spans="1:40" x14ac:dyDescent="0.3">
      <c r="A683" s="2">
        <v>44453</v>
      </c>
      <c r="B683" s="9">
        <v>101.790001</v>
      </c>
      <c r="C683" s="9">
        <v>111.720001</v>
      </c>
      <c r="D683" s="9">
        <v>64.699996999999996</v>
      </c>
      <c r="E683" s="10"/>
      <c r="F683" s="13">
        <v>680</v>
      </c>
      <c r="G683" s="2">
        <v>44453</v>
      </c>
      <c r="H683" s="14">
        <f t="shared" si="218"/>
        <v>-9.3869760879477966E-3</v>
      </c>
      <c r="I683" s="14">
        <f t="shared" si="219"/>
        <v>-1.7567624343340919E-2</v>
      </c>
      <c r="J683" s="14">
        <f t="shared" si="220"/>
        <v>-2.2617147354464101E-2</v>
      </c>
      <c r="K683" s="22">
        <v>680</v>
      </c>
      <c r="L683" s="12"/>
      <c r="Q683" s="15">
        <f t="shared" si="221"/>
        <v>680</v>
      </c>
      <c r="R683" s="2">
        <f t="shared" si="217"/>
        <v>44453</v>
      </c>
      <c r="S683" s="9">
        <f t="shared" ca="1" si="222"/>
        <v>-9.3869760879477966E-3</v>
      </c>
      <c r="T683" s="9">
        <f t="shared" ca="1" si="223"/>
        <v>-1.7567624343340919E-2</v>
      </c>
      <c r="U683" s="9">
        <f t="shared" ca="1" si="224"/>
        <v>-2.2617147354464101E-2</v>
      </c>
      <c r="AB683" s="33" t="e">
        <f t="shared" ca="1" si="230"/>
        <v>#N/A</v>
      </c>
      <c r="AC683" s="34" t="e">
        <f t="shared" ca="1" si="231"/>
        <v>#N/A</v>
      </c>
      <c r="AD683" s="34" t="e">
        <f t="shared" ca="1" si="232"/>
        <v>#N/A</v>
      </c>
      <c r="AE683" s="33" t="e">
        <f t="shared" ca="1" si="233"/>
        <v>#N/A</v>
      </c>
      <c r="AF683" s="34" t="e">
        <f t="shared" ca="1" si="225"/>
        <v>#N/A</v>
      </c>
      <c r="AG683" s="34" t="e">
        <f t="shared" ca="1" si="226"/>
        <v>#N/A</v>
      </c>
      <c r="AH683" s="34" t="e">
        <f t="shared" ca="1" si="227"/>
        <v>#N/A</v>
      </c>
      <c r="AI683" s="33" t="e">
        <f t="shared" ca="1" si="234"/>
        <v>#N/A</v>
      </c>
      <c r="AJ683" s="34" t="e">
        <f t="shared" ca="1" si="235"/>
        <v>#N/A</v>
      </c>
      <c r="AK683" s="34" t="e">
        <f t="shared" ca="1" si="228"/>
        <v>#N/A</v>
      </c>
      <c r="AL683" s="34" t="e">
        <f t="shared" ca="1" si="229"/>
        <v>#N/A</v>
      </c>
      <c r="AM683" s="33" t="e">
        <f t="shared" ca="1" si="236"/>
        <v>#N/A</v>
      </c>
      <c r="AN683" s="34" t="e">
        <f t="shared" ca="1" si="237"/>
        <v>#N/A</v>
      </c>
    </row>
    <row r="684" spans="1:40" x14ac:dyDescent="0.3">
      <c r="A684" s="2">
        <v>44454</v>
      </c>
      <c r="B684" s="9">
        <v>103.790001</v>
      </c>
      <c r="C684" s="9">
        <v>112.129997</v>
      </c>
      <c r="D684" s="9">
        <v>66.510002</v>
      </c>
      <c r="E684" s="10"/>
      <c r="F684" s="13">
        <v>681</v>
      </c>
      <c r="G684" s="2">
        <v>44454</v>
      </c>
      <c r="H684" s="14">
        <f t="shared" si="218"/>
        <v>1.9457759323640959E-2</v>
      </c>
      <c r="I684" s="14">
        <f t="shared" si="219"/>
        <v>3.663135690204516E-3</v>
      </c>
      <c r="J684" s="14">
        <f t="shared" si="220"/>
        <v>2.759118722799336E-2</v>
      </c>
      <c r="K684" s="22">
        <v>681</v>
      </c>
      <c r="L684" s="12"/>
      <c r="Q684" s="15">
        <f t="shared" si="221"/>
        <v>681</v>
      </c>
      <c r="R684" s="2">
        <f t="shared" si="217"/>
        <v>44454</v>
      </c>
      <c r="S684" s="9">
        <f t="shared" ca="1" si="222"/>
        <v>1.9457759323640959E-2</v>
      </c>
      <c r="T684" s="9">
        <f t="shared" ca="1" si="223"/>
        <v>3.663135690204516E-3</v>
      </c>
      <c r="U684" s="9">
        <f t="shared" ca="1" si="224"/>
        <v>2.759118722799336E-2</v>
      </c>
      <c r="AB684" s="33" t="e">
        <f t="shared" ca="1" si="230"/>
        <v>#N/A</v>
      </c>
      <c r="AC684" s="34" t="e">
        <f t="shared" ca="1" si="231"/>
        <v>#N/A</v>
      </c>
      <c r="AD684" s="34" t="e">
        <f t="shared" ca="1" si="232"/>
        <v>#N/A</v>
      </c>
      <c r="AE684" s="33" t="e">
        <f t="shared" ca="1" si="233"/>
        <v>#N/A</v>
      </c>
      <c r="AF684" s="34" t="e">
        <f t="shared" ca="1" si="225"/>
        <v>#N/A</v>
      </c>
      <c r="AG684" s="34" t="e">
        <f t="shared" ca="1" si="226"/>
        <v>#N/A</v>
      </c>
      <c r="AH684" s="34" t="e">
        <f t="shared" ca="1" si="227"/>
        <v>#N/A</v>
      </c>
      <c r="AI684" s="33" t="e">
        <f t="shared" ca="1" si="234"/>
        <v>#N/A</v>
      </c>
      <c r="AJ684" s="34" t="e">
        <f t="shared" ca="1" si="235"/>
        <v>#N/A</v>
      </c>
      <c r="AK684" s="34" t="e">
        <f t="shared" ca="1" si="228"/>
        <v>#N/A</v>
      </c>
      <c r="AL684" s="34" t="e">
        <f t="shared" ca="1" si="229"/>
        <v>#N/A</v>
      </c>
      <c r="AM684" s="33" t="e">
        <f t="shared" ca="1" si="236"/>
        <v>#N/A</v>
      </c>
      <c r="AN684" s="34" t="e">
        <f t="shared" ca="1" si="237"/>
        <v>#N/A</v>
      </c>
    </row>
    <row r="685" spans="1:40" x14ac:dyDescent="0.3">
      <c r="A685" s="2">
        <v>44455</v>
      </c>
      <c r="B685" s="9">
        <v>102.949997</v>
      </c>
      <c r="C685" s="9">
        <v>112.629997</v>
      </c>
      <c r="D685" s="9">
        <v>65.459998999999996</v>
      </c>
      <c r="E685" s="10"/>
      <c r="F685" s="13">
        <v>682</v>
      </c>
      <c r="G685" s="2">
        <v>44455</v>
      </c>
      <c r="H685" s="14">
        <f t="shared" si="218"/>
        <v>-8.1262322785986118E-3</v>
      </c>
      <c r="I685" s="14">
        <f t="shared" si="219"/>
        <v>4.4491977055882053E-3</v>
      </c>
      <c r="J685" s="14">
        <f t="shared" si="220"/>
        <v>-1.5913088570465837E-2</v>
      </c>
      <c r="K685" s="22">
        <v>682</v>
      </c>
      <c r="L685" s="12"/>
      <c r="Q685" s="15">
        <f t="shared" si="221"/>
        <v>682</v>
      </c>
      <c r="R685" s="2">
        <f t="shared" si="217"/>
        <v>44455</v>
      </c>
      <c r="S685" s="9">
        <f t="shared" ca="1" si="222"/>
        <v>-8.1262322785986118E-3</v>
      </c>
      <c r="T685" s="9">
        <f t="shared" ca="1" si="223"/>
        <v>4.4491977055882053E-3</v>
      </c>
      <c r="U685" s="9">
        <f t="shared" ca="1" si="224"/>
        <v>-1.5913088570465837E-2</v>
      </c>
      <c r="AB685" s="33" t="e">
        <f t="shared" ca="1" si="230"/>
        <v>#N/A</v>
      </c>
      <c r="AC685" s="34" t="e">
        <f t="shared" ca="1" si="231"/>
        <v>#N/A</v>
      </c>
      <c r="AD685" s="34" t="e">
        <f t="shared" ca="1" si="232"/>
        <v>#N/A</v>
      </c>
      <c r="AE685" s="33" t="e">
        <f t="shared" ca="1" si="233"/>
        <v>#N/A</v>
      </c>
      <c r="AF685" s="34" t="e">
        <f t="shared" ca="1" si="225"/>
        <v>#N/A</v>
      </c>
      <c r="AG685" s="34" t="e">
        <f t="shared" ca="1" si="226"/>
        <v>#N/A</v>
      </c>
      <c r="AH685" s="34" t="e">
        <f t="shared" ca="1" si="227"/>
        <v>#N/A</v>
      </c>
      <c r="AI685" s="33" t="e">
        <f t="shared" ca="1" si="234"/>
        <v>#N/A</v>
      </c>
      <c r="AJ685" s="34" t="e">
        <f t="shared" ca="1" si="235"/>
        <v>#N/A</v>
      </c>
      <c r="AK685" s="34" t="e">
        <f t="shared" ca="1" si="228"/>
        <v>#N/A</v>
      </c>
      <c r="AL685" s="34" t="e">
        <f t="shared" ca="1" si="229"/>
        <v>#N/A</v>
      </c>
      <c r="AM685" s="33" t="e">
        <f t="shared" ca="1" si="236"/>
        <v>#N/A</v>
      </c>
      <c r="AN685" s="34" t="e">
        <f t="shared" ca="1" si="237"/>
        <v>#N/A</v>
      </c>
    </row>
    <row r="686" spans="1:40" x14ac:dyDescent="0.3">
      <c r="A686" s="2">
        <v>44456</v>
      </c>
      <c r="B686" s="9">
        <v>101.05999799999999</v>
      </c>
      <c r="C686" s="9">
        <v>113.040001</v>
      </c>
      <c r="D686" s="9">
        <v>65.599997999999999</v>
      </c>
      <c r="E686" s="10"/>
      <c r="F686" s="13">
        <v>683</v>
      </c>
      <c r="G686" s="2">
        <v>44456</v>
      </c>
      <c r="H686" s="14">
        <f t="shared" si="218"/>
        <v>-1.8529024259899964E-2</v>
      </c>
      <c r="I686" s="14">
        <f t="shared" si="219"/>
        <v>3.6336637989807402E-3</v>
      </c>
      <c r="J686" s="14">
        <f t="shared" si="220"/>
        <v>2.1364116657083911E-3</v>
      </c>
      <c r="K686" s="22">
        <v>683</v>
      </c>
      <c r="L686" s="12"/>
      <c r="Q686" s="15">
        <f t="shared" si="221"/>
        <v>683</v>
      </c>
      <c r="R686" s="2">
        <f t="shared" si="217"/>
        <v>44456</v>
      </c>
      <c r="S686" s="9">
        <f t="shared" ca="1" si="222"/>
        <v>-1.8529024259899964E-2</v>
      </c>
      <c r="T686" s="9">
        <f t="shared" ca="1" si="223"/>
        <v>3.6336637989807402E-3</v>
      </c>
      <c r="U686" s="9">
        <f t="shared" ca="1" si="224"/>
        <v>2.1364116657083911E-3</v>
      </c>
      <c r="AB686" s="33" t="e">
        <f t="shared" ca="1" si="230"/>
        <v>#N/A</v>
      </c>
      <c r="AC686" s="34" t="e">
        <f t="shared" ca="1" si="231"/>
        <v>#N/A</v>
      </c>
      <c r="AD686" s="34" t="e">
        <f t="shared" ca="1" si="232"/>
        <v>#N/A</v>
      </c>
      <c r="AE686" s="33" t="e">
        <f t="shared" ca="1" si="233"/>
        <v>#N/A</v>
      </c>
      <c r="AF686" s="34" t="e">
        <f t="shared" ca="1" si="225"/>
        <v>#N/A</v>
      </c>
      <c r="AG686" s="34" t="e">
        <f t="shared" ca="1" si="226"/>
        <v>#N/A</v>
      </c>
      <c r="AH686" s="34" t="e">
        <f t="shared" ca="1" si="227"/>
        <v>#N/A</v>
      </c>
      <c r="AI686" s="33" t="e">
        <f t="shared" ca="1" si="234"/>
        <v>#N/A</v>
      </c>
      <c r="AJ686" s="34" t="e">
        <f t="shared" ca="1" si="235"/>
        <v>#N/A</v>
      </c>
      <c r="AK686" s="34" t="e">
        <f t="shared" ca="1" si="228"/>
        <v>#N/A</v>
      </c>
      <c r="AL686" s="34" t="e">
        <f t="shared" ca="1" si="229"/>
        <v>#N/A</v>
      </c>
      <c r="AM686" s="33" t="e">
        <f t="shared" ca="1" si="236"/>
        <v>#N/A</v>
      </c>
      <c r="AN686" s="34" t="e">
        <f t="shared" ca="1" si="237"/>
        <v>#N/A</v>
      </c>
    </row>
    <row r="687" spans="1:40" x14ac:dyDescent="0.3">
      <c r="A687" s="2">
        <v>44459</v>
      </c>
      <c r="B687" s="9">
        <v>100.69000200000001</v>
      </c>
      <c r="C687" s="9">
        <v>111.050003</v>
      </c>
      <c r="D687" s="9">
        <v>62.970001000000003</v>
      </c>
      <c r="E687" s="10"/>
      <c r="F687" s="13">
        <v>684</v>
      </c>
      <c r="G687" s="2">
        <v>44459</v>
      </c>
      <c r="H687" s="14">
        <f t="shared" si="218"/>
        <v>-3.6678702830695983E-3</v>
      </c>
      <c r="I687" s="14">
        <f t="shared" si="219"/>
        <v>-1.7761169867403771E-2</v>
      </c>
      <c r="J687" s="14">
        <f t="shared" si="220"/>
        <v>-4.0917227081008749E-2</v>
      </c>
      <c r="K687" s="22">
        <v>684</v>
      </c>
      <c r="L687" s="12"/>
      <c r="Q687" s="15">
        <f t="shared" si="221"/>
        <v>684</v>
      </c>
      <c r="R687" s="2">
        <f t="shared" si="217"/>
        <v>44459</v>
      </c>
      <c r="S687" s="9">
        <f t="shared" ca="1" si="222"/>
        <v>-3.6678702830695983E-3</v>
      </c>
      <c r="T687" s="9">
        <f t="shared" ca="1" si="223"/>
        <v>-1.7761169867403771E-2</v>
      </c>
      <c r="U687" s="9">
        <f t="shared" ca="1" si="224"/>
        <v>-4.0917227081008749E-2</v>
      </c>
      <c r="AB687" s="33" t="e">
        <f t="shared" ca="1" si="230"/>
        <v>#N/A</v>
      </c>
      <c r="AC687" s="34" t="e">
        <f t="shared" ca="1" si="231"/>
        <v>#N/A</v>
      </c>
      <c r="AD687" s="34" t="e">
        <f t="shared" ca="1" si="232"/>
        <v>#N/A</v>
      </c>
      <c r="AE687" s="33" t="e">
        <f t="shared" ca="1" si="233"/>
        <v>#N/A</v>
      </c>
      <c r="AF687" s="34" t="e">
        <f t="shared" ca="1" si="225"/>
        <v>#N/A</v>
      </c>
      <c r="AG687" s="34" t="e">
        <f t="shared" ca="1" si="226"/>
        <v>#N/A</v>
      </c>
      <c r="AH687" s="34" t="e">
        <f t="shared" ca="1" si="227"/>
        <v>#N/A</v>
      </c>
      <c r="AI687" s="33" t="e">
        <f t="shared" ca="1" si="234"/>
        <v>#N/A</v>
      </c>
      <c r="AJ687" s="34" t="e">
        <f t="shared" ca="1" si="235"/>
        <v>#N/A</v>
      </c>
      <c r="AK687" s="34" t="e">
        <f t="shared" ca="1" si="228"/>
        <v>#N/A</v>
      </c>
      <c r="AL687" s="34" t="e">
        <f t="shared" ca="1" si="229"/>
        <v>#N/A</v>
      </c>
      <c r="AM687" s="33" t="e">
        <f t="shared" ca="1" si="236"/>
        <v>#N/A</v>
      </c>
      <c r="AN687" s="34" t="e">
        <f t="shared" ca="1" si="237"/>
        <v>#N/A</v>
      </c>
    </row>
    <row r="688" spans="1:40" x14ac:dyDescent="0.3">
      <c r="A688" s="2">
        <v>44460</v>
      </c>
      <c r="B688" s="9">
        <v>100.300003</v>
      </c>
      <c r="C688" s="9">
        <v>110.19000200000001</v>
      </c>
      <c r="D688" s="9">
        <v>63.32</v>
      </c>
      <c r="E688" s="10"/>
      <c r="F688" s="13">
        <v>685</v>
      </c>
      <c r="G688" s="2">
        <v>44460</v>
      </c>
      <c r="H688" s="14">
        <f t="shared" si="218"/>
        <v>-3.880784912310439E-3</v>
      </c>
      <c r="I688" s="14">
        <f t="shared" si="219"/>
        <v>-7.7744107051413479E-3</v>
      </c>
      <c r="J688" s="14">
        <f t="shared" si="220"/>
        <v>5.5427966315821928E-3</v>
      </c>
      <c r="K688" s="22">
        <v>685</v>
      </c>
      <c r="L688" s="12"/>
      <c r="Q688" s="15">
        <f t="shared" si="221"/>
        <v>685</v>
      </c>
      <c r="R688" s="2">
        <f t="shared" si="217"/>
        <v>44460</v>
      </c>
      <c r="S688" s="9">
        <f t="shared" ca="1" si="222"/>
        <v>-3.880784912310439E-3</v>
      </c>
      <c r="T688" s="9">
        <f t="shared" ca="1" si="223"/>
        <v>-7.7744107051413479E-3</v>
      </c>
      <c r="U688" s="9">
        <f t="shared" ca="1" si="224"/>
        <v>5.5427966315821928E-3</v>
      </c>
      <c r="AB688" s="33" t="e">
        <f t="shared" ca="1" si="230"/>
        <v>#N/A</v>
      </c>
      <c r="AC688" s="34" t="e">
        <f t="shared" ca="1" si="231"/>
        <v>#N/A</v>
      </c>
      <c r="AD688" s="34" t="e">
        <f t="shared" ca="1" si="232"/>
        <v>#N/A</v>
      </c>
      <c r="AE688" s="33" t="e">
        <f t="shared" ca="1" si="233"/>
        <v>#N/A</v>
      </c>
      <c r="AF688" s="34" t="e">
        <f t="shared" ca="1" si="225"/>
        <v>#N/A</v>
      </c>
      <c r="AG688" s="34" t="e">
        <f t="shared" ca="1" si="226"/>
        <v>#N/A</v>
      </c>
      <c r="AH688" s="34" t="e">
        <f t="shared" ca="1" si="227"/>
        <v>#N/A</v>
      </c>
      <c r="AI688" s="33" t="e">
        <f t="shared" ca="1" si="234"/>
        <v>#N/A</v>
      </c>
      <c r="AJ688" s="34" t="e">
        <f t="shared" ca="1" si="235"/>
        <v>#N/A</v>
      </c>
      <c r="AK688" s="34" t="e">
        <f t="shared" ca="1" si="228"/>
        <v>#N/A</v>
      </c>
      <c r="AL688" s="34" t="e">
        <f t="shared" ca="1" si="229"/>
        <v>#N/A</v>
      </c>
      <c r="AM688" s="33" t="e">
        <f t="shared" ca="1" si="236"/>
        <v>#N/A</v>
      </c>
      <c r="AN688" s="34" t="e">
        <f t="shared" ca="1" si="237"/>
        <v>#N/A</v>
      </c>
    </row>
    <row r="689" spans="1:40" x14ac:dyDescent="0.3">
      <c r="A689" s="2">
        <v>44461</v>
      </c>
      <c r="B689" s="9">
        <v>100.949997</v>
      </c>
      <c r="C689" s="9">
        <v>113.25</v>
      </c>
      <c r="D689" s="9">
        <v>65.319999999999993</v>
      </c>
      <c r="E689" s="10"/>
      <c r="F689" s="13">
        <v>686</v>
      </c>
      <c r="G689" s="2">
        <v>44461</v>
      </c>
      <c r="H689" s="14">
        <f t="shared" si="218"/>
        <v>6.4595901630053621E-3</v>
      </c>
      <c r="I689" s="14">
        <f t="shared" si="219"/>
        <v>2.7391597712990441E-2</v>
      </c>
      <c r="J689" s="14">
        <f t="shared" si="220"/>
        <v>3.1097033089452792E-2</v>
      </c>
      <c r="K689" s="22">
        <v>686</v>
      </c>
      <c r="L689" s="12"/>
      <c r="Q689" s="15">
        <f t="shared" si="221"/>
        <v>686</v>
      </c>
      <c r="R689" s="2">
        <f t="shared" si="217"/>
        <v>44461</v>
      </c>
      <c r="S689" s="9">
        <f t="shared" ca="1" si="222"/>
        <v>6.4595901630053621E-3</v>
      </c>
      <c r="T689" s="9">
        <f t="shared" ca="1" si="223"/>
        <v>2.7391597712990441E-2</v>
      </c>
      <c r="U689" s="9">
        <f t="shared" ca="1" si="224"/>
        <v>3.1097033089452792E-2</v>
      </c>
      <c r="AB689" s="33" t="e">
        <f t="shared" ca="1" si="230"/>
        <v>#N/A</v>
      </c>
      <c r="AC689" s="34" t="e">
        <f t="shared" ca="1" si="231"/>
        <v>#N/A</v>
      </c>
      <c r="AD689" s="34" t="e">
        <f t="shared" ca="1" si="232"/>
        <v>#N/A</v>
      </c>
      <c r="AE689" s="33" t="e">
        <f t="shared" ca="1" si="233"/>
        <v>#N/A</v>
      </c>
      <c r="AF689" s="34" t="e">
        <f t="shared" ca="1" si="225"/>
        <v>#N/A</v>
      </c>
      <c r="AG689" s="34" t="e">
        <f t="shared" ca="1" si="226"/>
        <v>#N/A</v>
      </c>
      <c r="AH689" s="34" t="e">
        <f t="shared" ca="1" si="227"/>
        <v>#N/A</v>
      </c>
      <c r="AI689" s="33" t="e">
        <f t="shared" ca="1" si="234"/>
        <v>#N/A</v>
      </c>
      <c r="AJ689" s="34" t="e">
        <f t="shared" ca="1" si="235"/>
        <v>#N/A</v>
      </c>
      <c r="AK689" s="34" t="e">
        <f t="shared" ca="1" si="228"/>
        <v>#N/A</v>
      </c>
      <c r="AL689" s="34" t="e">
        <f t="shared" ca="1" si="229"/>
        <v>#N/A</v>
      </c>
      <c r="AM689" s="33" t="e">
        <f t="shared" ca="1" si="236"/>
        <v>#N/A</v>
      </c>
      <c r="AN689" s="34" t="e">
        <f t="shared" ca="1" si="237"/>
        <v>#N/A</v>
      </c>
    </row>
    <row r="690" spans="1:40" x14ac:dyDescent="0.3">
      <c r="A690" s="2">
        <v>44462</v>
      </c>
      <c r="B690" s="9">
        <v>102.599998</v>
      </c>
      <c r="C690" s="9">
        <v>115.660004</v>
      </c>
      <c r="D690" s="9">
        <v>67.169998000000007</v>
      </c>
      <c r="E690" s="10"/>
      <c r="F690" s="13">
        <v>687</v>
      </c>
      <c r="G690" s="2">
        <v>44462</v>
      </c>
      <c r="H690" s="14">
        <f t="shared" si="218"/>
        <v>1.6212598202327608E-2</v>
      </c>
      <c r="I690" s="14">
        <f t="shared" si="219"/>
        <v>2.1057122951054143E-2</v>
      </c>
      <c r="J690" s="14">
        <f t="shared" si="220"/>
        <v>2.7928421401311288E-2</v>
      </c>
      <c r="K690" s="22">
        <v>687</v>
      </c>
      <c r="L690" s="12"/>
      <c r="Q690" s="15">
        <f t="shared" si="221"/>
        <v>687</v>
      </c>
      <c r="R690" s="2">
        <f t="shared" si="217"/>
        <v>44462</v>
      </c>
      <c r="S690" s="9">
        <f t="shared" ca="1" si="222"/>
        <v>1.6212598202327608E-2</v>
      </c>
      <c r="T690" s="9">
        <f t="shared" ca="1" si="223"/>
        <v>2.1057122951054143E-2</v>
      </c>
      <c r="U690" s="9">
        <f t="shared" ca="1" si="224"/>
        <v>2.7928421401311288E-2</v>
      </c>
      <c r="AB690" s="33" t="e">
        <f t="shared" ca="1" si="230"/>
        <v>#N/A</v>
      </c>
      <c r="AC690" s="34" t="e">
        <f t="shared" ca="1" si="231"/>
        <v>#N/A</v>
      </c>
      <c r="AD690" s="34" t="e">
        <f t="shared" ca="1" si="232"/>
        <v>#N/A</v>
      </c>
      <c r="AE690" s="33" t="e">
        <f t="shared" ca="1" si="233"/>
        <v>#N/A</v>
      </c>
      <c r="AF690" s="34" t="e">
        <f t="shared" ca="1" si="225"/>
        <v>#N/A</v>
      </c>
      <c r="AG690" s="34" t="e">
        <f t="shared" ca="1" si="226"/>
        <v>#N/A</v>
      </c>
      <c r="AH690" s="34" t="e">
        <f t="shared" ca="1" si="227"/>
        <v>#N/A</v>
      </c>
      <c r="AI690" s="33" t="e">
        <f t="shared" ca="1" si="234"/>
        <v>#N/A</v>
      </c>
      <c r="AJ690" s="34" t="e">
        <f t="shared" ca="1" si="235"/>
        <v>#N/A</v>
      </c>
      <c r="AK690" s="34" t="e">
        <f t="shared" ca="1" si="228"/>
        <v>#N/A</v>
      </c>
      <c r="AL690" s="34" t="e">
        <f t="shared" ca="1" si="229"/>
        <v>#N/A</v>
      </c>
      <c r="AM690" s="33" t="e">
        <f t="shared" ca="1" si="236"/>
        <v>#N/A</v>
      </c>
      <c r="AN690" s="34" t="e">
        <f t="shared" ca="1" si="237"/>
        <v>#N/A</v>
      </c>
    </row>
    <row r="691" spans="1:40" x14ac:dyDescent="0.3">
      <c r="A691" s="2">
        <v>44463</v>
      </c>
      <c r="B691" s="9">
        <v>103.160004</v>
      </c>
      <c r="C691" s="9">
        <v>116.470001</v>
      </c>
      <c r="D691" s="9">
        <v>67.629997000000003</v>
      </c>
      <c r="E691" s="10"/>
      <c r="F691" s="13">
        <v>688</v>
      </c>
      <c r="G691" s="2">
        <v>44463</v>
      </c>
      <c r="H691" s="14">
        <f t="shared" si="218"/>
        <v>5.4433065443706035E-3</v>
      </c>
      <c r="I691" s="14">
        <f t="shared" si="219"/>
        <v>6.9788503862648656E-3</v>
      </c>
      <c r="J691" s="14">
        <f t="shared" si="220"/>
        <v>6.8249377242598584E-3</v>
      </c>
      <c r="K691" s="22">
        <v>688</v>
      </c>
      <c r="L691" s="12"/>
      <c r="Q691" s="15">
        <f t="shared" si="221"/>
        <v>688</v>
      </c>
      <c r="R691" s="2">
        <f t="shared" si="217"/>
        <v>44463</v>
      </c>
      <c r="S691" s="9">
        <f t="shared" ca="1" si="222"/>
        <v>5.4433065443706035E-3</v>
      </c>
      <c r="T691" s="9">
        <f t="shared" ca="1" si="223"/>
        <v>6.9788503862648656E-3</v>
      </c>
      <c r="U691" s="9">
        <f t="shared" ca="1" si="224"/>
        <v>6.8249377242598584E-3</v>
      </c>
      <c r="AB691" s="33" t="e">
        <f t="shared" ca="1" si="230"/>
        <v>#N/A</v>
      </c>
      <c r="AC691" s="34" t="e">
        <f t="shared" ca="1" si="231"/>
        <v>#N/A</v>
      </c>
      <c r="AD691" s="34" t="e">
        <f t="shared" ca="1" si="232"/>
        <v>#N/A</v>
      </c>
      <c r="AE691" s="33" t="e">
        <f t="shared" ca="1" si="233"/>
        <v>#N/A</v>
      </c>
      <c r="AF691" s="34" t="e">
        <f t="shared" ca="1" si="225"/>
        <v>#N/A</v>
      </c>
      <c r="AG691" s="34" t="e">
        <f t="shared" ca="1" si="226"/>
        <v>#N/A</v>
      </c>
      <c r="AH691" s="34" t="e">
        <f t="shared" ca="1" si="227"/>
        <v>#N/A</v>
      </c>
      <c r="AI691" s="33" t="e">
        <f t="shared" ca="1" si="234"/>
        <v>#N/A</v>
      </c>
      <c r="AJ691" s="34" t="e">
        <f t="shared" ca="1" si="235"/>
        <v>#N/A</v>
      </c>
      <c r="AK691" s="34" t="e">
        <f t="shared" ca="1" si="228"/>
        <v>#N/A</v>
      </c>
      <c r="AL691" s="34" t="e">
        <f t="shared" ca="1" si="229"/>
        <v>#N/A</v>
      </c>
      <c r="AM691" s="33" t="e">
        <f t="shared" ca="1" si="236"/>
        <v>#N/A</v>
      </c>
      <c r="AN691" s="34" t="e">
        <f t="shared" ca="1" si="237"/>
        <v>#N/A</v>
      </c>
    </row>
    <row r="692" spans="1:40" x14ac:dyDescent="0.3">
      <c r="A692" s="2">
        <v>44466</v>
      </c>
      <c r="B692" s="9">
        <v>103.269997</v>
      </c>
      <c r="C692" s="9">
        <v>117.970001</v>
      </c>
      <c r="D692" s="9">
        <v>70.779999000000004</v>
      </c>
      <c r="E692" s="10"/>
      <c r="F692" s="13">
        <v>689</v>
      </c>
      <c r="G692" s="2">
        <v>44466</v>
      </c>
      <c r="H692" s="14">
        <f t="shared" si="218"/>
        <v>1.0656688453871803E-3</v>
      </c>
      <c r="I692" s="14">
        <f t="shared" si="219"/>
        <v>1.2796625630020105E-2</v>
      </c>
      <c r="J692" s="14">
        <f t="shared" si="220"/>
        <v>4.5524833561197041E-2</v>
      </c>
      <c r="K692" s="22">
        <v>689</v>
      </c>
      <c r="L692" s="12"/>
      <c r="Q692" s="15">
        <f t="shared" si="221"/>
        <v>689</v>
      </c>
      <c r="R692" s="2">
        <f t="shared" si="217"/>
        <v>44466</v>
      </c>
      <c r="S692" s="9">
        <f t="shared" ca="1" si="222"/>
        <v>1.0656688453871803E-3</v>
      </c>
      <c r="T692" s="9">
        <f t="shared" ca="1" si="223"/>
        <v>1.2796625630020105E-2</v>
      </c>
      <c r="U692" s="9">
        <f t="shared" ca="1" si="224"/>
        <v>4.5524833561197041E-2</v>
      </c>
      <c r="AB692" s="33" t="e">
        <f t="shared" ca="1" si="230"/>
        <v>#N/A</v>
      </c>
      <c r="AC692" s="34" t="e">
        <f t="shared" ca="1" si="231"/>
        <v>#N/A</v>
      </c>
      <c r="AD692" s="34" t="e">
        <f t="shared" ca="1" si="232"/>
        <v>#N/A</v>
      </c>
      <c r="AE692" s="33" t="e">
        <f t="shared" ca="1" si="233"/>
        <v>#N/A</v>
      </c>
      <c r="AF692" s="34" t="e">
        <f t="shared" ca="1" si="225"/>
        <v>#N/A</v>
      </c>
      <c r="AG692" s="34" t="e">
        <f t="shared" ca="1" si="226"/>
        <v>#N/A</v>
      </c>
      <c r="AH692" s="34" t="e">
        <f t="shared" ca="1" si="227"/>
        <v>#N/A</v>
      </c>
      <c r="AI692" s="33" t="e">
        <f t="shared" ca="1" si="234"/>
        <v>#N/A</v>
      </c>
      <c r="AJ692" s="34" t="e">
        <f t="shared" ca="1" si="235"/>
        <v>#N/A</v>
      </c>
      <c r="AK692" s="34" t="e">
        <f t="shared" ca="1" si="228"/>
        <v>#N/A</v>
      </c>
      <c r="AL692" s="34" t="e">
        <f t="shared" ca="1" si="229"/>
        <v>#N/A</v>
      </c>
      <c r="AM692" s="33" t="e">
        <f t="shared" ca="1" si="236"/>
        <v>#N/A</v>
      </c>
      <c r="AN692" s="34" t="e">
        <f t="shared" ca="1" si="237"/>
        <v>#N/A</v>
      </c>
    </row>
    <row r="693" spans="1:40" x14ac:dyDescent="0.3">
      <c r="A693" s="2">
        <v>44467</v>
      </c>
      <c r="B693" s="9">
        <v>102.33000199999999</v>
      </c>
      <c r="C693" s="9">
        <v>119.010002</v>
      </c>
      <c r="D693" s="9">
        <v>71.169998000000007</v>
      </c>
      <c r="E693" s="10"/>
      <c r="F693" s="13">
        <v>690</v>
      </c>
      <c r="G693" s="2">
        <v>44467</v>
      </c>
      <c r="H693" s="14">
        <f t="shared" si="218"/>
        <v>-9.1439839899748951E-3</v>
      </c>
      <c r="I693" s="14">
        <f t="shared" si="219"/>
        <v>8.7771766691763613E-3</v>
      </c>
      <c r="J693" s="14">
        <f t="shared" si="220"/>
        <v>5.494892420418806E-3</v>
      </c>
      <c r="K693" s="22">
        <v>690</v>
      </c>
      <c r="L693" s="12"/>
      <c r="Q693" s="15">
        <f t="shared" si="221"/>
        <v>690</v>
      </c>
      <c r="R693" s="2">
        <f t="shared" si="217"/>
        <v>44467</v>
      </c>
      <c r="S693" s="9">
        <f t="shared" ca="1" si="222"/>
        <v>-9.1439839899748951E-3</v>
      </c>
      <c r="T693" s="9">
        <f t="shared" ca="1" si="223"/>
        <v>8.7771766691763613E-3</v>
      </c>
      <c r="U693" s="9">
        <f t="shared" ca="1" si="224"/>
        <v>5.494892420418806E-3</v>
      </c>
      <c r="AB693" s="33" t="e">
        <f t="shared" ca="1" si="230"/>
        <v>#N/A</v>
      </c>
      <c r="AC693" s="34" t="e">
        <f t="shared" ca="1" si="231"/>
        <v>#N/A</v>
      </c>
      <c r="AD693" s="34" t="e">
        <f t="shared" ca="1" si="232"/>
        <v>#N/A</v>
      </c>
      <c r="AE693" s="33" t="e">
        <f t="shared" ca="1" si="233"/>
        <v>#N/A</v>
      </c>
      <c r="AF693" s="34" t="e">
        <f t="shared" ca="1" si="225"/>
        <v>#N/A</v>
      </c>
      <c r="AG693" s="34" t="e">
        <f t="shared" ca="1" si="226"/>
        <v>#N/A</v>
      </c>
      <c r="AH693" s="34" t="e">
        <f t="shared" ca="1" si="227"/>
        <v>#N/A</v>
      </c>
      <c r="AI693" s="33" t="e">
        <f t="shared" ca="1" si="234"/>
        <v>#N/A</v>
      </c>
      <c r="AJ693" s="34" t="e">
        <f t="shared" ca="1" si="235"/>
        <v>#N/A</v>
      </c>
      <c r="AK693" s="34" t="e">
        <f t="shared" ca="1" si="228"/>
        <v>#N/A</v>
      </c>
      <c r="AL693" s="34" t="e">
        <f t="shared" ca="1" si="229"/>
        <v>#N/A</v>
      </c>
      <c r="AM693" s="33" t="e">
        <f t="shared" ca="1" si="236"/>
        <v>#N/A</v>
      </c>
      <c r="AN693" s="34" t="e">
        <f t="shared" ca="1" si="237"/>
        <v>#N/A</v>
      </c>
    </row>
    <row r="694" spans="1:40" x14ac:dyDescent="0.3">
      <c r="A694" s="2">
        <v>44468</v>
      </c>
      <c r="B694" s="9">
        <v>102.540001</v>
      </c>
      <c r="C694" s="9">
        <v>116.889999</v>
      </c>
      <c r="D694" s="9">
        <v>70.309997999999993</v>
      </c>
      <c r="E694" s="10"/>
      <c r="F694" s="13">
        <v>691</v>
      </c>
      <c r="G694" s="2">
        <v>44468</v>
      </c>
      <c r="H694" s="14">
        <f t="shared" si="218"/>
        <v>2.0500714645719123E-3</v>
      </c>
      <c r="I694" s="14">
        <f t="shared" si="219"/>
        <v>-1.7974226935031659E-2</v>
      </c>
      <c r="J694" s="14">
        <f t="shared" si="220"/>
        <v>-1.2157345443837588E-2</v>
      </c>
      <c r="K694" s="22">
        <v>691</v>
      </c>
      <c r="L694" s="12"/>
      <c r="Q694" s="15">
        <f t="shared" si="221"/>
        <v>691</v>
      </c>
      <c r="R694" s="2">
        <f t="shared" si="217"/>
        <v>44468</v>
      </c>
      <c r="S694" s="9">
        <f t="shared" ca="1" si="222"/>
        <v>2.0500714645719123E-3</v>
      </c>
      <c r="T694" s="9">
        <f t="shared" ca="1" si="223"/>
        <v>-1.7974226935031659E-2</v>
      </c>
      <c r="U694" s="9">
        <f t="shared" ca="1" si="224"/>
        <v>-1.2157345443837588E-2</v>
      </c>
      <c r="AB694" s="33" t="e">
        <f t="shared" ca="1" si="230"/>
        <v>#N/A</v>
      </c>
      <c r="AC694" s="34" t="e">
        <f t="shared" ca="1" si="231"/>
        <v>#N/A</v>
      </c>
      <c r="AD694" s="34" t="e">
        <f t="shared" ca="1" si="232"/>
        <v>#N/A</v>
      </c>
      <c r="AE694" s="33" t="e">
        <f t="shared" ca="1" si="233"/>
        <v>#N/A</v>
      </c>
      <c r="AF694" s="34" t="e">
        <f t="shared" ca="1" si="225"/>
        <v>#N/A</v>
      </c>
      <c r="AG694" s="34" t="e">
        <f t="shared" ca="1" si="226"/>
        <v>#N/A</v>
      </c>
      <c r="AH694" s="34" t="e">
        <f t="shared" ca="1" si="227"/>
        <v>#N/A</v>
      </c>
      <c r="AI694" s="33" t="e">
        <f t="shared" ca="1" si="234"/>
        <v>#N/A</v>
      </c>
      <c r="AJ694" s="34" t="e">
        <f t="shared" ca="1" si="235"/>
        <v>#N/A</v>
      </c>
      <c r="AK694" s="34" t="e">
        <f t="shared" ca="1" si="228"/>
        <v>#N/A</v>
      </c>
      <c r="AL694" s="34" t="e">
        <f t="shared" ca="1" si="229"/>
        <v>#N/A</v>
      </c>
      <c r="AM694" s="33" t="e">
        <f t="shared" ca="1" si="236"/>
        <v>#N/A</v>
      </c>
      <c r="AN694" s="34" t="e">
        <f t="shared" ca="1" si="237"/>
        <v>#N/A</v>
      </c>
    </row>
    <row r="695" spans="1:40" x14ac:dyDescent="0.3">
      <c r="A695" s="2">
        <v>44469</v>
      </c>
      <c r="B695" s="9">
        <v>100.33000199999999</v>
      </c>
      <c r="C695" s="9">
        <v>111.040001</v>
      </c>
      <c r="D695" s="9">
        <v>70.569999999999993</v>
      </c>
      <c r="E695" s="10"/>
      <c r="F695" s="13">
        <v>692</v>
      </c>
      <c r="G695" s="2">
        <v>44469</v>
      </c>
      <c r="H695" s="14">
        <f t="shared" si="218"/>
        <v>-2.1788203236108045E-2</v>
      </c>
      <c r="I695" s="14">
        <f t="shared" si="219"/>
        <v>-5.134280730036906E-2</v>
      </c>
      <c r="J695" s="14">
        <f t="shared" si="220"/>
        <v>3.6911172471252511E-3</v>
      </c>
      <c r="K695" s="22">
        <v>692</v>
      </c>
      <c r="L695" s="12"/>
      <c r="Q695" s="15">
        <f t="shared" si="221"/>
        <v>692</v>
      </c>
      <c r="R695" s="2">
        <f t="shared" si="217"/>
        <v>44469</v>
      </c>
      <c r="S695" s="9">
        <f t="shared" ca="1" si="222"/>
        <v>-2.1788203236108045E-2</v>
      </c>
      <c r="T695" s="9">
        <f t="shared" ca="1" si="223"/>
        <v>-5.134280730036906E-2</v>
      </c>
      <c r="U695" s="9">
        <f t="shared" ca="1" si="224"/>
        <v>3.6911172471252511E-3</v>
      </c>
      <c r="AB695" s="33" t="e">
        <f t="shared" ca="1" si="230"/>
        <v>#N/A</v>
      </c>
      <c r="AC695" s="34" t="e">
        <f t="shared" ca="1" si="231"/>
        <v>#N/A</v>
      </c>
      <c r="AD695" s="34" t="e">
        <f t="shared" ca="1" si="232"/>
        <v>#N/A</v>
      </c>
      <c r="AE695" s="33" t="e">
        <f t="shared" ca="1" si="233"/>
        <v>#N/A</v>
      </c>
      <c r="AF695" s="34" t="e">
        <f t="shared" ca="1" si="225"/>
        <v>#N/A</v>
      </c>
      <c r="AG695" s="34" t="e">
        <f t="shared" ca="1" si="226"/>
        <v>#N/A</v>
      </c>
      <c r="AH695" s="34" t="e">
        <f t="shared" ca="1" si="227"/>
        <v>#N/A</v>
      </c>
      <c r="AI695" s="33" t="e">
        <f t="shared" ca="1" si="234"/>
        <v>#N/A</v>
      </c>
      <c r="AJ695" s="34" t="e">
        <f t="shared" ca="1" si="235"/>
        <v>#N/A</v>
      </c>
      <c r="AK695" s="34" t="e">
        <f t="shared" ca="1" si="228"/>
        <v>#N/A</v>
      </c>
      <c r="AL695" s="34" t="e">
        <f t="shared" ca="1" si="229"/>
        <v>#N/A</v>
      </c>
      <c r="AM695" s="33" t="e">
        <f t="shared" ca="1" si="236"/>
        <v>#N/A</v>
      </c>
      <c r="AN695" s="34" t="e">
        <f t="shared" ca="1" si="237"/>
        <v>#N/A</v>
      </c>
    </row>
    <row r="696" spans="1:40" x14ac:dyDescent="0.3">
      <c r="A696" s="2">
        <v>44470</v>
      </c>
      <c r="B696" s="9">
        <v>103.389999</v>
      </c>
      <c r="C696" s="9">
        <v>114.790001</v>
      </c>
      <c r="D696" s="9">
        <v>73.620002999999997</v>
      </c>
      <c r="E696" s="10"/>
      <c r="F696" s="13">
        <v>693</v>
      </c>
      <c r="G696" s="2">
        <v>44470</v>
      </c>
      <c r="H696" s="14">
        <f t="shared" si="218"/>
        <v>3.0043463054748164E-2</v>
      </c>
      <c r="I696" s="14">
        <f t="shared" si="219"/>
        <v>3.3213875024707538E-2</v>
      </c>
      <c r="J696" s="14">
        <f t="shared" si="220"/>
        <v>4.2311643687931708E-2</v>
      </c>
      <c r="K696" s="22">
        <v>693</v>
      </c>
      <c r="L696" s="12"/>
      <c r="Q696" s="15">
        <f t="shared" si="221"/>
        <v>693</v>
      </c>
      <c r="R696" s="2">
        <f t="shared" si="217"/>
        <v>44470</v>
      </c>
      <c r="S696" s="9">
        <f t="shared" ca="1" si="222"/>
        <v>3.0043463054748164E-2</v>
      </c>
      <c r="T696" s="9">
        <f t="shared" ca="1" si="223"/>
        <v>3.3213875024707538E-2</v>
      </c>
      <c r="U696" s="9">
        <f t="shared" ca="1" si="224"/>
        <v>4.2311643687931708E-2</v>
      </c>
      <c r="AB696" s="33" t="e">
        <f t="shared" ca="1" si="230"/>
        <v>#N/A</v>
      </c>
      <c r="AC696" s="34" t="e">
        <f t="shared" ca="1" si="231"/>
        <v>#N/A</v>
      </c>
      <c r="AD696" s="34" t="e">
        <f t="shared" ca="1" si="232"/>
        <v>#N/A</v>
      </c>
      <c r="AE696" s="33" t="e">
        <f t="shared" ca="1" si="233"/>
        <v>#N/A</v>
      </c>
      <c r="AF696" s="34" t="e">
        <f t="shared" ca="1" si="225"/>
        <v>#N/A</v>
      </c>
      <c r="AG696" s="34" t="e">
        <f t="shared" ca="1" si="226"/>
        <v>#N/A</v>
      </c>
      <c r="AH696" s="34" t="e">
        <f t="shared" ca="1" si="227"/>
        <v>#N/A</v>
      </c>
      <c r="AI696" s="33" t="e">
        <f t="shared" ca="1" si="234"/>
        <v>#N/A</v>
      </c>
      <c r="AJ696" s="34" t="e">
        <f t="shared" ca="1" si="235"/>
        <v>#N/A</v>
      </c>
      <c r="AK696" s="34" t="e">
        <f t="shared" ca="1" si="228"/>
        <v>#N/A</v>
      </c>
      <c r="AL696" s="34" t="e">
        <f t="shared" ca="1" si="229"/>
        <v>#N/A</v>
      </c>
      <c r="AM696" s="33" t="e">
        <f t="shared" ca="1" si="236"/>
        <v>#N/A</v>
      </c>
      <c r="AN696" s="34" t="e">
        <f t="shared" ca="1" si="237"/>
        <v>#N/A</v>
      </c>
    </row>
    <row r="697" spans="1:40" x14ac:dyDescent="0.3">
      <c r="A697" s="2">
        <v>44473</v>
      </c>
      <c r="B697" s="9">
        <v>102.589996</v>
      </c>
      <c r="C697" s="9">
        <v>117.360001</v>
      </c>
      <c r="D697" s="9">
        <v>75.019997000000004</v>
      </c>
      <c r="E697" s="10"/>
      <c r="F697" s="13">
        <v>694</v>
      </c>
      <c r="G697" s="2">
        <v>44473</v>
      </c>
      <c r="H697" s="14">
        <f t="shared" si="218"/>
        <v>-7.7678128170208145E-3</v>
      </c>
      <c r="I697" s="14">
        <f t="shared" si="219"/>
        <v>2.2141761566551229E-2</v>
      </c>
      <c r="J697" s="14">
        <f t="shared" si="220"/>
        <v>1.8837935963733957E-2</v>
      </c>
      <c r="K697" s="22">
        <v>694</v>
      </c>
      <c r="L697" s="12"/>
      <c r="Q697" s="15">
        <f t="shared" si="221"/>
        <v>694</v>
      </c>
      <c r="R697" s="2">
        <f t="shared" si="217"/>
        <v>44473</v>
      </c>
      <c r="S697" s="9">
        <f t="shared" ca="1" si="222"/>
        <v>-7.7678128170208145E-3</v>
      </c>
      <c r="T697" s="9">
        <f t="shared" ca="1" si="223"/>
        <v>2.2141761566551229E-2</v>
      </c>
      <c r="U697" s="9">
        <f t="shared" ca="1" si="224"/>
        <v>1.8837935963733957E-2</v>
      </c>
      <c r="AB697" s="33" t="e">
        <f t="shared" ca="1" si="230"/>
        <v>#N/A</v>
      </c>
      <c r="AC697" s="34" t="e">
        <f t="shared" ca="1" si="231"/>
        <v>#N/A</v>
      </c>
      <c r="AD697" s="34" t="e">
        <f t="shared" ca="1" si="232"/>
        <v>#N/A</v>
      </c>
      <c r="AE697" s="33" t="e">
        <f t="shared" ca="1" si="233"/>
        <v>#N/A</v>
      </c>
      <c r="AF697" s="34" t="e">
        <f t="shared" ca="1" si="225"/>
        <v>#N/A</v>
      </c>
      <c r="AG697" s="34" t="e">
        <f t="shared" ca="1" si="226"/>
        <v>#N/A</v>
      </c>
      <c r="AH697" s="34" t="e">
        <f t="shared" ca="1" si="227"/>
        <v>#N/A</v>
      </c>
      <c r="AI697" s="33" t="e">
        <f t="shared" ca="1" si="234"/>
        <v>#N/A</v>
      </c>
      <c r="AJ697" s="34" t="e">
        <f t="shared" ca="1" si="235"/>
        <v>#N/A</v>
      </c>
      <c r="AK697" s="34" t="e">
        <f t="shared" ca="1" si="228"/>
        <v>#N/A</v>
      </c>
      <c r="AL697" s="34" t="e">
        <f t="shared" ca="1" si="229"/>
        <v>#N/A</v>
      </c>
      <c r="AM697" s="33" t="e">
        <f t="shared" ca="1" si="236"/>
        <v>#N/A</v>
      </c>
      <c r="AN697" s="34" t="e">
        <f t="shared" ca="1" si="237"/>
        <v>#N/A</v>
      </c>
    </row>
    <row r="698" spans="1:40" x14ac:dyDescent="0.3">
      <c r="A698" s="2">
        <v>44474</v>
      </c>
      <c r="B698" s="9">
        <v>104.029999</v>
      </c>
      <c r="C698" s="9">
        <v>119.449997</v>
      </c>
      <c r="D698" s="9">
        <v>74.300003000000004</v>
      </c>
      <c r="E698" s="10"/>
      <c r="F698" s="13">
        <v>695</v>
      </c>
      <c r="G698" s="2">
        <v>44474</v>
      </c>
      <c r="H698" s="14">
        <f t="shared" si="218"/>
        <v>1.3938886360726398E-2</v>
      </c>
      <c r="I698" s="14">
        <f t="shared" si="219"/>
        <v>1.7651706301190378E-2</v>
      </c>
      <c r="J698" s="14">
        <f t="shared" si="220"/>
        <v>-9.6437125638410628E-3</v>
      </c>
      <c r="K698" s="22">
        <v>695</v>
      </c>
      <c r="L698" s="12"/>
      <c r="Q698" s="15">
        <f t="shared" si="221"/>
        <v>695</v>
      </c>
      <c r="R698" s="2">
        <f t="shared" si="217"/>
        <v>44474</v>
      </c>
      <c r="S698" s="9">
        <f t="shared" ca="1" si="222"/>
        <v>1.3938886360726398E-2</v>
      </c>
      <c r="T698" s="9">
        <f t="shared" ca="1" si="223"/>
        <v>1.7651706301190378E-2</v>
      </c>
      <c r="U698" s="9">
        <f t="shared" ca="1" si="224"/>
        <v>-9.6437125638410628E-3</v>
      </c>
      <c r="AB698" s="33" t="e">
        <f t="shared" ca="1" si="230"/>
        <v>#N/A</v>
      </c>
      <c r="AC698" s="34" t="e">
        <f t="shared" ca="1" si="231"/>
        <v>#N/A</v>
      </c>
      <c r="AD698" s="34" t="e">
        <f t="shared" ca="1" si="232"/>
        <v>#N/A</v>
      </c>
      <c r="AE698" s="33" t="e">
        <f t="shared" ca="1" si="233"/>
        <v>#N/A</v>
      </c>
      <c r="AF698" s="34" t="e">
        <f t="shared" ca="1" si="225"/>
        <v>#N/A</v>
      </c>
      <c r="AG698" s="34" t="e">
        <f t="shared" ca="1" si="226"/>
        <v>#N/A</v>
      </c>
      <c r="AH698" s="34" t="e">
        <f t="shared" ca="1" si="227"/>
        <v>#N/A</v>
      </c>
      <c r="AI698" s="33" t="e">
        <f t="shared" ca="1" si="234"/>
        <v>#N/A</v>
      </c>
      <c r="AJ698" s="34" t="e">
        <f t="shared" ca="1" si="235"/>
        <v>#N/A</v>
      </c>
      <c r="AK698" s="34" t="e">
        <f t="shared" ca="1" si="228"/>
        <v>#N/A</v>
      </c>
      <c r="AL698" s="34" t="e">
        <f t="shared" ca="1" si="229"/>
        <v>#N/A</v>
      </c>
      <c r="AM698" s="33" t="e">
        <f t="shared" ca="1" si="236"/>
        <v>#N/A</v>
      </c>
      <c r="AN698" s="34" t="e">
        <f t="shared" ca="1" si="237"/>
        <v>#N/A</v>
      </c>
    </row>
    <row r="699" spans="1:40" x14ac:dyDescent="0.3">
      <c r="A699" s="2">
        <v>44475</v>
      </c>
      <c r="B699" s="9">
        <v>103.720001</v>
      </c>
      <c r="C699" s="9">
        <v>115.269997</v>
      </c>
      <c r="D699" s="9">
        <v>75.370002999999997</v>
      </c>
      <c r="E699" s="10"/>
      <c r="F699" s="13">
        <v>696</v>
      </c>
      <c r="G699" s="2">
        <v>44475</v>
      </c>
      <c r="H699" s="14">
        <f t="shared" si="218"/>
        <v>-2.9843391583864592E-3</v>
      </c>
      <c r="I699" s="14">
        <f t="shared" si="219"/>
        <v>-3.5620672069638773E-2</v>
      </c>
      <c r="J699" s="14">
        <f t="shared" si="220"/>
        <v>1.4298365558449697E-2</v>
      </c>
      <c r="K699" s="22">
        <v>696</v>
      </c>
      <c r="L699" s="12"/>
      <c r="Q699" s="15">
        <f t="shared" si="221"/>
        <v>696</v>
      </c>
      <c r="R699" s="2">
        <f t="shared" si="217"/>
        <v>44475</v>
      </c>
      <c r="S699" s="9">
        <f t="shared" ca="1" si="222"/>
        <v>-2.9843391583864592E-3</v>
      </c>
      <c r="T699" s="9">
        <f t="shared" ca="1" si="223"/>
        <v>-3.5620672069638773E-2</v>
      </c>
      <c r="U699" s="9">
        <f t="shared" ca="1" si="224"/>
        <v>1.4298365558449697E-2</v>
      </c>
      <c r="AB699" s="33" t="e">
        <f t="shared" ca="1" si="230"/>
        <v>#N/A</v>
      </c>
      <c r="AC699" s="34" t="e">
        <f t="shared" ca="1" si="231"/>
        <v>#N/A</v>
      </c>
      <c r="AD699" s="34" t="e">
        <f t="shared" ca="1" si="232"/>
        <v>#N/A</v>
      </c>
      <c r="AE699" s="33" t="e">
        <f t="shared" ca="1" si="233"/>
        <v>#N/A</v>
      </c>
      <c r="AF699" s="34" t="e">
        <f t="shared" ca="1" si="225"/>
        <v>#N/A</v>
      </c>
      <c r="AG699" s="34" t="e">
        <f t="shared" ca="1" si="226"/>
        <v>#N/A</v>
      </c>
      <c r="AH699" s="34" t="e">
        <f t="shared" ca="1" si="227"/>
        <v>#N/A</v>
      </c>
      <c r="AI699" s="33" t="e">
        <f t="shared" ca="1" si="234"/>
        <v>#N/A</v>
      </c>
      <c r="AJ699" s="34" t="e">
        <f t="shared" ca="1" si="235"/>
        <v>#N/A</v>
      </c>
      <c r="AK699" s="34" t="e">
        <f t="shared" ca="1" si="228"/>
        <v>#N/A</v>
      </c>
      <c r="AL699" s="34" t="e">
        <f t="shared" ca="1" si="229"/>
        <v>#N/A</v>
      </c>
      <c r="AM699" s="33" t="e">
        <f t="shared" ca="1" si="236"/>
        <v>#N/A</v>
      </c>
      <c r="AN699" s="34" t="e">
        <f t="shared" ca="1" si="237"/>
        <v>#N/A</v>
      </c>
    </row>
    <row r="700" spans="1:40" x14ac:dyDescent="0.3">
      <c r="A700" s="2">
        <v>44476</v>
      </c>
      <c r="B700" s="9">
        <v>107.139999</v>
      </c>
      <c r="C700" s="9">
        <v>117.209999</v>
      </c>
      <c r="D700" s="9">
        <v>75.900002000000001</v>
      </c>
      <c r="E700" s="10"/>
      <c r="F700" s="13">
        <v>697</v>
      </c>
      <c r="G700" s="2">
        <v>44476</v>
      </c>
      <c r="H700" s="14">
        <f t="shared" si="218"/>
        <v>3.2441410807426435E-2</v>
      </c>
      <c r="I700" s="14">
        <f t="shared" si="219"/>
        <v>1.6690012616325106E-2</v>
      </c>
      <c r="J700" s="14">
        <f t="shared" si="220"/>
        <v>7.0073530930319407E-3</v>
      </c>
      <c r="K700" s="22">
        <v>697</v>
      </c>
      <c r="L700" s="12"/>
      <c r="Q700" s="15">
        <f t="shared" si="221"/>
        <v>697</v>
      </c>
      <c r="R700" s="2">
        <f t="shared" si="217"/>
        <v>44476</v>
      </c>
      <c r="S700" s="9">
        <f t="shared" ca="1" si="222"/>
        <v>3.2441410807426435E-2</v>
      </c>
      <c r="T700" s="9">
        <f t="shared" ca="1" si="223"/>
        <v>1.6690012616325106E-2</v>
      </c>
      <c r="U700" s="9">
        <f t="shared" ca="1" si="224"/>
        <v>7.0073530930319407E-3</v>
      </c>
      <c r="AB700" s="33" t="e">
        <f t="shared" ca="1" si="230"/>
        <v>#N/A</v>
      </c>
      <c r="AC700" s="34" t="e">
        <f t="shared" ca="1" si="231"/>
        <v>#N/A</v>
      </c>
      <c r="AD700" s="34" t="e">
        <f t="shared" ca="1" si="232"/>
        <v>#N/A</v>
      </c>
      <c r="AE700" s="33" t="e">
        <f t="shared" ca="1" si="233"/>
        <v>#N/A</v>
      </c>
      <c r="AF700" s="34" t="e">
        <f t="shared" ca="1" si="225"/>
        <v>#N/A</v>
      </c>
      <c r="AG700" s="34" t="e">
        <f t="shared" ca="1" si="226"/>
        <v>#N/A</v>
      </c>
      <c r="AH700" s="34" t="e">
        <f t="shared" ca="1" si="227"/>
        <v>#N/A</v>
      </c>
      <c r="AI700" s="33" t="e">
        <f t="shared" ca="1" si="234"/>
        <v>#N/A</v>
      </c>
      <c r="AJ700" s="34" t="e">
        <f t="shared" ca="1" si="235"/>
        <v>#N/A</v>
      </c>
      <c r="AK700" s="34" t="e">
        <f t="shared" ca="1" si="228"/>
        <v>#N/A</v>
      </c>
      <c r="AL700" s="34" t="e">
        <f t="shared" ca="1" si="229"/>
        <v>#N/A</v>
      </c>
      <c r="AM700" s="33" t="e">
        <f t="shared" ca="1" si="236"/>
        <v>#N/A</v>
      </c>
      <c r="AN700" s="34" t="e">
        <f t="shared" ca="1" si="237"/>
        <v>#N/A</v>
      </c>
    </row>
    <row r="701" spans="1:40" x14ac:dyDescent="0.3">
      <c r="A701" s="2">
        <v>44477</v>
      </c>
      <c r="B701" s="9">
        <v>109.099998</v>
      </c>
      <c r="C701" s="9">
        <v>113.25</v>
      </c>
      <c r="D701" s="9">
        <v>78.599997999999999</v>
      </c>
      <c r="E701" s="10"/>
      <c r="F701" s="13">
        <v>698</v>
      </c>
      <c r="G701" s="2">
        <v>44477</v>
      </c>
      <c r="H701" s="14">
        <f t="shared" si="218"/>
        <v>1.8128493387987211E-2</v>
      </c>
      <c r="I701" s="14">
        <f t="shared" si="219"/>
        <v>-3.4369424840250136E-2</v>
      </c>
      <c r="J701" s="14">
        <f t="shared" si="220"/>
        <v>3.4954963237822802E-2</v>
      </c>
      <c r="K701" s="22">
        <v>698</v>
      </c>
      <c r="L701" s="12"/>
      <c r="Q701" s="15">
        <f t="shared" si="221"/>
        <v>698</v>
      </c>
      <c r="R701" s="2">
        <f t="shared" si="217"/>
        <v>44477</v>
      </c>
      <c r="S701" s="9">
        <f t="shared" ca="1" si="222"/>
        <v>1.8128493387987211E-2</v>
      </c>
      <c r="T701" s="9">
        <f t="shared" ca="1" si="223"/>
        <v>-3.4369424840250136E-2</v>
      </c>
      <c r="U701" s="9">
        <f t="shared" ca="1" si="224"/>
        <v>3.4954963237822802E-2</v>
      </c>
      <c r="AB701" s="33" t="e">
        <f t="shared" ca="1" si="230"/>
        <v>#N/A</v>
      </c>
      <c r="AC701" s="34" t="e">
        <f t="shared" ca="1" si="231"/>
        <v>#N/A</v>
      </c>
      <c r="AD701" s="34" t="e">
        <f t="shared" ca="1" si="232"/>
        <v>#N/A</v>
      </c>
      <c r="AE701" s="33" t="e">
        <f t="shared" ca="1" si="233"/>
        <v>#N/A</v>
      </c>
      <c r="AF701" s="34" t="e">
        <f t="shared" ca="1" si="225"/>
        <v>#N/A</v>
      </c>
      <c r="AG701" s="34" t="e">
        <f t="shared" ca="1" si="226"/>
        <v>#N/A</v>
      </c>
      <c r="AH701" s="34" t="e">
        <f t="shared" ca="1" si="227"/>
        <v>#N/A</v>
      </c>
      <c r="AI701" s="33" t="e">
        <f t="shared" ca="1" si="234"/>
        <v>#N/A</v>
      </c>
      <c r="AJ701" s="34" t="e">
        <f t="shared" ca="1" si="235"/>
        <v>#N/A</v>
      </c>
      <c r="AK701" s="34" t="e">
        <f t="shared" ca="1" si="228"/>
        <v>#N/A</v>
      </c>
      <c r="AL701" s="34" t="e">
        <f t="shared" ca="1" si="229"/>
        <v>#N/A</v>
      </c>
      <c r="AM701" s="33" t="e">
        <f t="shared" ca="1" si="236"/>
        <v>#N/A</v>
      </c>
      <c r="AN701" s="34" t="e">
        <f t="shared" ca="1" si="237"/>
        <v>#N/A</v>
      </c>
    </row>
    <row r="702" spans="1:40" x14ac:dyDescent="0.3">
      <c r="A702" s="2">
        <v>44480</v>
      </c>
      <c r="B702" s="9">
        <v>108.029999</v>
      </c>
      <c r="C702" s="9">
        <v>111.459999</v>
      </c>
      <c r="D702" s="9">
        <v>77.800003000000004</v>
      </c>
      <c r="E702" s="10"/>
      <c r="F702" s="13">
        <v>699</v>
      </c>
      <c r="G702" s="2">
        <v>44480</v>
      </c>
      <c r="H702" s="14">
        <f t="shared" si="218"/>
        <v>-9.8559174350136818E-3</v>
      </c>
      <c r="I702" s="14">
        <f t="shared" si="219"/>
        <v>-1.5931991193581616E-2</v>
      </c>
      <c r="J702" s="14">
        <f t="shared" si="220"/>
        <v>-1.0230204245111337E-2</v>
      </c>
      <c r="K702" s="22">
        <v>699</v>
      </c>
      <c r="L702" s="12"/>
      <c r="Q702" s="15">
        <f t="shared" si="221"/>
        <v>699</v>
      </c>
      <c r="R702" s="2">
        <f t="shared" si="217"/>
        <v>44480</v>
      </c>
      <c r="S702" s="9">
        <f t="shared" ca="1" si="222"/>
        <v>-9.8559174350136818E-3</v>
      </c>
      <c r="T702" s="9">
        <f t="shared" ca="1" si="223"/>
        <v>-1.5931991193581616E-2</v>
      </c>
      <c r="U702" s="9">
        <f t="shared" ca="1" si="224"/>
        <v>-1.0230204245111337E-2</v>
      </c>
      <c r="AB702" s="33" t="e">
        <f t="shared" ca="1" si="230"/>
        <v>#N/A</v>
      </c>
      <c r="AC702" s="34" t="e">
        <f t="shared" ca="1" si="231"/>
        <v>#N/A</v>
      </c>
      <c r="AD702" s="34" t="e">
        <f t="shared" ca="1" si="232"/>
        <v>#N/A</v>
      </c>
      <c r="AE702" s="33" t="e">
        <f t="shared" ca="1" si="233"/>
        <v>#N/A</v>
      </c>
      <c r="AF702" s="34" t="e">
        <f t="shared" ca="1" si="225"/>
        <v>#N/A</v>
      </c>
      <c r="AG702" s="34" t="e">
        <f t="shared" ca="1" si="226"/>
        <v>#N/A</v>
      </c>
      <c r="AH702" s="34" t="e">
        <f t="shared" ca="1" si="227"/>
        <v>#N/A</v>
      </c>
      <c r="AI702" s="33" t="e">
        <f t="shared" ca="1" si="234"/>
        <v>#N/A</v>
      </c>
      <c r="AJ702" s="34" t="e">
        <f t="shared" ca="1" si="235"/>
        <v>#N/A</v>
      </c>
      <c r="AK702" s="34" t="e">
        <f t="shared" ca="1" si="228"/>
        <v>#N/A</v>
      </c>
      <c r="AL702" s="34" t="e">
        <f t="shared" ca="1" si="229"/>
        <v>#N/A</v>
      </c>
      <c r="AM702" s="33" t="e">
        <f t="shared" ca="1" si="236"/>
        <v>#N/A</v>
      </c>
      <c r="AN702" s="34" t="e">
        <f t="shared" ca="1" si="237"/>
        <v>#N/A</v>
      </c>
    </row>
    <row r="703" spans="1:40" x14ac:dyDescent="0.3">
      <c r="A703" s="2">
        <v>44481</v>
      </c>
      <c r="B703" s="9">
        <v>105.980003</v>
      </c>
      <c r="C703" s="9">
        <v>115.05999799999999</v>
      </c>
      <c r="D703" s="9">
        <v>78.919998000000007</v>
      </c>
      <c r="E703" s="10"/>
      <c r="F703" s="13">
        <v>700</v>
      </c>
      <c r="G703" s="2">
        <v>44481</v>
      </c>
      <c r="H703" s="14">
        <f t="shared" si="218"/>
        <v>-1.9158531700362205E-2</v>
      </c>
      <c r="I703" s="14">
        <f t="shared" si="219"/>
        <v>3.1787940883349956E-2</v>
      </c>
      <c r="J703" s="14">
        <f t="shared" si="220"/>
        <v>1.4293186067539116E-2</v>
      </c>
      <c r="K703" s="22">
        <v>700</v>
      </c>
      <c r="L703" s="12"/>
      <c r="Q703" s="15">
        <f t="shared" si="221"/>
        <v>700</v>
      </c>
      <c r="R703" s="2">
        <f t="shared" si="217"/>
        <v>44481</v>
      </c>
      <c r="S703" s="9">
        <f t="shared" ca="1" si="222"/>
        <v>-1.9158531700362205E-2</v>
      </c>
      <c r="T703" s="9">
        <f t="shared" ca="1" si="223"/>
        <v>3.1787940883349956E-2</v>
      </c>
      <c r="U703" s="9">
        <f t="shared" ca="1" si="224"/>
        <v>1.4293186067539116E-2</v>
      </c>
      <c r="AB703" s="33" t="e">
        <f t="shared" ca="1" si="230"/>
        <v>#N/A</v>
      </c>
      <c r="AC703" s="34" t="e">
        <f t="shared" ca="1" si="231"/>
        <v>#N/A</v>
      </c>
      <c r="AD703" s="34" t="e">
        <f t="shared" ca="1" si="232"/>
        <v>#N/A</v>
      </c>
      <c r="AE703" s="33" t="e">
        <f t="shared" ca="1" si="233"/>
        <v>#N/A</v>
      </c>
      <c r="AF703" s="34" t="e">
        <f t="shared" ca="1" si="225"/>
        <v>#N/A</v>
      </c>
      <c r="AG703" s="34" t="e">
        <f t="shared" ca="1" si="226"/>
        <v>#N/A</v>
      </c>
      <c r="AH703" s="34" t="e">
        <f t="shared" ca="1" si="227"/>
        <v>#N/A</v>
      </c>
      <c r="AI703" s="33" t="e">
        <f t="shared" ca="1" si="234"/>
        <v>#N/A</v>
      </c>
      <c r="AJ703" s="34" t="e">
        <f t="shared" ca="1" si="235"/>
        <v>#N/A</v>
      </c>
      <c r="AK703" s="34" t="e">
        <f t="shared" ca="1" si="228"/>
        <v>#N/A</v>
      </c>
      <c r="AL703" s="34" t="e">
        <f t="shared" ca="1" si="229"/>
        <v>#N/A</v>
      </c>
      <c r="AM703" s="33" t="e">
        <f t="shared" ca="1" si="236"/>
        <v>#N/A</v>
      </c>
      <c r="AN703" s="34" t="e">
        <f t="shared" ca="1" si="237"/>
        <v>#N/A</v>
      </c>
    </row>
    <row r="704" spans="1:40" x14ac:dyDescent="0.3">
      <c r="A704" s="2">
        <v>44482</v>
      </c>
      <c r="B704" s="9">
        <v>105.82</v>
      </c>
      <c r="C704" s="9">
        <v>116.230003</v>
      </c>
      <c r="D704" s="9">
        <v>78.139999000000003</v>
      </c>
      <c r="E704" s="10"/>
      <c r="F704" s="13">
        <v>701</v>
      </c>
      <c r="G704" s="2">
        <v>44482</v>
      </c>
      <c r="H704" s="14">
        <f t="shared" si="218"/>
        <v>-1.510887895857781E-3</v>
      </c>
      <c r="I704" s="14">
        <f t="shared" si="219"/>
        <v>1.011729841359659E-2</v>
      </c>
      <c r="J704" s="14">
        <f t="shared" si="220"/>
        <v>-9.9325789829141677E-3</v>
      </c>
      <c r="K704" s="22">
        <v>701</v>
      </c>
      <c r="L704" s="12"/>
      <c r="Q704" s="15">
        <f t="shared" si="221"/>
        <v>701</v>
      </c>
      <c r="R704" s="2">
        <f t="shared" si="217"/>
        <v>44482</v>
      </c>
      <c r="S704" s="9">
        <f t="shared" ca="1" si="222"/>
        <v>-1.510887895857781E-3</v>
      </c>
      <c r="T704" s="9">
        <f t="shared" ca="1" si="223"/>
        <v>1.011729841359659E-2</v>
      </c>
      <c r="U704" s="9">
        <f t="shared" ca="1" si="224"/>
        <v>-9.9325789829141677E-3</v>
      </c>
      <c r="AB704" s="33" t="e">
        <f t="shared" ca="1" si="230"/>
        <v>#N/A</v>
      </c>
      <c r="AC704" s="34" t="e">
        <f t="shared" ca="1" si="231"/>
        <v>#N/A</v>
      </c>
      <c r="AD704" s="34" t="e">
        <f t="shared" ca="1" si="232"/>
        <v>#N/A</v>
      </c>
      <c r="AE704" s="33" t="e">
        <f t="shared" ca="1" si="233"/>
        <v>#N/A</v>
      </c>
      <c r="AF704" s="34" t="e">
        <f t="shared" ca="1" si="225"/>
        <v>#N/A</v>
      </c>
      <c r="AG704" s="34" t="e">
        <f t="shared" ca="1" si="226"/>
        <v>#N/A</v>
      </c>
      <c r="AH704" s="34" t="e">
        <f t="shared" ca="1" si="227"/>
        <v>#N/A</v>
      </c>
      <c r="AI704" s="33" t="e">
        <f t="shared" ca="1" si="234"/>
        <v>#N/A</v>
      </c>
      <c r="AJ704" s="34" t="e">
        <f t="shared" ca="1" si="235"/>
        <v>#N/A</v>
      </c>
      <c r="AK704" s="34" t="e">
        <f t="shared" ca="1" si="228"/>
        <v>#N/A</v>
      </c>
      <c r="AL704" s="34" t="e">
        <f t="shared" ca="1" si="229"/>
        <v>#N/A</v>
      </c>
      <c r="AM704" s="33" t="e">
        <f t="shared" ca="1" si="236"/>
        <v>#N/A</v>
      </c>
      <c r="AN704" s="34" t="e">
        <f t="shared" ca="1" si="237"/>
        <v>#N/A</v>
      </c>
    </row>
    <row r="705" spans="1:40" x14ac:dyDescent="0.3">
      <c r="A705" s="2">
        <v>44483</v>
      </c>
      <c r="B705" s="9">
        <v>108.410004</v>
      </c>
      <c r="C705" s="9">
        <v>117.91999800000001</v>
      </c>
      <c r="D705" s="9">
        <v>79.169998000000007</v>
      </c>
      <c r="E705" s="10"/>
      <c r="F705" s="13">
        <v>702</v>
      </c>
      <c r="G705" s="2">
        <v>44483</v>
      </c>
      <c r="H705" s="14">
        <f t="shared" si="218"/>
        <v>2.4180835094179339E-2</v>
      </c>
      <c r="I705" s="14">
        <f t="shared" si="219"/>
        <v>1.4435399013866633E-2</v>
      </c>
      <c r="J705" s="14">
        <f t="shared" si="220"/>
        <v>1.3095337091866312E-2</v>
      </c>
      <c r="K705" s="22">
        <v>702</v>
      </c>
      <c r="L705" s="12"/>
      <c r="Q705" s="15">
        <f t="shared" si="221"/>
        <v>702</v>
      </c>
      <c r="R705" s="2">
        <f t="shared" si="217"/>
        <v>44483</v>
      </c>
      <c r="S705" s="9">
        <f t="shared" ca="1" si="222"/>
        <v>2.4180835094179339E-2</v>
      </c>
      <c r="T705" s="9">
        <f t="shared" ca="1" si="223"/>
        <v>1.4435399013866633E-2</v>
      </c>
      <c r="U705" s="9">
        <f t="shared" ca="1" si="224"/>
        <v>1.3095337091866312E-2</v>
      </c>
      <c r="AB705" s="33" t="e">
        <f t="shared" ca="1" si="230"/>
        <v>#N/A</v>
      </c>
      <c r="AC705" s="34" t="e">
        <f t="shared" ca="1" si="231"/>
        <v>#N/A</v>
      </c>
      <c r="AD705" s="34" t="e">
        <f t="shared" ca="1" si="232"/>
        <v>#N/A</v>
      </c>
      <c r="AE705" s="33" t="e">
        <f t="shared" ca="1" si="233"/>
        <v>#N/A</v>
      </c>
      <c r="AF705" s="34" t="e">
        <f t="shared" ca="1" si="225"/>
        <v>#N/A</v>
      </c>
      <c r="AG705" s="34" t="e">
        <f t="shared" ca="1" si="226"/>
        <v>#N/A</v>
      </c>
      <c r="AH705" s="34" t="e">
        <f t="shared" ca="1" si="227"/>
        <v>#N/A</v>
      </c>
      <c r="AI705" s="33" t="e">
        <f t="shared" ca="1" si="234"/>
        <v>#N/A</v>
      </c>
      <c r="AJ705" s="34" t="e">
        <f t="shared" ca="1" si="235"/>
        <v>#N/A</v>
      </c>
      <c r="AK705" s="34" t="e">
        <f t="shared" ca="1" si="228"/>
        <v>#N/A</v>
      </c>
      <c r="AL705" s="34" t="e">
        <f t="shared" ca="1" si="229"/>
        <v>#N/A</v>
      </c>
      <c r="AM705" s="33" t="e">
        <f t="shared" ca="1" si="236"/>
        <v>#N/A</v>
      </c>
      <c r="AN705" s="34" t="e">
        <f t="shared" ca="1" si="237"/>
        <v>#N/A</v>
      </c>
    </row>
    <row r="706" spans="1:40" x14ac:dyDescent="0.3">
      <c r="A706" s="2">
        <v>44484</v>
      </c>
      <c r="B706" s="9">
        <v>108.949997</v>
      </c>
      <c r="C706" s="9">
        <v>118.790001</v>
      </c>
      <c r="D706" s="9">
        <v>78.660004000000001</v>
      </c>
      <c r="E706" s="10"/>
      <c r="F706" s="13">
        <v>703</v>
      </c>
      <c r="G706" s="2">
        <v>44484</v>
      </c>
      <c r="H706" s="14">
        <f t="shared" si="218"/>
        <v>4.9686612848968241E-3</v>
      </c>
      <c r="I706" s="14">
        <f t="shared" si="219"/>
        <v>7.3508252392902014E-3</v>
      </c>
      <c r="J706" s="14">
        <f t="shared" si="220"/>
        <v>-6.4625960658185868E-3</v>
      </c>
      <c r="K706" s="22">
        <v>703</v>
      </c>
      <c r="L706" s="12"/>
      <c r="Q706" s="15">
        <f t="shared" si="221"/>
        <v>703</v>
      </c>
      <c r="R706" s="2">
        <f t="shared" si="217"/>
        <v>44484</v>
      </c>
      <c r="S706" s="9">
        <f t="shared" ca="1" si="222"/>
        <v>4.9686612848968241E-3</v>
      </c>
      <c r="T706" s="9">
        <f t="shared" ca="1" si="223"/>
        <v>7.3508252392902014E-3</v>
      </c>
      <c r="U706" s="9">
        <f t="shared" ca="1" si="224"/>
        <v>-6.4625960658185868E-3</v>
      </c>
      <c r="AB706" s="33" t="e">
        <f t="shared" ca="1" si="230"/>
        <v>#N/A</v>
      </c>
      <c r="AC706" s="34" t="e">
        <f t="shared" ca="1" si="231"/>
        <v>#N/A</v>
      </c>
      <c r="AD706" s="34" t="e">
        <f t="shared" ca="1" si="232"/>
        <v>#N/A</v>
      </c>
      <c r="AE706" s="33" t="e">
        <f t="shared" ca="1" si="233"/>
        <v>#N/A</v>
      </c>
      <c r="AF706" s="34" t="e">
        <f t="shared" ca="1" si="225"/>
        <v>#N/A</v>
      </c>
      <c r="AG706" s="34" t="e">
        <f t="shared" ca="1" si="226"/>
        <v>#N/A</v>
      </c>
      <c r="AH706" s="34" t="e">
        <f t="shared" ca="1" si="227"/>
        <v>#N/A</v>
      </c>
      <c r="AI706" s="33" t="e">
        <f t="shared" ca="1" si="234"/>
        <v>#N/A</v>
      </c>
      <c r="AJ706" s="34" t="e">
        <f t="shared" ca="1" si="235"/>
        <v>#N/A</v>
      </c>
      <c r="AK706" s="34" t="e">
        <f t="shared" ca="1" si="228"/>
        <v>#N/A</v>
      </c>
      <c r="AL706" s="34" t="e">
        <f t="shared" ca="1" si="229"/>
        <v>#N/A</v>
      </c>
      <c r="AM706" s="33" t="e">
        <f t="shared" ca="1" si="236"/>
        <v>#N/A</v>
      </c>
      <c r="AN706" s="34" t="e">
        <f t="shared" ca="1" si="237"/>
        <v>#N/A</v>
      </c>
    </row>
    <row r="707" spans="1:40" x14ac:dyDescent="0.3">
      <c r="A707" s="2">
        <v>44487</v>
      </c>
      <c r="B707" s="9">
        <v>110.370003</v>
      </c>
      <c r="C707" s="9">
        <v>119.32</v>
      </c>
      <c r="D707" s="9">
        <v>78.129997000000003</v>
      </c>
      <c r="E707" s="10"/>
      <c r="F707" s="13">
        <v>704</v>
      </c>
      <c r="G707" s="2">
        <v>44487</v>
      </c>
      <c r="H707" s="14">
        <f t="shared" si="218"/>
        <v>1.294935111102994E-2</v>
      </c>
      <c r="I707" s="14">
        <f t="shared" si="219"/>
        <v>4.4517229268823547E-3</v>
      </c>
      <c r="J707" s="14">
        <f t="shared" si="220"/>
        <v>-6.7607502443195813E-3</v>
      </c>
      <c r="K707" s="22">
        <v>704</v>
      </c>
      <c r="L707" s="12"/>
      <c r="Q707" s="15">
        <f t="shared" si="221"/>
        <v>704</v>
      </c>
      <c r="R707" s="2">
        <f t="shared" si="217"/>
        <v>44487</v>
      </c>
      <c r="S707" s="9">
        <f t="shared" ca="1" si="222"/>
        <v>1.294935111102994E-2</v>
      </c>
      <c r="T707" s="9">
        <f t="shared" ca="1" si="223"/>
        <v>4.4517229268823547E-3</v>
      </c>
      <c r="U707" s="9">
        <f t="shared" ca="1" si="224"/>
        <v>-6.7607502443195813E-3</v>
      </c>
      <c r="AB707" s="33" t="e">
        <f t="shared" ca="1" si="230"/>
        <v>#N/A</v>
      </c>
      <c r="AC707" s="34" t="e">
        <f t="shared" ca="1" si="231"/>
        <v>#N/A</v>
      </c>
      <c r="AD707" s="34" t="e">
        <f t="shared" ca="1" si="232"/>
        <v>#N/A</v>
      </c>
      <c r="AE707" s="33" t="e">
        <f t="shared" ca="1" si="233"/>
        <v>#N/A</v>
      </c>
      <c r="AF707" s="34" t="e">
        <f t="shared" ca="1" si="225"/>
        <v>#N/A</v>
      </c>
      <c r="AG707" s="34" t="e">
        <f t="shared" ca="1" si="226"/>
        <v>#N/A</v>
      </c>
      <c r="AH707" s="34" t="e">
        <f t="shared" ca="1" si="227"/>
        <v>#N/A</v>
      </c>
      <c r="AI707" s="33" t="e">
        <f t="shared" ca="1" si="234"/>
        <v>#N/A</v>
      </c>
      <c r="AJ707" s="34" t="e">
        <f t="shared" ca="1" si="235"/>
        <v>#N/A</v>
      </c>
      <c r="AK707" s="34" t="e">
        <f t="shared" ca="1" si="228"/>
        <v>#N/A</v>
      </c>
      <c r="AL707" s="34" t="e">
        <f t="shared" ca="1" si="229"/>
        <v>#N/A</v>
      </c>
      <c r="AM707" s="33" t="e">
        <f t="shared" ca="1" si="236"/>
        <v>#N/A</v>
      </c>
      <c r="AN707" s="34" t="e">
        <f t="shared" ca="1" si="237"/>
        <v>#N/A</v>
      </c>
    </row>
    <row r="708" spans="1:40" x14ac:dyDescent="0.3">
      <c r="A708" s="2">
        <v>44488</v>
      </c>
      <c r="B708" s="9">
        <v>109.220001</v>
      </c>
      <c r="C708" s="9">
        <v>118.599998</v>
      </c>
      <c r="D708" s="9">
        <v>80.150002000000001</v>
      </c>
      <c r="E708" s="10"/>
      <c r="F708" s="13">
        <v>705</v>
      </c>
      <c r="G708" s="2">
        <v>44488</v>
      </c>
      <c r="H708" s="14">
        <f t="shared" si="218"/>
        <v>-1.0474179086251697E-2</v>
      </c>
      <c r="I708" s="14">
        <f t="shared" si="219"/>
        <v>-6.0524899463291482E-3</v>
      </c>
      <c r="J708" s="14">
        <f t="shared" si="220"/>
        <v>2.5525836397664602E-2</v>
      </c>
      <c r="K708" s="22">
        <v>705</v>
      </c>
      <c r="L708" s="12"/>
      <c r="Q708" s="15">
        <f t="shared" si="221"/>
        <v>705</v>
      </c>
      <c r="R708" s="2">
        <f t="shared" ref="R708:R771" si="238">IF(Q708="","",VLOOKUP(Q708,F708:J1965,2))</f>
        <v>44488</v>
      </c>
      <c r="S708" s="9">
        <f t="shared" ca="1" si="222"/>
        <v>-1.0474179086251697E-2</v>
      </c>
      <c r="T708" s="9">
        <f t="shared" ca="1" si="223"/>
        <v>-6.0524899463291482E-3</v>
      </c>
      <c r="U708" s="9">
        <f t="shared" ca="1" si="224"/>
        <v>2.5525836397664602E-2</v>
      </c>
      <c r="AB708" s="33" t="e">
        <f t="shared" ca="1" si="230"/>
        <v>#N/A</v>
      </c>
      <c r="AC708" s="34" t="e">
        <f t="shared" ca="1" si="231"/>
        <v>#N/A</v>
      </c>
      <c r="AD708" s="34" t="e">
        <f t="shared" ca="1" si="232"/>
        <v>#N/A</v>
      </c>
      <c r="AE708" s="33" t="e">
        <f t="shared" ca="1" si="233"/>
        <v>#N/A</v>
      </c>
      <c r="AF708" s="34" t="e">
        <f t="shared" ca="1" si="225"/>
        <v>#N/A</v>
      </c>
      <c r="AG708" s="34" t="e">
        <f t="shared" ca="1" si="226"/>
        <v>#N/A</v>
      </c>
      <c r="AH708" s="34" t="e">
        <f t="shared" ca="1" si="227"/>
        <v>#N/A</v>
      </c>
      <c r="AI708" s="33" t="e">
        <f t="shared" ca="1" si="234"/>
        <v>#N/A</v>
      </c>
      <c r="AJ708" s="34" t="e">
        <f t="shared" ca="1" si="235"/>
        <v>#N/A</v>
      </c>
      <c r="AK708" s="34" t="e">
        <f t="shared" ca="1" si="228"/>
        <v>#N/A</v>
      </c>
      <c r="AL708" s="34" t="e">
        <f t="shared" ca="1" si="229"/>
        <v>#N/A</v>
      </c>
      <c r="AM708" s="33" t="e">
        <f t="shared" ca="1" si="236"/>
        <v>#N/A</v>
      </c>
      <c r="AN708" s="34" t="e">
        <f t="shared" ca="1" si="237"/>
        <v>#N/A</v>
      </c>
    </row>
    <row r="709" spans="1:40" x14ac:dyDescent="0.3">
      <c r="A709" s="2">
        <v>44489</v>
      </c>
      <c r="B709" s="9">
        <v>109.25</v>
      </c>
      <c r="C709" s="9">
        <v>118.68</v>
      </c>
      <c r="D709" s="9">
        <v>81.040001000000004</v>
      </c>
      <c r="E709" s="10"/>
      <c r="F709" s="13">
        <v>706</v>
      </c>
      <c r="G709" s="2">
        <v>44489</v>
      </c>
      <c r="H709" s="14">
        <f t="shared" ref="H709:H772" si="239">LN(B709/B708)</f>
        <v>2.7462809585969791E-4</v>
      </c>
      <c r="I709" s="14">
        <f t="shared" ref="I709:I772" si="240">LN(C709/C708)</f>
        <v>6.7432572240250623E-4</v>
      </c>
      <c r="J709" s="14">
        <f t="shared" ref="J709:J772" si="241">LN(D709/D708)</f>
        <v>1.1042968271238969E-2</v>
      </c>
      <c r="K709" s="22">
        <v>706</v>
      </c>
      <c r="L709" s="12"/>
      <c r="Q709" s="15">
        <f t="shared" ref="Q709:Q772" si="242">IF(Q708="","",IF(Q708+1&lt;=$M$6,Q708+1,""))</f>
        <v>706</v>
      </c>
      <c r="R709" s="2">
        <f t="shared" si="238"/>
        <v>44489</v>
      </c>
      <c r="S709" s="9">
        <f t="shared" ref="S709:S772" ca="1" si="243">IF(Q709="","",OFFSET(H$3,$Q709,0))</f>
        <v>2.7462809585969791E-4</v>
      </c>
      <c r="T709" s="9">
        <f t="shared" ref="T709:T772" ca="1" si="244">IF(R709="","",OFFSET(I$3,$Q709,0))</f>
        <v>6.7432572240250623E-4</v>
      </c>
      <c r="U709" s="9">
        <f t="shared" ref="U709:U772" ca="1" si="245">IF(S709="","",OFFSET(J$3,$Q709,0))</f>
        <v>1.1042968271238969E-2</v>
      </c>
      <c r="AB709" s="33" t="e">
        <f t="shared" ca="1" si="230"/>
        <v>#N/A</v>
      </c>
      <c r="AC709" s="34" t="e">
        <f t="shared" ca="1" si="231"/>
        <v>#N/A</v>
      </c>
      <c r="AD709" s="34" t="e">
        <f t="shared" ca="1" si="232"/>
        <v>#N/A</v>
      </c>
      <c r="AE709" s="33" t="e">
        <f t="shared" ca="1" si="233"/>
        <v>#N/A</v>
      </c>
      <c r="AF709" s="34" t="e">
        <f t="shared" ref="AF709:AF772" ca="1" si="246">IF(AB709&lt;=$X$6,(AE709/$X$5)/$X$7,"")</f>
        <v>#N/A</v>
      </c>
      <c r="AG709" s="34" t="e">
        <f t="shared" ref="AG709:AG772" ca="1" si="247">IF(AB709&lt;=$Y$6,AG708+$Y$7,"")</f>
        <v>#N/A</v>
      </c>
      <c r="AH709" s="34" t="e">
        <f t="shared" ref="AH709:AH772" ca="1" si="248">IF(AB709&lt;=$Y$6,AG709-$Y$7/2,"")</f>
        <v>#N/A</v>
      </c>
      <c r="AI709" s="33" t="e">
        <f t="shared" ca="1" si="234"/>
        <v>#N/A</v>
      </c>
      <c r="AJ709" s="34" t="e">
        <f t="shared" ca="1" si="235"/>
        <v>#N/A</v>
      </c>
      <c r="AK709" s="34" t="e">
        <f t="shared" ref="AK709:AK772" ca="1" si="249">IF(AB709&lt;=$Z$6,AK708+$Z$7,"")</f>
        <v>#N/A</v>
      </c>
      <c r="AL709" s="34" t="e">
        <f t="shared" ref="AL709:AL772" ca="1" si="250">IF(AB709&lt;=$Z$6,AK709-$Z$7/2,"")</f>
        <v>#N/A</v>
      </c>
      <c r="AM709" s="33" t="e">
        <f t="shared" ca="1" si="236"/>
        <v>#N/A</v>
      </c>
      <c r="AN709" s="34" t="e">
        <f t="shared" ca="1" si="237"/>
        <v>#N/A</v>
      </c>
    </row>
    <row r="710" spans="1:40" x14ac:dyDescent="0.3">
      <c r="A710" s="2">
        <v>44490</v>
      </c>
      <c r="B710" s="9">
        <v>110.660004</v>
      </c>
      <c r="C710" s="9">
        <v>121.489998</v>
      </c>
      <c r="D710" s="9">
        <v>82</v>
      </c>
      <c r="E710" s="10"/>
      <c r="F710" s="13">
        <v>707</v>
      </c>
      <c r="G710" s="2">
        <v>44490</v>
      </c>
      <c r="H710" s="14">
        <f t="shared" si="239"/>
        <v>1.2823639641019357E-2</v>
      </c>
      <c r="I710" s="14">
        <f t="shared" si="240"/>
        <v>2.340114298176918E-2</v>
      </c>
      <c r="J710" s="14">
        <f t="shared" si="241"/>
        <v>1.1776374984239812E-2</v>
      </c>
      <c r="K710" s="22">
        <v>707</v>
      </c>
      <c r="L710" s="12"/>
      <c r="Q710" s="15">
        <f t="shared" si="242"/>
        <v>707</v>
      </c>
      <c r="R710" s="2">
        <f t="shared" si="238"/>
        <v>44490</v>
      </c>
      <c r="S710" s="9">
        <f t="shared" ca="1" si="243"/>
        <v>1.2823639641019357E-2</v>
      </c>
      <c r="T710" s="9">
        <f t="shared" ca="1" si="244"/>
        <v>2.340114298176918E-2</v>
      </c>
      <c r="U710" s="9">
        <f t="shared" ca="1" si="245"/>
        <v>1.1776374984239812E-2</v>
      </c>
      <c r="AB710" s="33" t="e">
        <f t="shared" ref="AB710:AB773" ca="1" si="251">IF(AB709&lt;$X$6,AB709+1,NA())</f>
        <v>#N/A</v>
      </c>
      <c r="AC710" s="34" t="e">
        <f t="shared" ref="AC710:AC773" ca="1" si="252">IF(AB710&lt;=$X$6,AC709+$X$7,"")</f>
        <v>#N/A</v>
      </c>
      <c r="AD710" s="34" t="e">
        <f t="shared" ref="AD710:AD773" ca="1" si="253">IF(AB710&lt;=$X$6,AC710-$X$7/2,"")</f>
        <v>#N/A</v>
      </c>
      <c r="AE710" s="33" t="e">
        <f t="shared" ref="AE710:AE773" ca="1" si="254">IF(AB710&lt;=$X$6,COUNTIFS($S$3:$S$1260,"&gt;"&amp;AC709,$S$3:$S$1260,"&lt;="&amp;AC710),"")</f>
        <v>#N/A</v>
      </c>
      <c r="AF710" s="34" t="e">
        <f t="shared" ca="1" si="246"/>
        <v>#N/A</v>
      </c>
      <c r="AG710" s="34" t="e">
        <f t="shared" ca="1" si="247"/>
        <v>#N/A</v>
      </c>
      <c r="AH710" s="34" t="e">
        <f t="shared" ca="1" si="248"/>
        <v>#N/A</v>
      </c>
      <c r="AI710" s="33" t="e">
        <f t="shared" ref="AI710:AI773" ca="1" si="255">IF(AB710&lt;=$Y$6,COUNTIFS($T$3:$T$1260,"&gt;"&amp;AG709,$T$3:$T$1260,"&lt;="&amp;AG710),"")</f>
        <v>#N/A</v>
      </c>
      <c r="AJ710" s="34" t="e">
        <f t="shared" ref="AJ710:AJ773" ca="1" si="256">IF(AB710&lt;=$Y$6,(AI710/$Y$5)/$Y$7,"")</f>
        <v>#N/A</v>
      </c>
      <c r="AK710" s="34" t="e">
        <f t="shared" ca="1" si="249"/>
        <v>#N/A</v>
      </c>
      <c r="AL710" s="34" t="e">
        <f t="shared" ca="1" si="250"/>
        <v>#N/A</v>
      </c>
      <c r="AM710" s="33" t="e">
        <f t="shared" ref="AM710:AM773" ca="1" si="257">IF(AB710&lt;=$Z$6,COUNTIFS($U$3:$U$1260,"&gt;"&amp;AK709,$U$3:$U$1260,"&lt;="&amp;AK710),"")</f>
        <v>#N/A</v>
      </c>
      <c r="AN710" s="34" t="e">
        <f t="shared" ref="AN710:AN773" ca="1" si="258">IF(AB710&lt;=$Z$6,(AM710/$Z$5)/$Z$7,"")</f>
        <v>#N/A</v>
      </c>
    </row>
    <row r="711" spans="1:40" x14ac:dyDescent="0.3">
      <c r="A711" s="2">
        <v>44491</v>
      </c>
      <c r="B711" s="9">
        <v>112.629997</v>
      </c>
      <c r="C711" s="9">
        <v>123.129997</v>
      </c>
      <c r="D711" s="9">
        <v>80.989998</v>
      </c>
      <c r="E711" s="10"/>
      <c r="F711" s="13">
        <v>708</v>
      </c>
      <c r="G711" s="2">
        <v>44491</v>
      </c>
      <c r="H711" s="14">
        <f t="shared" si="239"/>
        <v>1.7645609806998447E-2</v>
      </c>
      <c r="I711" s="14">
        <f t="shared" si="240"/>
        <v>1.3408745035896636E-2</v>
      </c>
      <c r="J711" s="14">
        <f t="shared" si="241"/>
        <v>-1.2393581697761669E-2</v>
      </c>
      <c r="K711" s="22">
        <v>708</v>
      </c>
      <c r="L711" s="12"/>
      <c r="Q711" s="15">
        <f t="shared" si="242"/>
        <v>708</v>
      </c>
      <c r="R711" s="2">
        <f t="shared" si="238"/>
        <v>44491</v>
      </c>
      <c r="S711" s="9">
        <f t="shared" ca="1" si="243"/>
        <v>1.7645609806998447E-2</v>
      </c>
      <c r="T711" s="9">
        <f t="shared" ca="1" si="244"/>
        <v>1.3408745035896636E-2</v>
      </c>
      <c r="U711" s="9">
        <f t="shared" ca="1" si="245"/>
        <v>-1.2393581697761669E-2</v>
      </c>
      <c r="AB711" s="33" t="e">
        <f t="shared" ca="1" si="251"/>
        <v>#N/A</v>
      </c>
      <c r="AC711" s="34" t="e">
        <f t="shared" ca="1" si="252"/>
        <v>#N/A</v>
      </c>
      <c r="AD711" s="34" t="e">
        <f t="shared" ca="1" si="253"/>
        <v>#N/A</v>
      </c>
      <c r="AE711" s="33" t="e">
        <f t="shared" ca="1" si="254"/>
        <v>#N/A</v>
      </c>
      <c r="AF711" s="34" t="e">
        <f t="shared" ca="1" si="246"/>
        <v>#N/A</v>
      </c>
      <c r="AG711" s="34" t="e">
        <f t="shared" ca="1" si="247"/>
        <v>#N/A</v>
      </c>
      <c r="AH711" s="34" t="e">
        <f t="shared" ca="1" si="248"/>
        <v>#N/A</v>
      </c>
      <c r="AI711" s="33" t="e">
        <f t="shared" ca="1" si="255"/>
        <v>#N/A</v>
      </c>
      <c r="AJ711" s="34" t="e">
        <f t="shared" ca="1" si="256"/>
        <v>#N/A</v>
      </c>
      <c r="AK711" s="34" t="e">
        <f t="shared" ca="1" si="249"/>
        <v>#N/A</v>
      </c>
      <c r="AL711" s="34" t="e">
        <f t="shared" ca="1" si="250"/>
        <v>#N/A</v>
      </c>
      <c r="AM711" s="33" t="e">
        <f t="shared" ca="1" si="257"/>
        <v>#N/A</v>
      </c>
      <c r="AN711" s="34" t="e">
        <f t="shared" ca="1" si="258"/>
        <v>#N/A</v>
      </c>
    </row>
    <row r="712" spans="1:40" x14ac:dyDescent="0.3">
      <c r="A712" s="2">
        <v>44494</v>
      </c>
      <c r="B712" s="9">
        <v>112.529999</v>
      </c>
      <c r="C712" s="9">
        <v>124.07</v>
      </c>
      <c r="D712" s="9">
        <v>82.690002000000007</v>
      </c>
      <c r="E712" s="10"/>
      <c r="F712" s="13">
        <v>709</v>
      </c>
      <c r="G712" s="2">
        <v>44494</v>
      </c>
      <c r="H712" s="14">
        <f t="shared" si="239"/>
        <v>-8.8823954833089586E-4</v>
      </c>
      <c r="I712" s="14">
        <f t="shared" si="240"/>
        <v>7.6052390144929734E-3</v>
      </c>
      <c r="J712" s="14">
        <f t="shared" si="241"/>
        <v>2.0773034354305213E-2</v>
      </c>
      <c r="K712" s="22">
        <v>709</v>
      </c>
      <c r="L712" s="12"/>
      <c r="Q712" s="15">
        <f t="shared" si="242"/>
        <v>709</v>
      </c>
      <c r="R712" s="2">
        <f t="shared" si="238"/>
        <v>44494</v>
      </c>
      <c r="S712" s="9">
        <f t="shared" ca="1" si="243"/>
        <v>-8.8823954833089586E-4</v>
      </c>
      <c r="T712" s="9">
        <f t="shared" ca="1" si="244"/>
        <v>7.6052390144929734E-3</v>
      </c>
      <c r="U712" s="9">
        <f t="shared" ca="1" si="245"/>
        <v>2.0773034354305213E-2</v>
      </c>
      <c r="AB712" s="33" t="e">
        <f t="shared" ca="1" si="251"/>
        <v>#N/A</v>
      </c>
      <c r="AC712" s="34" t="e">
        <f t="shared" ca="1" si="252"/>
        <v>#N/A</v>
      </c>
      <c r="AD712" s="34" t="e">
        <f t="shared" ca="1" si="253"/>
        <v>#N/A</v>
      </c>
      <c r="AE712" s="33" t="e">
        <f t="shared" ca="1" si="254"/>
        <v>#N/A</v>
      </c>
      <c r="AF712" s="34" t="e">
        <f t="shared" ca="1" si="246"/>
        <v>#N/A</v>
      </c>
      <c r="AG712" s="34" t="e">
        <f t="shared" ca="1" si="247"/>
        <v>#N/A</v>
      </c>
      <c r="AH712" s="34" t="e">
        <f t="shared" ca="1" si="248"/>
        <v>#N/A</v>
      </c>
      <c r="AI712" s="33" t="e">
        <f t="shared" ca="1" si="255"/>
        <v>#N/A</v>
      </c>
      <c r="AJ712" s="34" t="e">
        <f t="shared" ca="1" si="256"/>
        <v>#N/A</v>
      </c>
      <c r="AK712" s="34" t="e">
        <f t="shared" ca="1" si="249"/>
        <v>#N/A</v>
      </c>
      <c r="AL712" s="34" t="e">
        <f t="shared" ca="1" si="250"/>
        <v>#N/A</v>
      </c>
      <c r="AM712" s="33" t="e">
        <f t="shared" ca="1" si="257"/>
        <v>#N/A</v>
      </c>
      <c r="AN712" s="34" t="e">
        <f t="shared" ca="1" si="258"/>
        <v>#N/A</v>
      </c>
    </row>
    <row r="713" spans="1:40" x14ac:dyDescent="0.3">
      <c r="A713" s="2">
        <v>44495</v>
      </c>
      <c r="B713" s="9">
        <v>111.800003</v>
      </c>
      <c r="C713" s="9">
        <v>124.389999</v>
      </c>
      <c r="D713" s="9">
        <v>81.879997000000003</v>
      </c>
      <c r="E713" s="10"/>
      <c r="F713" s="13">
        <v>710</v>
      </c>
      <c r="G713" s="2">
        <v>44495</v>
      </c>
      <c r="H713" s="14">
        <f t="shared" si="239"/>
        <v>-6.5082563207565156E-3</v>
      </c>
      <c r="I713" s="14">
        <f t="shared" si="240"/>
        <v>2.575860727861663E-3</v>
      </c>
      <c r="J713" s="14">
        <f t="shared" si="241"/>
        <v>-9.8439757666923429E-3</v>
      </c>
      <c r="K713" s="22">
        <v>710</v>
      </c>
      <c r="L713" s="12"/>
      <c r="Q713" s="15">
        <f t="shared" si="242"/>
        <v>710</v>
      </c>
      <c r="R713" s="2">
        <f t="shared" si="238"/>
        <v>44495</v>
      </c>
      <c r="S713" s="9">
        <f t="shared" ca="1" si="243"/>
        <v>-6.5082563207565156E-3</v>
      </c>
      <c r="T713" s="9">
        <f t="shared" ca="1" si="244"/>
        <v>2.575860727861663E-3</v>
      </c>
      <c r="U713" s="9">
        <f t="shared" ca="1" si="245"/>
        <v>-9.8439757666923429E-3</v>
      </c>
      <c r="AB713" s="33" t="e">
        <f t="shared" ca="1" si="251"/>
        <v>#N/A</v>
      </c>
      <c r="AC713" s="34" t="e">
        <f t="shared" ca="1" si="252"/>
        <v>#N/A</v>
      </c>
      <c r="AD713" s="34" t="e">
        <f t="shared" ca="1" si="253"/>
        <v>#N/A</v>
      </c>
      <c r="AE713" s="33" t="e">
        <f t="shared" ca="1" si="254"/>
        <v>#N/A</v>
      </c>
      <c r="AF713" s="34" t="e">
        <f t="shared" ca="1" si="246"/>
        <v>#N/A</v>
      </c>
      <c r="AG713" s="34" t="e">
        <f t="shared" ca="1" si="247"/>
        <v>#N/A</v>
      </c>
      <c r="AH713" s="34" t="e">
        <f t="shared" ca="1" si="248"/>
        <v>#N/A</v>
      </c>
      <c r="AI713" s="33" t="e">
        <f t="shared" ca="1" si="255"/>
        <v>#N/A</v>
      </c>
      <c r="AJ713" s="34" t="e">
        <f t="shared" ca="1" si="256"/>
        <v>#N/A</v>
      </c>
      <c r="AK713" s="34" t="e">
        <f t="shared" ca="1" si="249"/>
        <v>#N/A</v>
      </c>
      <c r="AL713" s="34" t="e">
        <f t="shared" ca="1" si="250"/>
        <v>#N/A</v>
      </c>
      <c r="AM713" s="33" t="e">
        <f t="shared" ca="1" si="257"/>
        <v>#N/A</v>
      </c>
      <c r="AN713" s="34" t="e">
        <f t="shared" ca="1" si="258"/>
        <v>#N/A</v>
      </c>
    </row>
    <row r="714" spans="1:40" x14ac:dyDescent="0.3">
      <c r="A714" s="2">
        <v>44496</v>
      </c>
      <c r="B714" s="9">
        <v>109.93</v>
      </c>
      <c r="C714" s="9">
        <v>121.82</v>
      </c>
      <c r="D714" s="9">
        <v>78.669998000000007</v>
      </c>
      <c r="E714" s="10"/>
      <c r="F714" s="13">
        <v>711</v>
      </c>
      <c r="G714" s="2">
        <v>44496</v>
      </c>
      <c r="H714" s="14">
        <f t="shared" si="239"/>
        <v>-1.6867787963857451E-2</v>
      </c>
      <c r="I714" s="14">
        <f t="shared" si="240"/>
        <v>-2.0877237774303253E-2</v>
      </c>
      <c r="J714" s="14">
        <f t="shared" si="241"/>
        <v>-3.9992861235604991E-2</v>
      </c>
      <c r="K714" s="22">
        <v>711</v>
      </c>
      <c r="L714" s="12"/>
      <c r="Q714" s="15">
        <f t="shared" si="242"/>
        <v>711</v>
      </c>
      <c r="R714" s="2">
        <f t="shared" si="238"/>
        <v>44496</v>
      </c>
      <c r="S714" s="9">
        <f t="shared" ca="1" si="243"/>
        <v>-1.6867787963857451E-2</v>
      </c>
      <c r="T714" s="9">
        <f t="shared" ca="1" si="244"/>
        <v>-2.0877237774303253E-2</v>
      </c>
      <c r="U714" s="9">
        <f t="shared" ca="1" si="245"/>
        <v>-3.9992861235604991E-2</v>
      </c>
      <c r="AB714" s="33" t="e">
        <f t="shared" ca="1" si="251"/>
        <v>#N/A</v>
      </c>
      <c r="AC714" s="34" t="e">
        <f t="shared" ca="1" si="252"/>
        <v>#N/A</v>
      </c>
      <c r="AD714" s="34" t="e">
        <f t="shared" ca="1" si="253"/>
        <v>#N/A</v>
      </c>
      <c r="AE714" s="33" t="e">
        <f t="shared" ca="1" si="254"/>
        <v>#N/A</v>
      </c>
      <c r="AF714" s="34" t="e">
        <f t="shared" ca="1" si="246"/>
        <v>#N/A</v>
      </c>
      <c r="AG714" s="34" t="e">
        <f t="shared" ca="1" si="247"/>
        <v>#N/A</v>
      </c>
      <c r="AH714" s="34" t="e">
        <f t="shared" ca="1" si="248"/>
        <v>#N/A</v>
      </c>
      <c r="AI714" s="33" t="e">
        <f t="shared" ca="1" si="255"/>
        <v>#N/A</v>
      </c>
      <c r="AJ714" s="34" t="e">
        <f t="shared" ca="1" si="256"/>
        <v>#N/A</v>
      </c>
      <c r="AK714" s="34" t="e">
        <f t="shared" ca="1" si="249"/>
        <v>#N/A</v>
      </c>
      <c r="AL714" s="34" t="e">
        <f t="shared" ca="1" si="250"/>
        <v>#N/A</v>
      </c>
      <c r="AM714" s="33" t="e">
        <f t="shared" ca="1" si="257"/>
        <v>#N/A</v>
      </c>
      <c r="AN714" s="34" t="e">
        <f t="shared" ca="1" si="258"/>
        <v>#N/A</v>
      </c>
    </row>
    <row r="715" spans="1:40" x14ac:dyDescent="0.3">
      <c r="A715" s="2">
        <v>44497</v>
      </c>
      <c r="B715" s="9">
        <v>112.379997</v>
      </c>
      <c r="C715" s="9">
        <v>124.75</v>
      </c>
      <c r="D715" s="9">
        <v>78.459998999999996</v>
      </c>
      <c r="E715" s="10"/>
      <c r="F715" s="13">
        <v>712</v>
      </c>
      <c r="G715" s="2">
        <v>44497</v>
      </c>
      <c r="H715" s="14">
        <f t="shared" si="239"/>
        <v>2.2042159398137803E-2</v>
      </c>
      <c r="I715" s="14">
        <f t="shared" si="240"/>
        <v>2.3767189223289461E-2</v>
      </c>
      <c r="J715" s="14">
        <f t="shared" si="241"/>
        <v>-2.6729348824408696E-3</v>
      </c>
      <c r="K715" s="22">
        <v>712</v>
      </c>
      <c r="L715" s="12"/>
      <c r="Q715" s="15">
        <f t="shared" si="242"/>
        <v>712</v>
      </c>
      <c r="R715" s="2">
        <f t="shared" si="238"/>
        <v>44497</v>
      </c>
      <c r="S715" s="9">
        <f t="shared" ca="1" si="243"/>
        <v>2.2042159398137803E-2</v>
      </c>
      <c r="T715" s="9">
        <f t="shared" ca="1" si="244"/>
        <v>2.3767189223289461E-2</v>
      </c>
      <c r="U715" s="9">
        <f t="shared" ca="1" si="245"/>
        <v>-2.6729348824408696E-3</v>
      </c>
      <c r="AB715" s="33" t="e">
        <f t="shared" ca="1" si="251"/>
        <v>#N/A</v>
      </c>
      <c r="AC715" s="34" t="e">
        <f t="shared" ca="1" si="252"/>
        <v>#N/A</v>
      </c>
      <c r="AD715" s="34" t="e">
        <f t="shared" ca="1" si="253"/>
        <v>#N/A</v>
      </c>
      <c r="AE715" s="33" t="e">
        <f t="shared" ca="1" si="254"/>
        <v>#N/A</v>
      </c>
      <c r="AF715" s="34" t="e">
        <f t="shared" ca="1" si="246"/>
        <v>#N/A</v>
      </c>
      <c r="AG715" s="34" t="e">
        <f t="shared" ca="1" si="247"/>
        <v>#N/A</v>
      </c>
      <c r="AH715" s="34" t="e">
        <f t="shared" ca="1" si="248"/>
        <v>#N/A</v>
      </c>
      <c r="AI715" s="33" t="e">
        <f t="shared" ca="1" si="255"/>
        <v>#N/A</v>
      </c>
      <c r="AJ715" s="34" t="e">
        <f t="shared" ca="1" si="256"/>
        <v>#N/A</v>
      </c>
      <c r="AK715" s="34" t="e">
        <f t="shared" ca="1" si="249"/>
        <v>#N/A</v>
      </c>
      <c r="AL715" s="34" t="e">
        <f t="shared" ca="1" si="250"/>
        <v>#N/A</v>
      </c>
      <c r="AM715" s="33" t="e">
        <f t="shared" ca="1" si="257"/>
        <v>#N/A</v>
      </c>
      <c r="AN715" s="34" t="e">
        <f t="shared" ca="1" si="258"/>
        <v>#N/A</v>
      </c>
    </row>
    <row r="716" spans="1:40" x14ac:dyDescent="0.3">
      <c r="A716" s="2">
        <v>44498</v>
      </c>
      <c r="B716" s="9">
        <v>113.07</v>
      </c>
      <c r="C716" s="9">
        <v>127.16999800000001</v>
      </c>
      <c r="D716" s="9">
        <v>77.330001999999993</v>
      </c>
      <c r="E716" s="10"/>
      <c r="F716" s="13">
        <v>713</v>
      </c>
      <c r="G716" s="2">
        <v>44498</v>
      </c>
      <c r="H716" s="14">
        <f t="shared" si="239"/>
        <v>6.1211369582433815E-3</v>
      </c>
      <c r="I716" s="14">
        <f t="shared" si="240"/>
        <v>1.9213023674047643E-2</v>
      </c>
      <c r="J716" s="14">
        <f t="shared" si="241"/>
        <v>-1.4506923551930971E-2</v>
      </c>
      <c r="K716" s="22">
        <v>713</v>
      </c>
      <c r="L716" s="12"/>
      <c r="Q716" s="15">
        <f t="shared" si="242"/>
        <v>713</v>
      </c>
      <c r="R716" s="2">
        <f t="shared" si="238"/>
        <v>44498</v>
      </c>
      <c r="S716" s="9">
        <f t="shared" ca="1" si="243"/>
        <v>6.1211369582433815E-3</v>
      </c>
      <c r="T716" s="9">
        <f t="shared" ca="1" si="244"/>
        <v>1.9213023674047643E-2</v>
      </c>
      <c r="U716" s="9">
        <f t="shared" ca="1" si="245"/>
        <v>-1.4506923551930971E-2</v>
      </c>
      <c r="AB716" s="33" t="e">
        <f t="shared" ca="1" si="251"/>
        <v>#N/A</v>
      </c>
      <c r="AC716" s="34" t="e">
        <f t="shared" ca="1" si="252"/>
        <v>#N/A</v>
      </c>
      <c r="AD716" s="34" t="e">
        <f t="shared" ca="1" si="253"/>
        <v>#N/A</v>
      </c>
      <c r="AE716" s="33" t="e">
        <f t="shared" ca="1" si="254"/>
        <v>#N/A</v>
      </c>
      <c r="AF716" s="34" t="e">
        <f t="shared" ca="1" si="246"/>
        <v>#N/A</v>
      </c>
      <c r="AG716" s="34" t="e">
        <f t="shared" ca="1" si="247"/>
        <v>#N/A</v>
      </c>
      <c r="AH716" s="34" t="e">
        <f t="shared" ca="1" si="248"/>
        <v>#N/A</v>
      </c>
      <c r="AI716" s="33" t="e">
        <f t="shared" ca="1" si="255"/>
        <v>#N/A</v>
      </c>
      <c r="AJ716" s="34" t="e">
        <f t="shared" ca="1" si="256"/>
        <v>#N/A</v>
      </c>
      <c r="AK716" s="34" t="e">
        <f t="shared" ca="1" si="249"/>
        <v>#N/A</v>
      </c>
      <c r="AL716" s="34" t="e">
        <f t="shared" ca="1" si="250"/>
        <v>#N/A</v>
      </c>
      <c r="AM716" s="33" t="e">
        <f t="shared" ca="1" si="257"/>
        <v>#N/A</v>
      </c>
      <c r="AN716" s="34" t="e">
        <f t="shared" ca="1" si="258"/>
        <v>#N/A</v>
      </c>
    </row>
    <row r="717" spans="1:40" x14ac:dyDescent="0.3">
      <c r="A717" s="2">
        <v>44501</v>
      </c>
      <c r="B717" s="9">
        <v>114.230003</v>
      </c>
      <c r="C717" s="9">
        <v>129.75</v>
      </c>
      <c r="D717" s="9">
        <v>78.019997000000004</v>
      </c>
      <c r="E717" s="10"/>
      <c r="F717" s="13">
        <v>714</v>
      </c>
      <c r="G717" s="2">
        <v>44501</v>
      </c>
      <c r="H717" s="14">
        <f t="shared" si="239"/>
        <v>1.0206890061504702E-2</v>
      </c>
      <c r="I717" s="14">
        <f t="shared" si="240"/>
        <v>2.0084763740322212E-2</v>
      </c>
      <c r="J717" s="14">
        <f t="shared" si="241"/>
        <v>8.8831611427033132E-3</v>
      </c>
      <c r="K717" s="22">
        <v>714</v>
      </c>
      <c r="L717" s="12"/>
      <c r="Q717" s="15">
        <f t="shared" si="242"/>
        <v>714</v>
      </c>
      <c r="R717" s="2">
        <f t="shared" si="238"/>
        <v>44501</v>
      </c>
      <c r="S717" s="9">
        <f t="shared" ca="1" si="243"/>
        <v>1.0206890061504702E-2</v>
      </c>
      <c r="T717" s="9">
        <f t="shared" ca="1" si="244"/>
        <v>2.0084763740322212E-2</v>
      </c>
      <c r="U717" s="9">
        <f t="shared" ca="1" si="245"/>
        <v>8.8831611427033132E-3</v>
      </c>
      <c r="AB717" s="33" t="e">
        <f t="shared" ca="1" si="251"/>
        <v>#N/A</v>
      </c>
      <c r="AC717" s="34" t="e">
        <f t="shared" ca="1" si="252"/>
        <v>#N/A</v>
      </c>
      <c r="AD717" s="34" t="e">
        <f t="shared" ca="1" si="253"/>
        <v>#N/A</v>
      </c>
      <c r="AE717" s="33" t="e">
        <f t="shared" ca="1" si="254"/>
        <v>#N/A</v>
      </c>
      <c r="AF717" s="34" t="e">
        <f t="shared" ca="1" si="246"/>
        <v>#N/A</v>
      </c>
      <c r="AG717" s="34" t="e">
        <f t="shared" ca="1" si="247"/>
        <v>#N/A</v>
      </c>
      <c r="AH717" s="34" t="e">
        <f t="shared" ca="1" si="248"/>
        <v>#N/A</v>
      </c>
      <c r="AI717" s="33" t="e">
        <f t="shared" ca="1" si="255"/>
        <v>#N/A</v>
      </c>
      <c r="AJ717" s="34" t="e">
        <f t="shared" ca="1" si="256"/>
        <v>#N/A</v>
      </c>
      <c r="AK717" s="34" t="e">
        <f t="shared" ca="1" si="249"/>
        <v>#N/A</v>
      </c>
      <c r="AL717" s="34" t="e">
        <f t="shared" ca="1" si="250"/>
        <v>#N/A</v>
      </c>
      <c r="AM717" s="33" t="e">
        <f t="shared" ca="1" si="257"/>
        <v>#N/A</v>
      </c>
      <c r="AN717" s="34" t="e">
        <f t="shared" ca="1" si="258"/>
        <v>#N/A</v>
      </c>
    </row>
    <row r="718" spans="1:40" x14ac:dyDescent="0.3">
      <c r="A718" s="2">
        <v>44502</v>
      </c>
      <c r="B718" s="9">
        <v>114.739998</v>
      </c>
      <c r="C718" s="9">
        <v>117.129997</v>
      </c>
      <c r="D718" s="9">
        <v>75.860000999999997</v>
      </c>
      <c r="E718" s="10"/>
      <c r="F718" s="13">
        <v>715</v>
      </c>
      <c r="G718" s="2">
        <v>44502</v>
      </c>
      <c r="H718" s="14">
        <f t="shared" si="239"/>
        <v>4.4546957343535561E-3</v>
      </c>
      <c r="I718" s="14">
        <f t="shared" si="240"/>
        <v>-0.10232511857678225</v>
      </c>
      <c r="J718" s="14">
        <f t="shared" si="241"/>
        <v>-2.8075616183900275E-2</v>
      </c>
      <c r="K718" s="22">
        <v>715</v>
      </c>
      <c r="L718" s="12"/>
      <c r="Q718" s="15">
        <f t="shared" si="242"/>
        <v>715</v>
      </c>
      <c r="R718" s="2">
        <f t="shared" si="238"/>
        <v>44502</v>
      </c>
      <c r="S718" s="9">
        <f t="shared" ca="1" si="243"/>
        <v>4.4546957343535561E-3</v>
      </c>
      <c r="T718" s="9">
        <f t="shared" ca="1" si="244"/>
        <v>-0.10232511857678225</v>
      </c>
      <c r="U718" s="9">
        <f t="shared" ca="1" si="245"/>
        <v>-2.8075616183900275E-2</v>
      </c>
      <c r="AB718" s="33" t="e">
        <f t="shared" ca="1" si="251"/>
        <v>#N/A</v>
      </c>
      <c r="AC718" s="34" t="e">
        <f t="shared" ca="1" si="252"/>
        <v>#N/A</v>
      </c>
      <c r="AD718" s="34" t="e">
        <f t="shared" ca="1" si="253"/>
        <v>#N/A</v>
      </c>
      <c r="AE718" s="33" t="e">
        <f t="shared" ca="1" si="254"/>
        <v>#N/A</v>
      </c>
      <c r="AF718" s="34" t="e">
        <f t="shared" ca="1" si="246"/>
        <v>#N/A</v>
      </c>
      <c r="AG718" s="34" t="e">
        <f t="shared" ca="1" si="247"/>
        <v>#N/A</v>
      </c>
      <c r="AH718" s="34" t="e">
        <f t="shared" ca="1" si="248"/>
        <v>#N/A</v>
      </c>
      <c r="AI718" s="33" t="e">
        <f t="shared" ca="1" si="255"/>
        <v>#N/A</v>
      </c>
      <c r="AJ718" s="34" t="e">
        <f t="shared" ca="1" si="256"/>
        <v>#N/A</v>
      </c>
      <c r="AK718" s="34" t="e">
        <f t="shared" ca="1" si="249"/>
        <v>#N/A</v>
      </c>
      <c r="AL718" s="34" t="e">
        <f t="shared" ca="1" si="250"/>
        <v>#N/A</v>
      </c>
      <c r="AM718" s="33" t="e">
        <f t="shared" ca="1" si="257"/>
        <v>#N/A</v>
      </c>
      <c r="AN718" s="34" t="e">
        <f t="shared" ca="1" si="258"/>
        <v>#N/A</v>
      </c>
    </row>
    <row r="719" spans="1:40" x14ac:dyDescent="0.3">
      <c r="A719" s="2">
        <v>44503</v>
      </c>
      <c r="B719" s="9">
        <v>116.540001</v>
      </c>
      <c r="C719" s="9">
        <v>122.94000200000001</v>
      </c>
      <c r="D719" s="9">
        <v>75.879997000000003</v>
      </c>
      <c r="E719" s="10"/>
      <c r="F719" s="13">
        <v>716</v>
      </c>
      <c r="G719" s="2">
        <v>44503</v>
      </c>
      <c r="H719" s="14">
        <f t="shared" si="239"/>
        <v>1.5565888552661103E-2</v>
      </c>
      <c r="I719" s="14">
        <f t="shared" si="240"/>
        <v>4.8412044277745883E-2</v>
      </c>
      <c r="J719" s="14">
        <f t="shared" si="241"/>
        <v>2.6355608777258192E-4</v>
      </c>
      <c r="K719" s="22">
        <v>716</v>
      </c>
      <c r="L719" s="12"/>
      <c r="Q719" s="15">
        <f t="shared" si="242"/>
        <v>716</v>
      </c>
      <c r="R719" s="2">
        <f t="shared" si="238"/>
        <v>44503</v>
      </c>
      <c r="S719" s="9">
        <f t="shared" ca="1" si="243"/>
        <v>1.5565888552661103E-2</v>
      </c>
      <c r="T719" s="9">
        <f t="shared" ca="1" si="244"/>
        <v>4.8412044277745883E-2</v>
      </c>
      <c r="U719" s="9">
        <f t="shared" ca="1" si="245"/>
        <v>2.6355608777258192E-4</v>
      </c>
      <c r="AB719" s="33" t="e">
        <f t="shared" ca="1" si="251"/>
        <v>#N/A</v>
      </c>
      <c r="AC719" s="34" t="e">
        <f t="shared" ca="1" si="252"/>
        <v>#N/A</v>
      </c>
      <c r="AD719" s="34" t="e">
        <f t="shared" ca="1" si="253"/>
        <v>#N/A</v>
      </c>
      <c r="AE719" s="33" t="e">
        <f t="shared" ca="1" si="254"/>
        <v>#N/A</v>
      </c>
      <c r="AF719" s="34" t="e">
        <f t="shared" ca="1" si="246"/>
        <v>#N/A</v>
      </c>
      <c r="AG719" s="34" t="e">
        <f t="shared" ca="1" si="247"/>
        <v>#N/A</v>
      </c>
      <c r="AH719" s="34" t="e">
        <f t="shared" ca="1" si="248"/>
        <v>#N/A</v>
      </c>
      <c r="AI719" s="33" t="e">
        <f t="shared" ca="1" si="255"/>
        <v>#N/A</v>
      </c>
      <c r="AJ719" s="34" t="e">
        <f t="shared" ca="1" si="256"/>
        <v>#N/A</v>
      </c>
      <c r="AK719" s="34" t="e">
        <f t="shared" ca="1" si="249"/>
        <v>#N/A</v>
      </c>
      <c r="AL719" s="34" t="e">
        <f t="shared" ca="1" si="250"/>
        <v>#N/A</v>
      </c>
      <c r="AM719" s="33" t="e">
        <f t="shared" ca="1" si="257"/>
        <v>#N/A</v>
      </c>
      <c r="AN719" s="34" t="e">
        <f t="shared" ca="1" si="258"/>
        <v>#N/A</v>
      </c>
    </row>
    <row r="720" spans="1:40" x14ac:dyDescent="0.3">
      <c r="A720" s="2">
        <v>44504</v>
      </c>
      <c r="B720" s="9">
        <v>119.57</v>
      </c>
      <c r="C720" s="9">
        <v>124.360001</v>
      </c>
      <c r="D720" s="9">
        <v>76.349997999999999</v>
      </c>
      <c r="E720" s="10"/>
      <c r="F720" s="13">
        <v>717</v>
      </c>
      <c r="G720" s="2">
        <v>44504</v>
      </c>
      <c r="H720" s="14">
        <f t="shared" si="239"/>
        <v>2.5667403635815659E-2</v>
      </c>
      <c r="I720" s="14">
        <f t="shared" si="240"/>
        <v>1.1484145484762336E-2</v>
      </c>
      <c r="J720" s="14">
        <f t="shared" si="241"/>
        <v>6.1748999387842068E-3</v>
      </c>
      <c r="K720" s="22">
        <v>717</v>
      </c>
      <c r="L720" s="12"/>
      <c r="Q720" s="15">
        <f t="shared" si="242"/>
        <v>717</v>
      </c>
      <c r="R720" s="2">
        <f t="shared" si="238"/>
        <v>44504</v>
      </c>
      <c r="S720" s="9">
        <f t="shared" ca="1" si="243"/>
        <v>2.5667403635815659E-2</v>
      </c>
      <c r="T720" s="9">
        <f t="shared" ca="1" si="244"/>
        <v>1.1484145484762336E-2</v>
      </c>
      <c r="U720" s="9">
        <f t="shared" ca="1" si="245"/>
        <v>6.1748999387842068E-3</v>
      </c>
      <c r="AB720" s="33" t="e">
        <f t="shared" ca="1" si="251"/>
        <v>#N/A</v>
      </c>
      <c r="AC720" s="34" t="e">
        <f t="shared" ca="1" si="252"/>
        <v>#N/A</v>
      </c>
      <c r="AD720" s="34" t="e">
        <f t="shared" ca="1" si="253"/>
        <v>#N/A</v>
      </c>
      <c r="AE720" s="33" t="e">
        <f t="shared" ca="1" si="254"/>
        <v>#N/A</v>
      </c>
      <c r="AF720" s="34" t="e">
        <f t="shared" ca="1" si="246"/>
        <v>#N/A</v>
      </c>
      <c r="AG720" s="34" t="e">
        <f t="shared" ca="1" si="247"/>
        <v>#N/A</v>
      </c>
      <c r="AH720" s="34" t="e">
        <f t="shared" ca="1" si="248"/>
        <v>#N/A</v>
      </c>
      <c r="AI720" s="33" t="e">
        <f t="shared" ca="1" si="255"/>
        <v>#N/A</v>
      </c>
      <c r="AJ720" s="34" t="e">
        <f t="shared" ca="1" si="256"/>
        <v>#N/A</v>
      </c>
      <c r="AK720" s="34" t="e">
        <f t="shared" ca="1" si="249"/>
        <v>#N/A</v>
      </c>
      <c r="AL720" s="34" t="e">
        <f t="shared" ca="1" si="250"/>
        <v>#N/A</v>
      </c>
      <c r="AM720" s="33" t="e">
        <f t="shared" ca="1" si="257"/>
        <v>#N/A</v>
      </c>
      <c r="AN720" s="34" t="e">
        <f t="shared" ca="1" si="258"/>
        <v>#N/A</v>
      </c>
    </row>
    <row r="721" spans="1:40" x14ac:dyDescent="0.3">
      <c r="A721" s="2">
        <v>44505</v>
      </c>
      <c r="B721" s="9">
        <v>118.760002</v>
      </c>
      <c r="C721" s="9">
        <v>127.540001</v>
      </c>
      <c r="D721" s="9">
        <v>77.919998000000007</v>
      </c>
      <c r="E721" s="10"/>
      <c r="F721" s="13">
        <v>718</v>
      </c>
      <c r="G721" s="2">
        <v>44505</v>
      </c>
      <c r="H721" s="14">
        <f t="shared" si="239"/>
        <v>-6.7973071952425459E-3</v>
      </c>
      <c r="I721" s="14">
        <f t="shared" si="240"/>
        <v>2.5249455496079098E-2</v>
      </c>
      <c r="J721" s="14">
        <f t="shared" si="241"/>
        <v>2.0354628197441063E-2</v>
      </c>
      <c r="K721" s="22">
        <v>718</v>
      </c>
      <c r="L721" s="12"/>
      <c r="Q721" s="15">
        <f t="shared" si="242"/>
        <v>718</v>
      </c>
      <c r="R721" s="2">
        <f t="shared" si="238"/>
        <v>44505</v>
      </c>
      <c r="S721" s="9">
        <f t="shared" ca="1" si="243"/>
        <v>-6.7973071952425459E-3</v>
      </c>
      <c r="T721" s="9">
        <f t="shared" ca="1" si="244"/>
        <v>2.5249455496079098E-2</v>
      </c>
      <c r="U721" s="9">
        <f t="shared" ca="1" si="245"/>
        <v>2.0354628197441063E-2</v>
      </c>
      <c r="AB721" s="33" t="e">
        <f t="shared" ca="1" si="251"/>
        <v>#N/A</v>
      </c>
      <c r="AC721" s="34" t="e">
        <f t="shared" ca="1" si="252"/>
        <v>#N/A</v>
      </c>
      <c r="AD721" s="34" t="e">
        <f t="shared" ca="1" si="253"/>
        <v>#N/A</v>
      </c>
      <c r="AE721" s="33" t="e">
        <f t="shared" ca="1" si="254"/>
        <v>#N/A</v>
      </c>
      <c r="AF721" s="34" t="e">
        <f t="shared" ca="1" si="246"/>
        <v>#N/A</v>
      </c>
      <c r="AG721" s="34" t="e">
        <f t="shared" ca="1" si="247"/>
        <v>#N/A</v>
      </c>
      <c r="AH721" s="34" t="e">
        <f t="shared" ca="1" si="248"/>
        <v>#N/A</v>
      </c>
      <c r="AI721" s="33" t="e">
        <f t="shared" ca="1" si="255"/>
        <v>#N/A</v>
      </c>
      <c r="AJ721" s="34" t="e">
        <f t="shared" ca="1" si="256"/>
        <v>#N/A</v>
      </c>
      <c r="AK721" s="34" t="e">
        <f t="shared" ca="1" si="249"/>
        <v>#N/A</v>
      </c>
      <c r="AL721" s="34" t="e">
        <f t="shared" ca="1" si="250"/>
        <v>#N/A</v>
      </c>
      <c r="AM721" s="33" t="e">
        <f t="shared" ca="1" si="257"/>
        <v>#N/A</v>
      </c>
      <c r="AN721" s="34" t="e">
        <f t="shared" ca="1" si="258"/>
        <v>#N/A</v>
      </c>
    </row>
    <row r="722" spans="1:40" x14ac:dyDescent="0.3">
      <c r="A722" s="2">
        <v>44508</v>
      </c>
      <c r="B722" s="9">
        <v>118.32</v>
      </c>
      <c r="C722" s="9">
        <v>128.96000699999999</v>
      </c>
      <c r="D722" s="9">
        <v>77.779999000000004</v>
      </c>
      <c r="E722" s="10"/>
      <c r="F722" s="13">
        <v>719</v>
      </c>
      <c r="G722" s="2">
        <v>44508</v>
      </c>
      <c r="H722" s="14">
        <f t="shared" si="239"/>
        <v>-3.7118483337017453E-3</v>
      </c>
      <c r="I722" s="14">
        <f t="shared" si="240"/>
        <v>1.1072284310910542E-2</v>
      </c>
      <c r="J722" s="14">
        <f t="shared" si="241"/>
        <v>-1.7983177961026155E-3</v>
      </c>
      <c r="K722" s="22">
        <v>719</v>
      </c>
      <c r="L722" s="12"/>
      <c r="Q722" s="15">
        <f t="shared" si="242"/>
        <v>719</v>
      </c>
      <c r="R722" s="2">
        <f t="shared" si="238"/>
        <v>44508</v>
      </c>
      <c r="S722" s="9">
        <f t="shared" ca="1" si="243"/>
        <v>-3.7118483337017453E-3</v>
      </c>
      <c r="T722" s="9">
        <f t="shared" ca="1" si="244"/>
        <v>1.1072284310910542E-2</v>
      </c>
      <c r="U722" s="9">
        <f t="shared" ca="1" si="245"/>
        <v>-1.7983177961026155E-3</v>
      </c>
      <c r="AB722" s="33" t="e">
        <f t="shared" ca="1" si="251"/>
        <v>#N/A</v>
      </c>
      <c r="AC722" s="34" t="e">
        <f t="shared" ca="1" si="252"/>
        <v>#N/A</v>
      </c>
      <c r="AD722" s="34" t="e">
        <f t="shared" ca="1" si="253"/>
        <v>#N/A</v>
      </c>
      <c r="AE722" s="33" t="e">
        <f t="shared" ca="1" si="254"/>
        <v>#N/A</v>
      </c>
      <c r="AF722" s="34" t="e">
        <f t="shared" ca="1" si="246"/>
        <v>#N/A</v>
      </c>
      <c r="AG722" s="34" t="e">
        <f t="shared" ca="1" si="247"/>
        <v>#N/A</v>
      </c>
      <c r="AH722" s="34" t="e">
        <f t="shared" ca="1" si="248"/>
        <v>#N/A</v>
      </c>
      <c r="AI722" s="33" t="e">
        <f t="shared" ca="1" si="255"/>
        <v>#N/A</v>
      </c>
      <c r="AJ722" s="34" t="e">
        <f t="shared" ca="1" si="256"/>
        <v>#N/A</v>
      </c>
      <c r="AK722" s="34" t="e">
        <f t="shared" ca="1" si="249"/>
        <v>#N/A</v>
      </c>
      <c r="AL722" s="34" t="e">
        <f t="shared" ca="1" si="250"/>
        <v>#N/A</v>
      </c>
      <c r="AM722" s="33" t="e">
        <f t="shared" ca="1" si="257"/>
        <v>#N/A</v>
      </c>
      <c r="AN722" s="34" t="e">
        <f t="shared" ca="1" si="258"/>
        <v>#N/A</v>
      </c>
    </row>
    <row r="723" spans="1:40" x14ac:dyDescent="0.3">
      <c r="A723" s="2">
        <v>44509</v>
      </c>
      <c r="B723" s="9">
        <v>117.44000200000001</v>
      </c>
      <c r="C723" s="9">
        <v>129.11999499999999</v>
      </c>
      <c r="D723" s="9">
        <v>78.25</v>
      </c>
      <c r="E723" s="10"/>
      <c r="F723" s="13">
        <v>720</v>
      </c>
      <c r="G723" s="2">
        <v>44509</v>
      </c>
      <c r="H723" s="14">
        <f t="shared" si="239"/>
        <v>-7.465236506366226E-3</v>
      </c>
      <c r="I723" s="14">
        <f t="shared" si="240"/>
        <v>1.2398327592561945E-3</v>
      </c>
      <c r="J723" s="14">
        <f t="shared" si="241"/>
        <v>6.024513549436959E-3</v>
      </c>
      <c r="K723" s="22">
        <v>720</v>
      </c>
      <c r="L723" s="12"/>
      <c r="Q723" s="15">
        <f t="shared" si="242"/>
        <v>720</v>
      </c>
      <c r="R723" s="2">
        <f t="shared" si="238"/>
        <v>44509</v>
      </c>
      <c r="S723" s="9">
        <f t="shared" ca="1" si="243"/>
        <v>-7.465236506366226E-3</v>
      </c>
      <c r="T723" s="9">
        <f t="shared" ca="1" si="244"/>
        <v>1.2398327592561945E-3</v>
      </c>
      <c r="U723" s="9">
        <f t="shared" ca="1" si="245"/>
        <v>6.024513549436959E-3</v>
      </c>
      <c r="AB723" s="33" t="e">
        <f t="shared" ca="1" si="251"/>
        <v>#N/A</v>
      </c>
      <c r="AC723" s="34" t="e">
        <f t="shared" ca="1" si="252"/>
        <v>#N/A</v>
      </c>
      <c r="AD723" s="34" t="e">
        <f t="shared" ca="1" si="253"/>
        <v>#N/A</v>
      </c>
      <c r="AE723" s="33" t="e">
        <f t="shared" ca="1" si="254"/>
        <v>#N/A</v>
      </c>
      <c r="AF723" s="34" t="e">
        <f t="shared" ca="1" si="246"/>
        <v>#N/A</v>
      </c>
      <c r="AG723" s="34" t="e">
        <f t="shared" ca="1" si="247"/>
        <v>#N/A</v>
      </c>
      <c r="AH723" s="34" t="e">
        <f t="shared" ca="1" si="248"/>
        <v>#N/A</v>
      </c>
      <c r="AI723" s="33" t="e">
        <f t="shared" ca="1" si="255"/>
        <v>#N/A</v>
      </c>
      <c r="AJ723" s="34" t="e">
        <f t="shared" ca="1" si="256"/>
        <v>#N/A</v>
      </c>
      <c r="AK723" s="34" t="e">
        <f t="shared" ca="1" si="249"/>
        <v>#N/A</v>
      </c>
      <c r="AL723" s="34" t="e">
        <f t="shared" ca="1" si="250"/>
        <v>#N/A</v>
      </c>
      <c r="AM723" s="33" t="e">
        <f t="shared" ca="1" si="257"/>
        <v>#N/A</v>
      </c>
      <c r="AN723" s="34" t="e">
        <f t="shared" ca="1" si="258"/>
        <v>#N/A</v>
      </c>
    </row>
    <row r="724" spans="1:40" x14ac:dyDescent="0.3">
      <c r="A724" s="2">
        <v>44510</v>
      </c>
      <c r="B724" s="9">
        <v>116.220001</v>
      </c>
      <c r="C724" s="9">
        <v>126.269997</v>
      </c>
      <c r="D724" s="9">
        <v>76.860000999999997</v>
      </c>
      <c r="E724" s="10"/>
      <c r="F724" s="13">
        <v>721</v>
      </c>
      <c r="G724" s="2">
        <v>44510</v>
      </c>
      <c r="H724" s="14">
        <f t="shared" si="239"/>
        <v>-1.0442626644847684E-2</v>
      </c>
      <c r="I724" s="14">
        <f t="shared" si="240"/>
        <v>-2.2319718105993754E-2</v>
      </c>
      <c r="J724" s="14">
        <f t="shared" si="241"/>
        <v>-1.7923231272896134E-2</v>
      </c>
      <c r="K724" s="22">
        <v>721</v>
      </c>
      <c r="L724" s="12"/>
      <c r="Q724" s="15">
        <f t="shared" si="242"/>
        <v>721</v>
      </c>
      <c r="R724" s="2">
        <f t="shared" si="238"/>
        <v>44510</v>
      </c>
      <c r="S724" s="9">
        <f t="shared" ca="1" si="243"/>
        <v>-1.0442626644847684E-2</v>
      </c>
      <c r="T724" s="9">
        <f t="shared" ca="1" si="244"/>
        <v>-2.2319718105993754E-2</v>
      </c>
      <c r="U724" s="9">
        <f t="shared" ca="1" si="245"/>
        <v>-1.7923231272896134E-2</v>
      </c>
      <c r="AB724" s="33" t="e">
        <f t="shared" ca="1" si="251"/>
        <v>#N/A</v>
      </c>
      <c r="AC724" s="34" t="e">
        <f t="shared" ca="1" si="252"/>
        <v>#N/A</v>
      </c>
      <c r="AD724" s="34" t="e">
        <f t="shared" ca="1" si="253"/>
        <v>#N/A</v>
      </c>
      <c r="AE724" s="33" t="e">
        <f t="shared" ca="1" si="254"/>
        <v>#N/A</v>
      </c>
      <c r="AF724" s="34" t="e">
        <f t="shared" ca="1" si="246"/>
        <v>#N/A</v>
      </c>
      <c r="AG724" s="34" t="e">
        <f t="shared" ca="1" si="247"/>
        <v>#N/A</v>
      </c>
      <c r="AH724" s="34" t="e">
        <f t="shared" ca="1" si="248"/>
        <v>#N/A</v>
      </c>
      <c r="AI724" s="33" t="e">
        <f t="shared" ca="1" si="255"/>
        <v>#N/A</v>
      </c>
      <c r="AJ724" s="34" t="e">
        <f t="shared" ca="1" si="256"/>
        <v>#N/A</v>
      </c>
      <c r="AK724" s="34" t="e">
        <f t="shared" ca="1" si="249"/>
        <v>#N/A</v>
      </c>
      <c r="AL724" s="34" t="e">
        <f t="shared" ca="1" si="250"/>
        <v>#N/A</v>
      </c>
      <c r="AM724" s="33" t="e">
        <f t="shared" ca="1" si="257"/>
        <v>#N/A</v>
      </c>
      <c r="AN724" s="34" t="e">
        <f t="shared" ca="1" si="258"/>
        <v>#N/A</v>
      </c>
    </row>
    <row r="725" spans="1:40" x14ac:dyDescent="0.3">
      <c r="A725" s="2">
        <v>44511</v>
      </c>
      <c r="B725" s="9">
        <v>117.589996</v>
      </c>
      <c r="C725" s="9">
        <v>125.160004</v>
      </c>
      <c r="D725" s="9">
        <v>77.220000999999996</v>
      </c>
      <c r="E725" s="10"/>
      <c r="F725" s="13">
        <v>722</v>
      </c>
      <c r="G725" s="2">
        <v>44511</v>
      </c>
      <c r="H725" s="14">
        <f t="shared" si="239"/>
        <v>1.1719008567495312E-2</v>
      </c>
      <c r="I725" s="14">
        <f t="shared" si="240"/>
        <v>-8.8294969322029581E-3</v>
      </c>
      <c r="J725" s="14">
        <f t="shared" si="241"/>
        <v>4.672905638736605E-3</v>
      </c>
      <c r="K725" s="22">
        <v>722</v>
      </c>
      <c r="L725" s="12"/>
      <c r="Q725" s="15">
        <f t="shared" si="242"/>
        <v>722</v>
      </c>
      <c r="R725" s="2">
        <f t="shared" si="238"/>
        <v>44511</v>
      </c>
      <c r="S725" s="9">
        <f t="shared" ca="1" si="243"/>
        <v>1.1719008567495312E-2</v>
      </c>
      <c r="T725" s="9">
        <f t="shared" ca="1" si="244"/>
        <v>-8.8294969322029581E-3</v>
      </c>
      <c r="U725" s="9">
        <f t="shared" ca="1" si="245"/>
        <v>4.672905638736605E-3</v>
      </c>
      <c r="AB725" s="33" t="e">
        <f t="shared" ca="1" si="251"/>
        <v>#N/A</v>
      </c>
      <c r="AC725" s="34" t="e">
        <f t="shared" ca="1" si="252"/>
        <v>#N/A</v>
      </c>
      <c r="AD725" s="34" t="e">
        <f t="shared" ca="1" si="253"/>
        <v>#N/A</v>
      </c>
      <c r="AE725" s="33" t="e">
        <f t="shared" ca="1" si="254"/>
        <v>#N/A</v>
      </c>
      <c r="AF725" s="34" t="e">
        <f t="shared" ca="1" si="246"/>
        <v>#N/A</v>
      </c>
      <c r="AG725" s="34" t="e">
        <f t="shared" ca="1" si="247"/>
        <v>#N/A</v>
      </c>
      <c r="AH725" s="34" t="e">
        <f t="shared" ca="1" si="248"/>
        <v>#N/A</v>
      </c>
      <c r="AI725" s="33" t="e">
        <f t="shared" ca="1" si="255"/>
        <v>#N/A</v>
      </c>
      <c r="AJ725" s="34" t="e">
        <f t="shared" ca="1" si="256"/>
        <v>#N/A</v>
      </c>
      <c r="AK725" s="34" t="e">
        <f t="shared" ca="1" si="249"/>
        <v>#N/A</v>
      </c>
      <c r="AL725" s="34" t="e">
        <f t="shared" ca="1" si="250"/>
        <v>#N/A</v>
      </c>
      <c r="AM725" s="33" t="e">
        <f t="shared" ca="1" si="257"/>
        <v>#N/A</v>
      </c>
      <c r="AN725" s="34" t="e">
        <f t="shared" ca="1" si="258"/>
        <v>#N/A</v>
      </c>
    </row>
    <row r="726" spans="1:40" x14ac:dyDescent="0.3">
      <c r="A726" s="2">
        <v>44512</v>
      </c>
      <c r="B726" s="9">
        <v>116.870003</v>
      </c>
      <c r="C726" s="9">
        <v>124.910004</v>
      </c>
      <c r="D726" s="9">
        <v>76.580001999999993</v>
      </c>
      <c r="E726" s="10"/>
      <c r="F726" s="13">
        <v>723</v>
      </c>
      <c r="G726" s="2">
        <v>44512</v>
      </c>
      <c r="H726" s="14">
        <f t="shared" si="239"/>
        <v>-6.1417322042131902E-3</v>
      </c>
      <c r="I726" s="14">
        <f t="shared" si="240"/>
        <v>-1.9994407588992615E-3</v>
      </c>
      <c r="J726" s="14">
        <f t="shared" si="241"/>
        <v>-8.3225316204755609E-3</v>
      </c>
      <c r="K726" s="22">
        <v>723</v>
      </c>
      <c r="L726" s="12"/>
      <c r="Q726" s="15">
        <f t="shared" si="242"/>
        <v>723</v>
      </c>
      <c r="R726" s="2">
        <f t="shared" si="238"/>
        <v>44512</v>
      </c>
      <c r="S726" s="9">
        <f t="shared" ca="1" si="243"/>
        <v>-6.1417322042131902E-3</v>
      </c>
      <c r="T726" s="9">
        <f t="shared" ca="1" si="244"/>
        <v>-1.9994407588992615E-3</v>
      </c>
      <c r="U726" s="9">
        <f t="shared" ca="1" si="245"/>
        <v>-8.3225316204755609E-3</v>
      </c>
      <c r="AB726" s="33" t="e">
        <f t="shared" ca="1" si="251"/>
        <v>#N/A</v>
      </c>
      <c r="AC726" s="34" t="e">
        <f t="shared" ca="1" si="252"/>
        <v>#N/A</v>
      </c>
      <c r="AD726" s="34" t="e">
        <f t="shared" ca="1" si="253"/>
        <v>#N/A</v>
      </c>
      <c r="AE726" s="33" t="e">
        <f t="shared" ca="1" si="254"/>
        <v>#N/A</v>
      </c>
      <c r="AF726" s="34" t="e">
        <f t="shared" ca="1" si="246"/>
        <v>#N/A</v>
      </c>
      <c r="AG726" s="34" t="e">
        <f t="shared" ca="1" si="247"/>
        <v>#N/A</v>
      </c>
      <c r="AH726" s="34" t="e">
        <f t="shared" ca="1" si="248"/>
        <v>#N/A</v>
      </c>
      <c r="AI726" s="33" t="e">
        <f t="shared" ca="1" si="255"/>
        <v>#N/A</v>
      </c>
      <c r="AJ726" s="34" t="e">
        <f t="shared" ca="1" si="256"/>
        <v>#N/A</v>
      </c>
      <c r="AK726" s="34" t="e">
        <f t="shared" ca="1" si="249"/>
        <v>#N/A</v>
      </c>
      <c r="AL726" s="34" t="e">
        <f t="shared" ca="1" si="250"/>
        <v>#N/A</v>
      </c>
      <c r="AM726" s="33" t="e">
        <f t="shared" ca="1" si="257"/>
        <v>#N/A</v>
      </c>
      <c r="AN726" s="34" t="e">
        <f t="shared" ca="1" si="258"/>
        <v>#N/A</v>
      </c>
    </row>
    <row r="727" spans="1:40" x14ac:dyDescent="0.3">
      <c r="A727" s="2">
        <v>44515</v>
      </c>
      <c r="B727" s="9">
        <v>116.540001</v>
      </c>
      <c r="C727" s="9">
        <v>125.029999</v>
      </c>
      <c r="D727" s="9">
        <v>77.349997999999999</v>
      </c>
      <c r="E727" s="10"/>
      <c r="F727" s="13">
        <v>724</v>
      </c>
      <c r="G727" s="2">
        <v>44515</v>
      </c>
      <c r="H727" s="14">
        <f t="shared" si="239"/>
        <v>-2.8276613189397188E-3</v>
      </c>
      <c r="I727" s="14">
        <f t="shared" si="240"/>
        <v>9.6019050795382622E-4</v>
      </c>
      <c r="J727" s="14">
        <f t="shared" si="241"/>
        <v>1.0004578996950788E-2</v>
      </c>
      <c r="K727" s="22">
        <v>724</v>
      </c>
      <c r="L727" s="12"/>
      <c r="Q727" s="15">
        <f t="shared" si="242"/>
        <v>724</v>
      </c>
      <c r="R727" s="2">
        <f t="shared" si="238"/>
        <v>44515</v>
      </c>
      <c r="S727" s="9">
        <f t="shared" ca="1" si="243"/>
        <v>-2.8276613189397188E-3</v>
      </c>
      <c r="T727" s="9">
        <f t="shared" ca="1" si="244"/>
        <v>9.6019050795382622E-4</v>
      </c>
      <c r="U727" s="9">
        <f t="shared" ca="1" si="245"/>
        <v>1.0004578996950788E-2</v>
      </c>
      <c r="AB727" s="33" t="e">
        <f t="shared" ca="1" si="251"/>
        <v>#N/A</v>
      </c>
      <c r="AC727" s="34" t="e">
        <f t="shared" ca="1" si="252"/>
        <v>#N/A</v>
      </c>
      <c r="AD727" s="34" t="e">
        <f t="shared" ca="1" si="253"/>
        <v>#N/A</v>
      </c>
      <c r="AE727" s="33" t="e">
        <f t="shared" ca="1" si="254"/>
        <v>#N/A</v>
      </c>
      <c r="AF727" s="34" t="e">
        <f t="shared" ca="1" si="246"/>
        <v>#N/A</v>
      </c>
      <c r="AG727" s="34" t="e">
        <f t="shared" ca="1" si="247"/>
        <v>#N/A</v>
      </c>
      <c r="AH727" s="34" t="e">
        <f t="shared" ca="1" si="248"/>
        <v>#N/A</v>
      </c>
      <c r="AI727" s="33" t="e">
        <f t="shared" ca="1" si="255"/>
        <v>#N/A</v>
      </c>
      <c r="AJ727" s="34" t="e">
        <f t="shared" ca="1" si="256"/>
        <v>#N/A</v>
      </c>
      <c r="AK727" s="34" t="e">
        <f t="shared" ca="1" si="249"/>
        <v>#N/A</v>
      </c>
      <c r="AL727" s="34" t="e">
        <f t="shared" ca="1" si="250"/>
        <v>#N/A</v>
      </c>
      <c r="AM727" s="33" t="e">
        <f t="shared" ca="1" si="257"/>
        <v>#N/A</v>
      </c>
      <c r="AN727" s="34" t="e">
        <f t="shared" ca="1" si="258"/>
        <v>#N/A</v>
      </c>
    </row>
    <row r="728" spans="1:40" x14ac:dyDescent="0.3">
      <c r="A728" s="2">
        <v>44516</v>
      </c>
      <c r="B728" s="9">
        <v>117.730003</v>
      </c>
      <c r="C728" s="9">
        <v>127.610001</v>
      </c>
      <c r="D728" s="9">
        <v>77.940002000000007</v>
      </c>
      <c r="E728" s="10"/>
      <c r="F728" s="13">
        <v>725</v>
      </c>
      <c r="G728" s="2">
        <v>44516</v>
      </c>
      <c r="H728" s="14">
        <f t="shared" si="239"/>
        <v>1.0159322276467228E-2</v>
      </c>
      <c r="I728" s="14">
        <f t="shared" si="240"/>
        <v>2.0425045073433564E-2</v>
      </c>
      <c r="J728" s="14">
        <f t="shared" si="241"/>
        <v>7.5987744087492063E-3</v>
      </c>
      <c r="K728" s="22">
        <v>725</v>
      </c>
      <c r="L728" s="12"/>
      <c r="Q728" s="15">
        <f t="shared" si="242"/>
        <v>725</v>
      </c>
      <c r="R728" s="2">
        <f t="shared" si="238"/>
        <v>44516</v>
      </c>
      <c r="S728" s="9">
        <f t="shared" ca="1" si="243"/>
        <v>1.0159322276467228E-2</v>
      </c>
      <c r="T728" s="9">
        <f t="shared" ca="1" si="244"/>
        <v>2.0425045073433564E-2</v>
      </c>
      <c r="U728" s="9">
        <f t="shared" ca="1" si="245"/>
        <v>7.5987744087492063E-3</v>
      </c>
      <c r="AB728" s="33" t="e">
        <f t="shared" ca="1" si="251"/>
        <v>#N/A</v>
      </c>
      <c r="AC728" s="34" t="e">
        <f t="shared" ca="1" si="252"/>
        <v>#N/A</v>
      </c>
      <c r="AD728" s="34" t="e">
        <f t="shared" ca="1" si="253"/>
        <v>#N/A</v>
      </c>
      <c r="AE728" s="33" t="e">
        <f t="shared" ca="1" si="254"/>
        <v>#N/A</v>
      </c>
      <c r="AF728" s="34" t="e">
        <f t="shared" ca="1" si="246"/>
        <v>#N/A</v>
      </c>
      <c r="AG728" s="34" t="e">
        <f t="shared" ca="1" si="247"/>
        <v>#N/A</v>
      </c>
      <c r="AH728" s="34" t="e">
        <f t="shared" ca="1" si="248"/>
        <v>#N/A</v>
      </c>
      <c r="AI728" s="33" t="e">
        <f t="shared" ca="1" si="255"/>
        <v>#N/A</v>
      </c>
      <c r="AJ728" s="34" t="e">
        <f t="shared" ca="1" si="256"/>
        <v>#N/A</v>
      </c>
      <c r="AK728" s="34" t="e">
        <f t="shared" ca="1" si="249"/>
        <v>#N/A</v>
      </c>
      <c r="AL728" s="34" t="e">
        <f t="shared" ca="1" si="250"/>
        <v>#N/A</v>
      </c>
      <c r="AM728" s="33" t="e">
        <f t="shared" ca="1" si="257"/>
        <v>#N/A</v>
      </c>
      <c r="AN728" s="34" t="e">
        <f t="shared" ca="1" si="258"/>
        <v>#N/A</v>
      </c>
    </row>
    <row r="729" spans="1:40" x14ac:dyDescent="0.3">
      <c r="A729" s="2">
        <v>44517</v>
      </c>
      <c r="B729" s="9">
        <v>116.389999</v>
      </c>
      <c r="C729" s="9">
        <v>125.699997</v>
      </c>
      <c r="D729" s="9">
        <v>73.449996999999996</v>
      </c>
      <c r="E729" s="10"/>
      <c r="F729" s="13">
        <v>726</v>
      </c>
      <c r="G729" s="2">
        <v>44517</v>
      </c>
      <c r="H729" s="14">
        <f t="shared" si="239"/>
        <v>-1.1447280210058652E-2</v>
      </c>
      <c r="I729" s="14">
        <f t="shared" si="240"/>
        <v>-1.5080653852408449E-2</v>
      </c>
      <c r="J729" s="14">
        <f t="shared" si="241"/>
        <v>-5.9334463795553828E-2</v>
      </c>
      <c r="K729" s="22">
        <v>726</v>
      </c>
      <c r="L729" s="12"/>
      <c r="Q729" s="15">
        <f t="shared" si="242"/>
        <v>726</v>
      </c>
      <c r="R729" s="2">
        <f t="shared" si="238"/>
        <v>44517</v>
      </c>
      <c r="S729" s="9">
        <f t="shared" ca="1" si="243"/>
        <v>-1.1447280210058652E-2</v>
      </c>
      <c r="T729" s="9">
        <f t="shared" ca="1" si="244"/>
        <v>-1.5080653852408449E-2</v>
      </c>
      <c r="U729" s="9">
        <f t="shared" ca="1" si="245"/>
        <v>-5.9334463795553828E-2</v>
      </c>
      <c r="AB729" s="33" t="e">
        <f t="shared" ca="1" si="251"/>
        <v>#N/A</v>
      </c>
      <c r="AC729" s="34" t="e">
        <f t="shared" ca="1" si="252"/>
        <v>#N/A</v>
      </c>
      <c r="AD729" s="34" t="e">
        <f t="shared" ca="1" si="253"/>
        <v>#N/A</v>
      </c>
      <c r="AE729" s="33" t="e">
        <f t="shared" ca="1" si="254"/>
        <v>#N/A</v>
      </c>
      <c r="AF729" s="34" t="e">
        <f t="shared" ca="1" si="246"/>
        <v>#N/A</v>
      </c>
      <c r="AG729" s="34" t="e">
        <f t="shared" ca="1" si="247"/>
        <v>#N/A</v>
      </c>
      <c r="AH729" s="34" t="e">
        <f t="shared" ca="1" si="248"/>
        <v>#N/A</v>
      </c>
      <c r="AI729" s="33" t="e">
        <f t="shared" ca="1" si="255"/>
        <v>#N/A</v>
      </c>
      <c r="AJ729" s="34" t="e">
        <f t="shared" ca="1" si="256"/>
        <v>#N/A</v>
      </c>
      <c r="AK729" s="34" t="e">
        <f t="shared" ca="1" si="249"/>
        <v>#N/A</v>
      </c>
      <c r="AL729" s="34" t="e">
        <f t="shared" ca="1" si="250"/>
        <v>#N/A</v>
      </c>
      <c r="AM729" s="33" t="e">
        <f t="shared" ca="1" si="257"/>
        <v>#N/A</v>
      </c>
      <c r="AN729" s="34" t="e">
        <f t="shared" ca="1" si="258"/>
        <v>#N/A</v>
      </c>
    </row>
    <row r="730" spans="1:40" x14ac:dyDescent="0.3">
      <c r="A730" s="2">
        <v>44518</v>
      </c>
      <c r="B730" s="9">
        <v>117.08000199999999</v>
      </c>
      <c r="C730" s="9">
        <v>125.860001</v>
      </c>
      <c r="D730" s="9">
        <v>72.959998999999996</v>
      </c>
      <c r="E730" s="10"/>
      <c r="F730" s="13">
        <v>727</v>
      </c>
      <c r="G730" s="2">
        <v>44518</v>
      </c>
      <c r="H730" s="14">
        <f t="shared" si="239"/>
        <v>5.9108665439401914E-3</v>
      </c>
      <c r="I730" s="14">
        <f t="shared" si="240"/>
        <v>1.2720943142705298E-3</v>
      </c>
      <c r="J730" s="14">
        <f t="shared" si="241"/>
        <v>-6.6935297158383627E-3</v>
      </c>
      <c r="K730" s="22">
        <v>727</v>
      </c>
      <c r="L730" s="12"/>
      <c r="Q730" s="15">
        <f t="shared" si="242"/>
        <v>727</v>
      </c>
      <c r="R730" s="2">
        <f t="shared" si="238"/>
        <v>44518</v>
      </c>
      <c r="S730" s="9">
        <f t="shared" ca="1" si="243"/>
        <v>5.9108665439401914E-3</v>
      </c>
      <c r="T730" s="9">
        <f t="shared" ca="1" si="244"/>
        <v>1.2720943142705298E-3</v>
      </c>
      <c r="U730" s="9">
        <f t="shared" ca="1" si="245"/>
        <v>-6.6935297158383627E-3</v>
      </c>
      <c r="AB730" s="33" t="e">
        <f t="shared" ca="1" si="251"/>
        <v>#N/A</v>
      </c>
      <c r="AC730" s="34" t="e">
        <f t="shared" ca="1" si="252"/>
        <v>#N/A</v>
      </c>
      <c r="AD730" s="34" t="e">
        <f t="shared" ca="1" si="253"/>
        <v>#N/A</v>
      </c>
      <c r="AE730" s="33" t="e">
        <f t="shared" ca="1" si="254"/>
        <v>#N/A</v>
      </c>
      <c r="AF730" s="34" t="e">
        <f t="shared" ca="1" si="246"/>
        <v>#N/A</v>
      </c>
      <c r="AG730" s="34" t="e">
        <f t="shared" ca="1" si="247"/>
        <v>#N/A</v>
      </c>
      <c r="AH730" s="34" t="e">
        <f t="shared" ca="1" si="248"/>
        <v>#N/A</v>
      </c>
      <c r="AI730" s="33" t="e">
        <f t="shared" ca="1" si="255"/>
        <v>#N/A</v>
      </c>
      <c r="AJ730" s="34" t="e">
        <f t="shared" ca="1" si="256"/>
        <v>#N/A</v>
      </c>
      <c r="AK730" s="34" t="e">
        <f t="shared" ca="1" si="249"/>
        <v>#N/A</v>
      </c>
      <c r="AL730" s="34" t="e">
        <f t="shared" ca="1" si="250"/>
        <v>#N/A</v>
      </c>
      <c r="AM730" s="33" t="e">
        <f t="shared" ca="1" si="257"/>
        <v>#N/A</v>
      </c>
      <c r="AN730" s="34" t="e">
        <f t="shared" ca="1" si="258"/>
        <v>#N/A</v>
      </c>
    </row>
    <row r="731" spans="1:40" x14ac:dyDescent="0.3">
      <c r="A731" s="2">
        <v>44519</v>
      </c>
      <c r="B731" s="9">
        <v>117.739998</v>
      </c>
      <c r="C731" s="9">
        <v>121.80999799999999</v>
      </c>
      <c r="D731" s="9">
        <v>69.069999999999993</v>
      </c>
      <c r="E731" s="10"/>
      <c r="F731" s="13">
        <v>728</v>
      </c>
      <c r="G731" s="2">
        <v>44519</v>
      </c>
      <c r="H731" s="14">
        <f t="shared" si="239"/>
        <v>5.6213077075127757E-3</v>
      </c>
      <c r="I731" s="14">
        <f t="shared" si="240"/>
        <v>-3.2707748751269437E-2</v>
      </c>
      <c r="J731" s="14">
        <f t="shared" si="241"/>
        <v>-5.4790848959053957E-2</v>
      </c>
      <c r="K731" s="22">
        <v>728</v>
      </c>
      <c r="L731" s="12"/>
      <c r="Q731" s="15">
        <f t="shared" si="242"/>
        <v>728</v>
      </c>
      <c r="R731" s="2">
        <f t="shared" si="238"/>
        <v>44519</v>
      </c>
      <c r="S731" s="9">
        <f t="shared" ca="1" si="243"/>
        <v>5.6213077075127757E-3</v>
      </c>
      <c r="T731" s="9">
        <f t="shared" ca="1" si="244"/>
        <v>-3.2707748751269437E-2</v>
      </c>
      <c r="U731" s="9">
        <f t="shared" ca="1" si="245"/>
        <v>-5.4790848959053957E-2</v>
      </c>
      <c r="AB731" s="33" t="e">
        <f t="shared" ca="1" si="251"/>
        <v>#N/A</v>
      </c>
      <c r="AC731" s="34" t="e">
        <f t="shared" ca="1" si="252"/>
        <v>#N/A</v>
      </c>
      <c r="AD731" s="34" t="e">
        <f t="shared" ca="1" si="253"/>
        <v>#N/A</v>
      </c>
      <c r="AE731" s="33" t="e">
        <f t="shared" ca="1" si="254"/>
        <v>#N/A</v>
      </c>
      <c r="AF731" s="34" t="e">
        <f t="shared" ca="1" si="246"/>
        <v>#N/A</v>
      </c>
      <c r="AG731" s="34" t="e">
        <f t="shared" ca="1" si="247"/>
        <v>#N/A</v>
      </c>
      <c r="AH731" s="34" t="e">
        <f t="shared" ca="1" si="248"/>
        <v>#N/A</v>
      </c>
      <c r="AI731" s="33" t="e">
        <f t="shared" ca="1" si="255"/>
        <v>#N/A</v>
      </c>
      <c r="AJ731" s="34" t="e">
        <f t="shared" ca="1" si="256"/>
        <v>#N/A</v>
      </c>
      <c r="AK731" s="34" t="e">
        <f t="shared" ca="1" si="249"/>
        <v>#N/A</v>
      </c>
      <c r="AL731" s="34" t="e">
        <f t="shared" ca="1" si="250"/>
        <v>#N/A</v>
      </c>
      <c r="AM731" s="33" t="e">
        <f t="shared" ca="1" si="257"/>
        <v>#N/A</v>
      </c>
      <c r="AN731" s="34" t="e">
        <f t="shared" ca="1" si="258"/>
        <v>#N/A</v>
      </c>
    </row>
    <row r="732" spans="1:40" x14ac:dyDescent="0.3">
      <c r="A732" s="2">
        <v>44522</v>
      </c>
      <c r="B732" s="9">
        <v>117.989998</v>
      </c>
      <c r="C732" s="9">
        <v>124.69000200000001</v>
      </c>
      <c r="D732" s="9">
        <v>70.650002000000001</v>
      </c>
      <c r="E732" s="10"/>
      <c r="F732" s="13">
        <v>729</v>
      </c>
      <c r="G732" s="2">
        <v>44522</v>
      </c>
      <c r="H732" s="14">
        <f t="shared" si="239"/>
        <v>2.1210715477041177E-3</v>
      </c>
      <c r="I732" s="14">
        <f t="shared" si="240"/>
        <v>2.3368235755419294E-2</v>
      </c>
      <c r="J732" s="14">
        <f t="shared" si="241"/>
        <v>2.2617654338217982E-2</v>
      </c>
      <c r="K732" s="22">
        <v>729</v>
      </c>
      <c r="L732" s="12"/>
      <c r="Q732" s="15">
        <f t="shared" si="242"/>
        <v>729</v>
      </c>
      <c r="R732" s="2">
        <f t="shared" si="238"/>
        <v>44522</v>
      </c>
      <c r="S732" s="9">
        <f t="shared" ca="1" si="243"/>
        <v>2.1210715477041177E-3</v>
      </c>
      <c r="T732" s="9">
        <f t="shared" ca="1" si="244"/>
        <v>2.3368235755419294E-2</v>
      </c>
      <c r="U732" s="9">
        <f t="shared" ca="1" si="245"/>
        <v>2.2617654338217982E-2</v>
      </c>
      <c r="AB732" s="33" t="e">
        <f t="shared" ca="1" si="251"/>
        <v>#N/A</v>
      </c>
      <c r="AC732" s="34" t="e">
        <f t="shared" ca="1" si="252"/>
        <v>#N/A</v>
      </c>
      <c r="AD732" s="34" t="e">
        <f t="shared" ca="1" si="253"/>
        <v>#N/A</v>
      </c>
      <c r="AE732" s="33" t="e">
        <f t="shared" ca="1" si="254"/>
        <v>#N/A</v>
      </c>
      <c r="AF732" s="34" t="e">
        <f t="shared" ca="1" si="246"/>
        <v>#N/A</v>
      </c>
      <c r="AG732" s="34" t="e">
        <f t="shared" ca="1" si="247"/>
        <v>#N/A</v>
      </c>
      <c r="AH732" s="34" t="e">
        <f t="shared" ca="1" si="248"/>
        <v>#N/A</v>
      </c>
      <c r="AI732" s="33" t="e">
        <f t="shared" ca="1" si="255"/>
        <v>#N/A</v>
      </c>
      <c r="AJ732" s="34" t="e">
        <f t="shared" ca="1" si="256"/>
        <v>#N/A</v>
      </c>
      <c r="AK732" s="34" t="e">
        <f t="shared" ca="1" si="249"/>
        <v>#N/A</v>
      </c>
      <c r="AL732" s="34" t="e">
        <f t="shared" ca="1" si="250"/>
        <v>#N/A</v>
      </c>
      <c r="AM732" s="33" t="e">
        <f t="shared" ca="1" si="257"/>
        <v>#N/A</v>
      </c>
      <c r="AN732" s="34" t="e">
        <f t="shared" ca="1" si="258"/>
        <v>#N/A</v>
      </c>
    </row>
    <row r="733" spans="1:40" x14ac:dyDescent="0.3">
      <c r="A733" s="2">
        <v>44523</v>
      </c>
      <c r="B733" s="9">
        <v>117.550003</v>
      </c>
      <c r="C733" s="9">
        <v>124.349998</v>
      </c>
      <c r="D733" s="9">
        <v>72.550003000000004</v>
      </c>
      <c r="E733" s="10"/>
      <c r="F733" s="13">
        <v>730</v>
      </c>
      <c r="G733" s="2">
        <v>44523</v>
      </c>
      <c r="H733" s="14">
        <f t="shared" si="239"/>
        <v>-3.7360576541056122E-3</v>
      </c>
      <c r="I733" s="14">
        <f t="shared" si="240"/>
        <v>-2.7305188824947512E-3</v>
      </c>
      <c r="J733" s="14">
        <f t="shared" si="241"/>
        <v>2.6537883241889212E-2</v>
      </c>
      <c r="K733" s="22">
        <v>730</v>
      </c>
      <c r="L733" s="12"/>
      <c r="Q733" s="15">
        <f t="shared" si="242"/>
        <v>730</v>
      </c>
      <c r="R733" s="2">
        <f t="shared" si="238"/>
        <v>44523</v>
      </c>
      <c r="S733" s="9">
        <f t="shared" ca="1" si="243"/>
        <v>-3.7360576541056122E-3</v>
      </c>
      <c r="T733" s="9">
        <f t="shared" ca="1" si="244"/>
        <v>-2.7305188824947512E-3</v>
      </c>
      <c r="U733" s="9">
        <f t="shared" ca="1" si="245"/>
        <v>2.6537883241889212E-2</v>
      </c>
      <c r="AB733" s="33" t="e">
        <f t="shared" ca="1" si="251"/>
        <v>#N/A</v>
      </c>
      <c r="AC733" s="34" t="e">
        <f t="shared" ca="1" si="252"/>
        <v>#N/A</v>
      </c>
      <c r="AD733" s="34" t="e">
        <f t="shared" ca="1" si="253"/>
        <v>#N/A</v>
      </c>
      <c r="AE733" s="33" t="e">
        <f t="shared" ca="1" si="254"/>
        <v>#N/A</v>
      </c>
      <c r="AF733" s="34" t="e">
        <f t="shared" ca="1" si="246"/>
        <v>#N/A</v>
      </c>
      <c r="AG733" s="34" t="e">
        <f t="shared" ca="1" si="247"/>
        <v>#N/A</v>
      </c>
      <c r="AH733" s="34" t="e">
        <f t="shared" ca="1" si="248"/>
        <v>#N/A</v>
      </c>
      <c r="AI733" s="33" t="e">
        <f t="shared" ca="1" si="255"/>
        <v>#N/A</v>
      </c>
      <c r="AJ733" s="34" t="e">
        <f t="shared" ca="1" si="256"/>
        <v>#N/A</v>
      </c>
      <c r="AK733" s="34" t="e">
        <f t="shared" ca="1" si="249"/>
        <v>#N/A</v>
      </c>
      <c r="AL733" s="34" t="e">
        <f t="shared" ca="1" si="250"/>
        <v>#N/A</v>
      </c>
      <c r="AM733" s="33" t="e">
        <f t="shared" ca="1" si="257"/>
        <v>#N/A</v>
      </c>
      <c r="AN733" s="34" t="e">
        <f t="shared" ca="1" si="258"/>
        <v>#N/A</v>
      </c>
    </row>
    <row r="734" spans="1:40" x14ac:dyDescent="0.3">
      <c r="A734" s="2">
        <v>44524</v>
      </c>
      <c r="B734" s="9">
        <v>117.910004</v>
      </c>
      <c r="C734" s="9">
        <v>121.550003</v>
      </c>
      <c r="D734" s="9">
        <v>72.949996999999996</v>
      </c>
      <c r="E734" s="10"/>
      <c r="F734" s="13">
        <v>731</v>
      </c>
      <c r="G734" s="2">
        <v>44524</v>
      </c>
      <c r="H734" s="14">
        <f t="shared" si="239"/>
        <v>3.0578550056278154E-3</v>
      </c>
      <c r="I734" s="14">
        <f t="shared" si="240"/>
        <v>-2.2774428722445356E-2</v>
      </c>
      <c r="J734" s="14">
        <f t="shared" si="241"/>
        <v>5.4982131637475225E-3</v>
      </c>
      <c r="K734" s="22">
        <v>731</v>
      </c>
      <c r="L734" s="12"/>
      <c r="Q734" s="15">
        <f t="shared" si="242"/>
        <v>731</v>
      </c>
      <c r="R734" s="2">
        <f t="shared" si="238"/>
        <v>44524</v>
      </c>
      <c r="S734" s="9">
        <f t="shared" ca="1" si="243"/>
        <v>3.0578550056278154E-3</v>
      </c>
      <c r="T734" s="9">
        <f t="shared" ca="1" si="244"/>
        <v>-2.2774428722445356E-2</v>
      </c>
      <c r="U734" s="9">
        <f t="shared" ca="1" si="245"/>
        <v>5.4982131637475225E-3</v>
      </c>
      <c r="AB734" s="33" t="e">
        <f t="shared" ca="1" si="251"/>
        <v>#N/A</v>
      </c>
      <c r="AC734" s="34" t="e">
        <f t="shared" ca="1" si="252"/>
        <v>#N/A</v>
      </c>
      <c r="AD734" s="34" t="e">
        <f t="shared" ca="1" si="253"/>
        <v>#N/A</v>
      </c>
      <c r="AE734" s="33" t="e">
        <f t="shared" ca="1" si="254"/>
        <v>#N/A</v>
      </c>
      <c r="AF734" s="34" t="e">
        <f t="shared" ca="1" si="246"/>
        <v>#N/A</v>
      </c>
      <c r="AG734" s="34" t="e">
        <f t="shared" ca="1" si="247"/>
        <v>#N/A</v>
      </c>
      <c r="AH734" s="34" t="e">
        <f t="shared" ca="1" si="248"/>
        <v>#N/A</v>
      </c>
      <c r="AI734" s="33" t="e">
        <f t="shared" ca="1" si="255"/>
        <v>#N/A</v>
      </c>
      <c r="AJ734" s="34" t="e">
        <f t="shared" ca="1" si="256"/>
        <v>#N/A</v>
      </c>
      <c r="AK734" s="34" t="e">
        <f t="shared" ca="1" si="249"/>
        <v>#N/A</v>
      </c>
      <c r="AL734" s="34" t="e">
        <f t="shared" ca="1" si="250"/>
        <v>#N/A</v>
      </c>
      <c r="AM734" s="33" t="e">
        <f t="shared" ca="1" si="257"/>
        <v>#N/A</v>
      </c>
      <c r="AN734" s="34" t="e">
        <f t="shared" ca="1" si="258"/>
        <v>#N/A</v>
      </c>
    </row>
    <row r="735" spans="1:40" x14ac:dyDescent="0.3">
      <c r="A735" s="2">
        <v>44526</v>
      </c>
      <c r="B735" s="9">
        <v>114.57</v>
      </c>
      <c r="C735" s="9">
        <v>116.43</v>
      </c>
      <c r="D735" s="9">
        <v>68.010002</v>
      </c>
      <c r="E735" s="10"/>
      <c r="F735" s="13">
        <v>732</v>
      </c>
      <c r="G735" s="2">
        <v>44526</v>
      </c>
      <c r="H735" s="14">
        <f t="shared" si="239"/>
        <v>-2.8735665607226419E-2</v>
      </c>
      <c r="I735" s="14">
        <f t="shared" si="240"/>
        <v>-4.3035491394408501E-2</v>
      </c>
      <c r="J735" s="14">
        <f t="shared" si="241"/>
        <v>-7.0119451249749207E-2</v>
      </c>
      <c r="K735" s="22">
        <v>732</v>
      </c>
      <c r="L735" s="12"/>
      <c r="Q735" s="15">
        <f t="shared" si="242"/>
        <v>732</v>
      </c>
      <c r="R735" s="2">
        <f t="shared" si="238"/>
        <v>44526</v>
      </c>
      <c r="S735" s="9">
        <f t="shared" ca="1" si="243"/>
        <v>-2.8735665607226419E-2</v>
      </c>
      <c r="T735" s="9">
        <f t="shared" ca="1" si="244"/>
        <v>-4.3035491394408501E-2</v>
      </c>
      <c r="U735" s="9">
        <f t="shared" ca="1" si="245"/>
        <v>-7.0119451249749207E-2</v>
      </c>
      <c r="AB735" s="33" t="e">
        <f t="shared" ca="1" si="251"/>
        <v>#N/A</v>
      </c>
      <c r="AC735" s="34" t="e">
        <f t="shared" ca="1" si="252"/>
        <v>#N/A</v>
      </c>
      <c r="AD735" s="34" t="e">
        <f t="shared" ca="1" si="253"/>
        <v>#N/A</v>
      </c>
      <c r="AE735" s="33" t="e">
        <f t="shared" ca="1" si="254"/>
        <v>#N/A</v>
      </c>
      <c r="AF735" s="34" t="e">
        <f t="shared" ca="1" si="246"/>
        <v>#N/A</v>
      </c>
      <c r="AG735" s="34" t="e">
        <f t="shared" ca="1" si="247"/>
        <v>#N/A</v>
      </c>
      <c r="AH735" s="34" t="e">
        <f t="shared" ca="1" si="248"/>
        <v>#N/A</v>
      </c>
      <c r="AI735" s="33" t="e">
        <f t="shared" ca="1" si="255"/>
        <v>#N/A</v>
      </c>
      <c r="AJ735" s="34" t="e">
        <f t="shared" ca="1" si="256"/>
        <v>#N/A</v>
      </c>
      <c r="AK735" s="34" t="e">
        <f t="shared" ca="1" si="249"/>
        <v>#N/A</v>
      </c>
      <c r="AL735" s="34" t="e">
        <f t="shared" ca="1" si="250"/>
        <v>#N/A</v>
      </c>
      <c r="AM735" s="33" t="e">
        <f t="shared" ca="1" si="257"/>
        <v>#N/A</v>
      </c>
      <c r="AN735" s="34" t="e">
        <f t="shared" ca="1" si="258"/>
        <v>#N/A</v>
      </c>
    </row>
    <row r="736" spans="1:40" x14ac:dyDescent="0.3">
      <c r="A736" s="2">
        <v>44529</v>
      </c>
      <c r="B736" s="9">
        <v>114.760002</v>
      </c>
      <c r="C736" s="9">
        <v>119.120003</v>
      </c>
      <c r="D736" s="9">
        <v>68.169998000000007</v>
      </c>
      <c r="E736" s="10"/>
      <c r="F736" s="13">
        <v>733</v>
      </c>
      <c r="G736" s="2">
        <v>44529</v>
      </c>
      <c r="H736" s="14">
        <f t="shared" si="239"/>
        <v>1.6570186353044684E-3</v>
      </c>
      <c r="I736" s="14">
        <f t="shared" si="240"/>
        <v>2.2841179511516214E-2</v>
      </c>
      <c r="J736" s="14">
        <f t="shared" si="241"/>
        <v>2.3497734412879991E-3</v>
      </c>
      <c r="K736" s="22">
        <v>733</v>
      </c>
      <c r="L736" s="12"/>
      <c r="Q736" s="15">
        <f t="shared" si="242"/>
        <v>733</v>
      </c>
      <c r="R736" s="2">
        <f t="shared" si="238"/>
        <v>44529</v>
      </c>
      <c r="S736" s="9">
        <f t="shared" ca="1" si="243"/>
        <v>1.6570186353044684E-3</v>
      </c>
      <c r="T736" s="9">
        <f t="shared" ca="1" si="244"/>
        <v>2.2841179511516214E-2</v>
      </c>
      <c r="U736" s="9">
        <f t="shared" ca="1" si="245"/>
        <v>2.3497734412879991E-3</v>
      </c>
      <c r="AB736" s="33" t="e">
        <f t="shared" ca="1" si="251"/>
        <v>#N/A</v>
      </c>
      <c r="AC736" s="34" t="e">
        <f t="shared" ca="1" si="252"/>
        <v>#N/A</v>
      </c>
      <c r="AD736" s="34" t="e">
        <f t="shared" ca="1" si="253"/>
        <v>#N/A</v>
      </c>
      <c r="AE736" s="33" t="e">
        <f t="shared" ca="1" si="254"/>
        <v>#N/A</v>
      </c>
      <c r="AF736" s="34" t="e">
        <f t="shared" ca="1" si="246"/>
        <v>#N/A</v>
      </c>
      <c r="AG736" s="34" t="e">
        <f t="shared" ca="1" si="247"/>
        <v>#N/A</v>
      </c>
      <c r="AH736" s="34" t="e">
        <f t="shared" ca="1" si="248"/>
        <v>#N/A</v>
      </c>
      <c r="AI736" s="33" t="e">
        <f t="shared" ca="1" si="255"/>
        <v>#N/A</v>
      </c>
      <c r="AJ736" s="34" t="e">
        <f t="shared" ca="1" si="256"/>
        <v>#N/A</v>
      </c>
      <c r="AK736" s="34" t="e">
        <f t="shared" ca="1" si="249"/>
        <v>#N/A</v>
      </c>
      <c r="AL736" s="34" t="e">
        <f t="shared" ca="1" si="250"/>
        <v>#N/A</v>
      </c>
      <c r="AM736" s="33" t="e">
        <f t="shared" ca="1" si="257"/>
        <v>#N/A</v>
      </c>
      <c r="AN736" s="34" t="e">
        <f t="shared" ca="1" si="258"/>
        <v>#N/A</v>
      </c>
    </row>
    <row r="737" spans="1:40" x14ac:dyDescent="0.3">
      <c r="A737" s="2">
        <v>44530</v>
      </c>
      <c r="B737" s="9">
        <v>111.16999800000001</v>
      </c>
      <c r="C737" s="9">
        <v>116.040001</v>
      </c>
      <c r="D737" s="9">
        <v>66.940002000000007</v>
      </c>
      <c r="E737" s="10"/>
      <c r="F737" s="13">
        <v>734</v>
      </c>
      <c r="G737" s="2">
        <v>44530</v>
      </c>
      <c r="H737" s="14">
        <f t="shared" si="239"/>
        <v>-3.1782465285780583E-2</v>
      </c>
      <c r="I737" s="14">
        <f t="shared" si="240"/>
        <v>-2.6196445689519579E-2</v>
      </c>
      <c r="J737" s="14">
        <f t="shared" si="241"/>
        <v>-1.8207830375592444E-2</v>
      </c>
      <c r="K737" s="22">
        <v>734</v>
      </c>
      <c r="L737" s="12"/>
      <c r="Q737" s="15">
        <f t="shared" si="242"/>
        <v>734</v>
      </c>
      <c r="R737" s="2">
        <f t="shared" si="238"/>
        <v>44530</v>
      </c>
      <c r="S737" s="9">
        <f t="shared" ca="1" si="243"/>
        <v>-3.1782465285780583E-2</v>
      </c>
      <c r="T737" s="9">
        <f t="shared" ca="1" si="244"/>
        <v>-2.6196445689519579E-2</v>
      </c>
      <c r="U737" s="9">
        <f t="shared" ca="1" si="245"/>
        <v>-1.8207830375592444E-2</v>
      </c>
      <c r="AB737" s="33" t="e">
        <f t="shared" ca="1" si="251"/>
        <v>#N/A</v>
      </c>
      <c r="AC737" s="34" t="e">
        <f t="shared" ca="1" si="252"/>
        <v>#N/A</v>
      </c>
      <c r="AD737" s="34" t="e">
        <f t="shared" ca="1" si="253"/>
        <v>#N/A</v>
      </c>
      <c r="AE737" s="33" t="e">
        <f t="shared" ca="1" si="254"/>
        <v>#N/A</v>
      </c>
      <c r="AF737" s="34" t="e">
        <f t="shared" ca="1" si="246"/>
        <v>#N/A</v>
      </c>
      <c r="AG737" s="34" t="e">
        <f t="shared" ca="1" si="247"/>
        <v>#N/A</v>
      </c>
      <c r="AH737" s="34" t="e">
        <f t="shared" ca="1" si="248"/>
        <v>#N/A</v>
      </c>
      <c r="AI737" s="33" t="e">
        <f t="shared" ca="1" si="255"/>
        <v>#N/A</v>
      </c>
      <c r="AJ737" s="34" t="e">
        <f t="shared" ca="1" si="256"/>
        <v>#N/A</v>
      </c>
      <c r="AK737" s="34" t="e">
        <f t="shared" ca="1" si="249"/>
        <v>#N/A</v>
      </c>
      <c r="AL737" s="34" t="e">
        <f t="shared" ca="1" si="250"/>
        <v>#N/A</v>
      </c>
      <c r="AM737" s="33" t="e">
        <f t="shared" ca="1" si="257"/>
        <v>#N/A</v>
      </c>
      <c r="AN737" s="34" t="e">
        <f t="shared" ca="1" si="258"/>
        <v>#N/A</v>
      </c>
    </row>
    <row r="738" spans="1:40" x14ac:dyDescent="0.3">
      <c r="A738" s="2">
        <v>44531</v>
      </c>
      <c r="B738" s="9">
        <v>108.019997</v>
      </c>
      <c r="C738" s="9">
        <v>116.449997</v>
      </c>
      <c r="D738" s="9">
        <v>67.309997999999993</v>
      </c>
      <c r="E738" s="10"/>
      <c r="F738" s="13">
        <v>735</v>
      </c>
      <c r="G738" s="2">
        <v>44531</v>
      </c>
      <c r="H738" s="14">
        <f t="shared" si="239"/>
        <v>-2.8744175862948432E-2</v>
      </c>
      <c r="I738" s="14">
        <f t="shared" si="240"/>
        <v>3.5270026972987344E-3</v>
      </c>
      <c r="J738" s="14">
        <f t="shared" si="241"/>
        <v>5.5120586486718231E-3</v>
      </c>
      <c r="K738" s="22">
        <v>735</v>
      </c>
      <c r="L738" s="12"/>
      <c r="Q738" s="15">
        <f t="shared" si="242"/>
        <v>735</v>
      </c>
      <c r="R738" s="2">
        <f t="shared" si="238"/>
        <v>44531</v>
      </c>
      <c r="S738" s="9">
        <f t="shared" ca="1" si="243"/>
        <v>-2.8744175862948432E-2</v>
      </c>
      <c r="T738" s="9">
        <f t="shared" ca="1" si="244"/>
        <v>3.5270026972987344E-3</v>
      </c>
      <c r="U738" s="9">
        <f t="shared" ca="1" si="245"/>
        <v>5.5120586486718231E-3</v>
      </c>
      <c r="AB738" s="33" t="e">
        <f t="shared" ca="1" si="251"/>
        <v>#N/A</v>
      </c>
      <c r="AC738" s="34" t="e">
        <f t="shared" ca="1" si="252"/>
        <v>#N/A</v>
      </c>
      <c r="AD738" s="34" t="e">
        <f t="shared" ca="1" si="253"/>
        <v>#N/A</v>
      </c>
      <c r="AE738" s="33" t="e">
        <f t="shared" ca="1" si="254"/>
        <v>#N/A</v>
      </c>
      <c r="AF738" s="34" t="e">
        <f t="shared" ca="1" si="246"/>
        <v>#N/A</v>
      </c>
      <c r="AG738" s="34" t="e">
        <f t="shared" ca="1" si="247"/>
        <v>#N/A</v>
      </c>
      <c r="AH738" s="34" t="e">
        <f t="shared" ca="1" si="248"/>
        <v>#N/A</v>
      </c>
      <c r="AI738" s="33" t="e">
        <f t="shared" ca="1" si="255"/>
        <v>#N/A</v>
      </c>
      <c r="AJ738" s="34" t="e">
        <f t="shared" ca="1" si="256"/>
        <v>#N/A</v>
      </c>
      <c r="AK738" s="34" t="e">
        <f t="shared" ca="1" si="249"/>
        <v>#N/A</v>
      </c>
      <c r="AL738" s="34" t="e">
        <f t="shared" ca="1" si="250"/>
        <v>#N/A</v>
      </c>
      <c r="AM738" s="33" t="e">
        <f t="shared" ca="1" si="257"/>
        <v>#N/A</v>
      </c>
      <c r="AN738" s="34" t="e">
        <f t="shared" ca="1" si="258"/>
        <v>#N/A</v>
      </c>
    </row>
    <row r="739" spans="1:40" x14ac:dyDescent="0.3">
      <c r="A739" s="2">
        <v>44532</v>
      </c>
      <c r="B739" s="9">
        <v>111.370003</v>
      </c>
      <c r="C739" s="9">
        <v>119.139999</v>
      </c>
      <c r="D739" s="9">
        <v>71.169998000000007</v>
      </c>
      <c r="E739" s="10"/>
      <c r="F739" s="13">
        <v>736</v>
      </c>
      <c r="G739" s="2">
        <v>44532</v>
      </c>
      <c r="H739" s="14">
        <f t="shared" si="239"/>
        <v>3.05416509501346E-2</v>
      </c>
      <c r="I739" s="14">
        <f t="shared" si="240"/>
        <v>2.2837293238834679E-2</v>
      </c>
      <c r="J739" s="14">
        <f t="shared" si="241"/>
        <v>5.5762568900097044E-2</v>
      </c>
      <c r="K739" s="22">
        <v>736</v>
      </c>
      <c r="L739" s="12"/>
      <c r="Q739" s="15">
        <f t="shared" si="242"/>
        <v>736</v>
      </c>
      <c r="R739" s="2">
        <f t="shared" si="238"/>
        <v>44532</v>
      </c>
      <c r="S739" s="9">
        <f t="shared" ca="1" si="243"/>
        <v>3.05416509501346E-2</v>
      </c>
      <c r="T739" s="9">
        <f t="shared" ca="1" si="244"/>
        <v>2.2837293238834679E-2</v>
      </c>
      <c r="U739" s="9">
        <f t="shared" ca="1" si="245"/>
        <v>5.5762568900097044E-2</v>
      </c>
      <c r="AB739" s="33" t="e">
        <f t="shared" ca="1" si="251"/>
        <v>#N/A</v>
      </c>
      <c r="AC739" s="34" t="e">
        <f t="shared" ca="1" si="252"/>
        <v>#N/A</v>
      </c>
      <c r="AD739" s="34" t="e">
        <f t="shared" ca="1" si="253"/>
        <v>#N/A</v>
      </c>
      <c r="AE739" s="33" t="e">
        <f t="shared" ca="1" si="254"/>
        <v>#N/A</v>
      </c>
      <c r="AF739" s="34" t="e">
        <f t="shared" ca="1" si="246"/>
        <v>#N/A</v>
      </c>
      <c r="AG739" s="34" t="e">
        <f t="shared" ca="1" si="247"/>
        <v>#N/A</v>
      </c>
      <c r="AH739" s="34" t="e">
        <f t="shared" ca="1" si="248"/>
        <v>#N/A</v>
      </c>
      <c r="AI739" s="33" t="e">
        <f t="shared" ca="1" si="255"/>
        <v>#N/A</v>
      </c>
      <c r="AJ739" s="34" t="e">
        <f t="shared" ca="1" si="256"/>
        <v>#N/A</v>
      </c>
      <c r="AK739" s="34" t="e">
        <f t="shared" ca="1" si="249"/>
        <v>#N/A</v>
      </c>
      <c r="AL739" s="34" t="e">
        <f t="shared" ca="1" si="250"/>
        <v>#N/A</v>
      </c>
      <c r="AM739" s="33" t="e">
        <f t="shared" ca="1" si="257"/>
        <v>#N/A</v>
      </c>
      <c r="AN739" s="34" t="e">
        <f t="shared" ca="1" si="258"/>
        <v>#N/A</v>
      </c>
    </row>
    <row r="740" spans="1:40" x14ac:dyDescent="0.3">
      <c r="A740" s="2">
        <v>44533</v>
      </c>
      <c r="B740" s="9">
        <v>107.650002</v>
      </c>
      <c r="C740" s="9">
        <v>116.16999800000001</v>
      </c>
      <c r="D740" s="9">
        <v>69.709998999999996</v>
      </c>
      <c r="E740" s="10"/>
      <c r="F740" s="13">
        <v>737</v>
      </c>
      <c r="G740" s="2">
        <v>44533</v>
      </c>
      <c r="H740" s="14">
        <f t="shared" si="239"/>
        <v>-3.3972775953145427E-2</v>
      </c>
      <c r="I740" s="14">
        <f t="shared" si="240"/>
        <v>-2.5244645497820118E-2</v>
      </c>
      <c r="J740" s="14">
        <f t="shared" si="241"/>
        <v>-2.0727588056288101E-2</v>
      </c>
      <c r="K740" s="22">
        <v>737</v>
      </c>
      <c r="L740" s="12"/>
      <c r="Q740" s="15">
        <f t="shared" si="242"/>
        <v>737</v>
      </c>
      <c r="R740" s="2">
        <f t="shared" si="238"/>
        <v>44533</v>
      </c>
      <c r="S740" s="9">
        <f t="shared" ca="1" si="243"/>
        <v>-3.3972775953145427E-2</v>
      </c>
      <c r="T740" s="9">
        <f t="shared" ca="1" si="244"/>
        <v>-2.5244645497820118E-2</v>
      </c>
      <c r="U740" s="9">
        <f t="shared" ca="1" si="245"/>
        <v>-2.0727588056288101E-2</v>
      </c>
      <c r="AB740" s="33" t="e">
        <f t="shared" ca="1" si="251"/>
        <v>#N/A</v>
      </c>
      <c r="AC740" s="34" t="e">
        <f t="shared" ca="1" si="252"/>
        <v>#N/A</v>
      </c>
      <c r="AD740" s="34" t="e">
        <f t="shared" ca="1" si="253"/>
        <v>#N/A</v>
      </c>
      <c r="AE740" s="33" t="e">
        <f t="shared" ca="1" si="254"/>
        <v>#N/A</v>
      </c>
      <c r="AF740" s="34" t="e">
        <f t="shared" ca="1" si="246"/>
        <v>#N/A</v>
      </c>
      <c r="AG740" s="34" t="e">
        <f t="shared" ca="1" si="247"/>
        <v>#N/A</v>
      </c>
      <c r="AH740" s="34" t="e">
        <f t="shared" ca="1" si="248"/>
        <v>#N/A</v>
      </c>
      <c r="AI740" s="33" t="e">
        <f t="shared" ca="1" si="255"/>
        <v>#N/A</v>
      </c>
      <c r="AJ740" s="34" t="e">
        <f t="shared" ca="1" si="256"/>
        <v>#N/A</v>
      </c>
      <c r="AK740" s="34" t="e">
        <f t="shared" ca="1" si="249"/>
        <v>#N/A</v>
      </c>
      <c r="AL740" s="34" t="e">
        <f t="shared" ca="1" si="250"/>
        <v>#N/A</v>
      </c>
      <c r="AM740" s="33" t="e">
        <f t="shared" ca="1" si="257"/>
        <v>#N/A</v>
      </c>
      <c r="AN740" s="34" t="e">
        <f t="shared" ca="1" si="258"/>
        <v>#N/A</v>
      </c>
    </row>
    <row r="741" spans="1:40" x14ac:dyDescent="0.3">
      <c r="A741" s="2">
        <v>44536</v>
      </c>
      <c r="B741" s="9">
        <v>107.57</v>
      </c>
      <c r="C741" s="9">
        <v>122.55999799999999</v>
      </c>
      <c r="D741" s="9">
        <v>70.410004000000001</v>
      </c>
      <c r="E741" s="10"/>
      <c r="F741" s="13">
        <v>738</v>
      </c>
      <c r="G741" s="2">
        <v>44536</v>
      </c>
      <c r="H741" s="14">
        <f t="shared" si="239"/>
        <v>-7.4344394518520657E-4</v>
      </c>
      <c r="I741" s="14">
        <f t="shared" si="240"/>
        <v>5.3546071364508473E-2</v>
      </c>
      <c r="J741" s="14">
        <f t="shared" si="241"/>
        <v>9.9915901879894173E-3</v>
      </c>
      <c r="K741" s="22">
        <v>738</v>
      </c>
      <c r="L741" s="12"/>
      <c r="Q741" s="15">
        <f t="shared" si="242"/>
        <v>738</v>
      </c>
      <c r="R741" s="2">
        <f t="shared" si="238"/>
        <v>44536</v>
      </c>
      <c r="S741" s="9">
        <f t="shared" ca="1" si="243"/>
        <v>-7.4344394518520657E-4</v>
      </c>
      <c r="T741" s="9">
        <f t="shared" ca="1" si="244"/>
        <v>5.3546071364508473E-2</v>
      </c>
      <c r="U741" s="9">
        <f t="shared" ca="1" si="245"/>
        <v>9.9915901879894173E-3</v>
      </c>
      <c r="AB741" s="33" t="e">
        <f t="shared" ca="1" si="251"/>
        <v>#N/A</v>
      </c>
      <c r="AC741" s="34" t="e">
        <f t="shared" ca="1" si="252"/>
        <v>#N/A</v>
      </c>
      <c r="AD741" s="34" t="e">
        <f t="shared" ca="1" si="253"/>
        <v>#N/A</v>
      </c>
      <c r="AE741" s="33" t="e">
        <f t="shared" ca="1" si="254"/>
        <v>#N/A</v>
      </c>
      <c r="AF741" s="34" t="e">
        <f t="shared" ca="1" si="246"/>
        <v>#N/A</v>
      </c>
      <c r="AG741" s="34" t="e">
        <f t="shared" ca="1" si="247"/>
        <v>#N/A</v>
      </c>
      <c r="AH741" s="34" t="e">
        <f t="shared" ca="1" si="248"/>
        <v>#N/A</v>
      </c>
      <c r="AI741" s="33" t="e">
        <f t="shared" ca="1" si="255"/>
        <v>#N/A</v>
      </c>
      <c r="AJ741" s="34" t="e">
        <f t="shared" ca="1" si="256"/>
        <v>#N/A</v>
      </c>
      <c r="AK741" s="34" t="e">
        <f t="shared" ca="1" si="249"/>
        <v>#N/A</v>
      </c>
      <c r="AL741" s="34" t="e">
        <f t="shared" ca="1" si="250"/>
        <v>#N/A</v>
      </c>
      <c r="AM741" s="33" t="e">
        <f t="shared" ca="1" si="257"/>
        <v>#N/A</v>
      </c>
      <c r="AN741" s="34" t="e">
        <f t="shared" ca="1" si="258"/>
        <v>#N/A</v>
      </c>
    </row>
    <row r="742" spans="1:40" x14ac:dyDescent="0.3">
      <c r="A742" s="2">
        <v>44537</v>
      </c>
      <c r="B742" s="9">
        <v>109.260002</v>
      </c>
      <c r="C742" s="9">
        <v>124.519997</v>
      </c>
      <c r="D742" s="9">
        <v>71.629997000000003</v>
      </c>
      <c r="E742" s="10"/>
      <c r="F742" s="13">
        <v>739</v>
      </c>
      <c r="G742" s="2">
        <v>44537</v>
      </c>
      <c r="H742" s="14">
        <f t="shared" si="239"/>
        <v>1.5588582828618141E-2</v>
      </c>
      <c r="I742" s="14">
        <f t="shared" si="240"/>
        <v>1.586563180714877E-2</v>
      </c>
      <c r="J742" s="14">
        <f t="shared" si="241"/>
        <v>1.717858340331355E-2</v>
      </c>
      <c r="K742" s="22">
        <v>739</v>
      </c>
      <c r="L742" s="12"/>
      <c r="Q742" s="15">
        <f t="shared" si="242"/>
        <v>739</v>
      </c>
      <c r="R742" s="2">
        <f t="shared" si="238"/>
        <v>44537</v>
      </c>
      <c r="S742" s="9">
        <f t="shared" ca="1" si="243"/>
        <v>1.5588582828618141E-2</v>
      </c>
      <c r="T742" s="9">
        <f t="shared" ca="1" si="244"/>
        <v>1.586563180714877E-2</v>
      </c>
      <c r="U742" s="9">
        <f t="shared" ca="1" si="245"/>
        <v>1.717858340331355E-2</v>
      </c>
      <c r="AB742" s="33" t="e">
        <f t="shared" ca="1" si="251"/>
        <v>#N/A</v>
      </c>
      <c r="AC742" s="34" t="e">
        <f t="shared" ca="1" si="252"/>
        <v>#N/A</v>
      </c>
      <c r="AD742" s="34" t="e">
        <f t="shared" ca="1" si="253"/>
        <v>#N/A</v>
      </c>
      <c r="AE742" s="33" t="e">
        <f t="shared" ca="1" si="254"/>
        <v>#N/A</v>
      </c>
      <c r="AF742" s="34" t="e">
        <f t="shared" ca="1" si="246"/>
        <v>#N/A</v>
      </c>
      <c r="AG742" s="34" t="e">
        <f t="shared" ca="1" si="247"/>
        <v>#N/A</v>
      </c>
      <c r="AH742" s="34" t="e">
        <f t="shared" ca="1" si="248"/>
        <v>#N/A</v>
      </c>
      <c r="AI742" s="33" t="e">
        <f t="shared" ca="1" si="255"/>
        <v>#N/A</v>
      </c>
      <c r="AJ742" s="34" t="e">
        <f t="shared" ca="1" si="256"/>
        <v>#N/A</v>
      </c>
      <c r="AK742" s="34" t="e">
        <f t="shared" ca="1" si="249"/>
        <v>#N/A</v>
      </c>
      <c r="AL742" s="34" t="e">
        <f t="shared" ca="1" si="250"/>
        <v>#N/A</v>
      </c>
      <c r="AM742" s="33" t="e">
        <f t="shared" ca="1" si="257"/>
        <v>#N/A</v>
      </c>
      <c r="AN742" s="34" t="e">
        <f t="shared" ca="1" si="258"/>
        <v>#N/A</v>
      </c>
    </row>
    <row r="743" spans="1:40" x14ac:dyDescent="0.3">
      <c r="A743" s="2">
        <v>44538</v>
      </c>
      <c r="B743" s="9">
        <v>109.900002</v>
      </c>
      <c r="C743" s="9">
        <v>124.16999800000001</v>
      </c>
      <c r="D743" s="9">
        <v>70.720000999999996</v>
      </c>
      <c r="E743" s="10"/>
      <c r="F743" s="13">
        <v>740</v>
      </c>
      <c r="G743" s="2">
        <v>44538</v>
      </c>
      <c r="H743" s="14">
        <f t="shared" si="239"/>
        <v>5.8404983354055544E-3</v>
      </c>
      <c r="I743" s="14">
        <f t="shared" si="240"/>
        <v>-2.8147431590913709E-3</v>
      </c>
      <c r="J743" s="14">
        <f t="shared" si="241"/>
        <v>-1.2785506274806575E-2</v>
      </c>
      <c r="K743" s="22">
        <v>740</v>
      </c>
      <c r="L743" s="12"/>
      <c r="Q743" s="15">
        <f t="shared" si="242"/>
        <v>740</v>
      </c>
      <c r="R743" s="2">
        <f t="shared" si="238"/>
        <v>44538</v>
      </c>
      <c r="S743" s="9">
        <f t="shared" ca="1" si="243"/>
        <v>5.8404983354055544E-3</v>
      </c>
      <c r="T743" s="9">
        <f t="shared" ca="1" si="244"/>
        <v>-2.8147431590913709E-3</v>
      </c>
      <c r="U743" s="9">
        <f t="shared" ca="1" si="245"/>
        <v>-1.2785506274806575E-2</v>
      </c>
      <c r="AB743" s="33" t="e">
        <f t="shared" ca="1" si="251"/>
        <v>#N/A</v>
      </c>
      <c r="AC743" s="34" t="e">
        <f t="shared" ca="1" si="252"/>
        <v>#N/A</v>
      </c>
      <c r="AD743" s="34" t="e">
        <f t="shared" ca="1" si="253"/>
        <v>#N/A</v>
      </c>
      <c r="AE743" s="33" t="e">
        <f t="shared" ca="1" si="254"/>
        <v>#N/A</v>
      </c>
      <c r="AF743" s="34" t="e">
        <f t="shared" ca="1" si="246"/>
        <v>#N/A</v>
      </c>
      <c r="AG743" s="34" t="e">
        <f t="shared" ca="1" si="247"/>
        <v>#N/A</v>
      </c>
      <c r="AH743" s="34" t="e">
        <f t="shared" ca="1" si="248"/>
        <v>#N/A</v>
      </c>
      <c r="AI743" s="33" t="e">
        <f t="shared" ca="1" si="255"/>
        <v>#N/A</v>
      </c>
      <c r="AJ743" s="34" t="e">
        <f t="shared" ca="1" si="256"/>
        <v>#N/A</v>
      </c>
      <c r="AK743" s="34" t="e">
        <f t="shared" ca="1" si="249"/>
        <v>#N/A</v>
      </c>
      <c r="AL743" s="34" t="e">
        <f t="shared" ca="1" si="250"/>
        <v>#N/A</v>
      </c>
      <c r="AM743" s="33" t="e">
        <f t="shared" ca="1" si="257"/>
        <v>#N/A</v>
      </c>
      <c r="AN743" s="34" t="e">
        <f t="shared" ca="1" si="258"/>
        <v>#N/A</v>
      </c>
    </row>
    <row r="744" spans="1:40" x14ac:dyDescent="0.3">
      <c r="A744" s="2">
        <v>44539</v>
      </c>
      <c r="B744" s="9">
        <v>108.029999</v>
      </c>
      <c r="C744" s="9">
        <v>122.660004</v>
      </c>
      <c r="D744" s="9">
        <v>70.309997999999993</v>
      </c>
      <c r="E744" s="10"/>
      <c r="F744" s="13">
        <v>741</v>
      </c>
      <c r="G744" s="2">
        <v>44539</v>
      </c>
      <c r="H744" s="14">
        <f t="shared" si="239"/>
        <v>-1.7161922535732094E-2</v>
      </c>
      <c r="I744" s="14">
        <f t="shared" si="240"/>
        <v>-1.2235245513495398E-2</v>
      </c>
      <c r="J744" s="14">
        <f t="shared" si="241"/>
        <v>-5.8144247040456979E-3</v>
      </c>
      <c r="K744" s="22">
        <v>741</v>
      </c>
      <c r="L744" s="12"/>
      <c r="Q744" s="15">
        <f t="shared" si="242"/>
        <v>741</v>
      </c>
      <c r="R744" s="2">
        <f t="shared" si="238"/>
        <v>44539</v>
      </c>
      <c r="S744" s="9">
        <f t="shared" ca="1" si="243"/>
        <v>-1.7161922535732094E-2</v>
      </c>
      <c r="T744" s="9">
        <f t="shared" ca="1" si="244"/>
        <v>-1.2235245513495398E-2</v>
      </c>
      <c r="U744" s="9">
        <f t="shared" ca="1" si="245"/>
        <v>-5.8144247040456979E-3</v>
      </c>
      <c r="AB744" s="33" t="e">
        <f t="shared" ca="1" si="251"/>
        <v>#N/A</v>
      </c>
      <c r="AC744" s="34" t="e">
        <f t="shared" ca="1" si="252"/>
        <v>#N/A</v>
      </c>
      <c r="AD744" s="34" t="e">
        <f t="shared" ca="1" si="253"/>
        <v>#N/A</v>
      </c>
      <c r="AE744" s="33" t="e">
        <f t="shared" ca="1" si="254"/>
        <v>#N/A</v>
      </c>
      <c r="AF744" s="34" t="e">
        <f t="shared" ca="1" si="246"/>
        <v>#N/A</v>
      </c>
      <c r="AG744" s="34" t="e">
        <f t="shared" ca="1" si="247"/>
        <v>#N/A</v>
      </c>
      <c r="AH744" s="34" t="e">
        <f t="shared" ca="1" si="248"/>
        <v>#N/A</v>
      </c>
      <c r="AI744" s="33" t="e">
        <f t="shared" ca="1" si="255"/>
        <v>#N/A</v>
      </c>
      <c r="AJ744" s="34" t="e">
        <f t="shared" ca="1" si="256"/>
        <v>#N/A</v>
      </c>
      <c r="AK744" s="34" t="e">
        <f t="shared" ca="1" si="249"/>
        <v>#N/A</v>
      </c>
      <c r="AL744" s="34" t="e">
        <f t="shared" ca="1" si="250"/>
        <v>#N/A</v>
      </c>
      <c r="AM744" s="33" t="e">
        <f t="shared" ca="1" si="257"/>
        <v>#N/A</v>
      </c>
      <c r="AN744" s="34" t="e">
        <f t="shared" ca="1" si="258"/>
        <v>#N/A</v>
      </c>
    </row>
    <row r="745" spans="1:40" x14ac:dyDescent="0.3">
      <c r="A745" s="2">
        <v>44540</v>
      </c>
      <c r="B745" s="9">
        <v>109.550003</v>
      </c>
      <c r="C745" s="9">
        <v>122.900002</v>
      </c>
      <c r="D745" s="9">
        <v>70.849997999999999</v>
      </c>
      <c r="E745" s="10"/>
      <c r="F745" s="13">
        <v>742</v>
      </c>
      <c r="G745" s="2">
        <v>44540</v>
      </c>
      <c r="H745" s="14">
        <f t="shared" si="239"/>
        <v>1.3972136354025355E-2</v>
      </c>
      <c r="I745" s="14">
        <f t="shared" si="240"/>
        <v>1.9547000370769741E-3</v>
      </c>
      <c r="J745" s="14">
        <f t="shared" si="241"/>
        <v>7.650930142423424E-3</v>
      </c>
      <c r="K745" s="22">
        <v>742</v>
      </c>
      <c r="L745" s="12"/>
      <c r="Q745" s="15">
        <f t="shared" si="242"/>
        <v>742</v>
      </c>
      <c r="R745" s="2">
        <f t="shared" si="238"/>
        <v>44540</v>
      </c>
      <c r="S745" s="9">
        <f t="shared" ca="1" si="243"/>
        <v>1.3972136354025355E-2</v>
      </c>
      <c r="T745" s="9">
        <f t="shared" ca="1" si="244"/>
        <v>1.9547000370769741E-3</v>
      </c>
      <c r="U745" s="9">
        <f t="shared" ca="1" si="245"/>
        <v>7.650930142423424E-3</v>
      </c>
      <c r="AB745" s="33" t="e">
        <f t="shared" ca="1" si="251"/>
        <v>#N/A</v>
      </c>
      <c r="AC745" s="34" t="e">
        <f t="shared" ca="1" si="252"/>
        <v>#N/A</v>
      </c>
      <c r="AD745" s="34" t="e">
        <f t="shared" ca="1" si="253"/>
        <v>#N/A</v>
      </c>
      <c r="AE745" s="33" t="e">
        <f t="shared" ca="1" si="254"/>
        <v>#N/A</v>
      </c>
      <c r="AF745" s="34" t="e">
        <f t="shared" ca="1" si="246"/>
        <v>#N/A</v>
      </c>
      <c r="AG745" s="34" t="e">
        <f t="shared" ca="1" si="247"/>
        <v>#N/A</v>
      </c>
      <c r="AH745" s="34" t="e">
        <f t="shared" ca="1" si="248"/>
        <v>#N/A</v>
      </c>
      <c r="AI745" s="33" t="e">
        <f t="shared" ca="1" si="255"/>
        <v>#N/A</v>
      </c>
      <c r="AJ745" s="34" t="e">
        <f t="shared" ca="1" si="256"/>
        <v>#N/A</v>
      </c>
      <c r="AK745" s="34" t="e">
        <f t="shared" ca="1" si="249"/>
        <v>#N/A</v>
      </c>
      <c r="AL745" s="34" t="e">
        <f t="shared" ca="1" si="250"/>
        <v>#N/A</v>
      </c>
      <c r="AM745" s="33" t="e">
        <f t="shared" ca="1" si="257"/>
        <v>#N/A</v>
      </c>
      <c r="AN745" s="34" t="e">
        <f t="shared" ca="1" si="258"/>
        <v>#N/A</v>
      </c>
    </row>
    <row r="746" spans="1:40" x14ac:dyDescent="0.3">
      <c r="A746" s="2">
        <v>44543</v>
      </c>
      <c r="B746" s="9">
        <v>107.550003</v>
      </c>
      <c r="C746" s="9">
        <v>120.08000199999999</v>
      </c>
      <c r="D746" s="9">
        <v>68.220000999999996</v>
      </c>
      <c r="E746" s="10"/>
      <c r="F746" s="13">
        <v>743</v>
      </c>
      <c r="G746" s="2">
        <v>44543</v>
      </c>
      <c r="H746" s="14">
        <f t="shared" si="239"/>
        <v>-1.8425209818489528E-2</v>
      </c>
      <c r="I746" s="14">
        <f t="shared" si="240"/>
        <v>-2.3212828864612747E-2</v>
      </c>
      <c r="J746" s="14">
        <f t="shared" si="241"/>
        <v>-3.7827146259079458E-2</v>
      </c>
      <c r="K746" s="22">
        <v>743</v>
      </c>
      <c r="L746" s="12"/>
      <c r="Q746" s="15">
        <f t="shared" si="242"/>
        <v>743</v>
      </c>
      <c r="R746" s="2">
        <f t="shared" si="238"/>
        <v>44543</v>
      </c>
      <c r="S746" s="9">
        <f t="shared" ca="1" si="243"/>
        <v>-1.8425209818489528E-2</v>
      </c>
      <c r="T746" s="9">
        <f t="shared" ca="1" si="244"/>
        <v>-2.3212828864612747E-2</v>
      </c>
      <c r="U746" s="9">
        <f t="shared" ca="1" si="245"/>
        <v>-3.7827146259079458E-2</v>
      </c>
      <c r="AB746" s="33" t="e">
        <f t="shared" ca="1" si="251"/>
        <v>#N/A</v>
      </c>
      <c r="AC746" s="34" t="e">
        <f t="shared" ca="1" si="252"/>
        <v>#N/A</v>
      </c>
      <c r="AD746" s="34" t="e">
        <f t="shared" ca="1" si="253"/>
        <v>#N/A</v>
      </c>
      <c r="AE746" s="33" t="e">
        <f t="shared" ca="1" si="254"/>
        <v>#N/A</v>
      </c>
      <c r="AF746" s="34" t="e">
        <f t="shared" ca="1" si="246"/>
        <v>#N/A</v>
      </c>
      <c r="AG746" s="34" t="e">
        <f t="shared" ca="1" si="247"/>
        <v>#N/A</v>
      </c>
      <c r="AH746" s="34" t="e">
        <f t="shared" ca="1" si="248"/>
        <v>#N/A</v>
      </c>
      <c r="AI746" s="33" t="e">
        <f t="shared" ca="1" si="255"/>
        <v>#N/A</v>
      </c>
      <c r="AJ746" s="34" t="e">
        <f t="shared" ca="1" si="256"/>
        <v>#N/A</v>
      </c>
      <c r="AK746" s="34" t="e">
        <f t="shared" ca="1" si="249"/>
        <v>#N/A</v>
      </c>
      <c r="AL746" s="34" t="e">
        <f t="shared" ca="1" si="250"/>
        <v>#N/A</v>
      </c>
      <c r="AM746" s="33" t="e">
        <f t="shared" ca="1" si="257"/>
        <v>#N/A</v>
      </c>
      <c r="AN746" s="34" t="e">
        <f t="shared" ca="1" si="258"/>
        <v>#N/A</v>
      </c>
    </row>
    <row r="747" spans="1:40" x14ac:dyDescent="0.3">
      <c r="A747" s="2">
        <v>44544</v>
      </c>
      <c r="B747" s="9">
        <v>106.489998</v>
      </c>
      <c r="C747" s="9">
        <v>116.860001</v>
      </c>
      <c r="D747" s="9">
        <v>68.190002000000007</v>
      </c>
      <c r="E747" s="10"/>
      <c r="F747" s="13">
        <v>744</v>
      </c>
      <c r="G747" s="2">
        <v>44544</v>
      </c>
      <c r="H747" s="14">
        <f t="shared" si="239"/>
        <v>-9.9048183615554793E-3</v>
      </c>
      <c r="I747" s="14">
        <f t="shared" si="240"/>
        <v>-2.7181558297230367E-2</v>
      </c>
      <c r="J747" s="14">
        <f t="shared" si="241"/>
        <v>-4.3983578658246021E-4</v>
      </c>
      <c r="K747" s="22">
        <v>744</v>
      </c>
      <c r="L747" s="12"/>
      <c r="Q747" s="15">
        <f t="shared" si="242"/>
        <v>744</v>
      </c>
      <c r="R747" s="2">
        <f t="shared" si="238"/>
        <v>44544</v>
      </c>
      <c r="S747" s="9">
        <f t="shared" ca="1" si="243"/>
        <v>-9.9048183615554793E-3</v>
      </c>
      <c r="T747" s="9">
        <f t="shared" ca="1" si="244"/>
        <v>-2.7181558297230367E-2</v>
      </c>
      <c r="U747" s="9">
        <f t="shared" ca="1" si="245"/>
        <v>-4.3983578658246021E-4</v>
      </c>
      <c r="AB747" s="33" t="e">
        <f t="shared" ca="1" si="251"/>
        <v>#N/A</v>
      </c>
      <c r="AC747" s="34" t="e">
        <f t="shared" ca="1" si="252"/>
        <v>#N/A</v>
      </c>
      <c r="AD747" s="34" t="e">
        <f t="shared" ca="1" si="253"/>
        <v>#N/A</v>
      </c>
      <c r="AE747" s="33" t="e">
        <f t="shared" ca="1" si="254"/>
        <v>#N/A</v>
      </c>
      <c r="AF747" s="34" t="e">
        <f t="shared" ca="1" si="246"/>
        <v>#N/A</v>
      </c>
      <c r="AG747" s="34" t="e">
        <f t="shared" ca="1" si="247"/>
        <v>#N/A</v>
      </c>
      <c r="AH747" s="34" t="e">
        <f t="shared" ca="1" si="248"/>
        <v>#N/A</v>
      </c>
      <c r="AI747" s="33" t="e">
        <f t="shared" ca="1" si="255"/>
        <v>#N/A</v>
      </c>
      <c r="AJ747" s="34" t="e">
        <f t="shared" ca="1" si="256"/>
        <v>#N/A</v>
      </c>
      <c r="AK747" s="34" t="e">
        <f t="shared" ca="1" si="249"/>
        <v>#N/A</v>
      </c>
      <c r="AL747" s="34" t="e">
        <f t="shared" ca="1" si="250"/>
        <v>#N/A</v>
      </c>
      <c r="AM747" s="33" t="e">
        <f t="shared" ca="1" si="257"/>
        <v>#N/A</v>
      </c>
      <c r="AN747" s="34" t="e">
        <f t="shared" ca="1" si="258"/>
        <v>#N/A</v>
      </c>
    </row>
    <row r="748" spans="1:40" x14ac:dyDescent="0.3">
      <c r="A748" s="2">
        <v>44545</v>
      </c>
      <c r="B748" s="9">
        <v>108.550003</v>
      </c>
      <c r="C748" s="9">
        <v>115.849998</v>
      </c>
      <c r="D748" s="9">
        <v>68.239998</v>
      </c>
      <c r="E748" s="10"/>
      <c r="F748" s="13">
        <v>745</v>
      </c>
      <c r="G748" s="2">
        <v>44545</v>
      </c>
      <c r="H748" s="14">
        <f t="shared" si="239"/>
        <v>1.9159858715148161E-2</v>
      </c>
      <c r="I748" s="14">
        <f t="shared" si="240"/>
        <v>-8.68041206885691E-3</v>
      </c>
      <c r="J748" s="14">
        <f t="shared" si="241"/>
        <v>7.3291801272473624E-4</v>
      </c>
      <c r="K748" s="22">
        <v>745</v>
      </c>
      <c r="L748" s="12"/>
      <c r="Q748" s="15">
        <f t="shared" si="242"/>
        <v>745</v>
      </c>
      <c r="R748" s="2">
        <f t="shared" si="238"/>
        <v>44545</v>
      </c>
      <c r="S748" s="9">
        <f t="shared" ca="1" si="243"/>
        <v>1.9159858715148161E-2</v>
      </c>
      <c r="T748" s="9">
        <f t="shared" ca="1" si="244"/>
        <v>-8.68041206885691E-3</v>
      </c>
      <c r="U748" s="9">
        <f t="shared" ca="1" si="245"/>
        <v>7.3291801272473624E-4</v>
      </c>
      <c r="AB748" s="33" t="e">
        <f t="shared" ca="1" si="251"/>
        <v>#N/A</v>
      </c>
      <c r="AC748" s="34" t="e">
        <f t="shared" ca="1" si="252"/>
        <v>#N/A</v>
      </c>
      <c r="AD748" s="34" t="e">
        <f t="shared" ca="1" si="253"/>
        <v>#N/A</v>
      </c>
      <c r="AE748" s="33" t="e">
        <f t="shared" ca="1" si="254"/>
        <v>#N/A</v>
      </c>
      <c r="AF748" s="34" t="e">
        <f t="shared" ca="1" si="246"/>
        <v>#N/A</v>
      </c>
      <c r="AG748" s="34" t="e">
        <f t="shared" ca="1" si="247"/>
        <v>#N/A</v>
      </c>
      <c r="AH748" s="34" t="e">
        <f t="shared" ca="1" si="248"/>
        <v>#N/A</v>
      </c>
      <c r="AI748" s="33" t="e">
        <f t="shared" ca="1" si="255"/>
        <v>#N/A</v>
      </c>
      <c r="AJ748" s="34" t="e">
        <f t="shared" ca="1" si="256"/>
        <v>#N/A</v>
      </c>
      <c r="AK748" s="34" t="e">
        <f t="shared" ca="1" si="249"/>
        <v>#N/A</v>
      </c>
      <c r="AL748" s="34" t="e">
        <f t="shared" ca="1" si="250"/>
        <v>#N/A</v>
      </c>
      <c r="AM748" s="33" t="e">
        <f t="shared" ca="1" si="257"/>
        <v>#N/A</v>
      </c>
      <c r="AN748" s="34" t="e">
        <f t="shared" ca="1" si="258"/>
        <v>#N/A</v>
      </c>
    </row>
    <row r="749" spans="1:40" x14ac:dyDescent="0.3">
      <c r="A749" s="2">
        <v>44546</v>
      </c>
      <c r="B749" s="9">
        <v>107.639999</v>
      </c>
      <c r="C749" s="9">
        <v>114.41999800000001</v>
      </c>
      <c r="D749" s="9">
        <v>68.75</v>
      </c>
      <c r="E749" s="10"/>
      <c r="F749" s="13">
        <v>746</v>
      </c>
      <c r="G749" s="2">
        <v>44546</v>
      </c>
      <c r="H749" s="14">
        <f t="shared" si="239"/>
        <v>-8.4186073928557443E-3</v>
      </c>
      <c r="I749" s="14">
        <f t="shared" si="240"/>
        <v>-1.2420362253761015E-2</v>
      </c>
      <c r="J749" s="14">
        <f t="shared" si="241"/>
        <v>7.4458626715809585E-3</v>
      </c>
      <c r="K749" s="22">
        <v>746</v>
      </c>
      <c r="L749" s="12"/>
      <c r="Q749" s="15">
        <f t="shared" si="242"/>
        <v>746</v>
      </c>
      <c r="R749" s="2">
        <f t="shared" si="238"/>
        <v>44546</v>
      </c>
      <c r="S749" s="9">
        <f t="shared" ca="1" si="243"/>
        <v>-8.4186073928557443E-3</v>
      </c>
      <c r="T749" s="9">
        <f t="shared" ca="1" si="244"/>
        <v>-1.2420362253761015E-2</v>
      </c>
      <c r="U749" s="9">
        <f t="shared" ca="1" si="245"/>
        <v>7.4458626715809585E-3</v>
      </c>
      <c r="AB749" s="33" t="e">
        <f t="shared" ca="1" si="251"/>
        <v>#N/A</v>
      </c>
      <c r="AC749" s="34" t="e">
        <f t="shared" ca="1" si="252"/>
        <v>#N/A</v>
      </c>
      <c r="AD749" s="34" t="e">
        <f t="shared" ca="1" si="253"/>
        <v>#N/A</v>
      </c>
      <c r="AE749" s="33" t="e">
        <f t="shared" ca="1" si="254"/>
        <v>#N/A</v>
      </c>
      <c r="AF749" s="34" t="e">
        <f t="shared" ca="1" si="246"/>
        <v>#N/A</v>
      </c>
      <c r="AG749" s="34" t="e">
        <f t="shared" ca="1" si="247"/>
        <v>#N/A</v>
      </c>
      <c r="AH749" s="34" t="e">
        <f t="shared" ca="1" si="248"/>
        <v>#N/A</v>
      </c>
      <c r="AI749" s="33" t="e">
        <f t="shared" ca="1" si="255"/>
        <v>#N/A</v>
      </c>
      <c r="AJ749" s="34" t="e">
        <f t="shared" ca="1" si="256"/>
        <v>#N/A</v>
      </c>
      <c r="AK749" s="34" t="e">
        <f t="shared" ca="1" si="249"/>
        <v>#N/A</v>
      </c>
      <c r="AL749" s="34" t="e">
        <f t="shared" ca="1" si="250"/>
        <v>#N/A</v>
      </c>
      <c r="AM749" s="33" t="e">
        <f t="shared" ca="1" si="257"/>
        <v>#N/A</v>
      </c>
      <c r="AN749" s="34" t="e">
        <f t="shared" ca="1" si="258"/>
        <v>#N/A</v>
      </c>
    </row>
    <row r="750" spans="1:40" x14ac:dyDescent="0.3">
      <c r="A750" s="2">
        <v>44547</v>
      </c>
      <c r="B750" s="9">
        <v>106.510002</v>
      </c>
      <c r="C750" s="9">
        <v>115.050003</v>
      </c>
      <c r="D750" s="9">
        <v>68.690002000000007</v>
      </c>
      <c r="E750" s="10"/>
      <c r="F750" s="13">
        <v>747</v>
      </c>
      <c r="G750" s="2">
        <v>44547</v>
      </c>
      <c r="H750" s="14">
        <f t="shared" si="239"/>
        <v>-1.0553420335824607E-2</v>
      </c>
      <c r="I750" s="14">
        <f t="shared" si="240"/>
        <v>5.4909711960729971E-3</v>
      </c>
      <c r="J750" s="14">
        <f t="shared" si="241"/>
        <v>-8.7307920457110042E-4</v>
      </c>
      <c r="K750" s="22">
        <v>747</v>
      </c>
      <c r="L750" s="12"/>
      <c r="Q750" s="15">
        <f t="shared" si="242"/>
        <v>747</v>
      </c>
      <c r="R750" s="2">
        <f t="shared" si="238"/>
        <v>44547</v>
      </c>
      <c r="S750" s="9">
        <f t="shared" ca="1" si="243"/>
        <v>-1.0553420335824607E-2</v>
      </c>
      <c r="T750" s="9">
        <f t="shared" ca="1" si="244"/>
        <v>5.4909711960729971E-3</v>
      </c>
      <c r="U750" s="9">
        <f t="shared" ca="1" si="245"/>
        <v>-8.7307920457110042E-4</v>
      </c>
      <c r="AB750" s="33" t="e">
        <f t="shared" ca="1" si="251"/>
        <v>#N/A</v>
      </c>
      <c r="AC750" s="34" t="e">
        <f t="shared" ca="1" si="252"/>
        <v>#N/A</v>
      </c>
      <c r="AD750" s="34" t="e">
        <f t="shared" ca="1" si="253"/>
        <v>#N/A</v>
      </c>
      <c r="AE750" s="33" t="e">
        <f t="shared" ca="1" si="254"/>
        <v>#N/A</v>
      </c>
      <c r="AF750" s="34" t="e">
        <f t="shared" ca="1" si="246"/>
        <v>#N/A</v>
      </c>
      <c r="AG750" s="34" t="e">
        <f t="shared" ca="1" si="247"/>
        <v>#N/A</v>
      </c>
      <c r="AH750" s="34" t="e">
        <f t="shared" ca="1" si="248"/>
        <v>#N/A</v>
      </c>
      <c r="AI750" s="33" t="e">
        <f t="shared" ca="1" si="255"/>
        <v>#N/A</v>
      </c>
      <c r="AJ750" s="34" t="e">
        <f t="shared" ca="1" si="256"/>
        <v>#N/A</v>
      </c>
      <c r="AK750" s="34" t="e">
        <f t="shared" ca="1" si="249"/>
        <v>#N/A</v>
      </c>
      <c r="AL750" s="34" t="e">
        <f t="shared" ca="1" si="250"/>
        <v>#N/A</v>
      </c>
      <c r="AM750" s="33" t="e">
        <f t="shared" ca="1" si="257"/>
        <v>#N/A</v>
      </c>
      <c r="AN750" s="34" t="e">
        <f t="shared" ca="1" si="258"/>
        <v>#N/A</v>
      </c>
    </row>
    <row r="751" spans="1:40" x14ac:dyDescent="0.3">
      <c r="A751" s="2">
        <v>44550</v>
      </c>
      <c r="B751" s="9">
        <v>106.029999</v>
      </c>
      <c r="C751" s="9">
        <v>108.900002</v>
      </c>
      <c r="D751" s="9">
        <v>68.690002000000007</v>
      </c>
      <c r="E751" s="10"/>
      <c r="F751" s="13">
        <v>748</v>
      </c>
      <c r="G751" s="2">
        <v>44550</v>
      </c>
      <c r="H751" s="14">
        <f t="shared" si="239"/>
        <v>-4.5168327262398843E-3</v>
      </c>
      <c r="I751" s="14">
        <f t="shared" si="240"/>
        <v>-5.4936794252606377E-2</v>
      </c>
      <c r="J751" s="14">
        <f t="shared" si="241"/>
        <v>0</v>
      </c>
      <c r="K751" s="22">
        <v>748</v>
      </c>
      <c r="L751" s="12"/>
      <c r="Q751" s="15">
        <f t="shared" si="242"/>
        <v>748</v>
      </c>
      <c r="R751" s="2">
        <f t="shared" si="238"/>
        <v>44550</v>
      </c>
      <c r="S751" s="9">
        <f t="shared" ca="1" si="243"/>
        <v>-4.5168327262398843E-3</v>
      </c>
      <c r="T751" s="9">
        <f t="shared" ca="1" si="244"/>
        <v>-5.4936794252606377E-2</v>
      </c>
      <c r="U751" s="9">
        <f t="shared" ca="1" si="245"/>
        <v>0</v>
      </c>
      <c r="AB751" s="33" t="e">
        <f t="shared" ca="1" si="251"/>
        <v>#N/A</v>
      </c>
      <c r="AC751" s="34" t="e">
        <f t="shared" ca="1" si="252"/>
        <v>#N/A</v>
      </c>
      <c r="AD751" s="34" t="e">
        <f t="shared" ca="1" si="253"/>
        <v>#N/A</v>
      </c>
      <c r="AE751" s="33" t="e">
        <f t="shared" ca="1" si="254"/>
        <v>#N/A</v>
      </c>
      <c r="AF751" s="34" t="e">
        <f t="shared" ca="1" si="246"/>
        <v>#N/A</v>
      </c>
      <c r="AG751" s="34" t="e">
        <f t="shared" ca="1" si="247"/>
        <v>#N/A</v>
      </c>
      <c r="AH751" s="34" t="e">
        <f t="shared" ca="1" si="248"/>
        <v>#N/A</v>
      </c>
      <c r="AI751" s="33" t="e">
        <f t="shared" ca="1" si="255"/>
        <v>#N/A</v>
      </c>
      <c r="AJ751" s="34" t="e">
        <f t="shared" ca="1" si="256"/>
        <v>#N/A</v>
      </c>
      <c r="AK751" s="34" t="e">
        <f t="shared" ca="1" si="249"/>
        <v>#N/A</v>
      </c>
      <c r="AL751" s="34" t="e">
        <f t="shared" ca="1" si="250"/>
        <v>#N/A</v>
      </c>
      <c r="AM751" s="33" t="e">
        <f t="shared" ca="1" si="257"/>
        <v>#N/A</v>
      </c>
      <c r="AN751" s="34" t="e">
        <f t="shared" ca="1" si="258"/>
        <v>#N/A</v>
      </c>
    </row>
    <row r="752" spans="1:40" x14ac:dyDescent="0.3">
      <c r="A752" s="2">
        <v>44551</v>
      </c>
      <c r="B752" s="9">
        <v>107.720001</v>
      </c>
      <c r="C752" s="9">
        <v>111.970001</v>
      </c>
      <c r="D752" s="9">
        <v>71.319999999999993</v>
      </c>
      <c r="E752" s="10"/>
      <c r="F752" s="13">
        <v>749</v>
      </c>
      <c r="G752" s="2">
        <v>44551</v>
      </c>
      <c r="H752" s="14">
        <f t="shared" si="239"/>
        <v>1.5813213720311428E-2</v>
      </c>
      <c r="I752" s="14">
        <f t="shared" si="240"/>
        <v>2.7800938898681606E-2</v>
      </c>
      <c r="J752" s="14">
        <f t="shared" si="241"/>
        <v>3.757313565283002E-2</v>
      </c>
      <c r="K752" s="22">
        <v>749</v>
      </c>
      <c r="L752" s="12"/>
      <c r="Q752" s="15">
        <f t="shared" si="242"/>
        <v>749</v>
      </c>
      <c r="R752" s="2">
        <f t="shared" si="238"/>
        <v>44551</v>
      </c>
      <c r="S752" s="9">
        <f t="shared" ca="1" si="243"/>
        <v>1.5813213720311428E-2</v>
      </c>
      <c r="T752" s="9">
        <f t="shared" ca="1" si="244"/>
        <v>2.7800938898681606E-2</v>
      </c>
      <c r="U752" s="9">
        <f t="shared" ca="1" si="245"/>
        <v>3.757313565283002E-2</v>
      </c>
      <c r="AB752" s="33" t="e">
        <f t="shared" ca="1" si="251"/>
        <v>#N/A</v>
      </c>
      <c r="AC752" s="34" t="e">
        <f t="shared" ca="1" si="252"/>
        <v>#N/A</v>
      </c>
      <c r="AD752" s="34" t="e">
        <f t="shared" ca="1" si="253"/>
        <v>#N/A</v>
      </c>
      <c r="AE752" s="33" t="e">
        <f t="shared" ca="1" si="254"/>
        <v>#N/A</v>
      </c>
      <c r="AF752" s="34" t="e">
        <f t="shared" ca="1" si="246"/>
        <v>#N/A</v>
      </c>
      <c r="AG752" s="34" t="e">
        <f t="shared" ca="1" si="247"/>
        <v>#N/A</v>
      </c>
      <c r="AH752" s="34" t="e">
        <f t="shared" ca="1" si="248"/>
        <v>#N/A</v>
      </c>
      <c r="AI752" s="33" t="e">
        <f t="shared" ca="1" si="255"/>
        <v>#N/A</v>
      </c>
      <c r="AJ752" s="34" t="e">
        <f t="shared" ca="1" si="256"/>
        <v>#N/A</v>
      </c>
      <c r="AK752" s="34" t="e">
        <f t="shared" ca="1" si="249"/>
        <v>#N/A</v>
      </c>
      <c r="AL752" s="34" t="e">
        <f t="shared" ca="1" si="250"/>
        <v>#N/A</v>
      </c>
      <c r="AM752" s="33" t="e">
        <f t="shared" ca="1" si="257"/>
        <v>#N/A</v>
      </c>
      <c r="AN752" s="34" t="e">
        <f t="shared" ca="1" si="258"/>
        <v>#N/A</v>
      </c>
    </row>
    <row r="753" spans="1:40" x14ac:dyDescent="0.3">
      <c r="A753" s="2">
        <v>44552</v>
      </c>
      <c r="B753" s="9">
        <v>108.19000200000001</v>
      </c>
      <c r="C753" s="9">
        <v>111.599998</v>
      </c>
      <c r="D753" s="9">
        <v>71.300003000000004</v>
      </c>
      <c r="E753" s="10"/>
      <c r="F753" s="13">
        <v>750</v>
      </c>
      <c r="G753" s="2">
        <v>44552</v>
      </c>
      <c r="H753" s="14">
        <f t="shared" si="239"/>
        <v>4.3536819587534619E-3</v>
      </c>
      <c r="I753" s="14">
        <f t="shared" si="240"/>
        <v>-3.309955177005683E-3</v>
      </c>
      <c r="J753" s="14">
        <f t="shared" si="241"/>
        <v>-2.8042349895382863E-4</v>
      </c>
      <c r="K753" s="22">
        <v>750</v>
      </c>
      <c r="L753" s="12"/>
      <c r="Q753" s="15">
        <f t="shared" si="242"/>
        <v>750</v>
      </c>
      <c r="R753" s="2">
        <f t="shared" si="238"/>
        <v>44552</v>
      </c>
      <c r="S753" s="9">
        <f t="shared" ca="1" si="243"/>
        <v>4.3536819587534619E-3</v>
      </c>
      <c r="T753" s="9">
        <f t="shared" ca="1" si="244"/>
        <v>-3.309955177005683E-3</v>
      </c>
      <c r="U753" s="9">
        <f t="shared" ca="1" si="245"/>
        <v>-2.8042349895382863E-4</v>
      </c>
      <c r="AB753" s="33" t="e">
        <f t="shared" ca="1" si="251"/>
        <v>#N/A</v>
      </c>
      <c r="AC753" s="34" t="e">
        <f t="shared" ca="1" si="252"/>
        <v>#N/A</v>
      </c>
      <c r="AD753" s="34" t="e">
        <f t="shared" ca="1" si="253"/>
        <v>#N/A</v>
      </c>
      <c r="AE753" s="33" t="e">
        <f t="shared" ca="1" si="254"/>
        <v>#N/A</v>
      </c>
      <c r="AF753" s="34" t="e">
        <f t="shared" ca="1" si="246"/>
        <v>#N/A</v>
      </c>
      <c r="AG753" s="34" t="e">
        <f t="shared" ca="1" si="247"/>
        <v>#N/A</v>
      </c>
      <c r="AH753" s="34" t="e">
        <f t="shared" ca="1" si="248"/>
        <v>#N/A</v>
      </c>
      <c r="AI753" s="33" t="e">
        <f t="shared" ca="1" si="255"/>
        <v>#N/A</v>
      </c>
      <c r="AJ753" s="34" t="e">
        <f t="shared" ca="1" si="256"/>
        <v>#N/A</v>
      </c>
      <c r="AK753" s="34" t="e">
        <f t="shared" ca="1" si="249"/>
        <v>#N/A</v>
      </c>
      <c r="AL753" s="34" t="e">
        <f t="shared" ca="1" si="250"/>
        <v>#N/A</v>
      </c>
      <c r="AM753" s="33" t="e">
        <f t="shared" ca="1" si="257"/>
        <v>#N/A</v>
      </c>
      <c r="AN753" s="34" t="e">
        <f t="shared" ca="1" si="258"/>
        <v>#N/A</v>
      </c>
    </row>
    <row r="754" spans="1:40" x14ac:dyDescent="0.3">
      <c r="A754" s="2">
        <v>44553</v>
      </c>
      <c r="B754" s="9">
        <v>109.209999</v>
      </c>
      <c r="C754" s="9">
        <v>112.139999</v>
      </c>
      <c r="D754" s="9">
        <v>71.730002999999996</v>
      </c>
      <c r="E754" s="10"/>
      <c r="F754" s="13">
        <v>751</v>
      </c>
      <c r="G754" s="2">
        <v>44553</v>
      </c>
      <c r="H754" s="14">
        <f t="shared" si="239"/>
        <v>9.3836658674875586E-3</v>
      </c>
      <c r="I754" s="14">
        <f t="shared" si="240"/>
        <v>4.8270497520384219E-3</v>
      </c>
      <c r="J754" s="14">
        <f t="shared" si="241"/>
        <v>6.0127424658611853E-3</v>
      </c>
      <c r="K754" s="22">
        <v>751</v>
      </c>
      <c r="L754" s="12"/>
      <c r="Q754" s="15">
        <f t="shared" si="242"/>
        <v>751</v>
      </c>
      <c r="R754" s="2">
        <f t="shared" si="238"/>
        <v>44553</v>
      </c>
      <c r="S754" s="9">
        <f t="shared" ca="1" si="243"/>
        <v>9.3836658674875586E-3</v>
      </c>
      <c r="T754" s="9">
        <f t="shared" ca="1" si="244"/>
        <v>4.8270497520384219E-3</v>
      </c>
      <c r="U754" s="9">
        <f t="shared" ca="1" si="245"/>
        <v>6.0127424658611853E-3</v>
      </c>
      <c r="AB754" s="33" t="e">
        <f t="shared" ca="1" si="251"/>
        <v>#N/A</v>
      </c>
      <c r="AC754" s="34" t="e">
        <f t="shared" ca="1" si="252"/>
        <v>#N/A</v>
      </c>
      <c r="AD754" s="34" t="e">
        <f t="shared" ca="1" si="253"/>
        <v>#N/A</v>
      </c>
      <c r="AE754" s="33" t="e">
        <f t="shared" ca="1" si="254"/>
        <v>#N/A</v>
      </c>
      <c r="AF754" s="34" t="e">
        <f t="shared" ca="1" si="246"/>
        <v>#N/A</v>
      </c>
      <c r="AG754" s="34" t="e">
        <f t="shared" ca="1" si="247"/>
        <v>#N/A</v>
      </c>
      <c r="AH754" s="34" t="e">
        <f t="shared" ca="1" si="248"/>
        <v>#N/A</v>
      </c>
      <c r="AI754" s="33" t="e">
        <f t="shared" ca="1" si="255"/>
        <v>#N/A</v>
      </c>
      <c r="AJ754" s="34" t="e">
        <f t="shared" ca="1" si="256"/>
        <v>#N/A</v>
      </c>
      <c r="AK754" s="34" t="e">
        <f t="shared" ca="1" si="249"/>
        <v>#N/A</v>
      </c>
      <c r="AL754" s="34" t="e">
        <f t="shared" ca="1" si="250"/>
        <v>#N/A</v>
      </c>
      <c r="AM754" s="33" t="e">
        <f t="shared" ca="1" si="257"/>
        <v>#N/A</v>
      </c>
      <c r="AN754" s="34" t="e">
        <f t="shared" ca="1" si="258"/>
        <v>#N/A</v>
      </c>
    </row>
    <row r="755" spans="1:40" x14ac:dyDescent="0.3">
      <c r="A755" s="2">
        <v>44557</v>
      </c>
      <c r="B755" s="9">
        <v>111.480003</v>
      </c>
      <c r="C755" s="9">
        <v>116.93</v>
      </c>
      <c r="D755" s="9">
        <v>73.129997000000003</v>
      </c>
      <c r="E755" s="10"/>
      <c r="F755" s="13">
        <v>752</v>
      </c>
      <c r="G755" s="2">
        <v>44557</v>
      </c>
      <c r="H755" s="14">
        <f t="shared" si="239"/>
        <v>2.0572604471437415E-2</v>
      </c>
      <c r="I755" s="14">
        <f t="shared" si="240"/>
        <v>4.1827383374125358E-2</v>
      </c>
      <c r="J755" s="14">
        <f t="shared" si="241"/>
        <v>1.9329526298176084E-2</v>
      </c>
      <c r="K755" s="22">
        <v>752</v>
      </c>
      <c r="L755" s="12"/>
      <c r="Q755" s="15">
        <f t="shared" si="242"/>
        <v>752</v>
      </c>
      <c r="R755" s="2">
        <f t="shared" si="238"/>
        <v>44557</v>
      </c>
      <c r="S755" s="9">
        <f t="shared" ca="1" si="243"/>
        <v>2.0572604471437415E-2</v>
      </c>
      <c r="T755" s="9">
        <f t="shared" ca="1" si="244"/>
        <v>4.1827383374125358E-2</v>
      </c>
      <c r="U755" s="9">
        <f t="shared" ca="1" si="245"/>
        <v>1.9329526298176084E-2</v>
      </c>
      <c r="AB755" s="33" t="e">
        <f t="shared" ca="1" si="251"/>
        <v>#N/A</v>
      </c>
      <c r="AC755" s="34" t="e">
        <f t="shared" ca="1" si="252"/>
        <v>#N/A</v>
      </c>
      <c r="AD755" s="34" t="e">
        <f t="shared" ca="1" si="253"/>
        <v>#N/A</v>
      </c>
      <c r="AE755" s="33" t="e">
        <f t="shared" ca="1" si="254"/>
        <v>#N/A</v>
      </c>
      <c r="AF755" s="34" t="e">
        <f t="shared" ca="1" si="246"/>
        <v>#N/A</v>
      </c>
      <c r="AG755" s="34" t="e">
        <f t="shared" ca="1" si="247"/>
        <v>#N/A</v>
      </c>
      <c r="AH755" s="34" t="e">
        <f t="shared" ca="1" si="248"/>
        <v>#N/A</v>
      </c>
      <c r="AI755" s="33" t="e">
        <f t="shared" ca="1" si="255"/>
        <v>#N/A</v>
      </c>
      <c r="AJ755" s="34" t="e">
        <f t="shared" ca="1" si="256"/>
        <v>#N/A</v>
      </c>
      <c r="AK755" s="34" t="e">
        <f t="shared" ca="1" si="249"/>
        <v>#N/A</v>
      </c>
      <c r="AL755" s="34" t="e">
        <f t="shared" ca="1" si="250"/>
        <v>#N/A</v>
      </c>
      <c r="AM755" s="33" t="e">
        <f t="shared" ca="1" si="257"/>
        <v>#N/A</v>
      </c>
      <c r="AN755" s="34" t="e">
        <f t="shared" ca="1" si="258"/>
        <v>#N/A</v>
      </c>
    </row>
    <row r="756" spans="1:40" x14ac:dyDescent="0.3">
      <c r="A756" s="2">
        <v>44558</v>
      </c>
      <c r="B756" s="9">
        <v>111.57</v>
      </c>
      <c r="C756" s="9">
        <v>116.75</v>
      </c>
      <c r="D756" s="9">
        <v>74.5</v>
      </c>
      <c r="E756" s="10"/>
      <c r="F756" s="13">
        <v>753</v>
      </c>
      <c r="G756" s="2">
        <v>44558</v>
      </c>
      <c r="H756" s="14">
        <f t="shared" si="239"/>
        <v>8.0696708068467185E-4</v>
      </c>
      <c r="I756" s="14">
        <f t="shared" si="240"/>
        <v>-1.5405686032204618E-3</v>
      </c>
      <c r="J756" s="14">
        <f t="shared" si="241"/>
        <v>1.8560487125490941E-2</v>
      </c>
      <c r="K756" s="22">
        <v>753</v>
      </c>
      <c r="L756" s="12"/>
      <c r="Q756" s="15">
        <f t="shared" si="242"/>
        <v>753</v>
      </c>
      <c r="R756" s="2">
        <f t="shared" si="238"/>
        <v>44558</v>
      </c>
      <c r="S756" s="9">
        <f t="shared" ca="1" si="243"/>
        <v>8.0696708068467185E-4</v>
      </c>
      <c r="T756" s="9">
        <f t="shared" ca="1" si="244"/>
        <v>-1.5405686032204618E-3</v>
      </c>
      <c r="U756" s="9">
        <f t="shared" ca="1" si="245"/>
        <v>1.8560487125490941E-2</v>
      </c>
      <c r="AB756" s="33" t="e">
        <f t="shared" ca="1" si="251"/>
        <v>#N/A</v>
      </c>
      <c r="AC756" s="34" t="e">
        <f t="shared" ca="1" si="252"/>
        <v>#N/A</v>
      </c>
      <c r="AD756" s="34" t="e">
        <f t="shared" ca="1" si="253"/>
        <v>#N/A</v>
      </c>
      <c r="AE756" s="33" t="e">
        <f t="shared" ca="1" si="254"/>
        <v>#N/A</v>
      </c>
      <c r="AF756" s="34" t="e">
        <f t="shared" ca="1" si="246"/>
        <v>#N/A</v>
      </c>
      <c r="AG756" s="34" t="e">
        <f t="shared" ca="1" si="247"/>
        <v>#N/A</v>
      </c>
      <c r="AH756" s="34" t="e">
        <f t="shared" ca="1" si="248"/>
        <v>#N/A</v>
      </c>
      <c r="AI756" s="33" t="e">
        <f t="shared" ca="1" si="255"/>
        <v>#N/A</v>
      </c>
      <c r="AJ756" s="34" t="e">
        <f t="shared" ca="1" si="256"/>
        <v>#N/A</v>
      </c>
      <c r="AK756" s="34" t="e">
        <f t="shared" ca="1" si="249"/>
        <v>#N/A</v>
      </c>
      <c r="AL756" s="34" t="e">
        <f t="shared" ca="1" si="250"/>
        <v>#N/A</v>
      </c>
      <c r="AM756" s="33" t="e">
        <f t="shared" ca="1" si="257"/>
        <v>#N/A</v>
      </c>
      <c r="AN756" s="34" t="e">
        <f t="shared" ca="1" si="258"/>
        <v>#N/A</v>
      </c>
    </row>
    <row r="757" spans="1:40" x14ac:dyDescent="0.3">
      <c r="A757" s="2">
        <v>44559</v>
      </c>
      <c r="B757" s="9">
        <v>112.209999</v>
      </c>
      <c r="C757" s="9">
        <v>117.459999</v>
      </c>
      <c r="D757" s="9">
        <v>74.650002000000001</v>
      </c>
      <c r="E757" s="10"/>
      <c r="F757" s="13">
        <v>754</v>
      </c>
      <c r="G757" s="2">
        <v>44559</v>
      </c>
      <c r="H757" s="14">
        <f t="shared" si="239"/>
        <v>5.7199101598248946E-3</v>
      </c>
      <c r="I757" s="14">
        <f t="shared" si="240"/>
        <v>6.0629450318301159E-3</v>
      </c>
      <c r="J757" s="14">
        <f t="shared" si="241"/>
        <v>2.0114253913797579E-3</v>
      </c>
      <c r="K757" s="22">
        <v>754</v>
      </c>
      <c r="L757" s="12"/>
      <c r="Q757" s="15">
        <f t="shared" si="242"/>
        <v>754</v>
      </c>
      <c r="R757" s="2">
        <f t="shared" si="238"/>
        <v>44559</v>
      </c>
      <c r="S757" s="9">
        <f t="shared" ca="1" si="243"/>
        <v>5.7199101598248946E-3</v>
      </c>
      <c r="T757" s="9">
        <f t="shared" ca="1" si="244"/>
        <v>6.0629450318301159E-3</v>
      </c>
      <c r="U757" s="9">
        <f t="shared" ca="1" si="245"/>
        <v>2.0114253913797579E-3</v>
      </c>
      <c r="AB757" s="33" t="e">
        <f t="shared" ca="1" si="251"/>
        <v>#N/A</v>
      </c>
      <c r="AC757" s="34" t="e">
        <f t="shared" ca="1" si="252"/>
        <v>#N/A</v>
      </c>
      <c r="AD757" s="34" t="e">
        <f t="shared" ca="1" si="253"/>
        <v>#N/A</v>
      </c>
      <c r="AE757" s="33" t="e">
        <f t="shared" ca="1" si="254"/>
        <v>#N/A</v>
      </c>
      <c r="AF757" s="34" t="e">
        <f t="shared" ca="1" si="246"/>
        <v>#N/A</v>
      </c>
      <c r="AG757" s="34" t="e">
        <f t="shared" ca="1" si="247"/>
        <v>#N/A</v>
      </c>
      <c r="AH757" s="34" t="e">
        <f t="shared" ca="1" si="248"/>
        <v>#N/A</v>
      </c>
      <c r="AI757" s="33" t="e">
        <f t="shared" ca="1" si="255"/>
        <v>#N/A</v>
      </c>
      <c r="AJ757" s="34" t="e">
        <f t="shared" ca="1" si="256"/>
        <v>#N/A</v>
      </c>
      <c r="AK757" s="34" t="e">
        <f t="shared" ca="1" si="249"/>
        <v>#N/A</v>
      </c>
      <c r="AL757" s="34" t="e">
        <f t="shared" ca="1" si="250"/>
        <v>#N/A</v>
      </c>
      <c r="AM757" s="33" t="e">
        <f t="shared" ca="1" si="257"/>
        <v>#N/A</v>
      </c>
      <c r="AN757" s="34" t="e">
        <f t="shared" ca="1" si="258"/>
        <v>#N/A</v>
      </c>
    </row>
    <row r="758" spans="1:40" x14ac:dyDescent="0.3">
      <c r="A758" s="2">
        <v>44560</v>
      </c>
      <c r="B758" s="9">
        <v>111.370003</v>
      </c>
      <c r="C758" s="9">
        <v>117.93</v>
      </c>
      <c r="D758" s="9">
        <v>74.279999000000004</v>
      </c>
      <c r="E758" s="10"/>
      <c r="F758" s="13">
        <v>755</v>
      </c>
      <c r="G758" s="2">
        <v>44560</v>
      </c>
      <c r="H758" s="14">
        <f t="shared" si="239"/>
        <v>-7.5140884226684926E-3</v>
      </c>
      <c r="I758" s="14">
        <f t="shared" si="240"/>
        <v>3.9933865210418354E-3</v>
      </c>
      <c r="J758" s="14">
        <f t="shared" si="241"/>
        <v>-4.9688277549626292E-3</v>
      </c>
      <c r="K758" s="22">
        <v>755</v>
      </c>
      <c r="L758" s="12"/>
      <c r="Q758" s="15">
        <f t="shared" si="242"/>
        <v>755</v>
      </c>
      <c r="R758" s="2">
        <f t="shared" si="238"/>
        <v>44560</v>
      </c>
      <c r="S758" s="9">
        <f t="shared" ca="1" si="243"/>
        <v>-7.5140884226684926E-3</v>
      </c>
      <c r="T758" s="9">
        <f t="shared" ca="1" si="244"/>
        <v>3.9933865210418354E-3</v>
      </c>
      <c r="U758" s="9">
        <f t="shared" ca="1" si="245"/>
        <v>-4.9688277549626292E-3</v>
      </c>
      <c r="AB758" s="33" t="e">
        <f t="shared" ca="1" si="251"/>
        <v>#N/A</v>
      </c>
      <c r="AC758" s="34" t="e">
        <f t="shared" ca="1" si="252"/>
        <v>#N/A</v>
      </c>
      <c r="AD758" s="34" t="e">
        <f t="shared" ca="1" si="253"/>
        <v>#N/A</v>
      </c>
      <c r="AE758" s="33" t="e">
        <f t="shared" ca="1" si="254"/>
        <v>#N/A</v>
      </c>
      <c r="AF758" s="34" t="e">
        <f t="shared" ca="1" si="246"/>
        <v>#N/A</v>
      </c>
      <c r="AG758" s="34" t="e">
        <f t="shared" ca="1" si="247"/>
        <v>#N/A</v>
      </c>
      <c r="AH758" s="34" t="e">
        <f t="shared" ca="1" si="248"/>
        <v>#N/A</v>
      </c>
      <c r="AI758" s="33" t="e">
        <f t="shared" ca="1" si="255"/>
        <v>#N/A</v>
      </c>
      <c r="AJ758" s="34" t="e">
        <f t="shared" ca="1" si="256"/>
        <v>#N/A</v>
      </c>
      <c r="AK758" s="34" t="e">
        <f t="shared" ca="1" si="249"/>
        <v>#N/A</v>
      </c>
      <c r="AL758" s="34" t="e">
        <f t="shared" ca="1" si="250"/>
        <v>#N/A</v>
      </c>
      <c r="AM758" s="33" t="e">
        <f t="shared" ca="1" si="257"/>
        <v>#N/A</v>
      </c>
      <c r="AN758" s="34" t="e">
        <f t="shared" ca="1" si="258"/>
        <v>#N/A</v>
      </c>
    </row>
    <row r="759" spans="1:40" x14ac:dyDescent="0.3">
      <c r="A759" s="2">
        <v>44561</v>
      </c>
      <c r="B759" s="9">
        <v>111.519997</v>
      </c>
      <c r="C759" s="9">
        <v>118.860001</v>
      </c>
      <c r="D759" s="9">
        <v>75.110000999999997</v>
      </c>
      <c r="E759" s="10"/>
      <c r="F759" s="13">
        <v>756</v>
      </c>
      <c r="G759" s="2">
        <v>44561</v>
      </c>
      <c r="H759" s="14">
        <f t="shared" si="239"/>
        <v>1.3459017689645089E-3</v>
      </c>
      <c r="I759" s="14">
        <f t="shared" si="240"/>
        <v>7.8551102498951343E-3</v>
      </c>
      <c r="J759" s="14">
        <f t="shared" si="241"/>
        <v>1.1111995989795688E-2</v>
      </c>
      <c r="K759" s="22">
        <v>756</v>
      </c>
      <c r="L759" s="12"/>
      <c r="Q759" s="15">
        <f t="shared" si="242"/>
        <v>756</v>
      </c>
      <c r="R759" s="2">
        <f t="shared" si="238"/>
        <v>44561</v>
      </c>
      <c r="S759" s="9">
        <f t="shared" ca="1" si="243"/>
        <v>1.3459017689645089E-3</v>
      </c>
      <c r="T759" s="9">
        <f t="shared" ca="1" si="244"/>
        <v>7.8551102498951343E-3</v>
      </c>
      <c r="U759" s="9">
        <f t="shared" ca="1" si="245"/>
        <v>1.1111995989795688E-2</v>
      </c>
      <c r="AB759" s="33" t="e">
        <f t="shared" ca="1" si="251"/>
        <v>#N/A</v>
      </c>
      <c r="AC759" s="34" t="e">
        <f t="shared" ca="1" si="252"/>
        <v>#N/A</v>
      </c>
      <c r="AD759" s="34" t="e">
        <f t="shared" ca="1" si="253"/>
        <v>#N/A</v>
      </c>
      <c r="AE759" s="33" t="e">
        <f t="shared" ca="1" si="254"/>
        <v>#N/A</v>
      </c>
      <c r="AF759" s="34" t="e">
        <f t="shared" ca="1" si="246"/>
        <v>#N/A</v>
      </c>
      <c r="AG759" s="34" t="e">
        <f t="shared" ca="1" si="247"/>
        <v>#N/A</v>
      </c>
      <c r="AH759" s="34" t="e">
        <f t="shared" ca="1" si="248"/>
        <v>#N/A</v>
      </c>
      <c r="AI759" s="33" t="e">
        <f t="shared" ca="1" si="255"/>
        <v>#N/A</v>
      </c>
      <c r="AJ759" s="34" t="e">
        <f t="shared" ca="1" si="256"/>
        <v>#N/A</v>
      </c>
      <c r="AK759" s="34" t="e">
        <f t="shared" ca="1" si="249"/>
        <v>#N/A</v>
      </c>
      <c r="AL759" s="34" t="e">
        <f t="shared" ca="1" si="250"/>
        <v>#N/A</v>
      </c>
      <c r="AM759" s="33" t="e">
        <f t="shared" ca="1" si="257"/>
        <v>#N/A</v>
      </c>
      <c r="AN759" s="34" t="e">
        <f t="shared" ca="1" si="258"/>
        <v>#N/A</v>
      </c>
    </row>
    <row r="760" spans="1:40" x14ac:dyDescent="0.3">
      <c r="A760" s="2">
        <v>44564</v>
      </c>
      <c r="B760" s="9">
        <v>109.449997</v>
      </c>
      <c r="C760" s="9">
        <v>120.91999800000001</v>
      </c>
      <c r="D760" s="9">
        <v>77.139999000000003</v>
      </c>
      <c r="E760" s="10"/>
      <c r="F760" s="13">
        <v>757</v>
      </c>
      <c r="G760" s="2">
        <v>44564</v>
      </c>
      <c r="H760" s="14">
        <f t="shared" si="239"/>
        <v>-1.8736123552113716E-2</v>
      </c>
      <c r="I760" s="14">
        <f t="shared" si="240"/>
        <v>1.7182815019622363E-2</v>
      </c>
      <c r="J760" s="14">
        <f t="shared" si="241"/>
        <v>2.66682208049119E-2</v>
      </c>
      <c r="K760" s="22">
        <v>757</v>
      </c>
      <c r="L760" s="12"/>
      <c r="Q760" s="15">
        <f t="shared" si="242"/>
        <v>757</v>
      </c>
      <c r="R760" s="2">
        <f t="shared" si="238"/>
        <v>44564</v>
      </c>
      <c r="S760" s="9">
        <f t="shared" ca="1" si="243"/>
        <v>-1.8736123552113716E-2</v>
      </c>
      <c r="T760" s="9">
        <f t="shared" ca="1" si="244"/>
        <v>1.7182815019622363E-2</v>
      </c>
      <c r="U760" s="9">
        <f t="shared" ca="1" si="245"/>
        <v>2.66682208049119E-2</v>
      </c>
      <c r="AB760" s="33" t="e">
        <f t="shared" ca="1" si="251"/>
        <v>#N/A</v>
      </c>
      <c r="AC760" s="34" t="e">
        <f t="shared" ca="1" si="252"/>
        <v>#N/A</v>
      </c>
      <c r="AD760" s="34" t="e">
        <f t="shared" ca="1" si="253"/>
        <v>#N/A</v>
      </c>
      <c r="AE760" s="33" t="e">
        <f t="shared" ca="1" si="254"/>
        <v>#N/A</v>
      </c>
      <c r="AF760" s="34" t="e">
        <f t="shared" ca="1" si="246"/>
        <v>#N/A</v>
      </c>
      <c r="AG760" s="34" t="e">
        <f t="shared" ca="1" si="247"/>
        <v>#N/A</v>
      </c>
      <c r="AH760" s="34" t="e">
        <f t="shared" ca="1" si="248"/>
        <v>#N/A</v>
      </c>
      <c r="AI760" s="33" t="e">
        <f t="shared" ca="1" si="255"/>
        <v>#N/A</v>
      </c>
      <c r="AJ760" s="34" t="e">
        <f t="shared" ca="1" si="256"/>
        <v>#N/A</v>
      </c>
      <c r="AK760" s="34" t="e">
        <f t="shared" ca="1" si="249"/>
        <v>#N/A</v>
      </c>
      <c r="AL760" s="34" t="e">
        <f t="shared" ca="1" si="250"/>
        <v>#N/A</v>
      </c>
      <c r="AM760" s="33" t="e">
        <f t="shared" ca="1" si="257"/>
        <v>#N/A</v>
      </c>
      <c r="AN760" s="34" t="e">
        <f t="shared" ca="1" si="258"/>
        <v>#N/A</v>
      </c>
    </row>
    <row r="761" spans="1:40" x14ac:dyDescent="0.3">
      <c r="A761" s="2">
        <v>44565</v>
      </c>
      <c r="B761" s="9">
        <v>112.150002</v>
      </c>
      <c r="C761" s="9">
        <v>124.16999800000001</v>
      </c>
      <c r="D761" s="9">
        <v>78.510002</v>
      </c>
      <c r="E761" s="10"/>
      <c r="F761" s="13">
        <v>758</v>
      </c>
      <c r="G761" s="2">
        <v>44565</v>
      </c>
      <c r="H761" s="14">
        <f t="shared" si="239"/>
        <v>2.4369482240380897E-2</v>
      </c>
      <c r="I761" s="14">
        <f t="shared" si="240"/>
        <v>2.6522424950404373E-2</v>
      </c>
      <c r="J761" s="14">
        <f t="shared" si="241"/>
        <v>1.7604090867987112E-2</v>
      </c>
      <c r="K761" s="22">
        <v>758</v>
      </c>
      <c r="L761" s="12"/>
      <c r="Q761" s="15">
        <f t="shared" si="242"/>
        <v>758</v>
      </c>
      <c r="R761" s="2">
        <f t="shared" si="238"/>
        <v>44565</v>
      </c>
      <c r="S761" s="9">
        <f t="shared" ca="1" si="243"/>
        <v>2.4369482240380897E-2</v>
      </c>
      <c r="T761" s="9">
        <f t="shared" ca="1" si="244"/>
        <v>2.6522424950404373E-2</v>
      </c>
      <c r="U761" s="9">
        <f t="shared" ca="1" si="245"/>
        <v>1.7604090867987112E-2</v>
      </c>
      <c r="AB761" s="33" t="e">
        <f t="shared" ca="1" si="251"/>
        <v>#N/A</v>
      </c>
      <c r="AC761" s="34" t="e">
        <f t="shared" ca="1" si="252"/>
        <v>#N/A</v>
      </c>
      <c r="AD761" s="34" t="e">
        <f t="shared" ca="1" si="253"/>
        <v>#N/A</v>
      </c>
      <c r="AE761" s="33" t="e">
        <f t="shared" ca="1" si="254"/>
        <v>#N/A</v>
      </c>
      <c r="AF761" s="34" t="e">
        <f t="shared" ca="1" si="246"/>
        <v>#N/A</v>
      </c>
      <c r="AG761" s="34" t="e">
        <f t="shared" ca="1" si="247"/>
        <v>#N/A</v>
      </c>
      <c r="AH761" s="34" t="e">
        <f t="shared" ca="1" si="248"/>
        <v>#N/A</v>
      </c>
      <c r="AI761" s="33" t="e">
        <f t="shared" ca="1" si="255"/>
        <v>#N/A</v>
      </c>
      <c r="AJ761" s="34" t="e">
        <f t="shared" ca="1" si="256"/>
        <v>#N/A</v>
      </c>
      <c r="AK761" s="34" t="e">
        <f t="shared" ca="1" si="249"/>
        <v>#N/A</v>
      </c>
      <c r="AL761" s="34" t="e">
        <f t="shared" ca="1" si="250"/>
        <v>#N/A</v>
      </c>
      <c r="AM761" s="33" t="e">
        <f t="shared" ca="1" si="257"/>
        <v>#N/A</v>
      </c>
      <c r="AN761" s="34" t="e">
        <f t="shared" ca="1" si="258"/>
        <v>#N/A</v>
      </c>
    </row>
    <row r="762" spans="1:40" x14ac:dyDescent="0.3">
      <c r="A762" s="2">
        <v>44566</v>
      </c>
      <c r="B762" s="9">
        <v>112</v>
      </c>
      <c r="C762" s="9">
        <v>122.129997</v>
      </c>
      <c r="D762" s="9">
        <v>78.199996999999996</v>
      </c>
      <c r="E762" s="10"/>
      <c r="F762" s="13">
        <v>759</v>
      </c>
      <c r="G762" s="2">
        <v>44566</v>
      </c>
      <c r="H762" s="14">
        <f t="shared" si="239"/>
        <v>-1.3384075043816205E-3</v>
      </c>
      <c r="I762" s="14">
        <f t="shared" si="240"/>
        <v>-1.6565551702792804E-2</v>
      </c>
      <c r="J762" s="14">
        <f t="shared" si="241"/>
        <v>-3.9564214965324669E-3</v>
      </c>
      <c r="K762" s="22">
        <v>759</v>
      </c>
      <c r="L762" s="12"/>
      <c r="Q762" s="15">
        <f t="shared" si="242"/>
        <v>759</v>
      </c>
      <c r="R762" s="2">
        <f t="shared" si="238"/>
        <v>44566</v>
      </c>
      <c r="S762" s="9">
        <f t="shared" ca="1" si="243"/>
        <v>-1.3384075043816205E-3</v>
      </c>
      <c r="T762" s="9">
        <f t="shared" ca="1" si="244"/>
        <v>-1.6565551702792804E-2</v>
      </c>
      <c r="U762" s="9">
        <f t="shared" ca="1" si="245"/>
        <v>-3.9564214965324669E-3</v>
      </c>
      <c r="AB762" s="33" t="e">
        <f t="shared" ca="1" si="251"/>
        <v>#N/A</v>
      </c>
      <c r="AC762" s="34" t="e">
        <f t="shared" ca="1" si="252"/>
        <v>#N/A</v>
      </c>
      <c r="AD762" s="34" t="e">
        <f t="shared" ca="1" si="253"/>
        <v>#N/A</v>
      </c>
      <c r="AE762" s="33" t="e">
        <f t="shared" ca="1" si="254"/>
        <v>#N/A</v>
      </c>
      <c r="AF762" s="34" t="e">
        <f t="shared" ca="1" si="246"/>
        <v>#N/A</v>
      </c>
      <c r="AG762" s="34" t="e">
        <f t="shared" ca="1" si="247"/>
        <v>#N/A</v>
      </c>
      <c r="AH762" s="34" t="e">
        <f t="shared" ca="1" si="248"/>
        <v>#N/A</v>
      </c>
      <c r="AI762" s="33" t="e">
        <f t="shared" ca="1" si="255"/>
        <v>#N/A</v>
      </c>
      <c r="AJ762" s="34" t="e">
        <f t="shared" ca="1" si="256"/>
        <v>#N/A</v>
      </c>
      <c r="AK762" s="34" t="e">
        <f t="shared" ca="1" si="249"/>
        <v>#N/A</v>
      </c>
      <c r="AL762" s="34" t="e">
        <f t="shared" ca="1" si="250"/>
        <v>#N/A</v>
      </c>
      <c r="AM762" s="33" t="e">
        <f t="shared" ca="1" si="257"/>
        <v>#N/A</v>
      </c>
      <c r="AN762" s="34" t="e">
        <f t="shared" ca="1" si="258"/>
        <v>#N/A</v>
      </c>
    </row>
    <row r="763" spans="1:40" x14ac:dyDescent="0.3">
      <c r="A763" s="2">
        <v>44567</v>
      </c>
      <c r="B763" s="9">
        <v>113.040001</v>
      </c>
      <c r="C763" s="9">
        <v>120.050003</v>
      </c>
      <c r="D763" s="9">
        <v>80.160004000000001</v>
      </c>
      <c r="E763" s="10"/>
      <c r="F763" s="13">
        <v>760</v>
      </c>
      <c r="G763" s="2">
        <v>44567</v>
      </c>
      <c r="H763" s="14">
        <f t="shared" si="239"/>
        <v>9.2428759276035263E-3</v>
      </c>
      <c r="I763" s="14">
        <f t="shared" si="240"/>
        <v>-1.7177678962158053E-2</v>
      </c>
      <c r="J763" s="14">
        <f t="shared" si="241"/>
        <v>2.475507804865984E-2</v>
      </c>
      <c r="K763" s="22">
        <v>760</v>
      </c>
      <c r="L763" s="12"/>
      <c r="Q763" s="15">
        <f t="shared" si="242"/>
        <v>760</v>
      </c>
      <c r="R763" s="2">
        <f t="shared" si="238"/>
        <v>44567</v>
      </c>
      <c r="S763" s="9">
        <f t="shared" ca="1" si="243"/>
        <v>9.2428759276035263E-3</v>
      </c>
      <c r="T763" s="9">
        <f t="shared" ca="1" si="244"/>
        <v>-1.7177678962158053E-2</v>
      </c>
      <c r="U763" s="9">
        <f t="shared" ca="1" si="245"/>
        <v>2.475507804865984E-2</v>
      </c>
      <c r="AB763" s="33" t="e">
        <f t="shared" ca="1" si="251"/>
        <v>#N/A</v>
      </c>
      <c r="AC763" s="34" t="e">
        <f t="shared" ca="1" si="252"/>
        <v>#N/A</v>
      </c>
      <c r="AD763" s="34" t="e">
        <f t="shared" ca="1" si="253"/>
        <v>#N/A</v>
      </c>
      <c r="AE763" s="33" t="e">
        <f t="shared" ca="1" si="254"/>
        <v>#N/A</v>
      </c>
      <c r="AF763" s="34" t="e">
        <f t="shared" ca="1" si="246"/>
        <v>#N/A</v>
      </c>
      <c r="AG763" s="34" t="e">
        <f t="shared" ca="1" si="247"/>
        <v>#N/A</v>
      </c>
      <c r="AH763" s="34" t="e">
        <f t="shared" ca="1" si="248"/>
        <v>#N/A</v>
      </c>
      <c r="AI763" s="33" t="e">
        <f t="shared" ca="1" si="255"/>
        <v>#N/A</v>
      </c>
      <c r="AJ763" s="34" t="e">
        <f t="shared" ca="1" si="256"/>
        <v>#N/A</v>
      </c>
      <c r="AK763" s="34" t="e">
        <f t="shared" ca="1" si="249"/>
        <v>#N/A</v>
      </c>
      <c r="AL763" s="34" t="e">
        <f t="shared" ca="1" si="250"/>
        <v>#N/A</v>
      </c>
      <c r="AM763" s="33" t="e">
        <f t="shared" ca="1" si="257"/>
        <v>#N/A</v>
      </c>
      <c r="AN763" s="34" t="e">
        <f t="shared" ca="1" si="258"/>
        <v>#N/A</v>
      </c>
    </row>
    <row r="764" spans="1:40" x14ac:dyDescent="0.3">
      <c r="A764" s="2">
        <v>44568</v>
      </c>
      <c r="B764" s="9">
        <v>110</v>
      </c>
      <c r="C764" s="9">
        <v>118.05999799999999</v>
      </c>
      <c r="D764" s="9">
        <v>81</v>
      </c>
      <c r="E764" s="10"/>
      <c r="F764" s="13">
        <v>761</v>
      </c>
      <c r="G764" s="2">
        <v>44568</v>
      </c>
      <c r="H764" s="14">
        <f t="shared" si="239"/>
        <v>-2.7261381430281759E-2</v>
      </c>
      <c r="I764" s="14">
        <f t="shared" si="240"/>
        <v>-1.6715394784845267E-2</v>
      </c>
      <c r="J764" s="14">
        <f t="shared" si="241"/>
        <v>1.0424467435685749E-2</v>
      </c>
      <c r="K764" s="22">
        <v>761</v>
      </c>
      <c r="L764" s="12"/>
      <c r="Q764" s="15">
        <f t="shared" si="242"/>
        <v>761</v>
      </c>
      <c r="R764" s="2">
        <f t="shared" si="238"/>
        <v>44568</v>
      </c>
      <c r="S764" s="9">
        <f t="shared" ca="1" si="243"/>
        <v>-2.7261381430281759E-2</v>
      </c>
      <c r="T764" s="9">
        <f t="shared" ca="1" si="244"/>
        <v>-1.6715394784845267E-2</v>
      </c>
      <c r="U764" s="9">
        <f t="shared" ca="1" si="245"/>
        <v>1.0424467435685749E-2</v>
      </c>
      <c r="AB764" s="33" t="e">
        <f t="shared" ca="1" si="251"/>
        <v>#N/A</v>
      </c>
      <c r="AC764" s="34" t="e">
        <f t="shared" ca="1" si="252"/>
        <v>#N/A</v>
      </c>
      <c r="AD764" s="34" t="e">
        <f t="shared" ca="1" si="253"/>
        <v>#N/A</v>
      </c>
      <c r="AE764" s="33" t="e">
        <f t="shared" ca="1" si="254"/>
        <v>#N/A</v>
      </c>
      <c r="AF764" s="34" t="e">
        <f t="shared" ca="1" si="246"/>
        <v>#N/A</v>
      </c>
      <c r="AG764" s="34" t="e">
        <f t="shared" ca="1" si="247"/>
        <v>#N/A</v>
      </c>
      <c r="AH764" s="34" t="e">
        <f t="shared" ca="1" si="248"/>
        <v>#N/A</v>
      </c>
      <c r="AI764" s="33" t="e">
        <f t="shared" ca="1" si="255"/>
        <v>#N/A</v>
      </c>
      <c r="AJ764" s="34" t="e">
        <f t="shared" ca="1" si="256"/>
        <v>#N/A</v>
      </c>
      <c r="AK764" s="34" t="e">
        <f t="shared" ca="1" si="249"/>
        <v>#N/A</v>
      </c>
      <c r="AL764" s="34" t="e">
        <f t="shared" ca="1" si="250"/>
        <v>#N/A</v>
      </c>
      <c r="AM764" s="33" t="e">
        <f t="shared" ca="1" si="257"/>
        <v>#N/A</v>
      </c>
      <c r="AN764" s="34" t="e">
        <f t="shared" ca="1" si="258"/>
        <v>#N/A</v>
      </c>
    </row>
    <row r="765" spans="1:40" x14ac:dyDescent="0.3">
      <c r="A765" s="2">
        <v>44571</v>
      </c>
      <c r="B765" s="9">
        <v>110.349998</v>
      </c>
      <c r="C765" s="9">
        <v>115.529999</v>
      </c>
      <c r="D765" s="9">
        <v>81.029999000000004</v>
      </c>
      <c r="E765" s="10"/>
      <c r="F765" s="13">
        <v>762</v>
      </c>
      <c r="G765" s="2">
        <v>44571</v>
      </c>
      <c r="H765" s="14">
        <f t="shared" si="239"/>
        <v>3.1767487861784852E-3</v>
      </c>
      <c r="I765" s="14">
        <f t="shared" si="240"/>
        <v>-2.1662725032837591E-2</v>
      </c>
      <c r="J765" s="14">
        <f t="shared" si="241"/>
        <v>3.7028945908689615E-4</v>
      </c>
      <c r="K765" s="22">
        <v>762</v>
      </c>
      <c r="L765" s="12"/>
      <c r="Q765" s="15">
        <f t="shared" si="242"/>
        <v>762</v>
      </c>
      <c r="R765" s="2">
        <f t="shared" si="238"/>
        <v>44571</v>
      </c>
      <c r="S765" s="9">
        <f t="shared" ca="1" si="243"/>
        <v>3.1767487861784852E-3</v>
      </c>
      <c r="T765" s="9">
        <f t="shared" ca="1" si="244"/>
        <v>-2.1662725032837591E-2</v>
      </c>
      <c r="U765" s="9">
        <f t="shared" ca="1" si="245"/>
        <v>3.7028945908689615E-4</v>
      </c>
      <c r="AB765" s="33" t="e">
        <f t="shared" ca="1" si="251"/>
        <v>#N/A</v>
      </c>
      <c r="AC765" s="34" t="e">
        <f t="shared" ca="1" si="252"/>
        <v>#N/A</v>
      </c>
      <c r="AD765" s="34" t="e">
        <f t="shared" ca="1" si="253"/>
        <v>#N/A</v>
      </c>
      <c r="AE765" s="33" t="e">
        <f t="shared" ca="1" si="254"/>
        <v>#N/A</v>
      </c>
      <c r="AF765" s="34" t="e">
        <f t="shared" ca="1" si="246"/>
        <v>#N/A</v>
      </c>
      <c r="AG765" s="34" t="e">
        <f t="shared" ca="1" si="247"/>
        <v>#N/A</v>
      </c>
      <c r="AH765" s="34" t="e">
        <f t="shared" ca="1" si="248"/>
        <v>#N/A</v>
      </c>
      <c r="AI765" s="33" t="e">
        <f t="shared" ca="1" si="255"/>
        <v>#N/A</v>
      </c>
      <c r="AJ765" s="34" t="e">
        <f t="shared" ca="1" si="256"/>
        <v>#N/A</v>
      </c>
      <c r="AK765" s="34" t="e">
        <f t="shared" ca="1" si="249"/>
        <v>#N/A</v>
      </c>
      <c r="AL765" s="34" t="e">
        <f t="shared" ca="1" si="250"/>
        <v>#N/A</v>
      </c>
      <c r="AM765" s="33" t="e">
        <f t="shared" ca="1" si="257"/>
        <v>#N/A</v>
      </c>
      <c r="AN765" s="34" t="e">
        <f t="shared" ca="1" si="258"/>
        <v>#N/A</v>
      </c>
    </row>
    <row r="766" spans="1:40" x14ac:dyDescent="0.3">
      <c r="A766" s="2">
        <v>44572</v>
      </c>
      <c r="B766" s="9">
        <v>110.150002</v>
      </c>
      <c r="C766" s="9">
        <v>117.279999</v>
      </c>
      <c r="D766" s="9">
        <v>83.849997999999999</v>
      </c>
      <c r="E766" s="10"/>
      <c r="F766" s="13">
        <v>763</v>
      </c>
      <c r="G766" s="2">
        <v>44572</v>
      </c>
      <c r="H766" s="14">
        <f t="shared" si="239"/>
        <v>-1.8140231731842433E-3</v>
      </c>
      <c r="I766" s="14">
        <f t="shared" si="240"/>
        <v>1.5034001772571614E-2</v>
      </c>
      <c r="J766" s="14">
        <f t="shared" si="241"/>
        <v>3.4210020285575071E-2</v>
      </c>
      <c r="K766" s="22">
        <v>763</v>
      </c>
      <c r="L766" s="12"/>
      <c r="Q766" s="15">
        <f t="shared" si="242"/>
        <v>763</v>
      </c>
      <c r="R766" s="2">
        <f t="shared" si="238"/>
        <v>44572</v>
      </c>
      <c r="S766" s="9">
        <f t="shared" ca="1" si="243"/>
        <v>-1.8140231731842433E-3</v>
      </c>
      <c r="T766" s="9">
        <f t="shared" ca="1" si="244"/>
        <v>1.5034001772571614E-2</v>
      </c>
      <c r="U766" s="9">
        <f t="shared" ca="1" si="245"/>
        <v>3.4210020285575071E-2</v>
      </c>
      <c r="AB766" s="33" t="e">
        <f t="shared" ca="1" si="251"/>
        <v>#N/A</v>
      </c>
      <c r="AC766" s="34" t="e">
        <f t="shared" ca="1" si="252"/>
        <v>#N/A</v>
      </c>
      <c r="AD766" s="34" t="e">
        <f t="shared" ca="1" si="253"/>
        <v>#N/A</v>
      </c>
      <c r="AE766" s="33" t="e">
        <f t="shared" ca="1" si="254"/>
        <v>#N/A</v>
      </c>
      <c r="AF766" s="34" t="e">
        <f t="shared" ca="1" si="246"/>
        <v>#N/A</v>
      </c>
      <c r="AG766" s="34" t="e">
        <f t="shared" ca="1" si="247"/>
        <v>#N/A</v>
      </c>
      <c r="AH766" s="34" t="e">
        <f t="shared" ca="1" si="248"/>
        <v>#N/A</v>
      </c>
      <c r="AI766" s="33" t="e">
        <f t="shared" ca="1" si="255"/>
        <v>#N/A</v>
      </c>
      <c r="AJ766" s="34" t="e">
        <f t="shared" ca="1" si="256"/>
        <v>#N/A</v>
      </c>
      <c r="AK766" s="34" t="e">
        <f t="shared" ca="1" si="249"/>
        <v>#N/A</v>
      </c>
      <c r="AL766" s="34" t="e">
        <f t="shared" ca="1" si="250"/>
        <v>#N/A</v>
      </c>
      <c r="AM766" s="33" t="e">
        <f t="shared" ca="1" si="257"/>
        <v>#N/A</v>
      </c>
      <c r="AN766" s="34" t="e">
        <f t="shared" ca="1" si="258"/>
        <v>#N/A</v>
      </c>
    </row>
    <row r="767" spans="1:40" x14ac:dyDescent="0.3">
      <c r="A767" s="2">
        <v>44573</v>
      </c>
      <c r="B767" s="9">
        <v>111.07</v>
      </c>
      <c r="C767" s="9">
        <v>115.050003</v>
      </c>
      <c r="D767" s="9">
        <v>84.370002999999997</v>
      </c>
      <c r="E767" s="10"/>
      <c r="F767" s="13">
        <v>764</v>
      </c>
      <c r="G767" s="2">
        <v>44573</v>
      </c>
      <c r="H767" s="14">
        <f t="shared" si="239"/>
        <v>8.3175417736181274E-3</v>
      </c>
      <c r="I767" s="14">
        <f t="shared" si="240"/>
        <v>-1.919738705474449E-2</v>
      </c>
      <c r="J767" s="14">
        <f t="shared" si="241"/>
        <v>6.1824593180967577E-3</v>
      </c>
      <c r="K767" s="22">
        <v>764</v>
      </c>
      <c r="L767" s="12"/>
      <c r="Q767" s="15">
        <f t="shared" si="242"/>
        <v>764</v>
      </c>
      <c r="R767" s="2">
        <f t="shared" si="238"/>
        <v>44573</v>
      </c>
      <c r="S767" s="9">
        <f t="shared" ca="1" si="243"/>
        <v>8.3175417736181274E-3</v>
      </c>
      <c r="T767" s="9">
        <f t="shared" ca="1" si="244"/>
        <v>-1.919738705474449E-2</v>
      </c>
      <c r="U767" s="9">
        <f t="shared" ca="1" si="245"/>
        <v>6.1824593180967577E-3</v>
      </c>
      <c r="AB767" s="33" t="e">
        <f t="shared" ca="1" si="251"/>
        <v>#N/A</v>
      </c>
      <c r="AC767" s="34" t="e">
        <f t="shared" ca="1" si="252"/>
        <v>#N/A</v>
      </c>
      <c r="AD767" s="34" t="e">
        <f t="shared" ca="1" si="253"/>
        <v>#N/A</v>
      </c>
      <c r="AE767" s="33" t="e">
        <f t="shared" ca="1" si="254"/>
        <v>#N/A</v>
      </c>
      <c r="AF767" s="34" t="e">
        <f t="shared" ca="1" si="246"/>
        <v>#N/A</v>
      </c>
      <c r="AG767" s="34" t="e">
        <f t="shared" ca="1" si="247"/>
        <v>#N/A</v>
      </c>
      <c r="AH767" s="34" t="e">
        <f t="shared" ca="1" si="248"/>
        <v>#N/A</v>
      </c>
      <c r="AI767" s="33" t="e">
        <f t="shared" ca="1" si="255"/>
        <v>#N/A</v>
      </c>
      <c r="AJ767" s="34" t="e">
        <f t="shared" ca="1" si="256"/>
        <v>#N/A</v>
      </c>
      <c r="AK767" s="34" t="e">
        <f t="shared" ca="1" si="249"/>
        <v>#N/A</v>
      </c>
      <c r="AL767" s="34" t="e">
        <f t="shared" ca="1" si="250"/>
        <v>#N/A</v>
      </c>
      <c r="AM767" s="33" t="e">
        <f t="shared" ca="1" si="257"/>
        <v>#N/A</v>
      </c>
      <c r="AN767" s="34" t="e">
        <f t="shared" ca="1" si="258"/>
        <v>#N/A</v>
      </c>
    </row>
    <row r="768" spans="1:40" x14ac:dyDescent="0.3">
      <c r="A768" s="2">
        <v>44574</v>
      </c>
      <c r="B768" s="9">
        <v>112.349998</v>
      </c>
      <c r="C768" s="9">
        <v>117.370003</v>
      </c>
      <c r="D768" s="9">
        <v>83.360000999999997</v>
      </c>
      <c r="E768" s="10"/>
      <c r="F768" s="13">
        <v>765</v>
      </c>
      <c r="G768" s="2">
        <v>44574</v>
      </c>
      <c r="H768" s="14">
        <f t="shared" si="239"/>
        <v>1.1458347650796393E-2</v>
      </c>
      <c r="I768" s="14">
        <f t="shared" si="240"/>
        <v>1.9964521115232652E-2</v>
      </c>
      <c r="J768" s="14">
        <f t="shared" si="241"/>
        <v>-1.2043333733979408E-2</v>
      </c>
      <c r="K768" s="22">
        <v>765</v>
      </c>
      <c r="L768" s="12"/>
      <c r="Q768" s="15">
        <f t="shared" si="242"/>
        <v>765</v>
      </c>
      <c r="R768" s="2">
        <f t="shared" si="238"/>
        <v>44574</v>
      </c>
      <c r="S768" s="9">
        <f t="shared" ca="1" si="243"/>
        <v>1.1458347650796393E-2</v>
      </c>
      <c r="T768" s="9">
        <f t="shared" ca="1" si="244"/>
        <v>1.9964521115232652E-2</v>
      </c>
      <c r="U768" s="9">
        <f t="shared" ca="1" si="245"/>
        <v>-1.2043333733979408E-2</v>
      </c>
      <c r="AB768" s="33" t="e">
        <f t="shared" ca="1" si="251"/>
        <v>#N/A</v>
      </c>
      <c r="AC768" s="34" t="e">
        <f t="shared" ca="1" si="252"/>
        <v>#N/A</v>
      </c>
      <c r="AD768" s="34" t="e">
        <f t="shared" ca="1" si="253"/>
        <v>#N/A</v>
      </c>
      <c r="AE768" s="33" t="e">
        <f t="shared" ca="1" si="254"/>
        <v>#N/A</v>
      </c>
      <c r="AF768" s="34" t="e">
        <f t="shared" ca="1" si="246"/>
        <v>#N/A</v>
      </c>
      <c r="AG768" s="34" t="e">
        <f t="shared" ca="1" si="247"/>
        <v>#N/A</v>
      </c>
      <c r="AH768" s="34" t="e">
        <f t="shared" ca="1" si="248"/>
        <v>#N/A</v>
      </c>
      <c r="AI768" s="33" t="e">
        <f t="shared" ca="1" si="255"/>
        <v>#N/A</v>
      </c>
      <c r="AJ768" s="34" t="e">
        <f t="shared" ca="1" si="256"/>
        <v>#N/A</v>
      </c>
      <c r="AK768" s="34" t="e">
        <f t="shared" ca="1" si="249"/>
        <v>#N/A</v>
      </c>
      <c r="AL768" s="34" t="e">
        <f t="shared" ca="1" si="250"/>
        <v>#N/A</v>
      </c>
      <c r="AM768" s="33" t="e">
        <f t="shared" ca="1" si="257"/>
        <v>#N/A</v>
      </c>
      <c r="AN768" s="34" t="e">
        <f t="shared" ca="1" si="258"/>
        <v>#N/A</v>
      </c>
    </row>
    <row r="769" spans="1:40" x14ac:dyDescent="0.3">
      <c r="A769" s="2">
        <v>44575</v>
      </c>
      <c r="B769" s="9">
        <v>114.379997</v>
      </c>
      <c r="C769" s="9">
        <v>114.839996</v>
      </c>
      <c r="D769" s="9">
        <v>85.199996999999996</v>
      </c>
      <c r="E769" s="10"/>
      <c r="F769" s="13">
        <v>766</v>
      </c>
      <c r="G769" s="2">
        <v>44575</v>
      </c>
      <c r="H769" s="14">
        <f t="shared" si="239"/>
        <v>1.7907231428983379E-2</v>
      </c>
      <c r="I769" s="14">
        <f t="shared" si="240"/>
        <v>-2.1791543250433164E-2</v>
      </c>
      <c r="J769" s="14">
        <f t="shared" si="241"/>
        <v>2.1832808622783886E-2</v>
      </c>
      <c r="K769" s="22">
        <v>766</v>
      </c>
      <c r="L769" s="12"/>
      <c r="Q769" s="15">
        <f t="shared" si="242"/>
        <v>766</v>
      </c>
      <c r="R769" s="2">
        <f t="shared" si="238"/>
        <v>44575</v>
      </c>
      <c r="S769" s="9">
        <f t="shared" ca="1" si="243"/>
        <v>1.7907231428983379E-2</v>
      </c>
      <c r="T769" s="9">
        <f t="shared" ca="1" si="244"/>
        <v>-2.1791543250433164E-2</v>
      </c>
      <c r="U769" s="9">
        <f t="shared" ca="1" si="245"/>
        <v>2.1832808622783886E-2</v>
      </c>
      <c r="AB769" s="33" t="e">
        <f t="shared" ca="1" si="251"/>
        <v>#N/A</v>
      </c>
      <c r="AC769" s="34" t="e">
        <f t="shared" ca="1" si="252"/>
        <v>#N/A</v>
      </c>
      <c r="AD769" s="34" t="e">
        <f t="shared" ca="1" si="253"/>
        <v>#N/A</v>
      </c>
      <c r="AE769" s="33" t="e">
        <f t="shared" ca="1" si="254"/>
        <v>#N/A</v>
      </c>
      <c r="AF769" s="34" t="e">
        <f t="shared" ca="1" si="246"/>
        <v>#N/A</v>
      </c>
      <c r="AG769" s="34" t="e">
        <f t="shared" ca="1" si="247"/>
        <v>#N/A</v>
      </c>
      <c r="AH769" s="34" t="e">
        <f t="shared" ca="1" si="248"/>
        <v>#N/A</v>
      </c>
      <c r="AI769" s="33" t="e">
        <f t="shared" ca="1" si="255"/>
        <v>#N/A</v>
      </c>
      <c r="AJ769" s="34" t="e">
        <f t="shared" ca="1" si="256"/>
        <v>#N/A</v>
      </c>
      <c r="AK769" s="34" t="e">
        <f t="shared" ca="1" si="249"/>
        <v>#N/A</v>
      </c>
      <c r="AL769" s="34" t="e">
        <f t="shared" ca="1" si="250"/>
        <v>#N/A</v>
      </c>
      <c r="AM769" s="33" t="e">
        <f t="shared" ca="1" si="257"/>
        <v>#N/A</v>
      </c>
      <c r="AN769" s="34" t="e">
        <f t="shared" ca="1" si="258"/>
        <v>#N/A</v>
      </c>
    </row>
    <row r="770" spans="1:40" x14ac:dyDescent="0.3">
      <c r="A770" s="2">
        <v>44579</v>
      </c>
      <c r="B770" s="9">
        <v>112.05999799999999</v>
      </c>
      <c r="C770" s="9">
        <v>112.30999799999999</v>
      </c>
      <c r="D770" s="9">
        <v>85.639999000000003</v>
      </c>
      <c r="E770" s="10"/>
      <c r="F770" s="13">
        <v>767</v>
      </c>
      <c r="G770" s="2">
        <v>44579</v>
      </c>
      <c r="H770" s="14">
        <f t="shared" si="239"/>
        <v>-2.0491787969251569E-2</v>
      </c>
      <c r="I770" s="14">
        <f t="shared" si="240"/>
        <v>-2.2276933254701977E-2</v>
      </c>
      <c r="J770" s="14">
        <f t="shared" si="241"/>
        <v>5.1510534206936501E-3</v>
      </c>
      <c r="K770" s="22">
        <v>767</v>
      </c>
      <c r="L770" s="12"/>
      <c r="Q770" s="15">
        <f t="shared" si="242"/>
        <v>767</v>
      </c>
      <c r="R770" s="2">
        <f t="shared" si="238"/>
        <v>44579</v>
      </c>
      <c r="S770" s="9">
        <f t="shared" ca="1" si="243"/>
        <v>-2.0491787969251569E-2</v>
      </c>
      <c r="T770" s="9">
        <f t="shared" ca="1" si="244"/>
        <v>-2.2276933254701977E-2</v>
      </c>
      <c r="U770" s="9">
        <f t="shared" ca="1" si="245"/>
        <v>5.1510534206936501E-3</v>
      </c>
      <c r="AB770" s="33" t="e">
        <f t="shared" ca="1" si="251"/>
        <v>#N/A</v>
      </c>
      <c r="AC770" s="34" t="e">
        <f t="shared" ca="1" si="252"/>
        <v>#N/A</v>
      </c>
      <c r="AD770" s="34" t="e">
        <f t="shared" ca="1" si="253"/>
        <v>#N/A</v>
      </c>
      <c r="AE770" s="33" t="e">
        <f t="shared" ca="1" si="254"/>
        <v>#N/A</v>
      </c>
      <c r="AF770" s="34" t="e">
        <f t="shared" ca="1" si="246"/>
        <v>#N/A</v>
      </c>
      <c r="AG770" s="34" t="e">
        <f t="shared" ca="1" si="247"/>
        <v>#N/A</v>
      </c>
      <c r="AH770" s="34" t="e">
        <f t="shared" ca="1" si="248"/>
        <v>#N/A</v>
      </c>
      <c r="AI770" s="33" t="e">
        <f t="shared" ca="1" si="255"/>
        <v>#N/A</v>
      </c>
      <c r="AJ770" s="34" t="e">
        <f t="shared" ca="1" si="256"/>
        <v>#N/A</v>
      </c>
      <c r="AK770" s="34" t="e">
        <f t="shared" ca="1" si="249"/>
        <v>#N/A</v>
      </c>
      <c r="AL770" s="34" t="e">
        <f t="shared" ca="1" si="250"/>
        <v>#N/A</v>
      </c>
      <c r="AM770" s="33" t="e">
        <f t="shared" ca="1" si="257"/>
        <v>#N/A</v>
      </c>
      <c r="AN770" s="34" t="e">
        <f t="shared" ca="1" si="258"/>
        <v>#N/A</v>
      </c>
    </row>
    <row r="771" spans="1:40" x14ac:dyDescent="0.3">
      <c r="A771" s="2">
        <v>44580</v>
      </c>
      <c r="B771" s="9">
        <v>110.739998</v>
      </c>
      <c r="C771" s="9">
        <v>113.089996</v>
      </c>
      <c r="D771" s="9">
        <v>84.209998999999996</v>
      </c>
      <c r="E771" s="10"/>
      <c r="F771" s="13">
        <v>768</v>
      </c>
      <c r="G771" s="2">
        <v>44580</v>
      </c>
      <c r="H771" s="14">
        <f t="shared" si="239"/>
        <v>-1.1849330955057134E-2</v>
      </c>
      <c r="I771" s="14">
        <f t="shared" si="240"/>
        <v>6.9210393460843898E-3</v>
      </c>
      <c r="J771" s="14">
        <f t="shared" si="241"/>
        <v>-1.6838784877868957E-2</v>
      </c>
      <c r="K771" s="22">
        <v>768</v>
      </c>
      <c r="L771" s="12"/>
      <c r="Q771" s="15">
        <f t="shared" si="242"/>
        <v>768</v>
      </c>
      <c r="R771" s="2">
        <f t="shared" si="238"/>
        <v>44580</v>
      </c>
      <c r="S771" s="9">
        <f t="shared" ca="1" si="243"/>
        <v>-1.1849330955057134E-2</v>
      </c>
      <c r="T771" s="9">
        <f t="shared" ca="1" si="244"/>
        <v>6.9210393460843898E-3</v>
      </c>
      <c r="U771" s="9">
        <f t="shared" ca="1" si="245"/>
        <v>-1.6838784877868957E-2</v>
      </c>
      <c r="AB771" s="33" t="e">
        <f t="shared" ca="1" si="251"/>
        <v>#N/A</v>
      </c>
      <c r="AC771" s="34" t="e">
        <f t="shared" ca="1" si="252"/>
        <v>#N/A</v>
      </c>
      <c r="AD771" s="34" t="e">
        <f t="shared" ca="1" si="253"/>
        <v>#N/A</v>
      </c>
      <c r="AE771" s="33" t="e">
        <f t="shared" ca="1" si="254"/>
        <v>#N/A</v>
      </c>
      <c r="AF771" s="34" t="e">
        <f t="shared" ca="1" si="246"/>
        <v>#N/A</v>
      </c>
      <c r="AG771" s="34" t="e">
        <f t="shared" ca="1" si="247"/>
        <v>#N/A</v>
      </c>
      <c r="AH771" s="34" t="e">
        <f t="shared" ca="1" si="248"/>
        <v>#N/A</v>
      </c>
      <c r="AI771" s="33" t="e">
        <f t="shared" ca="1" si="255"/>
        <v>#N/A</v>
      </c>
      <c r="AJ771" s="34" t="e">
        <f t="shared" ca="1" si="256"/>
        <v>#N/A</v>
      </c>
      <c r="AK771" s="34" t="e">
        <f t="shared" ca="1" si="249"/>
        <v>#N/A</v>
      </c>
      <c r="AL771" s="34" t="e">
        <f t="shared" ca="1" si="250"/>
        <v>#N/A</v>
      </c>
      <c r="AM771" s="33" t="e">
        <f t="shared" ca="1" si="257"/>
        <v>#N/A</v>
      </c>
      <c r="AN771" s="34" t="e">
        <f t="shared" ca="1" si="258"/>
        <v>#N/A</v>
      </c>
    </row>
    <row r="772" spans="1:40" x14ac:dyDescent="0.3">
      <c r="A772" s="2">
        <v>44581</v>
      </c>
      <c r="B772" s="9">
        <v>108.879997</v>
      </c>
      <c r="C772" s="9">
        <v>109.94000200000001</v>
      </c>
      <c r="D772" s="9">
        <v>81.410004000000001</v>
      </c>
      <c r="E772" s="10"/>
      <c r="F772" s="13">
        <v>769</v>
      </c>
      <c r="G772" s="2">
        <v>44581</v>
      </c>
      <c r="H772" s="14">
        <f t="shared" si="239"/>
        <v>-1.6938762544558884E-2</v>
      </c>
      <c r="I772" s="14">
        <f t="shared" si="240"/>
        <v>-2.8249145888920638E-2</v>
      </c>
      <c r="J772" s="14">
        <f t="shared" si="241"/>
        <v>-3.3815502446928332E-2</v>
      </c>
      <c r="K772" s="22">
        <v>769</v>
      </c>
      <c r="L772" s="12"/>
      <c r="Q772" s="15">
        <f t="shared" si="242"/>
        <v>769</v>
      </c>
      <c r="R772" s="2">
        <f t="shared" ref="R772:R835" si="259">IF(Q772="","",VLOOKUP(Q772,F772:J2029,2))</f>
        <v>44581</v>
      </c>
      <c r="S772" s="9">
        <f t="shared" ca="1" si="243"/>
        <v>-1.6938762544558884E-2</v>
      </c>
      <c r="T772" s="9">
        <f t="shared" ca="1" si="244"/>
        <v>-2.8249145888920638E-2</v>
      </c>
      <c r="U772" s="9">
        <f t="shared" ca="1" si="245"/>
        <v>-3.3815502446928332E-2</v>
      </c>
      <c r="AB772" s="33" t="e">
        <f t="shared" ca="1" si="251"/>
        <v>#N/A</v>
      </c>
      <c r="AC772" s="34" t="e">
        <f t="shared" ca="1" si="252"/>
        <v>#N/A</v>
      </c>
      <c r="AD772" s="34" t="e">
        <f t="shared" ca="1" si="253"/>
        <v>#N/A</v>
      </c>
      <c r="AE772" s="33" t="e">
        <f t="shared" ca="1" si="254"/>
        <v>#N/A</v>
      </c>
      <c r="AF772" s="34" t="e">
        <f t="shared" ca="1" si="246"/>
        <v>#N/A</v>
      </c>
      <c r="AG772" s="34" t="e">
        <f t="shared" ca="1" si="247"/>
        <v>#N/A</v>
      </c>
      <c r="AH772" s="34" t="e">
        <f t="shared" ca="1" si="248"/>
        <v>#N/A</v>
      </c>
      <c r="AI772" s="33" t="e">
        <f t="shared" ca="1" si="255"/>
        <v>#N/A</v>
      </c>
      <c r="AJ772" s="34" t="e">
        <f t="shared" ca="1" si="256"/>
        <v>#N/A</v>
      </c>
      <c r="AK772" s="34" t="e">
        <f t="shared" ca="1" si="249"/>
        <v>#N/A</v>
      </c>
      <c r="AL772" s="34" t="e">
        <f t="shared" ca="1" si="250"/>
        <v>#N/A</v>
      </c>
      <c r="AM772" s="33" t="e">
        <f t="shared" ca="1" si="257"/>
        <v>#N/A</v>
      </c>
      <c r="AN772" s="34" t="e">
        <f t="shared" ca="1" si="258"/>
        <v>#N/A</v>
      </c>
    </row>
    <row r="773" spans="1:40" x14ac:dyDescent="0.3">
      <c r="A773" s="2">
        <v>44582</v>
      </c>
      <c r="B773" s="9">
        <v>109</v>
      </c>
      <c r="C773" s="9">
        <v>108.5</v>
      </c>
      <c r="D773" s="9">
        <v>79.290001000000004</v>
      </c>
      <c r="E773" s="10"/>
      <c r="F773" s="13">
        <v>770</v>
      </c>
      <c r="G773" s="2">
        <v>44582</v>
      </c>
      <c r="H773" s="14">
        <f t="shared" ref="H773:H836" si="260">LN(B773/B772)</f>
        <v>1.1015514392030557E-3</v>
      </c>
      <c r="I773" s="14">
        <f t="shared" ref="I773:I836" si="261">LN(C773/C772)</f>
        <v>-1.3184607643740891E-2</v>
      </c>
      <c r="J773" s="14">
        <f t="shared" ref="J773:J836" si="262">LN(D773/D772)</f>
        <v>-2.6386134823659837E-2</v>
      </c>
      <c r="K773" s="22">
        <v>770</v>
      </c>
      <c r="L773" s="12"/>
      <c r="Q773" s="15">
        <f t="shared" ref="Q773:Q836" si="263">IF(Q772="","",IF(Q772+1&lt;=$M$6,Q772+1,""))</f>
        <v>770</v>
      </c>
      <c r="R773" s="2">
        <f t="shared" si="259"/>
        <v>44582</v>
      </c>
      <c r="S773" s="9">
        <f t="shared" ref="S773:S836" ca="1" si="264">IF(Q773="","",OFFSET(H$3,$Q773,0))</f>
        <v>1.1015514392030557E-3</v>
      </c>
      <c r="T773" s="9">
        <f t="shared" ref="T773:T836" ca="1" si="265">IF(R773="","",OFFSET(I$3,$Q773,0))</f>
        <v>-1.3184607643740891E-2</v>
      </c>
      <c r="U773" s="9">
        <f t="shared" ref="U773:U836" ca="1" si="266">IF(S773="","",OFFSET(J$3,$Q773,0))</f>
        <v>-2.6386134823659837E-2</v>
      </c>
      <c r="AB773" s="33" t="e">
        <f t="shared" ca="1" si="251"/>
        <v>#N/A</v>
      </c>
      <c r="AC773" s="34" t="e">
        <f t="shared" ca="1" si="252"/>
        <v>#N/A</v>
      </c>
      <c r="AD773" s="34" t="e">
        <f t="shared" ca="1" si="253"/>
        <v>#N/A</v>
      </c>
      <c r="AE773" s="33" t="e">
        <f t="shared" ca="1" si="254"/>
        <v>#N/A</v>
      </c>
      <c r="AF773" s="34" t="e">
        <f t="shared" ref="AF773:AF836" ca="1" si="267">IF(AB773&lt;=$X$6,(AE773/$X$5)/$X$7,"")</f>
        <v>#N/A</v>
      </c>
      <c r="AG773" s="34" t="e">
        <f t="shared" ref="AG773:AG836" ca="1" si="268">IF(AB773&lt;=$Y$6,AG772+$Y$7,"")</f>
        <v>#N/A</v>
      </c>
      <c r="AH773" s="34" t="e">
        <f t="shared" ref="AH773:AH836" ca="1" si="269">IF(AB773&lt;=$Y$6,AG773-$Y$7/2,"")</f>
        <v>#N/A</v>
      </c>
      <c r="AI773" s="33" t="e">
        <f t="shared" ca="1" si="255"/>
        <v>#N/A</v>
      </c>
      <c r="AJ773" s="34" t="e">
        <f t="shared" ca="1" si="256"/>
        <v>#N/A</v>
      </c>
      <c r="AK773" s="34" t="e">
        <f t="shared" ref="AK773:AK836" ca="1" si="270">IF(AB773&lt;=$Z$6,AK772+$Z$7,"")</f>
        <v>#N/A</v>
      </c>
      <c r="AL773" s="34" t="e">
        <f t="shared" ref="AL773:AL836" ca="1" si="271">IF(AB773&lt;=$Z$6,AK773-$Z$7/2,"")</f>
        <v>#N/A</v>
      </c>
      <c r="AM773" s="33" t="e">
        <f t="shared" ca="1" si="257"/>
        <v>#N/A</v>
      </c>
      <c r="AN773" s="34" t="e">
        <f t="shared" ca="1" si="258"/>
        <v>#N/A</v>
      </c>
    </row>
    <row r="774" spans="1:40" x14ac:dyDescent="0.3">
      <c r="A774" s="2">
        <v>44585</v>
      </c>
      <c r="B774" s="9">
        <v>109.879997</v>
      </c>
      <c r="C774" s="9">
        <v>110.33000199999999</v>
      </c>
      <c r="D774" s="9">
        <v>78.589995999999999</v>
      </c>
      <c r="E774" s="10"/>
      <c r="F774" s="13">
        <v>771</v>
      </c>
      <c r="G774" s="2">
        <v>44585</v>
      </c>
      <c r="H774" s="14">
        <f t="shared" si="260"/>
        <v>8.0409516954172162E-3</v>
      </c>
      <c r="I774" s="14">
        <f t="shared" si="261"/>
        <v>1.6725719919136146E-2</v>
      </c>
      <c r="J774" s="14">
        <f t="shared" si="262"/>
        <v>-8.8676159152167953E-3</v>
      </c>
      <c r="K774" s="22">
        <v>771</v>
      </c>
      <c r="L774" s="12"/>
      <c r="Q774" s="15">
        <f t="shared" si="263"/>
        <v>771</v>
      </c>
      <c r="R774" s="2">
        <f t="shared" si="259"/>
        <v>44585</v>
      </c>
      <c r="S774" s="9">
        <f t="shared" ca="1" si="264"/>
        <v>8.0409516954172162E-3</v>
      </c>
      <c r="T774" s="9">
        <f t="shared" ca="1" si="265"/>
        <v>1.6725719919136146E-2</v>
      </c>
      <c r="U774" s="9">
        <f t="shared" ca="1" si="266"/>
        <v>-8.8676159152167953E-3</v>
      </c>
      <c r="AB774" s="33" t="e">
        <f t="shared" ref="AB774:AB837" ca="1" si="272">IF(AB773&lt;$X$6,AB773+1,NA())</f>
        <v>#N/A</v>
      </c>
      <c r="AC774" s="34" t="e">
        <f t="shared" ref="AC774:AC837" ca="1" si="273">IF(AB774&lt;=$X$6,AC773+$X$7,"")</f>
        <v>#N/A</v>
      </c>
      <c r="AD774" s="34" t="e">
        <f t="shared" ref="AD774:AD837" ca="1" si="274">IF(AB774&lt;=$X$6,AC774-$X$7/2,"")</f>
        <v>#N/A</v>
      </c>
      <c r="AE774" s="33" t="e">
        <f t="shared" ref="AE774:AE837" ca="1" si="275">IF(AB774&lt;=$X$6,COUNTIFS($S$3:$S$1260,"&gt;"&amp;AC773,$S$3:$S$1260,"&lt;="&amp;AC774),"")</f>
        <v>#N/A</v>
      </c>
      <c r="AF774" s="34" t="e">
        <f t="shared" ca="1" si="267"/>
        <v>#N/A</v>
      </c>
      <c r="AG774" s="34" t="e">
        <f t="shared" ca="1" si="268"/>
        <v>#N/A</v>
      </c>
      <c r="AH774" s="34" t="e">
        <f t="shared" ca="1" si="269"/>
        <v>#N/A</v>
      </c>
      <c r="AI774" s="33" t="e">
        <f t="shared" ref="AI774:AI837" ca="1" si="276">IF(AB774&lt;=$Y$6,COUNTIFS($T$3:$T$1260,"&gt;"&amp;AG773,$T$3:$T$1260,"&lt;="&amp;AG774),"")</f>
        <v>#N/A</v>
      </c>
      <c r="AJ774" s="34" t="e">
        <f t="shared" ref="AJ774:AJ837" ca="1" si="277">IF(AB774&lt;=$Y$6,(AI774/$Y$5)/$Y$7,"")</f>
        <v>#N/A</v>
      </c>
      <c r="AK774" s="34" t="e">
        <f t="shared" ca="1" si="270"/>
        <v>#N/A</v>
      </c>
      <c r="AL774" s="34" t="e">
        <f t="shared" ca="1" si="271"/>
        <v>#N/A</v>
      </c>
      <c r="AM774" s="33" t="e">
        <f t="shared" ref="AM774:AM837" ca="1" si="278">IF(AB774&lt;=$Z$6,COUNTIFS($U$3:$U$1260,"&gt;"&amp;AK773,$U$3:$U$1260,"&lt;="&amp;AK774),"")</f>
        <v>#N/A</v>
      </c>
      <c r="AN774" s="34" t="e">
        <f t="shared" ref="AN774:AN837" ca="1" si="279">IF(AB774&lt;=$Z$6,(AM774/$Z$5)/$Z$7,"")</f>
        <v>#N/A</v>
      </c>
    </row>
    <row r="775" spans="1:40" x14ac:dyDescent="0.3">
      <c r="A775" s="2">
        <v>44586</v>
      </c>
      <c r="B775" s="9">
        <v>110</v>
      </c>
      <c r="C775" s="9">
        <v>108.139999</v>
      </c>
      <c r="D775" s="9">
        <v>81.160004000000001</v>
      </c>
      <c r="E775" s="10"/>
      <c r="F775" s="13">
        <v>772</v>
      </c>
      <c r="G775" s="2">
        <v>44586</v>
      </c>
      <c r="H775" s="14">
        <f t="shared" si="260"/>
        <v>1.0915318678552223E-3</v>
      </c>
      <c r="I775" s="14">
        <f t="shared" si="261"/>
        <v>-2.0049218193063684E-2</v>
      </c>
      <c r="J775" s="14">
        <f t="shared" si="262"/>
        <v>3.2178150261953378E-2</v>
      </c>
      <c r="K775" s="22">
        <v>772</v>
      </c>
      <c r="L775" s="12"/>
      <c r="Q775" s="15">
        <f t="shared" si="263"/>
        <v>772</v>
      </c>
      <c r="R775" s="2">
        <f t="shared" si="259"/>
        <v>44586</v>
      </c>
      <c r="S775" s="9">
        <f t="shared" ca="1" si="264"/>
        <v>1.0915318678552223E-3</v>
      </c>
      <c r="T775" s="9">
        <f t="shared" ca="1" si="265"/>
        <v>-2.0049218193063684E-2</v>
      </c>
      <c r="U775" s="9">
        <f t="shared" ca="1" si="266"/>
        <v>3.2178150261953378E-2</v>
      </c>
      <c r="AB775" s="33" t="e">
        <f t="shared" ca="1" si="272"/>
        <v>#N/A</v>
      </c>
      <c r="AC775" s="34" t="e">
        <f t="shared" ca="1" si="273"/>
        <v>#N/A</v>
      </c>
      <c r="AD775" s="34" t="e">
        <f t="shared" ca="1" si="274"/>
        <v>#N/A</v>
      </c>
      <c r="AE775" s="33" t="e">
        <f t="shared" ca="1" si="275"/>
        <v>#N/A</v>
      </c>
      <c r="AF775" s="34" t="e">
        <f t="shared" ca="1" si="267"/>
        <v>#N/A</v>
      </c>
      <c r="AG775" s="34" t="e">
        <f t="shared" ca="1" si="268"/>
        <v>#N/A</v>
      </c>
      <c r="AH775" s="34" t="e">
        <f t="shared" ca="1" si="269"/>
        <v>#N/A</v>
      </c>
      <c r="AI775" s="33" t="e">
        <f t="shared" ca="1" si="276"/>
        <v>#N/A</v>
      </c>
      <c r="AJ775" s="34" t="e">
        <f t="shared" ca="1" si="277"/>
        <v>#N/A</v>
      </c>
      <c r="AK775" s="34" t="e">
        <f t="shared" ca="1" si="270"/>
        <v>#N/A</v>
      </c>
      <c r="AL775" s="34" t="e">
        <f t="shared" ca="1" si="271"/>
        <v>#N/A</v>
      </c>
      <c r="AM775" s="33" t="e">
        <f t="shared" ca="1" si="278"/>
        <v>#N/A</v>
      </c>
      <c r="AN775" s="34" t="e">
        <f t="shared" ca="1" si="279"/>
        <v>#N/A</v>
      </c>
    </row>
    <row r="776" spans="1:40" x14ac:dyDescent="0.3">
      <c r="A776" s="2">
        <v>44587</v>
      </c>
      <c r="B776" s="9">
        <v>111.120003</v>
      </c>
      <c r="C776" s="9">
        <v>105.800003</v>
      </c>
      <c r="D776" s="9">
        <v>81.300003000000004</v>
      </c>
      <c r="E776" s="10"/>
      <c r="F776" s="13">
        <v>773</v>
      </c>
      <c r="G776" s="2">
        <v>44587</v>
      </c>
      <c r="H776" s="14">
        <f t="shared" si="260"/>
        <v>1.0130359651511931E-2</v>
      </c>
      <c r="I776" s="14">
        <f t="shared" si="261"/>
        <v>-2.1876126927000555E-2</v>
      </c>
      <c r="J776" s="14">
        <f t="shared" si="262"/>
        <v>1.7234892111583338E-3</v>
      </c>
      <c r="K776" s="22">
        <v>773</v>
      </c>
      <c r="L776" s="12"/>
      <c r="Q776" s="15">
        <f t="shared" si="263"/>
        <v>773</v>
      </c>
      <c r="R776" s="2">
        <f t="shared" si="259"/>
        <v>44587</v>
      </c>
      <c r="S776" s="9">
        <f t="shared" ca="1" si="264"/>
        <v>1.0130359651511931E-2</v>
      </c>
      <c r="T776" s="9">
        <f t="shared" ca="1" si="265"/>
        <v>-2.1876126927000555E-2</v>
      </c>
      <c r="U776" s="9">
        <f t="shared" ca="1" si="266"/>
        <v>1.7234892111583338E-3</v>
      </c>
      <c r="AB776" s="33" t="e">
        <f t="shared" ca="1" si="272"/>
        <v>#N/A</v>
      </c>
      <c r="AC776" s="34" t="e">
        <f t="shared" ca="1" si="273"/>
        <v>#N/A</v>
      </c>
      <c r="AD776" s="34" t="e">
        <f t="shared" ca="1" si="274"/>
        <v>#N/A</v>
      </c>
      <c r="AE776" s="33" t="e">
        <f t="shared" ca="1" si="275"/>
        <v>#N/A</v>
      </c>
      <c r="AF776" s="34" t="e">
        <f t="shared" ca="1" si="267"/>
        <v>#N/A</v>
      </c>
      <c r="AG776" s="34" t="e">
        <f t="shared" ca="1" si="268"/>
        <v>#N/A</v>
      </c>
      <c r="AH776" s="34" t="e">
        <f t="shared" ca="1" si="269"/>
        <v>#N/A</v>
      </c>
      <c r="AI776" s="33" t="e">
        <f t="shared" ca="1" si="276"/>
        <v>#N/A</v>
      </c>
      <c r="AJ776" s="34" t="e">
        <f t="shared" ca="1" si="277"/>
        <v>#N/A</v>
      </c>
      <c r="AK776" s="34" t="e">
        <f t="shared" ca="1" si="270"/>
        <v>#N/A</v>
      </c>
      <c r="AL776" s="34" t="e">
        <f t="shared" ca="1" si="271"/>
        <v>#N/A</v>
      </c>
      <c r="AM776" s="33" t="e">
        <f t="shared" ca="1" si="278"/>
        <v>#N/A</v>
      </c>
      <c r="AN776" s="34" t="e">
        <f t="shared" ca="1" si="279"/>
        <v>#N/A</v>
      </c>
    </row>
    <row r="777" spans="1:40" x14ac:dyDescent="0.3">
      <c r="A777" s="2">
        <v>44588</v>
      </c>
      <c r="B777" s="9">
        <v>111</v>
      </c>
      <c r="C777" s="9">
        <v>107.19000200000001</v>
      </c>
      <c r="D777" s="9">
        <v>81.980002999999996</v>
      </c>
      <c r="E777" s="10"/>
      <c r="F777" s="13">
        <v>774</v>
      </c>
      <c r="G777" s="2">
        <v>44588</v>
      </c>
      <c r="H777" s="14">
        <f t="shared" si="260"/>
        <v>-1.0805241315940141E-3</v>
      </c>
      <c r="I777" s="14">
        <f t="shared" si="261"/>
        <v>1.3052431582298862E-2</v>
      </c>
      <c r="J777" s="14">
        <f t="shared" si="262"/>
        <v>8.329298216348759E-3</v>
      </c>
      <c r="K777" s="22">
        <v>774</v>
      </c>
      <c r="L777" s="12"/>
      <c r="Q777" s="15">
        <f t="shared" si="263"/>
        <v>774</v>
      </c>
      <c r="R777" s="2">
        <f t="shared" si="259"/>
        <v>44588</v>
      </c>
      <c r="S777" s="9">
        <f t="shared" ca="1" si="264"/>
        <v>-1.0805241315940141E-3</v>
      </c>
      <c r="T777" s="9">
        <f t="shared" ca="1" si="265"/>
        <v>1.3052431582298862E-2</v>
      </c>
      <c r="U777" s="9">
        <f t="shared" ca="1" si="266"/>
        <v>8.329298216348759E-3</v>
      </c>
      <c r="AB777" s="33" t="e">
        <f t="shared" ca="1" si="272"/>
        <v>#N/A</v>
      </c>
      <c r="AC777" s="34" t="e">
        <f t="shared" ca="1" si="273"/>
        <v>#N/A</v>
      </c>
      <c r="AD777" s="34" t="e">
        <f t="shared" ca="1" si="274"/>
        <v>#N/A</v>
      </c>
      <c r="AE777" s="33" t="e">
        <f t="shared" ca="1" si="275"/>
        <v>#N/A</v>
      </c>
      <c r="AF777" s="34" t="e">
        <f t="shared" ca="1" si="267"/>
        <v>#N/A</v>
      </c>
      <c r="AG777" s="34" t="e">
        <f t="shared" ca="1" si="268"/>
        <v>#N/A</v>
      </c>
      <c r="AH777" s="34" t="e">
        <f t="shared" ca="1" si="269"/>
        <v>#N/A</v>
      </c>
      <c r="AI777" s="33" t="e">
        <f t="shared" ca="1" si="276"/>
        <v>#N/A</v>
      </c>
      <c r="AJ777" s="34" t="e">
        <f t="shared" ca="1" si="277"/>
        <v>#N/A</v>
      </c>
      <c r="AK777" s="34" t="e">
        <f t="shared" ca="1" si="270"/>
        <v>#N/A</v>
      </c>
      <c r="AL777" s="34" t="e">
        <f t="shared" ca="1" si="271"/>
        <v>#N/A</v>
      </c>
      <c r="AM777" s="33" t="e">
        <f t="shared" ca="1" si="278"/>
        <v>#N/A</v>
      </c>
      <c r="AN777" s="34" t="e">
        <f t="shared" ca="1" si="279"/>
        <v>#N/A</v>
      </c>
    </row>
    <row r="778" spans="1:40" x14ac:dyDescent="0.3">
      <c r="A778" s="2">
        <v>44589</v>
      </c>
      <c r="B778" s="9">
        <v>110.290001</v>
      </c>
      <c r="C778" s="9">
        <v>109.290001</v>
      </c>
      <c r="D778" s="9">
        <v>81.410004000000001</v>
      </c>
      <c r="E778" s="10"/>
      <c r="F778" s="13">
        <v>775</v>
      </c>
      <c r="G778" s="2">
        <v>44589</v>
      </c>
      <c r="H778" s="14">
        <f t="shared" si="260"/>
        <v>-6.4169319272734272E-3</v>
      </c>
      <c r="I778" s="14">
        <f t="shared" si="261"/>
        <v>1.9401929476665088E-2</v>
      </c>
      <c r="J778" s="14">
        <f t="shared" si="262"/>
        <v>-6.9771869505839247E-3</v>
      </c>
      <c r="K778" s="22">
        <v>775</v>
      </c>
      <c r="L778" s="12"/>
      <c r="Q778" s="15">
        <f t="shared" si="263"/>
        <v>775</v>
      </c>
      <c r="R778" s="2">
        <f t="shared" si="259"/>
        <v>44589</v>
      </c>
      <c r="S778" s="9">
        <f t="shared" ca="1" si="264"/>
        <v>-6.4169319272734272E-3</v>
      </c>
      <c r="T778" s="9">
        <f t="shared" ca="1" si="265"/>
        <v>1.9401929476665088E-2</v>
      </c>
      <c r="U778" s="9">
        <f t="shared" ca="1" si="266"/>
        <v>-6.9771869505839247E-3</v>
      </c>
      <c r="AB778" s="33" t="e">
        <f t="shared" ca="1" si="272"/>
        <v>#N/A</v>
      </c>
      <c r="AC778" s="34" t="e">
        <f t="shared" ca="1" si="273"/>
        <v>#N/A</v>
      </c>
      <c r="AD778" s="34" t="e">
        <f t="shared" ca="1" si="274"/>
        <v>#N/A</v>
      </c>
      <c r="AE778" s="33" t="e">
        <f t="shared" ca="1" si="275"/>
        <v>#N/A</v>
      </c>
      <c r="AF778" s="34" t="e">
        <f t="shared" ca="1" si="267"/>
        <v>#N/A</v>
      </c>
      <c r="AG778" s="34" t="e">
        <f t="shared" ca="1" si="268"/>
        <v>#N/A</v>
      </c>
      <c r="AH778" s="34" t="e">
        <f t="shared" ca="1" si="269"/>
        <v>#N/A</v>
      </c>
      <c r="AI778" s="33" t="e">
        <f t="shared" ca="1" si="276"/>
        <v>#N/A</v>
      </c>
      <c r="AJ778" s="34" t="e">
        <f t="shared" ca="1" si="277"/>
        <v>#N/A</v>
      </c>
      <c r="AK778" s="34" t="e">
        <f t="shared" ca="1" si="270"/>
        <v>#N/A</v>
      </c>
      <c r="AL778" s="34" t="e">
        <f t="shared" ca="1" si="271"/>
        <v>#N/A</v>
      </c>
      <c r="AM778" s="33" t="e">
        <f t="shared" ca="1" si="278"/>
        <v>#N/A</v>
      </c>
      <c r="AN778" s="34" t="e">
        <f t="shared" ca="1" si="279"/>
        <v>#N/A</v>
      </c>
    </row>
    <row r="779" spans="1:40" x14ac:dyDescent="0.3">
      <c r="A779" s="2">
        <v>44592</v>
      </c>
      <c r="B779" s="9">
        <v>113.260002</v>
      </c>
      <c r="C779" s="9">
        <v>110.839996</v>
      </c>
      <c r="D779" s="9">
        <v>82.970000999999996</v>
      </c>
      <c r="E779" s="10"/>
      <c r="F779" s="13">
        <v>776</v>
      </c>
      <c r="G779" s="2">
        <v>44592</v>
      </c>
      <c r="H779" s="14">
        <f t="shared" si="260"/>
        <v>2.65728089590829E-2</v>
      </c>
      <c r="I779" s="14">
        <f t="shared" si="261"/>
        <v>1.4082775068172087E-2</v>
      </c>
      <c r="J779" s="14">
        <f t="shared" si="262"/>
        <v>1.8980944008844716E-2</v>
      </c>
      <c r="K779" s="22">
        <v>776</v>
      </c>
      <c r="L779" s="12"/>
      <c r="Q779" s="15">
        <f t="shared" si="263"/>
        <v>776</v>
      </c>
      <c r="R779" s="2">
        <f t="shared" si="259"/>
        <v>44592</v>
      </c>
      <c r="S779" s="9">
        <f t="shared" ca="1" si="264"/>
        <v>2.65728089590829E-2</v>
      </c>
      <c r="T779" s="9">
        <f t="shared" ca="1" si="265"/>
        <v>1.4082775068172087E-2</v>
      </c>
      <c r="U779" s="9">
        <f t="shared" ca="1" si="266"/>
        <v>1.8980944008844716E-2</v>
      </c>
      <c r="AB779" s="33" t="e">
        <f t="shared" ca="1" si="272"/>
        <v>#N/A</v>
      </c>
      <c r="AC779" s="34" t="e">
        <f t="shared" ca="1" si="273"/>
        <v>#N/A</v>
      </c>
      <c r="AD779" s="34" t="e">
        <f t="shared" ca="1" si="274"/>
        <v>#N/A</v>
      </c>
      <c r="AE779" s="33" t="e">
        <f t="shared" ca="1" si="275"/>
        <v>#N/A</v>
      </c>
      <c r="AF779" s="34" t="e">
        <f t="shared" ca="1" si="267"/>
        <v>#N/A</v>
      </c>
      <c r="AG779" s="34" t="e">
        <f t="shared" ca="1" si="268"/>
        <v>#N/A</v>
      </c>
      <c r="AH779" s="34" t="e">
        <f t="shared" ca="1" si="269"/>
        <v>#N/A</v>
      </c>
      <c r="AI779" s="33" t="e">
        <f t="shared" ca="1" si="276"/>
        <v>#N/A</v>
      </c>
      <c r="AJ779" s="34" t="e">
        <f t="shared" ca="1" si="277"/>
        <v>#N/A</v>
      </c>
      <c r="AK779" s="34" t="e">
        <f t="shared" ca="1" si="270"/>
        <v>#N/A</v>
      </c>
      <c r="AL779" s="34" t="e">
        <f t="shared" ca="1" si="271"/>
        <v>#N/A</v>
      </c>
      <c r="AM779" s="33" t="e">
        <f t="shared" ca="1" si="278"/>
        <v>#N/A</v>
      </c>
      <c r="AN779" s="34" t="e">
        <f t="shared" ca="1" si="279"/>
        <v>#N/A</v>
      </c>
    </row>
    <row r="780" spans="1:40" x14ac:dyDescent="0.3">
      <c r="A780" s="2">
        <v>44593</v>
      </c>
      <c r="B780" s="9">
        <v>114.589996</v>
      </c>
      <c r="C780" s="9">
        <v>113.510002</v>
      </c>
      <c r="D780" s="9">
        <v>86.550003000000004</v>
      </c>
      <c r="E780" s="10"/>
      <c r="F780" s="13">
        <v>777</v>
      </c>
      <c r="G780" s="2">
        <v>44593</v>
      </c>
      <c r="H780" s="14">
        <f t="shared" si="260"/>
        <v>1.167442718715269E-2</v>
      </c>
      <c r="I780" s="14">
        <f t="shared" si="261"/>
        <v>2.3803272480118778E-2</v>
      </c>
      <c r="J780" s="14">
        <f t="shared" si="262"/>
        <v>4.2243207555519809E-2</v>
      </c>
      <c r="K780" s="22">
        <v>777</v>
      </c>
      <c r="L780" s="12"/>
      <c r="Q780" s="15">
        <f t="shared" si="263"/>
        <v>777</v>
      </c>
      <c r="R780" s="2">
        <f t="shared" si="259"/>
        <v>44593</v>
      </c>
      <c r="S780" s="9">
        <f t="shared" ca="1" si="264"/>
        <v>1.167442718715269E-2</v>
      </c>
      <c r="T780" s="9">
        <f t="shared" ca="1" si="265"/>
        <v>2.3803272480118778E-2</v>
      </c>
      <c r="U780" s="9">
        <f t="shared" ca="1" si="266"/>
        <v>4.2243207555519809E-2</v>
      </c>
      <c r="AB780" s="33" t="e">
        <f t="shared" ca="1" si="272"/>
        <v>#N/A</v>
      </c>
      <c r="AC780" s="34" t="e">
        <f t="shared" ca="1" si="273"/>
        <v>#N/A</v>
      </c>
      <c r="AD780" s="34" t="e">
        <f t="shared" ca="1" si="274"/>
        <v>#N/A</v>
      </c>
      <c r="AE780" s="33" t="e">
        <f t="shared" ca="1" si="275"/>
        <v>#N/A</v>
      </c>
      <c r="AF780" s="34" t="e">
        <f t="shared" ca="1" si="267"/>
        <v>#N/A</v>
      </c>
      <c r="AG780" s="34" t="e">
        <f t="shared" ca="1" si="268"/>
        <v>#N/A</v>
      </c>
      <c r="AH780" s="34" t="e">
        <f t="shared" ca="1" si="269"/>
        <v>#N/A</v>
      </c>
      <c r="AI780" s="33" t="e">
        <f t="shared" ca="1" si="276"/>
        <v>#N/A</v>
      </c>
      <c r="AJ780" s="34" t="e">
        <f t="shared" ca="1" si="277"/>
        <v>#N/A</v>
      </c>
      <c r="AK780" s="34" t="e">
        <f t="shared" ca="1" si="270"/>
        <v>#N/A</v>
      </c>
      <c r="AL780" s="34" t="e">
        <f t="shared" ca="1" si="271"/>
        <v>#N/A</v>
      </c>
      <c r="AM780" s="33" t="e">
        <f t="shared" ca="1" si="278"/>
        <v>#N/A</v>
      </c>
      <c r="AN780" s="34" t="e">
        <f t="shared" ca="1" si="279"/>
        <v>#N/A</v>
      </c>
    </row>
    <row r="781" spans="1:40" x14ac:dyDescent="0.3">
      <c r="A781" s="2">
        <v>44594</v>
      </c>
      <c r="B781" s="9">
        <v>117</v>
      </c>
      <c r="C781" s="9">
        <v>113.66999800000001</v>
      </c>
      <c r="D781" s="9">
        <v>86.610000999999997</v>
      </c>
      <c r="E781" s="10"/>
      <c r="F781" s="13">
        <v>778</v>
      </c>
      <c r="G781" s="2">
        <v>44594</v>
      </c>
      <c r="H781" s="14">
        <f t="shared" si="260"/>
        <v>2.0813429266459859E-2</v>
      </c>
      <c r="I781" s="14">
        <f t="shared" si="261"/>
        <v>1.4085397169861249E-3</v>
      </c>
      <c r="J781" s="14">
        <f t="shared" si="262"/>
        <v>6.9297760470146263E-4</v>
      </c>
      <c r="K781" s="22">
        <v>778</v>
      </c>
      <c r="L781" s="12"/>
      <c r="Q781" s="15">
        <f t="shared" si="263"/>
        <v>778</v>
      </c>
      <c r="R781" s="2">
        <f t="shared" si="259"/>
        <v>44594</v>
      </c>
      <c r="S781" s="9">
        <f t="shared" ca="1" si="264"/>
        <v>2.0813429266459859E-2</v>
      </c>
      <c r="T781" s="9">
        <f t="shared" ca="1" si="265"/>
        <v>1.4085397169861249E-3</v>
      </c>
      <c r="U781" s="9">
        <f t="shared" ca="1" si="266"/>
        <v>6.9297760470146263E-4</v>
      </c>
      <c r="AB781" s="33" t="e">
        <f t="shared" ca="1" si="272"/>
        <v>#N/A</v>
      </c>
      <c r="AC781" s="34" t="e">
        <f t="shared" ca="1" si="273"/>
        <v>#N/A</v>
      </c>
      <c r="AD781" s="34" t="e">
        <f t="shared" ca="1" si="274"/>
        <v>#N/A</v>
      </c>
      <c r="AE781" s="33" t="e">
        <f t="shared" ca="1" si="275"/>
        <v>#N/A</v>
      </c>
      <c r="AF781" s="34" t="e">
        <f t="shared" ca="1" si="267"/>
        <v>#N/A</v>
      </c>
      <c r="AG781" s="34" t="e">
        <f t="shared" ca="1" si="268"/>
        <v>#N/A</v>
      </c>
      <c r="AH781" s="34" t="e">
        <f t="shared" ca="1" si="269"/>
        <v>#N/A</v>
      </c>
      <c r="AI781" s="33" t="e">
        <f t="shared" ca="1" si="276"/>
        <v>#N/A</v>
      </c>
      <c r="AJ781" s="34" t="e">
        <f t="shared" ca="1" si="277"/>
        <v>#N/A</v>
      </c>
      <c r="AK781" s="34" t="e">
        <f t="shared" ca="1" si="270"/>
        <v>#N/A</v>
      </c>
      <c r="AL781" s="34" t="e">
        <f t="shared" ca="1" si="271"/>
        <v>#N/A</v>
      </c>
      <c r="AM781" s="33" t="e">
        <f t="shared" ca="1" si="278"/>
        <v>#N/A</v>
      </c>
      <c r="AN781" s="34" t="e">
        <f t="shared" ca="1" si="279"/>
        <v>#N/A</v>
      </c>
    </row>
    <row r="782" spans="1:40" x14ac:dyDescent="0.3">
      <c r="A782" s="2">
        <v>44595</v>
      </c>
      <c r="B782" s="9">
        <v>116.05999799999999</v>
      </c>
      <c r="C782" s="9">
        <v>117.68</v>
      </c>
      <c r="D782" s="9">
        <v>85.089995999999999</v>
      </c>
      <c r="E782" s="10"/>
      <c r="F782" s="13">
        <v>779</v>
      </c>
      <c r="G782" s="2">
        <v>44595</v>
      </c>
      <c r="H782" s="14">
        <f t="shared" si="260"/>
        <v>-8.0666532677600693E-3</v>
      </c>
      <c r="I782" s="14">
        <f t="shared" si="261"/>
        <v>3.4669580189355106E-2</v>
      </c>
      <c r="J782" s="14">
        <f t="shared" si="262"/>
        <v>-1.7705821036548514E-2</v>
      </c>
      <c r="K782" s="22">
        <v>779</v>
      </c>
      <c r="L782" s="12"/>
      <c r="Q782" s="15">
        <f t="shared" si="263"/>
        <v>779</v>
      </c>
      <c r="R782" s="2">
        <f t="shared" si="259"/>
        <v>44595</v>
      </c>
      <c r="S782" s="9">
        <f t="shared" ca="1" si="264"/>
        <v>-8.0666532677600693E-3</v>
      </c>
      <c r="T782" s="9">
        <f t="shared" ca="1" si="265"/>
        <v>3.4669580189355106E-2</v>
      </c>
      <c r="U782" s="9">
        <f t="shared" ca="1" si="266"/>
        <v>-1.7705821036548514E-2</v>
      </c>
      <c r="AB782" s="33" t="e">
        <f t="shared" ca="1" si="272"/>
        <v>#N/A</v>
      </c>
      <c r="AC782" s="34" t="e">
        <f t="shared" ca="1" si="273"/>
        <v>#N/A</v>
      </c>
      <c r="AD782" s="34" t="e">
        <f t="shared" ca="1" si="274"/>
        <v>#N/A</v>
      </c>
      <c r="AE782" s="33" t="e">
        <f t="shared" ca="1" si="275"/>
        <v>#N/A</v>
      </c>
      <c r="AF782" s="34" t="e">
        <f t="shared" ca="1" si="267"/>
        <v>#N/A</v>
      </c>
      <c r="AG782" s="34" t="e">
        <f t="shared" ca="1" si="268"/>
        <v>#N/A</v>
      </c>
      <c r="AH782" s="34" t="e">
        <f t="shared" ca="1" si="269"/>
        <v>#N/A</v>
      </c>
      <c r="AI782" s="33" t="e">
        <f t="shared" ca="1" si="276"/>
        <v>#N/A</v>
      </c>
      <c r="AJ782" s="34" t="e">
        <f t="shared" ca="1" si="277"/>
        <v>#N/A</v>
      </c>
      <c r="AK782" s="34" t="e">
        <f t="shared" ca="1" si="270"/>
        <v>#N/A</v>
      </c>
      <c r="AL782" s="34" t="e">
        <f t="shared" ca="1" si="271"/>
        <v>#N/A</v>
      </c>
      <c r="AM782" s="33" t="e">
        <f t="shared" ca="1" si="278"/>
        <v>#N/A</v>
      </c>
      <c r="AN782" s="34" t="e">
        <f t="shared" ca="1" si="279"/>
        <v>#N/A</v>
      </c>
    </row>
    <row r="783" spans="1:40" x14ac:dyDescent="0.3">
      <c r="A783" s="2">
        <v>44596</v>
      </c>
      <c r="B783" s="9">
        <v>118.360001</v>
      </c>
      <c r="C783" s="9">
        <v>118.629997</v>
      </c>
      <c r="D783" s="9">
        <v>86.699996999999996</v>
      </c>
      <c r="E783" s="10"/>
      <c r="F783" s="13">
        <v>780</v>
      </c>
      <c r="G783" s="2">
        <v>44596</v>
      </c>
      <c r="H783" s="14">
        <f t="shared" si="260"/>
        <v>1.9623554450813124E-2</v>
      </c>
      <c r="I783" s="14">
        <f t="shared" si="261"/>
        <v>8.0403040911166661E-3</v>
      </c>
      <c r="J783" s="14">
        <f t="shared" si="262"/>
        <v>1.8744376332003817E-2</v>
      </c>
      <c r="K783" s="22">
        <v>780</v>
      </c>
      <c r="L783" s="12"/>
      <c r="Q783" s="15">
        <f t="shared" si="263"/>
        <v>780</v>
      </c>
      <c r="R783" s="2">
        <f t="shared" si="259"/>
        <v>44596</v>
      </c>
      <c r="S783" s="9">
        <f t="shared" ca="1" si="264"/>
        <v>1.9623554450813124E-2</v>
      </c>
      <c r="T783" s="9">
        <f t="shared" ca="1" si="265"/>
        <v>8.0403040911166661E-3</v>
      </c>
      <c r="U783" s="9">
        <f t="shared" ca="1" si="266"/>
        <v>1.8744376332003817E-2</v>
      </c>
      <c r="AB783" s="33" t="e">
        <f t="shared" ca="1" si="272"/>
        <v>#N/A</v>
      </c>
      <c r="AC783" s="34" t="e">
        <f t="shared" ca="1" si="273"/>
        <v>#N/A</v>
      </c>
      <c r="AD783" s="34" t="e">
        <f t="shared" ca="1" si="274"/>
        <v>#N/A</v>
      </c>
      <c r="AE783" s="33" t="e">
        <f t="shared" ca="1" si="275"/>
        <v>#N/A</v>
      </c>
      <c r="AF783" s="34" t="e">
        <f t="shared" ca="1" si="267"/>
        <v>#N/A</v>
      </c>
      <c r="AG783" s="34" t="e">
        <f t="shared" ca="1" si="268"/>
        <v>#N/A</v>
      </c>
      <c r="AH783" s="34" t="e">
        <f t="shared" ca="1" si="269"/>
        <v>#N/A</v>
      </c>
      <c r="AI783" s="33" t="e">
        <f t="shared" ca="1" si="276"/>
        <v>#N/A</v>
      </c>
      <c r="AJ783" s="34" t="e">
        <f t="shared" ca="1" si="277"/>
        <v>#N/A</v>
      </c>
      <c r="AK783" s="34" t="e">
        <f t="shared" ca="1" si="270"/>
        <v>#N/A</v>
      </c>
      <c r="AL783" s="34" t="e">
        <f t="shared" ca="1" si="271"/>
        <v>#N/A</v>
      </c>
      <c r="AM783" s="33" t="e">
        <f t="shared" ca="1" si="278"/>
        <v>#N/A</v>
      </c>
      <c r="AN783" s="34" t="e">
        <f t="shared" ca="1" si="279"/>
        <v>#N/A</v>
      </c>
    </row>
    <row r="784" spans="1:40" x14ac:dyDescent="0.3">
      <c r="A784" s="2">
        <v>44599</v>
      </c>
      <c r="B784" s="9">
        <v>119.260002</v>
      </c>
      <c r="C784" s="9">
        <v>119.339996</v>
      </c>
      <c r="D784" s="9">
        <v>89.629997000000003</v>
      </c>
      <c r="E784" s="10"/>
      <c r="F784" s="13">
        <v>781</v>
      </c>
      <c r="G784" s="2">
        <v>44599</v>
      </c>
      <c r="H784" s="14">
        <f t="shared" si="260"/>
        <v>7.5751644842328202E-3</v>
      </c>
      <c r="I784" s="14">
        <f t="shared" si="261"/>
        <v>5.9671481919557632E-3</v>
      </c>
      <c r="J784" s="14">
        <f t="shared" si="262"/>
        <v>3.323620271391426E-2</v>
      </c>
      <c r="K784" s="22">
        <v>781</v>
      </c>
      <c r="L784" s="12"/>
      <c r="Q784" s="15">
        <f t="shared" si="263"/>
        <v>781</v>
      </c>
      <c r="R784" s="2">
        <f t="shared" si="259"/>
        <v>44599</v>
      </c>
      <c r="S784" s="9">
        <f t="shared" ca="1" si="264"/>
        <v>7.5751644842328202E-3</v>
      </c>
      <c r="T784" s="9">
        <f t="shared" ca="1" si="265"/>
        <v>5.9671481919557632E-3</v>
      </c>
      <c r="U784" s="9">
        <f t="shared" ca="1" si="266"/>
        <v>3.323620271391426E-2</v>
      </c>
      <c r="AB784" s="33" t="e">
        <f t="shared" ca="1" si="272"/>
        <v>#N/A</v>
      </c>
      <c r="AC784" s="34" t="e">
        <f t="shared" ca="1" si="273"/>
        <v>#N/A</v>
      </c>
      <c r="AD784" s="34" t="e">
        <f t="shared" ca="1" si="274"/>
        <v>#N/A</v>
      </c>
      <c r="AE784" s="33" t="e">
        <f t="shared" ca="1" si="275"/>
        <v>#N/A</v>
      </c>
      <c r="AF784" s="34" t="e">
        <f t="shared" ca="1" si="267"/>
        <v>#N/A</v>
      </c>
      <c r="AG784" s="34" t="e">
        <f t="shared" ca="1" si="268"/>
        <v>#N/A</v>
      </c>
      <c r="AH784" s="34" t="e">
        <f t="shared" ca="1" si="269"/>
        <v>#N/A</v>
      </c>
      <c r="AI784" s="33" t="e">
        <f t="shared" ca="1" si="276"/>
        <v>#N/A</v>
      </c>
      <c r="AJ784" s="34" t="e">
        <f t="shared" ca="1" si="277"/>
        <v>#N/A</v>
      </c>
      <c r="AK784" s="34" t="e">
        <f t="shared" ca="1" si="270"/>
        <v>#N/A</v>
      </c>
      <c r="AL784" s="34" t="e">
        <f t="shared" ca="1" si="271"/>
        <v>#N/A</v>
      </c>
      <c r="AM784" s="33" t="e">
        <f t="shared" ca="1" si="278"/>
        <v>#N/A</v>
      </c>
      <c r="AN784" s="34" t="e">
        <f t="shared" ca="1" si="279"/>
        <v>#N/A</v>
      </c>
    </row>
    <row r="785" spans="1:40" x14ac:dyDescent="0.3">
      <c r="A785" s="2">
        <v>44600</v>
      </c>
      <c r="B785" s="9">
        <v>122.650002</v>
      </c>
      <c r="C785" s="9">
        <v>124.66999800000001</v>
      </c>
      <c r="D785" s="9">
        <v>88.489998</v>
      </c>
      <c r="E785" s="10"/>
      <c r="F785" s="13">
        <v>782</v>
      </c>
      <c r="G785" s="2">
        <v>44600</v>
      </c>
      <c r="H785" s="14">
        <f t="shared" si="260"/>
        <v>2.8028786546019802E-2</v>
      </c>
      <c r="I785" s="14">
        <f t="shared" si="261"/>
        <v>4.3693701738276997E-2</v>
      </c>
      <c r="J785" s="14">
        <f t="shared" si="262"/>
        <v>-1.2800523220499061E-2</v>
      </c>
      <c r="K785" s="22">
        <v>782</v>
      </c>
      <c r="L785" s="12"/>
      <c r="Q785" s="15">
        <f t="shared" si="263"/>
        <v>782</v>
      </c>
      <c r="R785" s="2">
        <f t="shared" si="259"/>
        <v>44600</v>
      </c>
      <c r="S785" s="9">
        <f t="shared" ca="1" si="264"/>
        <v>2.8028786546019802E-2</v>
      </c>
      <c r="T785" s="9">
        <f t="shared" ca="1" si="265"/>
        <v>4.3693701738276997E-2</v>
      </c>
      <c r="U785" s="9">
        <f t="shared" ca="1" si="266"/>
        <v>-1.2800523220499061E-2</v>
      </c>
      <c r="AB785" s="33" t="e">
        <f t="shared" ca="1" si="272"/>
        <v>#N/A</v>
      </c>
      <c r="AC785" s="34" t="e">
        <f t="shared" ca="1" si="273"/>
        <v>#N/A</v>
      </c>
      <c r="AD785" s="34" t="e">
        <f t="shared" ca="1" si="274"/>
        <v>#N/A</v>
      </c>
      <c r="AE785" s="33" t="e">
        <f t="shared" ca="1" si="275"/>
        <v>#N/A</v>
      </c>
      <c r="AF785" s="34" t="e">
        <f t="shared" ca="1" si="267"/>
        <v>#N/A</v>
      </c>
      <c r="AG785" s="34" t="e">
        <f t="shared" ca="1" si="268"/>
        <v>#N/A</v>
      </c>
      <c r="AH785" s="34" t="e">
        <f t="shared" ca="1" si="269"/>
        <v>#N/A</v>
      </c>
      <c r="AI785" s="33" t="e">
        <f t="shared" ca="1" si="276"/>
        <v>#N/A</v>
      </c>
      <c r="AJ785" s="34" t="e">
        <f t="shared" ca="1" si="277"/>
        <v>#N/A</v>
      </c>
      <c r="AK785" s="34" t="e">
        <f t="shared" ca="1" si="270"/>
        <v>#N/A</v>
      </c>
      <c r="AL785" s="34" t="e">
        <f t="shared" ca="1" si="271"/>
        <v>#N/A</v>
      </c>
      <c r="AM785" s="33" t="e">
        <f t="shared" ca="1" si="278"/>
        <v>#N/A</v>
      </c>
      <c r="AN785" s="34" t="e">
        <f t="shared" ca="1" si="279"/>
        <v>#N/A</v>
      </c>
    </row>
    <row r="786" spans="1:40" x14ac:dyDescent="0.3">
      <c r="A786" s="2">
        <v>44601</v>
      </c>
      <c r="B786" s="9">
        <v>124.529999</v>
      </c>
      <c r="C786" s="9">
        <v>127.150002</v>
      </c>
      <c r="D786" s="9">
        <v>88.839995999999999</v>
      </c>
      <c r="E786" s="10"/>
      <c r="F786" s="13">
        <v>783</v>
      </c>
      <c r="G786" s="2">
        <v>44601</v>
      </c>
      <c r="H786" s="14">
        <f t="shared" si="260"/>
        <v>1.5211855691801921E-2</v>
      </c>
      <c r="I786" s="14">
        <f t="shared" si="261"/>
        <v>1.9697277283050266E-2</v>
      </c>
      <c r="J786" s="14">
        <f t="shared" si="262"/>
        <v>3.9474253236273524E-3</v>
      </c>
      <c r="K786" s="22">
        <v>783</v>
      </c>
      <c r="L786" s="12"/>
      <c r="Q786" s="15">
        <f t="shared" si="263"/>
        <v>783</v>
      </c>
      <c r="R786" s="2">
        <f t="shared" si="259"/>
        <v>44601</v>
      </c>
      <c r="S786" s="9">
        <f t="shared" ca="1" si="264"/>
        <v>1.5211855691801921E-2</v>
      </c>
      <c r="T786" s="9">
        <f t="shared" ca="1" si="265"/>
        <v>1.9697277283050266E-2</v>
      </c>
      <c r="U786" s="9">
        <f t="shared" ca="1" si="266"/>
        <v>3.9474253236273524E-3</v>
      </c>
      <c r="AB786" s="33" t="e">
        <f t="shared" ca="1" si="272"/>
        <v>#N/A</v>
      </c>
      <c r="AC786" s="34" t="e">
        <f t="shared" ca="1" si="273"/>
        <v>#N/A</v>
      </c>
      <c r="AD786" s="34" t="e">
        <f t="shared" ca="1" si="274"/>
        <v>#N/A</v>
      </c>
      <c r="AE786" s="33" t="e">
        <f t="shared" ca="1" si="275"/>
        <v>#N/A</v>
      </c>
      <c r="AF786" s="34" t="e">
        <f t="shared" ca="1" si="267"/>
        <v>#N/A</v>
      </c>
      <c r="AG786" s="34" t="e">
        <f t="shared" ca="1" si="268"/>
        <v>#N/A</v>
      </c>
      <c r="AH786" s="34" t="e">
        <f t="shared" ca="1" si="269"/>
        <v>#N/A</v>
      </c>
      <c r="AI786" s="33" t="e">
        <f t="shared" ca="1" si="276"/>
        <v>#N/A</v>
      </c>
      <c r="AJ786" s="34" t="e">
        <f t="shared" ca="1" si="277"/>
        <v>#N/A</v>
      </c>
      <c r="AK786" s="34" t="e">
        <f t="shared" ca="1" si="270"/>
        <v>#N/A</v>
      </c>
      <c r="AL786" s="34" t="e">
        <f t="shared" ca="1" si="271"/>
        <v>#N/A</v>
      </c>
      <c r="AM786" s="33" t="e">
        <f t="shared" ca="1" si="278"/>
        <v>#N/A</v>
      </c>
      <c r="AN786" s="34" t="e">
        <f t="shared" ca="1" si="279"/>
        <v>#N/A</v>
      </c>
    </row>
    <row r="787" spans="1:40" x14ac:dyDescent="0.3">
      <c r="A787" s="2">
        <v>44602</v>
      </c>
      <c r="B787" s="9">
        <v>122.620003</v>
      </c>
      <c r="C787" s="9">
        <v>125.589996</v>
      </c>
      <c r="D787" s="9">
        <v>89.889999000000003</v>
      </c>
      <c r="E787" s="10"/>
      <c r="F787" s="13">
        <v>784</v>
      </c>
      <c r="G787" s="2">
        <v>44602</v>
      </c>
      <c r="H787" s="14">
        <f t="shared" si="260"/>
        <v>-1.5456475902492639E-2</v>
      </c>
      <c r="I787" s="14">
        <f t="shared" si="261"/>
        <v>-1.2344906417216582E-2</v>
      </c>
      <c r="J787" s="14">
        <f t="shared" si="262"/>
        <v>1.1749735459137906E-2</v>
      </c>
      <c r="K787" s="22">
        <v>784</v>
      </c>
      <c r="L787" s="12"/>
      <c r="Q787" s="15">
        <f t="shared" si="263"/>
        <v>784</v>
      </c>
      <c r="R787" s="2">
        <f t="shared" si="259"/>
        <v>44602</v>
      </c>
      <c r="S787" s="9">
        <f t="shared" ca="1" si="264"/>
        <v>-1.5456475902492639E-2</v>
      </c>
      <c r="T787" s="9">
        <f t="shared" ca="1" si="265"/>
        <v>-1.2344906417216582E-2</v>
      </c>
      <c r="U787" s="9">
        <f t="shared" ca="1" si="266"/>
        <v>1.1749735459137906E-2</v>
      </c>
      <c r="AB787" s="33" t="e">
        <f t="shared" ca="1" si="272"/>
        <v>#N/A</v>
      </c>
      <c r="AC787" s="34" t="e">
        <f t="shared" ca="1" si="273"/>
        <v>#N/A</v>
      </c>
      <c r="AD787" s="34" t="e">
        <f t="shared" ca="1" si="274"/>
        <v>#N/A</v>
      </c>
      <c r="AE787" s="33" t="e">
        <f t="shared" ca="1" si="275"/>
        <v>#N/A</v>
      </c>
      <c r="AF787" s="34" t="e">
        <f t="shared" ca="1" si="267"/>
        <v>#N/A</v>
      </c>
      <c r="AG787" s="34" t="e">
        <f t="shared" ca="1" si="268"/>
        <v>#N/A</v>
      </c>
      <c r="AH787" s="34" t="e">
        <f t="shared" ca="1" si="269"/>
        <v>#N/A</v>
      </c>
      <c r="AI787" s="33" t="e">
        <f t="shared" ca="1" si="276"/>
        <v>#N/A</v>
      </c>
      <c r="AJ787" s="34" t="e">
        <f t="shared" ca="1" si="277"/>
        <v>#N/A</v>
      </c>
      <c r="AK787" s="34" t="e">
        <f t="shared" ca="1" si="270"/>
        <v>#N/A</v>
      </c>
      <c r="AL787" s="34" t="e">
        <f t="shared" ca="1" si="271"/>
        <v>#N/A</v>
      </c>
      <c r="AM787" s="33" t="e">
        <f t="shared" ca="1" si="278"/>
        <v>#N/A</v>
      </c>
      <c r="AN787" s="34" t="e">
        <f t="shared" ca="1" si="279"/>
        <v>#N/A</v>
      </c>
    </row>
    <row r="788" spans="1:40" x14ac:dyDescent="0.3">
      <c r="A788" s="2">
        <v>44603</v>
      </c>
      <c r="B788" s="9">
        <v>120.91999800000001</v>
      </c>
      <c r="C788" s="9">
        <v>121.739998</v>
      </c>
      <c r="D788" s="9">
        <v>92</v>
      </c>
      <c r="E788" s="10"/>
      <c r="F788" s="13">
        <v>785</v>
      </c>
      <c r="G788" s="2">
        <v>44603</v>
      </c>
      <c r="H788" s="14">
        <f t="shared" si="260"/>
        <v>-1.3961013428974789E-2</v>
      </c>
      <c r="I788" s="14">
        <f t="shared" si="261"/>
        <v>-3.1134994543041181E-2</v>
      </c>
      <c r="J788" s="14">
        <f t="shared" si="262"/>
        <v>2.3201887588440405E-2</v>
      </c>
      <c r="K788" s="22">
        <v>785</v>
      </c>
      <c r="L788" s="12"/>
      <c r="Q788" s="15">
        <f t="shared" si="263"/>
        <v>785</v>
      </c>
      <c r="R788" s="2">
        <f t="shared" si="259"/>
        <v>44603</v>
      </c>
      <c r="S788" s="9">
        <f t="shared" ca="1" si="264"/>
        <v>-1.3961013428974789E-2</v>
      </c>
      <c r="T788" s="9">
        <f t="shared" ca="1" si="265"/>
        <v>-3.1134994543041181E-2</v>
      </c>
      <c r="U788" s="9">
        <f t="shared" ca="1" si="266"/>
        <v>2.3201887588440405E-2</v>
      </c>
      <c r="AB788" s="33" t="e">
        <f t="shared" ca="1" si="272"/>
        <v>#N/A</v>
      </c>
      <c r="AC788" s="34" t="e">
        <f t="shared" ca="1" si="273"/>
        <v>#N/A</v>
      </c>
      <c r="AD788" s="34" t="e">
        <f t="shared" ca="1" si="274"/>
        <v>#N/A</v>
      </c>
      <c r="AE788" s="33" t="e">
        <f t="shared" ca="1" si="275"/>
        <v>#N/A</v>
      </c>
      <c r="AF788" s="34" t="e">
        <f t="shared" ca="1" si="267"/>
        <v>#N/A</v>
      </c>
      <c r="AG788" s="34" t="e">
        <f t="shared" ca="1" si="268"/>
        <v>#N/A</v>
      </c>
      <c r="AH788" s="34" t="e">
        <f t="shared" ca="1" si="269"/>
        <v>#N/A</v>
      </c>
      <c r="AI788" s="33" t="e">
        <f t="shared" ca="1" si="276"/>
        <v>#N/A</v>
      </c>
      <c r="AJ788" s="34" t="e">
        <f t="shared" ca="1" si="277"/>
        <v>#N/A</v>
      </c>
      <c r="AK788" s="34" t="e">
        <f t="shared" ca="1" si="270"/>
        <v>#N/A</v>
      </c>
      <c r="AL788" s="34" t="e">
        <f t="shared" ca="1" si="271"/>
        <v>#N/A</v>
      </c>
      <c r="AM788" s="33" t="e">
        <f t="shared" ca="1" si="278"/>
        <v>#N/A</v>
      </c>
      <c r="AN788" s="34" t="e">
        <f t="shared" ca="1" si="279"/>
        <v>#N/A</v>
      </c>
    </row>
    <row r="789" spans="1:40" x14ac:dyDescent="0.3">
      <c r="A789" s="2">
        <v>44606</v>
      </c>
      <c r="B789" s="9">
        <v>119.58000199999999</v>
      </c>
      <c r="C789" s="9">
        <v>122.540001</v>
      </c>
      <c r="D789" s="9">
        <v>89.720000999999996</v>
      </c>
      <c r="E789" s="10"/>
      <c r="F789" s="13">
        <v>786</v>
      </c>
      <c r="G789" s="2">
        <v>44606</v>
      </c>
      <c r="H789" s="14">
        <f t="shared" si="260"/>
        <v>-1.1143533193433123E-2</v>
      </c>
      <c r="I789" s="14">
        <f t="shared" si="261"/>
        <v>6.5499088207849488E-3</v>
      </c>
      <c r="J789" s="14">
        <f t="shared" si="262"/>
        <v>-2.5094856251246005E-2</v>
      </c>
      <c r="K789" s="22">
        <v>786</v>
      </c>
      <c r="L789" s="12"/>
      <c r="Q789" s="15">
        <f t="shared" si="263"/>
        <v>786</v>
      </c>
      <c r="R789" s="2">
        <f t="shared" si="259"/>
        <v>44606</v>
      </c>
      <c r="S789" s="9">
        <f t="shared" ca="1" si="264"/>
        <v>-1.1143533193433123E-2</v>
      </c>
      <c r="T789" s="9">
        <f t="shared" ca="1" si="265"/>
        <v>6.5499088207849488E-3</v>
      </c>
      <c r="U789" s="9">
        <f t="shared" ca="1" si="266"/>
        <v>-2.5094856251246005E-2</v>
      </c>
      <c r="AB789" s="33" t="e">
        <f t="shared" ca="1" si="272"/>
        <v>#N/A</v>
      </c>
      <c r="AC789" s="34" t="e">
        <f t="shared" ca="1" si="273"/>
        <v>#N/A</v>
      </c>
      <c r="AD789" s="34" t="e">
        <f t="shared" ca="1" si="274"/>
        <v>#N/A</v>
      </c>
      <c r="AE789" s="33" t="e">
        <f t="shared" ca="1" si="275"/>
        <v>#N/A</v>
      </c>
      <c r="AF789" s="34" t="e">
        <f t="shared" ca="1" si="267"/>
        <v>#N/A</v>
      </c>
      <c r="AG789" s="34" t="e">
        <f t="shared" ca="1" si="268"/>
        <v>#N/A</v>
      </c>
      <c r="AH789" s="34" t="e">
        <f t="shared" ca="1" si="269"/>
        <v>#N/A</v>
      </c>
      <c r="AI789" s="33" t="e">
        <f t="shared" ca="1" si="276"/>
        <v>#N/A</v>
      </c>
      <c r="AJ789" s="34" t="e">
        <f t="shared" ca="1" si="277"/>
        <v>#N/A</v>
      </c>
      <c r="AK789" s="34" t="e">
        <f t="shared" ca="1" si="270"/>
        <v>#N/A</v>
      </c>
      <c r="AL789" s="34" t="e">
        <f t="shared" ca="1" si="271"/>
        <v>#N/A</v>
      </c>
      <c r="AM789" s="33" t="e">
        <f t="shared" ca="1" si="278"/>
        <v>#N/A</v>
      </c>
      <c r="AN789" s="34" t="e">
        <f t="shared" ca="1" si="279"/>
        <v>#N/A</v>
      </c>
    </row>
    <row r="790" spans="1:40" x14ac:dyDescent="0.3">
      <c r="A790" s="2">
        <v>44607</v>
      </c>
      <c r="B790" s="9">
        <v>123.08000199999999</v>
      </c>
      <c r="C790" s="9">
        <v>128.759995</v>
      </c>
      <c r="D790" s="9">
        <v>88.529999000000004</v>
      </c>
      <c r="E790" s="10"/>
      <c r="F790" s="13">
        <v>787</v>
      </c>
      <c r="G790" s="2">
        <v>44607</v>
      </c>
      <c r="H790" s="14">
        <f t="shared" si="260"/>
        <v>2.8848946525471708E-2</v>
      </c>
      <c r="I790" s="14">
        <f t="shared" si="261"/>
        <v>4.9512652140562267E-2</v>
      </c>
      <c r="J790" s="14">
        <f t="shared" si="262"/>
        <v>-1.335225447044263E-2</v>
      </c>
      <c r="K790" s="22">
        <v>787</v>
      </c>
      <c r="L790" s="12"/>
      <c r="Q790" s="15">
        <f t="shared" si="263"/>
        <v>787</v>
      </c>
      <c r="R790" s="2">
        <f t="shared" si="259"/>
        <v>44607</v>
      </c>
      <c r="S790" s="9">
        <f t="shared" ca="1" si="264"/>
        <v>2.8848946525471708E-2</v>
      </c>
      <c r="T790" s="9">
        <f t="shared" ca="1" si="265"/>
        <v>4.9512652140562267E-2</v>
      </c>
      <c r="U790" s="9">
        <f t="shared" ca="1" si="266"/>
        <v>-1.335225447044263E-2</v>
      </c>
      <c r="AB790" s="33" t="e">
        <f t="shared" ca="1" si="272"/>
        <v>#N/A</v>
      </c>
      <c r="AC790" s="34" t="e">
        <f t="shared" ca="1" si="273"/>
        <v>#N/A</v>
      </c>
      <c r="AD790" s="34" t="e">
        <f t="shared" ca="1" si="274"/>
        <v>#N/A</v>
      </c>
      <c r="AE790" s="33" t="e">
        <f t="shared" ca="1" si="275"/>
        <v>#N/A</v>
      </c>
      <c r="AF790" s="34" t="e">
        <f t="shared" ca="1" si="267"/>
        <v>#N/A</v>
      </c>
      <c r="AG790" s="34" t="e">
        <f t="shared" ca="1" si="268"/>
        <v>#N/A</v>
      </c>
      <c r="AH790" s="34" t="e">
        <f t="shared" ca="1" si="269"/>
        <v>#N/A</v>
      </c>
      <c r="AI790" s="33" t="e">
        <f t="shared" ca="1" si="276"/>
        <v>#N/A</v>
      </c>
      <c r="AJ790" s="34" t="e">
        <f t="shared" ca="1" si="277"/>
        <v>#N/A</v>
      </c>
      <c r="AK790" s="34" t="e">
        <f t="shared" ca="1" si="270"/>
        <v>#N/A</v>
      </c>
      <c r="AL790" s="34" t="e">
        <f t="shared" ca="1" si="271"/>
        <v>#N/A</v>
      </c>
      <c r="AM790" s="33" t="e">
        <f t="shared" ca="1" si="278"/>
        <v>#N/A</v>
      </c>
      <c r="AN790" s="34" t="e">
        <f t="shared" ca="1" si="279"/>
        <v>#N/A</v>
      </c>
    </row>
    <row r="791" spans="1:40" x14ac:dyDescent="0.3">
      <c r="A791" s="2">
        <v>44608</v>
      </c>
      <c r="B791" s="9">
        <v>124.489998</v>
      </c>
      <c r="C791" s="9">
        <v>130.03999300000001</v>
      </c>
      <c r="D791" s="9">
        <v>88.040001000000004</v>
      </c>
      <c r="E791" s="10"/>
      <c r="F791" s="13">
        <v>788</v>
      </c>
      <c r="G791" s="2">
        <v>44608</v>
      </c>
      <c r="H791" s="14">
        <f t="shared" si="260"/>
        <v>1.1390808624712256E-2</v>
      </c>
      <c r="I791" s="14">
        <f t="shared" si="261"/>
        <v>9.891874007441074E-3</v>
      </c>
      <c r="J791" s="14">
        <f t="shared" si="262"/>
        <v>-5.5501983106173748E-3</v>
      </c>
      <c r="K791" s="22">
        <v>788</v>
      </c>
      <c r="L791" s="12"/>
      <c r="Q791" s="15">
        <f t="shared" si="263"/>
        <v>788</v>
      </c>
      <c r="R791" s="2">
        <f t="shared" si="259"/>
        <v>44608</v>
      </c>
      <c r="S791" s="9">
        <f t="shared" ca="1" si="264"/>
        <v>1.1390808624712256E-2</v>
      </c>
      <c r="T791" s="9">
        <f t="shared" ca="1" si="265"/>
        <v>9.891874007441074E-3</v>
      </c>
      <c r="U791" s="9">
        <f t="shared" ca="1" si="266"/>
        <v>-5.5501983106173748E-3</v>
      </c>
      <c r="AB791" s="33" t="e">
        <f t="shared" ca="1" si="272"/>
        <v>#N/A</v>
      </c>
      <c r="AC791" s="34" t="e">
        <f t="shared" ca="1" si="273"/>
        <v>#N/A</v>
      </c>
      <c r="AD791" s="34" t="e">
        <f t="shared" ca="1" si="274"/>
        <v>#N/A</v>
      </c>
      <c r="AE791" s="33" t="e">
        <f t="shared" ca="1" si="275"/>
        <v>#N/A</v>
      </c>
      <c r="AF791" s="34" t="e">
        <f t="shared" ca="1" si="267"/>
        <v>#N/A</v>
      </c>
      <c r="AG791" s="34" t="e">
        <f t="shared" ca="1" si="268"/>
        <v>#N/A</v>
      </c>
      <c r="AH791" s="34" t="e">
        <f t="shared" ca="1" si="269"/>
        <v>#N/A</v>
      </c>
      <c r="AI791" s="33" t="e">
        <f t="shared" ca="1" si="276"/>
        <v>#N/A</v>
      </c>
      <c r="AJ791" s="34" t="e">
        <f t="shared" ca="1" si="277"/>
        <v>#N/A</v>
      </c>
      <c r="AK791" s="34" t="e">
        <f t="shared" ca="1" si="270"/>
        <v>#N/A</v>
      </c>
      <c r="AL791" s="34" t="e">
        <f t="shared" ca="1" si="271"/>
        <v>#N/A</v>
      </c>
      <c r="AM791" s="33" t="e">
        <f t="shared" ca="1" si="278"/>
        <v>#N/A</v>
      </c>
      <c r="AN791" s="34" t="e">
        <f t="shared" ca="1" si="279"/>
        <v>#N/A</v>
      </c>
    </row>
    <row r="792" spans="1:40" x14ac:dyDescent="0.3">
      <c r="A792" s="2">
        <v>44609</v>
      </c>
      <c r="B792" s="9">
        <v>121.129997</v>
      </c>
      <c r="C792" s="9">
        <v>126.699997</v>
      </c>
      <c r="D792" s="9">
        <v>87.040001000000004</v>
      </c>
      <c r="E792" s="10"/>
      <c r="F792" s="13">
        <v>789</v>
      </c>
      <c r="G792" s="2">
        <v>44609</v>
      </c>
      <c r="H792" s="14">
        <f t="shared" si="260"/>
        <v>-2.7361051066215954E-2</v>
      </c>
      <c r="I792" s="14">
        <f t="shared" si="261"/>
        <v>-2.6019977956998751E-2</v>
      </c>
      <c r="J792" s="14">
        <f t="shared" si="262"/>
        <v>-1.1423473420131201E-2</v>
      </c>
      <c r="K792" s="22">
        <v>789</v>
      </c>
      <c r="L792" s="12"/>
      <c r="Q792" s="15">
        <f t="shared" si="263"/>
        <v>789</v>
      </c>
      <c r="R792" s="2">
        <f t="shared" si="259"/>
        <v>44609</v>
      </c>
      <c r="S792" s="9">
        <f t="shared" ca="1" si="264"/>
        <v>-2.7361051066215954E-2</v>
      </c>
      <c r="T792" s="9">
        <f t="shared" ca="1" si="265"/>
        <v>-2.6019977956998751E-2</v>
      </c>
      <c r="U792" s="9">
        <f t="shared" ca="1" si="266"/>
        <v>-1.1423473420131201E-2</v>
      </c>
      <c r="AB792" s="33" t="e">
        <f t="shared" ca="1" si="272"/>
        <v>#N/A</v>
      </c>
      <c r="AC792" s="34" t="e">
        <f t="shared" ca="1" si="273"/>
        <v>#N/A</v>
      </c>
      <c r="AD792" s="34" t="e">
        <f t="shared" ca="1" si="274"/>
        <v>#N/A</v>
      </c>
      <c r="AE792" s="33" t="e">
        <f t="shared" ca="1" si="275"/>
        <v>#N/A</v>
      </c>
      <c r="AF792" s="34" t="e">
        <f t="shared" ca="1" si="267"/>
        <v>#N/A</v>
      </c>
      <c r="AG792" s="34" t="e">
        <f t="shared" ca="1" si="268"/>
        <v>#N/A</v>
      </c>
      <c r="AH792" s="34" t="e">
        <f t="shared" ca="1" si="269"/>
        <v>#N/A</v>
      </c>
      <c r="AI792" s="33" t="e">
        <f t="shared" ca="1" si="276"/>
        <v>#N/A</v>
      </c>
      <c r="AJ792" s="34" t="e">
        <f t="shared" ca="1" si="277"/>
        <v>#N/A</v>
      </c>
      <c r="AK792" s="34" t="e">
        <f t="shared" ca="1" si="270"/>
        <v>#N/A</v>
      </c>
      <c r="AL792" s="34" t="e">
        <f t="shared" ca="1" si="271"/>
        <v>#N/A</v>
      </c>
      <c r="AM792" s="33" t="e">
        <f t="shared" ca="1" si="278"/>
        <v>#N/A</v>
      </c>
      <c r="AN792" s="34" t="e">
        <f t="shared" ca="1" si="279"/>
        <v>#N/A</v>
      </c>
    </row>
    <row r="793" spans="1:40" x14ac:dyDescent="0.3">
      <c r="A793" s="2">
        <v>44610</v>
      </c>
      <c r="B793" s="9">
        <v>120.379997</v>
      </c>
      <c r="C793" s="9">
        <v>126.58000199999999</v>
      </c>
      <c r="D793" s="9">
        <v>86.720000999999996</v>
      </c>
      <c r="E793" s="10"/>
      <c r="F793" s="13">
        <v>790</v>
      </c>
      <c r="G793" s="2">
        <v>44610</v>
      </c>
      <c r="H793" s="14">
        <f t="shared" si="260"/>
        <v>-6.2109430633898056E-3</v>
      </c>
      <c r="I793" s="14">
        <f t="shared" si="261"/>
        <v>-9.475285016700744E-4</v>
      </c>
      <c r="J793" s="14">
        <f t="shared" si="262"/>
        <v>-3.683245373901774E-3</v>
      </c>
      <c r="K793" s="22">
        <v>790</v>
      </c>
      <c r="L793" s="12"/>
      <c r="Q793" s="15">
        <f t="shared" si="263"/>
        <v>790</v>
      </c>
      <c r="R793" s="2">
        <f t="shared" si="259"/>
        <v>44610</v>
      </c>
      <c r="S793" s="9">
        <f t="shared" ca="1" si="264"/>
        <v>-6.2109430633898056E-3</v>
      </c>
      <c r="T793" s="9">
        <f t="shared" ca="1" si="265"/>
        <v>-9.475285016700744E-4</v>
      </c>
      <c r="U793" s="9">
        <f t="shared" ca="1" si="266"/>
        <v>-3.683245373901774E-3</v>
      </c>
      <c r="AB793" s="33" t="e">
        <f t="shared" ca="1" si="272"/>
        <v>#N/A</v>
      </c>
      <c r="AC793" s="34" t="e">
        <f t="shared" ca="1" si="273"/>
        <v>#N/A</v>
      </c>
      <c r="AD793" s="34" t="e">
        <f t="shared" ca="1" si="274"/>
        <v>#N/A</v>
      </c>
      <c r="AE793" s="33" t="e">
        <f t="shared" ca="1" si="275"/>
        <v>#N/A</v>
      </c>
      <c r="AF793" s="34" t="e">
        <f t="shared" ca="1" si="267"/>
        <v>#N/A</v>
      </c>
      <c r="AG793" s="34" t="e">
        <f t="shared" ca="1" si="268"/>
        <v>#N/A</v>
      </c>
      <c r="AH793" s="34" t="e">
        <f t="shared" ca="1" si="269"/>
        <v>#N/A</v>
      </c>
      <c r="AI793" s="33" t="e">
        <f t="shared" ca="1" si="276"/>
        <v>#N/A</v>
      </c>
      <c r="AJ793" s="34" t="e">
        <f t="shared" ca="1" si="277"/>
        <v>#N/A</v>
      </c>
      <c r="AK793" s="34" t="e">
        <f t="shared" ca="1" si="270"/>
        <v>#N/A</v>
      </c>
      <c r="AL793" s="34" t="e">
        <f t="shared" ca="1" si="271"/>
        <v>#N/A</v>
      </c>
      <c r="AM793" s="33" t="e">
        <f t="shared" ca="1" si="278"/>
        <v>#N/A</v>
      </c>
      <c r="AN793" s="34" t="e">
        <f t="shared" ca="1" si="279"/>
        <v>#N/A</v>
      </c>
    </row>
    <row r="794" spans="1:40" x14ac:dyDescent="0.3">
      <c r="A794" s="2">
        <v>44614</v>
      </c>
      <c r="B794" s="9">
        <v>118.489998</v>
      </c>
      <c r="C794" s="9">
        <v>129.63000500000001</v>
      </c>
      <c r="D794" s="9">
        <v>85.839995999999999</v>
      </c>
      <c r="E794" s="10"/>
      <c r="F794" s="13">
        <v>791</v>
      </c>
      <c r="G794" s="2">
        <v>44614</v>
      </c>
      <c r="H794" s="14">
        <f t="shared" si="260"/>
        <v>-1.5824829248954283E-2</v>
      </c>
      <c r="I794" s="14">
        <f t="shared" si="261"/>
        <v>2.3809742035825775E-2</v>
      </c>
      <c r="J794" s="14">
        <f t="shared" si="262"/>
        <v>-1.0199497498581803E-2</v>
      </c>
      <c r="K794" s="22">
        <v>791</v>
      </c>
      <c r="L794" s="12"/>
      <c r="Q794" s="15">
        <f t="shared" si="263"/>
        <v>791</v>
      </c>
      <c r="R794" s="2">
        <f t="shared" si="259"/>
        <v>44614</v>
      </c>
      <c r="S794" s="9">
        <f t="shared" ca="1" si="264"/>
        <v>-1.5824829248954283E-2</v>
      </c>
      <c r="T794" s="9">
        <f t="shared" ca="1" si="265"/>
        <v>2.3809742035825775E-2</v>
      </c>
      <c r="U794" s="9">
        <f t="shared" ca="1" si="266"/>
        <v>-1.0199497498581803E-2</v>
      </c>
      <c r="AB794" s="33" t="e">
        <f t="shared" ca="1" si="272"/>
        <v>#N/A</v>
      </c>
      <c r="AC794" s="34" t="e">
        <f t="shared" ca="1" si="273"/>
        <v>#N/A</v>
      </c>
      <c r="AD794" s="34" t="e">
        <f t="shared" ca="1" si="274"/>
        <v>#N/A</v>
      </c>
      <c r="AE794" s="33" t="e">
        <f t="shared" ca="1" si="275"/>
        <v>#N/A</v>
      </c>
      <c r="AF794" s="34" t="e">
        <f t="shared" ca="1" si="267"/>
        <v>#N/A</v>
      </c>
      <c r="AG794" s="34" t="e">
        <f t="shared" ca="1" si="268"/>
        <v>#N/A</v>
      </c>
      <c r="AH794" s="34" t="e">
        <f t="shared" ca="1" si="269"/>
        <v>#N/A</v>
      </c>
      <c r="AI794" s="33" t="e">
        <f t="shared" ca="1" si="276"/>
        <v>#N/A</v>
      </c>
      <c r="AJ794" s="34" t="e">
        <f t="shared" ca="1" si="277"/>
        <v>#N/A</v>
      </c>
      <c r="AK794" s="34" t="e">
        <f t="shared" ca="1" si="270"/>
        <v>#N/A</v>
      </c>
      <c r="AL794" s="34" t="e">
        <f t="shared" ca="1" si="271"/>
        <v>#N/A</v>
      </c>
      <c r="AM794" s="33" t="e">
        <f t="shared" ca="1" si="278"/>
        <v>#N/A</v>
      </c>
      <c r="AN794" s="34" t="e">
        <f t="shared" ca="1" si="279"/>
        <v>#N/A</v>
      </c>
    </row>
    <row r="795" spans="1:40" x14ac:dyDescent="0.3">
      <c r="A795" s="2">
        <v>44615</v>
      </c>
      <c r="B795" s="9">
        <v>115.360001</v>
      </c>
      <c r="C795" s="9">
        <v>129.10000600000001</v>
      </c>
      <c r="D795" s="9">
        <v>86.349997999999999</v>
      </c>
      <c r="E795" s="10"/>
      <c r="F795" s="13">
        <v>792</v>
      </c>
      <c r="G795" s="2">
        <v>44615</v>
      </c>
      <c r="H795" s="14">
        <f t="shared" si="260"/>
        <v>-2.6770869744432078E-2</v>
      </c>
      <c r="I795" s="14">
        <f t="shared" si="261"/>
        <v>-4.096932855073101E-3</v>
      </c>
      <c r="J795" s="14">
        <f t="shared" si="262"/>
        <v>5.9237297070161175E-3</v>
      </c>
      <c r="K795" s="22">
        <v>792</v>
      </c>
      <c r="L795" s="12"/>
      <c r="Q795" s="15">
        <f t="shared" si="263"/>
        <v>792</v>
      </c>
      <c r="R795" s="2">
        <f t="shared" si="259"/>
        <v>44615</v>
      </c>
      <c r="S795" s="9">
        <f t="shared" ca="1" si="264"/>
        <v>-2.6770869744432078E-2</v>
      </c>
      <c r="T795" s="9">
        <f t="shared" ca="1" si="265"/>
        <v>-4.096932855073101E-3</v>
      </c>
      <c r="U795" s="9">
        <f t="shared" ca="1" si="266"/>
        <v>5.9237297070161175E-3</v>
      </c>
      <c r="AB795" s="33" t="e">
        <f t="shared" ca="1" si="272"/>
        <v>#N/A</v>
      </c>
      <c r="AC795" s="34" t="e">
        <f t="shared" ca="1" si="273"/>
        <v>#N/A</v>
      </c>
      <c r="AD795" s="34" t="e">
        <f t="shared" ca="1" si="274"/>
        <v>#N/A</v>
      </c>
      <c r="AE795" s="33" t="e">
        <f t="shared" ca="1" si="275"/>
        <v>#N/A</v>
      </c>
      <c r="AF795" s="34" t="e">
        <f t="shared" ca="1" si="267"/>
        <v>#N/A</v>
      </c>
      <c r="AG795" s="34" t="e">
        <f t="shared" ca="1" si="268"/>
        <v>#N/A</v>
      </c>
      <c r="AH795" s="34" t="e">
        <f t="shared" ca="1" si="269"/>
        <v>#N/A</v>
      </c>
      <c r="AI795" s="33" t="e">
        <f t="shared" ca="1" si="276"/>
        <v>#N/A</v>
      </c>
      <c r="AJ795" s="34" t="e">
        <f t="shared" ca="1" si="277"/>
        <v>#N/A</v>
      </c>
      <c r="AK795" s="34" t="e">
        <f t="shared" ca="1" si="270"/>
        <v>#N/A</v>
      </c>
      <c r="AL795" s="34" t="e">
        <f t="shared" ca="1" si="271"/>
        <v>#N/A</v>
      </c>
      <c r="AM795" s="33" t="e">
        <f t="shared" ca="1" si="278"/>
        <v>#N/A</v>
      </c>
      <c r="AN795" s="34" t="e">
        <f t="shared" ca="1" si="279"/>
        <v>#N/A</v>
      </c>
    </row>
    <row r="796" spans="1:40" x14ac:dyDescent="0.3">
      <c r="A796" s="2">
        <v>44616</v>
      </c>
      <c r="B796" s="9">
        <v>116.879997</v>
      </c>
      <c r="C796" s="9">
        <v>128.929993</v>
      </c>
      <c r="D796" s="9">
        <v>83.839995999999999</v>
      </c>
      <c r="E796" s="10"/>
      <c r="F796" s="13">
        <v>793</v>
      </c>
      <c r="G796" s="2">
        <v>44616</v>
      </c>
      <c r="H796" s="14">
        <f t="shared" si="260"/>
        <v>1.309005956993769E-2</v>
      </c>
      <c r="I796" s="14">
        <f t="shared" si="261"/>
        <v>-1.3177771984785674E-3</v>
      </c>
      <c r="J796" s="14">
        <f t="shared" si="262"/>
        <v>-2.9498608568328252E-2</v>
      </c>
      <c r="K796" s="22">
        <v>793</v>
      </c>
      <c r="L796" s="12"/>
      <c r="Q796" s="15">
        <f t="shared" si="263"/>
        <v>793</v>
      </c>
      <c r="R796" s="2">
        <f t="shared" si="259"/>
        <v>44616</v>
      </c>
      <c r="S796" s="9">
        <f t="shared" ca="1" si="264"/>
        <v>1.309005956993769E-2</v>
      </c>
      <c r="T796" s="9">
        <f t="shared" ca="1" si="265"/>
        <v>-1.3177771984785674E-3</v>
      </c>
      <c r="U796" s="9">
        <f t="shared" ca="1" si="266"/>
        <v>-2.9498608568328252E-2</v>
      </c>
      <c r="AB796" s="33" t="e">
        <f t="shared" ca="1" si="272"/>
        <v>#N/A</v>
      </c>
      <c r="AC796" s="34" t="e">
        <f t="shared" ca="1" si="273"/>
        <v>#N/A</v>
      </c>
      <c r="AD796" s="34" t="e">
        <f t="shared" ca="1" si="274"/>
        <v>#N/A</v>
      </c>
      <c r="AE796" s="33" t="e">
        <f t="shared" ca="1" si="275"/>
        <v>#N/A</v>
      </c>
      <c r="AF796" s="34" t="e">
        <f t="shared" ca="1" si="267"/>
        <v>#N/A</v>
      </c>
      <c r="AG796" s="34" t="e">
        <f t="shared" ca="1" si="268"/>
        <v>#N/A</v>
      </c>
      <c r="AH796" s="34" t="e">
        <f t="shared" ca="1" si="269"/>
        <v>#N/A</v>
      </c>
      <c r="AI796" s="33" t="e">
        <f t="shared" ca="1" si="276"/>
        <v>#N/A</v>
      </c>
      <c r="AJ796" s="34" t="e">
        <f t="shared" ca="1" si="277"/>
        <v>#N/A</v>
      </c>
      <c r="AK796" s="34" t="e">
        <f t="shared" ca="1" si="270"/>
        <v>#N/A</v>
      </c>
      <c r="AL796" s="34" t="e">
        <f t="shared" ca="1" si="271"/>
        <v>#N/A</v>
      </c>
      <c r="AM796" s="33" t="e">
        <f t="shared" ca="1" si="278"/>
        <v>#N/A</v>
      </c>
      <c r="AN796" s="34" t="e">
        <f t="shared" ca="1" si="279"/>
        <v>#N/A</v>
      </c>
    </row>
    <row r="797" spans="1:40" x14ac:dyDescent="0.3">
      <c r="A797" s="2">
        <v>44617</v>
      </c>
      <c r="B797" s="9">
        <v>120.91999800000001</v>
      </c>
      <c r="C797" s="9">
        <v>134.11000100000001</v>
      </c>
      <c r="D797" s="9">
        <v>84.870002999999997</v>
      </c>
      <c r="E797" s="10"/>
      <c r="F797" s="13">
        <v>794</v>
      </c>
      <c r="G797" s="2">
        <v>44617</v>
      </c>
      <c r="H797" s="14">
        <f t="shared" si="260"/>
        <v>3.3981411596303586E-2</v>
      </c>
      <c r="I797" s="14">
        <f t="shared" si="261"/>
        <v>3.939079904969682E-2</v>
      </c>
      <c r="J797" s="14">
        <f t="shared" si="262"/>
        <v>1.2210536466957108E-2</v>
      </c>
      <c r="K797" s="22">
        <v>794</v>
      </c>
      <c r="L797" s="12"/>
      <c r="Q797" s="15">
        <f t="shared" si="263"/>
        <v>794</v>
      </c>
      <c r="R797" s="2">
        <f t="shared" si="259"/>
        <v>44617</v>
      </c>
      <c r="S797" s="9">
        <f t="shared" ca="1" si="264"/>
        <v>3.3981411596303586E-2</v>
      </c>
      <c r="T797" s="9">
        <f t="shared" ca="1" si="265"/>
        <v>3.939079904969682E-2</v>
      </c>
      <c r="U797" s="9">
        <f t="shared" ca="1" si="266"/>
        <v>1.2210536466957108E-2</v>
      </c>
      <c r="AB797" s="33" t="e">
        <f t="shared" ca="1" si="272"/>
        <v>#N/A</v>
      </c>
      <c r="AC797" s="34" t="e">
        <f t="shared" ca="1" si="273"/>
        <v>#N/A</v>
      </c>
      <c r="AD797" s="34" t="e">
        <f t="shared" ca="1" si="274"/>
        <v>#N/A</v>
      </c>
      <c r="AE797" s="33" t="e">
        <f t="shared" ca="1" si="275"/>
        <v>#N/A</v>
      </c>
      <c r="AF797" s="34" t="e">
        <f t="shared" ca="1" si="267"/>
        <v>#N/A</v>
      </c>
      <c r="AG797" s="34" t="e">
        <f t="shared" ca="1" si="268"/>
        <v>#N/A</v>
      </c>
      <c r="AH797" s="34" t="e">
        <f t="shared" ca="1" si="269"/>
        <v>#N/A</v>
      </c>
      <c r="AI797" s="33" t="e">
        <f t="shared" ca="1" si="276"/>
        <v>#N/A</v>
      </c>
      <c r="AJ797" s="34" t="e">
        <f t="shared" ca="1" si="277"/>
        <v>#N/A</v>
      </c>
      <c r="AK797" s="34" t="e">
        <f t="shared" ca="1" si="270"/>
        <v>#N/A</v>
      </c>
      <c r="AL797" s="34" t="e">
        <f t="shared" ca="1" si="271"/>
        <v>#N/A</v>
      </c>
      <c r="AM797" s="33" t="e">
        <f t="shared" ca="1" si="278"/>
        <v>#N/A</v>
      </c>
      <c r="AN797" s="34" t="e">
        <f t="shared" ca="1" si="279"/>
        <v>#N/A</v>
      </c>
    </row>
    <row r="798" spans="1:40" x14ac:dyDescent="0.3">
      <c r="A798" s="2">
        <v>44620</v>
      </c>
      <c r="B798" s="9">
        <v>120.290001</v>
      </c>
      <c r="C798" s="9">
        <v>132.03999300000001</v>
      </c>
      <c r="D798" s="9">
        <v>83.510002</v>
      </c>
      <c r="E798" s="10"/>
      <c r="F798" s="13">
        <v>795</v>
      </c>
      <c r="G798" s="2">
        <v>44620</v>
      </c>
      <c r="H798" s="14">
        <f t="shared" si="260"/>
        <v>-5.2236510521719362E-3</v>
      </c>
      <c r="I798" s="14">
        <f t="shared" si="261"/>
        <v>-1.5555512208661531E-2</v>
      </c>
      <c r="J798" s="14">
        <f t="shared" si="262"/>
        <v>-1.6154300215398962E-2</v>
      </c>
      <c r="K798" s="22">
        <v>795</v>
      </c>
      <c r="L798" s="12"/>
      <c r="Q798" s="15">
        <f t="shared" si="263"/>
        <v>795</v>
      </c>
      <c r="R798" s="2">
        <f t="shared" si="259"/>
        <v>44620</v>
      </c>
      <c r="S798" s="9">
        <f t="shared" ca="1" si="264"/>
        <v>-5.2236510521719362E-3</v>
      </c>
      <c r="T798" s="9">
        <f t="shared" ca="1" si="265"/>
        <v>-1.5555512208661531E-2</v>
      </c>
      <c r="U798" s="9">
        <f t="shared" ca="1" si="266"/>
        <v>-1.6154300215398962E-2</v>
      </c>
      <c r="AB798" s="33" t="e">
        <f t="shared" ca="1" si="272"/>
        <v>#N/A</v>
      </c>
      <c r="AC798" s="34" t="e">
        <f t="shared" ca="1" si="273"/>
        <v>#N/A</v>
      </c>
      <c r="AD798" s="34" t="e">
        <f t="shared" ca="1" si="274"/>
        <v>#N/A</v>
      </c>
      <c r="AE798" s="33" t="e">
        <f t="shared" ca="1" si="275"/>
        <v>#N/A</v>
      </c>
      <c r="AF798" s="34" t="e">
        <f t="shared" ca="1" si="267"/>
        <v>#N/A</v>
      </c>
      <c r="AG798" s="34" t="e">
        <f t="shared" ca="1" si="268"/>
        <v>#N/A</v>
      </c>
      <c r="AH798" s="34" t="e">
        <f t="shared" ca="1" si="269"/>
        <v>#N/A</v>
      </c>
      <c r="AI798" s="33" t="e">
        <f t="shared" ca="1" si="276"/>
        <v>#N/A</v>
      </c>
      <c r="AJ798" s="34" t="e">
        <f t="shared" ca="1" si="277"/>
        <v>#N/A</v>
      </c>
      <c r="AK798" s="34" t="e">
        <f t="shared" ca="1" si="270"/>
        <v>#N/A</v>
      </c>
      <c r="AL798" s="34" t="e">
        <f t="shared" ca="1" si="271"/>
        <v>#N/A</v>
      </c>
      <c r="AM798" s="33" t="e">
        <f t="shared" ca="1" si="278"/>
        <v>#N/A</v>
      </c>
      <c r="AN798" s="34" t="e">
        <f t="shared" ca="1" si="279"/>
        <v>#N/A</v>
      </c>
    </row>
    <row r="799" spans="1:40" x14ac:dyDescent="0.3">
      <c r="A799" s="2">
        <v>44621</v>
      </c>
      <c r="B799" s="9">
        <v>113.57</v>
      </c>
      <c r="C799" s="9">
        <v>124.699997</v>
      </c>
      <c r="D799" s="9">
        <v>80.629997000000003</v>
      </c>
      <c r="E799" s="10"/>
      <c r="F799" s="13">
        <v>796</v>
      </c>
      <c r="G799" s="2">
        <v>44621</v>
      </c>
      <c r="H799" s="14">
        <f t="shared" si="260"/>
        <v>-5.7486115415669302E-2</v>
      </c>
      <c r="I799" s="14">
        <f t="shared" si="261"/>
        <v>-5.719402534250094E-2</v>
      </c>
      <c r="J799" s="14">
        <f t="shared" si="262"/>
        <v>-3.5095657624430329E-2</v>
      </c>
      <c r="K799" s="22">
        <v>796</v>
      </c>
      <c r="L799" s="12"/>
      <c r="Q799" s="15">
        <f t="shared" si="263"/>
        <v>796</v>
      </c>
      <c r="R799" s="2">
        <f t="shared" si="259"/>
        <v>44621</v>
      </c>
      <c r="S799" s="9">
        <f t="shared" ca="1" si="264"/>
        <v>-5.7486115415669302E-2</v>
      </c>
      <c r="T799" s="9">
        <f t="shared" ca="1" si="265"/>
        <v>-5.719402534250094E-2</v>
      </c>
      <c r="U799" s="9">
        <f t="shared" ca="1" si="266"/>
        <v>-3.5095657624430329E-2</v>
      </c>
      <c r="AB799" s="33" t="e">
        <f t="shared" ca="1" si="272"/>
        <v>#N/A</v>
      </c>
      <c r="AC799" s="34" t="e">
        <f t="shared" ca="1" si="273"/>
        <v>#N/A</v>
      </c>
      <c r="AD799" s="34" t="e">
        <f t="shared" ca="1" si="274"/>
        <v>#N/A</v>
      </c>
      <c r="AE799" s="33" t="e">
        <f t="shared" ca="1" si="275"/>
        <v>#N/A</v>
      </c>
      <c r="AF799" s="34" t="e">
        <f t="shared" ca="1" si="267"/>
        <v>#N/A</v>
      </c>
      <c r="AG799" s="34" t="e">
        <f t="shared" ca="1" si="268"/>
        <v>#N/A</v>
      </c>
      <c r="AH799" s="34" t="e">
        <f t="shared" ca="1" si="269"/>
        <v>#N/A</v>
      </c>
      <c r="AI799" s="33" t="e">
        <f t="shared" ca="1" si="276"/>
        <v>#N/A</v>
      </c>
      <c r="AJ799" s="34" t="e">
        <f t="shared" ca="1" si="277"/>
        <v>#N/A</v>
      </c>
      <c r="AK799" s="34" t="e">
        <f t="shared" ca="1" si="270"/>
        <v>#N/A</v>
      </c>
      <c r="AL799" s="34" t="e">
        <f t="shared" ca="1" si="271"/>
        <v>#N/A</v>
      </c>
      <c r="AM799" s="33" t="e">
        <f t="shared" ca="1" si="278"/>
        <v>#N/A</v>
      </c>
      <c r="AN799" s="34" t="e">
        <f t="shared" ca="1" si="279"/>
        <v>#N/A</v>
      </c>
    </row>
    <row r="800" spans="1:40" x14ac:dyDescent="0.3">
      <c r="A800" s="2">
        <v>44622</v>
      </c>
      <c r="B800" s="9">
        <v>117.480003</v>
      </c>
      <c r="C800" s="9">
        <v>128.470001</v>
      </c>
      <c r="D800" s="9">
        <v>83.620002999999997</v>
      </c>
      <c r="E800" s="10"/>
      <c r="F800" s="13">
        <v>797</v>
      </c>
      <c r="G800" s="2">
        <v>44622</v>
      </c>
      <c r="H800" s="14">
        <f t="shared" si="260"/>
        <v>3.3848744963125552E-2</v>
      </c>
      <c r="I800" s="14">
        <f t="shared" si="261"/>
        <v>2.9784593199184816E-2</v>
      </c>
      <c r="J800" s="14">
        <f t="shared" si="262"/>
        <v>3.6412010315067758E-2</v>
      </c>
      <c r="K800" s="22">
        <v>797</v>
      </c>
      <c r="L800" s="12"/>
      <c r="Q800" s="15">
        <f t="shared" si="263"/>
        <v>797</v>
      </c>
      <c r="R800" s="2">
        <f t="shared" si="259"/>
        <v>44622</v>
      </c>
      <c r="S800" s="9">
        <f t="shared" ca="1" si="264"/>
        <v>3.3848744963125552E-2</v>
      </c>
      <c r="T800" s="9">
        <f t="shared" ca="1" si="265"/>
        <v>2.9784593199184816E-2</v>
      </c>
      <c r="U800" s="9">
        <f t="shared" ca="1" si="266"/>
        <v>3.6412010315067758E-2</v>
      </c>
      <c r="AB800" s="33" t="e">
        <f t="shared" ca="1" si="272"/>
        <v>#N/A</v>
      </c>
      <c r="AC800" s="34" t="e">
        <f t="shared" ca="1" si="273"/>
        <v>#N/A</v>
      </c>
      <c r="AD800" s="34" t="e">
        <f t="shared" ca="1" si="274"/>
        <v>#N/A</v>
      </c>
      <c r="AE800" s="33" t="e">
        <f t="shared" ca="1" si="275"/>
        <v>#N/A</v>
      </c>
      <c r="AF800" s="34" t="e">
        <f t="shared" ca="1" si="267"/>
        <v>#N/A</v>
      </c>
      <c r="AG800" s="34" t="e">
        <f t="shared" ca="1" si="268"/>
        <v>#N/A</v>
      </c>
      <c r="AH800" s="34" t="e">
        <f t="shared" ca="1" si="269"/>
        <v>#N/A</v>
      </c>
      <c r="AI800" s="33" t="e">
        <f t="shared" ca="1" si="276"/>
        <v>#N/A</v>
      </c>
      <c r="AJ800" s="34" t="e">
        <f t="shared" ca="1" si="277"/>
        <v>#N/A</v>
      </c>
      <c r="AK800" s="34" t="e">
        <f t="shared" ca="1" si="270"/>
        <v>#N/A</v>
      </c>
      <c r="AL800" s="34" t="e">
        <f t="shared" ca="1" si="271"/>
        <v>#N/A</v>
      </c>
      <c r="AM800" s="33" t="e">
        <f t="shared" ca="1" si="278"/>
        <v>#N/A</v>
      </c>
      <c r="AN800" s="34" t="e">
        <f t="shared" ca="1" si="279"/>
        <v>#N/A</v>
      </c>
    </row>
    <row r="801" spans="1:40" x14ac:dyDescent="0.3">
      <c r="A801" s="2">
        <v>44623</v>
      </c>
      <c r="B801" s="9">
        <v>118.089996</v>
      </c>
      <c r="C801" s="9">
        <v>124.57</v>
      </c>
      <c r="D801" s="9">
        <v>84.190002000000007</v>
      </c>
      <c r="E801" s="10"/>
      <c r="F801" s="13">
        <v>798</v>
      </c>
      <c r="G801" s="2">
        <v>44623</v>
      </c>
      <c r="H801" s="14">
        <f t="shared" si="260"/>
        <v>5.1788798740389566E-3</v>
      </c>
      <c r="I801" s="14">
        <f t="shared" si="261"/>
        <v>-3.0827614929435421E-2</v>
      </c>
      <c r="J801" s="14">
        <f t="shared" si="262"/>
        <v>6.7934113003600746E-3</v>
      </c>
      <c r="K801" s="22">
        <v>798</v>
      </c>
      <c r="L801" s="12"/>
      <c r="Q801" s="15">
        <f t="shared" si="263"/>
        <v>798</v>
      </c>
      <c r="R801" s="2">
        <f t="shared" si="259"/>
        <v>44623</v>
      </c>
      <c r="S801" s="9">
        <f t="shared" ca="1" si="264"/>
        <v>5.1788798740389566E-3</v>
      </c>
      <c r="T801" s="9">
        <f t="shared" ca="1" si="265"/>
        <v>-3.0827614929435421E-2</v>
      </c>
      <c r="U801" s="9">
        <f t="shared" ca="1" si="266"/>
        <v>6.7934113003600746E-3</v>
      </c>
      <c r="AB801" s="33" t="e">
        <f t="shared" ca="1" si="272"/>
        <v>#N/A</v>
      </c>
      <c r="AC801" s="34" t="e">
        <f t="shared" ca="1" si="273"/>
        <v>#N/A</v>
      </c>
      <c r="AD801" s="34" t="e">
        <f t="shared" ca="1" si="274"/>
        <v>#N/A</v>
      </c>
      <c r="AE801" s="33" t="e">
        <f t="shared" ca="1" si="275"/>
        <v>#N/A</v>
      </c>
      <c r="AF801" s="34" t="e">
        <f t="shared" ca="1" si="267"/>
        <v>#N/A</v>
      </c>
      <c r="AG801" s="34" t="e">
        <f t="shared" ca="1" si="268"/>
        <v>#N/A</v>
      </c>
      <c r="AH801" s="34" t="e">
        <f t="shared" ca="1" si="269"/>
        <v>#N/A</v>
      </c>
      <c r="AI801" s="33" t="e">
        <f t="shared" ca="1" si="276"/>
        <v>#N/A</v>
      </c>
      <c r="AJ801" s="34" t="e">
        <f t="shared" ca="1" si="277"/>
        <v>#N/A</v>
      </c>
      <c r="AK801" s="34" t="e">
        <f t="shared" ca="1" si="270"/>
        <v>#N/A</v>
      </c>
      <c r="AL801" s="34" t="e">
        <f t="shared" ca="1" si="271"/>
        <v>#N/A</v>
      </c>
      <c r="AM801" s="33" t="e">
        <f t="shared" ca="1" si="278"/>
        <v>#N/A</v>
      </c>
      <c r="AN801" s="34" t="e">
        <f t="shared" ca="1" si="279"/>
        <v>#N/A</v>
      </c>
    </row>
    <row r="802" spans="1:40" x14ac:dyDescent="0.3">
      <c r="A802" s="2">
        <v>44624</v>
      </c>
      <c r="B802" s="9">
        <v>117.019997</v>
      </c>
      <c r="C802" s="9">
        <v>116.050003</v>
      </c>
      <c r="D802" s="9">
        <v>85.980002999999996</v>
      </c>
      <c r="E802" s="10"/>
      <c r="F802" s="13">
        <v>799</v>
      </c>
      <c r="G802" s="2">
        <v>44624</v>
      </c>
      <c r="H802" s="14">
        <f t="shared" si="260"/>
        <v>-9.1021770172731008E-3</v>
      </c>
      <c r="I802" s="14">
        <f t="shared" si="261"/>
        <v>-7.0846648326629194E-2</v>
      </c>
      <c r="J802" s="14">
        <f t="shared" si="262"/>
        <v>2.1038572854607224E-2</v>
      </c>
      <c r="K802" s="22">
        <v>799</v>
      </c>
      <c r="L802" s="12"/>
      <c r="Q802" s="15">
        <f t="shared" si="263"/>
        <v>799</v>
      </c>
      <c r="R802" s="2">
        <f t="shared" si="259"/>
        <v>44624</v>
      </c>
      <c r="S802" s="9">
        <f t="shared" ca="1" si="264"/>
        <v>-9.1021770172731008E-3</v>
      </c>
      <c r="T802" s="9">
        <f t="shared" ca="1" si="265"/>
        <v>-7.0846648326629194E-2</v>
      </c>
      <c r="U802" s="9">
        <f t="shared" ca="1" si="266"/>
        <v>2.1038572854607224E-2</v>
      </c>
      <c r="AB802" s="33" t="e">
        <f t="shared" ca="1" si="272"/>
        <v>#N/A</v>
      </c>
      <c r="AC802" s="34" t="e">
        <f t="shared" ca="1" si="273"/>
        <v>#N/A</v>
      </c>
      <c r="AD802" s="34" t="e">
        <f t="shared" ca="1" si="274"/>
        <v>#N/A</v>
      </c>
      <c r="AE802" s="33" t="e">
        <f t="shared" ca="1" si="275"/>
        <v>#N/A</v>
      </c>
      <c r="AF802" s="34" t="e">
        <f t="shared" ca="1" si="267"/>
        <v>#N/A</v>
      </c>
      <c r="AG802" s="34" t="e">
        <f t="shared" ca="1" si="268"/>
        <v>#N/A</v>
      </c>
      <c r="AH802" s="34" t="e">
        <f t="shared" ca="1" si="269"/>
        <v>#N/A</v>
      </c>
      <c r="AI802" s="33" t="e">
        <f t="shared" ca="1" si="276"/>
        <v>#N/A</v>
      </c>
      <c r="AJ802" s="34" t="e">
        <f t="shared" ca="1" si="277"/>
        <v>#N/A</v>
      </c>
      <c r="AK802" s="34" t="e">
        <f t="shared" ca="1" si="270"/>
        <v>#N/A</v>
      </c>
      <c r="AL802" s="34" t="e">
        <f t="shared" ca="1" si="271"/>
        <v>#N/A</v>
      </c>
      <c r="AM802" s="33" t="e">
        <f t="shared" ca="1" si="278"/>
        <v>#N/A</v>
      </c>
      <c r="AN802" s="34" t="e">
        <f t="shared" ca="1" si="279"/>
        <v>#N/A</v>
      </c>
    </row>
    <row r="803" spans="1:40" x14ac:dyDescent="0.3">
      <c r="A803" s="2">
        <v>44627</v>
      </c>
      <c r="B803" s="9">
        <v>110.550003</v>
      </c>
      <c r="C803" s="9">
        <v>101.860001</v>
      </c>
      <c r="D803" s="9">
        <v>84.010002</v>
      </c>
      <c r="E803" s="10"/>
      <c r="F803" s="13">
        <v>800</v>
      </c>
      <c r="G803" s="2">
        <v>44627</v>
      </c>
      <c r="H803" s="14">
        <f t="shared" si="260"/>
        <v>-5.6876900282949387E-2</v>
      </c>
      <c r="I803" s="14">
        <f t="shared" si="261"/>
        <v>-0.13042182729751722</v>
      </c>
      <c r="J803" s="14">
        <f t="shared" si="262"/>
        <v>-2.3178882776524964E-2</v>
      </c>
      <c r="K803" s="22">
        <v>800</v>
      </c>
      <c r="L803" s="12"/>
      <c r="Q803" s="15">
        <f t="shared" si="263"/>
        <v>800</v>
      </c>
      <c r="R803" s="2">
        <f t="shared" si="259"/>
        <v>44627</v>
      </c>
      <c r="S803" s="9">
        <f t="shared" ca="1" si="264"/>
        <v>-5.6876900282949387E-2</v>
      </c>
      <c r="T803" s="9">
        <f t="shared" ca="1" si="265"/>
        <v>-0.13042182729751722</v>
      </c>
      <c r="U803" s="9">
        <f t="shared" ca="1" si="266"/>
        <v>-2.3178882776524964E-2</v>
      </c>
      <c r="AB803" s="33" t="e">
        <f t="shared" ca="1" si="272"/>
        <v>#N/A</v>
      </c>
      <c r="AC803" s="34" t="e">
        <f t="shared" ca="1" si="273"/>
        <v>#N/A</v>
      </c>
      <c r="AD803" s="34" t="e">
        <f t="shared" ca="1" si="274"/>
        <v>#N/A</v>
      </c>
      <c r="AE803" s="33" t="e">
        <f t="shared" ca="1" si="275"/>
        <v>#N/A</v>
      </c>
      <c r="AF803" s="34" t="e">
        <f t="shared" ca="1" si="267"/>
        <v>#N/A</v>
      </c>
      <c r="AG803" s="34" t="e">
        <f t="shared" ca="1" si="268"/>
        <v>#N/A</v>
      </c>
      <c r="AH803" s="34" t="e">
        <f t="shared" ca="1" si="269"/>
        <v>#N/A</v>
      </c>
      <c r="AI803" s="33" t="e">
        <f t="shared" ca="1" si="276"/>
        <v>#N/A</v>
      </c>
      <c r="AJ803" s="34" t="e">
        <f t="shared" ca="1" si="277"/>
        <v>#N/A</v>
      </c>
      <c r="AK803" s="34" t="e">
        <f t="shared" ca="1" si="270"/>
        <v>#N/A</v>
      </c>
      <c r="AL803" s="34" t="e">
        <f t="shared" ca="1" si="271"/>
        <v>#N/A</v>
      </c>
      <c r="AM803" s="33" t="e">
        <f t="shared" ca="1" si="278"/>
        <v>#N/A</v>
      </c>
      <c r="AN803" s="34" t="e">
        <f t="shared" ca="1" si="279"/>
        <v>#N/A</v>
      </c>
    </row>
    <row r="804" spans="1:40" x14ac:dyDescent="0.3">
      <c r="A804" s="2">
        <v>44628</v>
      </c>
      <c r="B804" s="9">
        <v>107.349998</v>
      </c>
      <c r="C804" s="9">
        <v>101.010002</v>
      </c>
      <c r="D804" s="9">
        <v>90.540001000000004</v>
      </c>
      <c r="E804" s="10"/>
      <c r="F804" s="13">
        <v>801</v>
      </c>
      <c r="G804" s="2">
        <v>44628</v>
      </c>
      <c r="H804" s="14">
        <f t="shared" si="260"/>
        <v>-2.9373428746354544E-2</v>
      </c>
      <c r="I804" s="14">
        <f t="shared" si="261"/>
        <v>-8.3797896327425462E-3</v>
      </c>
      <c r="J804" s="14">
        <f t="shared" si="262"/>
        <v>7.4855889869209422E-2</v>
      </c>
      <c r="K804" s="22">
        <v>801</v>
      </c>
      <c r="L804" s="12"/>
      <c r="Q804" s="15">
        <f t="shared" si="263"/>
        <v>801</v>
      </c>
      <c r="R804" s="2">
        <f t="shared" si="259"/>
        <v>44628</v>
      </c>
      <c r="S804" s="9">
        <f t="shared" ca="1" si="264"/>
        <v>-2.9373428746354544E-2</v>
      </c>
      <c r="T804" s="9">
        <f t="shared" ca="1" si="265"/>
        <v>-8.3797896327425462E-3</v>
      </c>
      <c r="U804" s="9">
        <f t="shared" ca="1" si="266"/>
        <v>7.4855889869209422E-2</v>
      </c>
      <c r="AB804" s="33" t="e">
        <f t="shared" ca="1" si="272"/>
        <v>#N/A</v>
      </c>
      <c r="AC804" s="34" t="e">
        <f t="shared" ca="1" si="273"/>
        <v>#N/A</v>
      </c>
      <c r="AD804" s="34" t="e">
        <f t="shared" ca="1" si="274"/>
        <v>#N/A</v>
      </c>
      <c r="AE804" s="33" t="e">
        <f t="shared" ca="1" si="275"/>
        <v>#N/A</v>
      </c>
      <c r="AF804" s="34" t="e">
        <f t="shared" ca="1" si="267"/>
        <v>#N/A</v>
      </c>
      <c r="AG804" s="34" t="e">
        <f t="shared" ca="1" si="268"/>
        <v>#N/A</v>
      </c>
      <c r="AH804" s="34" t="e">
        <f t="shared" ca="1" si="269"/>
        <v>#N/A</v>
      </c>
      <c r="AI804" s="33" t="e">
        <f t="shared" ca="1" si="276"/>
        <v>#N/A</v>
      </c>
      <c r="AJ804" s="34" t="e">
        <f t="shared" ca="1" si="277"/>
        <v>#N/A</v>
      </c>
      <c r="AK804" s="34" t="e">
        <f t="shared" ca="1" si="270"/>
        <v>#N/A</v>
      </c>
      <c r="AL804" s="34" t="e">
        <f t="shared" ca="1" si="271"/>
        <v>#N/A</v>
      </c>
      <c r="AM804" s="33" t="e">
        <f t="shared" ca="1" si="278"/>
        <v>#N/A</v>
      </c>
      <c r="AN804" s="34" t="e">
        <f t="shared" ca="1" si="279"/>
        <v>#N/A</v>
      </c>
    </row>
    <row r="805" spans="1:40" x14ac:dyDescent="0.3">
      <c r="A805" s="2">
        <v>44629</v>
      </c>
      <c r="B805" s="9">
        <v>112.16999800000001</v>
      </c>
      <c r="C805" s="9">
        <v>108.639999</v>
      </c>
      <c r="D805" s="9">
        <v>87.139999000000003</v>
      </c>
      <c r="E805" s="10"/>
      <c r="F805" s="13">
        <v>802</v>
      </c>
      <c r="G805" s="2">
        <v>44629</v>
      </c>
      <c r="H805" s="14">
        <f t="shared" si="260"/>
        <v>4.3921054132910219E-2</v>
      </c>
      <c r="I805" s="14">
        <f t="shared" si="261"/>
        <v>7.2820112964560813E-2</v>
      </c>
      <c r="J805" s="14">
        <f t="shared" si="262"/>
        <v>-3.827574383914463E-2</v>
      </c>
      <c r="K805" s="22">
        <v>802</v>
      </c>
      <c r="L805" s="12"/>
      <c r="Q805" s="15">
        <f t="shared" si="263"/>
        <v>802</v>
      </c>
      <c r="R805" s="2">
        <f t="shared" si="259"/>
        <v>44629</v>
      </c>
      <c r="S805" s="9">
        <f t="shared" ca="1" si="264"/>
        <v>4.3921054132910219E-2</v>
      </c>
      <c r="T805" s="9">
        <f t="shared" ca="1" si="265"/>
        <v>7.2820112964560813E-2</v>
      </c>
      <c r="U805" s="9">
        <f t="shared" ca="1" si="266"/>
        <v>-3.827574383914463E-2</v>
      </c>
      <c r="AB805" s="33" t="e">
        <f t="shared" ca="1" si="272"/>
        <v>#N/A</v>
      </c>
      <c r="AC805" s="34" t="e">
        <f t="shared" ca="1" si="273"/>
        <v>#N/A</v>
      </c>
      <c r="AD805" s="34" t="e">
        <f t="shared" ca="1" si="274"/>
        <v>#N/A</v>
      </c>
      <c r="AE805" s="33" t="e">
        <f t="shared" ca="1" si="275"/>
        <v>#N/A</v>
      </c>
      <c r="AF805" s="34" t="e">
        <f t="shared" ca="1" si="267"/>
        <v>#N/A</v>
      </c>
      <c r="AG805" s="34" t="e">
        <f t="shared" ca="1" si="268"/>
        <v>#N/A</v>
      </c>
      <c r="AH805" s="34" t="e">
        <f t="shared" ca="1" si="269"/>
        <v>#N/A</v>
      </c>
      <c r="AI805" s="33" t="e">
        <f t="shared" ca="1" si="276"/>
        <v>#N/A</v>
      </c>
      <c r="AJ805" s="34" t="e">
        <f t="shared" ca="1" si="277"/>
        <v>#N/A</v>
      </c>
      <c r="AK805" s="34" t="e">
        <f t="shared" ca="1" si="270"/>
        <v>#N/A</v>
      </c>
      <c r="AL805" s="34" t="e">
        <f t="shared" ca="1" si="271"/>
        <v>#N/A</v>
      </c>
      <c r="AM805" s="33" t="e">
        <f t="shared" ca="1" si="278"/>
        <v>#N/A</v>
      </c>
      <c r="AN805" s="34" t="e">
        <f t="shared" ca="1" si="279"/>
        <v>#N/A</v>
      </c>
    </row>
    <row r="806" spans="1:40" x14ac:dyDescent="0.3">
      <c r="A806" s="2">
        <v>44630</v>
      </c>
      <c r="B806" s="9">
        <v>112.339996</v>
      </c>
      <c r="C806" s="9">
        <v>109.120003</v>
      </c>
      <c r="D806" s="9">
        <v>89.580001999999993</v>
      </c>
      <c r="E806" s="10"/>
      <c r="F806" s="13">
        <v>803</v>
      </c>
      <c r="G806" s="2">
        <v>44630</v>
      </c>
      <c r="H806" s="14">
        <f t="shared" si="260"/>
        <v>1.5143916710379534E-3</v>
      </c>
      <c r="I806" s="14">
        <f t="shared" si="261"/>
        <v>4.4085669821469558E-3</v>
      </c>
      <c r="J806" s="14">
        <f t="shared" si="262"/>
        <v>2.7616093892055823E-2</v>
      </c>
      <c r="K806" s="22">
        <v>803</v>
      </c>
      <c r="L806" s="12"/>
      <c r="Q806" s="15">
        <f t="shared" si="263"/>
        <v>803</v>
      </c>
      <c r="R806" s="2">
        <f t="shared" si="259"/>
        <v>44630</v>
      </c>
      <c r="S806" s="9">
        <f t="shared" ca="1" si="264"/>
        <v>1.5143916710379534E-3</v>
      </c>
      <c r="T806" s="9">
        <f t="shared" ca="1" si="265"/>
        <v>4.4085669821469558E-3</v>
      </c>
      <c r="U806" s="9">
        <f t="shared" ca="1" si="266"/>
        <v>2.7616093892055823E-2</v>
      </c>
      <c r="AB806" s="33" t="e">
        <f t="shared" ca="1" si="272"/>
        <v>#N/A</v>
      </c>
      <c r="AC806" s="34" t="e">
        <f t="shared" ca="1" si="273"/>
        <v>#N/A</v>
      </c>
      <c r="AD806" s="34" t="e">
        <f t="shared" ca="1" si="274"/>
        <v>#N/A</v>
      </c>
      <c r="AE806" s="33" t="e">
        <f t="shared" ca="1" si="275"/>
        <v>#N/A</v>
      </c>
      <c r="AF806" s="34" t="e">
        <f t="shared" ca="1" si="267"/>
        <v>#N/A</v>
      </c>
      <c r="AG806" s="34" t="e">
        <f t="shared" ca="1" si="268"/>
        <v>#N/A</v>
      </c>
      <c r="AH806" s="34" t="e">
        <f t="shared" ca="1" si="269"/>
        <v>#N/A</v>
      </c>
      <c r="AI806" s="33" t="e">
        <f t="shared" ca="1" si="276"/>
        <v>#N/A</v>
      </c>
      <c r="AJ806" s="34" t="e">
        <f t="shared" ca="1" si="277"/>
        <v>#N/A</v>
      </c>
      <c r="AK806" s="34" t="e">
        <f t="shared" ca="1" si="270"/>
        <v>#N/A</v>
      </c>
      <c r="AL806" s="34" t="e">
        <f t="shared" ca="1" si="271"/>
        <v>#N/A</v>
      </c>
      <c r="AM806" s="33" t="e">
        <f t="shared" ca="1" si="278"/>
        <v>#N/A</v>
      </c>
      <c r="AN806" s="34" t="e">
        <f t="shared" ca="1" si="279"/>
        <v>#N/A</v>
      </c>
    </row>
    <row r="807" spans="1:40" x14ac:dyDescent="0.3">
      <c r="A807" s="2">
        <v>44631</v>
      </c>
      <c r="B807" s="9">
        <v>108.80999799999999</v>
      </c>
      <c r="C807" s="9">
        <v>107.540001</v>
      </c>
      <c r="D807" s="9">
        <v>91.669998000000007</v>
      </c>
      <c r="E807" s="10"/>
      <c r="F807" s="13">
        <v>804</v>
      </c>
      <c r="G807" s="2">
        <v>44631</v>
      </c>
      <c r="H807" s="14">
        <f t="shared" si="260"/>
        <v>-3.192672791583364E-2</v>
      </c>
      <c r="I807" s="14">
        <f t="shared" si="261"/>
        <v>-1.4585340907422667E-2</v>
      </c>
      <c r="J807" s="14">
        <f t="shared" si="262"/>
        <v>2.3063047050729774E-2</v>
      </c>
      <c r="K807" s="22">
        <v>804</v>
      </c>
      <c r="L807" s="12"/>
      <c r="Q807" s="15">
        <f t="shared" si="263"/>
        <v>804</v>
      </c>
      <c r="R807" s="2">
        <f t="shared" si="259"/>
        <v>44631</v>
      </c>
      <c r="S807" s="9">
        <f t="shared" ca="1" si="264"/>
        <v>-3.192672791583364E-2</v>
      </c>
      <c r="T807" s="9">
        <f t="shared" ca="1" si="265"/>
        <v>-1.4585340907422667E-2</v>
      </c>
      <c r="U807" s="9">
        <f t="shared" ca="1" si="266"/>
        <v>2.3063047050729774E-2</v>
      </c>
      <c r="AB807" s="33" t="e">
        <f t="shared" ca="1" si="272"/>
        <v>#N/A</v>
      </c>
      <c r="AC807" s="34" t="e">
        <f t="shared" ca="1" si="273"/>
        <v>#N/A</v>
      </c>
      <c r="AD807" s="34" t="e">
        <f t="shared" ca="1" si="274"/>
        <v>#N/A</v>
      </c>
      <c r="AE807" s="33" t="e">
        <f t="shared" ca="1" si="275"/>
        <v>#N/A</v>
      </c>
      <c r="AF807" s="34" t="e">
        <f t="shared" ca="1" si="267"/>
        <v>#N/A</v>
      </c>
      <c r="AG807" s="34" t="e">
        <f t="shared" ca="1" si="268"/>
        <v>#N/A</v>
      </c>
      <c r="AH807" s="34" t="e">
        <f t="shared" ca="1" si="269"/>
        <v>#N/A</v>
      </c>
      <c r="AI807" s="33" t="e">
        <f t="shared" ca="1" si="276"/>
        <v>#N/A</v>
      </c>
      <c r="AJ807" s="34" t="e">
        <f t="shared" ca="1" si="277"/>
        <v>#N/A</v>
      </c>
      <c r="AK807" s="34" t="e">
        <f t="shared" ca="1" si="270"/>
        <v>#N/A</v>
      </c>
      <c r="AL807" s="34" t="e">
        <f t="shared" ca="1" si="271"/>
        <v>#N/A</v>
      </c>
      <c r="AM807" s="33" t="e">
        <f t="shared" ca="1" si="278"/>
        <v>#N/A</v>
      </c>
      <c r="AN807" s="34" t="e">
        <f t="shared" ca="1" si="279"/>
        <v>#N/A</v>
      </c>
    </row>
    <row r="808" spans="1:40" x14ac:dyDescent="0.3">
      <c r="A808" s="2">
        <v>44634</v>
      </c>
      <c r="B808" s="9">
        <v>110.660004</v>
      </c>
      <c r="C808" s="9">
        <v>107.589996</v>
      </c>
      <c r="D808" s="9">
        <v>90.550003000000004</v>
      </c>
      <c r="E808" s="10"/>
      <c r="F808" s="13">
        <v>805</v>
      </c>
      <c r="G808" s="2">
        <v>44634</v>
      </c>
      <c r="H808" s="14">
        <f t="shared" si="260"/>
        <v>1.6859250034461894E-2</v>
      </c>
      <c r="I808" s="14">
        <f t="shared" si="261"/>
        <v>4.6478874724310588E-4</v>
      </c>
      <c r="J808" s="14">
        <f t="shared" si="262"/>
        <v>-1.2292932696006832E-2</v>
      </c>
      <c r="K808" s="22">
        <v>805</v>
      </c>
      <c r="L808" s="12"/>
      <c r="Q808" s="15">
        <f t="shared" si="263"/>
        <v>805</v>
      </c>
      <c r="R808" s="2">
        <f t="shared" si="259"/>
        <v>44634</v>
      </c>
      <c r="S808" s="9">
        <f t="shared" ca="1" si="264"/>
        <v>1.6859250034461894E-2</v>
      </c>
      <c r="T808" s="9">
        <f t="shared" ca="1" si="265"/>
        <v>4.6478874724310588E-4</v>
      </c>
      <c r="U808" s="9">
        <f t="shared" ca="1" si="266"/>
        <v>-1.2292932696006832E-2</v>
      </c>
      <c r="AB808" s="33" t="e">
        <f t="shared" ca="1" si="272"/>
        <v>#N/A</v>
      </c>
      <c r="AC808" s="34" t="e">
        <f t="shared" ca="1" si="273"/>
        <v>#N/A</v>
      </c>
      <c r="AD808" s="34" t="e">
        <f t="shared" ca="1" si="274"/>
        <v>#N/A</v>
      </c>
      <c r="AE808" s="33" t="e">
        <f t="shared" ca="1" si="275"/>
        <v>#N/A</v>
      </c>
      <c r="AF808" s="34" t="e">
        <f t="shared" ca="1" si="267"/>
        <v>#N/A</v>
      </c>
      <c r="AG808" s="34" t="e">
        <f t="shared" ca="1" si="268"/>
        <v>#N/A</v>
      </c>
      <c r="AH808" s="34" t="e">
        <f t="shared" ca="1" si="269"/>
        <v>#N/A</v>
      </c>
      <c r="AI808" s="33" t="e">
        <f t="shared" ca="1" si="276"/>
        <v>#N/A</v>
      </c>
      <c r="AJ808" s="34" t="e">
        <f t="shared" ca="1" si="277"/>
        <v>#N/A</v>
      </c>
      <c r="AK808" s="34" t="e">
        <f t="shared" ca="1" si="270"/>
        <v>#N/A</v>
      </c>
      <c r="AL808" s="34" t="e">
        <f t="shared" ca="1" si="271"/>
        <v>#N/A</v>
      </c>
      <c r="AM808" s="33" t="e">
        <f t="shared" ca="1" si="278"/>
        <v>#N/A</v>
      </c>
      <c r="AN808" s="34" t="e">
        <f t="shared" ca="1" si="279"/>
        <v>#N/A</v>
      </c>
    </row>
    <row r="809" spans="1:40" x14ac:dyDescent="0.3">
      <c r="A809" s="2">
        <v>44635</v>
      </c>
      <c r="B809" s="9">
        <v>112.93</v>
      </c>
      <c r="C809" s="9">
        <v>108.019997</v>
      </c>
      <c r="D809" s="9">
        <v>84.410004000000001</v>
      </c>
      <c r="E809" s="10"/>
      <c r="F809" s="13">
        <v>806</v>
      </c>
      <c r="G809" s="2">
        <v>44635</v>
      </c>
      <c r="H809" s="14">
        <f t="shared" si="260"/>
        <v>2.030568411886011E-2</v>
      </c>
      <c r="I809" s="14">
        <f t="shared" si="261"/>
        <v>3.9886979644693718E-3</v>
      </c>
      <c r="J809" s="14">
        <f t="shared" si="262"/>
        <v>-7.0216292076911047E-2</v>
      </c>
      <c r="K809" s="22">
        <v>806</v>
      </c>
      <c r="L809" s="12"/>
      <c r="Q809" s="15">
        <f t="shared" si="263"/>
        <v>806</v>
      </c>
      <c r="R809" s="2">
        <f t="shared" si="259"/>
        <v>44635</v>
      </c>
      <c r="S809" s="9">
        <f t="shared" ca="1" si="264"/>
        <v>2.030568411886011E-2</v>
      </c>
      <c r="T809" s="9">
        <f t="shared" ca="1" si="265"/>
        <v>3.9886979644693718E-3</v>
      </c>
      <c r="U809" s="9">
        <f t="shared" ca="1" si="266"/>
        <v>-7.0216292076911047E-2</v>
      </c>
      <c r="AB809" s="33" t="e">
        <f t="shared" ca="1" si="272"/>
        <v>#N/A</v>
      </c>
      <c r="AC809" s="34" t="e">
        <f t="shared" ca="1" si="273"/>
        <v>#N/A</v>
      </c>
      <c r="AD809" s="34" t="e">
        <f t="shared" ca="1" si="274"/>
        <v>#N/A</v>
      </c>
      <c r="AE809" s="33" t="e">
        <f t="shared" ca="1" si="275"/>
        <v>#N/A</v>
      </c>
      <c r="AF809" s="34" t="e">
        <f t="shared" ca="1" si="267"/>
        <v>#N/A</v>
      </c>
      <c r="AG809" s="34" t="e">
        <f t="shared" ca="1" si="268"/>
        <v>#N/A</v>
      </c>
      <c r="AH809" s="34" t="e">
        <f t="shared" ca="1" si="269"/>
        <v>#N/A</v>
      </c>
      <c r="AI809" s="33" t="e">
        <f t="shared" ca="1" si="276"/>
        <v>#N/A</v>
      </c>
      <c r="AJ809" s="34" t="e">
        <f t="shared" ca="1" si="277"/>
        <v>#N/A</v>
      </c>
      <c r="AK809" s="34" t="e">
        <f t="shared" ca="1" si="270"/>
        <v>#N/A</v>
      </c>
      <c r="AL809" s="34" t="e">
        <f t="shared" ca="1" si="271"/>
        <v>#N/A</v>
      </c>
      <c r="AM809" s="33" t="e">
        <f t="shared" ca="1" si="278"/>
        <v>#N/A</v>
      </c>
      <c r="AN809" s="34" t="e">
        <f t="shared" ca="1" si="279"/>
        <v>#N/A</v>
      </c>
    </row>
    <row r="810" spans="1:40" x14ac:dyDescent="0.3">
      <c r="A810" s="2">
        <v>44636</v>
      </c>
      <c r="B810" s="9">
        <v>116.040001</v>
      </c>
      <c r="C810" s="9">
        <v>114</v>
      </c>
      <c r="D810" s="9">
        <v>84.940002000000007</v>
      </c>
      <c r="E810" s="10"/>
      <c r="F810" s="13">
        <v>807</v>
      </c>
      <c r="G810" s="2">
        <v>44636</v>
      </c>
      <c r="H810" s="14">
        <f t="shared" si="260"/>
        <v>2.7166810135342303E-2</v>
      </c>
      <c r="I810" s="14">
        <f t="shared" si="261"/>
        <v>5.3882081002385424E-2</v>
      </c>
      <c r="J810" s="14">
        <f t="shared" si="262"/>
        <v>6.2592230477795897E-3</v>
      </c>
      <c r="K810" s="22">
        <v>807</v>
      </c>
      <c r="L810" s="12"/>
      <c r="Q810" s="15">
        <f t="shared" si="263"/>
        <v>807</v>
      </c>
      <c r="R810" s="2">
        <f t="shared" si="259"/>
        <v>44636</v>
      </c>
      <c r="S810" s="9">
        <f t="shared" ca="1" si="264"/>
        <v>2.7166810135342303E-2</v>
      </c>
      <c r="T810" s="9">
        <f t="shared" ca="1" si="265"/>
        <v>5.3882081002385424E-2</v>
      </c>
      <c r="U810" s="9">
        <f t="shared" ca="1" si="266"/>
        <v>6.2592230477795897E-3</v>
      </c>
      <c r="AB810" s="33" t="e">
        <f t="shared" ca="1" si="272"/>
        <v>#N/A</v>
      </c>
      <c r="AC810" s="34" t="e">
        <f t="shared" ca="1" si="273"/>
        <v>#N/A</v>
      </c>
      <c r="AD810" s="34" t="e">
        <f t="shared" ca="1" si="274"/>
        <v>#N/A</v>
      </c>
      <c r="AE810" s="33" t="e">
        <f t="shared" ca="1" si="275"/>
        <v>#N/A</v>
      </c>
      <c r="AF810" s="34" t="e">
        <f t="shared" ca="1" si="267"/>
        <v>#N/A</v>
      </c>
      <c r="AG810" s="34" t="e">
        <f t="shared" ca="1" si="268"/>
        <v>#N/A</v>
      </c>
      <c r="AH810" s="34" t="e">
        <f t="shared" ca="1" si="269"/>
        <v>#N/A</v>
      </c>
      <c r="AI810" s="33" t="e">
        <f t="shared" ca="1" si="276"/>
        <v>#N/A</v>
      </c>
      <c r="AJ810" s="34" t="e">
        <f t="shared" ca="1" si="277"/>
        <v>#N/A</v>
      </c>
      <c r="AK810" s="34" t="e">
        <f t="shared" ca="1" si="270"/>
        <v>#N/A</v>
      </c>
      <c r="AL810" s="34" t="e">
        <f t="shared" ca="1" si="271"/>
        <v>#N/A</v>
      </c>
      <c r="AM810" s="33" t="e">
        <f t="shared" ca="1" si="278"/>
        <v>#N/A</v>
      </c>
      <c r="AN810" s="34" t="e">
        <f t="shared" ca="1" si="279"/>
        <v>#N/A</v>
      </c>
    </row>
    <row r="811" spans="1:40" x14ac:dyDescent="0.3">
      <c r="A811" s="2">
        <v>44637</v>
      </c>
      <c r="B811" s="9">
        <v>118.199997</v>
      </c>
      <c r="C811" s="9">
        <v>119.220001</v>
      </c>
      <c r="D811" s="9">
        <v>89.089995999999999</v>
      </c>
      <c r="E811" s="10"/>
      <c r="F811" s="13">
        <v>808</v>
      </c>
      <c r="G811" s="2">
        <v>44637</v>
      </c>
      <c r="H811" s="14">
        <f t="shared" si="260"/>
        <v>1.8443111720365456E-2</v>
      </c>
      <c r="I811" s="14">
        <f t="shared" si="261"/>
        <v>4.4772085785139255E-2</v>
      </c>
      <c r="J811" s="14">
        <f t="shared" si="262"/>
        <v>4.7701901402976754E-2</v>
      </c>
      <c r="K811" s="22">
        <v>808</v>
      </c>
      <c r="L811" s="12"/>
      <c r="Q811" s="15">
        <f t="shared" si="263"/>
        <v>808</v>
      </c>
      <c r="R811" s="2">
        <f t="shared" si="259"/>
        <v>44637</v>
      </c>
      <c r="S811" s="9">
        <f t="shared" ca="1" si="264"/>
        <v>1.8443111720365456E-2</v>
      </c>
      <c r="T811" s="9">
        <f t="shared" ca="1" si="265"/>
        <v>4.4772085785139255E-2</v>
      </c>
      <c r="U811" s="9">
        <f t="shared" ca="1" si="266"/>
        <v>4.7701901402976754E-2</v>
      </c>
      <c r="AB811" s="33" t="e">
        <f t="shared" ca="1" si="272"/>
        <v>#N/A</v>
      </c>
      <c r="AC811" s="34" t="e">
        <f t="shared" ca="1" si="273"/>
        <v>#N/A</v>
      </c>
      <c r="AD811" s="34" t="e">
        <f t="shared" ca="1" si="274"/>
        <v>#N/A</v>
      </c>
      <c r="AE811" s="33" t="e">
        <f t="shared" ca="1" si="275"/>
        <v>#N/A</v>
      </c>
      <c r="AF811" s="34" t="e">
        <f t="shared" ca="1" si="267"/>
        <v>#N/A</v>
      </c>
      <c r="AG811" s="34" t="e">
        <f t="shared" ca="1" si="268"/>
        <v>#N/A</v>
      </c>
      <c r="AH811" s="34" t="e">
        <f t="shared" ca="1" si="269"/>
        <v>#N/A</v>
      </c>
      <c r="AI811" s="33" t="e">
        <f t="shared" ca="1" si="276"/>
        <v>#N/A</v>
      </c>
      <c r="AJ811" s="34" t="e">
        <f t="shared" ca="1" si="277"/>
        <v>#N/A</v>
      </c>
      <c r="AK811" s="34" t="e">
        <f t="shared" ca="1" si="270"/>
        <v>#N/A</v>
      </c>
      <c r="AL811" s="34" t="e">
        <f t="shared" ca="1" si="271"/>
        <v>#N/A</v>
      </c>
      <c r="AM811" s="33" t="e">
        <f t="shared" ca="1" si="278"/>
        <v>#N/A</v>
      </c>
      <c r="AN811" s="34" t="e">
        <f t="shared" ca="1" si="279"/>
        <v>#N/A</v>
      </c>
    </row>
    <row r="812" spans="1:40" x14ac:dyDescent="0.3">
      <c r="A812" s="2">
        <v>44638</v>
      </c>
      <c r="B812" s="9">
        <v>120.349998</v>
      </c>
      <c r="C812" s="9">
        <v>121.400002</v>
      </c>
      <c r="D812" s="9">
        <v>90.43</v>
      </c>
      <c r="E812" s="10"/>
      <c r="F812" s="13">
        <v>809</v>
      </c>
      <c r="G812" s="2">
        <v>44638</v>
      </c>
      <c r="H812" s="14">
        <f t="shared" si="260"/>
        <v>1.8026068019597084E-2</v>
      </c>
      <c r="I812" s="14">
        <f t="shared" si="261"/>
        <v>1.8120360920227441E-2</v>
      </c>
      <c r="J812" s="14">
        <f t="shared" si="262"/>
        <v>1.4929020918254734E-2</v>
      </c>
      <c r="K812" s="22">
        <v>809</v>
      </c>
      <c r="L812" s="12"/>
      <c r="Q812" s="15">
        <f t="shared" si="263"/>
        <v>809</v>
      </c>
      <c r="R812" s="2">
        <f t="shared" si="259"/>
        <v>44638</v>
      </c>
      <c r="S812" s="9">
        <f t="shared" ca="1" si="264"/>
        <v>1.8026068019597084E-2</v>
      </c>
      <c r="T812" s="9">
        <f t="shared" ca="1" si="265"/>
        <v>1.8120360920227441E-2</v>
      </c>
      <c r="U812" s="9">
        <f t="shared" ca="1" si="266"/>
        <v>1.4929020918254734E-2</v>
      </c>
      <c r="AB812" s="33" t="e">
        <f t="shared" ca="1" si="272"/>
        <v>#N/A</v>
      </c>
      <c r="AC812" s="34" t="e">
        <f t="shared" ca="1" si="273"/>
        <v>#N/A</v>
      </c>
      <c r="AD812" s="34" t="e">
        <f t="shared" ca="1" si="274"/>
        <v>#N/A</v>
      </c>
      <c r="AE812" s="33" t="e">
        <f t="shared" ca="1" si="275"/>
        <v>#N/A</v>
      </c>
      <c r="AF812" s="34" t="e">
        <f t="shared" ca="1" si="267"/>
        <v>#N/A</v>
      </c>
      <c r="AG812" s="34" t="e">
        <f t="shared" ca="1" si="268"/>
        <v>#N/A</v>
      </c>
      <c r="AH812" s="34" t="e">
        <f t="shared" ca="1" si="269"/>
        <v>#N/A</v>
      </c>
      <c r="AI812" s="33" t="e">
        <f t="shared" ca="1" si="276"/>
        <v>#N/A</v>
      </c>
      <c r="AJ812" s="34" t="e">
        <f t="shared" ca="1" si="277"/>
        <v>#N/A</v>
      </c>
      <c r="AK812" s="34" t="e">
        <f t="shared" ca="1" si="270"/>
        <v>#N/A</v>
      </c>
      <c r="AL812" s="34" t="e">
        <f t="shared" ca="1" si="271"/>
        <v>#N/A</v>
      </c>
      <c r="AM812" s="33" t="e">
        <f t="shared" ca="1" si="278"/>
        <v>#N/A</v>
      </c>
      <c r="AN812" s="34" t="e">
        <f t="shared" ca="1" si="279"/>
        <v>#N/A</v>
      </c>
    </row>
    <row r="813" spans="1:40" x14ac:dyDescent="0.3">
      <c r="A813" s="2">
        <v>44641</v>
      </c>
      <c r="B813" s="9">
        <v>118.16999800000001</v>
      </c>
      <c r="C813" s="9">
        <v>118.5</v>
      </c>
      <c r="D813" s="9">
        <v>94.260002</v>
      </c>
      <c r="E813" s="10"/>
      <c r="F813" s="13">
        <v>810</v>
      </c>
      <c r="G813" s="2">
        <v>44641</v>
      </c>
      <c r="H813" s="14">
        <f t="shared" si="260"/>
        <v>-1.827989888472914E-2</v>
      </c>
      <c r="I813" s="14">
        <f t="shared" si="261"/>
        <v>-2.4177934524676457E-2</v>
      </c>
      <c r="J813" s="14">
        <f t="shared" si="262"/>
        <v>4.1480871961103692E-2</v>
      </c>
      <c r="K813" s="22">
        <v>810</v>
      </c>
      <c r="L813" s="12"/>
      <c r="Q813" s="15">
        <f t="shared" si="263"/>
        <v>810</v>
      </c>
      <c r="R813" s="2">
        <f t="shared" si="259"/>
        <v>44641</v>
      </c>
      <c r="S813" s="9">
        <f t="shared" ca="1" si="264"/>
        <v>-1.827989888472914E-2</v>
      </c>
      <c r="T813" s="9">
        <f t="shared" ca="1" si="265"/>
        <v>-2.4177934524676457E-2</v>
      </c>
      <c r="U813" s="9">
        <f t="shared" ca="1" si="266"/>
        <v>4.1480871961103692E-2</v>
      </c>
      <c r="AB813" s="33" t="e">
        <f t="shared" ca="1" si="272"/>
        <v>#N/A</v>
      </c>
      <c r="AC813" s="34" t="e">
        <f t="shared" ca="1" si="273"/>
        <v>#N/A</v>
      </c>
      <c r="AD813" s="34" t="e">
        <f t="shared" ca="1" si="274"/>
        <v>#N/A</v>
      </c>
      <c r="AE813" s="33" t="e">
        <f t="shared" ca="1" si="275"/>
        <v>#N/A</v>
      </c>
      <c r="AF813" s="34" t="e">
        <f t="shared" ca="1" si="267"/>
        <v>#N/A</v>
      </c>
      <c r="AG813" s="34" t="e">
        <f t="shared" ca="1" si="268"/>
        <v>#N/A</v>
      </c>
      <c r="AH813" s="34" t="e">
        <f t="shared" ca="1" si="269"/>
        <v>#N/A</v>
      </c>
      <c r="AI813" s="33" t="e">
        <f t="shared" ca="1" si="276"/>
        <v>#N/A</v>
      </c>
      <c r="AJ813" s="34" t="e">
        <f t="shared" ca="1" si="277"/>
        <v>#N/A</v>
      </c>
      <c r="AK813" s="34" t="e">
        <f t="shared" ca="1" si="270"/>
        <v>#N/A</v>
      </c>
      <c r="AL813" s="34" t="e">
        <f t="shared" ca="1" si="271"/>
        <v>#N/A</v>
      </c>
      <c r="AM813" s="33" t="e">
        <f t="shared" ca="1" si="278"/>
        <v>#N/A</v>
      </c>
      <c r="AN813" s="34" t="e">
        <f t="shared" ca="1" si="279"/>
        <v>#N/A</v>
      </c>
    </row>
    <row r="814" spans="1:40" x14ac:dyDescent="0.3">
      <c r="A814" s="2">
        <v>44642</v>
      </c>
      <c r="B814" s="9">
        <v>118.199997</v>
      </c>
      <c r="C814" s="9">
        <v>117.279999</v>
      </c>
      <c r="D814" s="9">
        <v>93.589995999999999</v>
      </c>
      <c r="E814" s="10"/>
      <c r="F814" s="13">
        <v>811</v>
      </c>
      <c r="G814" s="2">
        <v>44642</v>
      </c>
      <c r="H814" s="14">
        <f t="shared" si="260"/>
        <v>2.5383086513214206E-4</v>
      </c>
      <c r="I814" s="14">
        <f t="shared" si="261"/>
        <v>-1.0348730963447522E-2</v>
      </c>
      <c r="J814" s="14">
        <f t="shared" si="262"/>
        <v>-7.1334452839371754E-3</v>
      </c>
      <c r="K814" s="22">
        <v>811</v>
      </c>
      <c r="L814" s="12"/>
      <c r="Q814" s="15">
        <f t="shared" si="263"/>
        <v>811</v>
      </c>
      <c r="R814" s="2">
        <f t="shared" si="259"/>
        <v>44642</v>
      </c>
      <c r="S814" s="9">
        <f t="shared" ca="1" si="264"/>
        <v>2.5383086513214206E-4</v>
      </c>
      <c r="T814" s="9">
        <f t="shared" ca="1" si="265"/>
        <v>-1.0348730963447522E-2</v>
      </c>
      <c r="U814" s="9">
        <f t="shared" ca="1" si="266"/>
        <v>-7.1334452839371754E-3</v>
      </c>
      <c r="AB814" s="33" t="e">
        <f t="shared" ca="1" si="272"/>
        <v>#N/A</v>
      </c>
      <c r="AC814" s="34" t="e">
        <f t="shared" ca="1" si="273"/>
        <v>#N/A</v>
      </c>
      <c r="AD814" s="34" t="e">
        <f t="shared" ca="1" si="274"/>
        <v>#N/A</v>
      </c>
      <c r="AE814" s="33" t="e">
        <f t="shared" ca="1" si="275"/>
        <v>#N/A</v>
      </c>
      <c r="AF814" s="34" t="e">
        <f t="shared" ca="1" si="267"/>
        <v>#N/A</v>
      </c>
      <c r="AG814" s="34" t="e">
        <f t="shared" ca="1" si="268"/>
        <v>#N/A</v>
      </c>
      <c r="AH814" s="34" t="e">
        <f t="shared" ca="1" si="269"/>
        <v>#N/A</v>
      </c>
      <c r="AI814" s="33" t="e">
        <f t="shared" ca="1" si="276"/>
        <v>#N/A</v>
      </c>
      <c r="AJ814" s="34" t="e">
        <f t="shared" ca="1" si="277"/>
        <v>#N/A</v>
      </c>
      <c r="AK814" s="34" t="e">
        <f t="shared" ca="1" si="270"/>
        <v>#N/A</v>
      </c>
      <c r="AL814" s="34" t="e">
        <f t="shared" ca="1" si="271"/>
        <v>#N/A</v>
      </c>
      <c r="AM814" s="33" t="e">
        <f t="shared" ca="1" si="278"/>
        <v>#N/A</v>
      </c>
      <c r="AN814" s="34" t="e">
        <f t="shared" ca="1" si="279"/>
        <v>#N/A</v>
      </c>
    </row>
    <row r="815" spans="1:40" x14ac:dyDescent="0.3">
      <c r="A815" s="2">
        <v>44643</v>
      </c>
      <c r="B815" s="9">
        <v>116.459999</v>
      </c>
      <c r="C815" s="9">
        <v>116.370003</v>
      </c>
      <c r="D815" s="9">
        <v>95.519997000000004</v>
      </c>
      <c r="E815" s="10"/>
      <c r="F815" s="13">
        <v>812</v>
      </c>
      <c r="G815" s="2">
        <v>44643</v>
      </c>
      <c r="H815" s="14">
        <f t="shared" si="260"/>
        <v>-1.4830221768952151E-2</v>
      </c>
      <c r="I815" s="14">
        <f t="shared" si="261"/>
        <v>-7.7894337119130963E-3</v>
      </c>
      <c r="J815" s="14">
        <f t="shared" si="262"/>
        <v>2.0412120807701162E-2</v>
      </c>
      <c r="K815" s="22">
        <v>812</v>
      </c>
      <c r="L815" s="12"/>
      <c r="Q815" s="15">
        <f t="shared" si="263"/>
        <v>812</v>
      </c>
      <c r="R815" s="2">
        <f t="shared" si="259"/>
        <v>44643</v>
      </c>
      <c r="S815" s="9">
        <f t="shared" ca="1" si="264"/>
        <v>-1.4830221768952151E-2</v>
      </c>
      <c r="T815" s="9">
        <f t="shared" ca="1" si="265"/>
        <v>-7.7894337119130963E-3</v>
      </c>
      <c r="U815" s="9">
        <f t="shared" ca="1" si="266"/>
        <v>2.0412120807701162E-2</v>
      </c>
      <c r="AB815" s="33" t="e">
        <f t="shared" ca="1" si="272"/>
        <v>#N/A</v>
      </c>
      <c r="AC815" s="34" t="e">
        <f t="shared" ca="1" si="273"/>
        <v>#N/A</v>
      </c>
      <c r="AD815" s="34" t="e">
        <f t="shared" ca="1" si="274"/>
        <v>#N/A</v>
      </c>
      <c r="AE815" s="33" t="e">
        <f t="shared" ca="1" si="275"/>
        <v>#N/A</v>
      </c>
      <c r="AF815" s="34" t="e">
        <f t="shared" ca="1" si="267"/>
        <v>#N/A</v>
      </c>
      <c r="AG815" s="34" t="e">
        <f t="shared" ca="1" si="268"/>
        <v>#N/A</v>
      </c>
      <c r="AH815" s="34" t="e">
        <f t="shared" ca="1" si="269"/>
        <v>#N/A</v>
      </c>
      <c r="AI815" s="33" t="e">
        <f t="shared" ca="1" si="276"/>
        <v>#N/A</v>
      </c>
      <c r="AJ815" s="34" t="e">
        <f t="shared" ca="1" si="277"/>
        <v>#N/A</v>
      </c>
      <c r="AK815" s="34" t="e">
        <f t="shared" ca="1" si="270"/>
        <v>#N/A</v>
      </c>
      <c r="AL815" s="34" t="e">
        <f t="shared" ca="1" si="271"/>
        <v>#N/A</v>
      </c>
      <c r="AM815" s="33" t="e">
        <f t="shared" ca="1" si="278"/>
        <v>#N/A</v>
      </c>
      <c r="AN815" s="34" t="e">
        <f t="shared" ca="1" si="279"/>
        <v>#N/A</v>
      </c>
    </row>
    <row r="816" spans="1:40" x14ac:dyDescent="0.3">
      <c r="A816" s="2">
        <v>44644</v>
      </c>
      <c r="B816" s="9">
        <v>117.120003</v>
      </c>
      <c r="C816" s="9">
        <v>117.58000199999999</v>
      </c>
      <c r="D816" s="9">
        <v>96.440002000000007</v>
      </c>
      <c r="E816" s="10"/>
      <c r="F816" s="13">
        <v>813</v>
      </c>
      <c r="G816" s="2">
        <v>44644</v>
      </c>
      <c r="H816" s="14">
        <f t="shared" si="260"/>
        <v>5.6512180054205455E-3</v>
      </c>
      <c r="I816" s="14">
        <f t="shared" si="261"/>
        <v>1.0344174083978834E-2</v>
      </c>
      <c r="J816" s="14">
        <f t="shared" si="262"/>
        <v>9.5854558139967742E-3</v>
      </c>
      <c r="K816" s="22">
        <v>813</v>
      </c>
      <c r="L816" s="12"/>
      <c r="Q816" s="15">
        <f t="shared" si="263"/>
        <v>813</v>
      </c>
      <c r="R816" s="2">
        <f t="shared" si="259"/>
        <v>44644</v>
      </c>
      <c r="S816" s="9">
        <f t="shared" ca="1" si="264"/>
        <v>5.6512180054205455E-3</v>
      </c>
      <c r="T816" s="9">
        <f t="shared" ca="1" si="265"/>
        <v>1.0344174083978834E-2</v>
      </c>
      <c r="U816" s="9">
        <f t="shared" ca="1" si="266"/>
        <v>9.5854558139967742E-3</v>
      </c>
      <c r="AB816" s="33" t="e">
        <f t="shared" ca="1" si="272"/>
        <v>#N/A</v>
      </c>
      <c r="AC816" s="34" t="e">
        <f t="shared" ca="1" si="273"/>
        <v>#N/A</v>
      </c>
      <c r="AD816" s="34" t="e">
        <f t="shared" ca="1" si="274"/>
        <v>#N/A</v>
      </c>
      <c r="AE816" s="33" t="e">
        <f t="shared" ca="1" si="275"/>
        <v>#N/A</v>
      </c>
      <c r="AF816" s="34" t="e">
        <f t="shared" ca="1" si="267"/>
        <v>#N/A</v>
      </c>
      <c r="AG816" s="34" t="e">
        <f t="shared" ca="1" si="268"/>
        <v>#N/A</v>
      </c>
      <c r="AH816" s="34" t="e">
        <f t="shared" ca="1" si="269"/>
        <v>#N/A</v>
      </c>
      <c r="AI816" s="33" t="e">
        <f t="shared" ca="1" si="276"/>
        <v>#N/A</v>
      </c>
      <c r="AJ816" s="34" t="e">
        <f t="shared" ca="1" si="277"/>
        <v>#N/A</v>
      </c>
      <c r="AK816" s="34" t="e">
        <f t="shared" ca="1" si="270"/>
        <v>#N/A</v>
      </c>
      <c r="AL816" s="34" t="e">
        <f t="shared" ca="1" si="271"/>
        <v>#N/A</v>
      </c>
      <c r="AM816" s="33" t="e">
        <f t="shared" ca="1" si="278"/>
        <v>#N/A</v>
      </c>
      <c r="AN816" s="34" t="e">
        <f t="shared" ca="1" si="279"/>
        <v>#N/A</v>
      </c>
    </row>
    <row r="817" spans="1:40" x14ac:dyDescent="0.3">
      <c r="A817" s="2">
        <v>44645</v>
      </c>
      <c r="B817" s="9">
        <v>117.019997</v>
      </c>
      <c r="C817" s="9">
        <v>117.44000200000001</v>
      </c>
      <c r="D817" s="9">
        <v>97.25</v>
      </c>
      <c r="E817" s="10"/>
      <c r="F817" s="13">
        <v>814</v>
      </c>
      <c r="G817" s="2">
        <v>44645</v>
      </c>
      <c r="H817" s="14">
        <f t="shared" si="260"/>
        <v>-8.5424110430878963E-4</v>
      </c>
      <c r="I817" s="14">
        <f t="shared" si="261"/>
        <v>-1.1913880876260564E-3</v>
      </c>
      <c r="J817" s="14">
        <f t="shared" si="262"/>
        <v>8.3639084473025819E-3</v>
      </c>
      <c r="K817" s="22">
        <v>814</v>
      </c>
      <c r="L817" s="12"/>
      <c r="Q817" s="15">
        <f t="shared" si="263"/>
        <v>814</v>
      </c>
      <c r="R817" s="2">
        <f t="shared" si="259"/>
        <v>44645</v>
      </c>
      <c r="S817" s="9">
        <f t="shared" ca="1" si="264"/>
        <v>-8.5424110430878963E-4</v>
      </c>
      <c r="T817" s="9">
        <f t="shared" ca="1" si="265"/>
        <v>-1.1913880876260564E-3</v>
      </c>
      <c r="U817" s="9">
        <f t="shared" ca="1" si="266"/>
        <v>8.3639084473025819E-3</v>
      </c>
      <c r="AB817" s="33" t="e">
        <f t="shared" ca="1" si="272"/>
        <v>#N/A</v>
      </c>
      <c r="AC817" s="34" t="e">
        <f t="shared" ca="1" si="273"/>
        <v>#N/A</v>
      </c>
      <c r="AD817" s="34" t="e">
        <f t="shared" ca="1" si="274"/>
        <v>#N/A</v>
      </c>
      <c r="AE817" s="33" t="e">
        <f t="shared" ca="1" si="275"/>
        <v>#N/A</v>
      </c>
      <c r="AF817" s="34" t="e">
        <f t="shared" ca="1" si="267"/>
        <v>#N/A</v>
      </c>
      <c r="AG817" s="34" t="e">
        <f t="shared" ca="1" si="268"/>
        <v>#N/A</v>
      </c>
      <c r="AH817" s="34" t="e">
        <f t="shared" ca="1" si="269"/>
        <v>#N/A</v>
      </c>
      <c r="AI817" s="33" t="e">
        <f t="shared" ca="1" si="276"/>
        <v>#N/A</v>
      </c>
      <c r="AJ817" s="34" t="e">
        <f t="shared" ca="1" si="277"/>
        <v>#N/A</v>
      </c>
      <c r="AK817" s="34" t="e">
        <f t="shared" ca="1" si="270"/>
        <v>#N/A</v>
      </c>
      <c r="AL817" s="34" t="e">
        <f t="shared" ca="1" si="271"/>
        <v>#N/A</v>
      </c>
      <c r="AM817" s="33" t="e">
        <f t="shared" ca="1" si="278"/>
        <v>#N/A</v>
      </c>
      <c r="AN817" s="34" t="e">
        <f t="shared" ca="1" si="279"/>
        <v>#N/A</v>
      </c>
    </row>
    <row r="818" spans="1:40" x14ac:dyDescent="0.3">
      <c r="A818" s="2">
        <v>44648</v>
      </c>
      <c r="B818" s="9">
        <v>117.139999</v>
      </c>
      <c r="C818" s="9">
        <v>119.110001</v>
      </c>
      <c r="D818" s="9">
        <v>96.370002999999997</v>
      </c>
      <c r="E818" s="10"/>
      <c r="F818" s="13">
        <v>815</v>
      </c>
      <c r="G818" s="2">
        <v>44648</v>
      </c>
      <c r="H818" s="14">
        <f t="shared" si="260"/>
        <v>1.0249574013961858E-3</v>
      </c>
      <c r="I818" s="14">
        <f t="shared" si="261"/>
        <v>1.4119862392232122E-2</v>
      </c>
      <c r="J818" s="14">
        <f t="shared" si="262"/>
        <v>-9.0900015053404053E-3</v>
      </c>
      <c r="K818" s="22">
        <v>815</v>
      </c>
      <c r="L818" s="12"/>
      <c r="Q818" s="15">
        <f t="shared" si="263"/>
        <v>815</v>
      </c>
      <c r="R818" s="2">
        <f t="shared" si="259"/>
        <v>44648</v>
      </c>
      <c r="S818" s="9">
        <f t="shared" ca="1" si="264"/>
        <v>1.0249574013961858E-3</v>
      </c>
      <c r="T818" s="9">
        <f t="shared" ca="1" si="265"/>
        <v>1.4119862392232122E-2</v>
      </c>
      <c r="U818" s="9">
        <f t="shared" ca="1" si="266"/>
        <v>-9.0900015053404053E-3</v>
      </c>
      <c r="AB818" s="33" t="e">
        <f t="shared" ca="1" si="272"/>
        <v>#N/A</v>
      </c>
      <c r="AC818" s="34" t="e">
        <f t="shared" ca="1" si="273"/>
        <v>#N/A</v>
      </c>
      <c r="AD818" s="34" t="e">
        <f t="shared" ca="1" si="274"/>
        <v>#N/A</v>
      </c>
      <c r="AE818" s="33" t="e">
        <f t="shared" ca="1" si="275"/>
        <v>#N/A</v>
      </c>
      <c r="AF818" s="34" t="e">
        <f t="shared" ca="1" si="267"/>
        <v>#N/A</v>
      </c>
      <c r="AG818" s="34" t="e">
        <f t="shared" ca="1" si="268"/>
        <v>#N/A</v>
      </c>
      <c r="AH818" s="34" t="e">
        <f t="shared" ca="1" si="269"/>
        <v>#N/A</v>
      </c>
      <c r="AI818" s="33" t="e">
        <f t="shared" ca="1" si="276"/>
        <v>#N/A</v>
      </c>
      <c r="AJ818" s="34" t="e">
        <f t="shared" ca="1" si="277"/>
        <v>#N/A</v>
      </c>
      <c r="AK818" s="34" t="e">
        <f t="shared" ca="1" si="270"/>
        <v>#N/A</v>
      </c>
      <c r="AL818" s="34" t="e">
        <f t="shared" ca="1" si="271"/>
        <v>#N/A</v>
      </c>
      <c r="AM818" s="33" t="e">
        <f t="shared" ca="1" si="278"/>
        <v>#N/A</v>
      </c>
      <c r="AN818" s="34" t="e">
        <f t="shared" ca="1" si="279"/>
        <v>#N/A</v>
      </c>
    </row>
    <row r="819" spans="1:40" x14ac:dyDescent="0.3">
      <c r="A819" s="2">
        <v>44649</v>
      </c>
      <c r="B819" s="9">
        <v>121.790001</v>
      </c>
      <c r="C819" s="9">
        <v>122.629997</v>
      </c>
      <c r="D819" s="9">
        <v>96.68</v>
      </c>
      <c r="E819" s="10"/>
      <c r="F819" s="13">
        <v>816</v>
      </c>
      <c r="G819" s="2">
        <v>44649</v>
      </c>
      <c r="H819" s="14">
        <f t="shared" si="260"/>
        <v>3.8928466185031346E-2</v>
      </c>
      <c r="I819" s="14">
        <f t="shared" si="261"/>
        <v>2.9124223021689918E-2</v>
      </c>
      <c r="J819" s="14">
        <f t="shared" si="262"/>
        <v>3.2115748420670858E-3</v>
      </c>
      <c r="K819" s="22">
        <v>816</v>
      </c>
      <c r="L819" s="12"/>
      <c r="Q819" s="15">
        <f t="shared" si="263"/>
        <v>816</v>
      </c>
      <c r="R819" s="2">
        <f t="shared" si="259"/>
        <v>44649</v>
      </c>
      <c r="S819" s="9">
        <f t="shared" ca="1" si="264"/>
        <v>3.8928466185031346E-2</v>
      </c>
      <c r="T819" s="9">
        <f t="shared" ca="1" si="265"/>
        <v>2.9124223021689918E-2</v>
      </c>
      <c r="U819" s="9">
        <f t="shared" ca="1" si="266"/>
        <v>3.2115748420670858E-3</v>
      </c>
      <c r="AB819" s="33" t="e">
        <f t="shared" ca="1" si="272"/>
        <v>#N/A</v>
      </c>
      <c r="AC819" s="34" t="e">
        <f t="shared" ca="1" si="273"/>
        <v>#N/A</v>
      </c>
      <c r="AD819" s="34" t="e">
        <f t="shared" ca="1" si="274"/>
        <v>#N/A</v>
      </c>
      <c r="AE819" s="33" t="e">
        <f t="shared" ca="1" si="275"/>
        <v>#N/A</v>
      </c>
      <c r="AF819" s="34" t="e">
        <f t="shared" ca="1" si="267"/>
        <v>#N/A</v>
      </c>
      <c r="AG819" s="34" t="e">
        <f t="shared" ca="1" si="268"/>
        <v>#N/A</v>
      </c>
      <c r="AH819" s="34" t="e">
        <f t="shared" ca="1" si="269"/>
        <v>#N/A</v>
      </c>
      <c r="AI819" s="33" t="e">
        <f t="shared" ca="1" si="276"/>
        <v>#N/A</v>
      </c>
      <c r="AJ819" s="34" t="e">
        <f t="shared" ca="1" si="277"/>
        <v>#N/A</v>
      </c>
      <c r="AK819" s="34" t="e">
        <f t="shared" ca="1" si="270"/>
        <v>#N/A</v>
      </c>
      <c r="AL819" s="34" t="e">
        <f t="shared" ca="1" si="271"/>
        <v>#N/A</v>
      </c>
      <c r="AM819" s="33" t="e">
        <f t="shared" ca="1" si="278"/>
        <v>#N/A</v>
      </c>
      <c r="AN819" s="34" t="e">
        <f t="shared" ca="1" si="279"/>
        <v>#N/A</v>
      </c>
    </row>
    <row r="820" spans="1:40" x14ac:dyDescent="0.3">
      <c r="A820" s="2">
        <v>44650</v>
      </c>
      <c r="B820" s="9">
        <v>118.44000200000001</v>
      </c>
      <c r="C820" s="9">
        <v>119.720001</v>
      </c>
      <c r="D820" s="9">
        <v>100.5</v>
      </c>
      <c r="E820" s="10"/>
      <c r="F820" s="13">
        <v>817</v>
      </c>
      <c r="G820" s="2">
        <v>44650</v>
      </c>
      <c r="H820" s="14">
        <f t="shared" si="260"/>
        <v>-2.7891738190296299E-2</v>
      </c>
      <c r="I820" s="14">
        <f t="shared" si="261"/>
        <v>-2.4015975972778776E-2</v>
      </c>
      <c r="J820" s="14">
        <f t="shared" si="262"/>
        <v>3.8751171663848075E-2</v>
      </c>
      <c r="K820" s="22">
        <v>817</v>
      </c>
      <c r="L820" s="12"/>
      <c r="Q820" s="15">
        <f t="shared" si="263"/>
        <v>817</v>
      </c>
      <c r="R820" s="2">
        <f t="shared" si="259"/>
        <v>44650</v>
      </c>
      <c r="S820" s="9">
        <f t="shared" ca="1" si="264"/>
        <v>-2.7891738190296299E-2</v>
      </c>
      <c r="T820" s="9">
        <f t="shared" ca="1" si="265"/>
        <v>-2.4015975972778776E-2</v>
      </c>
      <c r="U820" s="9">
        <f t="shared" ca="1" si="266"/>
        <v>3.8751171663848075E-2</v>
      </c>
      <c r="AB820" s="33" t="e">
        <f t="shared" ca="1" si="272"/>
        <v>#N/A</v>
      </c>
      <c r="AC820" s="34" t="e">
        <f t="shared" ca="1" si="273"/>
        <v>#N/A</v>
      </c>
      <c r="AD820" s="34" t="e">
        <f t="shared" ca="1" si="274"/>
        <v>#N/A</v>
      </c>
      <c r="AE820" s="33" t="e">
        <f t="shared" ca="1" si="275"/>
        <v>#N/A</v>
      </c>
      <c r="AF820" s="34" t="e">
        <f t="shared" ca="1" si="267"/>
        <v>#N/A</v>
      </c>
      <c r="AG820" s="34" t="e">
        <f t="shared" ca="1" si="268"/>
        <v>#N/A</v>
      </c>
      <c r="AH820" s="34" t="e">
        <f t="shared" ca="1" si="269"/>
        <v>#N/A</v>
      </c>
      <c r="AI820" s="33" t="e">
        <f t="shared" ca="1" si="276"/>
        <v>#N/A</v>
      </c>
      <c r="AJ820" s="34" t="e">
        <f t="shared" ca="1" si="277"/>
        <v>#N/A</v>
      </c>
      <c r="AK820" s="34" t="e">
        <f t="shared" ca="1" si="270"/>
        <v>#N/A</v>
      </c>
      <c r="AL820" s="34" t="e">
        <f t="shared" ca="1" si="271"/>
        <v>#N/A</v>
      </c>
      <c r="AM820" s="33" t="e">
        <f t="shared" ca="1" si="278"/>
        <v>#N/A</v>
      </c>
      <c r="AN820" s="34" t="e">
        <f t="shared" ca="1" si="279"/>
        <v>#N/A</v>
      </c>
    </row>
    <row r="821" spans="1:40" x14ac:dyDescent="0.3">
      <c r="A821" s="2">
        <v>44651</v>
      </c>
      <c r="B821" s="9">
        <v>114.18</v>
      </c>
      <c r="C821" s="9">
        <v>113.44000200000001</v>
      </c>
      <c r="D821" s="9">
        <v>101.540001</v>
      </c>
      <c r="E821" s="10"/>
      <c r="F821" s="13">
        <v>818</v>
      </c>
      <c r="G821" s="2">
        <v>44651</v>
      </c>
      <c r="H821" s="14">
        <f t="shared" si="260"/>
        <v>-3.6630369583464328E-2</v>
      </c>
      <c r="I821" s="14">
        <f t="shared" si="261"/>
        <v>-5.3881610923038628E-2</v>
      </c>
      <c r="J821" s="14">
        <f t="shared" si="262"/>
        <v>1.0295091868453447E-2</v>
      </c>
      <c r="K821" s="22">
        <v>818</v>
      </c>
      <c r="L821" s="12"/>
      <c r="Q821" s="15">
        <f t="shared" si="263"/>
        <v>818</v>
      </c>
      <c r="R821" s="2">
        <f t="shared" si="259"/>
        <v>44651</v>
      </c>
      <c r="S821" s="9">
        <f t="shared" ca="1" si="264"/>
        <v>-3.6630369583464328E-2</v>
      </c>
      <c r="T821" s="9">
        <f t="shared" ca="1" si="265"/>
        <v>-5.3881610923038628E-2</v>
      </c>
      <c r="U821" s="9">
        <f t="shared" ca="1" si="266"/>
        <v>1.0295091868453447E-2</v>
      </c>
      <c r="AB821" s="33" t="e">
        <f t="shared" ca="1" si="272"/>
        <v>#N/A</v>
      </c>
      <c r="AC821" s="34" t="e">
        <f t="shared" ca="1" si="273"/>
        <v>#N/A</v>
      </c>
      <c r="AD821" s="34" t="e">
        <f t="shared" ca="1" si="274"/>
        <v>#N/A</v>
      </c>
      <c r="AE821" s="33" t="e">
        <f t="shared" ca="1" si="275"/>
        <v>#N/A</v>
      </c>
      <c r="AF821" s="34" t="e">
        <f t="shared" ca="1" si="267"/>
        <v>#N/A</v>
      </c>
      <c r="AG821" s="34" t="e">
        <f t="shared" ca="1" si="268"/>
        <v>#N/A</v>
      </c>
      <c r="AH821" s="34" t="e">
        <f t="shared" ca="1" si="269"/>
        <v>#N/A</v>
      </c>
      <c r="AI821" s="33" t="e">
        <f t="shared" ca="1" si="276"/>
        <v>#N/A</v>
      </c>
      <c r="AJ821" s="34" t="e">
        <f t="shared" ca="1" si="277"/>
        <v>#N/A</v>
      </c>
      <c r="AK821" s="34" t="e">
        <f t="shared" ca="1" si="270"/>
        <v>#N/A</v>
      </c>
      <c r="AL821" s="34" t="e">
        <f t="shared" ca="1" si="271"/>
        <v>#N/A</v>
      </c>
      <c r="AM821" s="33" t="e">
        <f t="shared" ca="1" si="278"/>
        <v>#N/A</v>
      </c>
      <c r="AN821" s="34" t="e">
        <f t="shared" ca="1" si="279"/>
        <v>#N/A</v>
      </c>
    </row>
    <row r="822" spans="1:40" x14ac:dyDescent="0.3">
      <c r="A822" s="2">
        <v>44652</v>
      </c>
      <c r="B822" s="9">
        <v>113.629997</v>
      </c>
      <c r="C822" s="9">
        <v>112</v>
      </c>
      <c r="D822" s="9">
        <v>101.269997</v>
      </c>
      <c r="E822" s="10"/>
      <c r="F822" s="13">
        <v>819</v>
      </c>
      <c r="G822" s="2">
        <v>44652</v>
      </c>
      <c r="H822" s="14">
        <f t="shared" si="260"/>
        <v>-4.8286210076742787E-3</v>
      </c>
      <c r="I822" s="14">
        <f t="shared" si="261"/>
        <v>-1.2775209119188164E-2</v>
      </c>
      <c r="J822" s="14">
        <f t="shared" si="262"/>
        <v>-2.6626316471686259E-3</v>
      </c>
      <c r="K822" s="22">
        <v>819</v>
      </c>
      <c r="L822" s="12"/>
      <c r="Q822" s="15">
        <f t="shared" si="263"/>
        <v>819</v>
      </c>
      <c r="R822" s="2">
        <f t="shared" si="259"/>
        <v>44652</v>
      </c>
      <c r="S822" s="9">
        <f t="shared" ca="1" si="264"/>
        <v>-4.8286210076742787E-3</v>
      </c>
      <c r="T822" s="9">
        <f t="shared" ca="1" si="265"/>
        <v>-1.2775209119188164E-2</v>
      </c>
      <c r="U822" s="9">
        <f t="shared" ca="1" si="266"/>
        <v>-2.6626316471686259E-3</v>
      </c>
      <c r="AB822" s="33" t="e">
        <f t="shared" ca="1" si="272"/>
        <v>#N/A</v>
      </c>
      <c r="AC822" s="34" t="e">
        <f t="shared" ca="1" si="273"/>
        <v>#N/A</v>
      </c>
      <c r="AD822" s="34" t="e">
        <f t="shared" ca="1" si="274"/>
        <v>#N/A</v>
      </c>
      <c r="AE822" s="33" t="e">
        <f t="shared" ca="1" si="275"/>
        <v>#N/A</v>
      </c>
      <c r="AF822" s="34" t="e">
        <f t="shared" ca="1" si="267"/>
        <v>#N/A</v>
      </c>
      <c r="AG822" s="34" t="e">
        <f t="shared" ca="1" si="268"/>
        <v>#N/A</v>
      </c>
      <c r="AH822" s="34" t="e">
        <f t="shared" ca="1" si="269"/>
        <v>#N/A</v>
      </c>
      <c r="AI822" s="33" t="e">
        <f t="shared" ca="1" si="276"/>
        <v>#N/A</v>
      </c>
      <c r="AJ822" s="34" t="e">
        <f t="shared" ca="1" si="277"/>
        <v>#N/A</v>
      </c>
      <c r="AK822" s="34" t="e">
        <f t="shared" ca="1" si="270"/>
        <v>#N/A</v>
      </c>
      <c r="AL822" s="34" t="e">
        <f t="shared" ca="1" si="271"/>
        <v>#N/A</v>
      </c>
      <c r="AM822" s="33" t="e">
        <f t="shared" ca="1" si="278"/>
        <v>#N/A</v>
      </c>
      <c r="AN822" s="34" t="e">
        <f t="shared" ca="1" si="279"/>
        <v>#N/A</v>
      </c>
    </row>
    <row r="823" spans="1:40" x14ac:dyDescent="0.3">
      <c r="A823" s="2">
        <v>44655</v>
      </c>
      <c r="B823" s="9">
        <v>116.110001</v>
      </c>
      <c r="C823" s="9">
        <v>115.07</v>
      </c>
      <c r="D823" s="9">
        <v>100.739998</v>
      </c>
      <c r="E823" s="10"/>
      <c r="F823" s="13">
        <v>820</v>
      </c>
      <c r="G823" s="2">
        <v>44655</v>
      </c>
      <c r="H823" s="14">
        <f t="shared" si="260"/>
        <v>2.1590496722998342E-2</v>
      </c>
      <c r="I823" s="14">
        <f t="shared" si="261"/>
        <v>2.7041767540272672E-2</v>
      </c>
      <c r="J823" s="14">
        <f t="shared" si="262"/>
        <v>-5.2472672559981445E-3</v>
      </c>
      <c r="K823" s="22">
        <v>820</v>
      </c>
      <c r="L823" s="12"/>
      <c r="Q823" s="15">
        <f t="shared" si="263"/>
        <v>820</v>
      </c>
      <c r="R823" s="2">
        <f t="shared" si="259"/>
        <v>44655</v>
      </c>
      <c r="S823" s="9">
        <f t="shared" ca="1" si="264"/>
        <v>2.1590496722998342E-2</v>
      </c>
      <c r="T823" s="9">
        <f t="shared" ca="1" si="265"/>
        <v>2.7041767540272672E-2</v>
      </c>
      <c r="U823" s="9">
        <f t="shared" ca="1" si="266"/>
        <v>-5.2472672559981445E-3</v>
      </c>
      <c r="AB823" s="33" t="e">
        <f t="shared" ca="1" si="272"/>
        <v>#N/A</v>
      </c>
      <c r="AC823" s="34" t="e">
        <f t="shared" ca="1" si="273"/>
        <v>#N/A</v>
      </c>
      <c r="AD823" s="34" t="e">
        <f t="shared" ca="1" si="274"/>
        <v>#N/A</v>
      </c>
      <c r="AE823" s="33" t="e">
        <f t="shared" ca="1" si="275"/>
        <v>#N/A</v>
      </c>
      <c r="AF823" s="34" t="e">
        <f t="shared" ca="1" si="267"/>
        <v>#N/A</v>
      </c>
      <c r="AG823" s="34" t="e">
        <f t="shared" ca="1" si="268"/>
        <v>#N/A</v>
      </c>
      <c r="AH823" s="34" t="e">
        <f t="shared" ca="1" si="269"/>
        <v>#N/A</v>
      </c>
      <c r="AI823" s="33" t="e">
        <f t="shared" ca="1" si="276"/>
        <v>#N/A</v>
      </c>
      <c r="AJ823" s="34" t="e">
        <f t="shared" ca="1" si="277"/>
        <v>#N/A</v>
      </c>
      <c r="AK823" s="34" t="e">
        <f t="shared" ca="1" si="270"/>
        <v>#N/A</v>
      </c>
      <c r="AL823" s="34" t="e">
        <f t="shared" ca="1" si="271"/>
        <v>#N/A</v>
      </c>
      <c r="AM823" s="33" t="e">
        <f t="shared" ca="1" si="278"/>
        <v>#N/A</v>
      </c>
      <c r="AN823" s="34" t="e">
        <f t="shared" ca="1" si="279"/>
        <v>#N/A</v>
      </c>
    </row>
    <row r="824" spans="1:40" x14ac:dyDescent="0.3">
      <c r="A824" s="2">
        <v>44656</v>
      </c>
      <c r="B824" s="9">
        <v>112.57</v>
      </c>
      <c r="C824" s="9">
        <v>110.629997</v>
      </c>
      <c r="D824" s="9">
        <v>101.459999</v>
      </c>
      <c r="E824" s="10"/>
      <c r="F824" s="13">
        <v>821</v>
      </c>
      <c r="G824" s="2">
        <v>44656</v>
      </c>
      <c r="H824" s="14">
        <f t="shared" si="260"/>
        <v>-3.0962775884724701E-2</v>
      </c>
      <c r="I824" s="14">
        <f t="shared" si="261"/>
        <v>-3.9349365905966459E-2</v>
      </c>
      <c r="J824" s="14">
        <f t="shared" si="262"/>
        <v>7.1217018180258027E-3</v>
      </c>
      <c r="K824" s="22">
        <v>821</v>
      </c>
      <c r="L824" s="12"/>
      <c r="Q824" s="15">
        <f t="shared" si="263"/>
        <v>821</v>
      </c>
      <c r="R824" s="2">
        <f t="shared" si="259"/>
        <v>44656</v>
      </c>
      <c r="S824" s="9">
        <f t="shared" ca="1" si="264"/>
        <v>-3.0962775884724701E-2</v>
      </c>
      <c r="T824" s="9">
        <f t="shared" ca="1" si="265"/>
        <v>-3.9349365905966459E-2</v>
      </c>
      <c r="U824" s="9">
        <f t="shared" ca="1" si="266"/>
        <v>7.1217018180258027E-3</v>
      </c>
      <c r="AB824" s="33" t="e">
        <f t="shared" ca="1" si="272"/>
        <v>#N/A</v>
      </c>
      <c r="AC824" s="34" t="e">
        <f t="shared" ca="1" si="273"/>
        <v>#N/A</v>
      </c>
      <c r="AD824" s="34" t="e">
        <f t="shared" ca="1" si="274"/>
        <v>#N/A</v>
      </c>
      <c r="AE824" s="33" t="e">
        <f t="shared" ca="1" si="275"/>
        <v>#N/A</v>
      </c>
      <c r="AF824" s="34" t="e">
        <f t="shared" ca="1" si="267"/>
        <v>#N/A</v>
      </c>
      <c r="AG824" s="34" t="e">
        <f t="shared" ca="1" si="268"/>
        <v>#N/A</v>
      </c>
      <c r="AH824" s="34" t="e">
        <f t="shared" ca="1" si="269"/>
        <v>#N/A</v>
      </c>
      <c r="AI824" s="33" t="e">
        <f t="shared" ca="1" si="276"/>
        <v>#N/A</v>
      </c>
      <c r="AJ824" s="34" t="e">
        <f t="shared" ca="1" si="277"/>
        <v>#N/A</v>
      </c>
      <c r="AK824" s="34" t="e">
        <f t="shared" ca="1" si="270"/>
        <v>#N/A</v>
      </c>
      <c r="AL824" s="34" t="e">
        <f t="shared" ca="1" si="271"/>
        <v>#N/A</v>
      </c>
      <c r="AM824" s="33" t="e">
        <f t="shared" ca="1" si="278"/>
        <v>#N/A</v>
      </c>
      <c r="AN824" s="34" t="e">
        <f t="shared" ca="1" si="279"/>
        <v>#N/A</v>
      </c>
    </row>
    <row r="825" spans="1:40" x14ac:dyDescent="0.3">
      <c r="A825" s="2">
        <v>44657</v>
      </c>
      <c r="B825" s="9">
        <v>111.18</v>
      </c>
      <c r="C825" s="9">
        <v>105.910004</v>
      </c>
      <c r="D825" s="9">
        <v>103.300003</v>
      </c>
      <c r="E825" s="10"/>
      <c r="F825" s="13">
        <v>822</v>
      </c>
      <c r="G825" s="2">
        <v>44657</v>
      </c>
      <c r="H825" s="14">
        <f t="shared" si="260"/>
        <v>-1.2424740841389136E-2</v>
      </c>
      <c r="I825" s="14">
        <f t="shared" si="261"/>
        <v>-4.3601558305907409E-2</v>
      </c>
      <c r="J825" s="14">
        <f t="shared" si="262"/>
        <v>1.7972782884775804E-2</v>
      </c>
      <c r="K825" s="22">
        <v>822</v>
      </c>
      <c r="L825" s="12"/>
      <c r="Q825" s="15">
        <f t="shared" si="263"/>
        <v>822</v>
      </c>
      <c r="R825" s="2">
        <f t="shared" si="259"/>
        <v>44657</v>
      </c>
      <c r="S825" s="9">
        <f t="shared" ca="1" si="264"/>
        <v>-1.2424740841389136E-2</v>
      </c>
      <c r="T825" s="9">
        <f t="shared" ca="1" si="265"/>
        <v>-4.3601558305907409E-2</v>
      </c>
      <c r="U825" s="9">
        <f t="shared" ca="1" si="266"/>
        <v>1.7972782884775804E-2</v>
      </c>
      <c r="AB825" s="33" t="e">
        <f t="shared" ca="1" si="272"/>
        <v>#N/A</v>
      </c>
      <c r="AC825" s="34" t="e">
        <f t="shared" ca="1" si="273"/>
        <v>#N/A</v>
      </c>
      <c r="AD825" s="34" t="e">
        <f t="shared" ca="1" si="274"/>
        <v>#N/A</v>
      </c>
      <c r="AE825" s="33" t="e">
        <f t="shared" ca="1" si="275"/>
        <v>#N/A</v>
      </c>
      <c r="AF825" s="34" t="e">
        <f t="shared" ca="1" si="267"/>
        <v>#N/A</v>
      </c>
      <c r="AG825" s="34" t="e">
        <f t="shared" ca="1" si="268"/>
        <v>#N/A</v>
      </c>
      <c r="AH825" s="34" t="e">
        <f t="shared" ca="1" si="269"/>
        <v>#N/A</v>
      </c>
      <c r="AI825" s="33" t="e">
        <f t="shared" ca="1" si="276"/>
        <v>#N/A</v>
      </c>
      <c r="AJ825" s="34" t="e">
        <f t="shared" ca="1" si="277"/>
        <v>#N/A</v>
      </c>
      <c r="AK825" s="34" t="e">
        <f t="shared" ca="1" si="270"/>
        <v>#N/A</v>
      </c>
      <c r="AL825" s="34" t="e">
        <f t="shared" ca="1" si="271"/>
        <v>#N/A</v>
      </c>
      <c r="AM825" s="33" t="e">
        <f t="shared" ca="1" si="278"/>
        <v>#N/A</v>
      </c>
      <c r="AN825" s="34" t="e">
        <f t="shared" ca="1" si="279"/>
        <v>#N/A</v>
      </c>
    </row>
    <row r="826" spans="1:40" x14ac:dyDescent="0.3">
      <c r="A826" s="2">
        <v>44658</v>
      </c>
      <c r="B826" s="9">
        <v>110.800003</v>
      </c>
      <c r="C826" s="9">
        <v>104.80999799999999</v>
      </c>
      <c r="D826" s="9">
        <v>103.33000199999999</v>
      </c>
      <c r="E826" s="10"/>
      <c r="F826" s="13">
        <v>823</v>
      </c>
      <c r="G826" s="2">
        <v>44658</v>
      </c>
      <c r="H826" s="14">
        <f t="shared" si="260"/>
        <v>-3.4237081363280618E-3</v>
      </c>
      <c r="I826" s="14">
        <f t="shared" si="261"/>
        <v>-1.0440546523556266E-2</v>
      </c>
      <c r="J826" s="14">
        <f t="shared" si="262"/>
        <v>2.9036441450746664E-4</v>
      </c>
      <c r="K826" s="22">
        <v>823</v>
      </c>
      <c r="L826" s="12"/>
      <c r="Q826" s="15">
        <f t="shared" si="263"/>
        <v>823</v>
      </c>
      <c r="R826" s="2">
        <f t="shared" si="259"/>
        <v>44658</v>
      </c>
      <c r="S826" s="9">
        <f t="shared" ca="1" si="264"/>
        <v>-3.4237081363280618E-3</v>
      </c>
      <c r="T826" s="9">
        <f t="shared" ca="1" si="265"/>
        <v>-1.0440546523556266E-2</v>
      </c>
      <c r="U826" s="9">
        <f t="shared" ca="1" si="266"/>
        <v>2.9036441450746664E-4</v>
      </c>
      <c r="AB826" s="33" t="e">
        <f t="shared" ca="1" si="272"/>
        <v>#N/A</v>
      </c>
      <c r="AC826" s="34" t="e">
        <f t="shared" ca="1" si="273"/>
        <v>#N/A</v>
      </c>
      <c r="AD826" s="34" t="e">
        <f t="shared" ca="1" si="274"/>
        <v>#N/A</v>
      </c>
      <c r="AE826" s="33" t="e">
        <f t="shared" ca="1" si="275"/>
        <v>#N/A</v>
      </c>
      <c r="AF826" s="34" t="e">
        <f t="shared" ca="1" si="267"/>
        <v>#N/A</v>
      </c>
      <c r="AG826" s="34" t="e">
        <f t="shared" ca="1" si="268"/>
        <v>#N/A</v>
      </c>
      <c r="AH826" s="34" t="e">
        <f t="shared" ca="1" si="269"/>
        <v>#N/A</v>
      </c>
      <c r="AI826" s="33" t="e">
        <f t="shared" ca="1" si="276"/>
        <v>#N/A</v>
      </c>
      <c r="AJ826" s="34" t="e">
        <f t="shared" ca="1" si="277"/>
        <v>#N/A</v>
      </c>
      <c r="AK826" s="34" t="e">
        <f t="shared" ca="1" si="270"/>
        <v>#N/A</v>
      </c>
      <c r="AL826" s="34" t="e">
        <f t="shared" ca="1" si="271"/>
        <v>#N/A</v>
      </c>
      <c r="AM826" s="33" t="e">
        <f t="shared" ca="1" si="278"/>
        <v>#N/A</v>
      </c>
      <c r="AN826" s="34" t="e">
        <f t="shared" ca="1" si="279"/>
        <v>#N/A</v>
      </c>
    </row>
    <row r="827" spans="1:40" x14ac:dyDescent="0.3">
      <c r="A827" s="2">
        <v>44659</v>
      </c>
      <c r="B827" s="9">
        <v>110.400002</v>
      </c>
      <c r="C827" s="9">
        <v>105.610001</v>
      </c>
      <c r="D827" s="9">
        <v>103.220001</v>
      </c>
      <c r="E827" s="10"/>
      <c r="F827" s="13">
        <v>824</v>
      </c>
      <c r="G827" s="2">
        <v>44659</v>
      </c>
      <c r="H827" s="14">
        <f t="shared" si="260"/>
        <v>-3.6166494300585226E-3</v>
      </c>
      <c r="I827" s="14">
        <f t="shared" si="261"/>
        <v>7.6039051272462251E-3</v>
      </c>
      <c r="J827" s="14">
        <f t="shared" si="262"/>
        <v>-1.0651271731004601E-3</v>
      </c>
      <c r="K827" s="22">
        <v>824</v>
      </c>
      <c r="L827" s="12"/>
      <c r="Q827" s="15">
        <f t="shared" si="263"/>
        <v>824</v>
      </c>
      <c r="R827" s="2">
        <f t="shared" si="259"/>
        <v>44659</v>
      </c>
      <c r="S827" s="9">
        <f t="shared" ca="1" si="264"/>
        <v>-3.6166494300585226E-3</v>
      </c>
      <c r="T827" s="9">
        <f t="shared" ca="1" si="265"/>
        <v>7.6039051272462251E-3</v>
      </c>
      <c r="U827" s="9">
        <f t="shared" ca="1" si="266"/>
        <v>-1.0651271731004601E-3</v>
      </c>
      <c r="AB827" s="33" t="e">
        <f t="shared" ca="1" si="272"/>
        <v>#N/A</v>
      </c>
      <c r="AC827" s="34" t="e">
        <f t="shared" ca="1" si="273"/>
        <v>#N/A</v>
      </c>
      <c r="AD827" s="34" t="e">
        <f t="shared" ca="1" si="274"/>
        <v>#N/A</v>
      </c>
      <c r="AE827" s="33" t="e">
        <f t="shared" ca="1" si="275"/>
        <v>#N/A</v>
      </c>
      <c r="AF827" s="34" t="e">
        <f t="shared" ca="1" si="267"/>
        <v>#N/A</v>
      </c>
      <c r="AG827" s="34" t="e">
        <f t="shared" ca="1" si="268"/>
        <v>#N/A</v>
      </c>
      <c r="AH827" s="34" t="e">
        <f t="shared" ca="1" si="269"/>
        <v>#N/A</v>
      </c>
      <c r="AI827" s="33" t="e">
        <f t="shared" ca="1" si="276"/>
        <v>#N/A</v>
      </c>
      <c r="AJ827" s="34" t="e">
        <f t="shared" ca="1" si="277"/>
        <v>#N/A</v>
      </c>
      <c r="AK827" s="34" t="e">
        <f t="shared" ca="1" si="270"/>
        <v>#N/A</v>
      </c>
      <c r="AL827" s="34" t="e">
        <f t="shared" ca="1" si="271"/>
        <v>#N/A</v>
      </c>
      <c r="AM827" s="33" t="e">
        <f t="shared" ca="1" si="278"/>
        <v>#N/A</v>
      </c>
      <c r="AN827" s="34" t="e">
        <f t="shared" ca="1" si="279"/>
        <v>#N/A</v>
      </c>
    </row>
    <row r="828" spans="1:40" x14ac:dyDescent="0.3">
      <c r="A828" s="2">
        <v>44662</v>
      </c>
      <c r="B828" s="9">
        <v>111.30999799999999</v>
      </c>
      <c r="C828" s="9">
        <v>105.040001</v>
      </c>
      <c r="D828" s="9">
        <v>100.900002</v>
      </c>
      <c r="E828" s="10"/>
      <c r="F828" s="13">
        <v>825</v>
      </c>
      <c r="G828" s="2">
        <v>44662</v>
      </c>
      <c r="H828" s="14">
        <f t="shared" si="260"/>
        <v>8.2089315783598175E-3</v>
      </c>
      <c r="I828" s="14">
        <f t="shared" si="261"/>
        <v>-5.4118337124597991E-3</v>
      </c>
      <c r="J828" s="14">
        <f t="shared" si="262"/>
        <v>-2.2732695227457283E-2</v>
      </c>
      <c r="K828" s="22">
        <v>825</v>
      </c>
      <c r="L828" s="12"/>
      <c r="Q828" s="15">
        <f t="shared" si="263"/>
        <v>825</v>
      </c>
      <c r="R828" s="2">
        <f t="shared" si="259"/>
        <v>44662</v>
      </c>
      <c r="S828" s="9">
        <f t="shared" ca="1" si="264"/>
        <v>8.2089315783598175E-3</v>
      </c>
      <c r="T828" s="9">
        <f t="shared" ca="1" si="265"/>
        <v>-5.4118337124597991E-3</v>
      </c>
      <c r="U828" s="9">
        <f t="shared" ca="1" si="266"/>
        <v>-2.2732695227457283E-2</v>
      </c>
      <c r="AB828" s="33" t="e">
        <f t="shared" ca="1" si="272"/>
        <v>#N/A</v>
      </c>
      <c r="AC828" s="34" t="e">
        <f t="shared" ca="1" si="273"/>
        <v>#N/A</v>
      </c>
      <c r="AD828" s="34" t="e">
        <f t="shared" ca="1" si="274"/>
        <v>#N/A</v>
      </c>
      <c r="AE828" s="33" t="e">
        <f t="shared" ca="1" si="275"/>
        <v>#N/A</v>
      </c>
      <c r="AF828" s="34" t="e">
        <f t="shared" ca="1" si="267"/>
        <v>#N/A</v>
      </c>
      <c r="AG828" s="34" t="e">
        <f t="shared" ca="1" si="268"/>
        <v>#N/A</v>
      </c>
      <c r="AH828" s="34" t="e">
        <f t="shared" ca="1" si="269"/>
        <v>#N/A</v>
      </c>
      <c r="AI828" s="33" t="e">
        <f t="shared" ca="1" si="276"/>
        <v>#N/A</v>
      </c>
      <c r="AJ828" s="34" t="e">
        <f t="shared" ca="1" si="277"/>
        <v>#N/A</v>
      </c>
      <c r="AK828" s="34" t="e">
        <f t="shared" ca="1" si="270"/>
        <v>#N/A</v>
      </c>
      <c r="AL828" s="34" t="e">
        <f t="shared" ca="1" si="271"/>
        <v>#N/A</v>
      </c>
      <c r="AM828" s="33" t="e">
        <f t="shared" ca="1" si="278"/>
        <v>#N/A</v>
      </c>
      <c r="AN828" s="34" t="e">
        <f t="shared" ca="1" si="279"/>
        <v>#N/A</v>
      </c>
    </row>
    <row r="829" spans="1:40" x14ac:dyDescent="0.3">
      <c r="A829" s="2">
        <v>44663</v>
      </c>
      <c r="B829" s="9">
        <v>111.010002</v>
      </c>
      <c r="C829" s="9">
        <v>105.82</v>
      </c>
      <c r="D829" s="9">
        <v>100.790001</v>
      </c>
      <c r="E829" s="10"/>
      <c r="F829" s="13">
        <v>826</v>
      </c>
      <c r="G829" s="2">
        <v>44663</v>
      </c>
      <c r="H829" s="14">
        <f t="shared" si="260"/>
        <v>-2.6987781763461176E-3</v>
      </c>
      <c r="I829" s="14">
        <f t="shared" si="261"/>
        <v>7.3982979612621028E-3</v>
      </c>
      <c r="J829" s="14">
        <f t="shared" si="262"/>
        <v>-1.0907928927628996E-3</v>
      </c>
      <c r="K829" s="22">
        <v>826</v>
      </c>
      <c r="L829" s="12"/>
      <c r="Q829" s="15">
        <f t="shared" si="263"/>
        <v>826</v>
      </c>
      <c r="R829" s="2">
        <f t="shared" si="259"/>
        <v>44663</v>
      </c>
      <c r="S829" s="9">
        <f t="shared" ca="1" si="264"/>
        <v>-2.6987781763461176E-3</v>
      </c>
      <c r="T829" s="9">
        <f t="shared" ca="1" si="265"/>
        <v>7.3982979612621028E-3</v>
      </c>
      <c r="U829" s="9">
        <f t="shared" ca="1" si="266"/>
        <v>-1.0907928927628996E-3</v>
      </c>
      <c r="AB829" s="33" t="e">
        <f t="shared" ca="1" si="272"/>
        <v>#N/A</v>
      </c>
      <c r="AC829" s="34" t="e">
        <f t="shared" ca="1" si="273"/>
        <v>#N/A</v>
      </c>
      <c r="AD829" s="34" t="e">
        <f t="shared" ca="1" si="274"/>
        <v>#N/A</v>
      </c>
      <c r="AE829" s="33" t="e">
        <f t="shared" ca="1" si="275"/>
        <v>#N/A</v>
      </c>
      <c r="AF829" s="34" t="e">
        <f t="shared" ca="1" si="267"/>
        <v>#N/A</v>
      </c>
      <c r="AG829" s="34" t="e">
        <f t="shared" ca="1" si="268"/>
        <v>#N/A</v>
      </c>
      <c r="AH829" s="34" t="e">
        <f t="shared" ca="1" si="269"/>
        <v>#N/A</v>
      </c>
      <c r="AI829" s="33" t="e">
        <f t="shared" ca="1" si="276"/>
        <v>#N/A</v>
      </c>
      <c r="AJ829" s="34" t="e">
        <f t="shared" ca="1" si="277"/>
        <v>#N/A</v>
      </c>
      <c r="AK829" s="34" t="e">
        <f t="shared" ca="1" si="270"/>
        <v>#N/A</v>
      </c>
      <c r="AL829" s="34" t="e">
        <f t="shared" ca="1" si="271"/>
        <v>#N/A</v>
      </c>
      <c r="AM829" s="33" t="e">
        <f t="shared" ca="1" si="278"/>
        <v>#N/A</v>
      </c>
      <c r="AN829" s="34" t="e">
        <f t="shared" ca="1" si="279"/>
        <v>#N/A</v>
      </c>
    </row>
    <row r="830" spans="1:40" x14ac:dyDescent="0.3">
      <c r="A830" s="2">
        <v>44664</v>
      </c>
      <c r="B830" s="9">
        <v>111.290001</v>
      </c>
      <c r="C830" s="9">
        <v>107.660004</v>
      </c>
      <c r="D830" s="9">
        <v>103.94000200000001</v>
      </c>
      <c r="E830" s="10"/>
      <c r="F830" s="13">
        <v>827</v>
      </c>
      <c r="G830" s="2">
        <v>44664</v>
      </c>
      <c r="H830" s="14">
        <f t="shared" si="260"/>
        <v>2.5191106099165974E-3</v>
      </c>
      <c r="I830" s="14">
        <f t="shared" si="261"/>
        <v>1.7238612810828217E-2</v>
      </c>
      <c r="J830" s="14">
        <f t="shared" si="262"/>
        <v>3.0774674533760277E-2</v>
      </c>
      <c r="K830" s="22">
        <v>827</v>
      </c>
      <c r="L830" s="12"/>
      <c r="Q830" s="15">
        <f t="shared" si="263"/>
        <v>827</v>
      </c>
      <c r="R830" s="2">
        <f t="shared" si="259"/>
        <v>44664</v>
      </c>
      <c r="S830" s="9">
        <f t="shared" ca="1" si="264"/>
        <v>2.5191106099165974E-3</v>
      </c>
      <c r="T830" s="9">
        <f t="shared" ca="1" si="265"/>
        <v>1.7238612810828217E-2</v>
      </c>
      <c r="U830" s="9">
        <f t="shared" ca="1" si="266"/>
        <v>3.0774674533760277E-2</v>
      </c>
      <c r="AB830" s="33" t="e">
        <f t="shared" ca="1" si="272"/>
        <v>#N/A</v>
      </c>
      <c r="AC830" s="34" t="e">
        <f t="shared" ca="1" si="273"/>
        <v>#N/A</v>
      </c>
      <c r="AD830" s="34" t="e">
        <f t="shared" ca="1" si="274"/>
        <v>#N/A</v>
      </c>
      <c r="AE830" s="33" t="e">
        <f t="shared" ca="1" si="275"/>
        <v>#N/A</v>
      </c>
      <c r="AF830" s="34" t="e">
        <f t="shared" ca="1" si="267"/>
        <v>#N/A</v>
      </c>
      <c r="AG830" s="34" t="e">
        <f t="shared" ca="1" si="268"/>
        <v>#N/A</v>
      </c>
      <c r="AH830" s="34" t="e">
        <f t="shared" ca="1" si="269"/>
        <v>#N/A</v>
      </c>
      <c r="AI830" s="33" t="e">
        <f t="shared" ca="1" si="276"/>
        <v>#N/A</v>
      </c>
      <c r="AJ830" s="34" t="e">
        <f t="shared" ca="1" si="277"/>
        <v>#N/A</v>
      </c>
      <c r="AK830" s="34" t="e">
        <f t="shared" ca="1" si="270"/>
        <v>#N/A</v>
      </c>
      <c r="AL830" s="34" t="e">
        <f t="shared" ca="1" si="271"/>
        <v>#N/A</v>
      </c>
      <c r="AM830" s="33" t="e">
        <f t="shared" ca="1" si="278"/>
        <v>#N/A</v>
      </c>
      <c r="AN830" s="34" t="e">
        <f t="shared" ca="1" si="279"/>
        <v>#N/A</v>
      </c>
    </row>
    <row r="831" spans="1:40" x14ac:dyDescent="0.3">
      <c r="A831" s="2">
        <v>44665</v>
      </c>
      <c r="B831" s="9">
        <v>108.55999799999999</v>
      </c>
      <c r="C831" s="9">
        <v>108.519997</v>
      </c>
      <c r="D831" s="9">
        <v>104.860001</v>
      </c>
      <c r="E831" s="10"/>
      <c r="F831" s="13">
        <v>828</v>
      </c>
      <c r="G831" s="2">
        <v>44665</v>
      </c>
      <c r="H831" s="14">
        <f t="shared" si="260"/>
        <v>-2.4836418867245452E-2</v>
      </c>
      <c r="I831" s="14">
        <f t="shared" si="261"/>
        <v>7.956309859242899E-3</v>
      </c>
      <c r="J831" s="14">
        <f t="shared" si="262"/>
        <v>8.8123078587455887E-3</v>
      </c>
      <c r="K831" s="22">
        <v>828</v>
      </c>
      <c r="L831" s="12"/>
      <c r="Q831" s="15">
        <f t="shared" si="263"/>
        <v>828</v>
      </c>
      <c r="R831" s="2">
        <f t="shared" si="259"/>
        <v>44665</v>
      </c>
      <c r="S831" s="9">
        <f t="shared" ca="1" si="264"/>
        <v>-2.4836418867245452E-2</v>
      </c>
      <c r="T831" s="9">
        <f t="shared" ca="1" si="265"/>
        <v>7.956309859242899E-3</v>
      </c>
      <c r="U831" s="9">
        <f t="shared" ca="1" si="266"/>
        <v>8.8123078587455887E-3</v>
      </c>
      <c r="AB831" s="33" t="e">
        <f t="shared" ca="1" si="272"/>
        <v>#N/A</v>
      </c>
      <c r="AC831" s="34" t="e">
        <f t="shared" ca="1" si="273"/>
        <v>#N/A</v>
      </c>
      <c r="AD831" s="34" t="e">
        <f t="shared" ca="1" si="274"/>
        <v>#N/A</v>
      </c>
      <c r="AE831" s="33" t="e">
        <f t="shared" ca="1" si="275"/>
        <v>#N/A</v>
      </c>
      <c r="AF831" s="34" t="e">
        <f t="shared" ca="1" si="267"/>
        <v>#N/A</v>
      </c>
      <c r="AG831" s="34" t="e">
        <f t="shared" ca="1" si="268"/>
        <v>#N/A</v>
      </c>
      <c r="AH831" s="34" t="e">
        <f t="shared" ca="1" si="269"/>
        <v>#N/A</v>
      </c>
      <c r="AI831" s="33" t="e">
        <f t="shared" ca="1" si="276"/>
        <v>#N/A</v>
      </c>
      <c r="AJ831" s="34" t="e">
        <f t="shared" ca="1" si="277"/>
        <v>#N/A</v>
      </c>
      <c r="AK831" s="34" t="e">
        <f t="shared" ca="1" si="270"/>
        <v>#N/A</v>
      </c>
      <c r="AL831" s="34" t="e">
        <f t="shared" ca="1" si="271"/>
        <v>#N/A</v>
      </c>
      <c r="AM831" s="33" t="e">
        <f t="shared" ca="1" si="278"/>
        <v>#N/A</v>
      </c>
      <c r="AN831" s="34" t="e">
        <f t="shared" ca="1" si="279"/>
        <v>#N/A</v>
      </c>
    </row>
    <row r="832" spans="1:40" x14ac:dyDescent="0.3">
      <c r="A832" s="2">
        <v>44669</v>
      </c>
      <c r="B832" s="9">
        <v>109.18</v>
      </c>
      <c r="C832" s="9">
        <v>108.699997</v>
      </c>
      <c r="D832" s="9">
        <v>110.349998</v>
      </c>
      <c r="E832" s="10"/>
      <c r="F832" s="13">
        <v>829</v>
      </c>
      <c r="G832" s="2">
        <v>44669</v>
      </c>
      <c r="H832" s="14">
        <f t="shared" si="260"/>
        <v>5.6948992499900189E-3</v>
      </c>
      <c r="I832" s="14">
        <f t="shared" si="261"/>
        <v>1.657306382210535E-3</v>
      </c>
      <c r="J832" s="14">
        <f t="shared" si="262"/>
        <v>5.1030977897683343E-2</v>
      </c>
      <c r="K832" s="22">
        <v>829</v>
      </c>
      <c r="L832" s="12"/>
      <c r="Q832" s="15">
        <f t="shared" si="263"/>
        <v>829</v>
      </c>
      <c r="R832" s="2">
        <f t="shared" si="259"/>
        <v>44669</v>
      </c>
      <c r="S832" s="9">
        <f t="shared" ca="1" si="264"/>
        <v>5.6948992499900189E-3</v>
      </c>
      <c r="T832" s="9">
        <f t="shared" ca="1" si="265"/>
        <v>1.657306382210535E-3</v>
      </c>
      <c r="U832" s="9">
        <f t="shared" ca="1" si="266"/>
        <v>5.1030977897683343E-2</v>
      </c>
      <c r="AB832" s="33" t="e">
        <f t="shared" ca="1" si="272"/>
        <v>#N/A</v>
      </c>
      <c r="AC832" s="34" t="e">
        <f t="shared" ca="1" si="273"/>
        <v>#N/A</v>
      </c>
      <c r="AD832" s="34" t="e">
        <f t="shared" ca="1" si="274"/>
        <v>#N/A</v>
      </c>
      <c r="AE832" s="33" t="e">
        <f t="shared" ca="1" si="275"/>
        <v>#N/A</v>
      </c>
      <c r="AF832" s="34" t="e">
        <f t="shared" ca="1" si="267"/>
        <v>#N/A</v>
      </c>
      <c r="AG832" s="34" t="e">
        <f t="shared" ca="1" si="268"/>
        <v>#N/A</v>
      </c>
      <c r="AH832" s="34" t="e">
        <f t="shared" ca="1" si="269"/>
        <v>#N/A</v>
      </c>
      <c r="AI832" s="33" t="e">
        <f t="shared" ca="1" si="276"/>
        <v>#N/A</v>
      </c>
      <c r="AJ832" s="34" t="e">
        <f t="shared" ca="1" si="277"/>
        <v>#N/A</v>
      </c>
      <c r="AK832" s="34" t="e">
        <f t="shared" ca="1" si="270"/>
        <v>#N/A</v>
      </c>
      <c r="AL832" s="34" t="e">
        <f t="shared" ca="1" si="271"/>
        <v>#N/A</v>
      </c>
      <c r="AM832" s="33" t="e">
        <f t="shared" ca="1" si="278"/>
        <v>#N/A</v>
      </c>
      <c r="AN832" s="34" t="e">
        <f t="shared" ca="1" si="279"/>
        <v>#N/A</v>
      </c>
    </row>
    <row r="833" spans="1:40" x14ac:dyDescent="0.3">
      <c r="A833" s="2">
        <v>44670</v>
      </c>
      <c r="B833" s="9">
        <v>113.099998</v>
      </c>
      <c r="C833" s="9">
        <v>112.80999799999999</v>
      </c>
      <c r="D833" s="9">
        <v>107.739998</v>
      </c>
      <c r="E833" s="10"/>
      <c r="F833" s="13">
        <v>830</v>
      </c>
      <c r="G833" s="2">
        <v>44670</v>
      </c>
      <c r="H833" s="14">
        <f t="shared" si="260"/>
        <v>3.5274469084997033E-2</v>
      </c>
      <c r="I833" s="14">
        <f t="shared" si="261"/>
        <v>3.711320335963679E-2</v>
      </c>
      <c r="J833" s="14">
        <f t="shared" si="262"/>
        <v>-2.3936215889414979E-2</v>
      </c>
      <c r="K833" s="22">
        <v>830</v>
      </c>
      <c r="L833" s="12"/>
      <c r="Q833" s="15">
        <f t="shared" si="263"/>
        <v>830</v>
      </c>
      <c r="R833" s="2">
        <f t="shared" si="259"/>
        <v>44670</v>
      </c>
      <c r="S833" s="9">
        <f t="shared" ca="1" si="264"/>
        <v>3.5274469084997033E-2</v>
      </c>
      <c r="T833" s="9">
        <f t="shared" ca="1" si="265"/>
        <v>3.711320335963679E-2</v>
      </c>
      <c r="U833" s="9">
        <f t="shared" ca="1" si="266"/>
        <v>-2.3936215889414979E-2</v>
      </c>
      <c r="AB833" s="33" t="e">
        <f t="shared" ca="1" si="272"/>
        <v>#N/A</v>
      </c>
      <c r="AC833" s="34" t="e">
        <f t="shared" ca="1" si="273"/>
        <v>#N/A</v>
      </c>
      <c r="AD833" s="34" t="e">
        <f t="shared" ca="1" si="274"/>
        <v>#N/A</v>
      </c>
      <c r="AE833" s="33" t="e">
        <f t="shared" ca="1" si="275"/>
        <v>#N/A</v>
      </c>
      <c r="AF833" s="34" t="e">
        <f t="shared" ca="1" si="267"/>
        <v>#N/A</v>
      </c>
      <c r="AG833" s="34" t="e">
        <f t="shared" ca="1" si="268"/>
        <v>#N/A</v>
      </c>
      <c r="AH833" s="34" t="e">
        <f t="shared" ca="1" si="269"/>
        <v>#N/A</v>
      </c>
      <c r="AI833" s="33" t="e">
        <f t="shared" ca="1" si="276"/>
        <v>#N/A</v>
      </c>
      <c r="AJ833" s="34" t="e">
        <f t="shared" ca="1" si="277"/>
        <v>#N/A</v>
      </c>
      <c r="AK833" s="34" t="e">
        <f t="shared" ca="1" si="270"/>
        <v>#N/A</v>
      </c>
      <c r="AL833" s="34" t="e">
        <f t="shared" ca="1" si="271"/>
        <v>#N/A</v>
      </c>
      <c r="AM833" s="33" t="e">
        <f t="shared" ca="1" si="278"/>
        <v>#N/A</v>
      </c>
      <c r="AN833" s="34" t="e">
        <f t="shared" ca="1" si="279"/>
        <v>#N/A</v>
      </c>
    </row>
    <row r="834" spans="1:40" x14ac:dyDescent="0.3">
      <c r="A834" s="2">
        <v>44671</v>
      </c>
      <c r="B834" s="9">
        <v>115.040001</v>
      </c>
      <c r="C834" s="9">
        <v>115.379997</v>
      </c>
      <c r="D834" s="9">
        <v>108.07</v>
      </c>
      <c r="E834" s="10"/>
      <c r="F834" s="13">
        <v>831</v>
      </c>
      <c r="G834" s="2">
        <v>44671</v>
      </c>
      <c r="H834" s="14">
        <f t="shared" si="260"/>
        <v>1.7007537226756662E-2</v>
      </c>
      <c r="I834" s="14">
        <f t="shared" si="261"/>
        <v>2.2526032939799108E-2</v>
      </c>
      <c r="J834" s="14">
        <f t="shared" si="262"/>
        <v>3.0582666258943446E-3</v>
      </c>
      <c r="K834" s="22">
        <v>831</v>
      </c>
      <c r="L834" s="12"/>
      <c r="Q834" s="15">
        <f t="shared" si="263"/>
        <v>831</v>
      </c>
      <c r="R834" s="2">
        <f t="shared" si="259"/>
        <v>44671</v>
      </c>
      <c r="S834" s="9">
        <f t="shared" ca="1" si="264"/>
        <v>1.7007537226756662E-2</v>
      </c>
      <c r="T834" s="9">
        <f t="shared" ca="1" si="265"/>
        <v>2.2526032939799108E-2</v>
      </c>
      <c r="U834" s="9">
        <f t="shared" ca="1" si="266"/>
        <v>3.0582666258943446E-3</v>
      </c>
      <c r="AB834" s="33" t="e">
        <f t="shared" ca="1" si="272"/>
        <v>#N/A</v>
      </c>
      <c r="AC834" s="34" t="e">
        <f t="shared" ca="1" si="273"/>
        <v>#N/A</v>
      </c>
      <c r="AD834" s="34" t="e">
        <f t="shared" ca="1" si="274"/>
        <v>#N/A</v>
      </c>
      <c r="AE834" s="33" t="e">
        <f t="shared" ca="1" si="275"/>
        <v>#N/A</v>
      </c>
      <c r="AF834" s="34" t="e">
        <f t="shared" ca="1" si="267"/>
        <v>#N/A</v>
      </c>
      <c r="AG834" s="34" t="e">
        <f t="shared" ca="1" si="268"/>
        <v>#N/A</v>
      </c>
      <c r="AH834" s="34" t="e">
        <f t="shared" ca="1" si="269"/>
        <v>#N/A</v>
      </c>
      <c r="AI834" s="33" t="e">
        <f t="shared" ca="1" si="276"/>
        <v>#N/A</v>
      </c>
      <c r="AJ834" s="34" t="e">
        <f t="shared" ca="1" si="277"/>
        <v>#N/A</v>
      </c>
      <c r="AK834" s="34" t="e">
        <f t="shared" ca="1" si="270"/>
        <v>#N/A</v>
      </c>
      <c r="AL834" s="34" t="e">
        <f t="shared" ca="1" si="271"/>
        <v>#N/A</v>
      </c>
      <c r="AM834" s="33" t="e">
        <f t="shared" ca="1" si="278"/>
        <v>#N/A</v>
      </c>
      <c r="AN834" s="34" t="e">
        <f t="shared" ca="1" si="279"/>
        <v>#N/A</v>
      </c>
    </row>
    <row r="835" spans="1:40" x14ac:dyDescent="0.3">
      <c r="A835" s="2">
        <v>44672</v>
      </c>
      <c r="B835" s="9">
        <v>115.16999800000001</v>
      </c>
      <c r="C835" s="9">
        <v>114.239998</v>
      </c>
      <c r="D835" s="9">
        <v>104.910004</v>
      </c>
      <c r="E835" s="10"/>
      <c r="F835" s="13">
        <v>832</v>
      </c>
      <c r="G835" s="2">
        <v>44672</v>
      </c>
      <c r="H835" s="14">
        <f t="shared" si="260"/>
        <v>1.129377649817264E-3</v>
      </c>
      <c r="I835" s="14">
        <f t="shared" si="261"/>
        <v>-9.9295217434317608E-3</v>
      </c>
      <c r="J835" s="14">
        <f t="shared" si="262"/>
        <v>-2.9676287443761603E-2</v>
      </c>
      <c r="K835" s="22">
        <v>832</v>
      </c>
      <c r="L835" s="12"/>
      <c r="Q835" s="15">
        <f t="shared" si="263"/>
        <v>832</v>
      </c>
      <c r="R835" s="2">
        <f t="shared" si="259"/>
        <v>44672</v>
      </c>
      <c r="S835" s="9">
        <f t="shared" ca="1" si="264"/>
        <v>1.129377649817264E-3</v>
      </c>
      <c r="T835" s="9">
        <f t="shared" ca="1" si="265"/>
        <v>-9.9295217434317608E-3</v>
      </c>
      <c r="U835" s="9">
        <f t="shared" ca="1" si="266"/>
        <v>-2.9676287443761603E-2</v>
      </c>
      <c r="AB835" s="33" t="e">
        <f t="shared" ca="1" si="272"/>
        <v>#N/A</v>
      </c>
      <c r="AC835" s="34" t="e">
        <f t="shared" ca="1" si="273"/>
        <v>#N/A</v>
      </c>
      <c r="AD835" s="34" t="e">
        <f t="shared" ca="1" si="274"/>
        <v>#N/A</v>
      </c>
      <c r="AE835" s="33" t="e">
        <f t="shared" ca="1" si="275"/>
        <v>#N/A</v>
      </c>
      <c r="AF835" s="34" t="e">
        <f t="shared" ca="1" si="267"/>
        <v>#N/A</v>
      </c>
      <c r="AG835" s="34" t="e">
        <f t="shared" ca="1" si="268"/>
        <v>#N/A</v>
      </c>
      <c r="AH835" s="34" t="e">
        <f t="shared" ca="1" si="269"/>
        <v>#N/A</v>
      </c>
      <c r="AI835" s="33" t="e">
        <f t="shared" ca="1" si="276"/>
        <v>#N/A</v>
      </c>
      <c r="AJ835" s="34" t="e">
        <f t="shared" ca="1" si="277"/>
        <v>#N/A</v>
      </c>
      <c r="AK835" s="34" t="e">
        <f t="shared" ca="1" si="270"/>
        <v>#N/A</v>
      </c>
      <c r="AL835" s="34" t="e">
        <f t="shared" ca="1" si="271"/>
        <v>#N/A</v>
      </c>
      <c r="AM835" s="33" t="e">
        <f t="shared" ca="1" si="278"/>
        <v>#N/A</v>
      </c>
      <c r="AN835" s="34" t="e">
        <f t="shared" ca="1" si="279"/>
        <v>#N/A</v>
      </c>
    </row>
    <row r="836" spans="1:40" x14ac:dyDescent="0.3">
      <c r="A836" s="2">
        <v>44673</v>
      </c>
      <c r="B836" s="9">
        <v>112.44000200000001</v>
      </c>
      <c r="C836" s="9">
        <v>109.25</v>
      </c>
      <c r="D836" s="9">
        <v>103.050003</v>
      </c>
      <c r="E836" s="10"/>
      <c r="F836" s="13">
        <v>833</v>
      </c>
      <c r="G836" s="2">
        <v>44673</v>
      </c>
      <c r="H836" s="14">
        <f t="shared" si="260"/>
        <v>-2.3989516489587227E-2</v>
      </c>
      <c r="I836" s="14">
        <f t="shared" si="261"/>
        <v>-4.4662647108571769E-2</v>
      </c>
      <c r="J836" s="14">
        <f t="shared" si="262"/>
        <v>-1.7888541422763429E-2</v>
      </c>
      <c r="K836" s="22">
        <v>833</v>
      </c>
      <c r="L836" s="12"/>
      <c r="Q836" s="15">
        <f t="shared" si="263"/>
        <v>833</v>
      </c>
      <c r="R836" s="2">
        <f t="shared" ref="R836:R899" si="280">IF(Q836="","",VLOOKUP(Q836,F836:J2093,2))</f>
        <v>44673</v>
      </c>
      <c r="S836" s="9">
        <f t="shared" ca="1" si="264"/>
        <v>-2.3989516489587227E-2</v>
      </c>
      <c r="T836" s="9">
        <f t="shared" ca="1" si="265"/>
        <v>-4.4662647108571769E-2</v>
      </c>
      <c r="U836" s="9">
        <f t="shared" ca="1" si="266"/>
        <v>-1.7888541422763429E-2</v>
      </c>
      <c r="AB836" s="33" t="e">
        <f t="shared" ca="1" si="272"/>
        <v>#N/A</v>
      </c>
      <c r="AC836" s="34" t="e">
        <f t="shared" ca="1" si="273"/>
        <v>#N/A</v>
      </c>
      <c r="AD836" s="34" t="e">
        <f t="shared" ca="1" si="274"/>
        <v>#N/A</v>
      </c>
      <c r="AE836" s="33" t="e">
        <f t="shared" ca="1" si="275"/>
        <v>#N/A</v>
      </c>
      <c r="AF836" s="34" t="e">
        <f t="shared" ca="1" si="267"/>
        <v>#N/A</v>
      </c>
      <c r="AG836" s="34" t="e">
        <f t="shared" ca="1" si="268"/>
        <v>#N/A</v>
      </c>
      <c r="AH836" s="34" t="e">
        <f t="shared" ca="1" si="269"/>
        <v>#N/A</v>
      </c>
      <c r="AI836" s="33" t="e">
        <f t="shared" ca="1" si="276"/>
        <v>#N/A</v>
      </c>
      <c r="AJ836" s="34" t="e">
        <f t="shared" ca="1" si="277"/>
        <v>#N/A</v>
      </c>
      <c r="AK836" s="34" t="e">
        <f t="shared" ca="1" si="270"/>
        <v>#N/A</v>
      </c>
      <c r="AL836" s="34" t="e">
        <f t="shared" ca="1" si="271"/>
        <v>#N/A</v>
      </c>
      <c r="AM836" s="33" t="e">
        <f t="shared" ca="1" si="278"/>
        <v>#N/A</v>
      </c>
      <c r="AN836" s="34" t="e">
        <f t="shared" ca="1" si="279"/>
        <v>#N/A</v>
      </c>
    </row>
    <row r="837" spans="1:40" x14ac:dyDescent="0.3">
      <c r="A837" s="2">
        <v>44676</v>
      </c>
      <c r="B837" s="9">
        <v>112.18</v>
      </c>
      <c r="C837" s="9">
        <v>108.43</v>
      </c>
      <c r="D837" s="9">
        <v>100.879997</v>
      </c>
      <c r="E837" s="10"/>
      <c r="F837" s="13">
        <v>834</v>
      </c>
      <c r="G837" s="2">
        <v>44676</v>
      </c>
      <c r="H837" s="14">
        <f t="shared" ref="H837:H900" si="281">LN(B837/B836)</f>
        <v>-2.3150397454044088E-3</v>
      </c>
      <c r="I837" s="14">
        <f t="shared" ref="I837:I900" si="282">LN(C837/C836)</f>
        <v>-7.5340304916088592E-3</v>
      </c>
      <c r="J837" s="14">
        <f t="shared" ref="J837:J900" si="283">LN(D837/D836)</f>
        <v>-2.1282674530188384E-2</v>
      </c>
      <c r="K837" s="22">
        <v>834</v>
      </c>
      <c r="L837" s="12"/>
      <c r="Q837" s="15">
        <f t="shared" ref="Q837:Q900" si="284">IF(Q836="","",IF(Q836+1&lt;=$M$6,Q836+1,""))</f>
        <v>834</v>
      </c>
      <c r="R837" s="2">
        <f t="shared" si="280"/>
        <v>44676</v>
      </c>
      <c r="S837" s="9">
        <f t="shared" ref="S837:S900" ca="1" si="285">IF(Q837="","",OFFSET(H$3,$Q837,0))</f>
        <v>-2.3150397454044088E-3</v>
      </c>
      <c r="T837" s="9">
        <f t="shared" ref="T837:T900" ca="1" si="286">IF(R837="","",OFFSET(I$3,$Q837,0))</f>
        <v>-7.5340304916088592E-3</v>
      </c>
      <c r="U837" s="9">
        <f t="shared" ref="U837:U900" ca="1" si="287">IF(S837="","",OFFSET(J$3,$Q837,0))</f>
        <v>-2.1282674530188384E-2</v>
      </c>
      <c r="AB837" s="33" t="e">
        <f t="shared" ca="1" si="272"/>
        <v>#N/A</v>
      </c>
      <c r="AC837" s="34" t="e">
        <f t="shared" ca="1" si="273"/>
        <v>#N/A</v>
      </c>
      <c r="AD837" s="34" t="e">
        <f t="shared" ca="1" si="274"/>
        <v>#N/A</v>
      </c>
      <c r="AE837" s="33" t="e">
        <f t="shared" ca="1" si="275"/>
        <v>#N/A</v>
      </c>
      <c r="AF837" s="34" t="e">
        <f t="shared" ref="AF837:AF900" ca="1" si="288">IF(AB837&lt;=$X$6,(AE837/$X$5)/$X$7,"")</f>
        <v>#N/A</v>
      </c>
      <c r="AG837" s="34" t="e">
        <f t="shared" ref="AG837:AG900" ca="1" si="289">IF(AB837&lt;=$Y$6,AG836+$Y$7,"")</f>
        <v>#N/A</v>
      </c>
      <c r="AH837" s="34" t="e">
        <f t="shared" ref="AH837:AH900" ca="1" si="290">IF(AB837&lt;=$Y$6,AG837-$Y$7/2,"")</f>
        <v>#N/A</v>
      </c>
      <c r="AI837" s="33" t="e">
        <f t="shared" ca="1" si="276"/>
        <v>#N/A</v>
      </c>
      <c r="AJ837" s="34" t="e">
        <f t="shared" ca="1" si="277"/>
        <v>#N/A</v>
      </c>
      <c r="AK837" s="34" t="e">
        <f t="shared" ref="AK837:AK900" ca="1" si="291">IF(AB837&lt;=$Z$6,AK836+$Z$7,"")</f>
        <v>#N/A</v>
      </c>
      <c r="AL837" s="34" t="e">
        <f t="shared" ref="AL837:AL900" ca="1" si="292">IF(AB837&lt;=$Z$6,AK837-$Z$7/2,"")</f>
        <v>#N/A</v>
      </c>
      <c r="AM837" s="33" t="e">
        <f t="shared" ca="1" si="278"/>
        <v>#N/A</v>
      </c>
      <c r="AN837" s="34" t="e">
        <f t="shared" ca="1" si="279"/>
        <v>#N/A</v>
      </c>
    </row>
    <row r="838" spans="1:40" x14ac:dyDescent="0.3">
      <c r="A838" s="2">
        <v>44677</v>
      </c>
      <c r="B838" s="9">
        <v>109.360001</v>
      </c>
      <c r="C838" s="9">
        <v>104.32</v>
      </c>
      <c r="D838" s="9">
        <v>105.139999</v>
      </c>
      <c r="E838" s="10"/>
      <c r="F838" s="13">
        <v>835</v>
      </c>
      <c r="G838" s="2">
        <v>44677</v>
      </c>
      <c r="H838" s="14">
        <f t="shared" si="281"/>
        <v>-2.5459522520385632E-2</v>
      </c>
      <c r="I838" s="14">
        <f t="shared" si="282"/>
        <v>-3.8641705305747918E-2</v>
      </c>
      <c r="J838" s="14">
        <f t="shared" si="283"/>
        <v>4.1361123961813136E-2</v>
      </c>
      <c r="K838" s="22">
        <v>835</v>
      </c>
      <c r="L838" s="12"/>
      <c r="Q838" s="15">
        <f t="shared" si="284"/>
        <v>835</v>
      </c>
      <c r="R838" s="2">
        <f t="shared" si="280"/>
        <v>44677</v>
      </c>
      <c r="S838" s="9">
        <f t="shared" ca="1" si="285"/>
        <v>-2.5459522520385632E-2</v>
      </c>
      <c r="T838" s="9">
        <f t="shared" ca="1" si="286"/>
        <v>-3.8641705305747918E-2</v>
      </c>
      <c r="U838" s="9">
        <f t="shared" ca="1" si="287"/>
        <v>4.1361123961813136E-2</v>
      </c>
      <c r="AB838" s="33" t="e">
        <f t="shared" ref="AB838:AB901" ca="1" si="293">IF(AB837&lt;$X$6,AB837+1,NA())</f>
        <v>#N/A</v>
      </c>
      <c r="AC838" s="34" t="e">
        <f t="shared" ref="AC838:AC901" ca="1" si="294">IF(AB838&lt;=$X$6,AC837+$X$7,"")</f>
        <v>#N/A</v>
      </c>
      <c r="AD838" s="34" t="e">
        <f t="shared" ref="AD838:AD901" ca="1" si="295">IF(AB838&lt;=$X$6,AC838-$X$7/2,"")</f>
        <v>#N/A</v>
      </c>
      <c r="AE838" s="33" t="e">
        <f t="shared" ref="AE838:AE901" ca="1" si="296">IF(AB838&lt;=$X$6,COUNTIFS($S$3:$S$1260,"&gt;"&amp;AC837,$S$3:$S$1260,"&lt;="&amp;AC838),"")</f>
        <v>#N/A</v>
      </c>
      <c r="AF838" s="34" t="e">
        <f t="shared" ca="1" si="288"/>
        <v>#N/A</v>
      </c>
      <c r="AG838" s="34" t="e">
        <f t="shared" ca="1" si="289"/>
        <v>#N/A</v>
      </c>
      <c r="AH838" s="34" t="e">
        <f t="shared" ca="1" si="290"/>
        <v>#N/A</v>
      </c>
      <c r="AI838" s="33" t="e">
        <f t="shared" ref="AI838:AI901" ca="1" si="297">IF(AB838&lt;=$Y$6,COUNTIFS($T$3:$T$1260,"&gt;"&amp;AG837,$T$3:$T$1260,"&lt;="&amp;AG838),"")</f>
        <v>#N/A</v>
      </c>
      <c r="AJ838" s="34" t="e">
        <f t="shared" ref="AJ838:AJ901" ca="1" si="298">IF(AB838&lt;=$Y$6,(AI838/$Y$5)/$Y$7,"")</f>
        <v>#N/A</v>
      </c>
      <c r="AK838" s="34" t="e">
        <f t="shared" ca="1" si="291"/>
        <v>#N/A</v>
      </c>
      <c r="AL838" s="34" t="e">
        <f t="shared" ca="1" si="292"/>
        <v>#N/A</v>
      </c>
      <c r="AM838" s="33" t="e">
        <f t="shared" ref="AM838:AM901" ca="1" si="299">IF(AB838&lt;=$Z$6,COUNTIFS($U$3:$U$1260,"&gt;"&amp;AK837,$U$3:$U$1260,"&lt;="&amp;AK838),"")</f>
        <v>#N/A</v>
      </c>
      <c r="AN838" s="34" t="e">
        <f t="shared" ref="AN838:AN901" ca="1" si="300">IF(AB838&lt;=$Z$6,(AM838/$Z$5)/$Z$7,"")</f>
        <v>#N/A</v>
      </c>
    </row>
    <row r="839" spans="1:40" x14ac:dyDescent="0.3">
      <c r="A839" s="2">
        <v>44678</v>
      </c>
      <c r="B839" s="9">
        <v>100</v>
      </c>
      <c r="C839" s="9">
        <v>103.389999</v>
      </c>
      <c r="D839" s="9">
        <v>109.510002</v>
      </c>
      <c r="E839" s="10"/>
      <c r="F839" s="13">
        <v>836</v>
      </c>
      <c r="G839" s="2">
        <v>44678</v>
      </c>
      <c r="H839" s="14">
        <f t="shared" si="281"/>
        <v>-8.9475015571713903E-2</v>
      </c>
      <c r="I839" s="14">
        <f t="shared" si="282"/>
        <v>-8.9548622518563475E-3</v>
      </c>
      <c r="J839" s="14">
        <f t="shared" si="283"/>
        <v>4.0723101670666062E-2</v>
      </c>
      <c r="K839" s="22">
        <v>836</v>
      </c>
      <c r="L839" s="12"/>
      <c r="Q839" s="15">
        <f t="shared" si="284"/>
        <v>836</v>
      </c>
      <c r="R839" s="2">
        <f t="shared" si="280"/>
        <v>44678</v>
      </c>
      <c r="S839" s="9">
        <f t="shared" ca="1" si="285"/>
        <v>-8.9475015571713903E-2</v>
      </c>
      <c r="T839" s="9">
        <f t="shared" ca="1" si="286"/>
        <v>-8.9548622518563475E-3</v>
      </c>
      <c r="U839" s="9">
        <f t="shared" ca="1" si="287"/>
        <v>4.0723101670666062E-2</v>
      </c>
      <c r="AB839" s="33" t="e">
        <f t="shared" ca="1" si="293"/>
        <v>#N/A</v>
      </c>
      <c r="AC839" s="34" t="e">
        <f t="shared" ca="1" si="294"/>
        <v>#N/A</v>
      </c>
      <c r="AD839" s="34" t="e">
        <f t="shared" ca="1" si="295"/>
        <v>#N/A</v>
      </c>
      <c r="AE839" s="33" t="e">
        <f t="shared" ca="1" si="296"/>
        <v>#N/A</v>
      </c>
      <c r="AF839" s="34" t="e">
        <f t="shared" ca="1" si="288"/>
        <v>#N/A</v>
      </c>
      <c r="AG839" s="34" t="e">
        <f t="shared" ca="1" si="289"/>
        <v>#N/A</v>
      </c>
      <c r="AH839" s="34" t="e">
        <f t="shared" ca="1" si="290"/>
        <v>#N/A</v>
      </c>
      <c r="AI839" s="33" t="e">
        <f t="shared" ca="1" si="297"/>
        <v>#N/A</v>
      </c>
      <c r="AJ839" s="34" t="e">
        <f t="shared" ca="1" si="298"/>
        <v>#N/A</v>
      </c>
      <c r="AK839" s="34" t="e">
        <f t="shared" ca="1" si="291"/>
        <v>#N/A</v>
      </c>
      <c r="AL839" s="34" t="e">
        <f t="shared" ca="1" si="292"/>
        <v>#N/A</v>
      </c>
      <c r="AM839" s="33" t="e">
        <f t="shared" ca="1" si="299"/>
        <v>#N/A</v>
      </c>
      <c r="AN839" s="34" t="e">
        <f t="shared" ca="1" si="300"/>
        <v>#N/A</v>
      </c>
    </row>
    <row r="840" spans="1:40" x14ac:dyDescent="0.3">
      <c r="A840" s="2">
        <v>44679</v>
      </c>
      <c r="B840" s="9">
        <v>101.80999799999999</v>
      </c>
      <c r="C840" s="9">
        <v>106.760002</v>
      </c>
      <c r="D840" s="9">
        <v>115.529999</v>
      </c>
      <c r="E840" s="10"/>
      <c r="F840" s="13">
        <v>837</v>
      </c>
      <c r="G840" s="2">
        <v>44679</v>
      </c>
      <c r="H840" s="14">
        <f t="shared" si="281"/>
        <v>1.7938125486576993E-2</v>
      </c>
      <c r="I840" s="14">
        <f t="shared" si="282"/>
        <v>3.2075107343444785E-2</v>
      </c>
      <c r="J840" s="14">
        <f t="shared" si="283"/>
        <v>5.3514340288326939E-2</v>
      </c>
      <c r="K840" s="22">
        <v>837</v>
      </c>
      <c r="L840" s="12"/>
      <c r="Q840" s="15">
        <f t="shared" si="284"/>
        <v>837</v>
      </c>
      <c r="R840" s="2">
        <f t="shared" si="280"/>
        <v>44679</v>
      </c>
      <c r="S840" s="9">
        <f t="shared" ca="1" si="285"/>
        <v>1.7938125486576993E-2</v>
      </c>
      <c r="T840" s="9">
        <f t="shared" ca="1" si="286"/>
        <v>3.2075107343444785E-2</v>
      </c>
      <c r="U840" s="9">
        <f t="shared" ca="1" si="287"/>
        <v>5.3514340288326939E-2</v>
      </c>
      <c r="AB840" s="33" t="e">
        <f t="shared" ca="1" si="293"/>
        <v>#N/A</v>
      </c>
      <c r="AC840" s="34" t="e">
        <f t="shared" ca="1" si="294"/>
        <v>#N/A</v>
      </c>
      <c r="AD840" s="34" t="e">
        <f t="shared" ca="1" si="295"/>
        <v>#N/A</v>
      </c>
      <c r="AE840" s="33" t="e">
        <f t="shared" ca="1" si="296"/>
        <v>#N/A</v>
      </c>
      <c r="AF840" s="34" t="e">
        <f t="shared" ca="1" si="288"/>
        <v>#N/A</v>
      </c>
      <c r="AG840" s="34" t="e">
        <f t="shared" ca="1" si="289"/>
        <v>#N/A</v>
      </c>
      <c r="AH840" s="34" t="e">
        <f t="shared" ca="1" si="290"/>
        <v>#N/A</v>
      </c>
      <c r="AI840" s="33" t="e">
        <f t="shared" ca="1" si="297"/>
        <v>#N/A</v>
      </c>
      <c r="AJ840" s="34" t="e">
        <f t="shared" ca="1" si="298"/>
        <v>#N/A</v>
      </c>
      <c r="AK840" s="34" t="e">
        <f t="shared" ca="1" si="291"/>
        <v>#N/A</v>
      </c>
      <c r="AL840" s="34" t="e">
        <f t="shared" ca="1" si="292"/>
        <v>#N/A</v>
      </c>
      <c r="AM840" s="33" t="e">
        <f t="shared" ca="1" si="299"/>
        <v>#N/A</v>
      </c>
      <c r="AN840" s="34" t="e">
        <f t="shared" ca="1" si="300"/>
        <v>#N/A</v>
      </c>
    </row>
    <row r="841" spans="1:40" x14ac:dyDescent="0.3">
      <c r="A841" s="2">
        <v>44680</v>
      </c>
      <c r="B841" s="9">
        <v>98.309997999999993</v>
      </c>
      <c r="C841" s="9">
        <v>104.339996</v>
      </c>
      <c r="D841" s="9">
        <v>111.480003</v>
      </c>
      <c r="E841" s="10"/>
      <c r="F841" s="13">
        <v>838</v>
      </c>
      <c r="G841" s="2">
        <v>44680</v>
      </c>
      <c r="H841" s="14">
        <f t="shared" si="281"/>
        <v>-3.4982580439646173E-2</v>
      </c>
      <c r="I841" s="14">
        <f t="shared" si="282"/>
        <v>-2.2928584011893984E-2</v>
      </c>
      <c r="J841" s="14">
        <f t="shared" si="283"/>
        <v>-3.5684998314763079E-2</v>
      </c>
      <c r="K841" s="22">
        <v>838</v>
      </c>
      <c r="L841" s="12"/>
      <c r="Q841" s="15">
        <f t="shared" si="284"/>
        <v>838</v>
      </c>
      <c r="R841" s="2">
        <f t="shared" si="280"/>
        <v>44680</v>
      </c>
      <c r="S841" s="9">
        <f t="shared" ca="1" si="285"/>
        <v>-3.4982580439646173E-2</v>
      </c>
      <c r="T841" s="9">
        <f t="shared" ca="1" si="286"/>
        <v>-2.2928584011893984E-2</v>
      </c>
      <c r="U841" s="9">
        <f t="shared" ca="1" si="287"/>
        <v>-3.5684998314763079E-2</v>
      </c>
      <c r="AB841" s="33" t="e">
        <f t="shared" ca="1" si="293"/>
        <v>#N/A</v>
      </c>
      <c r="AC841" s="34" t="e">
        <f t="shared" ca="1" si="294"/>
        <v>#N/A</v>
      </c>
      <c r="AD841" s="34" t="e">
        <f t="shared" ca="1" si="295"/>
        <v>#N/A</v>
      </c>
      <c r="AE841" s="33" t="e">
        <f t="shared" ca="1" si="296"/>
        <v>#N/A</v>
      </c>
      <c r="AF841" s="34" t="e">
        <f t="shared" ca="1" si="288"/>
        <v>#N/A</v>
      </c>
      <c r="AG841" s="34" t="e">
        <f t="shared" ca="1" si="289"/>
        <v>#N/A</v>
      </c>
      <c r="AH841" s="34" t="e">
        <f t="shared" ca="1" si="290"/>
        <v>#N/A</v>
      </c>
      <c r="AI841" s="33" t="e">
        <f t="shared" ca="1" si="297"/>
        <v>#N/A</v>
      </c>
      <c r="AJ841" s="34" t="e">
        <f t="shared" ca="1" si="298"/>
        <v>#N/A</v>
      </c>
      <c r="AK841" s="34" t="e">
        <f t="shared" ca="1" si="291"/>
        <v>#N/A</v>
      </c>
      <c r="AL841" s="34" t="e">
        <f t="shared" ca="1" si="292"/>
        <v>#N/A</v>
      </c>
      <c r="AM841" s="33" t="e">
        <f t="shared" ca="1" si="299"/>
        <v>#N/A</v>
      </c>
      <c r="AN841" s="34" t="e">
        <f t="shared" ca="1" si="300"/>
        <v>#N/A</v>
      </c>
    </row>
    <row r="842" spans="1:40" x14ac:dyDescent="0.3">
      <c r="A842" s="2">
        <v>44683</v>
      </c>
      <c r="B842" s="9">
        <v>97.959998999999996</v>
      </c>
      <c r="C842" s="9">
        <v>106.699997</v>
      </c>
      <c r="D842" s="9">
        <v>116.599998</v>
      </c>
      <c r="E842" s="10"/>
      <c r="F842" s="13">
        <v>839</v>
      </c>
      <c r="G842" s="2">
        <v>44683</v>
      </c>
      <c r="H842" s="14">
        <f t="shared" si="281"/>
        <v>-3.5665091593036135E-3</v>
      </c>
      <c r="I842" s="14">
        <f t="shared" si="282"/>
        <v>2.2366370933456246E-2</v>
      </c>
      <c r="J842" s="14">
        <f t="shared" si="283"/>
        <v>4.4904027239329583E-2</v>
      </c>
      <c r="K842" s="22">
        <v>839</v>
      </c>
      <c r="L842" s="12"/>
      <c r="Q842" s="15">
        <f t="shared" si="284"/>
        <v>839</v>
      </c>
      <c r="R842" s="2">
        <f t="shared" si="280"/>
        <v>44683</v>
      </c>
      <c r="S842" s="9">
        <f t="shared" ca="1" si="285"/>
        <v>-3.5665091593036135E-3</v>
      </c>
      <c r="T842" s="9">
        <f t="shared" ca="1" si="286"/>
        <v>2.2366370933456246E-2</v>
      </c>
      <c r="U842" s="9">
        <f t="shared" ca="1" si="287"/>
        <v>4.4904027239329583E-2</v>
      </c>
      <c r="AB842" s="33" t="e">
        <f t="shared" ca="1" si="293"/>
        <v>#N/A</v>
      </c>
      <c r="AC842" s="34" t="e">
        <f t="shared" ca="1" si="294"/>
        <v>#N/A</v>
      </c>
      <c r="AD842" s="34" t="e">
        <f t="shared" ca="1" si="295"/>
        <v>#N/A</v>
      </c>
      <c r="AE842" s="33" t="e">
        <f t="shared" ca="1" si="296"/>
        <v>#N/A</v>
      </c>
      <c r="AF842" s="34" t="e">
        <f t="shared" ca="1" si="288"/>
        <v>#N/A</v>
      </c>
      <c r="AG842" s="34" t="e">
        <f t="shared" ca="1" si="289"/>
        <v>#N/A</v>
      </c>
      <c r="AH842" s="34" t="e">
        <f t="shared" ca="1" si="290"/>
        <v>#N/A</v>
      </c>
      <c r="AI842" s="33" t="e">
        <f t="shared" ca="1" si="297"/>
        <v>#N/A</v>
      </c>
      <c r="AJ842" s="34" t="e">
        <f t="shared" ca="1" si="298"/>
        <v>#N/A</v>
      </c>
      <c r="AK842" s="34" t="e">
        <f t="shared" ca="1" si="291"/>
        <v>#N/A</v>
      </c>
      <c r="AL842" s="34" t="e">
        <f t="shared" ca="1" si="292"/>
        <v>#N/A</v>
      </c>
      <c r="AM842" s="33" t="e">
        <f t="shared" ca="1" si="299"/>
        <v>#N/A</v>
      </c>
      <c r="AN842" s="34" t="e">
        <f t="shared" ca="1" si="300"/>
        <v>#N/A</v>
      </c>
    </row>
    <row r="843" spans="1:40" x14ac:dyDescent="0.3">
      <c r="A843" s="2">
        <v>44684</v>
      </c>
      <c r="B843" s="9">
        <v>99.300003000000004</v>
      </c>
      <c r="C843" s="9">
        <v>105.80999799999999</v>
      </c>
      <c r="D843" s="9">
        <v>121.400002</v>
      </c>
      <c r="E843" s="10"/>
      <c r="F843" s="13">
        <v>840</v>
      </c>
      <c r="G843" s="2">
        <v>44684</v>
      </c>
      <c r="H843" s="14">
        <f t="shared" si="281"/>
        <v>1.3586379386888225E-2</v>
      </c>
      <c r="I843" s="14">
        <f t="shared" si="282"/>
        <v>-8.3761161772286322E-3</v>
      </c>
      <c r="J843" s="14">
        <f t="shared" si="283"/>
        <v>4.0341638336129249E-2</v>
      </c>
      <c r="K843" s="22">
        <v>840</v>
      </c>
      <c r="L843" s="12"/>
      <c r="Q843" s="15">
        <f t="shared" si="284"/>
        <v>840</v>
      </c>
      <c r="R843" s="2">
        <f t="shared" si="280"/>
        <v>44684</v>
      </c>
      <c r="S843" s="9">
        <f t="shared" ca="1" si="285"/>
        <v>1.3586379386888225E-2</v>
      </c>
      <c r="T843" s="9">
        <f t="shared" ca="1" si="286"/>
        <v>-8.3761161772286322E-3</v>
      </c>
      <c r="U843" s="9">
        <f t="shared" ca="1" si="287"/>
        <v>4.0341638336129249E-2</v>
      </c>
      <c r="AB843" s="33" t="e">
        <f t="shared" ca="1" si="293"/>
        <v>#N/A</v>
      </c>
      <c r="AC843" s="34" t="e">
        <f t="shared" ca="1" si="294"/>
        <v>#N/A</v>
      </c>
      <c r="AD843" s="34" t="e">
        <f t="shared" ca="1" si="295"/>
        <v>#N/A</v>
      </c>
      <c r="AE843" s="33" t="e">
        <f t="shared" ca="1" si="296"/>
        <v>#N/A</v>
      </c>
      <c r="AF843" s="34" t="e">
        <f t="shared" ca="1" si="288"/>
        <v>#N/A</v>
      </c>
      <c r="AG843" s="34" t="e">
        <f t="shared" ca="1" si="289"/>
        <v>#N/A</v>
      </c>
      <c r="AH843" s="34" t="e">
        <f t="shared" ca="1" si="290"/>
        <v>#N/A</v>
      </c>
      <c r="AI843" s="33" t="e">
        <f t="shared" ca="1" si="297"/>
        <v>#N/A</v>
      </c>
      <c r="AJ843" s="34" t="e">
        <f t="shared" ca="1" si="298"/>
        <v>#N/A</v>
      </c>
      <c r="AK843" s="34" t="e">
        <f t="shared" ca="1" si="291"/>
        <v>#N/A</v>
      </c>
      <c r="AL843" s="34" t="e">
        <f t="shared" ca="1" si="292"/>
        <v>#N/A</v>
      </c>
      <c r="AM843" s="33" t="e">
        <f t="shared" ca="1" si="299"/>
        <v>#N/A</v>
      </c>
      <c r="AN843" s="34" t="e">
        <f t="shared" ca="1" si="300"/>
        <v>#N/A</v>
      </c>
    </row>
    <row r="844" spans="1:40" x14ac:dyDescent="0.3">
      <c r="A844" s="2">
        <v>44685</v>
      </c>
      <c r="B844" s="9">
        <v>101.839996</v>
      </c>
      <c r="C844" s="9">
        <v>107.58000199999999</v>
      </c>
      <c r="D844" s="9">
        <v>128.229996</v>
      </c>
      <c r="E844" s="10"/>
      <c r="F844" s="13">
        <v>841</v>
      </c>
      <c r="G844" s="2">
        <v>44685</v>
      </c>
      <c r="H844" s="14">
        <f t="shared" si="281"/>
        <v>2.5257313709245749E-2</v>
      </c>
      <c r="I844" s="14">
        <f t="shared" si="282"/>
        <v>1.6589761421647416E-2</v>
      </c>
      <c r="J844" s="14">
        <f t="shared" si="283"/>
        <v>5.4734600177213148E-2</v>
      </c>
      <c r="K844" s="22">
        <v>841</v>
      </c>
      <c r="L844" s="12"/>
      <c r="Q844" s="15">
        <f t="shared" si="284"/>
        <v>841</v>
      </c>
      <c r="R844" s="2">
        <f t="shared" si="280"/>
        <v>44685</v>
      </c>
      <c r="S844" s="9">
        <f t="shared" ca="1" si="285"/>
        <v>2.5257313709245749E-2</v>
      </c>
      <c r="T844" s="9">
        <f t="shared" ca="1" si="286"/>
        <v>1.6589761421647416E-2</v>
      </c>
      <c r="U844" s="9">
        <f t="shared" ca="1" si="287"/>
        <v>5.4734600177213148E-2</v>
      </c>
      <c r="AB844" s="33" t="e">
        <f t="shared" ca="1" si="293"/>
        <v>#N/A</v>
      </c>
      <c r="AC844" s="34" t="e">
        <f t="shared" ca="1" si="294"/>
        <v>#N/A</v>
      </c>
      <c r="AD844" s="34" t="e">
        <f t="shared" ca="1" si="295"/>
        <v>#N/A</v>
      </c>
      <c r="AE844" s="33" t="e">
        <f t="shared" ca="1" si="296"/>
        <v>#N/A</v>
      </c>
      <c r="AF844" s="34" t="e">
        <f t="shared" ca="1" si="288"/>
        <v>#N/A</v>
      </c>
      <c r="AG844" s="34" t="e">
        <f t="shared" ca="1" si="289"/>
        <v>#N/A</v>
      </c>
      <c r="AH844" s="34" t="e">
        <f t="shared" ca="1" si="290"/>
        <v>#N/A</v>
      </c>
      <c r="AI844" s="33" t="e">
        <f t="shared" ca="1" si="297"/>
        <v>#N/A</v>
      </c>
      <c r="AJ844" s="34" t="e">
        <f t="shared" ca="1" si="298"/>
        <v>#N/A</v>
      </c>
      <c r="AK844" s="34" t="e">
        <f t="shared" ca="1" si="291"/>
        <v>#N/A</v>
      </c>
      <c r="AL844" s="34" t="e">
        <f t="shared" ca="1" si="292"/>
        <v>#N/A</v>
      </c>
      <c r="AM844" s="33" t="e">
        <f t="shared" ca="1" si="299"/>
        <v>#N/A</v>
      </c>
      <c r="AN844" s="34" t="e">
        <f t="shared" ca="1" si="300"/>
        <v>#N/A</v>
      </c>
    </row>
    <row r="845" spans="1:40" x14ac:dyDescent="0.3">
      <c r="A845" s="2">
        <v>44686</v>
      </c>
      <c r="B845" s="9">
        <v>98.739998</v>
      </c>
      <c r="C845" s="9">
        <v>100.209999</v>
      </c>
      <c r="D845" s="9">
        <v>125.83000199999999</v>
      </c>
      <c r="E845" s="10"/>
      <c r="F845" s="13">
        <v>842</v>
      </c>
      <c r="G845" s="2">
        <v>44686</v>
      </c>
      <c r="H845" s="14">
        <f t="shared" si="281"/>
        <v>-3.0912802396351656E-2</v>
      </c>
      <c r="I845" s="14">
        <f t="shared" si="282"/>
        <v>-7.0966801344719041E-2</v>
      </c>
      <c r="J845" s="14">
        <f t="shared" si="283"/>
        <v>-1.8893689778738395E-2</v>
      </c>
      <c r="K845" s="22">
        <v>842</v>
      </c>
      <c r="L845" s="12"/>
      <c r="Q845" s="15">
        <f t="shared" si="284"/>
        <v>842</v>
      </c>
      <c r="R845" s="2">
        <f t="shared" si="280"/>
        <v>44686</v>
      </c>
      <c r="S845" s="9">
        <f t="shared" ca="1" si="285"/>
        <v>-3.0912802396351656E-2</v>
      </c>
      <c r="T845" s="9">
        <f t="shared" ca="1" si="286"/>
        <v>-7.0966801344719041E-2</v>
      </c>
      <c r="U845" s="9">
        <f t="shared" ca="1" si="287"/>
        <v>-1.8893689778738395E-2</v>
      </c>
      <c r="AB845" s="33" t="e">
        <f t="shared" ca="1" si="293"/>
        <v>#N/A</v>
      </c>
      <c r="AC845" s="34" t="e">
        <f t="shared" ca="1" si="294"/>
        <v>#N/A</v>
      </c>
      <c r="AD845" s="34" t="e">
        <f t="shared" ca="1" si="295"/>
        <v>#N/A</v>
      </c>
      <c r="AE845" s="33" t="e">
        <f t="shared" ca="1" si="296"/>
        <v>#N/A</v>
      </c>
      <c r="AF845" s="34" t="e">
        <f t="shared" ca="1" si="288"/>
        <v>#N/A</v>
      </c>
      <c r="AG845" s="34" t="e">
        <f t="shared" ca="1" si="289"/>
        <v>#N/A</v>
      </c>
      <c r="AH845" s="34" t="e">
        <f t="shared" ca="1" si="290"/>
        <v>#N/A</v>
      </c>
      <c r="AI845" s="33" t="e">
        <f t="shared" ca="1" si="297"/>
        <v>#N/A</v>
      </c>
      <c r="AJ845" s="34" t="e">
        <f t="shared" ca="1" si="298"/>
        <v>#N/A</v>
      </c>
      <c r="AK845" s="34" t="e">
        <f t="shared" ca="1" si="291"/>
        <v>#N/A</v>
      </c>
      <c r="AL845" s="34" t="e">
        <f t="shared" ca="1" si="292"/>
        <v>#N/A</v>
      </c>
      <c r="AM845" s="33" t="e">
        <f t="shared" ca="1" si="299"/>
        <v>#N/A</v>
      </c>
      <c r="AN845" s="34" t="e">
        <f t="shared" ca="1" si="300"/>
        <v>#N/A</v>
      </c>
    </row>
    <row r="846" spans="1:40" x14ac:dyDescent="0.3">
      <c r="A846" s="2">
        <v>44687</v>
      </c>
      <c r="B846" s="9">
        <v>97.059997999999993</v>
      </c>
      <c r="C846" s="9">
        <v>98.540001000000004</v>
      </c>
      <c r="D846" s="9">
        <v>129.179993</v>
      </c>
      <c r="E846" s="10"/>
      <c r="F846" s="13">
        <v>843</v>
      </c>
      <c r="G846" s="2">
        <v>44687</v>
      </c>
      <c r="H846" s="14">
        <f t="shared" si="281"/>
        <v>-1.7160789204241942E-2</v>
      </c>
      <c r="I846" s="14">
        <f t="shared" si="282"/>
        <v>-1.6805406827213164E-2</v>
      </c>
      <c r="J846" s="14">
        <f t="shared" si="283"/>
        <v>2.627492091803333E-2</v>
      </c>
      <c r="K846" s="22">
        <v>843</v>
      </c>
      <c r="L846" s="12"/>
      <c r="Q846" s="15">
        <f t="shared" si="284"/>
        <v>843</v>
      </c>
      <c r="R846" s="2">
        <f t="shared" si="280"/>
        <v>44687</v>
      </c>
      <c r="S846" s="9">
        <f t="shared" ca="1" si="285"/>
        <v>-1.7160789204241942E-2</v>
      </c>
      <c r="T846" s="9">
        <f t="shared" ca="1" si="286"/>
        <v>-1.6805406827213164E-2</v>
      </c>
      <c r="U846" s="9">
        <f t="shared" ca="1" si="287"/>
        <v>2.627492091803333E-2</v>
      </c>
      <c r="AB846" s="33" t="e">
        <f t="shared" ca="1" si="293"/>
        <v>#N/A</v>
      </c>
      <c r="AC846" s="34" t="e">
        <f t="shared" ca="1" si="294"/>
        <v>#N/A</v>
      </c>
      <c r="AD846" s="34" t="e">
        <f t="shared" ca="1" si="295"/>
        <v>#N/A</v>
      </c>
      <c r="AE846" s="33" t="e">
        <f t="shared" ca="1" si="296"/>
        <v>#N/A</v>
      </c>
      <c r="AF846" s="34" t="e">
        <f t="shared" ca="1" si="288"/>
        <v>#N/A</v>
      </c>
      <c r="AG846" s="34" t="e">
        <f t="shared" ca="1" si="289"/>
        <v>#N/A</v>
      </c>
      <c r="AH846" s="34" t="e">
        <f t="shared" ca="1" si="290"/>
        <v>#N/A</v>
      </c>
      <c r="AI846" s="33" t="e">
        <f t="shared" ca="1" si="297"/>
        <v>#N/A</v>
      </c>
      <c r="AJ846" s="34" t="e">
        <f t="shared" ca="1" si="298"/>
        <v>#N/A</v>
      </c>
      <c r="AK846" s="34" t="e">
        <f t="shared" ca="1" si="291"/>
        <v>#N/A</v>
      </c>
      <c r="AL846" s="34" t="e">
        <f t="shared" ca="1" si="292"/>
        <v>#N/A</v>
      </c>
      <c r="AM846" s="33" t="e">
        <f t="shared" ca="1" si="299"/>
        <v>#N/A</v>
      </c>
      <c r="AN846" s="34" t="e">
        <f t="shared" ca="1" si="300"/>
        <v>#N/A</v>
      </c>
    </row>
    <row r="847" spans="1:40" x14ac:dyDescent="0.3">
      <c r="A847" s="2">
        <v>44690</v>
      </c>
      <c r="B847" s="9">
        <v>95.18</v>
      </c>
      <c r="C847" s="9">
        <v>94.879997000000003</v>
      </c>
      <c r="D847" s="9">
        <v>118.449997</v>
      </c>
      <c r="E847" s="10"/>
      <c r="F847" s="13">
        <v>844</v>
      </c>
      <c r="G847" s="2">
        <v>44690</v>
      </c>
      <c r="H847" s="14">
        <f t="shared" si="281"/>
        <v>-1.955948767829448E-2</v>
      </c>
      <c r="I847" s="14">
        <f t="shared" si="282"/>
        <v>-3.7849663633452345E-2</v>
      </c>
      <c r="J847" s="14">
        <f t="shared" si="283"/>
        <v>-8.6715821138718521E-2</v>
      </c>
      <c r="K847" s="22">
        <v>844</v>
      </c>
      <c r="L847" s="12"/>
      <c r="Q847" s="15">
        <f t="shared" si="284"/>
        <v>844</v>
      </c>
      <c r="R847" s="2">
        <f t="shared" si="280"/>
        <v>44690</v>
      </c>
      <c r="S847" s="9">
        <f t="shared" ca="1" si="285"/>
        <v>-1.955948767829448E-2</v>
      </c>
      <c r="T847" s="9">
        <f t="shared" ca="1" si="286"/>
        <v>-3.7849663633452345E-2</v>
      </c>
      <c r="U847" s="9">
        <f t="shared" ca="1" si="287"/>
        <v>-8.6715821138718521E-2</v>
      </c>
      <c r="AB847" s="33" t="e">
        <f t="shared" ca="1" si="293"/>
        <v>#N/A</v>
      </c>
      <c r="AC847" s="34" t="e">
        <f t="shared" ca="1" si="294"/>
        <v>#N/A</v>
      </c>
      <c r="AD847" s="34" t="e">
        <f t="shared" ca="1" si="295"/>
        <v>#N/A</v>
      </c>
      <c r="AE847" s="33" t="e">
        <f t="shared" ca="1" si="296"/>
        <v>#N/A</v>
      </c>
      <c r="AF847" s="34" t="e">
        <f t="shared" ca="1" si="288"/>
        <v>#N/A</v>
      </c>
      <c r="AG847" s="34" t="e">
        <f t="shared" ca="1" si="289"/>
        <v>#N/A</v>
      </c>
      <c r="AH847" s="34" t="e">
        <f t="shared" ca="1" si="290"/>
        <v>#N/A</v>
      </c>
      <c r="AI847" s="33" t="e">
        <f t="shared" ca="1" si="297"/>
        <v>#N/A</v>
      </c>
      <c r="AJ847" s="34" t="e">
        <f t="shared" ca="1" si="298"/>
        <v>#N/A</v>
      </c>
      <c r="AK847" s="34" t="e">
        <f t="shared" ca="1" si="291"/>
        <v>#N/A</v>
      </c>
      <c r="AL847" s="34" t="e">
        <f t="shared" ca="1" si="292"/>
        <v>#N/A</v>
      </c>
      <c r="AM847" s="33" t="e">
        <f t="shared" ca="1" si="299"/>
        <v>#N/A</v>
      </c>
      <c r="AN847" s="34" t="e">
        <f t="shared" ca="1" si="300"/>
        <v>#N/A</v>
      </c>
    </row>
    <row r="848" spans="1:40" x14ac:dyDescent="0.3">
      <c r="A848" s="2">
        <v>44691</v>
      </c>
      <c r="B848" s="9">
        <v>96.370002999999997</v>
      </c>
      <c r="C848" s="9">
        <v>95.050003000000004</v>
      </c>
      <c r="D848" s="9">
        <v>120.970001</v>
      </c>
      <c r="E848" s="10"/>
      <c r="F848" s="13">
        <v>845</v>
      </c>
      <c r="G848" s="2">
        <v>44691</v>
      </c>
      <c r="H848" s="14">
        <f t="shared" si="281"/>
        <v>1.2425145300250812E-2</v>
      </c>
      <c r="I848" s="14">
        <f t="shared" si="282"/>
        <v>1.7901968662454803E-3</v>
      </c>
      <c r="J848" s="14">
        <f t="shared" si="283"/>
        <v>2.1051683960617337E-2</v>
      </c>
      <c r="K848" s="22">
        <v>845</v>
      </c>
      <c r="L848" s="12"/>
      <c r="Q848" s="15">
        <f t="shared" si="284"/>
        <v>845</v>
      </c>
      <c r="R848" s="2">
        <f t="shared" si="280"/>
        <v>44691</v>
      </c>
      <c r="S848" s="9">
        <f t="shared" ca="1" si="285"/>
        <v>1.2425145300250812E-2</v>
      </c>
      <c r="T848" s="9">
        <f t="shared" ca="1" si="286"/>
        <v>1.7901968662454803E-3</v>
      </c>
      <c r="U848" s="9">
        <f t="shared" ca="1" si="287"/>
        <v>2.1051683960617337E-2</v>
      </c>
      <c r="AB848" s="33" t="e">
        <f t="shared" ca="1" si="293"/>
        <v>#N/A</v>
      </c>
      <c r="AC848" s="34" t="e">
        <f t="shared" ca="1" si="294"/>
        <v>#N/A</v>
      </c>
      <c r="AD848" s="34" t="e">
        <f t="shared" ca="1" si="295"/>
        <v>#N/A</v>
      </c>
      <c r="AE848" s="33" t="e">
        <f t="shared" ca="1" si="296"/>
        <v>#N/A</v>
      </c>
      <c r="AF848" s="34" t="e">
        <f t="shared" ca="1" si="288"/>
        <v>#N/A</v>
      </c>
      <c r="AG848" s="34" t="e">
        <f t="shared" ca="1" si="289"/>
        <v>#N/A</v>
      </c>
      <c r="AH848" s="34" t="e">
        <f t="shared" ca="1" si="290"/>
        <v>#N/A</v>
      </c>
      <c r="AI848" s="33" t="e">
        <f t="shared" ca="1" si="297"/>
        <v>#N/A</v>
      </c>
      <c r="AJ848" s="34" t="e">
        <f t="shared" ca="1" si="298"/>
        <v>#N/A</v>
      </c>
      <c r="AK848" s="34" t="e">
        <f t="shared" ca="1" si="291"/>
        <v>#N/A</v>
      </c>
      <c r="AL848" s="34" t="e">
        <f t="shared" ca="1" si="292"/>
        <v>#N/A</v>
      </c>
      <c r="AM848" s="33" t="e">
        <f t="shared" ca="1" si="299"/>
        <v>#N/A</v>
      </c>
      <c r="AN848" s="34" t="e">
        <f t="shared" ca="1" si="300"/>
        <v>#N/A</v>
      </c>
    </row>
    <row r="849" spans="1:40" x14ac:dyDescent="0.3">
      <c r="A849" s="2">
        <v>44692</v>
      </c>
      <c r="B849" s="9">
        <v>93.610000999999997</v>
      </c>
      <c r="C849" s="9">
        <v>92.370002999999997</v>
      </c>
      <c r="D849" s="9">
        <v>120.41999800000001</v>
      </c>
      <c r="E849" s="10"/>
      <c r="F849" s="13">
        <v>846</v>
      </c>
      <c r="G849" s="2">
        <v>44692</v>
      </c>
      <c r="H849" s="14">
        <f t="shared" si="281"/>
        <v>-2.9057754926942698E-2</v>
      </c>
      <c r="I849" s="14">
        <f t="shared" si="282"/>
        <v>-2.8600817414177856E-2</v>
      </c>
      <c r="J849" s="14">
        <f t="shared" si="283"/>
        <v>-4.5569738105042841E-3</v>
      </c>
      <c r="K849" s="22">
        <v>846</v>
      </c>
      <c r="L849" s="12"/>
      <c r="Q849" s="15">
        <f t="shared" si="284"/>
        <v>846</v>
      </c>
      <c r="R849" s="2">
        <f t="shared" si="280"/>
        <v>44692</v>
      </c>
      <c r="S849" s="9">
        <f t="shared" ca="1" si="285"/>
        <v>-2.9057754926942698E-2</v>
      </c>
      <c r="T849" s="9">
        <f t="shared" ca="1" si="286"/>
        <v>-2.8600817414177856E-2</v>
      </c>
      <c r="U849" s="9">
        <f t="shared" ca="1" si="287"/>
        <v>-4.5569738105042841E-3</v>
      </c>
      <c r="AB849" s="33" t="e">
        <f t="shared" ca="1" si="293"/>
        <v>#N/A</v>
      </c>
      <c r="AC849" s="34" t="e">
        <f t="shared" ca="1" si="294"/>
        <v>#N/A</v>
      </c>
      <c r="AD849" s="34" t="e">
        <f t="shared" ca="1" si="295"/>
        <v>#N/A</v>
      </c>
      <c r="AE849" s="33" t="e">
        <f t="shared" ca="1" si="296"/>
        <v>#N/A</v>
      </c>
      <c r="AF849" s="34" t="e">
        <f t="shared" ca="1" si="288"/>
        <v>#N/A</v>
      </c>
      <c r="AG849" s="34" t="e">
        <f t="shared" ca="1" si="289"/>
        <v>#N/A</v>
      </c>
      <c r="AH849" s="34" t="e">
        <f t="shared" ca="1" si="290"/>
        <v>#N/A</v>
      </c>
      <c r="AI849" s="33" t="e">
        <f t="shared" ca="1" si="297"/>
        <v>#N/A</v>
      </c>
      <c r="AJ849" s="34" t="e">
        <f t="shared" ca="1" si="298"/>
        <v>#N/A</v>
      </c>
      <c r="AK849" s="34" t="e">
        <f t="shared" ca="1" si="291"/>
        <v>#N/A</v>
      </c>
      <c r="AL849" s="34" t="e">
        <f t="shared" ca="1" si="292"/>
        <v>#N/A</v>
      </c>
      <c r="AM849" s="33" t="e">
        <f t="shared" ca="1" si="299"/>
        <v>#N/A</v>
      </c>
      <c r="AN849" s="34" t="e">
        <f t="shared" ca="1" si="300"/>
        <v>#N/A</v>
      </c>
    </row>
    <row r="850" spans="1:40" x14ac:dyDescent="0.3">
      <c r="A850" s="2">
        <v>44693</v>
      </c>
      <c r="B850" s="9">
        <v>92.93</v>
      </c>
      <c r="C850" s="9">
        <v>95.459998999999996</v>
      </c>
      <c r="D850" s="9">
        <v>120.410004</v>
      </c>
      <c r="E850" s="10"/>
      <c r="F850" s="13">
        <v>847</v>
      </c>
      <c r="G850" s="2">
        <v>44693</v>
      </c>
      <c r="H850" s="14">
        <f t="shared" si="281"/>
        <v>-7.290704497024604E-3</v>
      </c>
      <c r="I850" s="14">
        <f t="shared" si="282"/>
        <v>3.2905018019563137E-2</v>
      </c>
      <c r="J850" s="14">
        <f t="shared" si="283"/>
        <v>-8.299630380552642E-5</v>
      </c>
      <c r="K850" s="22">
        <v>847</v>
      </c>
      <c r="L850" s="12"/>
      <c r="Q850" s="15">
        <f t="shared" si="284"/>
        <v>847</v>
      </c>
      <c r="R850" s="2">
        <f t="shared" si="280"/>
        <v>44693</v>
      </c>
      <c r="S850" s="9">
        <f t="shared" ca="1" si="285"/>
        <v>-7.290704497024604E-3</v>
      </c>
      <c r="T850" s="9">
        <f t="shared" ca="1" si="286"/>
        <v>3.2905018019563137E-2</v>
      </c>
      <c r="U850" s="9">
        <f t="shared" ca="1" si="287"/>
        <v>-8.299630380552642E-5</v>
      </c>
      <c r="AB850" s="33" t="e">
        <f t="shared" ca="1" si="293"/>
        <v>#N/A</v>
      </c>
      <c r="AC850" s="34" t="e">
        <f t="shared" ca="1" si="294"/>
        <v>#N/A</v>
      </c>
      <c r="AD850" s="34" t="e">
        <f t="shared" ca="1" si="295"/>
        <v>#N/A</v>
      </c>
      <c r="AE850" s="33" t="e">
        <f t="shared" ca="1" si="296"/>
        <v>#N/A</v>
      </c>
      <c r="AF850" s="34" t="e">
        <f t="shared" ca="1" si="288"/>
        <v>#N/A</v>
      </c>
      <c r="AG850" s="34" t="e">
        <f t="shared" ca="1" si="289"/>
        <v>#N/A</v>
      </c>
      <c r="AH850" s="34" t="e">
        <f t="shared" ca="1" si="290"/>
        <v>#N/A</v>
      </c>
      <c r="AI850" s="33" t="e">
        <f t="shared" ca="1" si="297"/>
        <v>#N/A</v>
      </c>
      <c r="AJ850" s="34" t="e">
        <f t="shared" ca="1" si="298"/>
        <v>#N/A</v>
      </c>
      <c r="AK850" s="34" t="e">
        <f t="shared" ca="1" si="291"/>
        <v>#N/A</v>
      </c>
      <c r="AL850" s="34" t="e">
        <f t="shared" ca="1" si="292"/>
        <v>#N/A</v>
      </c>
      <c r="AM850" s="33" t="e">
        <f t="shared" ca="1" si="299"/>
        <v>#N/A</v>
      </c>
      <c r="AN850" s="34" t="e">
        <f t="shared" ca="1" si="300"/>
        <v>#N/A</v>
      </c>
    </row>
    <row r="851" spans="1:40" x14ac:dyDescent="0.3">
      <c r="A851" s="2">
        <v>44694</v>
      </c>
      <c r="B851" s="9">
        <v>93.489998</v>
      </c>
      <c r="C851" s="9">
        <v>99.93</v>
      </c>
      <c r="D851" s="9">
        <v>124.699997</v>
      </c>
      <c r="E851" s="10"/>
      <c r="F851" s="13">
        <v>848</v>
      </c>
      <c r="G851" s="2">
        <v>44694</v>
      </c>
      <c r="H851" s="14">
        <f t="shared" si="281"/>
        <v>6.0079357413137758E-3</v>
      </c>
      <c r="I851" s="14">
        <f t="shared" si="282"/>
        <v>4.5762639771539507E-2</v>
      </c>
      <c r="J851" s="14">
        <f t="shared" si="283"/>
        <v>3.5008209504292558E-2</v>
      </c>
      <c r="K851" s="22">
        <v>848</v>
      </c>
      <c r="L851" s="12"/>
      <c r="Q851" s="15">
        <f t="shared" si="284"/>
        <v>848</v>
      </c>
      <c r="R851" s="2">
        <f t="shared" si="280"/>
        <v>44694</v>
      </c>
      <c r="S851" s="9">
        <f t="shared" ca="1" si="285"/>
        <v>6.0079357413137758E-3</v>
      </c>
      <c r="T851" s="9">
        <f t="shared" ca="1" si="286"/>
        <v>4.5762639771539507E-2</v>
      </c>
      <c r="U851" s="9">
        <f t="shared" ca="1" si="287"/>
        <v>3.5008209504292558E-2</v>
      </c>
      <c r="AB851" s="33" t="e">
        <f t="shared" ca="1" si="293"/>
        <v>#N/A</v>
      </c>
      <c r="AC851" s="34" t="e">
        <f t="shared" ca="1" si="294"/>
        <v>#N/A</v>
      </c>
      <c r="AD851" s="34" t="e">
        <f t="shared" ca="1" si="295"/>
        <v>#N/A</v>
      </c>
      <c r="AE851" s="33" t="e">
        <f t="shared" ca="1" si="296"/>
        <v>#N/A</v>
      </c>
      <c r="AF851" s="34" t="e">
        <f t="shared" ca="1" si="288"/>
        <v>#N/A</v>
      </c>
      <c r="AG851" s="34" t="e">
        <f t="shared" ca="1" si="289"/>
        <v>#N/A</v>
      </c>
      <c r="AH851" s="34" t="e">
        <f t="shared" ca="1" si="290"/>
        <v>#N/A</v>
      </c>
      <c r="AI851" s="33" t="e">
        <f t="shared" ca="1" si="297"/>
        <v>#N/A</v>
      </c>
      <c r="AJ851" s="34" t="e">
        <f t="shared" ca="1" si="298"/>
        <v>#N/A</v>
      </c>
      <c r="AK851" s="34" t="e">
        <f t="shared" ca="1" si="291"/>
        <v>#N/A</v>
      </c>
      <c r="AL851" s="34" t="e">
        <f t="shared" ca="1" si="292"/>
        <v>#N/A</v>
      </c>
      <c r="AM851" s="33" t="e">
        <f t="shared" ca="1" si="299"/>
        <v>#N/A</v>
      </c>
      <c r="AN851" s="34" t="e">
        <f t="shared" ca="1" si="300"/>
        <v>#N/A</v>
      </c>
    </row>
    <row r="852" spans="1:40" x14ac:dyDescent="0.3">
      <c r="A852" s="2">
        <v>44697</v>
      </c>
      <c r="B852" s="9">
        <v>92.019997000000004</v>
      </c>
      <c r="C852" s="9">
        <v>98.300003000000004</v>
      </c>
      <c r="D852" s="9">
        <v>127.779999</v>
      </c>
      <c r="E852" s="10"/>
      <c r="F852" s="13">
        <v>849</v>
      </c>
      <c r="G852" s="2">
        <v>44697</v>
      </c>
      <c r="H852" s="14">
        <f t="shared" si="281"/>
        <v>-1.5848545184848024E-2</v>
      </c>
      <c r="I852" s="14">
        <f t="shared" si="282"/>
        <v>-1.6445883201757688E-2</v>
      </c>
      <c r="J852" s="14">
        <f t="shared" si="283"/>
        <v>2.4399198719994495E-2</v>
      </c>
      <c r="K852" s="22">
        <v>849</v>
      </c>
      <c r="L852" s="12"/>
      <c r="Q852" s="15">
        <f t="shared" si="284"/>
        <v>849</v>
      </c>
      <c r="R852" s="2">
        <f t="shared" si="280"/>
        <v>44697</v>
      </c>
      <c r="S852" s="9">
        <f t="shared" ca="1" si="285"/>
        <v>-1.5848545184848024E-2</v>
      </c>
      <c r="T852" s="9">
        <f t="shared" ca="1" si="286"/>
        <v>-1.6445883201757688E-2</v>
      </c>
      <c r="U852" s="9">
        <f t="shared" ca="1" si="287"/>
        <v>2.4399198719994495E-2</v>
      </c>
      <c r="AB852" s="33" t="e">
        <f t="shared" ca="1" si="293"/>
        <v>#N/A</v>
      </c>
      <c r="AC852" s="34" t="e">
        <f t="shared" ca="1" si="294"/>
        <v>#N/A</v>
      </c>
      <c r="AD852" s="34" t="e">
        <f t="shared" ca="1" si="295"/>
        <v>#N/A</v>
      </c>
      <c r="AE852" s="33" t="e">
        <f t="shared" ca="1" si="296"/>
        <v>#N/A</v>
      </c>
      <c r="AF852" s="34" t="e">
        <f t="shared" ca="1" si="288"/>
        <v>#N/A</v>
      </c>
      <c r="AG852" s="34" t="e">
        <f t="shared" ca="1" si="289"/>
        <v>#N/A</v>
      </c>
      <c r="AH852" s="34" t="e">
        <f t="shared" ca="1" si="290"/>
        <v>#N/A</v>
      </c>
      <c r="AI852" s="33" t="e">
        <f t="shared" ca="1" si="297"/>
        <v>#N/A</v>
      </c>
      <c r="AJ852" s="34" t="e">
        <f t="shared" ca="1" si="298"/>
        <v>#N/A</v>
      </c>
      <c r="AK852" s="34" t="e">
        <f t="shared" ca="1" si="291"/>
        <v>#N/A</v>
      </c>
      <c r="AL852" s="34" t="e">
        <f t="shared" ca="1" si="292"/>
        <v>#N/A</v>
      </c>
      <c r="AM852" s="33" t="e">
        <f t="shared" ca="1" si="299"/>
        <v>#N/A</v>
      </c>
      <c r="AN852" s="34" t="e">
        <f t="shared" ca="1" si="300"/>
        <v>#N/A</v>
      </c>
    </row>
    <row r="853" spans="1:40" x14ac:dyDescent="0.3">
      <c r="A853" s="2">
        <v>44698</v>
      </c>
      <c r="B853" s="9">
        <v>94.279999000000004</v>
      </c>
      <c r="C853" s="9">
        <v>102</v>
      </c>
      <c r="D853" s="9">
        <v>128.05999800000001</v>
      </c>
      <c r="E853" s="10"/>
      <c r="F853" s="13">
        <v>850</v>
      </c>
      <c r="G853" s="2">
        <v>44698</v>
      </c>
      <c r="H853" s="14">
        <f t="shared" si="281"/>
        <v>2.4263155335513188E-2</v>
      </c>
      <c r="I853" s="14">
        <f t="shared" si="282"/>
        <v>3.6948755612330665E-2</v>
      </c>
      <c r="J853" s="14">
        <f t="shared" si="283"/>
        <v>2.1888611247304758E-3</v>
      </c>
      <c r="K853" s="22">
        <v>850</v>
      </c>
      <c r="L853" s="12"/>
      <c r="Q853" s="15">
        <f t="shared" si="284"/>
        <v>850</v>
      </c>
      <c r="R853" s="2">
        <f t="shared" si="280"/>
        <v>44698</v>
      </c>
      <c r="S853" s="9">
        <f t="shared" ca="1" si="285"/>
        <v>2.4263155335513188E-2</v>
      </c>
      <c r="T853" s="9">
        <f t="shared" ca="1" si="286"/>
        <v>3.6948755612330665E-2</v>
      </c>
      <c r="U853" s="9">
        <f t="shared" ca="1" si="287"/>
        <v>2.1888611247304758E-3</v>
      </c>
      <c r="AB853" s="33" t="e">
        <f t="shared" ca="1" si="293"/>
        <v>#N/A</v>
      </c>
      <c r="AC853" s="34" t="e">
        <f t="shared" ca="1" si="294"/>
        <v>#N/A</v>
      </c>
      <c r="AD853" s="34" t="e">
        <f t="shared" ca="1" si="295"/>
        <v>#N/A</v>
      </c>
      <c r="AE853" s="33" t="e">
        <f t="shared" ca="1" si="296"/>
        <v>#N/A</v>
      </c>
      <c r="AF853" s="34" t="e">
        <f t="shared" ca="1" si="288"/>
        <v>#N/A</v>
      </c>
      <c r="AG853" s="34" t="e">
        <f t="shared" ca="1" si="289"/>
        <v>#N/A</v>
      </c>
      <c r="AH853" s="34" t="e">
        <f t="shared" ca="1" si="290"/>
        <v>#N/A</v>
      </c>
      <c r="AI853" s="33" t="e">
        <f t="shared" ca="1" si="297"/>
        <v>#N/A</v>
      </c>
      <c r="AJ853" s="34" t="e">
        <f t="shared" ca="1" si="298"/>
        <v>#N/A</v>
      </c>
      <c r="AK853" s="34" t="e">
        <f t="shared" ca="1" si="291"/>
        <v>#N/A</v>
      </c>
      <c r="AL853" s="34" t="e">
        <f t="shared" ca="1" si="292"/>
        <v>#N/A</v>
      </c>
      <c r="AM853" s="33" t="e">
        <f t="shared" ca="1" si="299"/>
        <v>#N/A</v>
      </c>
      <c r="AN853" s="34" t="e">
        <f t="shared" ca="1" si="300"/>
        <v>#N/A</v>
      </c>
    </row>
    <row r="854" spans="1:40" x14ac:dyDescent="0.3">
      <c r="A854" s="2">
        <v>44699</v>
      </c>
      <c r="B854" s="9">
        <v>89.599997999999999</v>
      </c>
      <c r="C854" s="9">
        <v>95.290001000000004</v>
      </c>
      <c r="D854" s="9">
        <v>124.68</v>
      </c>
      <c r="E854" s="10"/>
      <c r="F854" s="13">
        <v>851</v>
      </c>
      <c r="G854" s="2">
        <v>44699</v>
      </c>
      <c r="H854" s="14">
        <f t="shared" si="281"/>
        <v>-5.0913769801770994E-2</v>
      </c>
      <c r="I854" s="14">
        <f t="shared" si="282"/>
        <v>-6.8047929429893669E-2</v>
      </c>
      <c r="J854" s="14">
        <f t="shared" si="283"/>
        <v>-2.6748433573840467E-2</v>
      </c>
      <c r="K854" s="22">
        <v>851</v>
      </c>
      <c r="L854" s="12"/>
      <c r="Q854" s="15">
        <f t="shared" si="284"/>
        <v>851</v>
      </c>
      <c r="R854" s="2">
        <f t="shared" si="280"/>
        <v>44699</v>
      </c>
      <c r="S854" s="9">
        <f t="shared" ca="1" si="285"/>
        <v>-5.0913769801770994E-2</v>
      </c>
      <c r="T854" s="9">
        <f t="shared" ca="1" si="286"/>
        <v>-6.8047929429893669E-2</v>
      </c>
      <c r="U854" s="9">
        <f t="shared" ca="1" si="287"/>
        <v>-2.6748433573840467E-2</v>
      </c>
      <c r="AB854" s="33" t="e">
        <f t="shared" ca="1" si="293"/>
        <v>#N/A</v>
      </c>
      <c r="AC854" s="34" t="e">
        <f t="shared" ca="1" si="294"/>
        <v>#N/A</v>
      </c>
      <c r="AD854" s="34" t="e">
        <f t="shared" ca="1" si="295"/>
        <v>#N/A</v>
      </c>
      <c r="AE854" s="33" t="e">
        <f t="shared" ca="1" si="296"/>
        <v>#N/A</v>
      </c>
      <c r="AF854" s="34" t="e">
        <f t="shared" ca="1" si="288"/>
        <v>#N/A</v>
      </c>
      <c r="AG854" s="34" t="e">
        <f t="shared" ca="1" si="289"/>
        <v>#N/A</v>
      </c>
      <c r="AH854" s="34" t="e">
        <f t="shared" ca="1" si="290"/>
        <v>#N/A</v>
      </c>
      <c r="AI854" s="33" t="e">
        <f t="shared" ca="1" si="297"/>
        <v>#N/A</v>
      </c>
      <c r="AJ854" s="34" t="e">
        <f t="shared" ca="1" si="298"/>
        <v>#N/A</v>
      </c>
      <c r="AK854" s="34" t="e">
        <f t="shared" ca="1" si="291"/>
        <v>#N/A</v>
      </c>
      <c r="AL854" s="34" t="e">
        <f t="shared" ca="1" si="292"/>
        <v>#N/A</v>
      </c>
      <c r="AM854" s="33" t="e">
        <f t="shared" ca="1" si="299"/>
        <v>#N/A</v>
      </c>
      <c r="AN854" s="34" t="e">
        <f t="shared" ca="1" si="300"/>
        <v>#N/A</v>
      </c>
    </row>
    <row r="855" spans="1:40" x14ac:dyDescent="0.3">
      <c r="A855" s="2">
        <v>44700</v>
      </c>
      <c r="B855" s="9">
        <v>88.919998000000007</v>
      </c>
      <c r="C855" s="9">
        <v>92.089995999999999</v>
      </c>
      <c r="D855" s="9">
        <v>124.260002</v>
      </c>
      <c r="E855" s="10"/>
      <c r="F855" s="13">
        <v>852</v>
      </c>
      <c r="G855" s="2">
        <v>44700</v>
      </c>
      <c r="H855" s="14">
        <f t="shared" si="281"/>
        <v>-7.6182310555880728E-3</v>
      </c>
      <c r="I855" s="14">
        <f t="shared" si="282"/>
        <v>-3.4158567556872112E-2</v>
      </c>
      <c r="J855" s="14">
        <f t="shared" si="283"/>
        <v>-3.3742941683046167E-3</v>
      </c>
      <c r="K855" s="22">
        <v>852</v>
      </c>
      <c r="L855" s="12"/>
      <c r="Q855" s="15">
        <f t="shared" si="284"/>
        <v>852</v>
      </c>
      <c r="R855" s="2">
        <f t="shared" si="280"/>
        <v>44700</v>
      </c>
      <c r="S855" s="9">
        <f t="shared" ca="1" si="285"/>
        <v>-7.6182310555880728E-3</v>
      </c>
      <c r="T855" s="9">
        <f t="shared" ca="1" si="286"/>
        <v>-3.4158567556872112E-2</v>
      </c>
      <c r="U855" s="9">
        <f t="shared" ca="1" si="287"/>
        <v>-3.3742941683046167E-3</v>
      </c>
      <c r="AB855" s="33" t="e">
        <f t="shared" ca="1" si="293"/>
        <v>#N/A</v>
      </c>
      <c r="AC855" s="34" t="e">
        <f t="shared" ca="1" si="294"/>
        <v>#N/A</v>
      </c>
      <c r="AD855" s="34" t="e">
        <f t="shared" ca="1" si="295"/>
        <v>#N/A</v>
      </c>
      <c r="AE855" s="33" t="e">
        <f t="shared" ca="1" si="296"/>
        <v>#N/A</v>
      </c>
      <c r="AF855" s="34" t="e">
        <f t="shared" ca="1" si="288"/>
        <v>#N/A</v>
      </c>
      <c r="AG855" s="34" t="e">
        <f t="shared" ca="1" si="289"/>
        <v>#N/A</v>
      </c>
      <c r="AH855" s="34" t="e">
        <f t="shared" ca="1" si="290"/>
        <v>#N/A</v>
      </c>
      <c r="AI855" s="33" t="e">
        <f t="shared" ca="1" si="297"/>
        <v>#N/A</v>
      </c>
      <c r="AJ855" s="34" t="e">
        <f t="shared" ca="1" si="298"/>
        <v>#N/A</v>
      </c>
      <c r="AK855" s="34" t="e">
        <f t="shared" ca="1" si="291"/>
        <v>#N/A</v>
      </c>
      <c r="AL855" s="34" t="e">
        <f t="shared" ca="1" si="292"/>
        <v>#N/A</v>
      </c>
      <c r="AM855" s="33" t="e">
        <f t="shared" ca="1" si="299"/>
        <v>#N/A</v>
      </c>
      <c r="AN855" s="34" t="e">
        <f t="shared" ca="1" si="300"/>
        <v>#N/A</v>
      </c>
    </row>
    <row r="856" spans="1:40" x14ac:dyDescent="0.3">
      <c r="A856" s="2">
        <v>44701</v>
      </c>
      <c r="B856" s="9">
        <v>88.610000999999997</v>
      </c>
      <c r="C856" s="9">
        <v>93.239998</v>
      </c>
      <c r="D856" s="9">
        <v>122.980003</v>
      </c>
      <c r="E856" s="10"/>
      <c r="F856" s="13">
        <v>853</v>
      </c>
      <c r="G856" s="2">
        <v>44701</v>
      </c>
      <c r="H856" s="14">
        <f t="shared" si="281"/>
        <v>-3.4923372592490149E-3</v>
      </c>
      <c r="I856" s="14">
        <f t="shared" si="282"/>
        <v>1.2410476420029343E-2</v>
      </c>
      <c r="J856" s="14">
        <f t="shared" si="283"/>
        <v>-1.0354395811298036E-2</v>
      </c>
      <c r="K856" s="22">
        <v>853</v>
      </c>
      <c r="L856" s="12"/>
      <c r="Q856" s="15">
        <f t="shared" si="284"/>
        <v>853</v>
      </c>
      <c r="R856" s="2">
        <f t="shared" si="280"/>
        <v>44701</v>
      </c>
      <c r="S856" s="9">
        <f t="shared" ca="1" si="285"/>
        <v>-3.4923372592490149E-3</v>
      </c>
      <c r="T856" s="9">
        <f t="shared" ca="1" si="286"/>
        <v>1.2410476420029343E-2</v>
      </c>
      <c r="U856" s="9">
        <f t="shared" ca="1" si="287"/>
        <v>-1.0354395811298036E-2</v>
      </c>
      <c r="AB856" s="33" t="e">
        <f t="shared" ca="1" si="293"/>
        <v>#N/A</v>
      </c>
      <c r="AC856" s="34" t="e">
        <f t="shared" ca="1" si="294"/>
        <v>#N/A</v>
      </c>
      <c r="AD856" s="34" t="e">
        <f t="shared" ca="1" si="295"/>
        <v>#N/A</v>
      </c>
      <c r="AE856" s="33" t="e">
        <f t="shared" ca="1" si="296"/>
        <v>#N/A</v>
      </c>
      <c r="AF856" s="34" t="e">
        <f t="shared" ca="1" si="288"/>
        <v>#N/A</v>
      </c>
      <c r="AG856" s="34" t="e">
        <f t="shared" ca="1" si="289"/>
        <v>#N/A</v>
      </c>
      <c r="AH856" s="34" t="e">
        <f t="shared" ca="1" si="290"/>
        <v>#N/A</v>
      </c>
      <c r="AI856" s="33" t="e">
        <f t="shared" ca="1" si="297"/>
        <v>#N/A</v>
      </c>
      <c r="AJ856" s="34" t="e">
        <f t="shared" ca="1" si="298"/>
        <v>#N/A</v>
      </c>
      <c r="AK856" s="34" t="e">
        <f t="shared" ca="1" si="291"/>
        <v>#N/A</v>
      </c>
      <c r="AL856" s="34" t="e">
        <f t="shared" ca="1" si="292"/>
        <v>#N/A</v>
      </c>
      <c r="AM856" s="33" t="e">
        <f t="shared" ca="1" si="299"/>
        <v>#N/A</v>
      </c>
      <c r="AN856" s="34" t="e">
        <f t="shared" ca="1" si="300"/>
        <v>#N/A</v>
      </c>
    </row>
    <row r="857" spans="1:40" x14ac:dyDescent="0.3">
      <c r="A857" s="2">
        <v>44704</v>
      </c>
      <c r="B857" s="9">
        <v>88.419998000000007</v>
      </c>
      <c r="C857" s="9">
        <v>90.949996999999996</v>
      </c>
      <c r="D857" s="9">
        <v>123.959999</v>
      </c>
      <c r="E857" s="10"/>
      <c r="F857" s="13">
        <v>854</v>
      </c>
      <c r="G857" s="2">
        <v>44704</v>
      </c>
      <c r="H857" s="14">
        <f t="shared" si="281"/>
        <v>-2.1465635658388369E-3</v>
      </c>
      <c r="I857" s="14">
        <f t="shared" si="282"/>
        <v>-2.4866920738560734E-2</v>
      </c>
      <c r="J857" s="14">
        <f t="shared" si="283"/>
        <v>7.9371599328952221E-3</v>
      </c>
      <c r="K857" s="22">
        <v>854</v>
      </c>
      <c r="L857" s="12"/>
      <c r="Q857" s="15">
        <f t="shared" si="284"/>
        <v>854</v>
      </c>
      <c r="R857" s="2">
        <f t="shared" si="280"/>
        <v>44704</v>
      </c>
      <c r="S857" s="9">
        <f t="shared" ca="1" si="285"/>
        <v>-2.1465635658388369E-3</v>
      </c>
      <c r="T857" s="9">
        <f t="shared" ca="1" si="286"/>
        <v>-2.4866920738560734E-2</v>
      </c>
      <c r="U857" s="9">
        <f t="shared" ca="1" si="287"/>
        <v>7.9371599328952221E-3</v>
      </c>
      <c r="AB857" s="33" t="e">
        <f t="shared" ca="1" si="293"/>
        <v>#N/A</v>
      </c>
      <c r="AC857" s="34" t="e">
        <f t="shared" ca="1" si="294"/>
        <v>#N/A</v>
      </c>
      <c r="AD857" s="34" t="e">
        <f t="shared" ca="1" si="295"/>
        <v>#N/A</v>
      </c>
      <c r="AE857" s="33" t="e">
        <f t="shared" ca="1" si="296"/>
        <v>#N/A</v>
      </c>
      <c r="AF857" s="34" t="e">
        <f t="shared" ca="1" si="288"/>
        <v>#N/A</v>
      </c>
      <c r="AG857" s="34" t="e">
        <f t="shared" ca="1" si="289"/>
        <v>#N/A</v>
      </c>
      <c r="AH857" s="34" t="e">
        <f t="shared" ca="1" si="290"/>
        <v>#N/A</v>
      </c>
      <c r="AI857" s="33" t="e">
        <f t="shared" ca="1" si="297"/>
        <v>#N/A</v>
      </c>
      <c r="AJ857" s="34" t="e">
        <f t="shared" ca="1" si="298"/>
        <v>#N/A</v>
      </c>
      <c r="AK857" s="34" t="e">
        <f t="shared" ca="1" si="291"/>
        <v>#N/A</v>
      </c>
      <c r="AL857" s="34" t="e">
        <f t="shared" ca="1" si="292"/>
        <v>#N/A</v>
      </c>
      <c r="AM857" s="33" t="e">
        <f t="shared" ca="1" si="299"/>
        <v>#N/A</v>
      </c>
      <c r="AN857" s="34" t="e">
        <f t="shared" ca="1" si="300"/>
        <v>#N/A</v>
      </c>
    </row>
    <row r="858" spans="1:40" x14ac:dyDescent="0.3">
      <c r="A858" s="2">
        <v>44705</v>
      </c>
      <c r="B858" s="9">
        <v>86.059997999999993</v>
      </c>
      <c r="C858" s="9">
        <v>91.139999000000003</v>
      </c>
      <c r="D858" s="9">
        <v>124.209999</v>
      </c>
      <c r="E858" s="10"/>
      <c r="F858" s="13">
        <v>855</v>
      </c>
      <c r="G858" s="2">
        <v>44705</v>
      </c>
      <c r="H858" s="14">
        <f t="shared" si="281"/>
        <v>-2.7053461607927074E-2</v>
      </c>
      <c r="I858" s="14">
        <f t="shared" si="282"/>
        <v>2.0869028846316447E-3</v>
      </c>
      <c r="J858" s="14">
        <f t="shared" si="283"/>
        <v>2.0147486527917918E-3</v>
      </c>
      <c r="K858" s="22">
        <v>855</v>
      </c>
      <c r="L858" s="12"/>
      <c r="Q858" s="15">
        <f t="shared" si="284"/>
        <v>855</v>
      </c>
      <c r="R858" s="2">
        <f t="shared" si="280"/>
        <v>44705</v>
      </c>
      <c r="S858" s="9">
        <f t="shared" ca="1" si="285"/>
        <v>-2.7053461607927074E-2</v>
      </c>
      <c r="T858" s="9">
        <f t="shared" ca="1" si="286"/>
        <v>2.0869028846316447E-3</v>
      </c>
      <c r="U858" s="9">
        <f t="shared" ca="1" si="287"/>
        <v>2.0147486527917918E-3</v>
      </c>
      <c r="AB858" s="33" t="e">
        <f t="shared" ca="1" si="293"/>
        <v>#N/A</v>
      </c>
      <c r="AC858" s="34" t="e">
        <f t="shared" ca="1" si="294"/>
        <v>#N/A</v>
      </c>
      <c r="AD858" s="34" t="e">
        <f t="shared" ca="1" si="295"/>
        <v>#N/A</v>
      </c>
      <c r="AE858" s="33" t="e">
        <f t="shared" ca="1" si="296"/>
        <v>#N/A</v>
      </c>
      <c r="AF858" s="34" t="e">
        <f t="shared" ca="1" si="288"/>
        <v>#N/A</v>
      </c>
      <c r="AG858" s="34" t="e">
        <f t="shared" ca="1" si="289"/>
        <v>#N/A</v>
      </c>
      <c r="AH858" s="34" t="e">
        <f t="shared" ca="1" si="290"/>
        <v>#N/A</v>
      </c>
      <c r="AI858" s="33" t="e">
        <f t="shared" ca="1" si="297"/>
        <v>#N/A</v>
      </c>
      <c r="AJ858" s="34" t="e">
        <f t="shared" ca="1" si="298"/>
        <v>#N/A</v>
      </c>
      <c r="AK858" s="34" t="e">
        <f t="shared" ca="1" si="291"/>
        <v>#N/A</v>
      </c>
      <c r="AL858" s="34" t="e">
        <f t="shared" ca="1" si="292"/>
        <v>#N/A</v>
      </c>
      <c r="AM858" s="33" t="e">
        <f t="shared" ca="1" si="299"/>
        <v>#N/A</v>
      </c>
      <c r="AN858" s="34" t="e">
        <f t="shared" ca="1" si="300"/>
        <v>#N/A</v>
      </c>
    </row>
    <row r="859" spans="1:40" x14ac:dyDescent="0.3">
      <c r="A859" s="2">
        <v>44706</v>
      </c>
      <c r="B859" s="9">
        <v>87.370002999999997</v>
      </c>
      <c r="C859" s="9">
        <v>93.690002000000007</v>
      </c>
      <c r="D859" s="9">
        <v>127.339996</v>
      </c>
      <c r="E859" s="10"/>
      <c r="F859" s="13">
        <v>856</v>
      </c>
      <c r="G859" s="2">
        <v>44706</v>
      </c>
      <c r="H859" s="14">
        <f t="shared" si="281"/>
        <v>1.510730447587841E-2</v>
      </c>
      <c r="I859" s="14">
        <f t="shared" si="282"/>
        <v>2.7594706446486508E-2</v>
      </c>
      <c r="J859" s="14">
        <f t="shared" si="283"/>
        <v>2.4886969671690115E-2</v>
      </c>
      <c r="K859" s="22">
        <v>856</v>
      </c>
      <c r="L859" s="12"/>
      <c r="Q859" s="15">
        <f t="shared" si="284"/>
        <v>856</v>
      </c>
      <c r="R859" s="2">
        <f t="shared" si="280"/>
        <v>44706</v>
      </c>
      <c r="S859" s="9">
        <f t="shared" ca="1" si="285"/>
        <v>1.510730447587841E-2</v>
      </c>
      <c r="T859" s="9">
        <f t="shared" ca="1" si="286"/>
        <v>2.7594706446486508E-2</v>
      </c>
      <c r="U859" s="9">
        <f t="shared" ca="1" si="287"/>
        <v>2.4886969671690115E-2</v>
      </c>
      <c r="AB859" s="33" t="e">
        <f t="shared" ca="1" si="293"/>
        <v>#N/A</v>
      </c>
      <c r="AC859" s="34" t="e">
        <f t="shared" ca="1" si="294"/>
        <v>#N/A</v>
      </c>
      <c r="AD859" s="34" t="e">
        <f t="shared" ca="1" si="295"/>
        <v>#N/A</v>
      </c>
      <c r="AE859" s="33" t="e">
        <f t="shared" ca="1" si="296"/>
        <v>#N/A</v>
      </c>
      <c r="AF859" s="34" t="e">
        <f t="shared" ca="1" si="288"/>
        <v>#N/A</v>
      </c>
      <c r="AG859" s="34" t="e">
        <f t="shared" ca="1" si="289"/>
        <v>#N/A</v>
      </c>
      <c r="AH859" s="34" t="e">
        <f t="shared" ca="1" si="290"/>
        <v>#N/A</v>
      </c>
      <c r="AI859" s="33" t="e">
        <f t="shared" ca="1" si="297"/>
        <v>#N/A</v>
      </c>
      <c r="AJ859" s="34" t="e">
        <f t="shared" ca="1" si="298"/>
        <v>#N/A</v>
      </c>
      <c r="AK859" s="34" t="e">
        <f t="shared" ca="1" si="291"/>
        <v>#N/A</v>
      </c>
      <c r="AL859" s="34" t="e">
        <f t="shared" ca="1" si="292"/>
        <v>#N/A</v>
      </c>
      <c r="AM859" s="33" t="e">
        <f t="shared" ca="1" si="299"/>
        <v>#N/A</v>
      </c>
      <c r="AN859" s="34" t="e">
        <f t="shared" ca="1" si="300"/>
        <v>#N/A</v>
      </c>
    </row>
    <row r="860" spans="1:40" x14ac:dyDescent="0.3">
      <c r="A860" s="2">
        <v>44707</v>
      </c>
      <c r="B860" s="9">
        <v>86.910004000000001</v>
      </c>
      <c r="C860" s="9">
        <v>98.410004000000001</v>
      </c>
      <c r="D860" s="9">
        <v>128.11999499999999</v>
      </c>
      <c r="E860" s="10"/>
      <c r="F860" s="13">
        <v>857</v>
      </c>
      <c r="G860" s="2">
        <v>44707</v>
      </c>
      <c r="H860" s="14">
        <f t="shared" si="281"/>
        <v>-5.2788621727406304E-3</v>
      </c>
      <c r="I860" s="14">
        <f t="shared" si="282"/>
        <v>4.9150984247077006E-2</v>
      </c>
      <c r="J860" s="14">
        <f t="shared" si="283"/>
        <v>6.1066425381326008E-3</v>
      </c>
      <c r="K860" s="22">
        <v>857</v>
      </c>
      <c r="L860" s="12"/>
      <c r="Q860" s="15">
        <f t="shared" si="284"/>
        <v>857</v>
      </c>
      <c r="R860" s="2">
        <f t="shared" si="280"/>
        <v>44707</v>
      </c>
      <c r="S860" s="9">
        <f t="shared" ca="1" si="285"/>
        <v>-5.2788621727406304E-3</v>
      </c>
      <c r="T860" s="9">
        <f t="shared" ca="1" si="286"/>
        <v>4.9150984247077006E-2</v>
      </c>
      <c r="U860" s="9">
        <f t="shared" ca="1" si="287"/>
        <v>6.1066425381326008E-3</v>
      </c>
      <c r="AB860" s="33" t="e">
        <f t="shared" ca="1" si="293"/>
        <v>#N/A</v>
      </c>
      <c r="AC860" s="34" t="e">
        <f t="shared" ca="1" si="294"/>
        <v>#N/A</v>
      </c>
      <c r="AD860" s="34" t="e">
        <f t="shared" ca="1" si="295"/>
        <v>#N/A</v>
      </c>
      <c r="AE860" s="33" t="e">
        <f t="shared" ca="1" si="296"/>
        <v>#N/A</v>
      </c>
      <c r="AF860" s="34" t="e">
        <f t="shared" ca="1" si="288"/>
        <v>#N/A</v>
      </c>
      <c r="AG860" s="34" t="e">
        <f t="shared" ca="1" si="289"/>
        <v>#N/A</v>
      </c>
      <c r="AH860" s="34" t="e">
        <f t="shared" ca="1" si="290"/>
        <v>#N/A</v>
      </c>
      <c r="AI860" s="33" t="e">
        <f t="shared" ca="1" si="297"/>
        <v>#N/A</v>
      </c>
      <c r="AJ860" s="34" t="e">
        <f t="shared" ca="1" si="298"/>
        <v>#N/A</v>
      </c>
      <c r="AK860" s="34" t="e">
        <f t="shared" ca="1" si="291"/>
        <v>#N/A</v>
      </c>
      <c r="AL860" s="34" t="e">
        <f t="shared" ca="1" si="292"/>
        <v>#N/A</v>
      </c>
      <c r="AM860" s="33" t="e">
        <f t="shared" ca="1" si="299"/>
        <v>#N/A</v>
      </c>
      <c r="AN860" s="34" t="e">
        <f t="shared" ca="1" si="300"/>
        <v>#N/A</v>
      </c>
    </row>
    <row r="861" spans="1:40" x14ac:dyDescent="0.3">
      <c r="A861" s="2">
        <v>44708</v>
      </c>
      <c r="B861" s="9">
        <v>89.370002999999997</v>
      </c>
      <c r="C861" s="9">
        <v>98.870002999999997</v>
      </c>
      <c r="D861" s="9">
        <v>131.80999800000001</v>
      </c>
      <c r="E861" s="10"/>
      <c r="F861" s="13">
        <v>858</v>
      </c>
      <c r="G861" s="2">
        <v>44708</v>
      </c>
      <c r="H861" s="14">
        <f t="shared" si="281"/>
        <v>2.7911942487620699E-2</v>
      </c>
      <c r="I861" s="14">
        <f t="shared" si="282"/>
        <v>4.663420694746399E-3</v>
      </c>
      <c r="J861" s="14">
        <f t="shared" si="283"/>
        <v>2.8394190835975306E-2</v>
      </c>
      <c r="K861" s="22">
        <v>858</v>
      </c>
      <c r="L861" s="12"/>
      <c r="Q861" s="15">
        <f t="shared" si="284"/>
        <v>858</v>
      </c>
      <c r="R861" s="2">
        <f t="shared" si="280"/>
        <v>44708</v>
      </c>
      <c r="S861" s="9">
        <f t="shared" ca="1" si="285"/>
        <v>2.7911942487620699E-2</v>
      </c>
      <c r="T861" s="9">
        <f t="shared" ca="1" si="286"/>
        <v>4.663420694746399E-3</v>
      </c>
      <c r="U861" s="9">
        <f t="shared" ca="1" si="287"/>
        <v>2.8394190835975306E-2</v>
      </c>
      <c r="AB861" s="33" t="e">
        <f t="shared" ca="1" si="293"/>
        <v>#N/A</v>
      </c>
      <c r="AC861" s="34" t="e">
        <f t="shared" ca="1" si="294"/>
        <v>#N/A</v>
      </c>
      <c r="AD861" s="34" t="e">
        <f t="shared" ca="1" si="295"/>
        <v>#N/A</v>
      </c>
      <c r="AE861" s="33" t="e">
        <f t="shared" ca="1" si="296"/>
        <v>#N/A</v>
      </c>
      <c r="AF861" s="34" t="e">
        <f t="shared" ca="1" si="288"/>
        <v>#N/A</v>
      </c>
      <c r="AG861" s="34" t="e">
        <f t="shared" ca="1" si="289"/>
        <v>#N/A</v>
      </c>
      <c r="AH861" s="34" t="e">
        <f t="shared" ca="1" si="290"/>
        <v>#N/A</v>
      </c>
      <c r="AI861" s="33" t="e">
        <f t="shared" ca="1" si="297"/>
        <v>#N/A</v>
      </c>
      <c r="AJ861" s="34" t="e">
        <f t="shared" ca="1" si="298"/>
        <v>#N/A</v>
      </c>
      <c r="AK861" s="34" t="e">
        <f t="shared" ca="1" si="291"/>
        <v>#N/A</v>
      </c>
      <c r="AL861" s="34" t="e">
        <f t="shared" ca="1" si="292"/>
        <v>#N/A</v>
      </c>
      <c r="AM861" s="33" t="e">
        <f t="shared" ca="1" si="299"/>
        <v>#N/A</v>
      </c>
      <c r="AN861" s="34" t="e">
        <f t="shared" ca="1" si="300"/>
        <v>#N/A</v>
      </c>
    </row>
    <row r="862" spans="1:40" x14ac:dyDescent="0.3">
      <c r="A862" s="2">
        <v>44712</v>
      </c>
      <c r="B862" s="9">
        <v>90.150002000000001</v>
      </c>
      <c r="C862" s="9">
        <v>101.089996</v>
      </c>
      <c r="D862" s="9">
        <v>129.60000600000001</v>
      </c>
      <c r="E862" s="10"/>
      <c r="F862" s="13">
        <v>859</v>
      </c>
      <c r="G862" s="2">
        <v>44712</v>
      </c>
      <c r="H862" s="14">
        <f t="shared" si="281"/>
        <v>8.6898828729612757E-3</v>
      </c>
      <c r="I862" s="14">
        <f t="shared" si="282"/>
        <v>2.2205283345348614E-2</v>
      </c>
      <c r="J862" s="14">
        <f t="shared" si="283"/>
        <v>-1.6908646336549062E-2</v>
      </c>
      <c r="K862" s="22">
        <v>859</v>
      </c>
      <c r="L862" s="12"/>
      <c r="Q862" s="15">
        <f t="shared" si="284"/>
        <v>859</v>
      </c>
      <c r="R862" s="2">
        <f t="shared" si="280"/>
        <v>44712</v>
      </c>
      <c r="S862" s="9">
        <f t="shared" ca="1" si="285"/>
        <v>8.6898828729612757E-3</v>
      </c>
      <c r="T862" s="9">
        <f t="shared" ca="1" si="286"/>
        <v>2.2205283345348614E-2</v>
      </c>
      <c r="U862" s="9">
        <f t="shared" ca="1" si="287"/>
        <v>-1.6908646336549062E-2</v>
      </c>
      <c r="AB862" s="33" t="e">
        <f t="shared" ca="1" si="293"/>
        <v>#N/A</v>
      </c>
      <c r="AC862" s="34" t="e">
        <f t="shared" ca="1" si="294"/>
        <v>#N/A</v>
      </c>
      <c r="AD862" s="34" t="e">
        <f t="shared" ca="1" si="295"/>
        <v>#N/A</v>
      </c>
      <c r="AE862" s="33" t="e">
        <f t="shared" ca="1" si="296"/>
        <v>#N/A</v>
      </c>
      <c r="AF862" s="34" t="e">
        <f t="shared" ca="1" si="288"/>
        <v>#N/A</v>
      </c>
      <c r="AG862" s="34" t="e">
        <f t="shared" ca="1" si="289"/>
        <v>#N/A</v>
      </c>
      <c r="AH862" s="34" t="e">
        <f t="shared" ca="1" si="290"/>
        <v>#N/A</v>
      </c>
      <c r="AI862" s="33" t="e">
        <f t="shared" ca="1" si="297"/>
        <v>#N/A</v>
      </c>
      <c r="AJ862" s="34" t="e">
        <f t="shared" ca="1" si="298"/>
        <v>#N/A</v>
      </c>
      <c r="AK862" s="34" t="e">
        <f t="shared" ca="1" si="291"/>
        <v>#N/A</v>
      </c>
      <c r="AL862" s="34" t="e">
        <f t="shared" ca="1" si="292"/>
        <v>#N/A</v>
      </c>
      <c r="AM862" s="33" t="e">
        <f t="shared" ca="1" si="299"/>
        <v>#N/A</v>
      </c>
      <c r="AN862" s="34" t="e">
        <f t="shared" ca="1" si="300"/>
        <v>#N/A</v>
      </c>
    </row>
    <row r="863" spans="1:40" x14ac:dyDescent="0.3">
      <c r="A863" s="2">
        <v>44713</v>
      </c>
      <c r="B863" s="9">
        <v>86.970000999999996</v>
      </c>
      <c r="C863" s="9">
        <v>101.19000200000001</v>
      </c>
      <c r="D863" s="9">
        <v>132.550003</v>
      </c>
      <c r="E863" s="10"/>
      <c r="F863" s="13">
        <v>860</v>
      </c>
      <c r="G863" s="2">
        <v>44713</v>
      </c>
      <c r="H863" s="14">
        <f t="shared" si="281"/>
        <v>-3.5911728734681375E-2</v>
      </c>
      <c r="I863" s="14">
        <f t="shared" si="282"/>
        <v>9.8878790920304974E-4</v>
      </c>
      <c r="J863" s="14">
        <f t="shared" si="283"/>
        <v>2.2507125153533349E-2</v>
      </c>
      <c r="K863" s="22">
        <v>860</v>
      </c>
      <c r="L863" s="12"/>
      <c r="Q863" s="15">
        <f t="shared" si="284"/>
        <v>860</v>
      </c>
      <c r="R863" s="2">
        <f t="shared" si="280"/>
        <v>44713</v>
      </c>
      <c r="S863" s="9">
        <f t="shared" ca="1" si="285"/>
        <v>-3.5911728734681375E-2</v>
      </c>
      <c r="T863" s="9">
        <f t="shared" ca="1" si="286"/>
        <v>9.8878790920304974E-4</v>
      </c>
      <c r="U863" s="9">
        <f t="shared" ca="1" si="287"/>
        <v>2.2507125153533349E-2</v>
      </c>
      <c r="AB863" s="33" t="e">
        <f t="shared" ca="1" si="293"/>
        <v>#N/A</v>
      </c>
      <c r="AC863" s="34" t="e">
        <f t="shared" ca="1" si="294"/>
        <v>#N/A</v>
      </c>
      <c r="AD863" s="34" t="e">
        <f t="shared" ca="1" si="295"/>
        <v>#N/A</v>
      </c>
      <c r="AE863" s="33" t="e">
        <f t="shared" ca="1" si="296"/>
        <v>#N/A</v>
      </c>
      <c r="AF863" s="34" t="e">
        <f t="shared" ca="1" si="288"/>
        <v>#N/A</v>
      </c>
      <c r="AG863" s="34" t="e">
        <f t="shared" ca="1" si="289"/>
        <v>#N/A</v>
      </c>
      <c r="AH863" s="34" t="e">
        <f t="shared" ca="1" si="290"/>
        <v>#N/A</v>
      </c>
      <c r="AI863" s="33" t="e">
        <f t="shared" ca="1" si="297"/>
        <v>#N/A</v>
      </c>
      <c r="AJ863" s="34" t="e">
        <f t="shared" ca="1" si="298"/>
        <v>#N/A</v>
      </c>
      <c r="AK863" s="34" t="e">
        <f t="shared" ca="1" si="291"/>
        <v>#N/A</v>
      </c>
      <c r="AL863" s="34" t="e">
        <f t="shared" ca="1" si="292"/>
        <v>#N/A</v>
      </c>
      <c r="AM863" s="33" t="e">
        <f t="shared" ca="1" si="299"/>
        <v>#N/A</v>
      </c>
      <c r="AN863" s="34" t="e">
        <f t="shared" ca="1" si="300"/>
        <v>#N/A</v>
      </c>
    </row>
    <row r="864" spans="1:40" x14ac:dyDescent="0.3">
      <c r="A864" s="2">
        <v>44714</v>
      </c>
      <c r="B864" s="9">
        <v>89.93</v>
      </c>
      <c r="C864" s="9">
        <v>104.099998</v>
      </c>
      <c r="D864" s="9">
        <v>133.61999499999999</v>
      </c>
      <c r="E864" s="10"/>
      <c r="F864" s="13">
        <v>861</v>
      </c>
      <c r="G864" s="2">
        <v>44714</v>
      </c>
      <c r="H864" s="14">
        <f t="shared" si="281"/>
        <v>3.3468346826532588E-2</v>
      </c>
      <c r="I864" s="14">
        <f t="shared" si="282"/>
        <v>2.8351998902159718E-2</v>
      </c>
      <c r="J864" s="14">
        <f t="shared" si="283"/>
        <v>8.0399577097794751E-3</v>
      </c>
      <c r="K864" s="22">
        <v>861</v>
      </c>
      <c r="L864" s="12"/>
      <c r="Q864" s="15">
        <f t="shared" si="284"/>
        <v>861</v>
      </c>
      <c r="R864" s="2">
        <f t="shared" si="280"/>
        <v>44714</v>
      </c>
      <c r="S864" s="9">
        <f t="shared" ca="1" si="285"/>
        <v>3.3468346826532588E-2</v>
      </c>
      <c r="T864" s="9">
        <f t="shared" ca="1" si="286"/>
        <v>2.8351998902159718E-2</v>
      </c>
      <c r="U864" s="9">
        <f t="shared" ca="1" si="287"/>
        <v>8.0399577097794751E-3</v>
      </c>
      <c r="AB864" s="33" t="e">
        <f t="shared" ca="1" si="293"/>
        <v>#N/A</v>
      </c>
      <c r="AC864" s="34" t="e">
        <f t="shared" ca="1" si="294"/>
        <v>#N/A</v>
      </c>
      <c r="AD864" s="34" t="e">
        <f t="shared" ca="1" si="295"/>
        <v>#N/A</v>
      </c>
      <c r="AE864" s="33" t="e">
        <f t="shared" ca="1" si="296"/>
        <v>#N/A</v>
      </c>
      <c r="AF864" s="34" t="e">
        <f t="shared" ca="1" si="288"/>
        <v>#N/A</v>
      </c>
      <c r="AG864" s="34" t="e">
        <f t="shared" ca="1" si="289"/>
        <v>#N/A</v>
      </c>
      <c r="AH864" s="34" t="e">
        <f t="shared" ca="1" si="290"/>
        <v>#N/A</v>
      </c>
      <c r="AI864" s="33" t="e">
        <f t="shared" ca="1" si="297"/>
        <v>#N/A</v>
      </c>
      <c r="AJ864" s="34" t="e">
        <f t="shared" ca="1" si="298"/>
        <v>#N/A</v>
      </c>
      <c r="AK864" s="34" t="e">
        <f t="shared" ca="1" si="291"/>
        <v>#N/A</v>
      </c>
      <c r="AL864" s="34" t="e">
        <f t="shared" ca="1" si="292"/>
        <v>#N/A</v>
      </c>
      <c r="AM864" s="33" t="e">
        <f t="shared" ca="1" si="299"/>
        <v>#N/A</v>
      </c>
      <c r="AN864" s="34" t="e">
        <f t="shared" ca="1" si="300"/>
        <v>#N/A</v>
      </c>
    </row>
    <row r="865" spans="1:40" x14ac:dyDescent="0.3">
      <c r="A865" s="2">
        <v>44715</v>
      </c>
      <c r="B865" s="9">
        <v>89.989998</v>
      </c>
      <c r="C865" s="9">
        <v>105.19000200000001</v>
      </c>
      <c r="D865" s="9">
        <v>135.41999799999999</v>
      </c>
      <c r="E865" s="10"/>
      <c r="F865" s="13">
        <v>862</v>
      </c>
      <c r="G865" s="2">
        <v>44715</v>
      </c>
      <c r="H865" s="14">
        <f t="shared" si="281"/>
        <v>6.6694089474117295E-4</v>
      </c>
      <c r="I865" s="14">
        <f t="shared" si="282"/>
        <v>1.0416301355769726E-2</v>
      </c>
      <c r="J865" s="14">
        <f t="shared" si="283"/>
        <v>1.3381132210849422E-2</v>
      </c>
      <c r="K865" s="22">
        <v>862</v>
      </c>
      <c r="L865" s="12"/>
      <c r="Q865" s="15">
        <f t="shared" si="284"/>
        <v>862</v>
      </c>
      <c r="R865" s="2">
        <f t="shared" si="280"/>
        <v>44715</v>
      </c>
      <c r="S865" s="9">
        <f t="shared" ca="1" si="285"/>
        <v>6.6694089474117295E-4</v>
      </c>
      <c r="T865" s="9">
        <f t="shared" ca="1" si="286"/>
        <v>1.0416301355769726E-2</v>
      </c>
      <c r="U865" s="9">
        <f t="shared" ca="1" si="287"/>
        <v>1.3381132210849422E-2</v>
      </c>
      <c r="AB865" s="33" t="e">
        <f t="shared" ca="1" si="293"/>
        <v>#N/A</v>
      </c>
      <c r="AC865" s="34" t="e">
        <f t="shared" ca="1" si="294"/>
        <v>#N/A</v>
      </c>
      <c r="AD865" s="34" t="e">
        <f t="shared" ca="1" si="295"/>
        <v>#N/A</v>
      </c>
      <c r="AE865" s="33" t="e">
        <f t="shared" ca="1" si="296"/>
        <v>#N/A</v>
      </c>
      <c r="AF865" s="34" t="e">
        <f t="shared" ca="1" si="288"/>
        <v>#N/A</v>
      </c>
      <c r="AG865" s="34" t="e">
        <f t="shared" ca="1" si="289"/>
        <v>#N/A</v>
      </c>
      <c r="AH865" s="34" t="e">
        <f t="shared" ca="1" si="290"/>
        <v>#N/A</v>
      </c>
      <c r="AI865" s="33" t="e">
        <f t="shared" ca="1" si="297"/>
        <v>#N/A</v>
      </c>
      <c r="AJ865" s="34" t="e">
        <f t="shared" ca="1" si="298"/>
        <v>#N/A</v>
      </c>
      <c r="AK865" s="34" t="e">
        <f t="shared" ca="1" si="291"/>
        <v>#N/A</v>
      </c>
      <c r="AL865" s="34" t="e">
        <f t="shared" ca="1" si="292"/>
        <v>#N/A</v>
      </c>
      <c r="AM865" s="33" t="e">
        <f t="shared" ca="1" si="299"/>
        <v>#N/A</v>
      </c>
      <c r="AN865" s="34" t="e">
        <f t="shared" ca="1" si="300"/>
        <v>#N/A</v>
      </c>
    </row>
    <row r="866" spans="1:40" x14ac:dyDescent="0.3">
      <c r="A866" s="2">
        <v>44718</v>
      </c>
      <c r="B866" s="9">
        <v>90.75</v>
      </c>
      <c r="C866" s="9">
        <v>105.83000199999999</v>
      </c>
      <c r="D866" s="9">
        <v>138.69000199999999</v>
      </c>
      <c r="E866" s="10"/>
      <c r="F866" s="13">
        <v>863</v>
      </c>
      <c r="G866" s="2">
        <v>44718</v>
      </c>
      <c r="H866" s="14">
        <f t="shared" si="281"/>
        <v>8.4099423237947793E-3</v>
      </c>
      <c r="I866" s="14">
        <f t="shared" si="282"/>
        <v>6.0657942394691505E-3</v>
      </c>
      <c r="J866" s="14">
        <f t="shared" si="283"/>
        <v>2.3860195800261975E-2</v>
      </c>
      <c r="K866" s="22">
        <v>863</v>
      </c>
      <c r="L866" s="12"/>
      <c r="Q866" s="15">
        <f t="shared" si="284"/>
        <v>863</v>
      </c>
      <c r="R866" s="2">
        <f t="shared" si="280"/>
        <v>44718</v>
      </c>
      <c r="S866" s="9">
        <f t="shared" ca="1" si="285"/>
        <v>8.4099423237947793E-3</v>
      </c>
      <c r="T866" s="9">
        <f t="shared" ca="1" si="286"/>
        <v>6.0657942394691505E-3</v>
      </c>
      <c r="U866" s="9">
        <f t="shared" ca="1" si="287"/>
        <v>2.3860195800261975E-2</v>
      </c>
      <c r="AB866" s="33" t="e">
        <f t="shared" ca="1" si="293"/>
        <v>#N/A</v>
      </c>
      <c r="AC866" s="34" t="e">
        <f t="shared" ca="1" si="294"/>
        <v>#N/A</v>
      </c>
      <c r="AD866" s="34" t="e">
        <f t="shared" ca="1" si="295"/>
        <v>#N/A</v>
      </c>
      <c r="AE866" s="33" t="e">
        <f t="shared" ca="1" si="296"/>
        <v>#N/A</v>
      </c>
      <c r="AF866" s="34" t="e">
        <f t="shared" ca="1" si="288"/>
        <v>#N/A</v>
      </c>
      <c r="AG866" s="34" t="e">
        <f t="shared" ca="1" si="289"/>
        <v>#N/A</v>
      </c>
      <c r="AH866" s="34" t="e">
        <f t="shared" ca="1" si="290"/>
        <v>#N/A</v>
      </c>
      <c r="AI866" s="33" t="e">
        <f t="shared" ca="1" si="297"/>
        <v>#N/A</v>
      </c>
      <c r="AJ866" s="34" t="e">
        <f t="shared" ca="1" si="298"/>
        <v>#N/A</v>
      </c>
      <c r="AK866" s="34" t="e">
        <f t="shared" ca="1" si="291"/>
        <v>#N/A</v>
      </c>
      <c r="AL866" s="34" t="e">
        <f t="shared" ca="1" si="292"/>
        <v>#N/A</v>
      </c>
      <c r="AM866" s="33" t="e">
        <f t="shared" ca="1" si="299"/>
        <v>#N/A</v>
      </c>
      <c r="AN866" s="34" t="e">
        <f t="shared" ca="1" si="300"/>
        <v>#N/A</v>
      </c>
    </row>
    <row r="867" spans="1:40" x14ac:dyDescent="0.3">
      <c r="A867" s="2">
        <v>44719</v>
      </c>
      <c r="B867" s="9">
        <v>92.050003000000004</v>
      </c>
      <c r="C867" s="9">
        <v>106.529999</v>
      </c>
      <c r="D867" s="9">
        <v>145.08000200000001</v>
      </c>
      <c r="E867" s="10"/>
      <c r="F867" s="13">
        <v>864</v>
      </c>
      <c r="G867" s="2">
        <v>44719</v>
      </c>
      <c r="H867" s="14">
        <f t="shared" si="281"/>
        <v>1.4223467125109447E-2</v>
      </c>
      <c r="I867" s="14">
        <f t="shared" si="282"/>
        <v>6.5925742322132681E-3</v>
      </c>
      <c r="J867" s="14">
        <f t="shared" si="283"/>
        <v>4.5044087111305184E-2</v>
      </c>
      <c r="K867" s="22">
        <v>864</v>
      </c>
      <c r="L867" s="12"/>
      <c r="Q867" s="15">
        <f t="shared" si="284"/>
        <v>864</v>
      </c>
      <c r="R867" s="2">
        <f t="shared" si="280"/>
        <v>44719</v>
      </c>
      <c r="S867" s="9">
        <f t="shared" ca="1" si="285"/>
        <v>1.4223467125109447E-2</v>
      </c>
      <c r="T867" s="9">
        <f t="shared" ca="1" si="286"/>
        <v>6.5925742322132681E-3</v>
      </c>
      <c r="U867" s="9">
        <f t="shared" ca="1" si="287"/>
        <v>4.5044087111305184E-2</v>
      </c>
      <c r="AB867" s="33" t="e">
        <f t="shared" ca="1" si="293"/>
        <v>#N/A</v>
      </c>
      <c r="AC867" s="34" t="e">
        <f t="shared" ca="1" si="294"/>
        <v>#N/A</v>
      </c>
      <c r="AD867" s="34" t="e">
        <f t="shared" ca="1" si="295"/>
        <v>#N/A</v>
      </c>
      <c r="AE867" s="33" t="e">
        <f t="shared" ca="1" si="296"/>
        <v>#N/A</v>
      </c>
      <c r="AF867" s="34" t="e">
        <f t="shared" ca="1" si="288"/>
        <v>#N/A</v>
      </c>
      <c r="AG867" s="34" t="e">
        <f t="shared" ca="1" si="289"/>
        <v>#N/A</v>
      </c>
      <c r="AH867" s="34" t="e">
        <f t="shared" ca="1" si="290"/>
        <v>#N/A</v>
      </c>
      <c r="AI867" s="33" t="e">
        <f t="shared" ca="1" si="297"/>
        <v>#N/A</v>
      </c>
      <c r="AJ867" s="34" t="e">
        <f t="shared" ca="1" si="298"/>
        <v>#N/A</v>
      </c>
      <c r="AK867" s="34" t="e">
        <f t="shared" ca="1" si="291"/>
        <v>#N/A</v>
      </c>
      <c r="AL867" s="34" t="e">
        <f t="shared" ca="1" si="292"/>
        <v>#N/A</v>
      </c>
      <c r="AM867" s="33" t="e">
        <f t="shared" ca="1" si="299"/>
        <v>#N/A</v>
      </c>
      <c r="AN867" s="34" t="e">
        <f t="shared" ca="1" si="300"/>
        <v>#N/A</v>
      </c>
    </row>
    <row r="868" spans="1:40" x14ac:dyDescent="0.3">
      <c r="A868" s="2">
        <v>44720</v>
      </c>
      <c r="B868" s="9">
        <v>91.099997999999999</v>
      </c>
      <c r="C868" s="9">
        <v>104.44000200000001</v>
      </c>
      <c r="D868" s="9">
        <v>143.770004</v>
      </c>
      <c r="E868" s="10"/>
      <c r="F868" s="13">
        <v>865</v>
      </c>
      <c r="G868" s="2">
        <v>44720</v>
      </c>
      <c r="H868" s="14">
        <f t="shared" si="281"/>
        <v>-1.0374157958053961E-2</v>
      </c>
      <c r="I868" s="14">
        <f t="shared" si="282"/>
        <v>-1.9813863255400056E-2</v>
      </c>
      <c r="J868" s="14">
        <f t="shared" si="283"/>
        <v>-9.0704999434824702E-3</v>
      </c>
      <c r="K868" s="22">
        <v>865</v>
      </c>
      <c r="L868" s="12"/>
      <c r="Q868" s="15">
        <f t="shared" si="284"/>
        <v>865</v>
      </c>
      <c r="R868" s="2">
        <f t="shared" si="280"/>
        <v>44720</v>
      </c>
      <c r="S868" s="9">
        <f t="shared" ca="1" si="285"/>
        <v>-1.0374157958053961E-2</v>
      </c>
      <c r="T868" s="9">
        <f t="shared" ca="1" si="286"/>
        <v>-1.9813863255400056E-2</v>
      </c>
      <c r="U868" s="9">
        <f t="shared" ca="1" si="287"/>
        <v>-9.0704999434824702E-3</v>
      </c>
      <c r="AB868" s="33" t="e">
        <f t="shared" ca="1" si="293"/>
        <v>#N/A</v>
      </c>
      <c r="AC868" s="34" t="e">
        <f t="shared" ca="1" si="294"/>
        <v>#N/A</v>
      </c>
      <c r="AD868" s="34" t="e">
        <f t="shared" ca="1" si="295"/>
        <v>#N/A</v>
      </c>
      <c r="AE868" s="33" t="e">
        <f t="shared" ca="1" si="296"/>
        <v>#N/A</v>
      </c>
      <c r="AF868" s="34" t="e">
        <f t="shared" ca="1" si="288"/>
        <v>#N/A</v>
      </c>
      <c r="AG868" s="34" t="e">
        <f t="shared" ca="1" si="289"/>
        <v>#N/A</v>
      </c>
      <c r="AH868" s="34" t="e">
        <f t="shared" ca="1" si="290"/>
        <v>#N/A</v>
      </c>
      <c r="AI868" s="33" t="e">
        <f t="shared" ca="1" si="297"/>
        <v>#N/A</v>
      </c>
      <c r="AJ868" s="34" t="e">
        <f t="shared" ca="1" si="298"/>
        <v>#N/A</v>
      </c>
      <c r="AK868" s="34" t="e">
        <f t="shared" ca="1" si="291"/>
        <v>#N/A</v>
      </c>
      <c r="AL868" s="34" t="e">
        <f t="shared" ca="1" si="292"/>
        <v>#N/A</v>
      </c>
      <c r="AM868" s="33" t="e">
        <f t="shared" ca="1" si="299"/>
        <v>#N/A</v>
      </c>
      <c r="AN868" s="34" t="e">
        <f t="shared" ca="1" si="300"/>
        <v>#N/A</v>
      </c>
    </row>
    <row r="869" spans="1:40" x14ac:dyDescent="0.3">
      <c r="A869" s="2">
        <v>44721</v>
      </c>
      <c r="B869" s="9">
        <v>87.620002999999997</v>
      </c>
      <c r="C869" s="9">
        <v>103.18</v>
      </c>
      <c r="D869" s="9">
        <v>143.41000399999999</v>
      </c>
      <c r="E869" s="10"/>
      <c r="F869" s="13">
        <v>866</v>
      </c>
      <c r="G869" s="2">
        <v>44721</v>
      </c>
      <c r="H869" s="14">
        <f t="shared" si="281"/>
        <v>-3.8948465687505485E-2</v>
      </c>
      <c r="I869" s="14">
        <f t="shared" si="282"/>
        <v>-1.2137727164175081E-2</v>
      </c>
      <c r="J869" s="14">
        <f t="shared" si="283"/>
        <v>-2.5071396235386515E-3</v>
      </c>
      <c r="K869" s="22">
        <v>866</v>
      </c>
      <c r="L869" s="12"/>
      <c r="Q869" s="15">
        <f t="shared" si="284"/>
        <v>866</v>
      </c>
      <c r="R869" s="2">
        <f t="shared" si="280"/>
        <v>44721</v>
      </c>
      <c r="S869" s="9">
        <f t="shared" ca="1" si="285"/>
        <v>-3.8948465687505485E-2</v>
      </c>
      <c r="T869" s="9">
        <f t="shared" ca="1" si="286"/>
        <v>-1.2137727164175081E-2</v>
      </c>
      <c r="U869" s="9">
        <f t="shared" ca="1" si="287"/>
        <v>-2.5071396235386515E-3</v>
      </c>
      <c r="AB869" s="33" t="e">
        <f t="shared" ca="1" si="293"/>
        <v>#N/A</v>
      </c>
      <c r="AC869" s="34" t="e">
        <f t="shared" ca="1" si="294"/>
        <v>#N/A</v>
      </c>
      <c r="AD869" s="34" t="e">
        <f t="shared" ca="1" si="295"/>
        <v>#N/A</v>
      </c>
      <c r="AE869" s="33" t="e">
        <f t="shared" ca="1" si="296"/>
        <v>#N/A</v>
      </c>
      <c r="AF869" s="34" t="e">
        <f t="shared" ca="1" si="288"/>
        <v>#N/A</v>
      </c>
      <c r="AG869" s="34" t="e">
        <f t="shared" ca="1" si="289"/>
        <v>#N/A</v>
      </c>
      <c r="AH869" s="34" t="e">
        <f t="shared" ca="1" si="290"/>
        <v>#N/A</v>
      </c>
      <c r="AI869" s="33" t="e">
        <f t="shared" ca="1" si="297"/>
        <v>#N/A</v>
      </c>
      <c r="AJ869" s="34" t="e">
        <f t="shared" ca="1" si="298"/>
        <v>#N/A</v>
      </c>
      <c r="AK869" s="34" t="e">
        <f t="shared" ca="1" si="291"/>
        <v>#N/A</v>
      </c>
      <c r="AL869" s="34" t="e">
        <f t="shared" ca="1" si="292"/>
        <v>#N/A</v>
      </c>
      <c r="AM869" s="33" t="e">
        <f t="shared" ca="1" si="299"/>
        <v>#N/A</v>
      </c>
      <c r="AN869" s="34" t="e">
        <f t="shared" ca="1" si="300"/>
        <v>#N/A</v>
      </c>
    </row>
    <row r="870" spans="1:40" x14ac:dyDescent="0.3">
      <c r="A870" s="2">
        <v>44722</v>
      </c>
      <c r="B870" s="9">
        <v>84.599997999999999</v>
      </c>
      <c r="C870" s="9">
        <v>99.790001000000004</v>
      </c>
      <c r="D870" s="9">
        <v>140.509995</v>
      </c>
      <c r="E870" s="10"/>
      <c r="F870" s="13">
        <v>867</v>
      </c>
      <c r="G870" s="2">
        <v>44722</v>
      </c>
      <c r="H870" s="14">
        <f t="shared" si="281"/>
        <v>-3.5075073652994705E-2</v>
      </c>
      <c r="I870" s="14">
        <f t="shared" si="282"/>
        <v>-3.3407047899238575E-2</v>
      </c>
      <c r="J870" s="14">
        <f t="shared" si="283"/>
        <v>-2.0429063599585837E-2</v>
      </c>
      <c r="K870" s="22">
        <v>867</v>
      </c>
      <c r="L870" s="12"/>
      <c r="Q870" s="15">
        <f t="shared" si="284"/>
        <v>867</v>
      </c>
      <c r="R870" s="2">
        <f t="shared" si="280"/>
        <v>44722</v>
      </c>
      <c r="S870" s="9">
        <f t="shared" ca="1" si="285"/>
        <v>-3.5075073652994705E-2</v>
      </c>
      <c r="T870" s="9">
        <f t="shared" ca="1" si="286"/>
        <v>-3.3407047899238575E-2</v>
      </c>
      <c r="U870" s="9">
        <f t="shared" ca="1" si="287"/>
        <v>-2.0429063599585837E-2</v>
      </c>
      <c r="AB870" s="33" t="e">
        <f t="shared" ca="1" si="293"/>
        <v>#N/A</v>
      </c>
      <c r="AC870" s="34" t="e">
        <f t="shared" ca="1" si="294"/>
        <v>#N/A</v>
      </c>
      <c r="AD870" s="34" t="e">
        <f t="shared" ca="1" si="295"/>
        <v>#N/A</v>
      </c>
      <c r="AE870" s="33" t="e">
        <f t="shared" ca="1" si="296"/>
        <v>#N/A</v>
      </c>
      <c r="AF870" s="34" t="e">
        <f t="shared" ca="1" si="288"/>
        <v>#N/A</v>
      </c>
      <c r="AG870" s="34" t="e">
        <f t="shared" ca="1" si="289"/>
        <v>#N/A</v>
      </c>
      <c r="AH870" s="34" t="e">
        <f t="shared" ca="1" si="290"/>
        <v>#N/A</v>
      </c>
      <c r="AI870" s="33" t="e">
        <f t="shared" ca="1" si="297"/>
        <v>#N/A</v>
      </c>
      <c r="AJ870" s="34" t="e">
        <f t="shared" ca="1" si="298"/>
        <v>#N/A</v>
      </c>
      <c r="AK870" s="34" t="e">
        <f t="shared" ca="1" si="291"/>
        <v>#N/A</v>
      </c>
      <c r="AL870" s="34" t="e">
        <f t="shared" ca="1" si="292"/>
        <v>#N/A</v>
      </c>
      <c r="AM870" s="33" t="e">
        <f t="shared" ca="1" si="299"/>
        <v>#N/A</v>
      </c>
      <c r="AN870" s="34" t="e">
        <f t="shared" ca="1" si="300"/>
        <v>#N/A</v>
      </c>
    </row>
    <row r="871" spans="1:40" x14ac:dyDescent="0.3">
      <c r="A871" s="2">
        <v>44725</v>
      </c>
      <c r="B871" s="9">
        <v>80.569999999999993</v>
      </c>
      <c r="C871" s="9">
        <v>94.389999000000003</v>
      </c>
      <c r="D871" s="9">
        <v>131.61000100000001</v>
      </c>
      <c r="E871" s="10"/>
      <c r="F871" s="13">
        <v>868</v>
      </c>
      <c r="G871" s="2">
        <v>44725</v>
      </c>
      <c r="H871" s="14">
        <f t="shared" si="281"/>
        <v>-4.8807871182410832E-2</v>
      </c>
      <c r="I871" s="14">
        <f t="shared" si="282"/>
        <v>-5.5632863174754986E-2</v>
      </c>
      <c r="J871" s="14">
        <f t="shared" si="283"/>
        <v>-6.5435613589153105E-2</v>
      </c>
      <c r="K871" s="22">
        <v>868</v>
      </c>
      <c r="L871" s="12"/>
      <c r="Q871" s="15">
        <f t="shared" si="284"/>
        <v>868</v>
      </c>
      <c r="R871" s="2">
        <f t="shared" si="280"/>
        <v>44725</v>
      </c>
      <c r="S871" s="9">
        <f t="shared" ca="1" si="285"/>
        <v>-4.8807871182410832E-2</v>
      </c>
      <c r="T871" s="9">
        <f t="shared" ca="1" si="286"/>
        <v>-5.5632863174754986E-2</v>
      </c>
      <c r="U871" s="9">
        <f t="shared" ca="1" si="287"/>
        <v>-6.5435613589153105E-2</v>
      </c>
      <c r="AB871" s="33" t="e">
        <f t="shared" ca="1" si="293"/>
        <v>#N/A</v>
      </c>
      <c r="AC871" s="34" t="e">
        <f t="shared" ca="1" si="294"/>
        <v>#N/A</v>
      </c>
      <c r="AD871" s="34" t="e">
        <f t="shared" ca="1" si="295"/>
        <v>#N/A</v>
      </c>
      <c r="AE871" s="33" t="e">
        <f t="shared" ca="1" si="296"/>
        <v>#N/A</v>
      </c>
      <c r="AF871" s="34" t="e">
        <f t="shared" ca="1" si="288"/>
        <v>#N/A</v>
      </c>
      <c r="AG871" s="34" t="e">
        <f t="shared" ca="1" si="289"/>
        <v>#N/A</v>
      </c>
      <c r="AH871" s="34" t="e">
        <f t="shared" ca="1" si="290"/>
        <v>#N/A</v>
      </c>
      <c r="AI871" s="33" t="e">
        <f t="shared" ca="1" si="297"/>
        <v>#N/A</v>
      </c>
      <c r="AJ871" s="34" t="e">
        <f t="shared" ca="1" si="298"/>
        <v>#N/A</v>
      </c>
      <c r="AK871" s="34" t="e">
        <f t="shared" ca="1" si="291"/>
        <v>#N/A</v>
      </c>
      <c r="AL871" s="34" t="e">
        <f t="shared" ca="1" si="292"/>
        <v>#N/A</v>
      </c>
      <c r="AM871" s="33" t="e">
        <f t="shared" ca="1" si="299"/>
        <v>#N/A</v>
      </c>
      <c r="AN871" s="34" t="e">
        <f t="shared" ca="1" si="300"/>
        <v>#N/A</v>
      </c>
    </row>
    <row r="872" spans="1:40" x14ac:dyDescent="0.3">
      <c r="A872" s="2">
        <v>44726</v>
      </c>
      <c r="B872" s="9">
        <v>81.430000000000007</v>
      </c>
      <c r="C872" s="9">
        <v>94.57</v>
      </c>
      <c r="D872" s="9">
        <v>133.75</v>
      </c>
      <c r="E872" s="10"/>
      <c r="F872" s="13">
        <v>869</v>
      </c>
      <c r="G872" s="2">
        <v>44726</v>
      </c>
      <c r="H872" s="14">
        <f t="shared" si="281"/>
        <v>1.0617383689935467E-2</v>
      </c>
      <c r="I872" s="14">
        <f t="shared" si="282"/>
        <v>1.9051762849102791E-3</v>
      </c>
      <c r="J872" s="14">
        <f t="shared" si="283"/>
        <v>1.6129374331676754E-2</v>
      </c>
      <c r="K872" s="22">
        <v>869</v>
      </c>
      <c r="L872" s="12"/>
      <c r="Q872" s="15">
        <f t="shared" si="284"/>
        <v>869</v>
      </c>
      <c r="R872" s="2">
        <f t="shared" si="280"/>
        <v>44726</v>
      </c>
      <c r="S872" s="9">
        <f t="shared" ca="1" si="285"/>
        <v>1.0617383689935467E-2</v>
      </c>
      <c r="T872" s="9">
        <f t="shared" ca="1" si="286"/>
        <v>1.9051762849102791E-3</v>
      </c>
      <c r="U872" s="9">
        <f t="shared" ca="1" si="287"/>
        <v>1.6129374331676754E-2</v>
      </c>
      <c r="AB872" s="33" t="e">
        <f t="shared" ca="1" si="293"/>
        <v>#N/A</v>
      </c>
      <c r="AC872" s="34" t="e">
        <f t="shared" ca="1" si="294"/>
        <v>#N/A</v>
      </c>
      <c r="AD872" s="34" t="e">
        <f t="shared" ca="1" si="295"/>
        <v>#N/A</v>
      </c>
      <c r="AE872" s="33" t="e">
        <f t="shared" ca="1" si="296"/>
        <v>#N/A</v>
      </c>
      <c r="AF872" s="34" t="e">
        <f t="shared" ca="1" si="288"/>
        <v>#N/A</v>
      </c>
      <c r="AG872" s="34" t="e">
        <f t="shared" ca="1" si="289"/>
        <v>#N/A</v>
      </c>
      <c r="AH872" s="34" t="e">
        <f t="shared" ca="1" si="290"/>
        <v>#N/A</v>
      </c>
      <c r="AI872" s="33" t="e">
        <f t="shared" ca="1" si="297"/>
        <v>#N/A</v>
      </c>
      <c r="AJ872" s="34" t="e">
        <f t="shared" ca="1" si="298"/>
        <v>#N/A</v>
      </c>
      <c r="AK872" s="34" t="e">
        <f t="shared" ca="1" si="291"/>
        <v>#N/A</v>
      </c>
      <c r="AL872" s="34" t="e">
        <f t="shared" ca="1" si="292"/>
        <v>#N/A</v>
      </c>
      <c r="AM872" s="33" t="e">
        <f t="shared" ca="1" si="299"/>
        <v>#N/A</v>
      </c>
      <c r="AN872" s="34" t="e">
        <f t="shared" ca="1" si="300"/>
        <v>#N/A</v>
      </c>
    </row>
    <row r="873" spans="1:40" x14ac:dyDescent="0.3">
      <c r="A873" s="2">
        <v>44727</v>
      </c>
      <c r="B873" s="9">
        <v>82.339995999999999</v>
      </c>
      <c r="C873" s="9">
        <v>95.870002999999997</v>
      </c>
      <c r="D873" s="9">
        <v>128.300003</v>
      </c>
      <c r="E873" s="10"/>
      <c r="F873" s="13">
        <v>870</v>
      </c>
      <c r="G873" s="2">
        <v>44727</v>
      </c>
      <c r="H873" s="14">
        <f t="shared" si="281"/>
        <v>1.1113212283654897E-2</v>
      </c>
      <c r="I873" s="14">
        <f t="shared" si="282"/>
        <v>1.3652837353859004E-2</v>
      </c>
      <c r="J873" s="14">
        <f t="shared" si="283"/>
        <v>-4.1601090771828643E-2</v>
      </c>
      <c r="K873" s="22">
        <v>870</v>
      </c>
      <c r="L873" s="12"/>
      <c r="Q873" s="15">
        <f t="shared" si="284"/>
        <v>870</v>
      </c>
      <c r="R873" s="2">
        <f t="shared" si="280"/>
        <v>44727</v>
      </c>
      <c r="S873" s="9">
        <f t="shared" ca="1" si="285"/>
        <v>1.1113212283654897E-2</v>
      </c>
      <c r="T873" s="9">
        <f t="shared" ca="1" si="286"/>
        <v>1.3652837353859004E-2</v>
      </c>
      <c r="U873" s="9">
        <f t="shared" ca="1" si="287"/>
        <v>-4.1601090771828643E-2</v>
      </c>
      <c r="AB873" s="33" t="e">
        <f t="shared" ca="1" si="293"/>
        <v>#N/A</v>
      </c>
      <c r="AC873" s="34" t="e">
        <f t="shared" ca="1" si="294"/>
        <v>#N/A</v>
      </c>
      <c r="AD873" s="34" t="e">
        <f t="shared" ca="1" si="295"/>
        <v>#N/A</v>
      </c>
      <c r="AE873" s="33" t="e">
        <f t="shared" ca="1" si="296"/>
        <v>#N/A</v>
      </c>
      <c r="AF873" s="34" t="e">
        <f t="shared" ca="1" si="288"/>
        <v>#N/A</v>
      </c>
      <c r="AG873" s="34" t="e">
        <f t="shared" ca="1" si="289"/>
        <v>#N/A</v>
      </c>
      <c r="AH873" s="34" t="e">
        <f t="shared" ca="1" si="290"/>
        <v>#N/A</v>
      </c>
      <c r="AI873" s="33" t="e">
        <f t="shared" ca="1" si="297"/>
        <v>#N/A</v>
      </c>
      <c r="AJ873" s="34" t="e">
        <f t="shared" ca="1" si="298"/>
        <v>#N/A</v>
      </c>
      <c r="AK873" s="34" t="e">
        <f t="shared" ca="1" si="291"/>
        <v>#N/A</v>
      </c>
      <c r="AL873" s="34" t="e">
        <f t="shared" ca="1" si="292"/>
        <v>#N/A</v>
      </c>
      <c r="AM873" s="33" t="e">
        <f t="shared" ca="1" si="299"/>
        <v>#N/A</v>
      </c>
      <c r="AN873" s="34" t="e">
        <f t="shared" ca="1" si="300"/>
        <v>#N/A</v>
      </c>
    </row>
    <row r="874" spans="1:40" x14ac:dyDescent="0.3">
      <c r="A874" s="2">
        <v>44728</v>
      </c>
      <c r="B874" s="9">
        <v>78.319999999999993</v>
      </c>
      <c r="C874" s="9">
        <v>87.139999000000003</v>
      </c>
      <c r="D874" s="9">
        <v>118.739998</v>
      </c>
      <c r="E874" s="10"/>
      <c r="F874" s="13">
        <v>871</v>
      </c>
      <c r="G874" s="2">
        <v>44728</v>
      </c>
      <c r="H874" s="14">
        <f t="shared" si="281"/>
        <v>-5.0053969540440182E-2</v>
      </c>
      <c r="I874" s="14">
        <f t="shared" si="282"/>
        <v>-9.5477129167769875E-2</v>
      </c>
      <c r="J874" s="14">
        <f t="shared" si="283"/>
        <v>-7.7435083005281721E-2</v>
      </c>
      <c r="K874" s="22">
        <v>871</v>
      </c>
      <c r="L874" s="12"/>
      <c r="Q874" s="15">
        <f t="shared" si="284"/>
        <v>871</v>
      </c>
      <c r="R874" s="2">
        <f t="shared" si="280"/>
        <v>44728</v>
      </c>
      <c r="S874" s="9">
        <f t="shared" ca="1" si="285"/>
        <v>-5.0053969540440182E-2</v>
      </c>
      <c r="T874" s="9">
        <f t="shared" ca="1" si="286"/>
        <v>-9.5477129167769875E-2</v>
      </c>
      <c r="U874" s="9">
        <f t="shared" ca="1" si="287"/>
        <v>-7.7435083005281721E-2</v>
      </c>
      <c r="AB874" s="33" t="e">
        <f t="shared" ca="1" si="293"/>
        <v>#N/A</v>
      </c>
      <c r="AC874" s="34" t="e">
        <f t="shared" ca="1" si="294"/>
        <v>#N/A</v>
      </c>
      <c r="AD874" s="34" t="e">
        <f t="shared" ca="1" si="295"/>
        <v>#N/A</v>
      </c>
      <c r="AE874" s="33" t="e">
        <f t="shared" ca="1" si="296"/>
        <v>#N/A</v>
      </c>
      <c r="AF874" s="34" t="e">
        <f t="shared" ca="1" si="288"/>
        <v>#N/A</v>
      </c>
      <c r="AG874" s="34" t="e">
        <f t="shared" ca="1" si="289"/>
        <v>#N/A</v>
      </c>
      <c r="AH874" s="34" t="e">
        <f t="shared" ca="1" si="290"/>
        <v>#N/A</v>
      </c>
      <c r="AI874" s="33" t="e">
        <f t="shared" ca="1" si="297"/>
        <v>#N/A</v>
      </c>
      <c r="AJ874" s="34" t="e">
        <f t="shared" ca="1" si="298"/>
        <v>#N/A</v>
      </c>
      <c r="AK874" s="34" t="e">
        <f t="shared" ca="1" si="291"/>
        <v>#N/A</v>
      </c>
      <c r="AL874" s="34" t="e">
        <f t="shared" ca="1" si="292"/>
        <v>#N/A</v>
      </c>
      <c r="AM874" s="33" t="e">
        <f t="shared" ca="1" si="299"/>
        <v>#N/A</v>
      </c>
      <c r="AN874" s="34" t="e">
        <f t="shared" ca="1" si="300"/>
        <v>#N/A</v>
      </c>
    </row>
    <row r="875" spans="1:40" x14ac:dyDescent="0.3">
      <c r="A875" s="2">
        <v>44729</v>
      </c>
      <c r="B875" s="9">
        <v>76.839995999999999</v>
      </c>
      <c r="C875" s="9">
        <v>89.709998999999996</v>
      </c>
      <c r="D875" s="9">
        <v>112.44000200000001</v>
      </c>
      <c r="E875" s="10"/>
      <c r="F875" s="13">
        <v>872</v>
      </c>
      <c r="G875" s="2">
        <v>44729</v>
      </c>
      <c r="H875" s="14">
        <f t="shared" si="281"/>
        <v>-1.9077712378121003E-2</v>
      </c>
      <c r="I875" s="14">
        <f t="shared" si="282"/>
        <v>2.9066225210652805E-2</v>
      </c>
      <c r="J875" s="14">
        <f t="shared" si="283"/>
        <v>-5.451644817341017E-2</v>
      </c>
      <c r="K875" s="22">
        <v>872</v>
      </c>
      <c r="L875" s="12"/>
      <c r="Q875" s="15">
        <f t="shared" si="284"/>
        <v>872</v>
      </c>
      <c r="R875" s="2">
        <f t="shared" si="280"/>
        <v>44729</v>
      </c>
      <c r="S875" s="9">
        <f t="shared" ca="1" si="285"/>
        <v>-1.9077712378121003E-2</v>
      </c>
      <c r="T875" s="9">
        <f t="shared" ca="1" si="286"/>
        <v>2.9066225210652805E-2</v>
      </c>
      <c r="U875" s="9">
        <f t="shared" ca="1" si="287"/>
        <v>-5.451644817341017E-2</v>
      </c>
      <c r="AB875" s="33" t="e">
        <f t="shared" ca="1" si="293"/>
        <v>#N/A</v>
      </c>
      <c r="AC875" s="34" t="e">
        <f t="shared" ca="1" si="294"/>
        <v>#N/A</v>
      </c>
      <c r="AD875" s="34" t="e">
        <f t="shared" ca="1" si="295"/>
        <v>#N/A</v>
      </c>
      <c r="AE875" s="33" t="e">
        <f t="shared" ca="1" si="296"/>
        <v>#N/A</v>
      </c>
      <c r="AF875" s="34" t="e">
        <f t="shared" ca="1" si="288"/>
        <v>#N/A</v>
      </c>
      <c r="AG875" s="34" t="e">
        <f t="shared" ca="1" si="289"/>
        <v>#N/A</v>
      </c>
      <c r="AH875" s="34" t="e">
        <f t="shared" ca="1" si="290"/>
        <v>#N/A</v>
      </c>
      <c r="AI875" s="33" t="e">
        <f t="shared" ca="1" si="297"/>
        <v>#N/A</v>
      </c>
      <c r="AJ875" s="34" t="e">
        <f t="shared" ca="1" si="298"/>
        <v>#N/A</v>
      </c>
      <c r="AK875" s="34" t="e">
        <f t="shared" ca="1" si="291"/>
        <v>#N/A</v>
      </c>
      <c r="AL875" s="34" t="e">
        <f t="shared" ca="1" si="292"/>
        <v>#N/A</v>
      </c>
      <c r="AM875" s="33" t="e">
        <f t="shared" ca="1" si="299"/>
        <v>#N/A</v>
      </c>
      <c r="AN875" s="34" t="e">
        <f t="shared" ca="1" si="300"/>
        <v>#N/A</v>
      </c>
    </row>
    <row r="876" spans="1:40" x14ac:dyDescent="0.3">
      <c r="A876" s="2">
        <v>44733</v>
      </c>
      <c r="B876" s="9">
        <v>79.279999000000004</v>
      </c>
      <c r="C876" s="9">
        <v>92.160004000000001</v>
      </c>
      <c r="D876" s="9">
        <v>116.470001</v>
      </c>
      <c r="E876" s="10"/>
      <c r="F876" s="13">
        <v>873</v>
      </c>
      <c r="G876" s="2">
        <v>44733</v>
      </c>
      <c r="H876" s="14">
        <f t="shared" si="281"/>
        <v>3.1260591564077019E-2</v>
      </c>
      <c r="I876" s="14">
        <f t="shared" si="282"/>
        <v>2.6944005926195284E-2</v>
      </c>
      <c r="J876" s="14">
        <f t="shared" si="283"/>
        <v>3.521397387486707E-2</v>
      </c>
      <c r="K876" s="22">
        <v>873</v>
      </c>
      <c r="L876" s="12"/>
      <c r="Q876" s="15">
        <f t="shared" si="284"/>
        <v>873</v>
      </c>
      <c r="R876" s="2">
        <f t="shared" si="280"/>
        <v>44733</v>
      </c>
      <c r="S876" s="9">
        <f t="shared" ca="1" si="285"/>
        <v>3.1260591564077019E-2</v>
      </c>
      <c r="T876" s="9">
        <f t="shared" ca="1" si="286"/>
        <v>2.6944005926195284E-2</v>
      </c>
      <c r="U876" s="9">
        <f t="shared" ca="1" si="287"/>
        <v>3.521397387486707E-2</v>
      </c>
      <c r="AB876" s="33" t="e">
        <f t="shared" ca="1" si="293"/>
        <v>#N/A</v>
      </c>
      <c r="AC876" s="34" t="e">
        <f t="shared" ca="1" si="294"/>
        <v>#N/A</v>
      </c>
      <c r="AD876" s="34" t="e">
        <f t="shared" ca="1" si="295"/>
        <v>#N/A</v>
      </c>
      <c r="AE876" s="33" t="e">
        <f t="shared" ca="1" si="296"/>
        <v>#N/A</v>
      </c>
      <c r="AF876" s="34" t="e">
        <f t="shared" ca="1" si="288"/>
        <v>#N/A</v>
      </c>
      <c r="AG876" s="34" t="e">
        <f t="shared" ca="1" si="289"/>
        <v>#N/A</v>
      </c>
      <c r="AH876" s="34" t="e">
        <f t="shared" ca="1" si="290"/>
        <v>#N/A</v>
      </c>
      <c r="AI876" s="33" t="e">
        <f t="shared" ca="1" si="297"/>
        <v>#N/A</v>
      </c>
      <c r="AJ876" s="34" t="e">
        <f t="shared" ca="1" si="298"/>
        <v>#N/A</v>
      </c>
      <c r="AK876" s="34" t="e">
        <f t="shared" ca="1" si="291"/>
        <v>#N/A</v>
      </c>
      <c r="AL876" s="34" t="e">
        <f t="shared" ca="1" si="292"/>
        <v>#N/A</v>
      </c>
      <c r="AM876" s="33" t="e">
        <f t="shared" ca="1" si="299"/>
        <v>#N/A</v>
      </c>
      <c r="AN876" s="34" t="e">
        <f t="shared" ca="1" si="300"/>
        <v>#N/A</v>
      </c>
    </row>
    <row r="877" spans="1:40" x14ac:dyDescent="0.3">
      <c r="A877" s="2">
        <v>44734</v>
      </c>
      <c r="B877" s="9">
        <v>80.110000999999997</v>
      </c>
      <c r="C877" s="9">
        <v>92.269997000000004</v>
      </c>
      <c r="D877" s="9">
        <v>113.129997</v>
      </c>
      <c r="E877" s="10"/>
      <c r="F877" s="13">
        <v>874</v>
      </c>
      <c r="G877" s="2">
        <v>44734</v>
      </c>
      <c r="H877" s="14">
        <f t="shared" si="281"/>
        <v>1.0414825301650662E-2</v>
      </c>
      <c r="I877" s="14">
        <f t="shared" si="282"/>
        <v>1.192788726829732E-3</v>
      </c>
      <c r="J877" s="14">
        <f t="shared" si="283"/>
        <v>-2.9096164280252221E-2</v>
      </c>
      <c r="K877" s="22">
        <v>874</v>
      </c>
      <c r="L877" s="12"/>
      <c r="Q877" s="15">
        <f t="shared" si="284"/>
        <v>874</v>
      </c>
      <c r="R877" s="2">
        <f t="shared" si="280"/>
        <v>44734</v>
      </c>
      <c r="S877" s="9">
        <f t="shared" ca="1" si="285"/>
        <v>1.0414825301650662E-2</v>
      </c>
      <c r="T877" s="9">
        <f t="shared" ca="1" si="286"/>
        <v>1.192788726829732E-3</v>
      </c>
      <c r="U877" s="9">
        <f t="shared" ca="1" si="287"/>
        <v>-2.9096164280252221E-2</v>
      </c>
      <c r="AB877" s="33" t="e">
        <f t="shared" ca="1" si="293"/>
        <v>#N/A</v>
      </c>
      <c r="AC877" s="34" t="e">
        <f t="shared" ca="1" si="294"/>
        <v>#N/A</v>
      </c>
      <c r="AD877" s="34" t="e">
        <f t="shared" ca="1" si="295"/>
        <v>#N/A</v>
      </c>
      <c r="AE877" s="33" t="e">
        <f t="shared" ca="1" si="296"/>
        <v>#N/A</v>
      </c>
      <c r="AF877" s="34" t="e">
        <f t="shared" ca="1" si="288"/>
        <v>#N/A</v>
      </c>
      <c r="AG877" s="34" t="e">
        <f t="shared" ca="1" si="289"/>
        <v>#N/A</v>
      </c>
      <c r="AH877" s="34" t="e">
        <f t="shared" ca="1" si="290"/>
        <v>#N/A</v>
      </c>
      <c r="AI877" s="33" t="e">
        <f t="shared" ca="1" si="297"/>
        <v>#N/A</v>
      </c>
      <c r="AJ877" s="34" t="e">
        <f t="shared" ca="1" si="298"/>
        <v>#N/A</v>
      </c>
      <c r="AK877" s="34" t="e">
        <f t="shared" ca="1" si="291"/>
        <v>#N/A</v>
      </c>
      <c r="AL877" s="34" t="e">
        <f t="shared" ca="1" si="292"/>
        <v>#N/A</v>
      </c>
      <c r="AM877" s="33" t="e">
        <f t="shared" ca="1" si="299"/>
        <v>#N/A</v>
      </c>
      <c r="AN877" s="34" t="e">
        <f t="shared" ca="1" si="300"/>
        <v>#N/A</v>
      </c>
    </row>
    <row r="878" spans="1:40" x14ac:dyDescent="0.3">
      <c r="A878" s="2">
        <v>44735</v>
      </c>
      <c r="B878" s="9">
        <v>75.080001999999993</v>
      </c>
      <c r="C878" s="9">
        <v>93.330001999999993</v>
      </c>
      <c r="D878" s="9">
        <v>104.529999</v>
      </c>
      <c r="E878" s="10"/>
      <c r="F878" s="13">
        <v>875</v>
      </c>
      <c r="G878" s="2">
        <v>44735</v>
      </c>
      <c r="H878" s="14">
        <f t="shared" si="281"/>
        <v>-6.4846464353301311E-2</v>
      </c>
      <c r="I878" s="14">
        <f t="shared" si="282"/>
        <v>1.1422591929804006E-2</v>
      </c>
      <c r="J878" s="14">
        <f t="shared" si="283"/>
        <v>-7.9063471442226016E-2</v>
      </c>
      <c r="K878" s="22">
        <v>875</v>
      </c>
      <c r="L878" s="12"/>
      <c r="Q878" s="15">
        <f t="shared" si="284"/>
        <v>875</v>
      </c>
      <c r="R878" s="2">
        <f t="shared" si="280"/>
        <v>44735</v>
      </c>
      <c r="S878" s="9">
        <f t="shared" ca="1" si="285"/>
        <v>-6.4846464353301311E-2</v>
      </c>
      <c r="T878" s="9">
        <f t="shared" ca="1" si="286"/>
        <v>1.1422591929804006E-2</v>
      </c>
      <c r="U878" s="9">
        <f t="shared" ca="1" si="287"/>
        <v>-7.9063471442226016E-2</v>
      </c>
      <c r="AB878" s="33" t="e">
        <f t="shared" ca="1" si="293"/>
        <v>#N/A</v>
      </c>
      <c r="AC878" s="34" t="e">
        <f t="shared" ca="1" si="294"/>
        <v>#N/A</v>
      </c>
      <c r="AD878" s="34" t="e">
        <f t="shared" ca="1" si="295"/>
        <v>#N/A</v>
      </c>
      <c r="AE878" s="33" t="e">
        <f t="shared" ca="1" si="296"/>
        <v>#N/A</v>
      </c>
      <c r="AF878" s="34" t="e">
        <f t="shared" ca="1" si="288"/>
        <v>#N/A</v>
      </c>
      <c r="AG878" s="34" t="e">
        <f t="shared" ca="1" si="289"/>
        <v>#N/A</v>
      </c>
      <c r="AH878" s="34" t="e">
        <f t="shared" ca="1" si="290"/>
        <v>#N/A</v>
      </c>
      <c r="AI878" s="33" t="e">
        <f t="shared" ca="1" si="297"/>
        <v>#N/A</v>
      </c>
      <c r="AJ878" s="34" t="e">
        <f t="shared" ca="1" si="298"/>
        <v>#N/A</v>
      </c>
      <c r="AK878" s="34" t="e">
        <f t="shared" ca="1" si="291"/>
        <v>#N/A</v>
      </c>
      <c r="AL878" s="34" t="e">
        <f t="shared" ca="1" si="292"/>
        <v>#N/A</v>
      </c>
      <c r="AM878" s="33" t="e">
        <f t="shared" ca="1" si="299"/>
        <v>#N/A</v>
      </c>
      <c r="AN878" s="34" t="e">
        <f t="shared" ca="1" si="300"/>
        <v>#N/A</v>
      </c>
    </row>
    <row r="879" spans="1:40" x14ac:dyDescent="0.3">
      <c r="A879" s="2">
        <v>44736</v>
      </c>
      <c r="B879" s="9">
        <v>77.900002000000001</v>
      </c>
      <c r="C879" s="9">
        <v>96.349997999999999</v>
      </c>
      <c r="D879" s="9">
        <v>103.93</v>
      </c>
      <c r="E879" s="10"/>
      <c r="F879" s="13">
        <v>876</v>
      </c>
      <c r="G879" s="2">
        <v>44736</v>
      </c>
      <c r="H879" s="14">
        <f t="shared" si="281"/>
        <v>3.6871740194083034E-2</v>
      </c>
      <c r="I879" s="14">
        <f t="shared" si="282"/>
        <v>3.1845753095728985E-2</v>
      </c>
      <c r="J879" s="14">
        <f t="shared" si="283"/>
        <v>-5.7565063776538429E-3</v>
      </c>
      <c r="K879" s="22">
        <v>876</v>
      </c>
      <c r="L879" s="12"/>
      <c r="Q879" s="15">
        <f t="shared" si="284"/>
        <v>876</v>
      </c>
      <c r="R879" s="2">
        <f t="shared" si="280"/>
        <v>44736</v>
      </c>
      <c r="S879" s="9">
        <f t="shared" ca="1" si="285"/>
        <v>3.6871740194083034E-2</v>
      </c>
      <c r="T879" s="9">
        <f t="shared" ca="1" si="286"/>
        <v>3.1845753095728985E-2</v>
      </c>
      <c r="U879" s="9">
        <f t="shared" ca="1" si="287"/>
        <v>-5.7565063776538429E-3</v>
      </c>
      <c r="AB879" s="33" t="e">
        <f t="shared" ca="1" si="293"/>
        <v>#N/A</v>
      </c>
      <c r="AC879" s="34" t="e">
        <f t="shared" ca="1" si="294"/>
        <v>#N/A</v>
      </c>
      <c r="AD879" s="34" t="e">
        <f t="shared" ca="1" si="295"/>
        <v>#N/A</v>
      </c>
      <c r="AE879" s="33" t="e">
        <f t="shared" ca="1" si="296"/>
        <v>#N/A</v>
      </c>
      <c r="AF879" s="34" t="e">
        <f t="shared" ca="1" si="288"/>
        <v>#N/A</v>
      </c>
      <c r="AG879" s="34" t="e">
        <f t="shared" ca="1" si="289"/>
        <v>#N/A</v>
      </c>
      <c r="AH879" s="34" t="e">
        <f t="shared" ca="1" si="290"/>
        <v>#N/A</v>
      </c>
      <c r="AI879" s="33" t="e">
        <f t="shared" ca="1" si="297"/>
        <v>#N/A</v>
      </c>
      <c r="AJ879" s="34" t="e">
        <f t="shared" ca="1" si="298"/>
        <v>#N/A</v>
      </c>
      <c r="AK879" s="34" t="e">
        <f t="shared" ca="1" si="291"/>
        <v>#N/A</v>
      </c>
      <c r="AL879" s="34" t="e">
        <f t="shared" ca="1" si="292"/>
        <v>#N/A</v>
      </c>
      <c r="AM879" s="33" t="e">
        <f t="shared" ca="1" si="299"/>
        <v>#N/A</v>
      </c>
      <c r="AN879" s="34" t="e">
        <f t="shared" ca="1" si="300"/>
        <v>#N/A</v>
      </c>
    </row>
    <row r="880" spans="1:40" x14ac:dyDescent="0.3">
      <c r="A880" s="2">
        <v>44739</v>
      </c>
      <c r="B880" s="9">
        <v>77.559997999999993</v>
      </c>
      <c r="C880" s="9">
        <v>94.190002000000007</v>
      </c>
      <c r="D880" s="9">
        <v>112.239998</v>
      </c>
      <c r="E880" s="10"/>
      <c r="F880" s="13">
        <v>877</v>
      </c>
      <c r="G880" s="2">
        <v>44739</v>
      </c>
      <c r="H880" s="14">
        <f t="shared" si="281"/>
        <v>-4.3741739626804634E-3</v>
      </c>
      <c r="I880" s="14">
        <f t="shared" si="282"/>
        <v>-2.2673334034318586E-2</v>
      </c>
      <c r="J880" s="14">
        <f t="shared" si="283"/>
        <v>7.6921822374915683E-2</v>
      </c>
      <c r="K880" s="22">
        <v>877</v>
      </c>
      <c r="L880" s="12"/>
      <c r="Q880" s="15">
        <f t="shared" si="284"/>
        <v>877</v>
      </c>
      <c r="R880" s="2">
        <f t="shared" si="280"/>
        <v>44739</v>
      </c>
      <c r="S880" s="9">
        <f t="shared" ca="1" si="285"/>
        <v>-4.3741739626804634E-3</v>
      </c>
      <c r="T880" s="9">
        <f t="shared" ca="1" si="286"/>
        <v>-2.2673334034318586E-2</v>
      </c>
      <c r="U880" s="9">
        <f t="shared" ca="1" si="287"/>
        <v>7.6921822374915683E-2</v>
      </c>
      <c r="AB880" s="33" t="e">
        <f t="shared" ca="1" si="293"/>
        <v>#N/A</v>
      </c>
      <c r="AC880" s="34" t="e">
        <f t="shared" ca="1" si="294"/>
        <v>#N/A</v>
      </c>
      <c r="AD880" s="34" t="e">
        <f t="shared" ca="1" si="295"/>
        <v>#N/A</v>
      </c>
      <c r="AE880" s="33" t="e">
        <f t="shared" ca="1" si="296"/>
        <v>#N/A</v>
      </c>
      <c r="AF880" s="34" t="e">
        <f t="shared" ca="1" si="288"/>
        <v>#N/A</v>
      </c>
      <c r="AG880" s="34" t="e">
        <f t="shared" ca="1" si="289"/>
        <v>#N/A</v>
      </c>
      <c r="AH880" s="34" t="e">
        <f t="shared" ca="1" si="290"/>
        <v>#N/A</v>
      </c>
      <c r="AI880" s="33" t="e">
        <f t="shared" ca="1" si="297"/>
        <v>#N/A</v>
      </c>
      <c r="AJ880" s="34" t="e">
        <f t="shared" ca="1" si="298"/>
        <v>#N/A</v>
      </c>
      <c r="AK880" s="34" t="e">
        <f t="shared" ca="1" si="291"/>
        <v>#N/A</v>
      </c>
      <c r="AL880" s="34" t="e">
        <f t="shared" ca="1" si="292"/>
        <v>#N/A</v>
      </c>
      <c r="AM880" s="33" t="e">
        <f t="shared" ca="1" si="299"/>
        <v>#N/A</v>
      </c>
      <c r="AN880" s="34" t="e">
        <f t="shared" ca="1" si="300"/>
        <v>#N/A</v>
      </c>
    </row>
    <row r="881" spans="1:40" x14ac:dyDescent="0.3">
      <c r="A881" s="2">
        <v>44740</v>
      </c>
      <c r="B881" s="9">
        <v>75.769997000000004</v>
      </c>
      <c r="C881" s="9">
        <v>93.07</v>
      </c>
      <c r="D881" s="9">
        <v>116.25</v>
      </c>
      <c r="E881" s="10"/>
      <c r="F881" s="13">
        <v>878</v>
      </c>
      <c r="G881" s="2">
        <v>44740</v>
      </c>
      <c r="H881" s="14">
        <f t="shared" si="281"/>
        <v>-2.3349408238188155E-2</v>
      </c>
      <c r="I881" s="14">
        <f t="shared" si="282"/>
        <v>-1.1962141870783137E-2</v>
      </c>
      <c r="J881" s="14">
        <f t="shared" si="283"/>
        <v>3.5103626492219688E-2</v>
      </c>
      <c r="K881" s="22">
        <v>878</v>
      </c>
      <c r="L881" s="12"/>
      <c r="Q881" s="15">
        <f t="shared" si="284"/>
        <v>878</v>
      </c>
      <c r="R881" s="2">
        <f t="shared" si="280"/>
        <v>44740</v>
      </c>
      <c r="S881" s="9">
        <f t="shared" ca="1" si="285"/>
        <v>-2.3349408238188155E-2</v>
      </c>
      <c r="T881" s="9">
        <f t="shared" ca="1" si="286"/>
        <v>-1.1962141870783137E-2</v>
      </c>
      <c r="U881" s="9">
        <f t="shared" ca="1" si="287"/>
        <v>3.5103626492219688E-2</v>
      </c>
      <c r="AB881" s="33" t="e">
        <f t="shared" ca="1" si="293"/>
        <v>#N/A</v>
      </c>
      <c r="AC881" s="34" t="e">
        <f t="shared" ca="1" si="294"/>
        <v>#N/A</v>
      </c>
      <c r="AD881" s="34" t="e">
        <f t="shared" ca="1" si="295"/>
        <v>#N/A</v>
      </c>
      <c r="AE881" s="33" t="e">
        <f t="shared" ca="1" si="296"/>
        <v>#N/A</v>
      </c>
      <c r="AF881" s="34" t="e">
        <f t="shared" ca="1" si="288"/>
        <v>#N/A</v>
      </c>
      <c r="AG881" s="34" t="e">
        <f t="shared" ca="1" si="289"/>
        <v>#N/A</v>
      </c>
      <c r="AH881" s="34" t="e">
        <f t="shared" ca="1" si="290"/>
        <v>#N/A</v>
      </c>
      <c r="AI881" s="33" t="e">
        <f t="shared" ca="1" si="297"/>
        <v>#N/A</v>
      </c>
      <c r="AJ881" s="34" t="e">
        <f t="shared" ca="1" si="298"/>
        <v>#N/A</v>
      </c>
      <c r="AK881" s="34" t="e">
        <f t="shared" ca="1" si="291"/>
        <v>#N/A</v>
      </c>
      <c r="AL881" s="34" t="e">
        <f t="shared" ca="1" si="292"/>
        <v>#N/A</v>
      </c>
      <c r="AM881" s="33" t="e">
        <f t="shared" ca="1" si="299"/>
        <v>#N/A</v>
      </c>
      <c r="AN881" s="34" t="e">
        <f t="shared" ca="1" si="300"/>
        <v>#N/A</v>
      </c>
    </row>
    <row r="882" spans="1:40" x14ac:dyDescent="0.3">
      <c r="A882" s="2">
        <v>44741</v>
      </c>
      <c r="B882" s="9">
        <v>75.519997000000004</v>
      </c>
      <c r="C882" s="9">
        <v>91.529999000000004</v>
      </c>
      <c r="D882" s="9">
        <v>108.849998</v>
      </c>
      <c r="E882" s="10"/>
      <c r="F882" s="13">
        <v>879</v>
      </c>
      <c r="G882" s="2">
        <v>44741</v>
      </c>
      <c r="H882" s="14">
        <f t="shared" si="281"/>
        <v>-3.3049142371064269E-3</v>
      </c>
      <c r="I882" s="14">
        <f t="shared" si="282"/>
        <v>-1.6685121726310738E-2</v>
      </c>
      <c r="J882" s="14">
        <f t="shared" si="283"/>
        <v>-6.5772275160818433E-2</v>
      </c>
      <c r="K882" s="22">
        <v>879</v>
      </c>
      <c r="L882" s="12"/>
      <c r="Q882" s="15">
        <f t="shared" si="284"/>
        <v>879</v>
      </c>
      <c r="R882" s="2">
        <f t="shared" si="280"/>
        <v>44741</v>
      </c>
      <c r="S882" s="9">
        <f t="shared" ca="1" si="285"/>
        <v>-3.3049142371064269E-3</v>
      </c>
      <c r="T882" s="9">
        <f t="shared" ca="1" si="286"/>
        <v>-1.6685121726310738E-2</v>
      </c>
      <c r="U882" s="9">
        <f t="shared" ca="1" si="287"/>
        <v>-6.5772275160818433E-2</v>
      </c>
      <c r="AB882" s="33" t="e">
        <f t="shared" ca="1" si="293"/>
        <v>#N/A</v>
      </c>
      <c r="AC882" s="34" t="e">
        <f t="shared" ca="1" si="294"/>
        <v>#N/A</v>
      </c>
      <c r="AD882" s="34" t="e">
        <f t="shared" ca="1" si="295"/>
        <v>#N/A</v>
      </c>
      <c r="AE882" s="33" t="e">
        <f t="shared" ca="1" si="296"/>
        <v>#N/A</v>
      </c>
      <c r="AF882" s="34" t="e">
        <f t="shared" ca="1" si="288"/>
        <v>#N/A</v>
      </c>
      <c r="AG882" s="34" t="e">
        <f t="shared" ca="1" si="289"/>
        <v>#N/A</v>
      </c>
      <c r="AH882" s="34" t="e">
        <f t="shared" ca="1" si="290"/>
        <v>#N/A</v>
      </c>
      <c r="AI882" s="33" t="e">
        <f t="shared" ca="1" si="297"/>
        <v>#N/A</v>
      </c>
      <c r="AJ882" s="34" t="e">
        <f t="shared" ca="1" si="298"/>
        <v>#N/A</v>
      </c>
      <c r="AK882" s="34" t="e">
        <f t="shared" ca="1" si="291"/>
        <v>#N/A</v>
      </c>
      <c r="AL882" s="34" t="e">
        <f t="shared" ca="1" si="292"/>
        <v>#N/A</v>
      </c>
      <c r="AM882" s="33" t="e">
        <f t="shared" ca="1" si="299"/>
        <v>#N/A</v>
      </c>
      <c r="AN882" s="34" t="e">
        <f t="shared" ca="1" si="300"/>
        <v>#N/A</v>
      </c>
    </row>
    <row r="883" spans="1:40" x14ac:dyDescent="0.3">
      <c r="A883" s="2">
        <v>44742</v>
      </c>
      <c r="B883" s="9">
        <v>74.889999000000003</v>
      </c>
      <c r="C883" s="9">
        <v>89.650002000000001</v>
      </c>
      <c r="D883" s="9">
        <v>106.279999</v>
      </c>
      <c r="E883" s="10"/>
      <c r="F883" s="13">
        <v>880</v>
      </c>
      <c r="G883" s="2">
        <v>44742</v>
      </c>
      <c r="H883" s="14">
        <f t="shared" si="281"/>
        <v>-8.3771252043102155E-3</v>
      </c>
      <c r="I883" s="14">
        <f t="shared" si="282"/>
        <v>-2.0753554111187254E-2</v>
      </c>
      <c r="J883" s="14">
        <f t="shared" si="283"/>
        <v>-2.3893657824142531E-2</v>
      </c>
      <c r="K883" s="22">
        <v>880</v>
      </c>
      <c r="L883" s="12"/>
      <c r="Q883" s="15">
        <f t="shared" si="284"/>
        <v>880</v>
      </c>
      <c r="R883" s="2">
        <f t="shared" si="280"/>
        <v>44742</v>
      </c>
      <c r="S883" s="9">
        <f t="shared" ca="1" si="285"/>
        <v>-8.3771252043102155E-3</v>
      </c>
      <c r="T883" s="9">
        <f t="shared" ca="1" si="286"/>
        <v>-2.0753554111187254E-2</v>
      </c>
      <c r="U883" s="9">
        <f t="shared" ca="1" si="287"/>
        <v>-2.3893657824142531E-2</v>
      </c>
      <c r="AB883" s="33" t="e">
        <f t="shared" ca="1" si="293"/>
        <v>#N/A</v>
      </c>
      <c r="AC883" s="34" t="e">
        <f t="shared" ca="1" si="294"/>
        <v>#N/A</v>
      </c>
      <c r="AD883" s="34" t="e">
        <f t="shared" ca="1" si="295"/>
        <v>#N/A</v>
      </c>
      <c r="AE883" s="33" t="e">
        <f t="shared" ca="1" si="296"/>
        <v>#N/A</v>
      </c>
      <c r="AF883" s="34" t="e">
        <f t="shared" ca="1" si="288"/>
        <v>#N/A</v>
      </c>
      <c r="AG883" s="34" t="e">
        <f t="shared" ca="1" si="289"/>
        <v>#N/A</v>
      </c>
      <c r="AH883" s="34" t="e">
        <f t="shared" ca="1" si="290"/>
        <v>#N/A</v>
      </c>
      <c r="AI883" s="33" t="e">
        <f t="shared" ca="1" si="297"/>
        <v>#N/A</v>
      </c>
      <c r="AJ883" s="34" t="e">
        <f t="shared" ca="1" si="298"/>
        <v>#N/A</v>
      </c>
      <c r="AK883" s="34" t="e">
        <f t="shared" ca="1" si="291"/>
        <v>#N/A</v>
      </c>
      <c r="AL883" s="34" t="e">
        <f t="shared" ca="1" si="292"/>
        <v>#N/A</v>
      </c>
      <c r="AM883" s="33" t="e">
        <f t="shared" ca="1" si="299"/>
        <v>#N/A</v>
      </c>
      <c r="AN883" s="34" t="e">
        <f t="shared" ca="1" si="300"/>
        <v>#N/A</v>
      </c>
    </row>
    <row r="884" spans="1:40" x14ac:dyDescent="0.3">
      <c r="A884" s="2">
        <v>44743</v>
      </c>
      <c r="B884" s="9">
        <v>75.400002000000001</v>
      </c>
      <c r="C884" s="9">
        <v>90.699996999999996</v>
      </c>
      <c r="D884" s="9">
        <v>107.980003</v>
      </c>
      <c r="E884" s="10"/>
      <c r="F884" s="13">
        <v>881</v>
      </c>
      <c r="G884" s="2">
        <v>44743</v>
      </c>
      <c r="H884" s="14">
        <f t="shared" si="281"/>
        <v>6.7869446307508921E-3</v>
      </c>
      <c r="I884" s="14">
        <f t="shared" si="282"/>
        <v>1.1644101684894275E-2</v>
      </c>
      <c r="J884" s="14">
        <f t="shared" si="283"/>
        <v>1.5868941090558433E-2</v>
      </c>
      <c r="K884" s="22">
        <v>881</v>
      </c>
      <c r="L884" s="12"/>
      <c r="Q884" s="15">
        <f t="shared" si="284"/>
        <v>881</v>
      </c>
      <c r="R884" s="2">
        <f t="shared" si="280"/>
        <v>44743</v>
      </c>
      <c r="S884" s="9">
        <f t="shared" ca="1" si="285"/>
        <v>6.7869446307508921E-3</v>
      </c>
      <c r="T884" s="9">
        <f t="shared" ca="1" si="286"/>
        <v>1.1644101684894275E-2</v>
      </c>
      <c r="U884" s="9">
        <f t="shared" ca="1" si="287"/>
        <v>1.5868941090558433E-2</v>
      </c>
      <c r="AB884" s="33" t="e">
        <f t="shared" ca="1" si="293"/>
        <v>#N/A</v>
      </c>
      <c r="AC884" s="34" t="e">
        <f t="shared" ca="1" si="294"/>
        <v>#N/A</v>
      </c>
      <c r="AD884" s="34" t="e">
        <f t="shared" ca="1" si="295"/>
        <v>#N/A</v>
      </c>
      <c r="AE884" s="33" t="e">
        <f t="shared" ca="1" si="296"/>
        <v>#N/A</v>
      </c>
      <c r="AF884" s="34" t="e">
        <f t="shared" ca="1" si="288"/>
        <v>#N/A</v>
      </c>
      <c r="AG884" s="34" t="e">
        <f t="shared" ca="1" si="289"/>
        <v>#N/A</v>
      </c>
      <c r="AH884" s="34" t="e">
        <f t="shared" ca="1" si="290"/>
        <v>#N/A</v>
      </c>
      <c r="AI884" s="33" t="e">
        <f t="shared" ca="1" si="297"/>
        <v>#N/A</v>
      </c>
      <c r="AJ884" s="34" t="e">
        <f t="shared" ca="1" si="298"/>
        <v>#N/A</v>
      </c>
      <c r="AK884" s="34" t="e">
        <f t="shared" ca="1" si="291"/>
        <v>#N/A</v>
      </c>
      <c r="AL884" s="34" t="e">
        <f t="shared" ca="1" si="292"/>
        <v>#N/A</v>
      </c>
      <c r="AM884" s="33" t="e">
        <f t="shared" ca="1" si="299"/>
        <v>#N/A</v>
      </c>
      <c r="AN884" s="34" t="e">
        <f t="shared" ca="1" si="300"/>
        <v>#N/A</v>
      </c>
    </row>
    <row r="885" spans="1:40" x14ac:dyDescent="0.3">
      <c r="A885" s="2">
        <v>44747</v>
      </c>
      <c r="B885" s="9">
        <v>77.239998</v>
      </c>
      <c r="C885" s="9">
        <v>90.75</v>
      </c>
      <c r="D885" s="9">
        <v>103.589996</v>
      </c>
      <c r="E885" s="10"/>
      <c r="F885" s="13">
        <v>882</v>
      </c>
      <c r="G885" s="2">
        <v>44747</v>
      </c>
      <c r="H885" s="14">
        <f t="shared" si="281"/>
        <v>2.4110130127884752E-2</v>
      </c>
      <c r="I885" s="14">
        <f t="shared" si="282"/>
        <v>5.5114909994478521E-4</v>
      </c>
      <c r="J885" s="14">
        <f t="shared" si="283"/>
        <v>-4.1505291116819221E-2</v>
      </c>
      <c r="K885" s="22">
        <v>882</v>
      </c>
      <c r="L885" s="12"/>
      <c r="Q885" s="15">
        <f t="shared" si="284"/>
        <v>882</v>
      </c>
      <c r="R885" s="2">
        <f t="shared" si="280"/>
        <v>44747</v>
      </c>
      <c r="S885" s="9">
        <f t="shared" ca="1" si="285"/>
        <v>2.4110130127884752E-2</v>
      </c>
      <c r="T885" s="9">
        <f t="shared" ca="1" si="286"/>
        <v>5.5114909994478521E-4</v>
      </c>
      <c r="U885" s="9">
        <f t="shared" ca="1" si="287"/>
        <v>-4.1505291116819221E-2</v>
      </c>
      <c r="AB885" s="33" t="e">
        <f t="shared" ca="1" si="293"/>
        <v>#N/A</v>
      </c>
      <c r="AC885" s="34" t="e">
        <f t="shared" ca="1" si="294"/>
        <v>#N/A</v>
      </c>
      <c r="AD885" s="34" t="e">
        <f t="shared" ca="1" si="295"/>
        <v>#N/A</v>
      </c>
      <c r="AE885" s="33" t="e">
        <f t="shared" ca="1" si="296"/>
        <v>#N/A</v>
      </c>
      <c r="AF885" s="34" t="e">
        <f t="shared" ca="1" si="288"/>
        <v>#N/A</v>
      </c>
      <c r="AG885" s="34" t="e">
        <f t="shared" ca="1" si="289"/>
        <v>#N/A</v>
      </c>
      <c r="AH885" s="34" t="e">
        <f t="shared" ca="1" si="290"/>
        <v>#N/A</v>
      </c>
      <c r="AI885" s="33" t="e">
        <f t="shared" ca="1" si="297"/>
        <v>#N/A</v>
      </c>
      <c r="AJ885" s="34" t="e">
        <f t="shared" ca="1" si="298"/>
        <v>#N/A</v>
      </c>
      <c r="AK885" s="34" t="e">
        <f t="shared" ca="1" si="291"/>
        <v>#N/A</v>
      </c>
      <c r="AL885" s="34" t="e">
        <f t="shared" ca="1" si="292"/>
        <v>#N/A</v>
      </c>
      <c r="AM885" s="33" t="e">
        <f t="shared" ca="1" si="299"/>
        <v>#N/A</v>
      </c>
      <c r="AN885" s="34" t="e">
        <f t="shared" ca="1" si="300"/>
        <v>#N/A</v>
      </c>
    </row>
    <row r="886" spans="1:40" x14ac:dyDescent="0.3">
      <c r="A886" s="2">
        <v>44748</v>
      </c>
      <c r="B886" s="9">
        <v>77.879997000000003</v>
      </c>
      <c r="C886" s="9">
        <v>90.040001000000004</v>
      </c>
      <c r="D886" s="9">
        <v>101.709999</v>
      </c>
      <c r="E886" s="10"/>
      <c r="F886" s="13">
        <v>883</v>
      </c>
      <c r="G886" s="2">
        <v>44748</v>
      </c>
      <c r="H886" s="14">
        <f t="shared" si="281"/>
        <v>8.2517103162031511E-3</v>
      </c>
      <c r="I886" s="14">
        <f t="shared" si="282"/>
        <v>-7.854446000253654E-3</v>
      </c>
      <c r="J886" s="14">
        <f t="shared" si="283"/>
        <v>-1.8315144650614248E-2</v>
      </c>
      <c r="K886" s="22">
        <v>883</v>
      </c>
      <c r="L886" s="12"/>
      <c r="Q886" s="15">
        <f t="shared" si="284"/>
        <v>883</v>
      </c>
      <c r="R886" s="2">
        <f t="shared" si="280"/>
        <v>44748</v>
      </c>
      <c r="S886" s="9">
        <f t="shared" ca="1" si="285"/>
        <v>8.2517103162031511E-3</v>
      </c>
      <c r="T886" s="9">
        <f t="shared" ca="1" si="286"/>
        <v>-7.854446000253654E-3</v>
      </c>
      <c r="U886" s="9">
        <f t="shared" ca="1" si="287"/>
        <v>-1.8315144650614248E-2</v>
      </c>
      <c r="AB886" s="33" t="e">
        <f t="shared" ca="1" si="293"/>
        <v>#N/A</v>
      </c>
      <c r="AC886" s="34" t="e">
        <f t="shared" ca="1" si="294"/>
        <v>#N/A</v>
      </c>
      <c r="AD886" s="34" t="e">
        <f t="shared" ca="1" si="295"/>
        <v>#N/A</v>
      </c>
      <c r="AE886" s="33" t="e">
        <f t="shared" ca="1" si="296"/>
        <v>#N/A</v>
      </c>
      <c r="AF886" s="34" t="e">
        <f t="shared" ca="1" si="288"/>
        <v>#N/A</v>
      </c>
      <c r="AG886" s="34" t="e">
        <f t="shared" ca="1" si="289"/>
        <v>#N/A</v>
      </c>
      <c r="AH886" s="34" t="e">
        <f t="shared" ca="1" si="290"/>
        <v>#N/A</v>
      </c>
      <c r="AI886" s="33" t="e">
        <f t="shared" ca="1" si="297"/>
        <v>#N/A</v>
      </c>
      <c r="AJ886" s="34" t="e">
        <f t="shared" ca="1" si="298"/>
        <v>#N/A</v>
      </c>
      <c r="AK886" s="34" t="e">
        <f t="shared" ca="1" si="291"/>
        <v>#N/A</v>
      </c>
      <c r="AL886" s="34" t="e">
        <f t="shared" ca="1" si="292"/>
        <v>#N/A</v>
      </c>
      <c r="AM886" s="33" t="e">
        <f t="shared" ca="1" si="299"/>
        <v>#N/A</v>
      </c>
      <c r="AN886" s="34" t="e">
        <f t="shared" ca="1" si="300"/>
        <v>#N/A</v>
      </c>
    </row>
    <row r="887" spans="1:40" x14ac:dyDescent="0.3">
      <c r="A887" s="2">
        <v>44749</v>
      </c>
      <c r="B887" s="9">
        <v>79.800003000000004</v>
      </c>
      <c r="C887" s="9">
        <v>93.139999000000003</v>
      </c>
      <c r="D887" s="9">
        <v>106.339996</v>
      </c>
      <c r="E887" s="10"/>
      <c r="F887" s="13">
        <v>884</v>
      </c>
      <c r="G887" s="2">
        <v>44749</v>
      </c>
      <c r="H887" s="14">
        <f t="shared" si="281"/>
        <v>2.4354400066550454E-2</v>
      </c>
      <c r="I887" s="14">
        <f t="shared" si="282"/>
        <v>3.3849699672999015E-2</v>
      </c>
      <c r="J887" s="14">
        <f t="shared" si="283"/>
        <v>4.4515853655365277E-2</v>
      </c>
      <c r="K887" s="22">
        <v>884</v>
      </c>
      <c r="L887" s="12"/>
      <c r="Q887" s="15">
        <f t="shared" si="284"/>
        <v>884</v>
      </c>
      <c r="R887" s="2">
        <f t="shared" si="280"/>
        <v>44749</v>
      </c>
      <c r="S887" s="9">
        <f t="shared" ca="1" si="285"/>
        <v>2.4354400066550454E-2</v>
      </c>
      <c r="T887" s="9">
        <f t="shared" ca="1" si="286"/>
        <v>3.3849699672999015E-2</v>
      </c>
      <c r="U887" s="9">
        <f t="shared" ca="1" si="287"/>
        <v>4.4515853655365277E-2</v>
      </c>
      <c r="AB887" s="33" t="e">
        <f t="shared" ca="1" si="293"/>
        <v>#N/A</v>
      </c>
      <c r="AC887" s="34" t="e">
        <f t="shared" ca="1" si="294"/>
        <v>#N/A</v>
      </c>
      <c r="AD887" s="34" t="e">
        <f t="shared" ca="1" si="295"/>
        <v>#N/A</v>
      </c>
      <c r="AE887" s="33" t="e">
        <f t="shared" ca="1" si="296"/>
        <v>#N/A</v>
      </c>
      <c r="AF887" s="34" t="e">
        <f t="shared" ca="1" si="288"/>
        <v>#N/A</v>
      </c>
      <c r="AG887" s="34" t="e">
        <f t="shared" ca="1" si="289"/>
        <v>#N/A</v>
      </c>
      <c r="AH887" s="34" t="e">
        <f t="shared" ca="1" si="290"/>
        <v>#N/A</v>
      </c>
      <c r="AI887" s="33" t="e">
        <f t="shared" ca="1" si="297"/>
        <v>#N/A</v>
      </c>
      <c r="AJ887" s="34" t="e">
        <f t="shared" ca="1" si="298"/>
        <v>#N/A</v>
      </c>
      <c r="AK887" s="34" t="e">
        <f t="shared" ca="1" si="291"/>
        <v>#N/A</v>
      </c>
      <c r="AL887" s="34" t="e">
        <f t="shared" ca="1" si="292"/>
        <v>#N/A</v>
      </c>
      <c r="AM887" s="33" t="e">
        <f t="shared" ca="1" si="299"/>
        <v>#N/A</v>
      </c>
      <c r="AN887" s="34" t="e">
        <f t="shared" ca="1" si="300"/>
        <v>#N/A</v>
      </c>
    </row>
    <row r="888" spans="1:40" x14ac:dyDescent="0.3">
      <c r="A888" s="2">
        <v>44750</v>
      </c>
      <c r="B888" s="9">
        <v>78.519997000000004</v>
      </c>
      <c r="C888" s="9">
        <v>93.199996999999996</v>
      </c>
      <c r="D888" s="9">
        <v>107.029999</v>
      </c>
      <c r="E888" s="10"/>
      <c r="F888" s="13">
        <v>885</v>
      </c>
      <c r="G888" s="2">
        <v>44750</v>
      </c>
      <c r="H888" s="14">
        <f t="shared" si="281"/>
        <v>-1.6170210848314038E-2</v>
      </c>
      <c r="I888" s="14">
        <f t="shared" si="282"/>
        <v>6.4396268499823629E-4</v>
      </c>
      <c r="J888" s="14">
        <f t="shared" si="283"/>
        <v>6.4676891921142919E-3</v>
      </c>
      <c r="K888" s="22">
        <v>885</v>
      </c>
      <c r="L888" s="12"/>
      <c r="Q888" s="15">
        <f t="shared" si="284"/>
        <v>885</v>
      </c>
      <c r="R888" s="2">
        <f t="shared" si="280"/>
        <v>44750</v>
      </c>
      <c r="S888" s="9">
        <f t="shared" ca="1" si="285"/>
        <v>-1.6170210848314038E-2</v>
      </c>
      <c r="T888" s="9">
        <f t="shared" ca="1" si="286"/>
        <v>6.4396268499823629E-4</v>
      </c>
      <c r="U888" s="9">
        <f t="shared" ca="1" si="287"/>
        <v>6.4676891921142919E-3</v>
      </c>
      <c r="AB888" s="33" t="e">
        <f t="shared" ca="1" si="293"/>
        <v>#N/A</v>
      </c>
      <c r="AC888" s="34" t="e">
        <f t="shared" ca="1" si="294"/>
        <v>#N/A</v>
      </c>
      <c r="AD888" s="34" t="e">
        <f t="shared" ca="1" si="295"/>
        <v>#N/A</v>
      </c>
      <c r="AE888" s="33" t="e">
        <f t="shared" ca="1" si="296"/>
        <v>#N/A</v>
      </c>
      <c r="AF888" s="34" t="e">
        <f t="shared" ca="1" si="288"/>
        <v>#N/A</v>
      </c>
      <c r="AG888" s="34" t="e">
        <f t="shared" ca="1" si="289"/>
        <v>#N/A</v>
      </c>
      <c r="AH888" s="34" t="e">
        <f t="shared" ca="1" si="290"/>
        <v>#N/A</v>
      </c>
      <c r="AI888" s="33" t="e">
        <f t="shared" ca="1" si="297"/>
        <v>#N/A</v>
      </c>
      <c r="AJ888" s="34" t="e">
        <f t="shared" ca="1" si="298"/>
        <v>#N/A</v>
      </c>
      <c r="AK888" s="34" t="e">
        <f t="shared" ca="1" si="291"/>
        <v>#N/A</v>
      </c>
      <c r="AL888" s="34" t="e">
        <f t="shared" ca="1" si="292"/>
        <v>#N/A</v>
      </c>
      <c r="AM888" s="33" t="e">
        <f t="shared" ca="1" si="299"/>
        <v>#N/A</v>
      </c>
      <c r="AN888" s="34" t="e">
        <f t="shared" ca="1" si="300"/>
        <v>#N/A</v>
      </c>
    </row>
    <row r="889" spans="1:40" x14ac:dyDescent="0.3">
      <c r="A889" s="2">
        <v>44753</v>
      </c>
      <c r="B889" s="9">
        <v>77.639999000000003</v>
      </c>
      <c r="C889" s="9">
        <v>91.800003000000004</v>
      </c>
      <c r="D889" s="9">
        <v>107.790001</v>
      </c>
      <c r="E889" s="10"/>
      <c r="F889" s="13">
        <v>886</v>
      </c>
      <c r="G889" s="2">
        <v>44753</v>
      </c>
      <c r="H889" s="14">
        <f t="shared" si="281"/>
        <v>-1.1270585780582702E-2</v>
      </c>
      <c r="I889" s="14">
        <f t="shared" si="282"/>
        <v>-1.5135359196520851E-2</v>
      </c>
      <c r="J889" s="14">
        <f t="shared" si="283"/>
        <v>7.0757394177261186E-3</v>
      </c>
      <c r="K889" s="22">
        <v>886</v>
      </c>
      <c r="L889" s="12"/>
      <c r="Q889" s="15">
        <f t="shared" si="284"/>
        <v>886</v>
      </c>
      <c r="R889" s="2">
        <f t="shared" si="280"/>
        <v>44753</v>
      </c>
      <c r="S889" s="9">
        <f t="shared" ca="1" si="285"/>
        <v>-1.1270585780582702E-2</v>
      </c>
      <c r="T889" s="9">
        <f t="shared" ca="1" si="286"/>
        <v>-1.5135359196520851E-2</v>
      </c>
      <c r="U889" s="9">
        <f t="shared" ca="1" si="287"/>
        <v>7.0757394177261186E-3</v>
      </c>
      <c r="AB889" s="33" t="e">
        <f t="shared" ca="1" si="293"/>
        <v>#N/A</v>
      </c>
      <c r="AC889" s="34" t="e">
        <f t="shared" ca="1" si="294"/>
        <v>#N/A</v>
      </c>
      <c r="AD889" s="34" t="e">
        <f t="shared" ca="1" si="295"/>
        <v>#N/A</v>
      </c>
      <c r="AE889" s="33" t="e">
        <f t="shared" ca="1" si="296"/>
        <v>#N/A</v>
      </c>
      <c r="AF889" s="34" t="e">
        <f t="shared" ca="1" si="288"/>
        <v>#N/A</v>
      </c>
      <c r="AG889" s="34" t="e">
        <f t="shared" ca="1" si="289"/>
        <v>#N/A</v>
      </c>
      <c r="AH889" s="34" t="e">
        <f t="shared" ca="1" si="290"/>
        <v>#N/A</v>
      </c>
      <c r="AI889" s="33" t="e">
        <f t="shared" ca="1" si="297"/>
        <v>#N/A</v>
      </c>
      <c r="AJ889" s="34" t="e">
        <f t="shared" ca="1" si="298"/>
        <v>#N/A</v>
      </c>
      <c r="AK889" s="34" t="e">
        <f t="shared" ca="1" si="291"/>
        <v>#N/A</v>
      </c>
      <c r="AL889" s="34" t="e">
        <f t="shared" ca="1" si="292"/>
        <v>#N/A</v>
      </c>
      <c r="AM889" s="33" t="e">
        <f t="shared" ca="1" si="299"/>
        <v>#N/A</v>
      </c>
      <c r="AN889" s="34" t="e">
        <f t="shared" ca="1" si="300"/>
        <v>#N/A</v>
      </c>
    </row>
    <row r="890" spans="1:40" x14ac:dyDescent="0.3">
      <c r="A890" s="2">
        <v>44754</v>
      </c>
      <c r="B890" s="9">
        <v>77.059997999999993</v>
      </c>
      <c r="C890" s="9">
        <v>93.279999000000004</v>
      </c>
      <c r="D890" s="9">
        <v>104.860001</v>
      </c>
      <c r="E890" s="10"/>
      <c r="F890" s="13">
        <v>887</v>
      </c>
      <c r="G890" s="2">
        <v>44754</v>
      </c>
      <c r="H890" s="14">
        <f t="shared" si="281"/>
        <v>-7.4984321766418463E-3</v>
      </c>
      <c r="I890" s="14">
        <f t="shared" si="282"/>
        <v>1.599338157558771E-2</v>
      </c>
      <c r="J890" s="14">
        <f t="shared" si="283"/>
        <v>-2.7558762389923941E-2</v>
      </c>
      <c r="K890" s="22">
        <v>887</v>
      </c>
      <c r="L890" s="12"/>
      <c r="Q890" s="15">
        <f t="shared" si="284"/>
        <v>887</v>
      </c>
      <c r="R890" s="2">
        <f t="shared" si="280"/>
        <v>44754</v>
      </c>
      <c r="S890" s="9">
        <f t="shared" ca="1" si="285"/>
        <v>-7.4984321766418463E-3</v>
      </c>
      <c r="T890" s="9">
        <f t="shared" ca="1" si="286"/>
        <v>1.599338157558771E-2</v>
      </c>
      <c r="U890" s="9">
        <f t="shared" ca="1" si="287"/>
        <v>-2.7558762389923941E-2</v>
      </c>
      <c r="AB890" s="33" t="e">
        <f t="shared" ca="1" si="293"/>
        <v>#N/A</v>
      </c>
      <c r="AC890" s="34" t="e">
        <f t="shared" ca="1" si="294"/>
        <v>#N/A</v>
      </c>
      <c r="AD890" s="34" t="e">
        <f t="shared" ca="1" si="295"/>
        <v>#N/A</v>
      </c>
      <c r="AE890" s="33" t="e">
        <f t="shared" ca="1" si="296"/>
        <v>#N/A</v>
      </c>
      <c r="AF890" s="34" t="e">
        <f t="shared" ca="1" si="288"/>
        <v>#N/A</v>
      </c>
      <c r="AG890" s="34" t="e">
        <f t="shared" ca="1" si="289"/>
        <v>#N/A</v>
      </c>
      <c r="AH890" s="34" t="e">
        <f t="shared" ca="1" si="290"/>
        <v>#N/A</v>
      </c>
      <c r="AI890" s="33" t="e">
        <f t="shared" ca="1" si="297"/>
        <v>#N/A</v>
      </c>
      <c r="AJ890" s="34" t="e">
        <f t="shared" ca="1" si="298"/>
        <v>#N/A</v>
      </c>
      <c r="AK890" s="34" t="e">
        <f t="shared" ca="1" si="291"/>
        <v>#N/A</v>
      </c>
      <c r="AL890" s="34" t="e">
        <f t="shared" ca="1" si="292"/>
        <v>#N/A</v>
      </c>
      <c r="AM890" s="33" t="e">
        <f t="shared" ca="1" si="299"/>
        <v>#N/A</v>
      </c>
      <c r="AN890" s="34" t="e">
        <f t="shared" ca="1" si="300"/>
        <v>#N/A</v>
      </c>
    </row>
    <row r="891" spans="1:40" x14ac:dyDescent="0.3">
      <c r="A891" s="2">
        <v>44755</v>
      </c>
      <c r="B891" s="9">
        <v>75.699996999999996</v>
      </c>
      <c r="C891" s="9">
        <v>93.940002000000007</v>
      </c>
      <c r="D891" s="9">
        <v>102.389999</v>
      </c>
      <c r="E891" s="10"/>
      <c r="F891" s="13">
        <v>888</v>
      </c>
      <c r="G891" s="2">
        <v>44755</v>
      </c>
      <c r="H891" s="14">
        <f t="shared" si="281"/>
        <v>-1.7806192430925457E-2</v>
      </c>
      <c r="I891" s="14">
        <f t="shared" si="282"/>
        <v>7.0505900072636183E-3</v>
      </c>
      <c r="J891" s="14">
        <f t="shared" si="283"/>
        <v>-2.3837094860764994E-2</v>
      </c>
      <c r="K891" s="22">
        <v>888</v>
      </c>
      <c r="L891" s="12"/>
      <c r="Q891" s="15">
        <f t="shared" si="284"/>
        <v>888</v>
      </c>
      <c r="R891" s="2">
        <f t="shared" si="280"/>
        <v>44755</v>
      </c>
      <c r="S891" s="9">
        <f t="shared" ca="1" si="285"/>
        <v>-1.7806192430925457E-2</v>
      </c>
      <c r="T891" s="9">
        <f t="shared" ca="1" si="286"/>
        <v>7.0505900072636183E-3</v>
      </c>
      <c r="U891" s="9">
        <f t="shared" ca="1" si="287"/>
        <v>-2.3837094860764994E-2</v>
      </c>
      <c r="AB891" s="33" t="e">
        <f t="shared" ca="1" si="293"/>
        <v>#N/A</v>
      </c>
      <c r="AC891" s="34" t="e">
        <f t="shared" ca="1" si="294"/>
        <v>#N/A</v>
      </c>
      <c r="AD891" s="34" t="e">
        <f t="shared" ca="1" si="295"/>
        <v>#N/A</v>
      </c>
      <c r="AE891" s="33" t="e">
        <f t="shared" ca="1" si="296"/>
        <v>#N/A</v>
      </c>
      <c r="AF891" s="34" t="e">
        <f t="shared" ca="1" si="288"/>
        <v>#N/A</v>
      </c>
      <c r="AG891" s="34" t="e">
        <f t="shared" ca="1" si="289"/>
        <v>#N/A</v>
      </c>
      <c r="AH891" s="34" t="e">
        <f t="shared" ca="1" si="290"/>
        <v>#N/A</v>
      </c>
      <c r="AI891" s="33" t="e">
        <f t="shared" ca="1" si="297"/>
        <v>#N/A</v>
      </c>
      <c r="AJ891" s="34" t="e">
        <f t="shared" ca="1" si="298"/>
        <v>#N/A</v>
      </c>
      <c r="AK891" s="34" t="e">
        <f t="shared" ca="1" si="291"/>
        <v>#N/A</v>
      </c>
      <c r="AL891" s="34" t="e">
        <f t="shared" ca="1" si="292"/>
        <v>#N/A</v>
      </c>
      <c r="AM891" s="33" t="e">
        <f t="shared" ca="1" si="299"/>
        <v>#N/A</v>
      </c>
      <c r="AN891" s="34" t="e">
        <f t="shared" ca="1" si="300"/>
        <v>#N/A</v>
      </c>
    </row>
    <row r="892" spans="1:40" x14ac:dyDescent="0.3">
      <c r="A892" s="2">
        <v>44756</v>
      </c>
      <c r="B892" s="9">
        <v>75.940002000000007</v>
      </c>
      <c r="C892" s="9">
        <v>92.589995999999999</v>
      </c>
      <c r="D892" s="9">
        <v>100.779999</v>
      </c>
      <c r="E892" s="10"/>
      <c r="F892" s="13">
        <v>889</v>
      </c>
      <c r="G892" s="2">
        <v>44756</v>
      </c>
      <c r="H892" s="14">
        <f t="shared" si="281"/>
        <v>3.1654603269541835E-3</v>
      </c>
      <c r="I892" s="14">
        <f t="shared" si="282"/>
        <v>-1.4475200630288945E-2</v>
      </c>
      <c r="J892" s="14">
        <f t="shared" si="283"/>
        <v>-1.5849128490298219E-2</v>
      </c>
      <c r="K892" s="22">
        <v>889</v>
      </c>
      <c r="L892" s="12"/>
      <c r="Q892" s="15">
        <f t="shared" si="284"/>
        <v>889</v>
      </c>
      <c r="R892" s="2">
        <f t="shared" si="280"/>
        <v>44756</v>
      </c>
      <c r="S892" s="9">
        <f t="shared" ca="1" si="285"/>
        <v>3.1654603269541835E-3</v>
      </c>
      <c r="T892" s="9">
        <f t="shared" ca="1" si="286"/>
        <v>-1.4475200630288945E-2</v>
      </c>
      <c r="U892" s="9">
        <f t="shared" ca="1" si="287"/>
        <v>-1.5849128490298219E-2</v>
      </c>
      <c r="AB892" s="33" t="e">
        <f t="shared" ca="1" si="293"/>
        <v>#N/A</v>
      </c>
      <c r="AC892" s="34" t="e">
        <f t="shared" ca="1" si="294"/>
        <v>#N/A</v>
      </c>
      <c r="AD892" s="34" t="e">
        <f t="shared" ca="1" si="295"/>
        <v>#N/A</v>
      </c>
      <c r="AE892" s="33" t="e">
        <f t="shared" ca="1" si="296"/>
        <v>#N/A</v>
      </c>
      <c r="AF892" s="34" t="e">
        <f t="shared" ca="1" si="288"/>
        <v>#N/A</v>
      </c>
      <c r="AG892" s="34" t="e">
        <f t="shared" ca="1" si="289"/>
        <v>#N/A</v>
      </c>
      <c r="AH892" s="34" t="e">
        <f t="shared" ca="1" si="290"/>
        <v>#N/A</v>
      </c>
      <c r="AI892" s="33" t="e">
        <f t="shared" ca="1" si="297"/>
        <v>#N/A</v>
      </c>
      <c r="AJ892" s="34" t="e">
        <f t="shared" ca="1" si="298"/>
        <v>#N/A</v>
      </c>
      <c r="AK892" s="34" t="e">
        <f t="shared" ca="1" si="291"/>
        <v>#N/A</v>
      </c>
      <c r="AL892" s="34" t="e">
        <f t="shared" ca="1" si="292"/>
        <v>#N/A</v>
      </c>
      <c r="AM892" s="33" t="e">
        <f t="shared" ca="1" si="299"/>
        <v>#N/A</v>
      </c>
      <c r="AN892" s="34" t="e">
        <f t="shared" ca="1" si="300"/>
        <v>#N/A</v>
      </c>
    </row>
    <row r="893" spans="1:40" x14ac:dyDescent="0.3">
      <c r="A893" s="2">
        <v>44757</v>
      </c>
      <c r="B893" s="9">
        <v>76.660004000000001</v>
      </c>
      <c r="C893" s="9">
        <v>93.010002</v>
      </c>
      <c r="D893" s="9">
        <v>104.589996</v>
      </c>
      <c r="E893" s="10"/>
      <c r="F893" s="13">
        <v>890</v>
      </c>
      <c r="G893" s="2">
        <v>44757</v>
      </c>
      <c r="H893" s="14">
        <f t="shared" si="281"/>
        <v>9.4365309906204488E-3</v>
      </c>
      <c r="I893" s="14">
        <f t="shared" si="282"/>
        <v>4.5259344986944942E-3</v>
      </c>
      <c r="J893" s="14">
        <f t="shared" si="283"/>
        <v>3.7107993191753723E-2</v>
      </c>
      <c r="K893" s="22">
        <v>890</v>
      </c>
      <c r="L893" s="12"/>
      <c r="Q893" s="15">
        <f t="shared" si="284"/>
        <v>890</v>
      </c>
      <c r="R893" s="2">
        <f t="shared" si="280"/>
        <v>44757</v>
      </c>
      <c r="S893" s="9">
        <f t="shared" ca="1" si="285"/>
        <v>9.4365309906204488E-3</v>
      </c>
      <c r="T893" s="9">
        <f t="shared" ca="1" si="286"/>
        <v>4.5259344986944942E-3</v>
      </c>
      <c r="U893" s="9">
        <f t="shared" ca="1" si="287"/>
        <v>3.7107993191753723E-2</v>
      </c>
      <c r="AB893" s="33" t="e">
        <f t="shared" ca="1" si="293"/>
        <v>#N/A</v>
      </c>
      <c r="AC893" s="34" t="e">
        <f t="shared" ca="1" si="294"/>
        <v>#N/A</v>
      </c>
      <c r="AD893" s="34" t="e">
        <f t="shared" ca="1" si="295"/>
        <v>#N/A</v>
      </c>
      <c r="AE893" s="33" t="e">
        <f t="shared" ca="1" si="296"/>
        <v>#N/A</v>
      </c>
      <c r="AF893" s="34" t="e">
        <f t="shared" ca="1" si="288"/>
        <v>#N/A</v>
      </c>
      <c r="AG893" s="34" t="e">
        <f t="shared" ca="1" si="289"/>
        <v>#N/A</v>
      </c>
      <c r="AH893" s="34" t="e">
        <f t="shared" ca="1" si="290"/>
        <v>#N/A</v>
      </c>
      <c r="AI893" s="33" t="e">
        <f t="shared" ca="1" si="297"/>
        <v>#N/A</v>
      </c>
      <c r="AJ893" s="34" t="e">
        <f t="shared" ca="1" si="298"/>
        <v>#N/A</v>
      </c>
      <c r="AK893" s="34" t="e">
        <f t="shared" ca="1" si="291"/>
        <v>#N/A</v>
      </c>
      <c r="AL893" s="34" t="e">
        <f t="shared" ca="1" si="292"/>
        <v>#N/A</v>
      </c>
      <c r="AM893" s="33" t="e">
        <f t="shared" ca="1" si="299"/>
        <v>#N/A</v>
      </c>
      <c r="AN893" s="34" t="e">
        <f t="shared" ca="1" si="300"/>
        <v>#N/A</v>
      </c>
    </row>
    <row r="894" spans="1:40" x14ac:dyDescent="0.3">
      <c r="A894" s="2">
        <v>44760</v>
      </c>
      <c r="B894" s="9">
        <v>78.150002000000001</v>
      </c>
      <c r="C894" s="9">
        <v>92.230002999999996</v>
      </c>
      <c r="D894" s="9">
        <v>106.30999799999999</v>
      </c>
      <c r="E894" s="10"/>
      <c r="F894" s="13">
        <v>891</v>
      </c>
      <c r="G894" s="2">
        <v>44760</v>
      </c>
      <c r="H894" s="14">
        <f t="shared" si="281"/>
        <v>1.9249970328437865E-2</v>
      </c>
      <c r="I894" s="14">
        <f t="shared" si="282"/>
        <v>-8.4215459824354445E-3</v>
      </c>
      <c r="J894" s="14">
        <f t="shared" si="283"/>
        <v>1.6311428966005979E-2</v>
      </c>
      <c r="K894" s="22">
        <v>891</v>
      </c>
      <c r="L894" s="12"/>
      <c r="Q894" s="15">
        <f t="shared" si="284"/>
        <v>891</v>
      </c>
      <c r="R894" s="2">
        <f t="shared" si="280"/>
        <v>44760</v>
      </c>
      <c r="S894" s="9">
        <f t="shared" ca="1" si="285"/>
        <v>1.9249970328437865E-2</v>
      </c>
      <c r="T894" s="9">
        <f t="shared" ca="1" si="286"/>
        <v>-8.4215459824354445E-3</v>
      </c>
      <c r="U894" s="9">
        <f t="shared" ca="1" si="287"/>
        <v>1.6311428966005979E-2</v>
      </c>
      <c r="AB894" s="33" t="e">
        <f t="shared" ca="1" si="293"/>
        <v>#N/A</v>
      </c>
      <c r="AC894" s="34" t="e">
        <f t="shared" ca="1" si="294"/>
        <v>#N/A</v>
      </c>
      <c r="AD894" s="34" t="e">
        <f t="shared" ca="1" si="295"/>
        <v>#N/A</v>
      </c>
      <c r="AE894" s="33" t="e">
        <f t="shared" ca="1" si="296"/>
        <v>#N/A</v>
      </c>
      <c r="AF894" s="34" t="e">
        <f t="shared" ca="1" si="288"/>
        <v>#N/A</v>
      </c>
      <c r="AG894" s="34" t="e">
        <f t="shared" ca="1" si="289"/>
        <v>#N/A</v>
      </c>
      <c r="AH894" s="34" t="e">
        <f t="shared" ca="1" si="290"/>
        <v>#N/A</v>
      </c>
      <c r="AI894" s="33" t="e">
        <f t="shared" ca="1" si="297"/>
        <v>#N/A</v>
      </c>
      <c r="AJ894" s="34" t="e">
        <f t="shared" ca="1" si="298"/>
        <v>#N/A</v>
      </c>
      <c r="AK894" s="34" t="e">
        <f t="shared" ca="1" si="291"/>
        <v>#N/A</v>
      </c>
      <c r="AL894" s="34" t="e">
        <f t="shared" ca="1" si="292"/>
        <v>#N/A</v>
      </c>
      <c r="AM894" s="33" t="e">
        <f t="shared" ca="1" si="299"/>
        <v>#N/A</v>
      </c>
      <c r="AN894" s="34" t="e">
        <f t="shared" ca="1" si="300"/>
        <v>#N/A</v>
      </c>
    </row>
    <row r="895" spans="1:40" x14ac:dyDescent="0.3">
      <c r="A895" s="2">
        <v>44761</v>
      </c>
      <c r="B895" s="9">
        <v>81.5</v>
      </c>
      <c r="C895" s="9">
        <v>97.040001000000004</v>
      </c>
      <c r="D895" s="9">
        <v>108.739998</v>
      </c>
      <c r="E895" s="10"/>
      <c r="F895" s="13">
        <v>892</v>
      </c>
      <c r="G895" s="2">
        <v>44761</v>
      </c>
      <c r="H895" s="14">
        <f t="shared" si="281"/>
        <v>4.1972937787521113E-2</v>
      </c>
      <c r="I895" s="14">
        <f t="shared" si="282"/>
        <v>5.0837785165819403E-2</v>
      </c>
      <c r="J895" s="14">
        <f t="shared" si="283"/>
        <v>2.2600357837670625E-2</v>
      </c>
      <c r="K895" s="22">
        <v>892</v>
      </c>
      <c r="L895" s="12"/>
      <c r="Q895" s="15">
        <f t="shared" si="284"/>
        <v>892</v>
      </c>
      <c r="R895" s="2">
        <f t="shared" si="280"/>
        <v>44761</v>
      </c>
      <c r="S895" s="9">
        <f t="shared" ca="1" si="285"/>
        <v>4.1972937787521113E-2</v>
      </c>
      <c r="T895" s="9">
        <f t="shared" ca="1" si="286"/>
        <v>5.0837785165819403E-2</v>
      </c>
      <c r="U895" s="9">
        <f t="shared" ca="1" si="287"/>
        <v>2.2600357837670625E-2</v>
      </c>
      <c r="AB895" s="33" t="e">
        <f t="shared" ca="1" si="293"/>
        <v>#N/A</v>
      </c>
      <c r="AC895" s="34" t="e">
        <f t="shared" ca="1" si="294"/>
        <v>#N/A</v>
      </c>
      <c r="AD895" s="34" t="e">
        <f t="shared" ca="1" si="295"/>
        <v>#N/A</v>
      </c>
      <c r="AE895" s="33" t="e">
        <f t="shared" ca="1" si="296"/>
        <v>#N/A</v>
      </c>
      <c r="AF895" s="34" t="e">
        <f t="shared" ca="1" si="288"/>
        <v>#N/A</v>
      </c>
      <c r="AG895" s="34" t="e">
        <f t="shared" ca="1" si="289"/>
        <v>#N/A</v>
      </c>
      <c r="AH895" s="34" t="e">
        <f t="shared" ca="1" si="290"/>
        <v>#N/A</v>
      </c>
      <c r="AI895" s="33" t="e">
        <f t="shared" ca="1" si="297"/>
        <v>#N/A</v>
      </c>
      <c r="AJ895" s="34" t="e">
        <f t="shared" ca="1" si="298"/>
        <v>#N/A</v>
      </c>
      <c r="AK895" s="34" t="e">
        <f t="shared" ca="1" si="291"/>
        <v>#N/A</v>
      </c>
      <c r="AL895" s="34" t="e">
        <f t="shared" ca="1" si="292"/>
        <v>#N/A</v>
      </c>
      <c r="AM895" s="33" t="e">
        <f t="shared" ca="1" si="299"/>
        <v>#N/A</v>
      </c>
      <c r="AN895" s="34" t="e">
        <f t="shared" ca="1" si="300"/>
        <v>#N/A</v>
      </c>
    </row>
    <row r="896" spans="1:40" x14ac:dyDescent="0.3">
      <c r="A896" s="2">
        <v>44762</v>
      </c>
      <c r="B896" s="9">
        <v>83.589995999999999</v>
      </c>
      <c r="C896" s="9">
        <v>98.169998000000007</v>
      </c>
      <c r="D896" s="9">
        <v>109.279999</v>
      </c>
      <c r="E896" s="10"/>
      <c r="F896" s="13">
        <v>893</v>
      </c>
      <c r="G896" s="2">
        <v>44762</v>
      </c>
      <c r="H896" s="14">
        <f t="shared" si="281"/>
        <v>2.5320827611632565E-2</v>
      </c>
      <c r="I896" s="14">
        <f t="shared" si="282"/>
        <v>1.1577374390783777E-2</v>
      </c>
      <c r="J896" s="14">
        <f t="shared" si="283"/>
        <v>4.9536933463960754E-3</v>
      </c>
      <c r="K896" s="22">
        <v>893</v>
      </c>
      <c r="L896" s="12"/>
      <c r="Q896" s="15">
        <f t="shared" si="284"/>
        <v>893</v>
      </c>
      <c r="R896" s="2">
        <f t="shared" si="280"/>
        <v>44762</v>
      </c>
      <c r="S896" s="9">
        <f t="shared" ca="1" si="285"/>
        <v>2.5320827611632565E-2</v>
      </c>
      <c r="T896" s="9">
        <f t="shared" ca="1" si="286"/>
        <v>1.1577374390783777E-2</v>
      </c>
      <c r="U896" s="9">
        <f t="shared" ca="1" si="287"/>
        <v>4.9536933463960754E-3</v>
      </c>
      <c r="AB896" s="33" t="e">
        <f t="shared" ca="1" si="293"/>
        <v>#N/A</v>
      </c>
      <c r="AC896" s="34" t="e">
        <f t="shared" ca="1" si="294"/>
        <v>#N/A</v>
      </c>
      <c r="AD896" s="34" t="e">
        <f t="shared" ca="1" si="295"/>
        <v>#N/A</v>
      </c>
      <c r="AE896" s="33" t="e">
        <f t="shared" ca="1" si="296"/>
        <v>#N/A</v>
      </c>
      <c r="AF896" s="34" t="e">
        <f t="shared" ca="1" si="288"/>
        <v>#N/A</v>
      </c>
      <c r="AG896" s="34" t="e">
        <f t="shared" ca="1" si="289"/>
        <v>#N/A</v>
      </c>
      <c r="AH896" s="34" t="e">
        <f t="shared" ca="1" si="290"/>
        <v>#N/A</v>
      </c>
      <c r="AI896" s="33" t="e">
        <f t="shared" ca="1" si="297"/>
        <v>#N/A</v>
      </c>
      <c r="AJ896" s="34" t="e">
        <f t="shared" ca="1" si="298"/>
        <v>#N/A</v>
      </c>
      <c r="AK896" s="34" t="e">
        <f t="shared" ca="1" si="291"/>
        <v>#N/A</v>
      </c>
      <c r="AL896" s="34" t="e">
        <f t="shared" ca="1" si="292"/>
        <v>#N/A</v>
      </c>
      <c r="AM896" s="33" t="e">
        <f t="shared" ca="1" si="299"/>
        <v>#N/A</v>
      </c>
      <c r="AN896" s="34" t="e">
        <f t="shared" ca="1" si="300"/>
        <v>#N/A</v>
      </c>
    </row>
    <row r="897" spans="1:40" x14ac:dyDescent="0.3">
      <c r="A897" s="2">
        <v>44763</v>
      </c>
      <c r="B897" s="9">
        <v>82.699996999999996</v>
      </c>
      <c r="C897" s="9">
        <v>98.220000999999996</v>
      </c>
      <c r="D897" s="9">
        <v>104.150002</v>
      </c>
      <c r="E897" s="10"/>
      <c r="F897" s="13">
        <v>894</v>
      </c>
      <c r="G897" s="2">
        <v>44763</v>
      </c>
      <c r="H897" s="14">
        <f t="shared" si="281"/>
        <v>-1.0704282104499958E-2</v>
      </c>
      <c r="I897" s="14">
        <f t="shared" si="282"/>
        <v>5.0922146071704299E-4</v>
      </c>
      <c r="J897" s="14">
        <f t="shared" si="283"/>
        <v>-4.8081199761621382E-2</v>
      </c>
      <c r="K897" s="22">
        <v>894</v>
      </c>
      <c r="L897" s="12"/>
      <c r="Q897" s="15">
        <f t="shared" si="284"/>
        <v>894</v>
      </c>
      <c r="R897" s="2">
        <f t="shared" si="280"/>
        <v>44763</v>
      </c>
      <c r="S897" s="9">
        <f t="shared" ca="1" si="285"/>
        <v>-1.0704282104499958E-2</v>
      </c>
      <c r="T897" s="9">
        <f t="shared" ca="1" si="286"/>
        <v>5.0922146071704299E-4</v>
      </c>
      <c r="U897" s="9">
        <f t="shared" ca="1" si="287"/>
        <v>-4.8081199761621382E-2</v>
      </c>
      <c r="AB897" s="33" t="e">
        <f t="shared" ca="1" si="293"/>
        <v>#N/A</v>
      </c>
      <c r="AC897" s="34" t="e">
        <f t="shared" ca="1" si="294"/>
        <v>#N/A</v>
      </c>
      <c r="AD897" s="34" t="e">
        <f t="shared" ca="1" si="295"/>
        <v>#N/A</v>
      </c>
      <c r="AE897" s="33" t="e">
        <f t="shared" ca="1" si="296"/>
        <v>#N/A</v>
      </c>
      <c r="AF897" s="34" t="e">
        <f t="shared" ca="1" si="288"/>
        <v>#N/A</v>
      </c>
      <c r="AG897" s="34" t="e">
        <f t="shared" ca="1" si="289"/>
        <v>#N/A</v>
      </c>
      <c r="AH897" s="34" t="e">
        <f t="shared" ca="1" si="290"/>
        <v>#N/A</v>
      </c>
      <c r="AI897" s="33" t="e">
        <f t="shared" ca="1" si="297"/>
        <v>#N/A</v>
      </c>
      <c r="AJ897" s="34" t="e">
        <f t="shared" ca="1" si="298"/>
        <v>#N/A</v>
      </c>
      <c r="AK897" s="34" t="e">
        <f t="shared" ca="1" si="291"/>
        <v>#N/A</v>
      </c>
      <c r="AL897" s="34" t="e">
        <f t="shared" ca="1" si="292"/>
        <v>#N/A</v>
      </c>
      <c r="AM897" s="33" t="e">
        <f t="shared" ca="1" si="299"/>
        <v>#N/A</v>
      </c>
      <c r="AN897" s="34" t="e">
        <f t="shared" ca="1" si="300"/>
        <v>#N/A</v>
      </c>
    </row>
    <row r="898" spans="1:40" x14ac:dyDescent="0.3">
      <c r="A898" s="2">
        <v>44764</v>
      </c>
      <c r="B898" s="9">
        <v>77.050003000000004</v>
      </c>
      <c r="C898" s="9">
        <v>96.940002000000007</v>
      </c>
      <c r="D898" s="9">
        <v>104.019997</v>
      </c>
      <c r="E898" s="10"/>
      <c r="F898" s="13">
        <v>895</v>
      </c>
      <c r="G898" s="2">
        <v>44764</v>
      </c>
      <c r="H898" s="14">
        <f t="shared" si="281"/>
        <v>-7.076496505206957E-2</v>
      </c>
      <c r="I898" s="14">
        <f t="shared" si="282"/>
        <v>-1.3117619743776142E-2</v>
      </c>
      <c r="J898" s="14">
        <f t="shared" si="283"/>
        <v>-1.2490274057348316E-3</v>
      </c>
      <c r="K898" s="22">
        <v>895</v>
      </c>
      <c r="L898" s="12"/>
      <c r="Q898" s="15">
        <f t="shared" si="284"/>
        <v>895</v>
      </c>
      <c r="R898" s="2">
        <f t="shared" si="280"/>
        <v>44764</v>
      </c>
      <c r="S898" s="9">
        <f t="shared" ca="1" si="285"/>
        <v>-7.076496505206957E-2</v>
      </c>
      <c r="T898" s="9">
        <f t="shared" ca="1" si="286"/>
        <v>-1.3117619743776142E-2</v>
      </c>
      <c r="U898" s="9">
        <f t="shared" ca="1" si="287"/>
        <v>-1.2490274057348316E-3</v>
      </c>
      <c r="AB898" s="33" t="e">
        <f t="shared" ca="1" si="293"/>
        <v>#N/A</v>
      </c>
      <c r="AC898" s="34" t="e">
        <f t="shared" ca="1" si="294"/>
        <v>#N/A</v>
      </c>
      <c r="AD898" s="34" t="e">
        <f t="shared" ca="1" si="295"/>
        <v>#N/A</v>
      </c>
      <c r="AE898" s="33" t="e">
        <f t="shared" ca="1" si="296"/>
        <v>#N/A</v>
      </c>
      <c r="AF898" s="34" t="e">
        <f t="shared" ca="1" si="288"/>
        <v>#N/A</v>
      </c>
      <c r="AG898" s="34" t="e">
        <f t="shared" ca="1" si="289"/>
        <v>#N/A</v>
      </c>
      <c r="AH898" s="34" t="e">
        <f t="shared" ca="1" si="290"/>
        <v>#N/A</v>
      </c>
      <c r="AI898" s="33" t="e">
        <f t="shared" ca="1" si="297"/>
        <v>#N/A</v>
      </c>
      <c r="AJ898" s="34" t="e">
        <f t="shared" ca="1" si="298"/>
        <v>#N/A</v>
      </c>
      <c r="AK898" s="34" t="e">
        <f t="shared" ca="1" si="291"/>
        <v>#N/A</v>
      </c>
      <c r="AL898" s="34" t="e">
        <f t="shared" ca="1" si="292"/>
        <v>#N/A</v>
      </c>
      <c r="AM898" s="33" t="e">
        <f t="shared" ca="1" si="299"/>
        <v>#N/A</v>
      </c>
      <c r="AN898" s="34" t="e">
        <f t="shared" ca="1" si="300"/>
        <v>#N/A</v>
      </c>
    </row>
    <row r="899" spans="1:40" x14ac:dyDescent="0.3">
      <c r="A899" s="2">
        <v>44767</v>
      </c>
      <c r="B899" s="9">
        <v>78.050003000000004</v>
      </c>
      <c r="C899" s="9">
        <v>96.779999000000004</v>
      </c>
      <c r="D899" s="9">
        <v>109.32</v>
      </c>
      <c r="E899" s="10"/>
      <c r="F899" s="13">
        <v>896</v>
      </c>
      <c r="G899" s="2">
        <v>44767</v>
      </c>
      <c r="H899" s="14">
        <f t="shared" si="281"/>
        <v>1.2895084696459684E-2</v>
      </c>
      <c r="I899" s="14">
        <f t="shared" si="282"/>
        <v>-1.6519000160890229E-3</v>
      </c>
      <c r="J899" s="14">
        <f t="shared" si="283"/>
        <v>4.969620155554879E-2</v>
      </c>
      <c r="K899" s="22">
        <v>896</v>
      </c>
      <c r="L899" s="12"/>
      <c r="Q899" s="15">
        <f t="shared" si="284"/>
        <v>896</v>
      </c>
      <c r="R899" s="2">
        <f t="shared" si="280"/>
        <v>44767</v>
      </c>
      <c r="S899" s="9">
        <f t="shared" ca="1" si="285"/>
        <v>1.2895084696459684E-2</v>
      </c>
      <c r="T899" s="9">
        <f t="shared" ca="1" si="286"/>
        <v>-1.6519000160890229E-3</v>
      </c>
      <c r="U899" s="9">
        <f t="shared" ca="1" si="287"/>
        <v>4.969620155554879E-2</v>
      </c>
      <c r="AB899" s="33" t="e">
        <f t="shared" ca="1" si="293"/>
        <v>#N/A</v>
      </c>
      <c r="AC899" s="34" t="e">
        <f t="shared" ca="1" si="294"/>
        <v>#N/A</v>
      </c>
      <c r="AD899" s="34" t="e">
        <f t="shared" ca="1" si="295"/>
        <v>#N/A</v>
      </c>
      <c r="AE899" s="33" t="e">
        <f t="shared" ca="1" si="296"/>
        <v>#N/A</v>
      </c>
      <c r="AF899" s="34" t="e">
        <f t="shared" ca="1" si="288"/>
        <v>#N/A</v>
      </c>
      <c r="AG899" s="34" t="e">
        <f t="shared" ca="1" si="289"/>
        <v>#N/A</v>
      </c>
      <c r="AH899" s="34" t="e">
        <f t="shared" ca="1" si="290"/>
        <v>#N/A</v>
      </c>
      <c r="AI899" s="33" t="e">
        <f t="shared" ca="1" si="297"/>
        <v>#N/A</v>
      </c>
      <c r="AJ899" s="34" t="e">
        <f t="shared" ca="1" si="298"/>
        <v>#N/A</v>
      </c>
      <c r="AK899" s="34" t="e">
        <f t="shared" ca="1" si="291"/>
        <v>#N/A</v>
      </c>
      <c r="AL899" s="34" t="e">
        <f t="shared" ca="1" si="292"/>
        <v>#N/A</v>
      </c>
      <c r="AM899" s="33" t="e">
        <f t="shared" ca="1" si="299"/>
        <v>#N/A</v>
      </c>
      <c r="AN899" s="34" t="e">
        <f t="shared" ca="1" si="300"/>
        <v>#N/A</v>
      </c>
    </row>
    <row r="900" spans="1:40" x14ac:dyDescent="0.3">
      <c r="A900" s="2">
        <v>44768</v>
      </c>
      <c r="B900" s="9">
        <v>75.419998000000007</v>
      </c>
      <c r="C900" s="9">
        <v>90.629997000000003</v>
      </c>
      <c r="D900" s="9">
        <v>107.629997</v>
      </c>
      <c r="E900" s="10"/>
      <c r="F900" s="13">
        <v>897</v>
      </c>
      <c r="G900" s="2">
        <v>44768</v>
      </c>
      <c r="H900" s="14">
        <f t="shared" si="281"/>
        <v>-3.4277220086293948E-2</v>
      </c>
      <c r="I900" s="14">
        <f t="shared" si="282"/>
        <v>-6.5655100067391239E-2</v>
      </c>
      <c r="J900" s="14">
        <f t="shared" si="283"/>
        <v>-1.5579969656930258E-2</v>
      </c>
      <c r="K900" s="22">
        <v>897</v>
      </c>
      <c r="L900" s="12"/>
      <c r="Q900" s="15">
        <f t="shared" si="284"/>
        <v>897</v>
      </c>
      <c r="R900" s="2">
        <f t="shared" ref="R900:R963" si="301">IF(Q900="","",VLOOKUP(Q900,F900:J2157,2))</f>
        <v>44768</v>
      </c>
      <c r="S900" s="9">
        <f t="shared" ca="1" si="285"/>
        <v>-3.4277220086293948E-2</v>
      </c>
      <c r="T900" s="9">
        <f t="shared" ca="1" si="286"/>
        <v>-6.5655100067391239E-2</v>
      </c>
      <c r="U900" s="9">
        <f t="shared" ca="1" si="287"/>
        <v>-1.5579969656930258E-2</v>
      </c>
      <c r="AB900" s="33" t="e">
        <f t="shared" ca="1" si="293"/>
        <v>#N/A</v>
      </c>
      <c r="AC900" s="34" t="e">
        <f t="shared" ca="1" si="294"/>
        <v>#N/A</v>
      </c>
      <c r="AD900" s="34" t="e">
        <f t="shared" ca="1" si="295"/>
        <v>#N/A</v>
      </c>
      <c r="AE900" s="33" t="e">
        <f t="shared" ca="1" si="296"/>
        <v>#N/A</v>
      </c>
      <c r="AF900" s="34" t="e">
        <f t="shared" ca="1" si="288"/>
        <v>#N/A</v>
      </c>
      <c r="AG900" s="34" t="e">
        <f t="shared" ca="1" si="289"/>
        <v>#N/A</v>
      </c>
      <c r="AH900" s="34" t="e">
        <f t="shared" ca="1" si="290"/>
        <v>#N/A</v>
      </c>
      <c r="AI900" s="33" t="e">
        <f t="shared" ca="1" si="297"/>
        <v>#N/A</v>
      </c>
      <c r="AJ900" s="34" t="e">
        <f t="shared" ca="1" si="298"/>
        <v>#N/A</v>
      </c>
      <c r="AK900" s="34" t="e">
        <f t="shared" ca="1" si="291"/>
        <v>#N/A</v>
      </c>
      <c r="AL900" s="34" t="e">
        <f t="shared" ca="1" si="292"/>
        <v>#N/A</v>
      </c>
      <c r="AM900" s="33" t="e">
        <f t="shared" ca="1" si="299"/>
        <v>#N/A</v>
      </c>
      <c r="AN900" s="34" t="e">
        <f t="shared" ca="1" si="300"/>
        <v>#N/A</v>
      </c>
    </row>
    <row r="901" spans="1:40" x14ac:dyDescent="0.3">
      <c r="A901" s="2">
        <v>44769</v>
      </c>
      <c r="B901" s="9">
        <v>77.650002000000001</v>
      </c>
      <c r="C901" s="9">
        <v>95.239998</v>
      </c>
      <c r="D901" s="9">
        <v>111.5</v>
      </c>
      <c r="E901" s="10"/>
      <c r="F901" s="13">
        <v>898</v>
      </c>
      <c r="G901" s="2">
        <v>44769</v>
      </c>
      <c r="H901" s="14">
        <f t="shared" ref="H901:H964" si="302">LN(B901/B900)</f>
        <v>2.9139110039249988E-2</v>
      </c>
      <c r="I901" s="14">
        <f t="shared" ref="I901:I964" si="303">LN(C901/C900)</f>
        <v>4.9614749654013919E-2</v>
      </c>
      <c r="J901" s="14">
        <f t="shared" ref="J901:J964" si="304">LN(D901/D900)</f>
        <v>3.5325199497236531E-2</v>
      </c>
      <c r="K901" s="22">
        <v>898</v>
      </c>
      <c r="L901" s="12"/>
      <c r="Q901" s="15">
        <f t="shared" ref="Q901:Q964" si="305">IF(Q900="","",IF(Q900+1&lt;=$M$6,Q900+1,""))</f>
        <v>898</v>
      </c>
      <c r="R901" s="2">
        <f t="shared" si="301"/>
        <v>44769</v>
      </c>
      <c r="S901" s="9">
        <f t="shared" ref="S901:S964" ca="1" si="306">IF(Q901="","",OFFSET(H$3,$Q901,0))</f>
        <v>2.9139110039249988E-2</v>
      </c>
      <c r="T901" s="9">
        <f t="shared" ref="T901:T964" ca="1" si="307">IF(R901="","",OFFSET(I$3,$Q901,0))</f>
        <v>4.9614749654013919E-2</v>
      </c>
      <c r="U901" s="9">
        <f t="shared" ref="U901:U964" ca="1" si="308">IF(S901="","",OFFSET(J$3,$Q901,0))</f>
        <v>3.5325199497236531E-2</v>
      </c>
      <c r="AB901" s="33" t="e">
        <f t="shared" ca="1" si="293"/>
        <v>#N/A</v>
      </c>
      <c r="AC901" s="34" t="e">
        <f t="shared" ca="1" si="294"/>
        <v>#N/A</v>
      </c>
      <c r="AD901" s="34" t="e">
        <f t="shared" ca="1" si="295"/>
        <v>#N/A</v>
      </c>
      <c r="AE901" s="33" t="e">
        <f t="shared" ca="1" si="296"/>
        <v>#N/A</v>
      </c>
      <c r="AF901" s="34" t="e">
        <f t="shared" ref="AF901:AF964" ca="1" si="309">IF(AB901&lt;=$X$6,(AE901/$X$5)/$X$7,"")</f>
        <v>#N/A</v>
      </c>
      <c r="AG901" s="34" t="e">
        <f t="shared" ref="AG901:AG964" ca="1" si="310">IF(AB901&lt;=$Y$6,AG900+$Y$7,"")</f>
        <v>#N/A</v>
      </c>
      <c r="AH901" s="34" t="e">
        <f t="shared" ref="AH901:AH964" ca="1" si="311">IF(AB901&lt;=$Y$6,AG901-$Y$7/2,"")</f>
        <v>#N/A</v>
      </c>
      <c r="AI901" s="33" t="e">
        <f t="shared" ca="1" si="297"/>
        <v>#N/A</v>
      </c>
      <c r="AJ901" s="34" t="e">
        <f t="shared" ca="1" si="298"/>
        <v>#N/A</v>
      </c>
      <c r="AK901" s="34" t="e">
        <f t="shared" ref="AK901:AK964" ca="1" si="312">IF(AB901&lt;=$Z$6,AK900+$Z$7,"")</f>
        <v>#N/A</v>
      </c>
      <c r="AL901" s="34" t="e">
        <f t="shared" ref="AL901:AL964" ca="1" si="313">IF(AB901&lt;=$Z$6,AK901-$Z$7/2,"")</f>
        <v>#N/A</v>
      </c>
      <c r="AM901" s="33" t="e">
        <f t="shared" ca="1" si="299"/>
        <v>#N/A</v>
      </c>
      <c r="AN901" s="34" t="e">
        <f t="shared" ca="1" si="300"/>
        <v>#N/A</v>
      </c>
    </row>
    <row r="902" spans="1:40" x14ac:dyDescent="0.3">
      <c r="A902" s="2">
        <v>44770</v>
      </c>
      <c r="B902" s="9">
        <v>78.129997000000003</v>
      </c>
      <c r="C902" s="9">
        <v>97.339995999999999</v>
      </c>
      <c r="D902" s="9">
        <v>109.510002</v>
      </c>
      <c r="E902" s="10"/>
      <c r="F902" s="13">
        <v>899</v>
      </c>
      <c r="G902" s="2">
        <v>44770</v>
      </c>
      <c r="H902" s="14">
        <f t="shared" si="302"/>
        <v>6.1624922598137394E-3</v>
      </c>
      <c r="I902" s="14">
        <f t="shared" si="303"/>
        <v>2.1809962693149679E-2</v>
      </c>
      <c r="J902" s="14">
        <f t="shared" si="304"/>
        <v>-1.8008703349333518E-2</v>
      </c>
      <c r="K902" s="22">
        <v>899</v>
      </c>
      <c r="L902" s="12"/>
      <c r="Q902" s="15">
        <f t="shared" si="305"/>
        <v>899</v>
      </c>
      <c r="R902" s="2">
        <f t="shared" si="301"/>
        <v>44770</v>
      </c>
      <c r="S902" s="9">
        <f t="shared" ca="1" si="306"/>
        <v>6.1624922598137394E-3</v>
      </c>
      <c r="T902" s="9">
        <f t="shared" ca="1" si="307"/>
        <v>2.1809962693149679E-2</v>
      </c>
      <c r="U902" s="9">
        <f t="shared" ca="1" si="308"/>
        <v>-1.8008703349333518E-2</v>
      </c>
      <c r="AB902" s="33" t="e">
        <f t="shared" ref="AB902:AB965" ca="1" si="314">IF(AB901&lt;$X$6,AB901+1,NA())</f>
        <v>#N/A</v>
      </c>
      <c r="AC902" s="34" t="e">
        <f t="shared" ref="AC902:AC965" ca="1" si="315">IF(AB902&lt;=$X$6,AC901+$X$7,"")</f>
        <v>#N/A</v>
      </c>
      <c r="AD902" s="34" t="e">
        <f t="shared" ref="AD902:AD965" ca="1" si="316">IF(AB902&lt;=$X$6,AC902-$X$7/2,"")</f>
        <v>#N/A</v>
      </c>
      <c r="AE902" s="33" t="e">
        <f t="shared" ref="AE902:AE965" ca="1" si="317">IF(AB902&lt;=$X$6,COUNTIFS($S$3:$S$1260,"&gt;"&amp;AC901,$S$3:$S$1260,"&lt;="&amp;AC902),"")</f>
        <v>#N/A</v>
      </c>
      <c r="AF902" s="34" t="e">
        <f t="shared" ca="1" si="309"/>
        <v>#N/A</v>
      </c>
      <c r="AG902" s="34" t="e">
        <f t="shared" ca="1" si="310"/>
        <v>#N/A</v>
      </c>
      <c r="AH902" s="34" t="e">
        <f t="shared" ca="1" si="311"/>
        <v>#N/A</v>
      </c>
      <c r="AI902" s="33" t="e">
        <f t="shared" ref="AI902:AI965" ca="1" si="318">IF(AB902&lt;=$Y$6,COUNTIFS($T$3:$T$1260,"&gt;"&amp;AG901,$T$3:$T$1260,"&lt;="&amp;AG902),"")</f>
        <v>#N/A</v>
      </c>
      <c r="AJ902" s="34" t="e">
        <f t="shared" ref="AJ902:AJ965" ca="1" si="319">IF(AB902&lt;=$Y$6,(AI902/$Y$5)/$Y$7,"")</f>
        <v>#N/A</v>
      </c>
      <c r="AK902" s="34" t="e">
        <f t="shared" ca="1" si="312"/>
        <v>#N/A</v>
      </c>
      <c r="AL902" s="34" t="e">
        <f t="shared" ca="1" si="313"/>
        <v>#N/A</v>
      </c>
      <c r="AM902" s="33" t="e">
        <f t="shared" ref="AM902:AM965" ca="1" si="320">IF(AB902&lt;=$Z$6,COUNTIFS($U$3:$U$1260,"&gt;"&amp;AK901,$U$3:$U$1260,"&lt;="&amp;AK902),"")</f>
        <v>#N/A</v>
      </c>
      <c r="AN902" s="34" t="e">
        <f t="shared" ref="AN902:AN965" ca="1" si="321">IF(AB902&lt;=$Z$6,(AM902/$Z$5)/$Z$7,"")</f>
        <v>#N/A</v>
      </c>
    </row>
    <row r="903" spans="1:40" x14ac:dyDescent="0.3">
      <c r="A903" s="2">
        <v>44771</v>
      </c>
      <c r="B903" s="9">
        <v>79.139999000000003</v>
      </c>
      <c r="C903" s="9">
        <v>98.629997000000003</v>
      </c>
      <c r="D903" s="9">
        <v>110.769997</v>
      </c>
      <c r="E903" s="10"/>
      <c r="F903" s="13">
        <v>900</v>
      </c>
      <c r="G903" s="2">
        <v>44771</v>
      </c>
      <c r="H903" s="14">
        <f t="shared" si="302"/>
        <v>1.2844355710333245E-2</v>
      </c>
      <c r="I903" s="14">
        <f t="shared" si="303"/>
        <v>1.3165481236961193E-2</v>
      </c>
      <c r="J903" s="14">
        <f t="shared" si="304"/>
        <v>1.1440064894855965E-2</v>
      </c>
      <c r="K903" s="22">
        <v>900</v>
      </c>
      <c r="L903" s="12"/>
      <c r="Q903" s="15">
        <f t="shared" si="305"/>
        <v>900</v>
      </c>
      <c r="R903" s="2">
        <f t="shared" si="301"/>
        <v>44771</v>
      </c>
      <c r="S903" s="9">
        <f t="shared" ca="1" si="306"/>
        <v>1.2844355710333245E-2</v>
      </c>
      <c r="T903" s="9">
        <f t="shared" ca="1" si="307"/>
        <v>1.3165481236961193E-2</v>
      </c>
      <c r="U903" s="9">
        <f t="shared" ca="1" si="308"/>
        <v>1.1440064894855965E-2</v>
      </c>
      <c r="AB903" s="33" t="e">
        <f t="shared" ca="1" si="314"/>
        <v>#N/A</v>
      </c>
      <c r="AC903" s="34" t="e">
        <f t="shared" ca="1" si="315"/>
        <v>#N/A</v>
      </c>
      <c r="AD903" s="34" t="e">
        <f t="shared" ca="1" si="316"/>
        <v>#N/A</v>
      </c>
      <c r="AE903" s="33" t="e">
        <f t="shared" ca="1" si="317"/>
        <v>#N/A</v>
      </c>
      <c r="AF903" s="34" t="e">
        <f t="shared" ca="1" si="309"/>
        <v>#N/A</v>
      </c>
      <c r="AG903" s="34" t="e">
        <f t="shared" ca="1" si="310"/>
        <v>#N/A</v>
      </c>
      <c r="AH903" s="34" t="e">
        <f t="shared" ca="1" si="311"/>
        <v>#N/A</v>
      </c>
      <c r="AI903" s="33" t="e">
        <f t="shared" ca="1" si="318"/>
        <v>#N/A</v>
      </c>
      <c r="AJ903" s="34" t="e">
        <f t="shared" ca="1" si="319"/>
        <v>#N/A</v>
      </c>
      <c r="AK903" s="34" t="e">
        <f t="shared" ca="1" si="312"/>
        <v>#N/A</v>
      </c>
      <c r="AL903" s="34" t="e">
        <f t="shared" ca="1" si="313"/>
        <v>#N/A</v>
      </c>
      <c r="AM903" s="33" t="e">
        <f t="shared" ca="1" si="320"/>
        <v>#N/A</v>
      </c>
      <c r="AN903" s="34" t="e">
        <f t="shared" ca="1" si="321"/>
        <v>#N/A</v>
      </c>
    </row>
    <row r="904" spans="1:40" x14ac:dyDescent="0.3">
      <c r="A904" s="2">
        <v>44774</v>
      </c>
      <c r="B904" s="9">
        <v>79.220000999999996</v>
      </c>
      <c r="C904" s="9">
        <v>97.940002000000007</v>
      </c>
      <c r="D904" s="9">
        <v>110.650002</v>
      </c>
      <c r="E904" s="10"/>
      <c r="F904" s="13">
        <v>901</v>
      </c>
      <c r="G904" s="2">
        <v>44774</v>
      </c>
      <c r="H904" s="14">
        <f t="shared" si="302"/>
        <v>1.0103814954024765E-3</v>
      </c>
      <c r="I904" s="14">
        <f t="shared" si="303"/>
        <v>-7.0203778543559709E-3</v>
      </c>
      <c r="J904" s="14">
        <f t="shared" si="304"/>
        <v>-1.0838678736261199E-3</v>
      </c>
      <c r="K904" s="22">
        <v>901</v>
      </c>
      <c r="L904" s="12"/>
      <c r="Q904" s="15">
        <f t="shared" si="305"/>
        <v>901</v>
      </c>
      <c r="R904" s="2">
        <f t="shared" si="301"/>
        <v>44774</v>
      </c>
      <c r="S904" s="9">
        <f t="shared" ca="1" si="306"/>
        <v>1.0103814954024765E-3</v>
      </c>
      <c r="T904" s="9">
        <f t="shared" ca="1" si="307"/>
        <v>-7.0203778543559709E-3</v>
      </c>
      <c r="U904" s="9">
        <f t="shared" ca="1" si="308"/>
        <v>-1.0838678736261199E-3</v>
      </c>
      <c r="AB904" s="33" t="e">
        <f t="shared" ca="1" si="314"/>
        <v>#N/A</v>
      </c>
      <c r="AC904" s="34" t="e">
        <f t="shared" ca="1" si="315"/>
        <v>#N/A</v>
      </c>
      <c r="AD904" s="34" t="e">
        <f t="shared" ca="1" si="316"/>
        <v>#N/A</v>
      </c>
      <c r="AE904" s="33" t="e">
        <f t="shared" ca="1" si="317"/>
        <v>#N/A</v>
      </c>
      <c r="AF904" s="34" t="e">
        <f t="shared" ca="1" si="309"/>
        <v>#N/A</v>
      </c>
      <c r="AG904" s="34" t="e">
        <f t="shared" ca="1" si="310"/>
        <v>#N/A</v>
      </c>
      <c r="AH904" s="34" t="e">
        <f t="shared" ca="1" si="311"/>
        <v>#N/A</v>
      </c>
      <c r="AI904" s="33" t="e">
        <f t="shared" ca="1" si="318"/>
        <v>#N/A</v>
      </c>
      <c r="AJ904" s="34" t="e">
        <f t="shared" ca="1" si="319"/>
        <v>#N/A</v>
      </c>
      <c r="AK904" s="34" t="e">
        <f t="shared" ca="1" si="312"/>
        <v>#N/A</v>
      </c>
      <c r="AL904" s="34" t="e">
        <f t="shared" ca="1" si="313"/>
        <v>#N/A</v>
      </c>
      <c r="AM904" s="33" t="e">
        <f t="shared" ca="1" si="320"/>
        <v>#N/A</v>
      </c>
      <c r="AN904" s="34" t="e">
        <f t="shared" ca="1" si="321"/>
        <v>#N/A</v>
      </c>
    </row>
    <row r="905" spans="1:40" x14ac:dyDescent="0.3">
      <c r="A905" s="2">
        <v>44775</v>
      </c>
      <c r="B905" s="9">
        <v>78</v>
      </c>
      <c r="C905" s="9">
        <v>94.970000999999996</v>
      </c>
      <c r="D905" s="9">
        <v>112.989998</v>
      </c>
      <c r="E905" s="10"/>
      <c r="F905" s="13">
        <v>902</v>
      </c>
      <c r="G905" s="2">
        <v>44775</v>
      </c>
      <c r="H905" s="14">
        <f t="shared" si="302"/>
        <v>-1.5519978127253723E-2</v>
      </c>
      <c r="I905" s="14">
        <f t="shared" si="303"/>
        <v>-3.0794003910334915E-2</v>
      </c>
      <c r="J905" s="14">
        <f t="shared" si="304"/>
        <v>2.0927216948403344E-2</v>
      </c>
      <c r="K905" s="22">
        <v>902</v>
      </c>
      <c r="L905" s="12"/>
      <c r="Q905" s="15">
        <f t="shared" si="305"/>
        <v>902</v>
      </c>
      <c r="R905" s="2">
        <f t="shared" si="301"/>
        <v>44775</v>
      </c>
      <c r="S905" s="9">
        <f t="shared" ca="1" si="306"/>
        <v>-1.5519978127253723E-2</v>
      </c>
      <c r="T905" s="9">
        <f t="shared" ca="1" si="307"/>
        <v>-3.0794003910334915E-2</v>
      </c>
      <c r="U905" s="9">
        <f t="shared" ca="1" si="308"/>
        <v>2.0927216948403344E-2</v>
      </c>
      <c r="AB905" s="33" t="e">
        <f t="shared" ca="1" si="314"/>
        <v>#N/A</v>
      </c>
      <c r="AC905" s="34" t="e">
        <f t="shared" ca="1" si="315"/>
        <v>#N/A</v>
      </c>
      <c r="AD905" s="34" t="e">
        <f t="shared" ca="1" si="316"/>
        <v>#N/A</v>
      </c>
      <c r="AE905" s="33" t="e">
        <f t="shared" ca="1" si="317"/>
        <v>#N/A</v>
      </c>
      <c r="AF905" s="34" t="e">
        <f t="shared" ca="1" si="309"/>
        <v>#N/A</v>
      </c>
      <c r="AG905" s="34" t="e">
        <f t="shared" ca="1" si="310"/>
        <v>#N/A</v>
      </c>
      <c r="AH905" s="34" t="e">
        <f t="shared" ca="1" si="311"/>
        <v>#N/A</v>
      </c>
      <c r="AI905" s="33" t="e">
        <f t="shared" ca="1" si="318"/>
        <v>#N/A</v>
      </c>
      <c r="AJ905" s="34" t="e">
        <f t="shared" ca="1" si="319"/>
        <v>#N/A</v>
      </c>
      <c r="AK905" s="34" t="e">
        <f t="shared" ca="1" si="312"/>
        <v>#N/A</v>
      </c>
      <c r="AL905" s="34" t="e">
        <f t="shared" ca="1" si="313"/>
        <v>#N/A</v>
      </c>
      <c r="AM905" s="33" t="e">
        <f t="shared" ca="1" si="320"/>
        <v>#N/A</v>
      </c>
      <c r="AN905" s="34" t="e">
        <f t="shared" ca="1" si="321"/>
        <v>#N/A</v>
      </c>
    </row>
    <row r="906" spans="1:40" x14ac:dyDescent="0.3">
      <c r="A906" s="2">
        <v>44776</v>
      </c>
      <c r="B906" s="9">
        <v>80.180000000000007</v>
      </c>
      <c r="C906" s="9">
        <v>98.360000999999997</v>
      </c>
      <c r="D906" s="9">
        <v>107.80999799999999</v>
      </c>
      <c r="E906" s="10"/>
      <c r="F906" s="13">
        <v>903</v>
      </c>
      <c r="G906" s="2">
        <v>44776</v>
      </c>
      <c r="H906" s="14">
        <f t="shared" si="302"/>
        <v>2.7565280524769323E-2</v>
      </c>
      <c r="I906" s="14">
        <f t="shared" si="303"/>
        <v>3.5073164730224288E-2</v>
      </c>
      <c r="J906" s="14">
        <f t="shared" si="304"/>
        <v>-4.6928901520601696E-2</v>
      </c>
      <c r="K906" s="22">
        <v>903</v>
      </c>
      <c r="L906" s="12"/>
      <c r="Q906" s="15">
        <f t="shared" si="305"/>
        <v>903</v>
      </c>
      <c r="R906" s="2">
        <f t="shared" si="301"/>
        <v>44776</v>
      </c>
      <c r="S906" s="9">
        <f t="shared" ca="1" si="306"/>
        <v>2.7565280524769323E-2</v>
      </c>
      <c r="T906" s="9">
        <f t="shared" ca="1" si="307"/>
        <v>3.5073164730224288E-2</v>
      </c>
      <c r="U906" s="9">
        <f t="shared" ca="1" si="308"/>
        <v>-4.6928901520601696E-2</v>
      </c>
      <c r="AB906" s="33" t="e">
        <f t="shared" ca="1" si="314"/>
        <v>#N/A</v>
      </c>
      <c r="AC906" s="34" t="e">
        <f t="shared" ca="1" si="315"/>
        <v>#N/A</v>
      </c>
      <c r="AD906" s="34" t="e">
        <f t="shared" ca="1" si="316"/>
        <v>#N/A</v>
      </c>
      <c r="AE906" s="33" t="e">
        <f t="shared" ca="1" si="317"/>
        <v>#N/A</v>
      </c>
      <c r="AF906" s="34" t="e">
        <f t="shared" ca="1" si="309"/>
        <v>#N/A</v>
      </c>
      <c r="AG906" s="34" t="e">
        <f t="shared" ca="1" si="310"/>
        <v>#N/A</v>
      </c>
      <c r="AH906" s="34" t="e">
        <f t="shared" ca="1" si="311"/>
        <v>#N/A</v>
      </c>
      <c r="AI906" s="33" t="e">
        <f t="shared" ca="1" si="318"/>
        <v>#N/A</v>
      </c>
      <c r="AJ906" s="34" t="e">
        <f t="shared" ca="1" si="319"/>
        <v>#N/A</v>
      </c>
      <c r="AK906" s="34" t="e">
        <f t="shared" ca="1" si="312"/>
        <v>#N/A</v>
      </c>
      <c r="AL906" s="34" t="e">
        <f t="shared" ca="1" si="313"/>
        <v>#N/A</v>
      </c>
      <c r="AM906" s="33" t="e">
        <f t="shared" ca="1" si="320"/>
        <v>#N/A</v>
      </c>
      <c r="AN906" s="34" t="e">
        <f t="shared" ca="1" si="321"/>
        <v>#N/A</v>
      </c>
    </row>
    <row r="907" spans="1:40" x14ac:dyDescent="0.3">
      <c r="A907" s="2">
        <v>44777</v>
      </c>
      <c r="B907" s="9">
        <v>79.010002</v>
      </c>
      <c r="C907" s="9">
        <v>98.730002999999996</v>
      </c>
      <c r="D907" s="9">
        <v>104.33000199999999</v>
      </c>
      <c r="E907" s="10"/>
      <c r="F907" s="13">
        <v>904</v>
      </c>
      <c r="G907" s="2">
        <v>44777</v>
      </c>
      <c r="H907" s="14">
        <f t="shared" si="302"/>
        <v>-1.4699655166467863E-2</v>
      </c>
      <c r="I907" s="14">
        <f t="shared" si="303"/>
        <v>3.7546544945324454E-3</v>
      </c>
      <c r="J907" s="14">
        <f t="shared" si="304"/>
        <v>-3.2811428350052282E-2</v>
      </c>
      <c r="K907" s="22">
        <v>904</v>
      </c>
      <c r="L907" s="12"/>
      <c r="Q907" s="15">
        <f t="shared" si="305"/>
        <v>904</v>
      </c>
      <c r="R907" s="2">
        <f t="shared" si="301"/>
        <v>44777</v>
      </c>
      <c r="S907" s="9">
        <f t="shared" ca="1" si="306"/>
        <v>-1.4699655166467863E-2</v>
      </c>
      <c r="T907" s="9">
        <f t="shared" ca="1" si="307"/>
        <v>3.7546544945324454E-3</v>
      </c>
      <c r="U907" s="9">
        <f t="shared" ca="1" si="308"/>
        <v>-3.2811428350052282E-2</v>
      </c>
      <c r="AB907" s="33" t="e">
        <f t="shared" ca="1" si="314"/>
        <v>#N/A</v>
      </c>
      <c r="AC907" s="34" t="e">
        <f t="shared" ca="1" si="315"/>
        <v>#N/A</v>
      </c>
      <c r="AD907" s="34" t="e">
        <f t="shared" ca="1" si="316"/>
        <v>#N/A</v>
      </c>
      <c r="AE907" s="33" t="e">
        <f t="shared" ca="1" si="317"/>
        <v>#N/A</v>
      </c>
      <c r="AF907" s="34" t="e">
        <f t="shared" ca="1" si="309"/>
        <v>#N/A</v>
      </c>
      <c r="AG907" s="34" t="e">
        <f t="shared" ca="1" si="310"/>
        <v>#N/A</v>
      </c>
      <c r="AH907" s="34" t="e">
        <f t="shared" ca="1" si="311"/>
        <v>#N/A</v>
      </c>
      <c r="AI907" s="33" t="e">
        <f t="shared" ca="1" si="318"/>
        <v>#N/A</v>
      </c>
      <c r="AJ907" s="34" t="e">
        <f t="shared" ca="1" si="319"/>
        <v>#N/A</v>
      </c>
      <c r="AK907" s="34" t="e">
        <f t="shared" ca="1" si="312"/>
        <v>#N/A</v>
      </c>
      <c r="AL907" s="34" t="e">
        <f t="shared" ca="1" si="313"/>
        <v>#N/A</v>
      </c>
      <c r="AM907" s="33" t="e">
        <f t="shared" ca="1" si="320"/>
        <v>#N/A</v>
      </c>
      <c r="AN907" s="34" t="e">
        <f t="shared" ca="1" si="321"/>
        <v>#N/A</v>
      </c>
    </row>
    <row r="908" spans="1:40" x14ac:dyDescent="0.3">
      <c r="A908" s="2">
        <v>44778</v>
      </c>
      <c r="B908" s="9">
        <v>78.860000999999997</v>
      </c>
      <c r="C908" s="9">
        <v>100.220001</v>
      </c>
      <c r="D908" s="9">
        <v>104.989998</v>
      </c>
      <c r="E908" s="10"/>
      <c r="F908" s="13">
        <v>905</v>
      </c>
      <c r="G908" s="2">
        <v>44778</v>
      </c>
      <c r="H908" s="14">
        <f t="shared" si="302"/>
        <v>-1.9003109177120976E-3</v>
      </c>
      <c r="I908" s="14">
        <f t="shared" si="303"/>
        <v>1.4978897500368179E-2</v>
      </c>
      <c r="J908" s="14">
        <f t="shared" si="304"/>
        <v>6.3061168275971892E-3</v>
      </c>
      <c r="K908" s="22">
        <v>905</v>
      </c>
      <c r="L908" s="12"/>
      <c r="Q908" s="15">
        <f t="shared" si="305"/>
        <v>905</v>
      </c>
      <c r="R908" s="2">
        <f t="shared" si="301"/>
        <v>44778</v>
      </c>
      <c r="S908" s="9">
        <f t="shared" ca="1" si="306"/>
        <v>-1.9003109177120976E-3</v>
      </c>
      <c r="T908" s="9">
        <f t="shared" ca="1" si="307"/>
        <v>1.4978897500368179E-2</v>
      </c>
      <c r="U908" s="9">
        <f t="shared" ca="1" si="308"/>
        <v>6.3061168275971892E-3</v>
      </c>
      <c r="AB908" s="33" t="e">
        <f t="shared" ca="1" si="314"/>
        <v>#N/A</v>
      </c>
      <c r="AC908" s="34" t="e">
        <f t="shared" ca="1" si="315"/>
        <v>#N/A</v>
      </c>
      <c r="AD908" s="34" t="e">
        <f t="shared" ca="1" si="316"/>
        <v>#N/A</v>
      </c>
      <c r="AE908" s="33" t="e">
        <f t="shared" ca="1" si="317"/>
        <v>#N/A</v>
      </c>
      <c r="AF908" s="34" t="e">
        <f t="shared" ca="1" si="309"/>
        <v>#N/A</v>
      </c>
      <c r="AG908" s="34" t="e">
        <f t="shared" ca="1" si="310"/>
        <v>#N/A</v>
      </c>
      <c r="AH908" s="34" t="e">
        <f t="shared" ca="1" si="311"/>
        <v>#N/A</v>
      </c>
      <c r="AI908" s="33" t="e">
        <f t="shared" ca="1" si="318"/>
        <v>#N/A</v>
      </c>
      <c r="AJ908" s="34" t="e">
        <f t="shared" ca="1" si="319"/>
        <v>#N/A</v>
      </c>
      <c r="AK908" s="34" t="e">
        <f t="shared" ca="1" si="312"/>
        <v>#N/A</v>
      </c>
      <c r="AL908" s="34" t="e">
        <f t="shared" ca="1" si="313"/>
        <v>#N/A</v>
      </c>
      <c r="AM908" s="33" t="e">
        <f t="shared" ca="1" si="320"/>
        <v>#N/A</v>
      </c>
      <c r="AN908" s="34" t="e">
        <f t="shared" ca="1" si="321"/>
        <v>#N/A</v>
      </c>
    </row>
    <row r="909" spans="1:40" x14ac:dyDescent="0.3">
      <c r="A909" s="2">
        <v>44781</v>
      </c>
      <c r="B909" s="9">
        <v>78.559997999999993</v>
      </c>
      <c r="C909" s="9">
        <v>101.160004</v>
      </c>
      <c r="D909" s="9">
        <v>106.389999</v>
      </c>
      <c r="E909" s="10"/>
      <c r="F909" s="13">
        <v>906</v>
      </c>
      <c r="G909" s="2">
        <v>44781</v>
      </c>
      <c r="H909" s="14">
        <f t="shared" si="302"/>
        <v>-3.8115025422193931E-3</v>
      </c>
      <c r="I909" s="14">
        <f t="shared" si="303"/>
        <v>9.3356818334575289E-3</v>
      </c>
      <c r="J909" s="14">
        <f t="shared" si="304"/>
        <v>1.3246489651478623E-2</v>
      </c>
      <c r="K909" s="22">
        <v>906</v>
      </c>
      <c r="L909" s="12"/>
      <c r="Q909" s="15">
        <f t="shared" si="305"/>
        <v>906</v>
      </c>
      <c r="R909" s="2">
        <f t="shared" si="301"/>
        <v>44781</v>
      </c>
      <c r="S909" s="9">
        <f t="shared" ca="1" si="306"/>
        <v>-3.8115025422193931E-3</v>
      </c>
      <c r="T909" s="9">
        <f t="shared" ca="1" si="307"/>
        <v>9.3356818334575289E-3</v>
      </c>
      <c r="U909" s="9">
        <f t="shared" ca="1" si="308"/>
        <v>1.3246489651478623E-2</v>
      </c>
      <c r="AB909" s="33" t="e">
        <f t="shared" ca="1" si="314"/>
        <v>#N/A</v>
      </c>
      <c r="AC909" s="34" t="e">
        <f t="shared" ca="1" si="315"/>
        <v>#N/A</v>
      </c>
      <c r="AD909" s="34" t="e">
        <f t="shared" ca="1" si="316"/>
        <v>#N/A</v>
      </c>
      <c r="AE909" s="33" t="e">
        <f t="shared" ca="1" si="317"/>
        <v>#N/A</v>
      </c>
      <c r="AF909" s="34" t="e">
        <f t="shared" ca="1" si="309"/>
        <v>#N/A</v>
      </c>
      <c r="AG909" s="34" t="e">
        <f t="shared" ca="1" si="310"/>
        <v>#N/A</v>
      </c>
      <c r="AH909" s="34" t="e">
        <f t="shared" ca="1" si="311"/>
        <v>#N/A</v>
      </c>
      <c r="AI909" s="33" t="e">
        <f t="shared" ca="1" si="318"/>
        <v>#N/A</v>
      </c>
      <c r="AJ909" s="34" t="e">
        <f t="shared" ca="1" si="319"/>
        <v>#N/A</v>
      </c>
      <c r="AK909" s="34" t="e">
        <f t="shared" ca="1" si="312"/>
        <v>#N/A</v>
      </c>
      <c r="AL909" s="34" t="e">
        <f t="shared" ca="1" si="313"/>
        <v>#N/A</v>
      </c>
      <c r="AM909" s="33" t="e">
        <f t="shared" ca="1" si="320"/>
        <v>#N/A</v>
      </c>
      <c r="AN909" s="34" t="e">
        <f t="shared" ca="1" si="321"/>
        <v>#N/A</v>
      </c>
    </row>
    <row r="910" spans="1:40" x14ac:dyDescent="0.3">
      <c r="A910" s="2">
        <v>44782</v>
      </c>
      <c r="B910" s="9">
        <v>77.769997000000004</v>
      </c>
      <c r="C910" s="9">
        <v>96.769997000000004</v>
      </c>
      <c r="D910" s="9">
        <v>110.66999800000001</v>
      </c>
      <c r="E910" s="10"/>
      <c r="F910" s="13">
        <v>907</v>
      </c>
      <c r="G910" s="2">
        <v>44782</v>
      </c>
      <c r="H910" s="14">
        <f t="shared" si="302"/>
        <v>-1.0106924456396417E-2</v>
      </c>
      <c r="I910" s="14">
        <f t="shared" si="303"/>
        <v>-4.4366463451576951E-2</v>
      </c>
      <c r="J910" s="14">
        <f t="shared" si="304"/>
        <v>3.944120407605408E-2</v>
      </c>
      <c r="K910" s="22">
        <v>907</v>
      </c>
      <c r="L910" s="12"/>
      <c r="Q910" s="15">
        <f t="shared" si="305"/>
        <v>907</v>
      </c>
      <c r="R910" s="2">
        <f t="shared" si="301"/>
        <v>44782</v>
      </c>
      <c r="S910" s="9">
        <f t="shared" ca="1" si="306"/>
        <v>-1.0106924456396417E-2</v>
      </c>
      <c r="T910" s="9">
        <f t="shared" ca="1" si="307"/>
        <v>-4.4366463451576951E-2</v>
      </c>
      <c r="U910" s="9">
        <f t="shared" ca="1" si="308"/>
        <v>3.944120407605408E-2</v>
      </c>
      <c r="AB910" s="33" t="e">
        <f t="shared" ca="1" si="314"/>
        <v>#N/A</v>
      </c>
      <c r="AC910" s="34" t="e">
        <f t="shared" ca="1" si="315"/>
        <v>#N/A</v>
      </c>
      <c r="AD910" s="34" t="e">
        <f t="shared" ca="1" si="316"/>
        <v>#N/A</v>
      </c>
      <c r="AE910" s="33" t="e">
        <f t="shared" ca="1" si="317"/>
        <v>#N/A</v>
      </c>
      <c r="AF910" s="34" t="e">
        <f t="shared" ca="1" si="309"/>
        <v>#N/A</v>
      </c>
      <c r="AG910" s="34" t="e">
        <f t="shared" ca="1" si="310"/>
        <v>#N/A</v>
      </c>
      <c r="AH910" s="34" t="e">
        <f t="shared" ca="1" si="311"/>
        <v>#N/A</v>
      </c>
      <c r="AI910" s="33" t="e">
        <f t="shared" ca="1" si="318"/>
        <v>#N/A</v>
      </c>
      <c r="AJ910" s="34" t="e">
        <f t="shared" ca="1" si="319"/>
        <v>#N/A</v>
      </c>
      <c r="AK910" s="34" t="e">
        <f t="shared" ca="1" si="312"/>
        <v>#N/A</v>
      </c>
      <c r="AL910" s="34" t="e">
        <f t="shared" ca="1" si="313"/>
        <v>#N/A</v>
      </c>
      <c r="AM910" s="33" t="e">
        <f t="shared" ca="1" si="320"/>
        <v>#N/A</v>
      </c>
      <c r="AN910" s="34" t="e">
        <f t="shared" ca="1" si="321"/>
        <v>#N/A</v>
      </c>
    </row>
    <row r="911" spans="1:40" x14ac:dyDescent="0.3">
      <c r="A911" s="2">
        <v>44783</v>
      </c>
      <c r="B911" s="9">
        <v>80.050003000000004</v>
      </c>
      <c r="C911" s="9">
        <v>95.519997000000004</v>
      </c>
      <c r="D911" s="9">
        <v>111.760002</v>
      </c>
      <c r="E911" s="10"/>
      <c r="F911" s="13">
        <v>908</v>
      </c>
      <c r="G911" s="2">
        <v>44783</v>
      </c>
      <c r="H911" s="14">
        <f t="shared" si="302"/>
        <v>2.8895762787734963E-2</v>
      </c>
      <c r="I911" s="14">
        <f t="shared" si="303"/>
        <v>-1.300137965425101E-2</v>
      </c>
      <c r="J911" s="14">
        <f t="shared" si="304"/>
        <v>9.8009506392476037E-3</v>
      </c>
      <c r="K911" s="22">
        <v>908</v>
      </c>
      <c r="L911" s="12"/>
      <c r="Q911" s="15">
        <f t="shared" si="305"/>
        <v>908</v>
      </c>
      <c r="R911" s="2">
        <f t="shared" si="301"/>
        <v>44783</v>
      </c>
      <c r="S911" s="9">
        <f t="shared" ca="1" si="306"/>
        <v>2.8895762787734963E-2</v>
      </c>
      <c r="T911" s="9">
        <f t="shared" ca="1" si="307"/>
        <v>-1.300137965425101E-2</v>
      </c>
      <c r="U911" s="9">
        <f t="shared" ca="1" si="308"/>
        <v>9.8009506392476037E-3</v>
      </c>
      <c r="AB911" s="33" t="e">
        <f t="shared" ca="1" si="314"/>
        <v>#N/A</v>
      </c>
      <c r="AC911" s="34" t="e">
        <f t="shared" ca="1" si="315"/>
        <v>#N/A</v>
      </c>
      <c r="AD911" s="34" t="e">
        <f t="shared" ca="1" si="316"/>
        <v>#N/A</v>
      </c>
      <c r="AE911" s="33" t="e">
        <f t="shared" ca="1" si="317"/>
        <v>#N/A</v>
      </c>
      <c r="AF911" s="34" t="e">
        <f t="shared" ca="1" si="309"/>
        <v>#N/A</v>
      </c>
      <c r="AG911" s="34" t="e">
        <f t="shared" ca="1" si="310"/>
        <v>#N/A</v>
      </c>
      <c r="AH911" s="34" t="e">
        <f t="shared" ca="1" si="311"/>
        <v>#N/A</v>
      </c>
      <c r="AI911" s="33" t="e">
        <f t="shared" ca="1" si="318"/>
        <v>#N/A</v>
      </c>
      <c r="AJ911" s="34" t="e">
        <f t="shared" ca="1" si="319"/>
        <v>#N/A</v>
      </c>
      <c r="AK911" s="34" t="e">
        <f t="shared" ca="1" si="312"/>
        <v>#N/A</v>
      </c>
      <c r="AL911" s="34" t="e">
        <f t="shared" ca="1" si="313"/>
        <v>#N/A</v>
      </c>
      <c r="AM911" s="33" t="e">
        <f t="shared" ca="1" si="320"/>
        <v>#N/A</v>
      </c>
      <c r="AN911" s="34" t="e">
        <f t="shared" ca="1" si="321"/>
        <v>#N/A</v>
      </c>
    </row>
    <row r="912" spans="1:40" x14ac:dyDescent="0.3">
      <c r="A912" s="2">
        <v>44784</v>
      </c>
      <c r="B912" s="9">
        <v>81.160004000000001</v>
      </c>
      <c r="C912" s="9">
        <v>99.120002999999997</v>
      </c>
      <c r="D912" s="9">
        <v>114.089996</v>
      </c>
      <c r="E912" s="10"/>
      <c r="F912" s="13">
        <v>909</v>
      </c>
      <c r="G912" s="2">
        <v>44784</v>
      </c>
      <c r="H912" s="14">
        <f t="shared" si="302"/>
        <v>1.3771087323674882E-2</v>
      </c>
      <c r="I912" s="14">
        <f t="shared" si="303"/>
        <v>3.699564934997393E-2</v>
      </c>
      <c r="J912" s="14">
        <f t="shared" si="304"/>
        <v>2.0633842704040412E-2</v>
      </c>
      <c r="K912" s="22">
        <v>909</v>
      </c>
      <c r="L912" s="12"/>
      <c r="Q912" s="15">
        <f t="shared" si="305"/>
        <v>909</v>
      </c>
      <c r="R912" s="2">
        <f t="shared" si="301"/>
        <v>44784</v>
      </c>
      <c r="S912" s="9">
        <f t="shared" ca="1" si="306"/>
        <v>1.3771087323674882E-2</v>
      </c>
      <c r="T912" s="9">
        <f t="shared" ca="1" si="307"/>
        <v>3.699564934997393E-2</v>
      </c>
      <c r="U912" s="9">
        <f t="shared" ca="1" si="308"/>
        <v>2.0633842704040412E-2</v>
      </c>
      <c r="AB912" s="33" t="e">
        <f t="shared" ca="1" si="314"/>
        <v>#N/A</v>
      </c>
      <c r="AC912" s="34" t="e">
        <f t="shared" ca="1" si="315"/>
        <v>#N/A</v>
      </c>
      <c r="AD912" s="34" t="e">
        <f t="shared" ca="1" si="316"/>
        <v>#N/A</v>
      </c>
      <c r="AE912" s="33" t="e">
        <f t="shared" ca="1" si="317"/>
        <v>#N/A</v>
      </c>
      <c r="AF912" s="34" t="e">
        <f t="shared" ca="1" si="309"/>
        <v>#N/A</v>
      </c>
      <c r="AG912" s="34" t="e">
        <f t="shared" ca="1" si="310"/>
        <v>#N/A</v>
      </c>
      <c r="AH912" s="34" t="e">
        <f t="shared" ca="1" si="311"/>
        <v>#N/A</v>
      </c>
      <c r="AI912" s="33" t="e">
        <f t="shared" ca="1" si="318"/>
        <v>#N/A</v>
      </c>
      <c r="AJ912" s="34" t="e">
        <f t="shared" ca="1" si="319"/>
        <v>#N/A</v>
      </c>
      <c r="AK912" s="34" t="e">
        <f t="shared" ca="1" si="312"/>
        <v>#N/A</v>
      </c>
      <c r="AL912" s="34" t="e">
        <f t="shared" ca="1" si="313"/>
        <v>#N/A</v>
      </c>
      <c r="AM912" s="33" t="e">
        <f t="shared" ca="1" si="320"/>
        <v>#N/A</v>
      </c>
      <c r="AN912" s="34" t="e">
        <f t="shared" ca="1" si="321"/>
        <v>#N/A</v>
      </c>
    </row>
    <row r="913" spans="1:40" x14ac:dyDescent="0.3">
      <c r="A913" s="2">
        <v>44785</v>
      </c>
      <c r="B913" s="9">
        <v>82.32</v>
      </c>
      <c r="C913" s="9">
        <v>98.839995999999999</v>
      </c>
      <c r="D913" s="9">
        <v>115.19000200000001</v>
      </c>
      <c r="E913" s="10"/>
      <c r="F913" s="13">
        <v>910</v>
      </c>
      <c r="G913" s="2">
        <v>44785</v>
      </c>
      <c r="H913" s="14">
        <f t="shared" si="302"/>
        <v>1.4191527282819021E-2</v>
      </c>
      <c r="I913" s="14">
        <f t="shared" si="303"/>
        <v>-2.8289269362674449E-3</v>
      </c>
      <c r="J913" s="14">
        <f t="shared" si="304"/>
        <v>9.5953807527960847E-3</v>
      </c>
      <c r="K913" s="22">
        <v>910</v>
      </c>
      <c r="L913" s="12"/>
      <c r="Q913" s="15">
        <f t="shared" si="305"/>
        <v>910</v>
      </c>
      <c r="R913" s="2">
        <f t="shared" si="301"/>
        <v>44785</v>
      </c>
      <c r="S913" s="9">
        <f t="shared" ca="1" si="306"/>
        <v>1.4191527282819021E-2</v>
      </c>
      <c r="T913" s="9">
        <f t="shared" ca="1" si="307"/>
        <v>-2.8289269362674449E-3</v>
      </c>
      <c r="U913" s="9">
        <f t="shared" ca="1" si="308"/>
        <v>9.5953807527960847E-3</v>
      </c>
      <c r="AB913" s="33" t="e">
        <f t="shared" ca="1" si="314"/>
        <v>#N/A</v>
      </c>
      <c r="AC913" s="34" t="e">
        <f t="shared" ca="1" si="315"/>
        <v>#N/A</v>
      </c>
      <c r="AD913" s="34" t="e">
        <f t="shared" ca="1" si="316"/>
        <v>#N/A</v>
      </c>
      <c r="AE913" s="33" t="e">
        <f t="shared" ca="1" si="317"/>
        <v>#N/A</v>
      </c>
      <c r="AF913" s="34" t="e">
        <f t="shared" ca="1" si="309"/>
        <v>#N/A</v>
      </c>
      <c r="AG913" s="34" t="e">
        <f t="shared" ca="1" si="310"/>
        <v>#N/A</v>
      </c>
      <c r="AH913" s="34" t="e">
        <f t="shared" ca="1" si="311"/>
        <v>#N/A</v>
      </c>
      <c r="AI913" s="33" t="e">
        <f t="shared" ca="1" si="318"/>
        <v>#N/A</v>
      </c>
      <c r="AJ913" s="34" t="e">
        <f t="shared" ca="1" si="319"/>
        <v>#N/A</v>
      </c>
      <c r="AK913" s="34" t="e">
        <f t="shared" ca="1" si="312"/>
        <v>#N/A</v>
      </c>
      <c r="AL913" s="34" t="e">
        <f t="shared" ca="1" si="313"/>
        <v>#N/A</v>
      </c>
      <c r="AM913" s="33" t="e">
        <f t="shared" ca="1" si="320"/>
        <v>#N/A</v>
      </c>
      <c r="AN913" s="34" t="e">
        <f t="shared" ca="1" si="321"/>
        <v>#N/A</v>
      </c>
    </row>
    <row r="914" spans="1:40" x14ac:dyDescent="0.3">
      <c r="A914" s="2">
        <v>44788</v>
      </c>
      <c r="B914" s="9">
        <v>81.339995999999999</v>
      </c>
      <c r="C914" s="9">
        <v>98.470000999999996</v>
      </c>
      <c r="D914" s="9">
        <v>111.949997</v>
      </c>
      <c r="E914" s="10"/>
      <c r="F914" s="13">
        <v>911</v>
      </c>
      <c r="G914" s="2">
        <v>44788</v>
      </c>
      <c r="H914" s="14">
        <f t="shared" si="302"/>
        <v>-1.1976240223013853E-2</v>
      </c>
      <c r="I914" s="14">
        <f t="shared" si="303"/>
        <v>-3.7503972358749874E-3</v>
      </c>
      <c r="J914" s="14">
        <f t="shared" si="304"/>
        <v>-2.8530640053947301E-2</v>
      </c>
      <c r="K914" s="22">
        <v>911</v>
      </c>
      <c r="L914" s="12"/>
      <c r="Q914" s="15">
        <f t="shared" si="305"/>
        <v>911</v>
      </c>
      <c r="R914" s="2">
        <f t="shared" si="301"/>
        <v>44788</v>
      </c>
      <c r="S914" s="9">
        <f t="shared" ca="1" si="306"/>
        <v>-1.1976240223013853E-2</v>
      </c>
      <c r="T914" s="9">
        <f t="shared" ca="1" si="307"/>
        <v>-3.7503972358749874E-3</v>
      </c>
      <c r="U914" s="9">
        <f t="shared" ca="1" si="308"/>
        <v>-2.8530640053947301E-2</v>
      </c>
      <c r="AB914" s="33" t="e">
        <f t="shared" ca="1" si="314"/>
        <v>#N/A</v>
      </c>
      <c r="AC914" s="34" t="e">
        <f t="shared" ca="1" si="315"/>
        <v>#N/A</v>
      </c>
      <c r="AD914" s="34" t="e">
        <f t="shared" ca="1" si="316"/>
        <v>#N/A</v>
      </c>
      <c r="AE914" s="33" t="e">
        <f t="shared" ca="1" si="317"/>
        <v>#N/A</v>
      </c>
      <c r="AF914" s="34" t="e">
        <f t="shared" ca="1" si="309"/>
        <v>#N/A</v>
      </c>
      <c r="AG914" s="34" t="e">
        <f t="shared" ca="1" si="310"/>
        <v>#N/A</v>
      </c>
      <c r="AH914" s="34" t="e">
        <f t="shared" ca="1" si="311"/>
        <v>#N/A</v>
      </c>
      <c r="AI914" s="33" t="e">
        <f t="shared" ca="1" si="318"/>
        <v>#N/A</v>
      </c>
      <c r="AJ914" s="34" t="e">
        <f t="shared" ca="1" si="319"/>
        <v>#N/A</v>
      </c>
      <c r="AK914" s="34" t="e">
        <f t="shared" ca="1" si="312"/>
        <v>#N/A</v>
      </c>
      <c r="AL914" s="34" t="e">
        <f t="shared" ca="1" si="313"/>
        <v>#N/A</v>
      </c>
      <c r="AM914" s="33" t="e">
        <f t="shared" ca="1" si="320"/>
        <v>#N/A</v>
      </c>
      <c r="AN914" s="34" t="e">
        <f t="shared" ca="1" si="321"/>
        <v>#N/A</v>
      </c>
    </row>
    <row r="915" spans="1:40" x14ac:dyDescent="0.3">
      <c r="A915" s="2">
        <v>44789</v>
      </c>
      <c r="B915" s="9">
        <v>81.940002000000007</v>
      </c>
      <c r="C915" s="9">
        <v>100.860001</v>
      </c>
      <c r="D915" s="9">
        <v>113.30999799999999</v>
      </c>
      <c r="E915" s="10"/>
      <c r="F915" s="13">
        <v>912</v>
      </c>
      <c r="G915" s="2">
        <v>44789</v>
      </c>
      <c r="H915" s="14">
        <f t="shared" si="302"/>
        <v>7.349445224048159E-3</v>
      </c>
      <c r="I915" s="14">
        <f t="shared" si="303"/>
        <v>2.3981483148224667E-2</v>
      </c>
      <c r="J915" s="14">
        <f t="shared" si="304"/>
        <v>1.2075091494696197E-2</v>
      </c>
      <c r="K915" s="22">
        <v>912</v>
      </c>
      <c r="L915" s="12"/>
      <c r="Q915" s="15">
        <f t="shared" si="305"/>
        <v>912</v>
      </c>
      <c r="R915" s="2">
        <f t="shared" si="301"/>
        <v>44789</v>
      </c>
      <c r="S915" s="9">
        <f t="shared" ca="1" si="306"/>
        <v>7.349445224048159E-3</v>
      </c>
      <c r="T915" s="9">
        <f t="shared" ca="1" si="307"/>
        <v>2.3981483148224667E-2</v>
      </c>
      <c r="U915" s="9">
        <f t="shared" ca="1" si="308"/>
        <v>1.2075091494696197E-2</v>
      </c>
      <c r="AB915" s="33" t="e">
        <f t="shared" ca="1" si="314"/>
        <v>#N/A</v>
      </c>
      <c r="AC915" s="34" t="e">
        <f t="shared" ca="1" si="315"/>
        <v>#N/A</v>
      </c>
      <c r="AD915" s="34" t="e">
        <f t="shared" ca="1" si="316"/>
        <v>#N/A</v>
      </c>
      <c r="AE915" s="33" t="e">
        <f t="shared" ca="1" si="317"/>
        <v>#N/A</v>
      </c>
      <c r="AF915" s="34" t="e">
        <f t="shared" ca="1" si="309"/>
        <v>#N/A</v>
      </c>
      <c r="AG915" s="34" t="e">
        <f t="shared" ca="1" si="310"/>
        <v>#N/A</v>
      </c>
      <c r="AH915" s="34" t="e">
        <f t="shared" ca="1" si="311"/>
        <v>#N/A</v>
      </c>
      <c r="AI915" s="33" t="e">
        <f t="shared" ca="1" si="318"/>
        <v>#N/A</v>
      </c>
      <c r="AJ915" s="34" t="e">
        <f t="shared" ca="1" si="319"/>
        <v>#N/A</v>
      </c>
      <c r="AK915" s="34" t="e">
        <f t="shared" ca="1" si="312"/>
        <v>#N/A</v>
      </c>
      <c r="AL915" s="34" t="e">
        <f t="shared" ca="1" si="313"/>
        <v>#N/A</v>
      </c>
      <c r="AM915" s="33" t="e">
        <f t="shared" ca="1" si="320"/>
        <v>#N/A</v>
      </c>
      <c r="AN915" s="34" t="e">
        <f t="shared" ca="1" si="321"/>
        <v>#N/A</v>
      </c>
    </row>
    <row r="916" spans="1:40" x14ac:dyDescent="0.3">
      <c r="A916" s="2">
        <v>44790</v>
      </c>
      <c r="B916" s="9">
        <v>81.110000999999997</v>
      </c>
      <c r="C916" s="9">
        <v>98.120002999999997</v>
      </c>
      <c r="D916" s="9">
        <v>117.75</v>
      </c>
      <c r="E916" s="10"/>
      <c r="F916" s="13">
        <v>913</v>
      </c>
      <c r="G916" s="2">
        <v>44790</v>
      </c>
      <c r="H916" s="14">
        <f t="shared" si="302"/>
        <v>-1.0181026115639065E-2</v>
      </c>
      <c r="I916" s="14">
        <f t="shared" si="303"/>
        <v>-2.7542176598218015E-2</v>
      </c>
      <c r="J916" s="14">
        <f t="shared" si="304"/>
        <v>3.8436325154744905E-2</v>
      </c>
      <c r="K916" s="22">
        <v>913</v>
      </c>
      <c r="L916" s="12"/>
      <c r="Q916" s="15">
        <f t="shared" si="305"/>
        <v>913</v>
      </c>
      <c r="R916" s="2">
        <f t="shared" si="301"/>
        <v>44790</v>
      </c>
      <c r="S916" s="9">
        <f t="shared" ca="1" si="306"/>
        <v>-1.0181026115639065E-2</v>
      </c>
      <c r="T916" s="9">
        <f t="shared" ca="1" si="307"/>
        <v>-2.7542176598218015E-2</v>
      </c>
      <c r="U916" s="9">
        <f t="shared" ca="1" si="308"/>
        <v>3.8436325154744905E-2</v>
      </c>
      <c r="AB916" s="33" t="e">
        <f t="shared" ca="1" si="314"/>
        <v>#N/A</v>
      </c>
      <c r="AC916" s="34" t="e">
        <f t="shared" ca="1" si="315"/>
        <v>#N/A</v>
      </c>
      <c r="AD916" s="34" t="e">
        <f t="shared" ca="1" si="316"/>
        <v>#N/A</v>
      </c>
      <c r="AE916" s="33" t="e">
        <f t="shared" ca="1" si="317"/>
        <v>#N/A</v>
      </c>
      <c r="AF916" s="34" t="e">
        <f t="shared" ca="1" si="309"/>
        <v>#N/A</v>
      </c>
      <c r="AG916" s="34" t="e">
        <f t="shared" ca="1" si="310"/>
        <v>#N/A</v>
      </c>
      <c r="AH916" s="34" t="e">
        <f t="shared" ca="1" si="311"/>
        <v>#N/A</v>
      </c>
      <c r="AI916" s="33" t="e">
        <f t="shared" ca="1" si="318"/>
        <v>#N/A</v>
      </c>
      <c r="AJ916" s="34" t="e">
        <f t="shared" ca="1" si="319"/>
        <v>#N/A</v>
      </c>
      <c r="AK916" s="34" t="e">
        <f t="shared" ca="1" si="312"/>
        <v>#N/A</v>
      </c>
      <c r="AL916" s="34" t="e">
        <f t="shared" ca="1" si="313"/>
        <v>#N/A</v>
      </c>
      <c r="AM916" s="33" t="e">
        <f t="shared" ca="1" si="320"/>
        <v>#N/A</v>
      </c>
      <c r="AN916" s="34" t="e">
        <f t="shared" ca="1" si="321"/>
        <v>#N/A</v>
      </c>
    </row>
    <row r="917" spans="1:40" x14ac:dyDescent="0.3">
      <c r="A917" s="2">
        <v>44791</v>
      </c>
      <c r="B917" s="9">
        <v>80.980002999999996</v>
      </c>
      <c r="C917" s="9">
        <v>99.209998999999996</v>
      </c>
      <c r="D917" s="9">
        <v>118.790001</v>
      </c>
      <c r="E917" s="10"/>
      <c r="F917" s="13">
        <v>914</v>
      </c>
      <c r="G917" s="2">
        <v>44791</v>
      </c>
      <c r="H917" s="14">
        <f t="shared" si="302"/>
        <v>-1.6040227609906584E-3</v>
      </c>
      <c r="I917" s="14">
        <f t="shared" si="303"/>
        <v>1.1047555617087573E-2</v>
      </c>
      <c r="J917" s="14">
        <f t="shared" si="304"/>
        <v>8.7935038231381525E-3</v>
      </c>
      <c r="K917" s="22">
        <v>914</v>
      </c>
      <c r="L917" s="12"/>
      <c r="Q917" s="15">
        <f t="shared" si="305"/>
        <v>914</v>
      </c>
      <c r="R917" s="2">
        <f t="shared" si="301"/>
        <v>44791</v>
      </c>
      <c r="S917" s="9">
        <f t="shared" ca="1" si="306"/>
        <v>-1.6040227609906584E-3</v>
      </c>
      <c r="T917" s="9">
        <f t="shared" ca="1" si="307"/>
        <v>1.1047555617087573E-2</v>
      </c>
      <c r="U917" s="9">
        <f t="shared" ca="1" si="308"/>
        <v>8.7935038231381525E-3</v>
      </c>
      <c r="AB917" s="33" t="e">
        <f t="shared" ca="1" si="314"/>
        <v>#N/A</v>
      </c>
      <c r="AC917" s="34" t="e">
        <f t="shared" ca="1" si="315"/>
        <v>#N/A</v>
      </c>
      <c r="AD917" s="34" t="e">
        <f t="shared" ca="1" si="316"/>
        <v>#N/A</v>
      </c>
      <c r="AE917" s="33" t="e">
        <f t="shared" ca="1" si="317"/>
        <v>#N/A</v>
      </c>
      <c r="AF917" s="34" t="e">
        <f t="shared" ca="1" si="309"/>
        <v>#N/A</v>
      </c>
      <c r="AG917" s="34" t="e">
        <f t="shared" ca="1" si="310"/>
        <v>#N/A</v>
      </c>
      <c r="AH917" s="34" t="e">
        <f t="shared" ca="1" si="311"/>
        <v>#N/A</v>
      </c>
      <c r="AI917" s="33" t="e">
        <f t="shared" ca="1" si="318"/>
        <v>#N/A</v>
      </c>
      <c r="AJ917" s="34" t="e">
        <f t="shared" ca="1" si="319"/>
        <v>#N/A</v>
      </c>
      <c r="AK917" s="34" t="e">
        <f t="shared" ca="1" si="312"/>
        <v>#N/A</v>
      </c>
      <c r="AL917" s="34" t="e">
        <f t="shared" ca="1" si="313"/>
        <v>#N/A</v>
      </c>
      <c r="AM917" s="33" t="e">
        <f t="shared" ca="1" si="320"/>
        <v>#N/A</v>
      </c>
      <c r="AN917" s="34" t="e">
        <f t="shared" ca="1" si="321"/>
        <v>#N/A</v>
      </c>
    </row>
    <row r="918" spans="1:40" x14ac:dyDescent="0.3">
      <c r="A918" s="2">
        <v>44792</v>
      </c>
      <c r="B918" s="9">
        <v>81.389999000000003</v>
      </c>
      <c r="C918" s="9">
        <v>98.059997999999993</v>
      </c>
      <c r="D918" s="9">
        <v>118.550003</v>
      </c>
      <c r="E918" s="10"/>
      <c r="F918" s="13">
        <v>915</v>
      </c>
      <c r="G918" s="2">
        <v>44792</v>
      </c>
      <c r="H918" s="14">
        <f t="shared" si="302"/>
        <v>5.0501554022297432E-3</v>
      </c>
      <c r="I918" s="14">
        <f t="shared" si="303"/>
        <v>-1.1659289754771172E-2</v>
      </c>
      <c r="J918" s="14">
        <f t="shared" si="304"/>
        <v>-2.0223989024728767E-3</v>
      </c>
      <c r="K918" s="22">
        <v>915</v>
      </c>
      <c r="L918" s="12"/>
      <c r="Q918" s="15">
        <f t="shared" si="305"/>
        <v>915</v>
      </c>
      <c r="R918" s="2">
        <f t="shared" si="301"/>
        <v>44792</v>
      </c>
      <c r="S918" s="9">
        <f t="shared" ca="1" si="306"/>
        <v>5.0501554022297432E-3</v>
      </c>
      <c r="T918" s="9">
        <f t="shared" ca="1" si="307"/>
        <v>-1.1659289754771172E-2</v>
      </c>
      <c r="U918" s="9">
        <f t="shared" ca="1" si="308"/>
        <v>-2.0223989024728767E-3</v>
      </c>
      <c r="AB918" s="33" t="e">
        <f t="shared" ca="1" si="314"/>
        <v>#N/A</v>
      </c>
      <c r="AC918" s="34" t="e">
        <f t="shared" ca="1" si="315"/>
        <v>#N/A</v>
      </c>
      <c r="AD918" s="34" t="e">
        <f t="shared" ca="1" si="316"/>
        <v>#N/A</v>
      </c>
      <c r="AE918" s="33" t="e">
        <f t="shared" ca="1" si="317"/>
        <v>#N/A</v>
      </c>
      <c r="AF918" s="34" t="e">
        <f t="shared" ca="1" si="309"/>
        <v>#N/A</v>
      </c>
      <c r="AG918" s="34" t="e">
        <f t="shared" ca="1" si="310"/>
        <v>#N/A</v>
      </c>
      <c r="AH918" s="34" t="e">
        <f t="shared" ca="1" si="311"/>
        <v>#N/A</v>
      </c>
      <c r="AI918" s="33" t="e">
        <f t="shared" ca="1" si="318"/>
        <v>#N/A</v>
      </c>
      <c r="AJ918" s="34" t="e">
        <f t="shared" ca="1" si="319"/>
        <v>#N/A</v>
      </c>
      <c r="AK918" s="34" t="e">
        <f t="shared" ca="1" si="312"/>
        <v>#N/A</v>
      </c>
      <c r="AL918" s="34" t="e">
        <f t="shared" ca="1" si="313"/>
        <v>#N/A</v>
      </c>
      <c r="AM918" s="33" t="e">
        <f t="shared" ca="1" si="320"/>
        <v>#N/A</v>
      </c>
      <c r="AN918" s="34" t="e">
        <f t="shared" ca="1" si="321"/>
        <v>#N/A</v>
      </c>
    </row>
    <row r="919" spans="1:40" x14ac:dyDescent="0.3">
      <c r="A919" s="2">
        <v>44795</v>
      </c>
      <c r="B919" s="9">
        <v>78.849997999999999</v>
      </c>
      <c r="C919" s="9">
        <v>95.150002000000001</v>
      </c>
      <c r="D919" s="9">
        <v>119.129997</v>
      </c>
      <c r="E919" s="10"/>
      <c r="F919" s="13">
        <v>916</v>
      </c>
      <c r="G919" s="2">
        <v>44795</v>
      </c>
      <c r="H919" s="14">
        <f t="shared" si="302"/>
        <v>-3.1705115007997678E-2</v>
      </c>
      <c r="I919" s="14">
        <f t="shared" si="303"/>
        <v>-3.0124901065809576E-2</v>
      </c>
      <c r="J919" s="14">
        <f t="shared" si="304"/>
        <v>4.880470811503443E-3</v>
      </c>
      <c r="K919" s="22">
        <v>916</v>
      </c>
      <c r="L919" s="12"/>
      <c r="Q919" s="15">
        <f t="shared" si="305"/>
        <v>916</v>
      </c>
      <c r="R919" s="2">
        <f t="shared" si="301"/>
        <v>44795</v>
      </c>
      <c r="S919" s="9">
        <f t="shared" ca="1" si="306"/>
        <v>-3.1705115007997678E-2</v>
      </c>
      <c r="T919" s="9">
        <f t="shared" ca="1" si="307"/>
        <v>-3.0124901065809576E-2</v>
      </c>
      <c r="U919" s="9">
        <f t="shared" ca="1" si="308"/>
        <v>4.880470811503443E-3</v>
      </c>
      <c r="AB919" s="33" t="e">
        <f t="shared" ca="1" si="314"/>
        <v>#N/A</v>
      </c>
      <c r="AC919" s="34" t="e">
        <f t="shared" ca="1" si="315"/>
        <v>#N/A</v>
      </c>
      <c r="AD919" s="34" t="e">
        <f t="shared" ca="1" si="316"/>
        <v>#N/A</v>
      </c>
      <c r="AE919" s="33" t="e">
        <f t="shared" ca="1" si="317"/>
        <v>#N/A</v>
      </c>
      <c r="AF919" s="34" t="e">
        <f t="shared" ca="1" si="309"/>
        <v>#N/A</v>
      </c>
      <c r="AG919" s="34" t="e">
        <f t="shared" ca="1" si="310"/>
        <v>#N/A</v>
      </c>
      <c r="AH919" s="34" t="e">
        <f t="shared" ca="1" si="311"/>
        <v>#N/A</v>
      </c>
      <c r="AI919" s="33" t="e">
        <f t="shared" ca="1" si="318"/>
        <v>#N/A</v>
      </c>
      <c r="AJ919" s="34" t="e">
        <f t="shared" ca="1" si="319"/>
        <v>#N/A</v>
      </c>
      <c r="AK919" s="34" t="e">
        <f t="shared" ca="1" si="312"/>
        <v>#N/A</v>
      </c>
      <c r="AL919" s="34" t="e">
        <f t="shared" ca="1" si="313"/>
        <v>#N/A</v>
      </c>
      <c r="AM919" s="33" t="e">
        <f t="shared" ca="1" si="320"/>
        <v>#N/A</v>
      </c>
      <c r="AN919" s="34" t="e">
        <f t="shared" ca="1" si="321"/>
        <v>#N/A</v>
      </c>
    </row>
    <row r="920" spans="1:40" x14ac:dyDescent="0.3">
      <c r="A920" s="2">
        <v>44796</v>
      </c>
      <c r="B920" s="9">
        <v>78.599997999999999</v>
      </c>
      <c r="C920" s="9">
        <v>95.269997000000004</v>
      </c>
      <c r="D920" s="9">
        <v>122.110001</v>
      </c>
      <c r="E920" s="10"/>
      <c r="F920" s="13">
        <v>917</v>
      </c>
      <c r="G920" s="2">
        <v>44796</v>
      </c>
      <c r="H920" s="14">
        <f t="shared" si="302"/>
        <v>-3.1756140545627894E-3</v>
      </c>
      <c r="I920" s="14">
        <f t="shared" si="303"/>
        <v>1.2603194676351602E-3</v>
      </c>
      <c r="J920" s="14">
        <f t="shared" si="304"/>
        <v>2.4706977405571987E-2</v>
      </c>
      <c r="K920" s="22">
        <v>917</v>
      </c>
      <c r="L920" s="12"/>
      <c r="Q920" s="15">
        <f t="shared" si="305"/>
        <v>917</v>
      </c>
      <c r="R920" s="2">
        <f t="shared" si="301"/>
        <v>44796</v>
      </c>
      <c r="S920" s="9">
        <f t="shared" ca="1" si="306"/>
        <v>-3.1756140545627894E-3</v>
      </c>
      <c r="T920" s="9">
        <f t="shared" ca="1" si="307"/>
        <v>1.2603194676351602E-3</v>
      </c>
      <c r="U920" s="9">
        <f t="shared" ca="1" si="308"/>
        <v>2.4706977405571987E-2</v>
      </c>
      <c r="AB920" s="33" t="e">
        <f t="shared" ca="1" si="314"/>
        <v>#N/A</v>
      </c>
      <c r="AC920" s="34" t="e">
        <f t="shared" ca="1" si="315"/>
        <v>#N/A</v>
      </c>
      <c r="AD920" s="34" t="e">
        <f t="shared" ca="1" si="316"/>
        <v>#N/A</v>
      </c>
      <c r="AE920" s="33" t="e">
        <f t="shared" ca="1" si="317"/>
        <v>#N/A</v>
      </c>
      <c r="AF920" s="34" t="e">
        <f t="shared" ca="1" si="309"/>
        <v>#N/A</v>
      </c>
      <c r="AG920" s="34" t="e">
        <f t="shared" ca="1" si="310"/>
        <v>#N/A</v>
      </c>
      <c r="AH920" s="34" t="e">
        <f t="shared" ca="1" si="311"/>
        <v>#N/A</v>
      </c>
      <c r="AI920" s="33" t="e">
        <f t="shared" ca="1" si="318"/>
        <v>#N/A</v>
      </c>
      <c r="AJ920" s="34" t="e">
        <f t="shared" ca="1" si="319"/>
        <v>#N/A</v>
      </c>
      <c r="AK920" s="34" t="e">
        <f t="shared" ca="1" si="312"/>
        <v>#N/A</v>
      </c>
      <c r="AL920" s="34" t="e">
        <f t="shared" ca="1" si="313"/>
        <v>#N/A</v>
      </c>
      <c r="AM920" s="33" t="e">
        <f t="shared" ca="1" si="320"/>
        <v>#N/A</v>
      </c>
      <c r="AN920" s="34" t="e">
        <f t="shared" ca="1" si="321"/>
        <v>#N/A</v>
      </c>
    </row>
    <row r="921" spans="1:40" x14ac:dyDescent="0.3">
      <c r="A921" s="2">
        <v>44797</v>
      </c>
      <c r="B921" s="9">
        <v>78.559997999999993</v>
      </c>
      <c r="C921" s="9">
        <v>95.080001999999993</v>
      </c>
      <c r="D921" s="9">
        <v>122.120003</v>
      </c>
      <c r="E921" s="10"/>
      <c r="F921" s="13">
        <v>918</v>
      </c>
      <c r="G921" s="2">
        <v>44797</v>
      </c>
      <c r="H921" s="14">
        <f t="shared" si="302"/>
        <v>-5.090354019063743E-4</v>
      </c>
      <c r="I921" s="14">
        <f t="shared" si="303"/>
        <v>-1.9962707023256829E-3</v>
      </c>
      <c r="J921" s="14">
        <f t="shared" si="304"/>
        <v>8.1906398409545777E-5</v>
      </c>
      <c r="K921" s="22">
        <v>918</v>
      </c>
      <c r="L921" s="12"/>
      <c r="Q921" s="15">
        <f t="shared" si="305"/>
        <v>918</v>
      </c>
      <c r="R921" s="2">
        <f t="shared" si="301"/>
        <v>44797</v>
      </c>
      <c r="S921" s="9">
        <f t="shared" ca="1" si="306"/>
        <v>-5.090354019063743E-4</v>
      </c>
      <c r="T921" s="9">
        <f t="shared" ca="1" si="307"/>
        <v>-1.9962707023256829E-3</v>
      </c>
      <c r="U921" s="9">
        <f t="shared" ca="1" si="308"/>
        <v>8.1906398409545777E-5</v>
      </c>
      <c r="AB921" s="33" t="e">
        <f t="shared" ca="1" si="314"/>
        <v>#N/A</v>
      </c>
      <c r="AC921" s="34" t="e">
        <f t="shared" ca="1" si="315"/>
        <v>#N/A</v>
      </c>
      <c r="AD921" s="34" t="e">
        <f t="shared" ca="1" si="316"/>
        <v>#N/A</v>
      </c>
      <c r="AE921" s="33" t="e">
        <f t="shared" ca="1" si="317"/>
        <v>#N/A</v>
      </c>
      <c r="AF921" s="34" t="e">
        <f t="shared" ca="1" si="309"/>
        <v>#N/A</v>
      </c>
      <c r="AG921" s="34" t="e">
        <f t="shared" ca="1" si="310"/>
        <v>#N/A</v>
      </c>
      <c r="AH921" s="34" t="e">
        <f t="shared" ca="1" si="311"/>
        <v>#N/A</v>
      </c>
      <c r="AI921" s="33" t="e">
        <f t="shared" ca="1" si="318"/>
        <v>#N/A</v>
      </c>
      <c r="AJ921" s="34" t="e">
        <f t="shared" ca="1" si="319"/>
        <v>#N/A</v>
      </c>
      <c r="AK921" s="34" t="e">
        <f t="shared" ca="1" si="312"/>
        <v>#N/A</v>
      </c>
      <c r="AL921" s="34" t="e">
        <f t="shared" ca="1" si="313"/>
        <v>#N/A</v>
      </c>
      <c r="AM921" s="33" t="e">
        <f t="shared" ca="1" si="320"/>
        <v>#N/A</v>
      </c>
      <c r="AN921" s="34" t="e">
        <f t="shared" ca="1" si="321"/>
        <v>#N/A</v>
      </c>
    </row>
    <row r="922" spans="1:40" x14ac:dyDescent="0.3">
      <c r="A922" s="2">
        <v>44798</v>
      </c>
      <c r="B922" s="9">
        <v>80.839995999999999</v>
      </c>
      <c r="C922" s="9">
        <v>98.25</v>
      </c>
      <c r="D922" s="9">
        <v>123.360001</v>
      </c>
      <c r="E922" s="10"/>
      <c r="F922" s="13">
        <v>919</v>
      </c>
      <c r="G922" s="2">
        <v>44798</v>
      </c>
      <c r="H922" s="14">
        <f t="shared" si="302"/>
        <v>2.8609204467002165E-2</v>
      </c>
      <c r="I922" s="14">
        <f t="shared" si="303"/>
        <v>3.2796587222459789E-2</v>
      </c>
      <c r="J922" s="14">
        <f t="shared" si="304"/>
        <v>1.0102725488697156E-2</v>
      </c>
      <c r="K922" s="22">
        <v>919</v>
      </c>
      <c r="L922" s="12"/>
      <c r="Q922" s="15">
        <f t="shared" si="305"/>
        <v>919</v>
      </c>
      <c r="R922" s="2">
        <f t="shared" si="301"/>
        <v>44798</v>
      </c>
      <c r="S922" s="9">
        <f t="shared" ca="1" si="306"/>
        <v>2.8609204467002165E-2</v>
      </c>
      <c r="T922" s="9">
        <f t="shared" ca="1" si="307"/>
        <v>3.2796587222459789E-2</v>
      </c>
      <c r="U922" s="9">
        <f t="shared" ca="1" si="308"/>
        <v>1.0102725488697156E-2</v>
      </c>
      <c r="AB922" s="33" t="e">
        <f t="shared" ca="1" si="314"/>
        <v>#N/A</v>
      </c>
      <c r="AC922" s="34" t="e">
        <f t="shared" ca="1" si="315"/>
        <v>#N/A</v>
      </c>
      <c r="AD922" s="34" t="e">
        <f t="shared" ca="1" si="316"/>
        <v>#N/A</v>
      </c>
      <c r="AE922" s="33" t="e">
        <f t="shared" ca="1" si="317"/>
        <v>#N/A</v>
      </c>
      <c r="AF922" s="34" t="e">
        <f t="shared" ca="1" si="309"/>
        <v>#N/A</v>
      </c>
      <c r="AG922" s="34" t="e">
        <f t="shared" ca="1" si="310"/>
        <v>#N/A</v>
      </c>
      <c r="AH922" s="34" t="e">
        <f t="shared" ca="1" si="311"/>
        <v>#N/A</v>
      </c>
      <c r="AI922" s="33" t="e">
        <f t="shared" ca="1" si="318"/>
        <v>#N/A</v>
      </c>
      <c r="AJ922" s="34" t="e">
        <f t="shared" ca="1" si="319"/>
        <v>#N/A</v>
      </c>
      <c r="AK922" s="34" t="e">
        <f t="shared" ca="1" si="312"/>
        <v>#N/A</v>
      </c>
      <c r="AL922" s="34" t="e">
        <f t="shared" ca="1" si="313"/>
        <v>#N/A</v>
      </c>
      <c r="AM922" s="33" t="e">
        <f t="shared" ca="1" si="320"/>
        <v>#N/A</v>
      </c>
      <c r="AN922" s="34" t="e">
        <f t="shared" ca="1" si="321"/>
        <v>#N/A</v>
      </c>
    </row>
    <row r="923" spans="1:40" x14ac:dyDescent="0.3">
      <c r="A923" s="2">
        <v>44799</v>
      </c>
      <c r="B923" s="9">
        <v>77.769997000000004</v>
      </c>
      <c r="C923" s="9">
        <v>94.099997999999999</v>
      </c>
      <c r="D923" s="9">
        <v>121.879997</v>
      </c>
      <c r="E923" s="10"/>
      <c r="F923" s="13">
        <v>920</v>
      </c>
      <c r="G923" s="2">
        <v>44799</v>
      </c>
      <c r="H923" s="14">
        <f t="shared" si="302"/>
        <v>-3.8716128923398728E-2</v>
      </c>
      <c r="I923" s="14">
        <f t="shared" si="303"/>
        <v>-4.3157225412022049E-2</v>
      </c>
      <c r="J923" s="14">
        <f t="shared" si="304"/>
        <v>-1.2069988418241469E-2</v>
      </c>
      <c r="K923" s="22">
        <v>920</v>
      </c>
      <c r="L923" s="12"/>
      <c r="Q923" s="15">
        <f t="shared" si="305"/>
        <v>920</v>
      </c>
      <c r="R923" s="2">
        <f t="shared" si="301"/>
        <v>44799</v>
      </c>
      <c r="S923" s="9">
        <f t="shared" ca="1" si="306"/>
        <v>-3.8716128923398728E-2</v>
      </c>
      <c r="T923" s="9">
        <f t="shared" ca="1" si="307"/>
        <v>-4.3157225412022049E-2</v>
      </c>
      <c r="U923" s="9">
        <f t="shared" ca="1" si="308"/>
        <v>-1.2069988418241469E-2</v>
      </c>
      <c r="AB923" s="33" t="e">
        <f t="shared" ca="1" si="314"/>
        <v>#N/A</v>
      </c>
      <c r="AC923" s="34" t="e">
        <f t="shared" ca="1" si="315"/>
        <v>#N/A</v>
      </c>
      <c r="AD923" s="34" t="e">
        <f t="shared" ca="1" si="316"/>
        <v>#N/A</v>
      </c>
      <c r="AE923" s="33" t="e">
        <f t="shared" ca="1" si="317"/>
        <v>#N/A</v>
      </c>
      <c r="AF923" s="34" t="e">
        <f t="shared" ca="1" si="309"/>
        <v>#N/A</v>
      </c>
      <c r="AG923" s="34" t="e">
        <f t="shared" ca="1" si="310"/>
        <v>#N/A</v>
      </c>
      <c r="AH923" s="34" t="e">
        <f t="shared" ca="1" si="311"/>
        <v>#N/A</v>
      </c>
      <c r="AI923" s="33" t="e">
        <f t="shared" ca="1" si="318"/>
        <v>#N/A</v>
      </c>
      <c r="AJ923" s="34" t="e">
        <f t="shared" ca="1" si="319"/>
        <v>#N/A</v>
      </c>
      <c r="AK923" s="34" t="e">
        <f t="shared" ca="1" si="312"/>
        <v>#N/A</v>
      </c>
      <c r="AL923" s="34" t="e">
        <f t="shared" ca="1" si="313"/>
        <v>#N/A</v>
      </c>
      <c r="AM923" s="33" t="e">
        <f t="shared" ca="1" si="320"/>
        <v>#N/A</v>
      </c>
      <c r="AN923" s="34" t="e">
        <f t="shared" ca="1" si="321"/>
        <v>#N/A</v>
      </c>
    </row>
    <row r="924" spans="1:40" x14ac:dyDescent="0.3">
      <c r="A924" s="2">
        <v>44802</v>
      </c>
      <c r="B924" s="9">
        <v>77.470000999999996</v>
      </c>
      <c r="C924" s="9">
        <v>93.129997000000003</v>
      </c>
      <c r="D924" s="9">
        <v>123.41999800000001</v>
      </c>
      <c r="E924" s="10"/>
      <c r="F924" s="13">
        <v>921</v>
      </c>
      <c r="G924" s="2">
        <v>44802</v>
      </c>
      <c r="H924" s="14">
        <f t="shared" si="302"/>
        <v>-3.8649365795315823E-3</v>
      </c>
      <c r="I924" s="14">
        <f t="shared" si="303"/>
        <v>-1.0361691016818142E-2</v>
      </c>
      <c r="J924" s="14">
        <f t="shared" si="304"/>
        <v>1.2556227184958467E-2</v>
      </c>
      <c r="K924" s="22">
        <v>921</v>
      </c>
      <c r="L924" s="12"/>
      <c r="Q924" s="15">
        <f t="shared" si="305"/>
        <v>921</v>
      </c>
      <c r="R924" s="2">
        <f t="shared" si="301"/>
        <v>44802</v>
      </c>
      <c r="S924" s="9">
        <f t="shared" ca="1" si="306"/>
        <v>-3.8649365795315823E-3</v>
      </c>
      <c r="T924" s="9">
        <f t="shared" ca="1" si="307"/>
        <v>-1.0361691016818142E-2</v>
      </c>
      <c r="U924" s="9">
        <f t="shared" ca="1" si="308"/>
        <v>1.2556227184958467E-2</v>
      </c>
      <c r="AB924" s="33" t="e">
        <f t="shared" ca="1" si="314"/>
        <v>#N/A</v>
      </c>
      <c r="AC924" s="34" t="e">
        <f t="shared" ca="1" si="315"/>
        <v>#N/A</v>
      </c>
      <c r="AD924" s="34" t="e">
        <f t="shared" ca="1" si="316"/>
        <v>#N/A</v>
      </c>
      <c r="AE924" s="33" t="e">
        <f t="shared" ca="1" si="317"/>
        <v>#N/A</v>
      </c>
      <c r="AF924" s="34" t="e">
        <f t="shared" ca="1" si="309"/>
        <v>#N/A</v>
      </c>
      <c r="AG924" s="34" t="e">
        <f t="shared" ca="1" si="310"/>
        <v>#N/A</v>
      </c>
      <c r="AH924" s="34" t="e">
        <f t="shared" ca="1" si="311"/>
        <v>#N/A</v>
      </c>
      <c r="AI924" s="33" t="e">
        <f t="shared" ca="1" si="318"/>
        <v>#N/A</v>
      </c>
      <c r="AJ924" s="34" t="e">
        <f t="shared" ca="1" si="319"/>
        <v>#N/A</v>
      </c>
      <c r="AK924" s="34" t="e">
        <f t="shared" ca="1" si="312"/>
        <v>#N/A</v>
      </c>
      <c r="AL924" s="34" t="e">
        <f t="shared" ca="1" si="313"/>
        <v>#N/A</v>
      </c>
      <c r="AM924" s="33" t="e">
        <f t="shared" ca="1" si="320"/>
        <v>#N/A</v>
      </c>
      <c r="AN924" s="34" t="e">
        <f t="shared" ca="1" si="321"/>
        <v>#N/A</v>
      </c>
    </row>
    <row r="925" spans="1:40" x14ac:dyDescent="0.3">
      <c r="A925" s="2">
        <v>44803</v>
      </c>
      <c r="B925" s="9">
        <v>76.449996999999996</v>
      </c>
      <c r="C925" s="9">
        <v>94.449996999999996</v>
      </c>
      <c r="D925" s="9">
        <v>118.029999</v>
      </c>
      <c r="E925" s="10"/>
      <c r="F925" s="13">
        <v>922</v>
      </c>
      <c r="G925" s="2">
        <v>44803</v>
      </c>
      <c r="H925" s="14">
        <f t="shared" si="302"/>
        <v>-1.3253884418297253E-2</v>
      </c>
      <c r="I925" s="14">
        <f t="shared" si="303"/>
        <v>1.4074227864150022E-2</v>
      </c>
      <c r="J925" s="14">
        <f t="shared" si="304"/>
        <v>-4.4654335719536253E-2</v>
      </c>
      <c r="K925" s="22">
        <v>922</v>
      </c>
      <c r="L925" s="12"/>
      <c r="Q925" s="15">
        <f t="shared" si="305"/>
        <v>922</v>
      </c>
      <c r="R925" s="2">
        <f t="shared" si="301"/>
        <v>44803</v>
      </c>
      <c r="S925" s="9">
        <f t="shared" ca="1" si="306"/>
        <v>-1.3253884418297253E-2</v>
      </c>
      <c r="T925" s="9">
        <f t="shared" ca="1" si="307"/>
        <v>1.4074227864150022E-2</v>
      </c>
      <c r="U925" s="9">
        <f t="shared" ca="1" si="308"/>
        <v>-4.4654335719536253E-2</v>
      </c>
      <c r="AB925" s="33" t="e">
        <f t="shared" ca="1" si="314"/>
        <v>#N/A</v>
      </c>
      <c r="AC925" s="34" t="e">
        <f t="shared" ca="1" si="315"/>
        <v>#N/A</v>
      </c>
      <c r="AD925" s="34" t="e">
        <f t="shared" ca="1" si="316"/>
        <v>#N/A</v>
      </c>
      <c r="AE925" s="33" t="e">
        <f t="shared" ca="1" si="317"/>
        <v>#N/A</v>
      </c>
      <c r="AF925" s="34" t="e">
        <f t="shared" ca="1" si="309"/>
        <v>#N/A</v>
      </c>
      <c r="AG925" s="34" t="e">
        <f t="shared" ca="1" si="310"/>
        <v>#N/A</v>
      </c>
      <c r="AH925" s="34" t="e">
        <f t="shared" ca="1" si="311"/>
        <v>#N/A</v>
      </c>
      <c r="AI925" s="33" t="e">
        <f t="shared" ca="1" si="318"/>
        <v>#N/A</v>
      </c>
      <c r="AJ925" s="34" t="e">
        <f t="shared" ca="1" si="319"/>
        <v>#N/A</v>
      </c>
      <c r="AK925" s="34" t="e">
        <f t="shared" ca="1" si="312"/>
        <v>#N/A</v>
      </c>
      <c r="AL925" s="34" t="e">
        <f t="shared" ca="1" si="313"/>
        <v>#N/A</v>
      </c>
      <c r="AM925" s="33" t="e">
        <f t="shared" ca="1" si="320"/>
        <v>#N/A</v>
      </c>
      <c r="AN925" s="34" t="e">
        <f t="shared" ca="1" si="321"/>
        <v>#N/A</v>
      </c>
    </row>
    <row r="926" spans="1:40" x14ac:dyDescent="0.3">
      <c r="A926" s="2">
        <v>44804</v>
      </c>
      <c r="B926" s="9">
        <v>76.970000999999996</v>
      </c>
      <c r="C926" s="9">
        <v>91.330001999999993</v>
      </c>
      <c r="D926" s="9">
        <v>117.120003</v>
      </c>
      <c r="E926" s="10"/>
      <c r="F926" s="13">
        <v>923</v>
      </c>
      <c r="G926" s="2">
        <v>44804</v>
      </c>
      <c r="H926" s="14">
        <f t="shared" si="302"/>
        <v>6.7788554045645384E-3</v>
      </c>
      <c r="I926" s="14">
        <f t="shared" si="303"/>
        <v>-3.3591219582483803E-2</v>
      </c>
      <c r="J926" s="14">
        <f t="shared" si="304"/>
        <v>-7.7397451408002119E-3</v>
      </c>
      <c r="K926" s="22">
        <v>923</v>
      </c>
      <c r="L926" s="12"/>
      <c r="Q926" s="15">
        <f t="shared" si="305"/>
        <v>923</v>
      </c>
      <c r="R926" s="2">
        <f t="shared" si="301"/>
        <v>44804</v>
      </c>
      <c r="S926" s="9">
        <f t="shared" ca="1" si="306"/>
        <v>6.7788554045645384E-3</v>
      </c>
      <c r="T926" s="9">
        <f t="shared" ca="1" si="307"/>
        <v>-3.3591219582483803E-2</v>
      </c>
      <c r="U926" s="9">
        <f t="shared" ca="1" si="308"/>
        <v>-7.7397451408002119E-3</v>
      </c>
      <c r="AB926" s="33" t="e">
        <f t="shared" ca="1" si="314"/>
        <v>#N/A</v>
      </c>
      <c r="AC926" s="34" t="e">
        <f t="shared" ca="1" si="315"/>
        <v>#N/A</v>
      </c>
      <c r="AD926" s="34" t="e">
        <f t="shared" ca="1" si="316"/>
        <v>#N/A</v>
      </c>
      <c r="AE926" s="33" t="e">
        <f t="shared" ca="1" si="317"/>
        <v>#N/A</v>
      </c>
      <c r="AF926" s="34" t="e">
        <f t="shared" ca="1" si="309"/>
        <v>#N/A</v>
      </c>
      <c r="AG926" s="34" t="e">
        <f t="shared" ca="1" si="310"/>
        <v>#N/A</v>
      </c>
      <c r="AH926" s="34" t="e">
        <f t="shared" ca="1" si="311"/>
        <v>#N/A</v>
      </c>
      <c r="AI926" s="33" t="e">
        <f t="shared" ca="1" si="318"/>
        <v>#N/A</v>
      </c>
      <c r="AJ926" s="34" t="e">
        <f t="shared" ca="1" si="319"/>
        <v>#N/A</v>
      </c>
      <c r="AK926" s="34" t="e">
        <f t="shared" ca="1" si="312"/>
        <v>#N/A</v>
      </c>
      <c r="AL926" s="34" t="e">
        <f t="shared" ca="1" si="313"/>
        <v>#N/A</v>
      </c>
      <c r="AM926" s="33" t="e">
        <f t="shared" ca="1" si="320"/>
        <v>#N/A</v>
      </c>
      <c r="AN926" s="34" t="e">
        <f t="shared" ca="1" si="321"/>
        <v>#N/A</v>
      </c>
    </row>
    <row r="927" spans="1:40" x14ac:dyDescent="0.3">
      <c r="A927" s="2">
        <v>44805</v>
      </c>
      <c r="B927" s="9">
        <v>76.970000999999996</v>
      </c>
      <c r="C927" s="9">
        <v>90.050003000000004</v>
      </c>
      <c r="D927" s="9">
        <v>110.639999</v>
      </c>
      <c r="E927" s="10"/>
      <c r="F927" s="13">
        <v>924</v>
      </c>
      <c r="G927" s="2">
        <v>44805</v>
      </c>
      <c r="H927" s="14">
        <f t="shared" si="302"/>
        <v>0</v>
      </c>
      <c r="I927" s="14">
        <f t="shared" si="303"/>
        <v>-1.4114237665407016E-2</v>
      </c>
      <c r="J927" s="14">
        <f t="shared" si="304"/>
        <v>-5.6917397509574919E-2</v>
      </c>
      <c r="K927" s="22">
        <v>924</v>
      </c>
      <c r="L927" s="12"/>
      <c r="Q927" s="15">
        <f t="shared" si="305"/>
        <v>924</v>
      </c>
      <c r="R927" s="2">
        <f t="shared" si="301"/>
        <v>44805</v>
      </c>
      <c r="S927" s="9">
        <f t="shared" ca="1" si="306"/>
        <v>0</v>
      </c>
      <c r="T927" s="9">
        <f t="shared" ca="1" si="307"/>
        <v>-1.4114237665407016E-2</v>
      </c>
      <c r="U927" s="9">
        <f t="shared" ca="1" si="308"/>
        <v>-5.6917397509574919E-2</v>
      </c>
      <c r="AB927" s="33" t="e">
        <f t="shared" ca="1" si="314"/>
        <v>#N/A</v>
      </c>
      <c r="AC927" s="34" t="e">
        <f t="shared" ca="1" si="315"/>
        <v>#N/A</v>
      </c>
      <c r="AD927" s="34" t="e">
        <f t="shared" ca="1" si="316"/>
        <v>#N/A</v>
      </c>
      <c r="AE927" s="33" t="e">
        <f t="shared" ca="1" si="317"/>
        <v>#N/A</v>
      </c>
      <c r="AF927" s="34" t="e">
        <f t="shared" ca="1" si="309"/>
        <v>#N/A</v>
      </c>
      <c r="AG927" s="34" t="e">
        <f t="shared" ca="1" si="310"/>
        <v>#N/A</v>
      </c>
      <c r="AH927" s="34" t="e">
        <f t="shared" ca="1" si="311"/>
        <v>#N/A</v>
      </c>
      <c r="AI927" s="33" t="e">
        <f t="shared" ca="1" si="318"/>
        <v>#N/A</v>
      </c>
      <c r="AJ927" s="34" t="e">
        <f t="shared" ca="1" si="319"/>
        <v>#N/A</v>
      </c>
      <c r="AK927" s="34" t="e">
        <f t="shared" ca="1" si="312"/>
        <v>#N/A</v>
      </c>
      <c r="AL927" s="34" t="e">
        <f t="shared" ca="1" si="313"/>
        <v>#N/A</v>
      </c>
      <c r="AM927" s="33" t="e">
        <f t="shared" ca="1" si="320"/>
        <v>#N/A</v>
      </c>
      <c r="AN927" s="34" t="e">
        <f t="shared" ca="1" si="321"/>
        <v>#N/A</v>
      </c>
    </row>
    <row r="928" spans="1:40" x14ac:dyDescent="0.3">
      <c r="A928" s="2">
        <v>44806</v>
      </c>
      <c r="B928" s="9">
        <v>76.059997999999993</v>
      </c>
      <c r="C928" s="9">
        <v>90.010002</v>
      </c>
      <c r="D928" s="9">
        <v>113.82</v>
      </c>
      <c r="E928" s="10"/>
      <c r="F928" s="13">
        <v>925</v>
      </c>
      <c r="G928" s="2">
        <v>44806</v>
      </c>
      <c r="H928" s="14">
        <f t="shared" si="302"/>
        <v>-1.1893272333217856E-2</v>
      </c>
      <c r="I928" s="14">
        <f t="shared" si="303"/>
        <v>-4.4430744804267394E-4</v>
      </c>
      <c r="J928" s="14">
        <f t="shared" si="304"/>
        <v>2.8336574856797449E-2</v>
      </c>
      <c r="K928" s="22">
        <v>925</v>
      </c>
      <c r="L928" s="12"/>
      <c r="Q928" s="15">
        <f t="shared" si="305"/>
        <v>925</v>
      </c>
      <c r="R928" s="2">
        <f t="shared" si="301"/>
        <v>44806</v>
      </c>
      <c r="S928" s="9">
        <f t="shared" ca="1" si="306"/>
        <v>-1.1893272333217856E-2</v>
      </c>
      <c r="T928" s="9">
        <f t="shared" ca="1" si="307"/>
        <v>-4.4430744804267394E-4</v>
      </c>
      <c r="U928" s="9">
        <f t="shared" ca="1" si="308"/>
        <v>2.8336574856797449E-2</v>
      </c>
      <c r="AB928" s="33" t="e">
        <f t="shared" ca="1" si="314"/>
        <v>#N/A</v>
      </c>
      <c r="AC928" s="34" t="e">
        <f t="shared" ca="1" si="315"/>
        <v>#N/A</v>
      </c>
      <c r="AD928" s="34" t="e">
        <f t="shared" ca="1" si="316"/>
        <v>#N/A</v>
      </c>
      <c r="AE928" s="33" t="e">
        <f t="shared" ca="1" si="317"/>
        <v>#N/A</v>
      </c>
      <c r="AF928" s="34" t="e">
        <f t="shared" ca="1" si="309"/>
        <v>#N/A</v>
      </c>
      <c r="AG928" s="34" t="e">
        <f t="shared" ca="1" si="310"/>
        <v>#N/A</v>
      </c>
      <c r="AH928" s="34" t="e">
        <f t="shared" ca="1" si="311"/>
        <v>#N/A</v>
      </c>
      <c r="AI928" s="33" t="e">
        <f t="shared" ca="1" si="318"/>
        <v>#N/A</v>
      </c>
      <c r="AJ928" s="34" t="e">
        <f t="shared" ca="1" si="319"/>
        <v>#N/A</v>
      </c>
      <c r="AK928" s="34" t="e">
        <f t="shared" ca="1" si="312"/>
        <v>#N/A</v>
      </c>
      <c r="AL928" s="34" t="e">
        <f t="shared" ca="1" si="313"/>
        <v>#N/A</v>
      </c>
      <c r="AM928" s="33" t="e">
        <f t="shared" ca="1" si="320"/>
        <v>#N/A</v>
      </c>
      <c r="AN928" s="34" t="e">
        <f t="shared" ca="1" si="321"/>
        <v>#N/A</v>
      </c>
    </row>
    <row r="929" spans="1:40" x14ac:dyDescent="0.3">
      <c r="A929" s="2">
        <v>44810</v>
      </c>
      <c r="B929" s="9">
        <v>77.099997999999999</v>
      </c>
      <c r="C929" s="9">
        <v>89.5</v>
      </c>
      <c r="D929" s="9">
        <v>112.779999</v>
      </c>
      <c r="E929" s="10"/>
      <c r="F929" s="13">
        <v>926</v>
      </c>
      <c r="G929" s="2">
        <v>44810</v>
      </c>
      <c r="H929" s="14">
        <f t="shared" si="302"/>
        <v>1.3580778423863359E-2</v>
      </c>
      <c r="I929" s="14">
        <f t="shared" si="303"/>
        <v>-5.6821722079373384E-3</v>
      </c>
      <c r="J929" s="14">
        <f t="shared" si="304"/>
        <v>-9.1792436627620554E-3</v>
      </c>
      <c r="K929" s="22">
        <v>926</v>
      </c>
      <c r="L929" s="12"/>
      <c r="Q929" s="15">
        <f t="shared" si="305"/>
        <v>926</v>
      </c>
      <c r="R929" s="2">
        <f t="shared" si="301"/>
        <v>44810</v>
      </c>
      <c r="S929" s="9">
        <f t="shared" ca="1" si="306"/>
        <v>1.3580778423863359E-2</v>
      </c>
      <c r="T929" s="9">
        <f t="shared" ca="1" si="307"/>
        <v>-5.6821722079373384E-3</v>
      </c>
      <c r="U929" s="9">
        <f t="shared" ca="1" si="308"/>
        <v>-9.1792436627620554E-3</v>
      </c>
      <c r="AB929" s="33" t="e">
        <f t="shared" ca="1" si="314"/>
        <v>#N/A</v>
      </c>
      <c r="AC929" s="34" t="e">
        <f t="shared" ca="1" si="315"/>
        <v>#N/A</v>
      </c>
      <c r="AD929" s="34" t="e">
        <f t="shared" ca="1" si="316"/>
        <v>#N/A</v>
      </c>
      <c r="AE929" s="33" t="e">
        <f t="shared" ca="1" si="317"/>
        <v>#N/A</v>
      </c>
      <c r="AF929" s="34" t="e">
        <f t="shared" ca="1" si="309"/>
        <v>#N/A</v>
      </c>
      <c r="AG929" s="34" t="e">
        <f t="shared" ca="1" si="310"/>
        <v>#N/A</v>
      </c>
      <c r="AH929" s="34" t="e">
        <f t="shared" ca="1" si="311"/>
        <v>#N/A</v>
      </c>
      <c r="AI929" s="33" t="e">
        <f t="shared" ca="1" si="318"/>
        <v>#N/A</v>
      </c>
      <c r="AJ929" s="34" t="e">
        <f t="shared" ca="1" si="319"/>
        <v>#N/A</v>
      </c>
      <c r="AK929" s="34" t="e">
        <f t="shared" ca="1" si="312"/>
        <v>#N/A</v>
      </c>
      <c r="AL929" s="34" t="e">
        <f t="shared" ca="1" si="313"/>
        <v>#N/A</v>
      </c>
      <c r="AM929" s="33" t="e">
        <f t="shared" ca="1" si="320"/>
        <v>#N/A</v>
      </c>
      <c r="AN929" s="34" t="e">
        <f t="shared" ca="1" si="321"/>
        <v>#N/A</v>
      </c>
    </row>
    <row r="930" spans="1:40" x14ac:dyDescent="0.3">
      <c r="A930" s="2">
        <v>44811</v>
      </c>
      <c r="B930" s="9">
        <v>77.349997999999999</v>
      </c>
      <c r="C930" s="9">
        <v>92.440002000000007</v>
      </c>
      <c r="D930" s="9">
        <v>112.620003</v>
      </c>
      <c r="E930" s="10"/>
      <c r="F930" s="13">
        <v>927</v>
      </c>
      <c r="G930" s="2">
        <v>44811</v>
      </c>
      <c r="H930" s="14">
        <f t="shared" si="302"/>
        <v>3.2372965336321699E-3</v>
      </c>
      <c r="I930" s="14">
        <f t="shared" si="303"/>
        <v>3.232118176102574E-2</v>
      </c>
      <c r="J930" s="14">
        <f t="shared" si="304"/>
        <v>-1.4196630474910658E-3</v>
      </c>
      <c r="K930" s="22">
        <v>927</v>
      </c>
      <c r="L930" s="12"/>
      <c r="Q930" s="15">
        <f t="shared" si="305"/>
        <v>927</v>
      </c>
      <c r="R930" s="2">
        <f t="shared" si="301"/>
        <v>44811</v>
      </c>
      <c r="S930" s="9">
        <f t="shared" ca="1" si="306"/>
        <v>3.2372965336321699E-3</v>
      </c>
      <c r="T930" s="9">
        <f t="shared" ca="1" si="307"/>
        <v>3.232118176102574E-2</v>
      </c>
      <c r="U930" s="9">
        <f t="shared" ca="1" si="308"/>
        <v>-1.4196630474910658E-3</v>
      </c>
      <c r="AB930" s="33" t="e">
        <f t="shared" ca="1" si="314"/>
        <v>#N/A</v>
      </c>
      <c r="AC930" s="34" t="e">
        <f t="shared" ca="1" si="315"/>
        <v>#N/A</v>
      </c>
      <c r="AD930" s="34" t="e">
        <f t="shared" ca="1" si="316"/>
        <v>#N/A</v>
      </c>
      <c r="AE930" s="33" t="e">
        <f t="shared" ca="1" si="317"/>
        <v>#N/A</v>
      </c>
      <c r="AF930" s="34" t="e">
        <f t="shared" ca="1" si="309"/>
        <v>#N/A</v>
      </c>
      <c r="AG930" s="34" t="e">
        <f t="shared" ca="1" si="310"/>
        <v>#N/A</v>
      </c>
      <c r="AH930" s="34" t="e">
        <f t="shared" ca="1" si="311"/>
        <v>#N/A</v>
      </c>
      <c r="AI930" s="33" t="e">
        <f t="shared" ca="1" si="318"/>
        <v>#N/A</v>
      </c>
      <c r="AJ930" s="34" t="e">
        <f t="shared" ca="1" si="319"/>
        <v>#N/A</v>
      </c>
      <c r="AK930" s="34" t="e">
        <f t="shared" ca="1" si="312"/>
        <v>#N/A</v>
      </c>
      <c r="AL930" s="34" t="e">
        <f t="shared" ca="1" si="313"/>
        <v>#N/A</v>
      </c>
      <c r="AM930" s="33" t="e">
        <f t="shared" ca="1" si="320"/>
        <v>#N/A</v>
      </c>
      <c r="AN930" s="34" t="e">
        <f t="shared" ca="1" si="321"/>
        <v>#N/A</v>
      </c>
    </row>
    <row r="931" spans="1:40" x14ac:dyDescent="0.3">
      <c r="A931" s="2">
        <v>44812</v>
      </c>
      <c r="B931" s="9">
        <v>78.069999999999993</v>
      </c>
      <c r="C931" s="9">
        <v>94.220000999999996</v>
      </c>
      <c r="D931" s="9">
        <v>111.93</v>
      </c>
      <c r="E931" s="10"/>
      <c r="F931" s="13">
        <v>928</v>
      </c>
      <c r="G931" s="2">
        <v>44812</v>
      </c>
      <c r="H931" s="14">
        <f t="shared" si="302"/>
        <v>9.2653089696212391E-3</v>
      </c>
      <c r="I931" s="14">
        <f t="shared" si="303"/>
        <v>1.9072676843517523E-2</v>
      </c>
      <c r="J931" s="14">
        <f t="shared" si="304"/>
        <v>-6.1456705635483588E-3</v>
      </c>
      <c r="K931" s="22">
        <v>928</v>
      </c>
      <c r="L931" s="12"/>
      <c r="Q931" s="15">
        <f t="shared" si="305"/>
        <v>928</v>
      </c>
      <c r="R931" s="2">
        <f t="shared" si="301"/>
        <v>44812</v>
      </c>
      <c r="S931" s="9">
        <f t="shared" ca="1" si="306"/>
        <v>9.2653089696212391E-3</v>
      </c>
      <c r="T931" s="9">
        <f t="shared" ca="1" si="307"/>
        <v>1.9072676843517523E-2</v>
      </c>
      <c r="U931" s="9">
        <f t="shared" ca="1" si="308"/>
        <v>-6.1456705635483588E-3</v>
      </c>
      <c r="AB931" s="33" t="e">
        <f t="shared" ca="1" si="314"/>
        <v>#N/A</v>
      </c>
      <c r="AC931" s="34" t="e">
        <f t="shared" ca="1" si="315"/>
        <v>#N/A</v>
      </c>
      <c r="AD931" s="34" t="e">
        <f t="shared" ca="1" si="316"/>
        <v>#N/A</v>
      </c>
      <c r="AE931" s="33" t="e">
        <f t="shared" ca="1" si="317"/>
        <v>#N/A</v>
      </c>
      <c r="AF931" s="34" t="e">
        <f t="shared" ca="1" si="309"/>
        <v>#N/A</v>
      </c>
      <c r="AG931" s="34" t="e">
        <f t="shared" ca="1" si="310"/>
        <v>#N/A</v>
      </c>
      <c r="AH931" s="34" t="e">
        <f t="shared" ca="1" si="311"/>
        <v>#N/A</v>
      </c>
      <c r="AI931" s="33" t="e">
        <f t="shared" ca="1" si="318"/>
        <v>#N/A</v>
      </c>
      <c r="AJ931" s="34" t="e">
        <f t="shared" ca="1" si="319"/>
        <v>#N/A</v>
      </c>
      <c r="AK931" s="34" t="e">
        <f t="shared" ca="1" si="312"/>
        <v>#N/A</v>
      </c>
      <c r="AL931" s="34" t="e">
        <f t="shared" ca="1" si="313"/>
        <v>#N/A</v>
      </c>
      <c r="AM931" s="33" t="e">
        <f t="shared" ca="1" si="320"/>
        <v>#N/A</v>
      </c>
      <c r="AN931" s="34" t="e">
        <f t="shared" ca="1" si="321"/>
        <v>#N/A</v>
      </c>
    </row>
    <row r="932" spans="1:40" x14ac:dyDescent="0.3">
      <c r="A932" s="2">
        <v>44813</v>
      </c>
      <c r="B932" s="9">
        <v>80.470000999999996</v>
      </c>
      <c r="C932" s="9">
        <v>96.540001000000004</v>
      </c>
      <c r="D932" s="9">
        <v>113.32</v>
      </c>
      <c r="E932" s="10"/>
      <c r="F932" s="13">
        <v>929</v>
      </c>
      <c r="G932" s="2">
        <v>44813</v>
      </c>
      <c r="H932" s="14">
        <f t="shared" si="302"/>
        <v>3.0278596452833196E-2</v>
      </c>
      <c r="I932" s="14">
        <f t="shared" si="303"/>
        <v>2.4324956705394637E-2</v>
      </c>
      <c r="J932" s="14">
        <f t="shared" si="304"/>
        <v>1.2341999061139499E-2</v>
      </c>
      <c r="K932" s="22">
        <v>929</v>
      </c>
      <c r="L932" s="12"/>
      <c r="Q932" s="15">
        <f t="shared" si="305"/>
        <v>929</v>
      </c>
      <c r="R932" s="2">
        <f t="shared" si="301"/>
        <v>44813</v>
      </c>
      <c r="S932" s="9">
        <f t="shared" ca="1" si="306"/>
        <v>3.0278596452833196E-2</v>
      </c>
      <c r="T932" s="9">
        <f t="shared" ca="1" si="307"/>
        <v>2.4324956705394637E-2</v>
      </c>
      <c r="U932" s="9">
        <f t="shared" ca="1" si="308"/>
        <v>1.2341999061139499E-2</v>
      </c>
      <c r="AB932" s="33" t="e">
        <f t="shared" ca="1" si="314"/>
        <v>#N/A</v>
      </c>
      <c r="AC932" s="34" t="e">
        <f t="shared" ca="1" si="315"/>
        <v>#N/A</v>
      </c>
      <c r="AD932" s="34" t="e">
        <f t="shared" ca="1" si="316"/>
        <v>#N/A</v>
      </c>
      <c r="AE932" s="33" t="e">
        <f t="shared" ca="1" si="317"/>
        <v>#N/A</v>
      </c>
      <c r="AF932" s="34" t="e">
        <f t="shared" ca="1" si="309"/>
        <v>#N/A</v>
      </c>
      <c r="AG932" s="34" t="e">
        <f t="shared" ca="1" si="310"/>
        <v>#N/A</v>
      </c>
      <c r="AH932" s="34" t="e">
        <f t="shared" ca="1" si="311"/>
        <v>#N/A</v>
      </c>
      <c r="AI932" s="33" t="e">
        <f t="shared" ca="1" si="318"/>
        <v>#N/A</v>
      </c>
      <c r="AJ932" s="34" t="e">
        <f t="shared" ca="1" si="319"/>
        <v>#N/A</v>
      </c>
      <c r="AK932" s="34" t="e">
        <f t="shared" ca="1" si="312"/>
        <v>#N/A</v>
      </c>
      <c r="AL932" s="34" t="e">
        <f t="shared" ca="1" si="313"/>
        <v>#N/A</v>
      </c>
      <c r="AM932" s="33" t="e">
        <f t="shared" ca="1" si="320"/>
        <v>#N/A</v>
      </c>
      <c r="AN932" s="34" t="e">
        <f t="shared" ca="1" si="321"/>
        <v>#N/A</v>
      </c>
    </row>
    <row r="933" spans="1:40" x14ac:dyDescent="0.3">
      <c r="A933" s="2">
        <v>44816</v>
      </c>
      <c r="B933" s="9">
        <v>81.25</v>
      </c>
      <c r="C933" s="9">
        <v>99.169998000000007</v>
      </c>
      <c r="D933" s="9">
        <v>114.25</v>
      </c>
      <c r="E933" s="10"/>
      <c r="F933" s="13">
        <v>930</v>
      </c>
      <c r="G933" s="2">
        <v>44816</v>
      </c>
      <c r="H933" s="14">
        <f t="shared" si="302"/>
        <v>9.6463646248141095E-3</v>
      </c>
      <c r="I933" s="14">
        <f t="shared" si="303"/>
        <v>2.6878088439896853E-2</v>
      </c>
      <c r="J933" s="14">
        <f t="shared" si="304"/>
        <v>8.173354811998438E-3</v>
      </c>
      <c r="K933" s="22">
        <v>930</v>
      </c>
      <c r="L933" s="12"/>
      <c r="Q933" s="15">
        <f t="shared" si="305"/>
        <v>930</v>
      </c>
      <c r="R933" s="2">
        <f t="shared" si="301"/>
        <v>44816</v>
      </c>
      <c r="S933" s="9">
        <f t="shared" ca="1" si="306"/>
        <v>9.6463646248141095E-3</v>
      </c>
      <c r="T933" s="9">
        <f t="shared" ca="1" si="307"/>
        <v>2.6878088439896853E-2</v>
      </c>
      <c r="U933" s="9">
        <f t="shared" ca="1" si="308"/>
        <v>8.173354811998438E-3</v>
      </c>
      <c r="AB933" s="33" t="e">
        <f t="shared" ca="1" si="314"/>
        <v>#N/A</v>
      </c>
      <c r="AC933" s="34" t="e">
        <f t="shared" ca="1" si="315"/>
        <v>#N/A</v>
      </c>
      <c r="AD933" s="34" t="e">
        <f t="shared" ca="1" si="316"/>
        <v>#N/A</v>
      </c>
      <c r="AE933" s="33" t="e">
        <f t="shared" ca="1" si="317"/>
        <v>#N/A</v>
      </c>
      <c r="AF933" s="34" t="e">
        <f t="shared" ca="1" si="309"/>
        <v>#N/A</v>
      </c>
      <c r="AG933" s="34" t="e">
        <f t="shared" ca="1" si="310"/>
        <v>#N/A</v>
      </c>
      <c r="AH933" s="34" t="e">
        <f t="shared" ca="1" si="311"/>
        <v>#N/A</v>
      </c>
      <c r="AI933" s="33" t="e">
        <f t="shared" ca="1" si="318"/>
        <v>#N/A</v>
      </c>
      <c r="AJ933" s="34" t="e">
        <f t="shared" ca="1" si="319"/>
        <v>#N/A</v>
      </c>
      <c r="AK933" s="34" t="e">
        <f t="shared" ca="1" si="312"/>
        <v>#N/A</v>
      </c>
      <c r="AL933" s="34" t="e">
        <f t="shared" ca="1" si="313"/>
        <v>#N/A</v>
      </c>
      <c r="AM933" s="33" t="e">
        <f t="shared" ca="1" si="320"/>
        <v>#N/A</v>
      </c>
      <c r="AN933" s="34" t="e">
        <f t="shared" ca="1" si="321"/>
        <v>#N/A</v>
      </c>
    </row>
    <row r="934" spans="1:40" x14ac:dyDescent="0.3">
      <c r="A934" s="2">
        <v>44817</v>
      </c>
      <c r="B934" s="9">
        <v>78.519997000000004</v>
      </c>
      <c r="C934" s="9">
        <v>94.099997999999999</v>
      </c>
      <c r="D934" s="9">
        <v>111.33000199999999</v>
      </c>
      <c r="E934" s="10"/>
      <c r="F934" s="13">
        <v>931</v>
      </c>
      <c r="G934" s="2">
        <v>44817</v>
      </c>
      <c r="H934" s="14">
        <f t="shared" si="302"/>
        <v>-3.4177490008413539E-2</v>
      </c>
      <c r="I934" s="14">
        <f t="shared" si="303"/>
        <v>-5.2477503693295693E-2</v>
      </c>
      <c r="J934" s="14">
        <f t="shared" si="304"/>
        <v>-2.5890248069088673E-2</v>
      </c>
      <c r="K934" s="22">
        <v>931</v>
      </c>
      <c r="L934" s="12"/>
      <c r="Q934" s="15">
        <f t="shared" si="305"/>
        <v>931</v>
      </c>
      <c r="R934" s="2">
        <f t="shared" si="301"/>
        <v>44817</v>
      </c>
      <c r="S934" s="9">
        <f t="shared" ca="1" si="306"/>
        <v>-3.4177490008413539E-2</v>
      </c>
      <c r="T934" s="9">
        <f t="shared" ca="1" si="307"/>
        <v>-5.2477503693295693E-2</v>
      </c>
      <c r="U934" s="9">
        <f t="shared" ca="1" si="308"/>
        <v>-2.5890248069088673E-2</v>
      </c>
      <c r="AB934" s="33" t="e">
        <f t="shared" ca="1" si="314"/>
        <v>#N/A</v>
      </c>
      <c r="AC934" s="34" t="e">
        <f t="shared" ca="1" si="315"/>
        <v>#N/A</v>
      </c>
      <c r="AD934" s="34" t="e">
        <f t="shared" ca="1" si="316"/>
        <v>#N/A</v>
      </c>
      <c r="AE934" s="33" t="e">
        <f t="shared" ca="1" si="317"/>
        <v>#N/A</v>
      </c>
      <c r="AF934" s="34" t="e">
        <f t="shared" ca="1" si="309"/>
        <v>#N/A</v>
      </c>
      <c r="AG934" s="34" t="e">
        <f t="shared" ca="1" si="310"/>
        <v>#N/A</v>
      </c>
      <c r="AH934" s="34" t="e">
        <f t="shared" ca="1" si="311"/>
        <v>#N/A</v>
      </c>
      <c r="AI934" s="33" t="e">
        <f t="shared" ca="1" si="318"/>
        <v>#N/A</v>
      </c>
      <c r="AJ934" s="34" t="e">
        <f t="shared" ca="1" si="319"/>
        <v>#N/A</v>
      </c>
      <c r="AK934" s="34" t="e">
        <f t="shared" ca="1" si="312"/>
        <v>#N/A</v>
      </c>
      <c r="AL934" s="34" t="e">
        <f t="shared" ca="1" si="313"/>
        <v>#N/A</v>
      </c>
      <c r="AM934" s="33" t="e">
        <f t="shared" ca="1" si="320"/>
        <v>#N/A</v>
      </c>
      <c r="AN934" s="34" t="e">
        <f t="shared" ca="1" si="321"/>
        <v>#N/A</v>
      </c>
    </row>
    <row r="935" spans="1:40" x14ac:dyDescent="0.3">
      <c r="A935" s="2">
        <v>44818</v>
      </c>
      <c r="B935" s="9">
        <v>78.660004000000001</v>
      </c>
      <c r="C935" s="9">
        <v>93.800003000000004</v>
      </c>
      <c r="D935" s="9">
        <v>109.589996</v>
      </c>
      <c r="E935" s="10"/>
      <c r="F935" s="13">
        <v>932</v>
      </c>
      <c r="G935" s="2">
        <v>44818</v>
      </c>
      <c r="H935" s="14">
        <f t="shared" si="302"/>
        <v>1.7814866539959632E-3</v>
      </c>
      <c r="I935" s="14">
        <f t="shared" si="303"/>
        <v>-3.1931373422276056E-3</v>
      </c>
      <c r="J935" s="14">
        <f t="shared" si="304"/>
        <v>-1.5752688729605883E-2</v>
      </c>
      <c r="K935" s="22">
        <v>932</v>
      </c>
      <c r="L935" s="12"/>
      <c r="Q935" s="15">
        <f t="shared" si="305"/>
        <v>932</v>
      </c>
      <c r="R935" s="2">
        <f t="shared" si="301"/>
        <v>44818</v>
      </c>
      <c r="S935" s="9">
        <f t="shared" ca="1" si="306"/>
        <v>1.7814866539959632E-3</v>
      </c>
      <c r="T935" s="9">
        <f t="shared" ca="1" si="307"/>
        <v>-3.1931373422276056E-3</v>
      </c>
      <c r="U935" s="9">
        <f t="shared" ca="1" si="308"/>
        <v>-1.5752688729605883E-2</v>
      </c>
      <c r="AB935" s="33" t="e">
        <f t="shared" ca="1" si="314"/>
        <v>#N/A</v>
      </c>
      <c r="AC935" s="34" t="e">
        <f t="shared" ca="1" si="315"/>
        <v>#N/A</v>
      </c>
      <c r="AD935" s="34" t="e">
        <f t="shared" ca="1" si="316"/>
        <v>#N/A</v>
      </c>
      <c r="AE935" s="33" t="e">
        <f t="shared" ca="1" si="317"/>
        <v>#N/A</v>
      </c>
      <c r="AF935" s="34" t="e">
        <f t="shared" ca="1" si="309"/>
        <v>#N/A</v>
      </c>
      <c r="AG935" s="34" t="e">
        <f t="shared" ca="1" si="310"/>
        <v>#N/A</v>
      </c>
      <c r="AH935" s="34" t="e">
        <f t="shared" ca="1" si="311"/>
        <v>#N/A</v>
      </c>
      <c r="AI935" s="33" t="e">
        <f t="shared" ca="1" si="318"/>
        <v>#N/A</v>
      </c>
      <c r="AJ935" s="34" t="e">
        <f t="shared" ca="1" si="319"/>
        <v>#N/A</v>
      </c>
      <c r="AK935" s="34" t="e">
        <f t="shared" ca="1" si="312"/>
        <v>#N/A</v>
      </c>
      <c r="AL935" s="34" t="e">
        <f t="shared" ca="1" si="313"/>
        <v>#N/A</v>
      </c>
      <c r="AM935" s="33" t="e">
        <f t="shared" ca="1" si="320"/>
        <v>#N/A</v>
      </c>
      <c r="AN935" s="34" t="e">
        <f t="shared" ca="1" si="321"/>
        <v>#N/A</v>
      </c>
    </row>
    <row r="936" spans="1:40" x14ac:dyDescent="0.3">
      <c r="A936" s="2">
        <v>44819</v>
      </c>
      <c r="B936" s="9">
        <v>78.300003000000004</v>
      </c>
      <c r="C936" s="9">
        <v>93.080001999999993</v>
      </c>
      <c r="D936" s="9">
        <v>105.160004</v>
      </c>
      <c r="E936" s="10"/>
      <c r="F936" s="13">
        <v>933</v>
      </c>
      <c r="G936" s="2">
        <v>44819</v>
      </c>
      <c r="H936" s="14">
        <f t="shared" si="302"/>
        <v>-4.5871765444962624E-3</v>
      </c>
      <c r="I936" s="14">
        <f t="shared" si="303"/>
        <v>-7.7055280741372438E-3</v>
      </c>
      <c r="J936" s="14">
        <f t="shared" si="304"/>
        <v>-4.1263055076663224E-2</v>
      </c>
      <c r="K936" s="22">
        <v>933</v>
      </c>
      <c r="L936" s="12"/>
      <c r="Q936" s="15">
        <f t="shared" si="305"/>
        <v>933</v>
      </c>
      <c r="R936" s="2">
        <f t="shared" si="301"/>
        <v>44819</v>
      </c>
      <c r="S936" s="9">
        <f t="shared" ca="1" si="306"/>
        <v>-4.5871765444962624E-3</v>
      </c>
      <c r="T936" s="9">
        <f t="shared" ca="1" si="307"/>
        <v>-7.7055280741372438E-3</v>
      </c>
      <c r="U936" s="9">
        <f t="shared" ca="1" si="308"/>
        <v>-4.1263055076663224E-2</v>
      </c>
      <c r="AB936" s="33" t="e">
        <f t="shared" ca="1" si="314"/>
        <v>#N/A</v>
      </c>
      <c r="AC936" s="34" t="e">
        <f t="shared" ca="1" si="315"/>
        <v>#N/A</v>
      </c>
      <c r="AD936" s="34" t="e">
        <f t="shared" ca="1" si="316"/>
        <v>#N/A</v>
      </c>
      <c r="AE936" s="33" t="e">
        <f t="shared" ca="1" si="317"/>
        <v>#N/A</v>
      </c>
      <c r="AF936" s="34" t="e">
        <f t="shared" ca="1" si="309"/>
        <v>#N/A</v>
      </c>
      <c r="AG936" s="34" t="e">
        <f t="shared" ca="1" si="310"/>
        <v>#N/A</v>
      </c>
      <c r="AH936" s="34" t="e">
        <f t="shared" ca="1" si="311"/>
        <v>#N/A</v>
      </c>
      <c r="AI936" s="33" t="e">
        <f t="shared" ca="1" si="318"/>
        <v>#N/A</v>
      </c>
      <c r="AJ936" s="34" t="e">
        <f t="shared" ca="1" si="319"/>
        <v>#N/A</v>
      </c>
      <c r="AK936" s="34" t="e">
        <f t="shared" ca="1" si="312"/>
        <v>#N/A</v>
      </c>
      <c r="AL936" s="34" t="e">
        <f t="shared" ca="1" si="313"/>
        <v>#N/A</v>
      </c>
      <c r="AM936" s="33" t="e">
        <f t="shared" ca="1" si="320"/>
        <v>#N/A</v>
      </c>
      <c r="AN936" s="34" t="e">
        <f t="shared" ca="1" si="321"/>
        <v>#N/A</v>
      </c>
    </row>
    <row r="937" spans="1:40" x14ac:dyDescent="0.3">
      <c r="A937" s="2">
        <v>44820</v>
      </c>
      <c r="B937" s="9">
        <v>76.709998999999996</v>
      </c>
      <c r="C937" s="9">
        <v>93.489998</v>
      </c>
      <c r="D937" s="9">
        <v>104.459999</v>
      </c>
      <c r="E937" s="10"/>
      <c r="F937" s="13">
        <v>934</v>
      </c>
      <c r="G937" s="2">
        <v>44820</v>
      </c>
      <c r="H937" s="14">
        <f t="shared" si="302"/>
        <v>-2.0515576375838181E-2</v>
      </c>
      <c r="I937" s="14">
        <f t="shared" si="303"/>
        <v>4.3950973895781273E-3</v>
      </c>
      <c r="J937" s="14">
        <f t="shared" si="304"/>
        <v>-6.6788244638460144E-3</v>
      </c>
      <c r="K937" s="22">
        <v>934</v>
      </c>
      <c r="L937" s="12"/>
      <c r="Q937" s="15">
        <f t="shared" si="305"/>
        <v>934</v>
      </c>
      <c r="R937" s="2">
        <f t="shared" si="301"/>
        <v>44820</v>
      </c>
      <c r="S937" s="9">
        <f t="shared" ca="1" si="306"/>
        <v>-2.0515576375838181E-2</v>
      </c>
      <c r="T937" s="9">
        <f t="shared" ca="1" si="307"/>
        <v>4.3950973895781273E-3</v>
      </c>
      <c r="U937" s="9">
        <f t="shared" ca="1" si="308"/>
        <v>-6.6788244638460144E-3</v>
      </c>
      <c r="AB937" s="33" t="e">
        <f t="shared" ca="1" si="314"/>
        <v>#N/A</v>
      </c>
      <c r="AC937" s="34" t="e">
        <f t="shared" ca="1" si="315"/>
        <v>#N/A</v>
      </c>
      <c r="AD937" s="34" t="e">
        <f t="shared" ca="1" si="316"/>
        <v>#N/A</v>
      </c>
      <c r="AE937" s="33" t="e">
        <f t="shared" ca="1" si="317"/>
        <v>#N/A</v>
      </c>
      <c r="AF937" s="34" t="e">
        <f t="shared" ca="1" si="309"/>
        <v>#N/A</v>
      </c>
      <c r="AG937" s="34" t="e">
        <f t="shared" ca="1" si="310"/>
        <v>#N/A</v>
      </c>
      <c r="AH937" s="34" t="e">
        <f t="shared" ca="1" si="311"/>
        <v>#N/A</v>
      </c>
      <c r="AI937" s="33" t="e">
        <f t="shared" ca="1" si="318"/>
        <v>#N/A</v>
      </c>
      <c r="AJ937" s="34" t="e">
        <f t="shared" ca="1" si="319"/>
        <v>#N/A</v>
      </c>
      <c r="AK937" s="34" t="e">
        <f t="shared" ca="1" si="312"/>
        <v>#N/A</v>
      </c>
      <c r="AL937" s="34" t="e">
        <f t="shared" ca="1" si="313"/>
        <v>#N/A</v>
      </c>
      <c r="AM937" s="33" t="e">
        <f t="shared" ca="1" si="320"/>
        <v>#N/A</v>
      </c>
      <c r="AN937" s="34" t="e">
        <f t="shared" ca="1" si="321"/>
        <v>#N/A</v>
      </c>
    </row>
    <row r="938" spans="1:40" x14ac:dyDescent="0.3">
      <c r="A938" s="2">
        <v>44823</v>
      </c>
      <c r="B938" s="9">
        <v>78.300003000000004</v>
      </c>
      <c r="C938" s="9">
        <v>96.269997000000004</v>
      </c>
      <c r="D938" s="9">
        <v>104.66999800000001</v>
      </c>
      <c r="E938" s="10"/>
      <c r="F938" s="13">
        <v>935</v>
      </c>
      <c r="G938" s="2">
        <v>44823</v>
      </c>
      <c r="H938" s="14">
        <f t="shared" si="302"/>
        <v>2.0515576375838222E-2</v>
      </c>
      <c r="I938" s="14">
        <f t="shared" si="303"/>
        <v>2.9302255316957126E-2</v>
      </c>
      <c r="J938" s="14">
        <f t="shared" si="304"/>
        <v>2.0083113240103871E-3</v>
      </c>
      <c r="K938" s="22">
        <v>935</v>
      </c>
      <c r="L938" s="12"/>
      <c r="Q938" s="15">
        <f t="shared" si="305"/>
        <v>935</v>
      </c>
      <c r="R938" s="2">
        <f t="shared" si="301"/>
        <v>44823</v>
      </c>
      <c r="S938" s="9">
        <f t="shared" ca="1" si="306"/>
        <v>2.0515576375838222E-2</v>
      </c>
      <c r="T938" s="9">
        <f t="shared" ca="1" si="307"/>
        <v>2.9302255316957126E-2</v>
      </c>
      <c r="U938" s="9">
        <f t="shared" ca="1" si="308"/>
        <v>2.0083113240103871E-3</v>
      </c>
      <c r="AB938" s="33" t="e">
        <f t="shared" ca="1" si="314"/>
        <v>#N/A</v>
      </c>
      <c r="AC938" s="34" t="e">
        <f t="shared" ca="1" si="315"/>
        <v>#N/A</v>
      </c>
      <c r="AD938" s="34" t="e">
        <f t="shared" ca="1" si="316"/>
        <v>#N/A</v>
      </c>
      <c r="AE938" s="33" t="e">
        <f t="shared" ca="1" si="317"/>
        <v>#N/A</v>
      </c>
      <c r="AF938" s="34" t="e">
        <f t="shared" ca="1" si="309"/>
        <v>#N/A</v>
      </c>
      <c r="AG938" s="34" t="e">
        <f t="shared" ca="1" si="310"/>
        <v>#N/A</v>
      </c>
      <c r="AH938" s="34" t="e">
        <f t="shared" ca="1" si="311"/>
        <v>#N/A</v>
      </c>
      <c r="AI938" s="33" t="e">
        <f t="shared" ca="1" si="318"/>
        <v>#N/A</v>
      </c>
      <c r="AJ938" s="34" t="e">
        <f t="shared" ca="1" si="319"/>
        <v>#N/A</v>
      </c>
      <c r="AK938" s="34" t="e">
        <f t="shared" ca="1" si="312"/>
        <v>#N/A</v>
      </c>
      <c r="AL938" s="34" t="e">
        <f t="shared" ca="1" si="313"/>
        <v>#N/A</v>
      </c>
      <c r="AM938" s="33" t="e">
        <f t="shared" ca="1" si="320"/>
        <v>#N/A</v>
      </c>
      <c r="AN938" s="34" t="e">
        <f t="shared" ca="1" si="321"/>
        <v>#N/A</v>
      </c>
    </row>
    <row r="939" spans="1:40" x14ac:dyDescent="0.3">
      <c r="A939" s="2">
        <v>44824</v>
      </c>
      <c r="B939" s="9">
        <v>76.610000999999997</v>
      </c>
      <c r="C939" s="9">
        <v>94.209998999999996</v>
      </c>
      <c r="D939" s="9">
        <v>107.41999800000001</v>
      </c>
      <c r="E939" s="10"/>
      <c r="F939" s="13">
        <v>936</v>
      </c>
      <c r="G939" s="2">
        <v>44824</v>
      </c>
      <c r="H939" s="14">
        <f t="shared" si="302"/>
        <v>-2.1820011729077344E-2</v>
      </c>
      <c r="I939" s="14">
        <f t="shared" si="303"/>
        <v>-2.1630390181527053E-2</v>
      </c>
      <c r="J939" s="14">
        <f t="shared" si="304"/>
        <v>2.5933841099685887E-2</v>
      </c>
      <c r="K939" s="22">
        <v>936</v>
      </c>
      <c r="L939" s="12"/>
      <c r="Q939" s="15">
        <f t="shared" si="305"/>
        <v>936</v>
      </c>
      <c r="R939" s="2">
        <f t="shared" si="301"/>
        <v>44824</v>
      </c>
      <c r="S939" s="9">
        <f t="shared" ca="1" si="306"/>
        <v>-2.1820011729077344E-2</v>
      </c>
      <c r="T939" s="9">
        <f t="shared" ca="1" si="307"/>
        <v>-2.1630390181527053E-2</v>
      </c>
      <c r="U939" s="9">
        <f t="shared" ca="1" si="308"/>
        <v>2.5933841099685887E-2</v>
      </c>
      <c r="AB939" s="33" t="e">
        <f t="shared" ca="1" si="314"/>
        <v>#N/A</v>
      </c>
      <c r="AC939" s="34" t="e">
        <f t="shared" ca="1" si="315"/>
        <v>#N/A</v>
      </c>
      <c r="AD939" s="34" t="e">
        <f t="shared" ca="1" si="316"/>
        <v>#N/A</v>
      </c>
      <c r="AE939" s="33" t="e">
        <f t="shared" ca="1" si="317"/>
        <v>#N/A</v>
      </c>
      <c r="AF939" s="34" t="e">
        <f t="shared" ca="1" si="309"/>
        <v>#N/A</v>
      </c>
      <c r="AG939" s="34" t="e">
        <f t="shared" ca="1" si="310"/>
        <v>#N/A</v>
      </c>
      <c r="AH939" s="34" t="e">
        <f t="shared" ca="1" si="311"/>
        <v>#N/A</v>
      </c>
      <c r="AI939" s="33" t="e">
        <f t="shared" ca="1" si="318"/>
        <v>#N/A</v>
      </c>
      <c r="AJ939" s="34" t="e">
        <f t="shared" ca="1" si="319"/>
        <v>#N/A</v>
      </c>
      <c r="AK939" s="34" t="e">
        <f t="shared" ca="1" si="312"/>
        <v>#N/A</v>
      </c>
      <c r="AL939" s="34" t="e">
        <f t="shared" ca="1" si="313"/>
        <v>#N/A</v>
      </c>
      <c r="AM939" s="33" t="e">
        <f t="shared" ca="1" si="320"/>
        <v>#N/A</v>
      </c>
      <c r="AN939" s="34" t="e">
        <f t="shared" ca="1" si="321"/>
        <v>#N/A</v>
      </c>
    </row>
    <row r="940" spans="1:40" x14ac:dyDescent="0.3">
      <c r="A940" s="2">
        <v>44825</v>
      </c>
      <c r="B940" s="9">
        <v>74.889999000000003</v>
      </c>
      <c r="C940" s="9">
        <v>92.309997999999993</v>
      </c>
      <c r="D940" s="9">
        <v>105.529999</v>
      </c>
      <c r="E940" s="10"/>
      <c r="F940" s="13">
        <v>937</v>
      </c>
      <c r="G940" s="2">
        <v>44825</v>
      </c>
      <c r="H940" s="14">
        <f t="shared" si="302"/>
        <v>-2.2707272673497574E-2</v>
      </c>
      <c r="I940" s="14">
        <f t="shared" si="303"/>
        <v>-2.0373866110057048E-2</v>
      </c>
      <c r="J940" s="14">
        <f t="shared" si="304"/>
        <v>-1.775110265178597E-2</v>
      </c>
      <c r="K940" s="22">
        <v>937</v>
      </c>
      <c r="L940" s="12"/>
      <c r="Q940" s="15">
        <f t="shared" si="305"/>
        <v>937</v>
      </c>
      <c r="R940" s="2">
        <f t="shared" si="301"/>
        <v>44825</v>
      </c>
      <c r="S940" s="9">
        <f t="shared" ca="1" si="306"/>
        <v>-2.2707272673497574E-2</v>
      </c>
      <c r="T940" s="9">
        <f t="shared" ca="1" si="307"/>
        <v>-2.0373866110057048E-2</v>
      </c>
      <c r="U940" s="9">
        <f t="shared" ca="1" si="308"/>
        <v>-1.775110265178597E-2</v>
      </c>
      <c r="AB940" s="33" t="e">
        <f t="shared" ca="1" si="314"/>
        <v>#N/A</v>
      </c>
      <c r="AC940" s="34" t="e">
        <f t="shared" ca="1" si="315"/>
        <v>#N/A</v>
      </c>
      <c r="AD940" s="34" t="e">
        <f t="shared" ca="1" si="316"/>
        <v>#N/A</v>
      </c>
      <c r="AE940" s="33" t="e">
        <f t="shared" ca="1" si="317"/>
        <v>#N/A</v>
      </c>
      <c r="AF940" s="34" t="e">
        <f t="shared" ca="1" si="309"/>
        <v>#N/A</v>
      </c>
      <c r="AG940" s="34" t="e">
        <f t="shared" ca="1" si="310"/>
        <v>#N/A</v>
      </c>
      <c r="AH940" s="34" t="e">
        <f t="shared" ca="1" si="311"/>
        <v>#N/A</v>
      </c>
      <c r="AI940" s="33" t="e">
        <f t="shared" ca="1" si="318"/>
        <v>#N/A</v>
      </c>
      <c r="AJ940" s="34" t="e">
        <f t="shared" ca="1" si="319"/>
        <v>#N/A</v>
      </c>
      <c r="AK940" s="34" t="e">
        <f t="shared" ca="1" si="312"/>
        <v>#N/A</v>
      </c>
      <c r="AL940" s="34" t="e">
        <f t="shared" ca="1" si="313"/>
        <v>#N/A</v>
      </c>
      <c r="AM940" s="33" t="e">
        <f t="shared" ca="1" si="320"/>
        <v>#N/A</v>
      </c>
      <c r="AN940" s="34" t="e">
        <f t="shared" ca="1" si="321"/>
        <v>#N/A</v>
      </c>
    </row>
    <row r="941" spans="1:40" x14ac:dyDescent="0.3">
      <c r="A941" s="2">
        <v>44826</v>
      </c>
      <c r="B941" s="9">
        <v>73.150002000000001</v>
      </c>
      <c r="C941" s="9">
        <v>88.389999000000003</v>
      </c>
      <c r="D941" s="9">
        <v>107.589996</v>
      </c>
      <c r="E941" s="10"/>
      <c r="F941" s="13">
        <v>938</v>
      </c>
      <c r="G941" s="2">
        <v>44826</v>
      </c>
      <c r="H941" s="14">
        <f t="shared" si="302"/>
        <v>-2.3508202101145129E-2</v>
      </c>
      <c r="I941" s="14">
        <f t="shared" si="303"/>
        <v>-4.3393626576575299E-2</v>
      </c>
      <c r="J941" s="14">
        <f t="shared" si="304"/>
        <v>1.9332406220620331E-2</v>
      </c>
      <c r="K941" s="22">
        <v>938</v>
      </c>
      <c r="L941" s="12"/>
      <c r="Q941" s="15">
        <f t="shared" si="305"/>
        <v>938</v>
      </c>
      <c r="R941" s="2">
        <f t="shared" si="301"/>
        <v>44826</v>
      </c>
      <c r="S941" s="9">
        <f t="shared" ca="1" si="306"/>
        <v>-2.3508202101145129E-2</v>
      </c>
      <c r="T941" s="9">
        <f t="shared" ca="1" si="307"/>
        <v>-4.3393626576575299E-2</v>
      </c>
      <c r="U941" s="9">
        <f t="shared" ca="1" si="308"/>
        <v>1.9332406220620331E-2</v>
      </c>
      <c r="AB941" s="33" t="e">
        <f t="shared" ca="1" si="314"/>
        <v>#N/A</v>
      </c>
      <c r="AC941" s="34" t="e">
        <f t="shared" ca="1" si="315"/>
        <v>#N/A</v>
      </c>
      <c r="AD941" s="34" t="e">
        <f t="shared" ca="1" si="316"/>
        <v>#N/A</v>
      </c>
      <c r="AE941" s="33" t="e">
        <f t="shared" ca="1" si="317"/>
        <v>#N/A</v>
      </c>
      <c r="AF941" s="34" t="e">
        <f t="shared" ca="1" si="309"/>
        <v>#N/A</v>
      </c>
      <c r="AG941" s="34" t="e">
        <f t="shared" ca="1" si="310"/>
        <v>#N/A</v>
      </c>
      <c r="AH941" s="34" t="e">
        <f t="shared" ca="1" si="311"/>
        <v>#N/A</v>
      </c>
      <c r="AI941" s="33" t="e">
        <f t="shared" ca="1" si="318"/>
        <v>#N/A</v>
      </c>
      <c r="AJ941" s="34" t="e">
        <f t="shared" ca="1" si="319"/>
        <v>#N/A</v>
      </c>
      <c r="AK941" s="34" t="e">
        <f t="shared" ca="1" si="312"/>
        <v>#N/A</v>
      </c>
      <c r="AL941" s="34" t="e">
        <f t="shared" ca="1" si="313"/>
        <v>#N/A</v>
      </c>
      <c r="AM941" s="33" t="e">
        <f t="shared" ca="1" si="320"/>
        <v>#N/A</v>
      </c>
      <c r="AN941" s="34" t="e">
        <f t="shared" ca="1" si="321"/>
        <v>#N/A</v>
      </c>
    </row>
    <row r="942" spans="1:40" x14ac:dyDescent="0.3">
      <c r="A942" s="2">
        <v>44827</v>
      </c>
      <c r="B942" s="9">
        <v>73.629997000000003</v>
      </c>
      <c r="C942" s="9">
        <v>85.43</v>
      </c>
      <c r="D942" s="9">
        <v>100.57</v>
      </c>
      <c r="E942" s="10"/>
      <c r="F942" s="13">
        <v>939</v>
      </c>
      <c r="G942" s="2">
        <v>44827</v>
      </c>
      <c r="H942" s="14">
        <f t="shared" si="302"/>
        <v>6.5403558291498905E-3</v>
      </c>
      <c r="I942" s="14">
        <f t="shared" si="303"/>
        <v>-3.4061502595832183E-2</v>
      </c>
      <c r="J942" s="14">
        <f t="shared" si="304"/>
        <v>-6.7473666971251692E-2</v>
      </c>
      <c r="K942" s="22">
        <v>939</v>
      </c>
      <c r="L942" s="12"/>
      <c r="Q942" s="15">
        <f t="shared" si="305"/>
        <v>939</v>
      </c>
      <c r="R942" s="2">
        <f t="shared" si="301"/>
        <v>44827</v>
      </c>
      <c r="S942" s="9">
        <f t="shared" ca="1" si="306"/>
        <v>6.5403558291498905E-3</v>
      </c>
      <c r="T942" s="9">
        <f t="shared" ca="1" si="307"/>
        <v>-3.4061502595832183E-2</v>
      </c>
      <c r="U942" s="9">
        <f t="shared" ca="1" si="308"/>
        <v>-6.7473666971251692E-2</v>
      </c>
      <c r="AB942" s="33" t="e">
        <f t="shared" ca="1" si="314"/>
        <v>#N/A</v>
      </c>
      <c r="AC942" s="34" t="e">
        <f t="shared" ca="1" si="315"/>
        <v>#N/A</v>
      </c>
      <c r="AD942" s="34" t="e">
        <f t="shared" ca="1" si="316"/>
        <v>#N/A</v>
      </c>
      <c r="AE942" s="33" t="e">
        <f t="shared" ca="1" si="317"/>
        <v>#N/A</v>
      </c>
      <c r="AF942" s="34" t="e">
        <f t="shared" ca="1" si="309"/>
        <v>#N/A</v>
      </c>
      <c r="AG942" s="34" t="e">
        <f t="shared" ca="1" si="310"/>
        <v>#N/A</v>
      </c>
      <c r="AH942" s="34" t="e">
        <f t="shared" ca="1" si="311"/>
        <v>#N/A</v>
      </c>
      <c r="AI942" s="33" t="e">
        <f t="shared" ca="1" si="318"/>
        <v>#N/A</v>
      </c>
      <c r="AJ942" s="34" t="e">
        <f t="shared" ca="1" si="319"/>
        <v>#N/A</v>
      </c>
      <c r="AK942" s="34" t="e">
        <f t="shared" ca="1" si="312"/>
        <v>#N/A</v>
      </c>
      <c r="AL942" s="34" t="e">
        <f t="shared" ca="1" si="313"/>
        <v>#N/A</v>
      </c>
      <c r="AM942" s="33" t="e">
        <f t="shared" ca="1" si="320"/>
        <v>#N/A</v>
      </c>
      <c r="AN942" s="34" t="e">
        <f t="shared" ca="1" si="321"/>
        <v>#N/A</v>
      </c>
    </row>
    <row r="943" spans="1:40" x14ac:dyDescent="0.3">
      <c r="A943" s="2">
        <v>44830</v>
      </c>
      <c r="B943" s="9">
        <v>73.589995999999999</v>
      </c>
      <c r="C943" s="9">
        <v>83.959998999999996</v>
      </c>
      <c r="D943" s="9">
        <v>97.889999000000003</v>
      </c>
      <c r="E943" s="10"/>
      <c r="F943" s="13">
        <v>940</v>
      </c>
      <c r="G943" s="2">
        <v>44830</v>
      </c>
      <c r="H943" s="14">
        <f t="shared" si="302"/>
        <v>-5.4341805306798647E-4</v>
      </c>
      <c r="I943" s="14">
        <f t="shared" si="303"/>
        <v>-1.7356844121528745E-2</v>
      </c>
      <c r="J943" s="14">
        <f t="shared" si="304"/>
        <v>-2.7009613398598059E-2</v>
      </c>
      <c r="K943" s="22">
        <v>940</v>
      </c>
      <c r="L943" s="12"/>
      <c r="Q943" s="15">
        <f t="shared" si="305"/>
        <v>940</v>
      </c>
      <c r="R943" s="2">
        <f t="shared" si="301"/>
        <v>44830</v>
      </c>
      <c r="S943" s="9">
        <f t="shared" ca="1" si="306"/>
        <v>-5.4341805306798647E-4</v>
      </c>
      <c r="T943" s="9">
        <f t="shared" ca="1" si="307"/>
        <v>-1.7356844121528745E-2</v>
      </c>
      <c r="U943" s="9">
        <f t="shared" ca="1" si="308"/>
        <v>-2.7009613398598059E-2</v>
      </c>
      <c r="AB943" s="33" t="e">
        <f t="shared" ca="1" si="314"/>
        <v>#N/A</v>
      </c>
      <c r="AC943" s="34" t="e">
        <f t="shared" ca="1" si="315"/>
        <v>#N/A</v>
      </c>
      <c r="AD943" s="34" t="e">
        <f t="shared" ca="1" si="316"/>
        <v>#N/A</v>
      </c>
      <c r="AE943" s="33" t="e">
        <f t="shared" ca="1" si="317"/>
        <v>#N/A</v>
      </c>
      <c r="AF943" s="34" t="e">
        <f t="shared" ca="1" si="309"/>
        <v>#N/A</v>
      </c>
      <c r="AG943" s="34" t="e">
        <f t="shared" ca="1" si="310"/>
        <v>#N/A</v>
      </c>
      <c r="AH943" s="34" t="e">
        <f t="shared" ca="1" si="311"/>
        <v>#N/A</v>
      </c>
      <c r="AI943" s="33" t="e">
        <f t="shared" ca="1" si="318"/>
        <v>#N/A</v>
      </c>
      <c r="AJ943" s="34" t="e">
        <f t="shared" ca="1" si="319"/>
        <v>#N/A</v>
      </c>
      <c r="AK943" s="34" t="e">
        <f t="shared" ca="1" si="312"/>
        <v>#N/A</v>
      </c>
      <c r="AL943" s="34" t="e">
        <f t="shared" ca="1" si="313"/>
        <v>#N/A</v>
      </c>
      <c r="AM943" s="33" t="e">
        <f t="shared" ca="1" si="320"/>
        <v>#N/A</v>
      </c>
      <c r="AN943" s="34" t="e">
        <f t="shared" ca="1" si="321"/>
        <v>#N/A</v>
      </c>
    </row>
    <row r="944" spans="1:40" x14ac:dyDescent="0.3">
      <c r="A944" s="2">
        <v>44831</v>
      </c>
      <c r="B944" s="9">
        <v>73.819999999999993</v>
      </c>
      <c r="C944" s="9">
        <v>85.519997000000004</v>
      </c>
      <c r="D944" s="9">
        <v>101.16999800000001</v>
      </c>
      <c r="E944" s="10"/>
      <c r="F944" s="13">
        <v>941</v>
      </c>
      <c r="G944" s="2">
        <v>44831</v>
      </c>
      <c r="H944" s="14">
        <f t="shared" si="302"/>
        <v>3.1206050185575308E-3</v>
      </c>
      <c r="I944" s="14">
        <f t="shared" si="303"/>
        <v>1.8409748595277154E-2</v>
      </c>
      <c r="J944" s="14">
        <f t="shared" si="304"/>
        <v>3.2957861391301829E-2</v>
      </c>
      <c r="K944" s="22">
        <v>941</v>
      </c>
      <c r="L944" s="12"/>
      <c r="Q944" s="15">
        <f t="shared" si="305"/>
        <v>941</v>
      </c>
      <c r="R944" s="2">
        <f t="shared" si="301"/>
        <v>44831</v>
      </c>
      <c r="S944" s="9">
        <f t="shared" ca="1" si="306"/>
        <v>3.1206050185575308E-3</v>
      </c>
      <c r="T944" s="9">
        <f t="shared" ca="1" si="307"/>
        <v>1.8409748595277154E-2</v>
      </c>
      <c r="U944" s="9">
        <f t="shared" ca="1" si="308"/>
        <v>3.2957861391301829E-2</v>
      </c>
      <c r="AB944" s="33" t="e">
        <f t="shared" ca="1" si="314"/>
        <v>#N/A</v>
      </c>
      <c r="AC944" s="34" t="e">
        <f t="shared" ca="1" si="315"/>
        <v>#N/A</v>
      </c>
      <c r="AD944" s="34" t="e">
        <f t="shared" ca="1" si="316"/>
        <v>#N/A</v>
      </c>
      <c r="AE944" s="33" t="e">
        <f t="shared" ca="1" si="317"/>
        <v>#N/A</v>
      </c>
      <c r="AF944" s="34" t="e">
        <f t="shared" ca="1" si="309"/>
        <v>#N/A</v>
      </c>
      <c r="AG944" s="34" t="e">
        <f t="shared" ca="1" si="310"/>
        <v>#N/A</v>
      </c>
      <c r="AH944" s="34" t="e">
        <f t="shared" ca="1" si="311"/>
        <v>#N/A</v>
      </c>
      <c r="AI944" s="33" t="e">
        <f t="shared" ca="1" si="318"/>
        <v>#N/A</v>
      </c>
      <c r="AJ944" s="34" t="e">
        <f t="shared" ca="1" si="319"/>
        <v>#N/A</v>
      </c>
      <c r="AK944" s="34" t="e">
        <f t="shared" ca="1" si="312"/>
        <v>#N/A</v>
      </c>
      <c r="AL944" s="34" t="e">
        <f t="shared" ca="1" si="313"/>
        <v>#N/A</v>
      </c>
      <c r="AM944" s="33" t="e">
        <f t="shared" ca="1" si="320"/>
        <v>#N/A</v>
      </c>
      <c r="AN944" s="34" t="e">
        <f t="shared" ca="1" si="321"/>
        <v>#N/A</v>
      </c>
    </row>
    <row r="945" spans="1:40" x14ac:dyDescent="0.3">
      <c r="A945" s="2">
        <v>44832</v>
      </c>
      <c r="B945" s="9">
        <v>76.559997999999993</v>
      </c>
      <c r="C945" s="9">
        <v>88.989998</v>
      </c>
      <c r="D945" s="9">
        <v>108.800003</v>
      </c>
      <c r="E945" s="10"/>
      <c r="F945" s="13">
        <v>942</v>
      </c>
      <c r="G945" s="2">
        <v>44832</v>
      </c>
      <c r="H945" s="14">
        <f t="shared" si="302"/>
        <v>3.6445023419544038E-2</v>
      </c>
      <c r="I945" s="14">
        <f t="shared" si="303"/>
        <v>3.9773749757059648E-2</v>
      </c>
      <c r="J945" s="14">
        <f t="shared" si="304"/>
        <v>7.2709111546278613E-2</v>
      </c>
      <c r="K945" s="22">
        <v>942</v>
      </c>
      <c r="L945" s="12"/>
      <c r="Q945" s="15">
        <f t="shared" si="305"/>
        <v>942</v>
      </c>
      <c r="R945" s="2">
        <f t="shared" si="301"/>
        <v>44832</v>
      </c>
      <c r="S945" s="9">
        <f t="shared" ca="1" si="306"/>
        <v>3.6445023419544038E-2</v>
      </c>
      <c r="T945" s="9">
        <f t="shared" ca="1" si="307"/>
        <v>3.9773749757059648E-2</v>
      </c>
      <c r="U945" s="9">
        <f t="shared" ca="1" si="308"/>
        <v>7.2709111546278613E-2</v>
      </c>
      <c r="AB945" s="33" t="e">
        <f t="shared" ca="1" si="314"/>
        <v>#N/A</v>
      </c>
      <c r="AC945" s="34" t="e">
        <f t="shared" ca="1" si="315"/>
        <v>#N/A</v>
      </c>
      <c r="AD945" s="34" t="e">
        <f t="shared" ca="1" si="316"/>
        <v>#N/A</v>
      </c>
      <c r="AE945" s="33" t="e">
        <f t="shared" ca="1" si="317"/>
        <v>#N/A</v>
      </c>
      <c r="AF945" s="34" t="e">
        <f t="shared" ca="1" si="309"/>
        <v>#N/A</v>
      </c>
      <c r="AG945" s="34" t="e">
        <f t="shared" ca="1" si="310"/>
        <v>#N/A</v>
      </c>
      <c r="AH945" s="34" t="e">
        <f t="shared" ca="1" si="311"/>
        <v>#N/A</v>
      </c>
      <c r="AI945" s="33" t="e">
        <f t="shared" ca="1" si="318"/>
        <v>#N/A</v>
      </c>
      <c r="AJ945" s="34" t="e">
        <f t="shared" ca="1" si="319"/>
        <v>#N/A</v>
      </c>
      <c r="AK945" s="34" t="e">
        <f t="shared" ca="1" si="312"/>
        <v>#N/A</v>
      </c>
      <c r="AL945" s="34" t="e">
        <f t="shared" ca="1" si="313"/>
        <v>#N/A</v>
      </c>
      <c r="AM945" s="33" t="e">
        <f t="shared" ca="1" si="320"/>
        <v>#N/A</v>
      </c>
      <c r="AN945" s="34" t="e">
        <f t="shared" ca="1" si="321"/>
        <v>#N/A</v>
      </c>
    </row>
    <row r="946" spans="1:40" x14ac:dyDescent="0.3">
      <c r="A946" s="2">
        <v>44833</v>
      </c>
      <c r="B946" s="9">
        <v>76</v>
      </c>
      <c r="C946" s="9">
        <v>87.269997000000004</v>
      </c>
      <c r="D946" s="9">
        <v>107.239998</v>
      </c>
      <c r="E946" s="10"/>
      <c r="F946" s="13">
        <v>943</v>
      </c>
      <c r="G946" s="2">
        <v>44833</v>
      </c>
      <c r="H946" s="14">
        <f t="shared" si="302"/>
        <v>-7.3413807350652888E-3</v>
      </c>
      <c r="I946" s="14">
        <f t="shared" si="303"/>
        <v>-1.9517254595190176E-2</v>
      </c>
      <c r="J946" s="14">
        <f t="shared" si="304"/>
        <v>-1.4442067277370536E-2</v>
      </c>
      <c r="K946" s="22">
        <v>943</v>
      </c>
      <c r="L946" s="12"/>
      <c r="Q946" s="15">
        <f t="shared" si="305"/>
        <v>943</v>
      </c>
      <c r="R946" s="2">
        <f t="shared" si="301"/>
        <v>44833</v>
      </c>
      <c r="S946" s="9">
        <f t="shared" ca="1" si="306"/>
        <v>-7.3413807350652888E-3</v>
      </c>
      <c r="T946" s="9">
        <f t="shared" ca="1" si="307"/>
        <v>-1.9517254595190176E-2</v>
      </c>
      <c r="U946" s="9">
        <f t="shared" ca="1" si="308"/>
        <v>-1.4442067277370536E-2</v>
      </c>
      <c r="AB946" s="33" t="e">
        <f t="shared" ca="1" si="314"/>
        <v>#N/A</v>
      </c>
      <c r="AC946" s="34" t="e">
        <f t="shared" ca="1" si="315"/>
        <v>#N/A</v>
      </c>
      <c r="AD946" s="34" t="e">
        <f t="shared" ca="1" si="316"/>
        <v>#N/A</v>
      </c>
      <c r="AE946" s="33" t="e">
        <f t="shared" ca="1" si="317"/>
        <v>#N/A</v>
      </c>
      <c r="AF946" s="34" t="e">
        <f t="shared" ca="1" si="309"/>
        <v>#N/A</v>
      </c>
      <c r="AG946" s="34" t="e">
        <f t="shared" ca="1" si="310"/>
        <v>#N/A</v>
      </c>
      <c r="AH946" s="34" t="e">
        <f t="shared" ca="1" si="311"/>
        <v>#N/A</v>
      </c>
      <c r="AI946" s="33" t="e">
        <f t="shared" ca="1" si="318"/>
        <v>#N/A</v>
      </c>
      <c r="AJ946" s="34" t="e">
        <f t="shared" ca="1" si="319"/>
        <v>#N/A</v>
      </c>
      <c r="AK946" s="34" t="e">
        <f t="shared" ca="1" si="312"/>
        <v>#N/A</v>
      </c>
      <c r="AL946" s="34" t="e">
        <f t="shared" ca="1" si="313"/>
        <v>#N/A</v>
      </c>
      <c r="AM946" s="33" t="e">
        <f t="shared" ca="1" si="320"/>
        <v>#N/A</v>
      </c>
      <c r="AN946" s="34" t="e">
        <f t="shared" ca="1" si="321"/>
        <v>#N/A</v>
      </c>
    </row>
    <row r="947" spans="1:40" x14ac:dyDescent="0.3">
      <c r="A947" s="2">
        <v>44834</v>
      </c>
      <c r="B947" s="9">
        <v>76.5</v>
      </c>
      <c r="C947" s="9">
        <v>84.93</v>
      </c>
      <c r="D947" s="9">
        <v>106.849998</v>
      </c>
      <c r="E947" s="10"/>
      <c r="F947" s="13">
        <v>944</v>
      </c>
      <c r="G947" s="2">
        <v>44834</v>
      </c>
      <c r="H947" s="14">
        <f t="shared" si="302"/>
        <v>6.5574005461590396E-3</v>
      </c>
      <c r="I947" s="14">
        <f t="shared" si="303"/>
        <v>-2.717933900722716E-2</v>
      </c>
      <c r="J947" s="14">
        <f t="shared" si="304"/>
        <v>-3.643331670673156E-3</v>
      </c>
      <c r="K947" s="22">
        <v>944</v>
      </c>
      <c r="L947" s="12"/>
      <c r="Q947" s="15">
        <f t="shared" si="305"/>
        <v>944</v>
      </c>
      <c r="R947" s="2">
        <f t="shared" si="301"/>
        <v>44834</v>
      </c>
      <c r="S947" s="9">
        <f t="shared" ca="1" si="306"/>
        <v>6.5574005461590396E-3</v>
      </c>
      <c r="T947" s="9">
        <f t="shared" ca="1" si="307"/>
        <v>-2.717933900722716E-2</v>
      </c>
      <c r="U947" s="9">
        <f t="shared" ca="1" si="308"/>
        <v>-3.643331670673156E-3</v>
      </c>
      <c r="AB947" s="33" t="e">
        <f t="shared" ca="1" si="314"/>
        <v>#N/A</v>
      </c>
      <c r="AC947" s="34" t="e">
        <f t="shared" ca="1" si="315"/>
        <v>#N/A</v>
      </c>
      <c r="AD947" s="34" t="e">
        <f t="shared" ca="1" si="316"/>
        <v>#N/A</v>
      </c>
      <c r="AE947" s="33" t="e">
        <f t="shared" ca="1" si="317"/>
        <v>#N/A</v>
      </c>
      <c r="AF947" s="34" t="e">
        <f t="shared" ca="1" si="309"/>
        <v>#N/A</v>
      </c>
      <c r="AG947" s="34" t="e">
        <f t="shared" ca="1" si="310"/>
        <v>#N/A</v>
      </c>
      <c r="AH947" s="34" t="e">
        <f t="shared" ca="1" si="311"/>
        <v>#N/A</v>
      </c>
      <c r="AI947" s="33" t="e">
        <f t="shared" ca="1" si="318"/>
        <v>#N/A</v>
      </c>
      <c r="AJ947" s="34" t="e">
        <f t="shared" ca="1" si="319"/>
        <v>#N/A</v>
      </c>
      <c r="AK947" s="34" t="e">
        <f t="shared" ca="1" si="312"/>
        <v>#N/A</v>
      </c>
      <c r="AL947" s="34" t="e">
        <f t="shared" ca="1" si="313"/>
        <v>#N/A</v>
      </c>
      <c r="AM947" s="33" t="e">
        <f t="shared" ca="1" si="320"/>
        <v>#N/A</v>
      </c>
      <c r="AN947" s="34" t="e">
        <f t="shared" ca="1" si="321"/>
        <v>#N/A</v>
      </c>
    </row>
    <row r="948" spans="1:40" x14ac:dyDescent="0.3">
      <c r="A948" s="2">
        <v>44837</v>
      </c>
      <c r="B948" s="9">
        <v>76.980002999999996</v>
      </c>
      <c r="C948" s="9">
        <v>86.860000999999997</v>
      </c>
      <c r="D948" s="9">
        <v>112.30999799999999</v>
      </c>
      <c r="E948" s="10"/>
      <c r="F948" s="13">
        <v>945</v>
      </c>
      <c r="G948" s="2">
        <v>44837</v>
      </c>
      <c r="H948" s="14">
        <f t="shared" si="302"/>
        <v>6.2549459942705336E-3</v>
      </c>
      <c r="I948" s="14">
        <f t="shared" si="303"/>
        <v>2.2470250827536797E-2</v>
      </c>
      <c r="J948" s="14">
        <f t="shared" si="304"/>
        <v>4.983692411976344E-2</v>
      </c>
      <c r="K948" s="22">
        <v>945</v>
      </c>
      <c r="L948" s="12"/>
      <c r="Q948" s="15">
        <f t="shared" si="305"/>
        <v>945</v>
      </c>
      <c r="R948" s="2">
        <f t="shared" si="301"/>
        <v>44837</v>
      </c>
      <c r="S948" s="9">
        <f t="shared" ca="1" si="306"/>
        <v>6.2549459942705336E-3</v>
      </c>
      <c r="T948" s="9">
        <f t="shared" ca="1" si="307"/>
        <v>2.2470250827536797E-2</v>
      </c>
      <c r="U948" s="9">
        <f t="shared" ca="1" si="308"/>
        <v>4.983692411976344E-2</v>
      </c>
      <c r="AB948" s="33" t="e">
        <f t="shared" ca="1" si="314"/>
        <v>#N/A</v>
      </c>
      <c r="AC948" s="34" t="e">
        <f t="shared" ca="1" si="315"/>
        <v>#N/A</v>
      </c>
      <c r="AD948" s="34" t="e">
        <f t="shared" ca="1" si="316"/>
        <v>#N/A</v>
      </c>
      <c r="AE948" s="33" t="e">
        <f t="shared" ca="1" si="317"/>
        <v>#N/A</v>
      </c>
      <c r="AF948" s="34" t="e">
        <f t="shared" ca="1" si="309"/>
        <v>#N/A</v>
      </c>
      <c r="AG948" s="34" t="e">
        <f t="shared" ca="1" si="310"/>
        <v>#N/A</v>
      </c>
      <c r="AH948" s="34" t="e">
        <f t="shared" ca="1" si="311"/>
        <v>#N/A</v>
      </c>
      <c r="AI948" s="33" t="e">
        <f t="shared" ca="1" si="318"/>
        <v>#N/A</v>
      </c>
      <c r="AJ948" s="34" t="e">
        <f t="shared" ca="1" si="319"/>
        <v>#N/A</v>
      </c>
      <c r="AK948" s="34" t="e">
        <f t="shared" ca="1" si="312"/>
        <v>#N/A</v>
      </c>
      <c r="AL948" s="34" t="e">
        <f t="shared" ca="1" si="313"/>
        <v>#N/A</v>
      </c>
      <c r="AM948" s="33" t="e">
        <f t="shared" ca="1" si="320"/>
        <v>#N/A</v>
      </c>
      <c r="AN948" s="34" t="e">
        <f t="shared" ca="1" si="321"/>
        <v>#N/A</v>
      </c>
    </row>
    <row r="949" spans="1:40" x14ac:dyDescent="0.3">
      <c r="A949" s="2">
        <v>44838</v>
      </c>
      <c r="B949" s="9">
        <v>80</v>
      </c>
      <c r="C949" s="9">
        <v>91.75</v>
      </c>
      <c r="D949" s="9">
        <v>117.58000199999999</v>
      </c>
      <c r="E949" s="10"/>
      <c r="F949" s="13">
        <v>946</v>
      </c>
      <c r="G949" s="2">
        <v>44838</v>
      </c>
      <c r="H949" s="14">
        <f t="shared" si="302"/>
        <v>3.8480947847120986E-2</v>
      </c>
      <c r="I949" s="14">
        <f t="shared" si="303"/>
        <v>5.4769848315224801E-2</v>
      </c>
      <c r="J949" s="14">
        <f t="shared" si="304"/>
        <v>4.5856082816712919E-2</v>
      </c>
      <c r="K949" s="22">
        <v>946</v>
      </c>
      <c r="L949" s="12"/>
      <c r="Q949" s="15">
        <f t="shared" si="305"/>
        <v>946</v>
      </c>
      <c r="R949" s="2">
        <f t="shared" si="301"/>
        <v>44838</v>
      </c>
      <c r="S949" s="9">
        <f t="shared" ca="1" si="306"/>
        <v>3.8480947847120986E-2</v>
      </c>
      <c r="T949" s="9">
        <f t="shared" ca="1" si="307"/>
        <v>5.4769848315224801E-2</v>
      </c>
      <c r="U949" s="9">
        <f t="shared" ca="1" si="308"/>
        <v>4.5856082816712919E-2</v>
      </c>
      <c r="AB949" s="33" t="e">
        <f t="shared" ca="1" si="314"/>
        <v>#N/A</v>
      </c>
      <c r="AC949" s="34" t="e">
        <f t="shared" ca="1" si="315"/>
        <v>#N/A</v>
      </c>
      <c r="AD949" s="34" t="e">
        <f t="shared" ca="1" si="316"/>
        <v>#N/A</v>
      </c>
      <c r="AE949" s="33" t="e">
        <f t="shared" ca="1" si="317"/>
        <v>#N/A</v>
      </c>
      <c r="AF949" s="34" t="e">
        <f t="shared" ca="1" si="309"/>
        <v>#N/A</v>
      </c>
      <c r="AG949" s="34" t="e">
        <f t="shared" ca="1" si="310"/>
        <v>#N/A</v>
      </c>
      <c r="AH949" s="34" t="e">
        <f t="shared" ca="1" si="311"/>
        <v>#N/A</v>
      </c>
      <c r="AI949" s="33" t="e">
        <f t="shared" ca="1" si="318"/>
        <v>#N/A</v>
      </c>
      <c r="AJ949" s="34" t="e">
        <f t="shared" ca="1" si="319"/>
        <v>#N/A</v>
      </c>
      <c r="AK949" s="34" t="e">
        <f t="shared" ca="1" si="312"/>
        <v>#N/A</v>
      </c>
      <c r="AL949" s="34" t="e">
        <f t="shared" ca="1" si="313"/>
        <v>#N/A</v>
      </c>
      <c r="AM949" s="33" t="e">
        <f t="shared" ca="1" si="320"/>
        <v>#N/A</v>
      </c>
      <c r="AN949" s="34" t="e">
        <f t="shared" ca="1" si="321"/>
        <v>#N/A</v>
      </c>
    </row>
    <row r="950" spans="1:40" x14ac:dyDescent="0.3">
      <c r="A950" s="2">
        <v>44839</v>
      </c>
      <c r="B950" s="9">
        <v>79.660004000000001</v>
      </c>
      <c r="C950" s="9">
        <v>94.019997000000004</v>
      </c>
      <c r="D950" s="9">
        <v>118.089996</v>
      </c>
      <c r="E950" s="10"/>
      <c r="F950" s="13">
        <v>947</v>
      </c>
      <c r="G950" s="2">
        <v>44839</v>
      </c>
      <c r="H950" s="14">
        <f t="shared" si="302"/>
        <v>-4.2590067069776727E-3</v>
      </c>
      <c r="I950" s="14">
        <f t="shared" si="303"/>
        <v>2.4440006753199579E-2</v>
      </c>
      <c r="J950" s="14">
        <f t="shared" si="304"/>
        <v>4.3280417569153138E-3</v>
      </c>
      <c r="K950" s="22">
        <v>947</v>
      </c>
      <c r="L950" s="12"/>
      <c r="Q950" s="15">
        <f t="shared" si="305"/>
        <v>947</v>
      </c>
      <c r="R950" s="2">
        <f t="shared" si="301"/>
        <v>44839</v>
      </c>
      <c r="S950" s="9">
        <f t="shared" ca="1" si="306"/>
        <v>-4.2590067069776727E-3</v>
      </c>
      <c r="T950" s="9">
        <f t="shared" ca="1" si="307"/>
        <v>2.4440006753199579E-2</v>
      </c>
      <c r="U950" s="9">
        <f t="shared" ca="1" si="308"/>
        <v>4.3280417569153138E-3</v>
      </c>
      <c r="AB950" s="33" t="e">
        <f t="shared" ca="1" si="314"/>
        <v>#N/A</v>
      </c>
      <c r="AC950" s="34" t="e">
        <f t="shared" ca="1" si="315"/>
        <v>#N/A</v>
      </c>
      <c r="AD950" s="34" t="e">
        <f t="shared" ca="1" si="316"/>
        <v>#N/A</v>
      </c>
      <c r="AE950" s="33" t="e">
        <f t="shared" ca="1" si="317"/>
        <v>#N/A</v>
      </c>
      <c r="AF950" s="34" t="e">
        <f t="shared" ca="1" si="309"/>
        <v>#N/A</v>
      </c>
      <c r="AG950" s="34" t="e">
        <f t="shared" ca="1" si="310"/>
        <v>#N/A</v>
      </c>
      <c r="AH950" s="34" t="e">
        <f t="shared" ca="1" si="311"/>
        <v>#N/A</v>
      </c>
      <c r="AI950" s="33" t="e">
        <f t="shared" ca="1" si="318"/>
        <v>#N/A</v>
      </c>
      <c r="AJ950" s="34" t="e">
        <f t="shared" ca="1" si="319"/>
        <v>#N/A</v>
      </c>
      <c r="AK950" s="34" t="e">
        <f t="shared" ca="1" si="312"/>
        <v>#N/A</v>
      </c>
      <c r="AL950" s="34" t="e">
        <f t="shared" ca="1" si="313"/>
        <v>#N/A</v>
      </c>
      <c r="AM950" s="33" t="e">
        <f t="shared" ca="1" si="320"/>
        <v>#N/A</v>
      </c>
      <c r="AN950" s="34" t="e">
        <f t="shared" ca="1" si="321"/>
        <v>#N/A</v>
      </c>
    </row>
    <row r="951" spans="1:40" x14ac:dyDescent="0.3">
      <c r="A951" s="2">
        <v>44840</v>
      </c>
      <c r="B951" s="9">
        <v>79.580001999999993</v>
      </c>
      <c r="C951" s="9">
        <v>93.529999000000004</v>
      </c>
      <c r="D951" s="9">
        <v>119.220001</v>
      </c>
      <c r="E951" s="10"/>
      <c r="F951" s="13">
        <v>948</v>
      </c>
      <c r="G951" s="2">
        <v>44840</v>
      </c>
      <c r="H951" s="14">
        <f t="shared" si="302"/>
        <v>-1.0047978361790682E-3</v>
      </c>
      <c r="I951" s="14">
        <f t="shared" si="303"/>
        <v>-5.2252639331764423E-3</v>
      </c>
      <c r="J951" s="14">
        <f t="shared" si="304"/>
        <v>9.5235224389152006E-3</v>
      </c>
      <c r="K951" s="22">
        <v>948</v>
      </c>
      <c r="L951" s="12"/>
      <c r="Q951" s="15">
        <f t="shared" si="305"/>
        <v>948</v>
      </c>
      <c r="R951" s="2">
        <f t="shared" si="301"/>
        <v>44840</v>
      </c>
      <c r="S951" s="9">
        <f t="shared" ca="1" si="306"/>
        <v>-1.0047978361790682E-3</v>
      </c>
      <c r="T951" s="9">
        <f t="shared" ca="1" si="307"/>
        <v>-5.2252639331764423E-3</v>
      </c>
      <c r="U951" s="9">
        <f t="shared" ca="1" si="308"/>
        <v>9.5235224389152006E-3</v>
      </c>
      <c r="AB951" s="33" t="e">
        <f t="shared" ca="1" si="314"/>
        <v>#N/A</v>
      </c>
      <c r="AC951" s="34" t="e">
        <f t="shared" ca="1" si="315"/>
        <v>#N/A</v>
      </c>
      <c r="AD951" s="34" t="e">
        <f t="shared" ca="1" si="316"/>
        <v>#N/A</v>
      </c>
      <c r="AE951" s="33" t="e">
        <f t="shared" ca="1" si="317"/>
        <v>#N/A</v>
      </c>
      <c r="AF951" s="34" t="e">
        <f t="shared" ca="1" si="309"/>
        <v>#N/A</v>
      </c>
      <c r="AG951" s="34" t="e">
        <f t="shared" ca="1" si="310"/>
        <v>#N/A</v>
      </c>
      <c r="AH951" s="34" t="e">
        <f t="shared" ca="1" si="311"/>
        <v>#N/A</v>
      </c>
      <c r="AI951" s="33" t="e">
        <f t="shared" ca="1" si="318"/>
        <v>#N/A</v>
      </c>
      <c r="AJ951" s="34" t="e">
        <f t="shared" ca="1" si="319"/>
        <v>#N/A</v>
      </c>
      <c r="AK951" s="34" t="e">
        <f t="shared" ca="1" si="312"/>
        <v>#N/A</v>
      </c>
      <c r="AL951" s="34" t="e">
        <f t="shared" ca="1" si="313"/>
        <v>#N/A</v>
      </c>
      <c r="AM951" s="33" t="e">
        <f t="shared" ca="1" si="320"/>
        <v>#N/A</v>
      </c>
      <c r="AN951" s="34" t="e">
        <f t="shared" ca="1" si="321"/>
        <v>#N/A</v>
      </c>
    </row>
    <row r="952" spans="1:40" x14ac:dyDescent="0.3">
      <c r="A952" s="2">
        <v>44841</v>
      </c>
      <c r="B952" s="9">
        <v>77.5</v>
      </c>
      <c r="C952" s="9">
        <v>90.760002</v>
      </c>
      <c r="D952" s="9">
        <v>113.779999</v>
      </c>
      <c r="E952" s="10"/>
      <c r="F952" s="13">
        <v>949</v>
      </c>
      <c r="G952" s="2">
        <v>44841</v>
      </c>
      <c r="H952" s="14">
        <f t="shared" si="302"/>
        <v>-2.6484893771423591E-2</v>
      </c>
      <c r="I952" s="14">
        <f t="shared" si="303"/>
        <v>-3.0063547806922983E-2</v>
      </c>
      <c r="J952" s="14">
        <f t="shared" si="304"/>
        <v>-4.6703783646024274E-2</v>
      </c>
      <c r="K952" s="22">
        <v>949</v>
      </c>
      <c r="L952" s="12"/>
      <c r="Q952" s="15">
        <f t="shared" si="305"/>
        <v>949</v>
      </c>
      <c r="R952" s="2">
        <f t="shared" si="301"/>
        <v>44841</v>
      </c>
      <c r="S952" s="9">
        <f t="shared" ca="1" si="306"/>
        <v>-2.6484893771423591E-2</v>
      </c>
      <c r="T952" s="9">
        <f t="shared" ca="1" si="307"/>
        <v>-3.0063547806922983E-2</v>
      </c>
      <c r="U952" s="9">
        <f t="shared" ca="1" si="308"/>
        <v>-4.6703783646024274E-2</v>
      </c>
      <c r="AB952" s="33" t="e">
        <f t="shared" ca="1" si="314"/>
        <v>#N/A</v>
      </c>
      <c r="AC952" s="34" t="e">
        <f t="shared" ca="1" si="315"/>
        <v>#N/A</v>
      </c>
      <c r="AD952" s="34" t="e">
        <f t="shared" ca="1" si="316"/>
        <v>#N/A</v>
      </c>
      <c r="AE952" s="33" t="e">
        <f t="shared" ca="1" si="317"/>
        <v>#N/A</v>
      </c>
      <c r="AF952" s="34" t="e">
        <f t="shared" ca="1" si="309"/>
        <v>#N/A</v>
      </c>
      <c r="AG952" s="34" t="e">
        <f t="shared" ca="1" si="310"/>
        <v>#N/A</v>
      </c>
      <c r="AH952" s="34" t="e">
        <f t="shared" ca="1" si="311"/>
        <v>#N/A</v>
      </c>
      <c r="AI952" s="33" t="e">
        <f t="shared" ca="1" si="318"/>
        <v>#N/A</v>
      </c>
      <c r="AJ952" s="34" t="e">
        <f t="shared" ca="1" si="319"/>
        <v>#N/A</v>
      </c>
      <c r="AK952" s="34" t="e">
        <f t="shared" ca="1" si="312"/>
        <v>#N/A</v>
      </c>
      <c r="AL952" s="34" t="e">
        <f t="shared" ca="1" si="313"/>
        <v>#N/A</v>
      </c>
      <c r="AM952" s="33" t="e">
        <f t="shared" ca="1" si="320"/>
        <v>#N/A</v>
      </c>
      <c r="AN952" s="34" t="e">
        <f t="shared" ca="1" si="321"/>
        <v>#N/A</v>
      </c>
    </row>
    <row r="953" spans="1:40" x14ac:dyDescent="0.3">
      <c r="A953" s="2">
        <v>44844</v>
      </c>
      <c r="B953" s="9">
        <v>78.459998999999996</v>
      </c>
      <c r="C953" s="9">
        <v>88.639999000000003</v>
      </c>
      <c r="D953" s="9">
        <v>110.860001</v>
      </c>
      <c r="E953" s="10"/>
      <c r="F953" s="13">
        <v>950</v>
      </c>
      <c r="G953" s="2">
        <v>44844</v>
      </c>
      <c r="H953" s="14">
        <f t="shared" si="302"/>
        <v>1.2310991676757076E-2</v>
      </c>
      <c r="I953" s="14">
        <f t="shared" si="303"/>
        <v>-2.3635470230394796E-2</v>
      </c>
      <c r="J953" s="14">
        <f t="shared" si="304"/>
        <v>-2.5998597521565844E-2</v>
      </c>
      <c r="K953" s="22">
        <v>950</v>
      </c>
      <c r="L953" s="12"/>
      <c r="Q953" s="15">
        <f t="shared" si="305"/>
        <v>950</v>
      </c>
      <c r="R953" s="2">
        <f t="shared" si="301"/>
        <v>44844</v>
      </c>
      <c r="S953" s="9">
        <f t="shared" ca="1" si="306"/>
        <v>1.2310991676757076E-2</v>
      </c>
      <c r="T953" s="9">
        <f t="shared" ca="1" si="307"/>
        <v>-2.3635470230394796E-2</v>
      </c>
      <c r="U953" s="9">
        <f t="shared" ca="1" si="308"/>
        <v>-2.5998597521565844E-2</v>
      </c>
      <c r="AB953" s="33" t="e">
        <f t="shared" ca="1" si="314"/>
        <v>#N/A</v>
      </c>
      <c r="AC953" s="34" t="e">
        <f t="shared" ca="1" si="315"/>
        <v>#N/A</v>
      </c>
      <c r="AD953" s="34" t="e">
        <f t="shared" ca="1" si="316"/>
        <v>#N/A</v>
      </c>
      <c r="AE953" s="33" t="e">
        <f t="shared" ca="1" si="317"/>
        <v>#N/A</v>
      </c>
      <c r="AF953" s="34" t="e">
        <f t="shared" ca="1" si="309"/>
        <v>#N/A</v>
      </c>
      <c r="AG953" s="34" t="e">
        <f t="shared" ca="1" si="310"/>
        <v>#N/A</v>
      </c>
      <c r="AH953" s="34" t="e">
        <f t="shared" ca="1" si="311"/>
        <v>#N/A</v>
      </c>
      <c r="AI953" s="33" t="e">
        <f t="shared" ca="1" si="318"/>
        <v>#N/A</v>
      </c>
      <c r="AJ953" s="34" t="e">
        <f t="shared" ca="1" si="319"/>
        <v>#N/A</v>
      </c>
      <c r="AK953" s="34" t="e">
        <f t="shared" ca="1" si="312"/>
        <v>#N/A</v>
      </c>
      <c r="AL953" s="34" t="e">
        <f t="shared" ca="1" si="313"/>
        <v>#N/A</v>
      </c>
      <c r="AM953" s="33" t="e">
        <f t="shared" ca="1" si="320"/>
        <v>#N/A</v>
      </c>
      <c r="AN953" s="34" t="e">
        <f t="shared" ca="1" si="321"/>
        <v>#N/A</v>
      </c>
    </row>
    <row r="954" spans="1:40" x14ac:dyDescent="0.3">
      <c r="A954" s="2">
        <v>44845</v>
      </c>
      <c r="B954" s="9">
        <v>79.489998</v>
      </c>
      <c r="C954" s="9">
        <v>90.559997999999993</v>
      </c>
      <c r="D954" s="9">
        <v>109.69000200000001</v>
      </c>
      <c r="E954" s="10"/>
      <c r="F954" s="13">
        <v>951</v>
      </c>
      <c r="G954" s="2">
        <v>44845</v>
      </c>
      <c r="H954" s="14">
        <f t="shared" si="302"/>
        <v>1.3042274388565004E-2</v>
      </c>
      <c r="I954" s="14">
        <f t="shared" si="303"/>
        <v>2.1429380652681615E-2</v>
      </c>
      <c r="J954" s="14">
        <f t="shared" si="304"/>
        <v>-1.0609929355599297E-2</v>
      </c>
      <c r="K954" s="22">
        <v>951</v>
      </c>
      <c r="L954" s="12"/>
      <c r="Q954" s="15">
        <f t="shared" si="305"/>
        <v>951</v>
      </c>
      <c r="R954" s="2">
        <f t="shared" si="301"/>
        <v>44845</v>
      </c>
      <c r="S954" s="9">
        <f t="shared" ca="1" si="306"/>
        <v>1.3042274388565004E-2</v>
      </c>
      <c r="T954" s="9">
        <f t="shared" ca="1" si="307"/>
        <v>2.1429380652681615E-2</v>
      </c>
      <c r="U954" s="9">
        <f t="shared" ca="1" si="308"/>
        <v>-1.0609929355599297E-2</v>
      </c>
      <c r="AB954" s="33" t="e">
        <f t="shared" ca="1" si="314"/>
        <v>#N/A</v>
      </c>
      <c r="AC954" s="34" t="e">
        <f t="shared" ca="1" si="315"/>
        <v>#N/A</v>
      </c>
      <c r="AD954" s="34" t="e">
        <f t="shared" ca="1" si="316"/>
        <v>#N/A</v>
      </c>
      <c r="AE954" s="33" t="e">
        <f t="shared" ca="1" si="317"/>
        <v>#N/A</v>
      </c>
      <c r="AF954" s="34" t="e">
        <f t="shared" ca="1" si="309"/>
        <v>#N/A</v>
      </c>
      <c r="AG954" s="34" t="e">
        <f t="shared" ca="1" si="310"/>
        <v>#N/A</v>
      </c>
      <c r="AH954" s="34" t="e">
        <f t="shared" ca="1" si="311"/>
        <v>#N/A</v>
      </c>
      <c r="AI954" s="33" t="e">
        <f t="shared" ca="1" si="318"/>
        <v>#N/A</v>
      </c>
      <c r="AJ954" s="34" t="e">
        <f t="shared" ca="1" si="319"/>
        <v>#N/A</v>
      </c>
      <c r="AK954" s="34" t="e">
        <f t="shared" ca="1" si="312"/>
        <v>#N/A</v>
      </c>
      <c r="AL954" s="34" t="e">
        <f t="shared" ca="1" si="313"/>
        <v>#N/A</v>
      </c>
      <c r="AM954" s="33" t="e">
        <f t="shared" ca="1" si="320"/>
        <v>#N/A</v>
      </c>
      <c r="AN954" s="34" t="e">
        <f t="shared" ca="1" si="321"/>
        <v>#N/A</v>
      </c>
    </row>
    <row r="955" spans="1:40" x14ac:dyDescent="0.3">
      <c r="A955" s="2">
        <v>44846</v>
      </c>
      <c r="B955" s="9">
        <v>80.300003000000004</v>
      </c>
      <c r="C955" s="9">
        <v>92.519997000000004</v>
      </c>
      <c r="D955" s="9">
        <v>115.199997</v>
      </c>
      <c r="E955" s="10"/>
      <c r="F955" s="13">
        <v>952</v>
      </c>
      <c r="G955" s="2">
        <v>44846</v>
      </c>
      <c r="H955" s="14">
        <f t="shared" si="302"/>
        <v>1.0138455887992217E-2</v>
      </c>
      <c r="I955" s="14">
        <f t="shared" si="303"/>
        <v>2.1412212567749476E-2</v>
      </c>
      <c r="J955" s="14">
        <f t="shared" si="304"/>
        <v>4.9011498563678431E-2</v>
      </c>
      <c r="K955" s="22">
        <v>952</v>
      </c>
      <c r="L955" s="12"/>
      <c r="Q955" s="15">
        <f t="shared" si="305"/>
        <v>952</v>
      </c>
      <c r="R955" s="2">
        <f t="shared" si="301"/>
        <v>44846</v>
      </c>
      <c r="S955" s="9">
        <f t="shared" ca="1" si="306"/>
        <v>1.0138455887992217E-2</v>
      </c>
      <c r="T955" s="9">
        <f t="shared" ca="1" si="307"/>
        <v>2.1412212567749476E-2</v>
      </c>
      <c r="U955" s="9">
        <f t="shared" ca="1" si="308"/>
        <v>4.9011498563678431E-2</v>
      </c>
      <c r="AB955" s="33" t="e">
        <f t="shared" ca="1" si="314"/>
        <v>#N/A</v>
      </c>
      <c r="AC955" s="34" t="e">
        <f t="shared" ca="1" si="315"/>
        <v>#N/A</v>
      </c>
      <c r="AD955" s="34" t="e">
        <f t="shared" ca="1" si="316"/>
        <v>#N/A</v>
      </c>
      <c r="AE955" s="33" t="e">
        <f t="shared" ca="1" si="317"/>
        <v>#N/A</v>
      </c>
      <c r="AF955" s="34" t="e">
        <f t="shared" ca="1" si="309"/>
        <v>#N/A</v>
      </c>
      <c r="AG955" s="34" t="e">
        <f t="shared" ca="1" si="310"/>
        <v>#N/A</v>
      </c>
      <c r="AH955" s="34" t="e">
        <f t="shared" ca="1" si="311"/>
        <v>#N/A</v>
      </c>
      <c r="AI955" s="33" t="e">
        <f t="shared" ca="1" si="318"/>
        <v>#N/A</v>
      </c>
      <c r="AJ955" s="34" t="e">
        <f t="shared" ca="1" si="319"/>
        <v>#N/A</v>
      </c>
      <c r="AK955" s="34" t="e">
        <f t="shared" ca="1" si="312"/>
        <v>#N/A</v>
      </c>
      <c r="AL955" s="34" t="e">
        <f t="shared" ca="1" si="313"/>
        <v>#N/A</v>
      </c>
      <c r="AM955" s="33" t="e">
        <f t="shared" ca="1" si="320"/>
        <v>#N/A</v>
      </c>
      <c r="AN955" s="34" t="e">
        <f t="shared" ca="1" si="321"/>
        <v>#N/A</v>
      </c>
    </row>
    <row r="956" spans="1:40" x14ac:dyDescent="0.3">
      <c r="A956" s="2">
        <v>44847</v>
      </c>
      <c r="B956" s="9">
        <v>82.07</v>
      </c>
      <c r="C956" s="9">
        <v>94.120002999999997</v>
      </c>
      <c r="D956" s="9">
        <v>120.860001</v>
      </c>
      <c r="E956" s="10"/>
      <c r="F956" s="13">
        <v>953</v>
      </c>
      <c r="G956" s="2">
        <v>44847</v>
      </c>
      <c r="H956" s="14">
        <f t="shared" si="302"/>
        <v>2.1802883329004531E-2</v>
      </c>
      <c r="I956" s="14">
        <f t="shared" si="303"/>
        <v>1.7145790795547979E-2</v>
      </c>
      <c r="J956" s="14">
        <f t="shared" si="304"/>
        <v>4.7963136987324732E-2</v>
      </c>
      <c r="K956" s="22">
        <v>953</v>
      </c>
      <c r="L956" s="12"/>
      <c r="Q956" s="15">
        <f t="shared" si="305"/>
        <v>953</v>
      </c>
      <c r="R956" s="2">
        <f t="shared" si="301"/>
        <v>44847</v>
      </c>
      <c r="S956" s="9">
        <f t="shared" ca="1" si="306"/>
        <v>2.1802883329004531E-2</v>
      </c>
      <c r="T956" s="9">
        <f t="shared" ca="1" si="307"/>
        <v>1.7145790795547979E-2</v>
      </c>
      <c r="U956" s="9">
        <f t="shared" ca="1" si="308"/>
        <v>4.7963136987324732E-2</v>
      </c>
      <c r="AB956" s="33" t="e">
        <f t="shared" ca="1" si="314"/>
        <v>#N/A</v>
      </c>
      <c r="AC956" s="34" t="e">
        <f t="shared" ca="1" si="315"/>
        <v>#N/A</v>
      </c>
      <c r="AD956" s="34" t="e">
        <f t="shared" ca="1" si="316"/>
        <v>#N/A</v>
      </c>
      <c r="AE956" s="33" t="e">
        <f t="shared" ca="1" si="317"/>
        <v>#N/A</v>
      </c>
      <c r="AF956" s="34" t="e">
        <f t="shared" ca="1" si="309"/>
        <v>#N/A</v>
      </c>
      <c r="AG956" s="34" t="e">
        <f t="shared" ca="1" si="310"/>
        <v>#N/A</v>
      </c>
      <c r="AH956" s="34" t="e">
        <f t="shared" ca="1" si="311"/>
        <v>#N/A</v>
      </c>
      <c r="AI956" s="33" t="e">
        <f t="shared" ca="1" si="318"/>
        <v>#N/A</v>
      </c>
      <c r="AJ956" s="34" t="e">
        <f t="shared" ca="1" si="319"/>
        <v>#N/A</v>
      </c>
      <c r="AK956" s="34" t="e">
        <f t="shared" ca="1" si="312"/>
        <v>#N/A</v>
      </c>
      <c r="AL956" s="34" t="e">
        <f t="shared" ca="1" si="313"/>
        <v>#N/A</v>
      </c>
      <c r="AM956" s="33" t="e">
        <f t="shared" ca="1" si="320"/>
        <v>#N/A</v>
      </c>
      <c r="AN956" s="34" t="e">
        <f t="shared" ca="1" si="321"/>
        <v>#N/A</v>
      </c>
    </row>
    <row r="957" spans="1:40" x14ac:dyDescent="0.3">
      <c r="A957" s="2">
        <v>44848</v>
      </c>
      <c r="B957" s="9">
        <v>81</v>
      </c>
      <c r="C957" s="9">
        <v>92.540001000000004</v>
      </c>
      <c r="D957" s="9">
        <v>114.120003</v>
      </c>
      <c r="E957" s="10"/>
      <c r="F957" s="13">
        <v>954</v>
      </c>
      <c r="G957" s="2">
        <v>44848</v>
      </c>
      <c r="H957" s="14">
        <f t="shared" si="302"/>
        <v>-1.3123386969181399E-2</v>
      </c>
      <c r="I957" s="14">
        <f t="shared" si="303"/>
        <v>-1.6929601448372911E-2</v>
      </c>
      <c r="J957" s="14">
        <f t="shared" si="304"/>
        <v>-5.7382306574031809E-2</v>
      </c>
      <c r="K957" s="22">
        <v>954</v>
      </c>
      <c r="L957" s="12"/>
      <c r="Q957" s="15">
        <f t="shared" si="305"/>
        <v>954</v>
      </c>
      <c r="R957" s="2">
        <f t="shared" si="301"/>
        <v>44848</v>
      </c>
      <c r="S957" s="9">
        <f t="shared" ca="1" si="306"/>
        <v>-1.3123386969181399E-2</v>
      </c>
      <c r="T957" s="9">
        <f t="shared" ca="1" si="307"/>
        <v>-1.6929601448372911E-2</v>
      </c>
      <c r="U957" s="9">
        <f t="shared" ca="1" si="308"/>
        <v>-5.7382306574031809E-2</v>
      </c>
      <c r="AB957" s="33" t="e">
        <f t="shared" ca="1" si="314"/>
        <v>#N/A</v>
      </c>
      <c r="AC957" s="34" t="e">
        <f t="shared" ca="1" si="315"/>
        <v>#N/A</v>
      </c>
      <c r="AD957" s="34" t="e">
        <f t="shared" ca="1" si="316"/>
        <v>#N/A</v>
      </c>
      <c r="AE957" s="33" t="e">
        <f t="shared" ca="1" si="317"/>
        <v>#N/A</v>
      </c>
      <c r="AF957" s="34" t="e">
        <f t="shared" ca="1" si="309"/>
        <v>#N/A</v>
      </c>
      <c r="AG957" s="34" t="e">
        <f t="shared" ca="1" si="310"/>
        <v>#N/A</v>
      </c>
      <c r="AH957" s="34" t="e">
        <f t="shared" ca="1" si="311"/>
        <v>#N/A</v>
      </c>
      <c r="AI957" s="33" t="e">
        <f t="shared" ca="1" si="318"/>
        <v>#N/A</v>
      </c>
      <c r="AJ957" s="34" t="e">
        <f t="shared" ca="1" si="319"/>
        <v>#N/A</v>
      </c>
      <c r="AK957" s="34" t="e">
        <f t="shared" ca="1" si="312"/>
        <v>#N/A</v>
      </c>
      <c r="AL957" s="34" t="e">
        <f t="shared" ca="1" si="313"/>
        <v>#N/A</v>
      </c>
      <c r="AM957" s="33" t="e">
        <f t="shared" ca="1" si="320"/>
        <v>#N/A</v>
      </c>
      <c r="AN957" s="34" t="e">
        <f t="shared" ca="1" si="321"/>
        <v>#N/A</v>
      </c>
    </row>
    <row r="958" spans="1:40" x14ac:dyDescent="0.3">
      <c r="A958" s="2">
        <v>44851</v>
      </c>
      <c r="B958" s="9">
        <v>82</v>
      </c>
      <c r="C958" s="9">
        <v>94.940002000000007</v>
      </c>
      <c r="D958" s="9">
        <v>115.5</v>
      </c>
      <c r="E958" s="10"/>
      <c r="F958" s="13">
        <v>955</v>
      </c>
      <c r="G958" s="2">
        <v>44851</v>
      </c>
      <c r="H958" s="14">
        <f t="shared" si="302"/>
        <v>1.2270092591814401E-2</v>
      </c>
      <c r="I958" s="14">
        <f t="shared" si="303"/>
        <v>2.5604139904116842E-2</v>
      </c>
      <c r="J958" s="14">
        <f t="shared" si="304"/>
        <v>1.2019977328431564E-2</v>
      </c>
      <c r="K958" s="22">
        <v>955</v>
      </c>
      <c r="L958" s="12"/>
      <c r="Q958" s="15">
        <f t="shared" si="305"/>
        <v>955</v>
      </c>
      <c r="R958" s="2">
        <f t="shared" si="301"/>
        <v>44851</v>
      </c>
      <c r="S958" s="9">
        <f t="shared" ca="1" si="306"/>
        <v>1.2270092591814401E-2</v>
      </c>
      <c r="T958" s="9">
        <f t="shared" ca="1" si="307"/>
        <v>2.5604139904116842E-2</v>
      </c>
      <c r="U958" s="9">
        <f t="shared" ca="1" si="308"/>
        <v>1.2019977328431564E-2</v>
      </c>
      <c r="AB958" s="33" t="e">
        <f t="shared" ca="1" si="314"/>
        <v>#N/A</v>
      </c>
      <c r="AC958" s="34" t="e">
        <f t="shared" ca="1" si="315"/>
        <v>#N/A</v>
      </c>
      <c r="AD958" s="34" t="e">
        <f t="shared" ca="1" si="316"/>
        <v>#N/A</v>
      </c>
      <c r="AE958" s="33" t="e">
        <f t="shared" ca="1" si="317"/>
        <v>#N/A</v>
      </c>
      <c r="AF958" s="34" t="e">
        <f t="shared" ca="1" si="309"/>
        <v>#N/A</v>
      </c>
      <c r="AG958" s="34" t="e">
        <f t="shared" ca="1" si="310"/>
        <v>#N/A</v>
      </c>
      <c r="AH958" s="34" t="e">
        <f t="shared" ca="1" si="311"/>
        <v>#N/A</v>
      </c>
      <c r="AI958" s="33" t="e">
        <f t="shared" ca="1" si="318"/>
        <v>#N/A</v>
      </c>
      <c r="AJ958" s="34" t="e">
        <f t="shared" ca="1" si="319"/>
        <v>#N/A</v>
      </c>
      <c r="AK958" s="34" t="e">
        <f t="shared" ca="1" si="312"/>
        <v>#N/A</v>
      </c>
      <c r="AL958" s="34" t="e">
        <f t="shared" ca="1" si="313"/>
        <v>#N/A</v>
      </c>
      <c r="AM958" s="33" t="e">
        <f t="shared" ca="1" si="320"/>
        <v>#N/A</v>
      </c>
      <c r="AN958" s="34" t="e">
        <f t="shared" ca="1" si="321"/>
        <v>#N/A</v>
      </c>
    </row>
    <row r="959" spans="1:40" x14ac:dyDescent="0.3">
      <c r="A959" s="2">
        <v>44852</v>
      </c>
      <c r="B959" s="9">
        <v>82.629997000000003</v>
      </c>
      <c r="C959" s="9">
        <v>94.440002000000007</v>
      </c>
      <c r="D959" s="9">
        <v>117.699997</v>
      </c>
      <c r="E959" s="10"/>
      <c r="F959" s="13">
        <v>956</v>
      </c>
      <c r="G959" s="2">
        <v>44852</v>
      </c>
      <c r="H959" s="14">
        <f t="shared" si="302"/>
        <v>7.6535271424131041E-3</v>
      </c>
      <c r="I959" s="14">
        <f t="shared" si="303"/>
        <v>-5.2804007943290524E-3</v>
      </c>
      <c r="J959" s="14">
        <f t="shared" si="304"/>
        <v>1.8868458815852182E-2</v>
      </c>
      <c r="K959" s="22">
        <v>956</v>
      </c>
      <c r="L959" s="12"/>
      <c r="Q959" s="15">
        <f t="shared" si="305"/>
        <v>956</v>
      </c>
      <c r="R959" s="2">
        <f t="shared" si="301"/>
        <v>44852</v>
      </c>
      <c r="S959" s="9">
        <f t="shared" ca="1" si="306"/>
        <v>7.6535271424131041E-3</v>
      </c>
      <c r="T959" s="9">
        <f t="shared" ca="1" si="307"/>
        <v>-5.2804007943290524E-3</v>
      </c>
      <c r="U959" s="9">
        <f t="shared" ca="1" si="308"/>
        <v>1.8868458815852182E-2</v>
      </c>
      <c r="AB959" s="33" t="e">
        <f t="shared" ca="1" si="314"/>
        <v>#N/A</v>
      </c>
      <c r="AC959" s="34" t="e">
        <f t="shared" ca="1" si="315"/>
        <v>#N/A</v>
      </c>
      <c r="AD959" s="34" t="e">
        <f t="shared" ca="1" si="316"/>
        <v>#N/A</v>
      </c>
      <c r="AE959" s="33" t="e">
        <f t="shared" ca="1" si="317"/>
        <v>#N/A</v>
      </c>
      <c r="AF959" s="34" t="e">
        <f t="shared" ca="1" si="309"/>
        <v>#N/A</v>
      </c>
      <c r="AG959" s="34" t="e">
        <f t="shared" ca="1" si="310"/>
        <v>#N/A</v>
      </c>
      <c r="AH959" s="34" t="e">
        <f t="shared" ca="1" si="311"/>
        <v>#N/A</v>
      </c>
      <c r="AI959" s="33" t="e">
        <f t="shared" ca="1" si="318"/>
        <v>#N/A</v>
      </c>
      <c r="AJ959" s="34" t="e">
        <f t="shared" ca="1" si="319"/>
        <v>#N/A</v>
      </c>
      <c r="AK959" s="34" t="e">
        <f t="shared" ca="1" si="312"/>
        <v>#N/A</v>
      </c>
      <c r="AL959" s="34" t="e">
        <f t="shared" ca="1" si="313"/>
        <v>#N/A</v>
      </c>
      <c r="AM959" s="33" t="e">
        <f t="shared" ca="1" si="320"/>
        <v>#N/A</v>
      </c>
      <c r="AN959" s="34" t="e">
        <f t="shared" ca="1" si="321"/>
        <v>#N/A</v>
      </c>
    </row>
    <row r="960" spans="1:40" x14ac:dyDescent="0.3">
      <c r="A960" s="2">
        <v>44853</v>
      </c>
      <c r="B960" s="9">
        <v>80.830001999999993</v>
      </c>
      <c r="C960" s="9">
        <v>91.779999000000004</v>
      </c>
      <c r="D960" s="9">
        <v>123.959999</v>
      </c>
      <c r="E960" s="10"/>
      <c r="F960" s="13">
        <v>957</v>
      </c>
      <c r="G960" s="2">
        <v>44853</v>
      </c>
      <c r="H960" s="14">
        <f t="shared" si="302"/>
        <v>-2.2024565917625125E-2</v>
      </c>
      <c r="I960" s="14">
        <f t="shared" si="303"/>
        <v>-2.8570335323711685E-2</v>
      </c>
      <c r="J960" s="14">
        <f t="shared" si="304"/>
        <v>5.1819936074728588E-2</v>
      </c>
      <c r="K960" s="22">
        <v>957</v>
      </c>
      <c r="L960" s="12"/>
      <c r="Q960" s="15">
        <f t="shared" si="305"/>
        <v>957</v>
      </c>
      <c r="R960" s="2">
        <f t="shared" si="301"/>
        <v>44853</v>
      </c>
      <c r="S960" s="9">
        <f t="shared" ca="1" si="306"/>
        <v>-2.2024565917625125E-2</v>
      </c>
      <c r="T960" s="9">
        <f t="shared" ca="1" si="307"/>
        <v>-2.8570335323711685E-2</v>
      </c>
      <c r="U960" s="9">
        <f t="shared" ca="1" si="308"/>
        <v>5.1819936074728588E-2</v>
      </c>
      <c r="AB960" s="33" t="e">
        <f t="shared" ca="1" si="314"/>
        <v>#N/A</v>
      </c>
      <c r="AC960" s="34" t="e">
        <f t="shared" ca="1" si="315"/>
        <v>#N/A</v>
      </c>
      <c r="AD960" s="34" t="e">
        <f t="shared" ca="1" si="316"/>
        <v>#N/A</v>
      </c>
      <c r="AE960" s="33" t="e">
        <f t="shared" ca="1" si="317"/>
        <v>#N/A</v>
      </c>
      <c r="AF960" s="34" t="e">
        <f t="shared" ca="1" si="309"/>
        <v>#N/A</v>
      </c>
      <c r="AG960" s="34" t="e">
        <f t="shared" ca="1" si="310"/>
        <v>#N/A</v>
      </c>
      <c r="AH960" s="34" t="e">
        <f t="shared" ca="1" si="311"/>
        <v>#N/A</v>
      </c>
      <c r="AI960" s="33" t="e">
        <f t="shared" ca="1" si="318"/>
        <v>#N/A</v>
      </c>
      <c r="AJ960" s="34" t="e">
        <f t="shared" ca="1" si="319"/>
        <v>#N/A</v>
      </c>
      <c r="AK960" s="34" t="e">
        <f t="shared" ca="1" si="312"/>
        <v>#N/A</v>
      </c>
      <c r="AL960" s="34" t="e">
        <f t="shared" ca="1" si="313"/>
        <v>#N/A</v>
      </c>
      <c r="AM960" s="33" t="e">
        <f t="shared" ca="1" si="320"/>
        <v>#N/A</v>
      </c>
      <c r="AN960" s="34" t="e">
        <f t="shared" ca="1" si="321"/>
        <v>#N/A</v>
      </c>
    </row>
    <row r="961" spans="1:40" x14ac:dyDescent="0.3">
      <c r="A961" s="2">
        <v>44854</v>
      </c>
      <c r="B961" s="9">
        <v>79.839995999999999</v>
      </c>
      <c r="C961" s="9">
        <v>89.699996999999996</v>
      </c>
      <c r="D961" s="9">
        <v>124.44000200000001</v>
      </c>
      <c r="E961" s="10"/>
      <c r="F961" s="13">
        <v>958</v>
      </c>
      <c r="G961" s="2">
        <v>44854</v>
      </c>
      <c r="H961" s="14">
        <f t="shared" si="302"/>
        <v>-1.2323626586034123E-2</v>
      </c>
      <c r="I961" s="14">
        <f t="shared" si="303"/>
        <v>-2.2923662451133683E-2</v>
      </c>
      <c r="J961" s="14">
        <f t="shared" si="304"/>
        <v>3.8647632490097562E-3</v>
      </c>
      <c r="K961" s="22">
        <v>958</v>
      </c>
      <c r="L961" s="12"/>
      <c r="Q961" s="15">
        <f t="shared" si="305"/>
        <v>958</v>
      </c>
      <c r="R961" s="2">
        <f t="shared" si="301"/>
        <v>44854</v>
      </c>
      <c r="S961" s="9">
        <f t="shared" ca="1" si="306"/>
        <v>-1.2323626586034123E-2</v>
      </c>
      <c r="T961" s="9">
        <f t="shared" ca="1" si="307"/>
        <v>-2.2923662451133683E-2</v>
      </c>
      <c r="U961" s="9">
        <f t="shared" ca="1" si="308"/>
        <v>3.8647632490097562E-3</v>
      </c>
      <c r="AB961" s="33" t="e">
        <f t="shared" ca="1" si="314"/>
        <v>#N/A</v>
      </c>
      <c r="AC961" s="34" t="e">
        <f t="shared" ca="1" si="315"/>
        <v>#N/A</v>
      </c>
      <c r="AD961" s="34" t="e">
        <f t="shared" ca="1" si="316"/>
        <v>#N/A</v>
      </c>
      <c r="AE961" s="33" t="e">
        <f t="shared" ca="1" si="317"/>
        <v>#N/A</v>
      </c>
      <c r="AF961" s="34" t="e">
        <f t="shared" ca="1" si="309"/>
        <v>#N/A</v>
      </c>
      <c r="AG961" s="34" t="e">
        <f t="shared" ca="1" si="310"/>
        <v>#N/A</v>
      </c>
      <c r="AH961" s="34" t="e">
        <f t="shared" ca="1" si="311"/>
        <v>#N/A</v>
      </c>
      <c r="AI961" s="33" t="e">
        <f t="shared" ca="1" si="318"/>
        <v>#N/A</v>
      </c>
      <c r="AJ961" s="34" t="e">
        <f t="shared" ca="1" si="319"/>
        <v>#N/A</v>
      </c>
      <c r="AK961" s="34" t="e">
        <f t="shared" ca="1" si="312"/>
        <v>#N/A</v>
      </c>
      <c r="AL961" s="34" t="e">
        <f t="shared" ca="1" si="313"/>
        <v>#N/A</v>
      </c>
      <c r="AM961" s="33" t="e">
        <f t="shared" ca="1" si="320"/>
        <v>#N/A</v>
      </c>
      <c r="AN961" s="34" t="e">
        <f t="shared" ca="1" si="321"/>
        <v>#N/A</v>
      </c>
    </row>
    <row r="962" spans="1:40" x14ac:dyDescent="0.3">
      <c r="A962" s="2">
        <v>44855</v>
      </c>
      <c r="B962" s="9">
        <v>73.010002</v>
      </c>
      <c r="C962" s="9">
        <v>90.709998999999996</v>
      </c>
      <c r="D962" s="9">
        <v>127.739998</v>
      </c>
      <c r="E962" s="10"/>
      <c r="F962" s="13">
        <v>959</v>
      </c>
      <c r="G962" s="2">
        <v>44855</v>
      </c>
      <c r="H962" s="14">
        <f t="shared" si="302"/>
        <v>-8.9428136441505116E-2</v>
      </c>
      <c r="I962" s="14">
        <f t="shared" si="303"/>
        <v>1.1196857982776112E-2</v>
      </c>
      <c r="J962" s="14">
        <f t="shared" si="304"/>
        <v>2.6173244375201327E-2</v>
      </c>
      <c r="K962" s="22">
        <v>959</v>
      </c>
      <c r="L962" s="12"/>
      <c r="Q962" s="15">
        <f t="shared" si="305"/>
        <v>959</v>
      </c>
      <c r="R962" s="2">
        <f t="shared" si="301"/>
        <v>44855</v>
      </c>
      <c r="S962" s="9">
        <f t="shared" ca="1" si="306"/>
        <v>-8.9428136441505116E-2</v>
      </c>
      <c r="T962" s="9">
        <f t="shared" ca="1" si="307"/>
        <v>1.1196857982776112E-2</v>
      </c>
      <c r="U962" s="9">
        <f t="shared" ca="1" si="308"/>
        <v>2.6173244375201327E-2</v>
      </c>
      <c r="AB962" s="33" t="e">
        <f t="shared" ca="1" si="314"/>
        <v>#N/A</v>
      </c>
      <c r="AC962" s="34" t="e">
        <f t="shared" ca="1" si="315"/>
        <v>#N/A</v>
      </c>
      <c r="AD962" s="34" t="e">
        <f t="shared" ca="1" si="316"/>
        <v>#N/A</v>
      </c>
      <c r="AE962" s="33" t="e">
        <f t="shared" ca="1" si="317"/>
        <v>#N/A</v>
      </c>
      <c r="AF962" s="34" t="e">
        <f t="shared" ca="1" si="309"/>
        <v>#N/A</v>
      </c>
      <c r="AG962" s="34" t="e">
        <f t="shared" ca="1" si="310"/>
        <v>#N/A</v>
      </c>
      <c r="AH962" s="34" t="e">
        <f t="shared" ca="1" si="311"/>
        <v>#N/A</v>
      </c>
      <c r="AI962" s="33" t="e">
        <f t="shared" ca="1" si="318"/>
        <v>#N/A</v>
      </c>
      <c r="AJ962" s="34" t="e">
        <f t="shared" ca="1" si="319"/>
        <v>#N/A</v>
      </c>
      <c r="AK962" s="34" t="e">
        <f t="shared" ca="1" si="312"/>
        <v>#N/A</v>
      </c>
      <c r="AL962" s="34" t="e">
        <f t="shared" ca="1" si="313"/>
        <v>#N/A</v>
      </c>
      <c r="AM962" s="33" t="e">
        <f t="shared" ca="1" si="320"/>
        <v>#N/A</v>
      </c>
      <c r="AN962" s="34" t="e">
        <f t="shared" ca="1" si="321"/>
        <v>#N/A</v>
      </c>
    </row>
    <row r="963" spans="1:40" x14ac:dyDescent="0.3">
      <c r="A963" s="2">
        <v>44858</v>
      </c>
      <c r="B963" s="9">
        <v>72.230002999999996</v>
      </c>
      <c r="C963" s="9">
        <v>89.160004000000001</v>
      </c>
      <c r="D963" s="9">
        <v>129.220001</v>
      </c>
      <c r="E963" s="10"/>
      <c r="F963" s="13">
        <v>960</v>
      </c>
      <c r="G963" s="2">
        <v>44858</v>
      </c>
      <c r="H963" s="14">
        <f t="shared" si="302"/>
        <v>-1.0740931864758614E-2</v>
      </c>
      <c r="I963" s="14">
        <f t="shared" si="303"/>
        <v>-1.7235040221875293E-2</v>
      </c>
      <c r="J963" s="14">
        <f t="shared" si="304"/>
        <v>1.1519453392119428E-2</v>
      </c>
      <c r="K963" s="22">
        <v>960</v>
      </c>
      <c r="L963" s="12"/>
      <c r="Q963" s="15">
        <f t="shared" si="305"/>
        <v>960</v>
      </c>
      <c r="R963" s="2">
        <f t="shared" si="301"/>
        <v>44858</v>
      </c>
      <c r="S963" s="9">
        <f t="shared" ca="1" si="306"/>
        <v>-1.0740931864758614E-2</v>
      </c>
      <c r="T963" s="9">
        <f t="shared" ca="1" si="307"/>
        <v>-1.7235040221875293E-2</v>
      </c>
      <c r="U963" s="9">
        <f t="shared" ca="1" si="308"/>
        <v>1.1519453392119428E-2</v>
      </c>
      <c r="AB963" s="33" t="e">
        <f t="shared" ca="1" si="314"/>
        <v>#N/A</v>
      </c>
      <c r="AC963" s="34" t="e">
        <f t="shared" ca="1" si="315"/>
        <v>#N/A</v>
      </c>
      <c r="AD963" s="34" t="e">
        <f t="shared" ca="1" si="316"/>
        <v>#N/A</v>
      </c>
      <c r="AE963" s="33" t="e">
        <f t="shared" ca="1" si="317"/>
        <v>#N/A</v>
      </c>
      <c r="AF963" s="34" t="e">
        <f t="shared" ca="1" si="309"/>
        <v>#N/A</v>
      </c>
      <c r="AG963" s="34" t="e">
        <f t="shared" ca="1" si="310"/>
        <v>#N/A</v>
      </c>
      <c r="AH963" s="34" t="e">
        <f t="shared" ca="1" si="311"/>
        <v>#N/A</v>
      </c>
      <c r="AI963" s="33" t="e">
        <f t="shared" ca="1" si="318"/>
        <v>#N/A</v>
      </c>
      <c r="AJ963" s="34" t="e">
        <f t="shared" ca="1" si="319"/>
        <v>#N/A</v>
      </c>
      <c r="AK963" s="34" t="e">
        <f t="shared" ca="1" si="312"/>
        <v>#N/A</v>
      </c>
      <c r="AL963" s="34" t="e">
        <f t="shared" ca="1" si="313"/>
        <v>#N/A</v>
      </c>
      <c r="AM963" s="33" t="e">
        <f t="shared" ca="1" si="320"/>
        <v>#N/A</v>
      </c>
      <c r="AN963" s="34" t="e">
        <f t="shared" ca="1" si="321"/>
        <v>#N/A</v>
      </c>
    </row>
    <row r="964" spans="1:40" x14ac:dyDescent="0.3">
      <c r="A964" s="2">
        <v>44859</v>
      </c>
      <c r="B964" s="9">
        <v>74.75</v>
      </c>
      <c r="C964" s="9">
        <v>93.809997999999993</v>
      </c>
      <c r="D964" s="9">
        <v>126.800003</v>
      </c>
      <c r="E964" s="10"/>
      <c r="F964" s="13">
        <v>961</v>
      </c>
      <c r="G964" s="2">
        <v>44859</v>
      </c>
      <c r="H964" s="14">
        <f t="shared" si="302"/>
        <v>3.4293698674052679E-2</v>
      </c>
      <c r="I964" s="14">
        <f t="shared" si="303"/>
        <v>5.0838885437336216E-2</v>
      </c>
      <c r="J964" s="14">
        <f t="shared" si="304"/>
        <v>-1.8905320206328236E-2</v>
      </c>
      <c r="K964" s="22">
        <v>961</v>
      </c>
      <c r="L964" s="12"/>
      <c r="Q964" s="15">
        <f t="shared" si="305"/>
        <v>961</v>
      </c>
      <c r="R964" s="2">
        <f t="shared" ref="R964:R1027" si="322">IF(Q964="","",VLOOKUP(Q964,F964:J2221,2))</f>
        <v>44859</v>
      </c>
      <c r="S964" s="9">
        <f t="shared" ca="1" si="306"/>
        <v>3.4293698674052679E-2</v>
      </c>
      <c r="T964" s="9">
        <f t="shared" ca="1" si="307"/>
        <v>5.0838885437336216E-2</v>
      </c>
      <c r="U964" s="9">
        <f t="shared" ca="1" si="308"/>
        <v>-1.8905320206328236E-2</v>
      </c>
      <c r="AB964" s="33" t="e">
        <f t="shared" ca="1" si="314"/>
        <v>#N/A</v>
      </c>
      <c r="AC964" s="34" t="e">
        <f t="shared" ca="1" si="315"/>
        <v>#N/A</v>
      </c>
      <c r="AD964" s="34" t="e">
        <f t="shared" ca="1" si="316"/>
        <v>#N/A</v>
      </c>
      <c r="AE964" s="33" t="e">
        <f t="shared" ca="1" si="317"/>
        <v>#N/A</v>
      </c>
      <c r="AF964" s="34" t="e">
        <f t="shared" ca="1" si="309"/>
        <v>#N/A</v>
      </c>
      <c r="AG964" s="34" t="e">
        <f t="shared" ca="1" si="310"/>
        <v>#N/A</v>
      </c>
      <c r="AH964" s="34" t="e">
        <f t="shared" ca="1" si="311"/>
        <v>#N/A</v>
      </c>
      <c r="AI964" s="33" t="e">
        <f t="shared" ca="1" si="318"/>
        <v>#N/A</v>
      </c>
      <c r="AJ964" s="34" t="e">
        <f t="shared" ca="1" si="319"/>
        <v>#N/A</v>
      </c>
      <c r="AK964" s="34" t="e">
        <f t="shared" ca="1" si="312"/>
        <v>#N/A</v>
      </c>
      <c r="AL964" s="34" t="e">
        <f t="shared" ca="1" si="313"/>
        <v>#N/A</v>
      </c>
      <c r="AM964" s="33" t="e">
        <f t="shared" ca="1" si="320"/>
        <v>#N/A</v>
      </c>
      <c r="AN964" s="34" t="e">
        <f t="shared" ca="1" si="321"/>
        <v>#N/A</v>
      </c>
    </row>
    <row r="965" spans="1:40" x14ac:dyDescent="0.3">
      <c r="A965" s="2">
        <v>44860</v>
      </c>
      <c r="B965" s="9">
        <v>74.650002000000001</v>
      </c>
      <c r="C965" s="9">
        <v>93.519997000000004</v>
      </c>
      <c r="D965" s="9">
        <v>126.739998</v>
      </c>
      <c r="E965" s="10"/>
      <c r="F965" s="13">
        <v>962</v>
      </c>
      <c r="G965" s="2">
        <v>44860</v>
      </c>
      <c r="H965" s="14">
        <f t="shared" ref="H965:H1028" si="323">LN(B965/B964)</f>
        <v>-1.33866149390222E-3</v>
      </c>
      <c r="I965" s="14">
        <f t="shared" ref="I965:I1028" si="324">LN(C965/C964)</f>
        <v>-3.0961537330578695E-3</v>
      </c>
      <c r="J965" s="14">
        <f t="shared" ref="J965:J1028" si="325">LN(D965/D964)</f>
        <v>-4.7333754739816228E-4</v>
      </c>
      <c r="K965" s="22">
        <v>962</v>
      </c>
      <c r="L965" s="12"/>
      <c r="Q965" s="15">
        <f t="shared" ref="Q965:Q1028" si="326">IF(Q964="","",IF(Q964+1&lt;=$M$6,Q964+1,""))</f>
        <v>962</v>
      </c>
      <c r="R965" s="2">
        <f t="shared" si="322"/>
        <v>44860</v>
      </c>
      <c r="S965" s="9">
        <f t="shared" ref="S965:S1028" ca="1" si="327">IF(Q965="","",OFFSET(H$3,$Q965,0))</f>
        <v>-1.33866149390222E-3</v>
      </c>
      <c r="T965" s="9">
        <f t="shared" ref="T965:T1028" ca="1" si="328">IF(R965="","",OFFSET(I$3,$Q965,0))</f>
        <v>-3.0961537330578695E-3</v>
      </c>
      <c r="U965" s="9">
        <f t="shared" ref="U965:U1028" ca="1" si="329">IF(S965="","",OFFSET(J$3,$Q965,0))</f>
        <v>-4.7333754739816228E-4</v>
      </c>
      <c r="AB965" s="33" t="e">
        <f t="shared" ca="1" si="314"/>
        <v>#N/A</v>
      </c>
      <c r="AC965" s="34" t="e">
        <f t="shared" ca="1" si="315"/>
        <v>#N/A</v>
      </c>
      <c r="AD965" s="34" t="e">
        <f t="shared" ca="1" si="316"/>
        <v>#N/A</v>
      </c>
      <c r="AE965" s="33" t="e">
        <f t="shared" ca="1" si="317"/>
        <v>#N/A</v>
      </c>
      <c r="AF965" s="34" t="e">
        <f t="shared" ref="AF965:AF1028" ca="1" si="330">IF(AB965&lt;=$X$6,(AE965/$X$5)/$X$7,"")</f>
        <v>#N/A</v>
      </c>
      <c r="AG965" s="34" t="e">
        <f t="shared" ref="AG965:AG1028" ca="1" si="331">IF(AB965&lt;=$Y$6,AG964+$Y$7,"")</f>
        <v>#N/A</v>
      </c>
      <c r="AH965" s="34" t="e">
        <f t="shared" ref="AH965:AH1028" ca="1" si="332">IF(AB965&lt;=$Y$6,AG965-$Y$7/2,"")</f>
        <v>#N/A</v>
      </c>
      <c r="AI965" s="33" t="e">
        <f t="shared" ca="1" si="318"/>
        <v>#N/A</v>
      </c>
      <c r="AJ965" s="34" t="e">
        <f t="shared" ca="1" si="319"/>
        <v>#N/A</v>
      </c>
      <c r="AK965" s="34" t="e">
        <f t="shared" ref="AK965:AK1028" ca="1" si="333">IF(AB965&lt;=$Z$6,AK964+$Z$7,"")</f>
        <v>#N/A</v>
      </c>
      <c r="AL965" s="34" t="e">
        <f t="shared" ref="AL965:AL1028" ca="1" si="334">IF(AB965&lt;=$Z$6,AK965-$Z$7/2,"")</f>
        <v>#N/A</v>
      </c>
      <c r="AM965" s="33" t="e">
        <f t="shared" ca="1" si="320"/>
        <v>#N/A</v>
      </c>
      <c r="AN965" s="34" t="e">
        <f t="shared" ca="1" si="321"/>
        <v>#N/A</v>
      </c>
    </row>
    <row r="966" spans="1:40" x14ac:dyDescent="0.3">
      <c r="A966" s="2">
        <v>44861</v>
      </c>
      <c r="B966" s="9">
        <v>74.769997000000004</v>
      </c>
      <c r="C966" s="9">
        <v>91.82</v>
      </c>
      <c r="D966" s="9">
        <v>128.270004</v>
      </c>
      <c r="E966" s="10"/>
      <c r="F966" s="13">
        <v>963</v>
      </c>
      <c r="G966" s="2">
        <v>44861</v>
      </c>
      <c r="H966" s="14">
        <f t="shared" si="323"/>
        <v>1.606144111885792E-3</v>
      </c>
      <c r="I966" s="14">
        <f t="shared" si="324"/>
        <v>-1.8345146264036865E-2</v>
      </c>
      <c r="J966" s="14">
        <f t="shared" si="325"/>
        <v>1.1999720380946542E-2</v>
      </c>
      <c r="K966" s="22">
        <v>963</v>
      </c>
      <c r="L966" s="12"/>
      <c r="Q966" s="15">
        <f t="shared" si="326"/>
        <v>963</v>
      </c>
      <c r="R966" s="2">
        <f t="shared" si="322"/>
        <v>44861</v>
      </c>
      <c r="S966" s="9">
        <f t="shared" ca="1" si="327"/>
        <v>1.606144111885792E-3</v>
      </c>
      <c r="T966" s="9">
        <f t="shared" ca="1" si="328"/>
        <v>-1.8345146264036865E-2</v>
      </c>
      <c r="U966" s="9">
        <f t="shared" ca="1" si="329"/>
        <v>1.1999720380946542E-2</v>
      </c>
      <c r="AB966" s="33" t="e">
        <f t="shared" ref="AB966:AB1029" ca="1" si="335">IF(AB965&lt;$X$6,AB965+1,NA())</f>
        <v>#N/A</v>
      </c>
      <c r="AC966" s="34" t="e">
        <f t="shared" ref="AC966:AC1029" ca="1" si="336">IF(AB966&lt;=$X$6,AC965+$X$7,"")</f>
        <v>#N/A</v>
      </c>
      <c r="AD966" s="34" t="e">
        <f t="shared" ref="AD966:AD1029" ca="1" si="337">IF(AB966&lt;=$X$6,AC966-$X$7/2,"")</f>
        <v>#N/A</v>
      </c>
      <c r="AE966" s="33" t="e">
        <f t="shared" ref="AE966:AE1029" ca="1" si="338">IF(AB966&lt;=$X$6,COUNTIFS($S$3:$S$1260,"&gt;"&amp;AC965,$S$3:$S$1260,"&lt;="&amp;AC966),"")</f>
        <v>#N/A</v>
      </c>
      <c r="AF966" s="34" t="e">
        <f t="shared" ca="1" si="330"/>
        <v>#N/A</v>
      </c>
      <c r="AG966" s="34" t="e">
        <f t="shared" ca="1" si="331"/>
        <v>#N/A</v>
      </c>
      <c r="AH966" s="34" t="e">
        <f t="shared" ca="1" si="332"/>
        <v>#N/A</v>
      </c>
      <c r="AI966" s="33" t="e">
        <f t="shared" ref="AI966:AI1029" ca="1" si="339">IF(AB966&lt;=$Y$6,COUNTIFS($T$3:$T$1260,"&gt;"&amp;AG965,$T$3:$T$1260,"&lt;="&amp;AG966),"")</f>
        <v>#N/A</v>
      </c>
      <c r="AJ966" s="34" t="e">
        <f t="shared" ref="AJ966:AJ1029" ca="1" si="340">IF(AB966&lt;=$Y$6,(AI966/$Y$5)/$Y$7,"")</f>
        <v>#N/A</v>
      </c>
      <c r="AK966" s="34" t="e">
        <f t="shared" ca="1" si="333"/>
        <v>#N/A</v>
      </c>
      <c r="AL966" s="34" t="e">
        <f t="shared" ca="1" si="334"/>
        <v>#N/A</v>
      </c>
      <c r="AM966" s="33" t="e">
        <f t="shared" ref="AM966:AM1029" ca="1" si="341">IF(AB966&lt;=$Z$6,COUNTIFS($U$3:$U$1260,"&gt;"&amp;AK965,$U$3:$U$1260,"&lt;="&amp;AK966),"")</f>
        <v>#N/A</v>
      </c>
      <c r="AN966" s="34" t="e">
        <f t="shared" ref="AN966:AN1029" ca="1" si="342">IF(AB966&lt;=$Z$6,(AM966/$Z$5)/$Z$7,"")</f>
        <v>#N/A</v>
      </c>
    </row>
    <row r="967" spans="1:40" x14ac:dyDescent="0.3">
      <c r="A967" s="2">
        <v>44862</v>
      </c>
      <c r="B967" s="9">
        <v>77.760002</v>
      </c>
      <c r="C967" s="9">
        <v>93.279999000000004</v>
      </c>
      <c r="D967" s="9">
        <v>125.980003</v>
      </c>
      <c r="E967" s="10"/>
      <c r="F967" s="13">
        <v>964</v>
      </c>
      <c r="G967" s="2">
        <v>44862</v>
      </c>
      <c r="H967" s="14">
        <f t="shared" si="323"/>
        <v>3.9210490983568547E-2</v>
      </c>
      <c r="I967" s="14">
        <f t="shared" si="324"/>
        <v>1.5775573060694617E-2</v>
      </c>
      <c r="J967" s="14">
        <f t="shared" si="325"/>
        <v>-1.8014260488893333E-2</v>
      </c>
      <c r="K967" s="22">
        <v>964</v>
      </c>
      <c r="L967" s="12"/>
      <c r="Q967" s="15">
        <f t="shared" si="326"/>
        <v>964</v>
      </c>
      <c r="R967" s="2">
        <f t="shared" si="322"/>
        <v>44862</v>
      </c>
      <c r="S967" s="9">
        <f t="shared" ca="1" si="327"/>
        <v>3.9210490983568547E-2</v>
      </c>
      <c r="T967" s="9">
        <f t="shared" ca="1" si="328"/>
        <v>1.5775573060694617E-2</v>
      </c>
      <c r="U967" s="9">
        <f t="shared" ca="1" si="329"/>
        <v>-1.8014260488893333E-2</v>
      </c>
      <c r="AB967" s="33" t="e">
        <f t="shared" ca="1" si="335"/>
        <v>#N/A</v>
      </c>
      <c r="AC967" s="34" t="e">
        <f t="shared" ca="1" si="336"/>
        <v>#N/A</v>
      </c>
      <c r="AD967" s="34" t="e">
        <f t="shared" ca="1" si="337"/>
        <v>#N/A</v>
      </c>
      <c r="AE967" s="33" t="e">
        <f t="shared" ca="1" si="338"/>
        <v>#N/A</v>
      </c>
      <c r="AF967" s="34" t="e">
        <f t="shared" ca="1" si="330"/>
        <v>#N/A</v>
      </c>
      <c r="AG967" s="34" t="e">
        <f t="shared" ca="1" si="331"/>
        <v>#N/A</v>
      </c>
      <c r="AH967" s="34" t="e">
        <f t="shared" ca="1" si="332"/>
        <v>#N/A</v>
      </c>
      <c r="AI967" s="33" t="e">
        <f t="shared" ca="1" si="339"/>
        <v>#N/A</v>
      </c>
      <c r="AJ967" s="34" t="e">
        <f t="shared" ca="1" si="340"/>
        <v>#N/A</v>
      </c>
      <c r="AK967" s="34" t="e">
        <f t="shared" ca="1" si="333"/>
        <v>#N/A</v>
      </c>
      <c r="AL967" s="34" t="e">
        <f t="shared" ca="1" si="334"/>
        <v>#N/A</v>
      </c>
      <c r="AM967" s="33" t="e">
        <f t="shared" ca="1" si="341"/>
        <v>#N/A</v>
      </c>
      <c r="AN967" s="34" t="e">
        <f t="shared" ca="1" si="342"/>
        <v>#N/A</v>
      </c>
    </row>
    <row r="968" spans="1:40" x14ac:dyDescent="0.3">
      <c r="A968" s="2">
        <v>44865</v>
      </c>
      <c r="B968" s="9">
        <v>76.459998999999996</v>
      </c>
      <c r="C968" s="9">
        <v>92.690002000000007</v>
      </c>
      <c r="D968" s="9">
        <v>125.550003</v>
      </c>
      <c r="E968" s="10"/>
      <c r="F968" s="13">
        <v>965</v>
      </c>
      <c r="G968" s="2">
        <v>44865</v>
      </c>
      <c r="H968" s="14">
        <f t="shared" si="323"/>
        <v>-1.6859470682815344E-2</v>
      </c>
      <c r="I968" s="14">
        <f t="shared" si="324"/>
        <v>-6.3450984167287353E-3</v>
      </c>
      <c r="J968" s="14">
        <f t="shared" si="325"/>
        <v>-3.4190785086299978E-3</v>
      </c>
      <c r="K968" s="22">
        <v>965</v>
      </c>
      <c r="L968" s="12"/>
      <c r="Q968" s="15">
        <f t="shared" si="326"/>
        <v>965</v>
      </c>
      <c r="R968" s="2">
        <f t="shared" si="322"/>
        <v>44865</v>
      </c>
      <c r="S968" s="9">
        <f t="shared" ca="1" si="327"/>
        <v>-1.6859470682815344E-2</v>
      </c>
      <c r="T968" s="9">
        <f t="shared" ca="1" si="328"/>
        <v>-6.3450984167287353E-3</v>
      </c>
      <c r="U968" s="9">
        <f t="shared" ca="1" si="329"/>
        <v>-3.4190785086299978E-3</v>
      </c>
      <c r="AB968" s="33" t="e">
        <f t="shared" ca="1" si="335"/>
        <v>#N/A</v>
      </c>
      <c r="AC968" s="34" t="e">
        <f t="shared" ca="1" si="336"/>
        <v>#N/A</v>
      </c>
      <c r="AD968" s="34" t="e">
        <f t="shared" ca="1" si="337"/>
        <v>#N/A</v>
      </c>
      <c r="AE968" s="33" t="e">
        <f t="shared" ca="1" si="338"/>
        <v>#N/A</v>
      </c>
      <c r="AF968" s="34" t="e">
        <f t="shared" ca="1" si="330"/>
        <v>#N/A</v>
      </c>
      <c r="AG968" s="34" t="e">
        <f t="shared" ca="1" si="331"/>
        <v>#N/A</v>
      </c>
      <c r="AH968" s="34" t="e">
        <f t="shared" ca="1" si="332"/>
        <v>#N/A</v>
      </c>
      <c r="AI968" s="33" t="e">
        <f t="shared" ca="1" si="339"/>
        <v>#N/A</v>
      </c>
      <c r="AJ968" s="34" t="e">
        <f t="shared" ca="1" si="340"/>
        <v>#N/A</v>
      </c>
      <c r="AK968" s="34" t="e">
        <f t="shared" ca="1" si="333"/>
        <v>#N/A</v>
      </c>
      <c r="AL968" s="34" t="e">
        <f t="shared" ca="1" si="334"/>
        <v>#N/A</v>
      </c>
      <c r="AM968" s="33" t="e">
        <f t="shared" ca="1" si="341"/>
        <v>#N/A</v>
      </c>
      <c r="AN968" s="34" t="e">
        <f t="shared" ca="1" si="342"/>
        <v>#N/A</v>
      </c>
    </row>
    <row r="969" spans="1:40" x14ac:dyDescent="0.3">
      <c r="A969" s="2">
        <v>44866</v>
      </c>
      <c r="B969" s="9">
        <v>77.330001999999993</v>
      </c>
      <c r="C969" s="9">
        <v>93.510002</v>
      </c>
      <c r="D969" s="9">
        <v>130</v>
      </c>
      <c r="E969" s="10"/>
      <c r="F969" s="13">
        <v>966</v>
      </c>
      <c r="G969" s="2">
        <v>44866</v>
      </c>
      <c r="H969" s="14">
        <f t="shared" si="323"/>
        <v>1.1314289294594779E-2</v>
      </c>
      <c r="I969" s="14">
        <f t="shared" si="324"/>
        <v>8.8077903704002567E-3</v>
      </c>
      <c r="J969" s="14">
        <f t="shared" si="325"/>
        <v>3.4830340957125977E-2</v>
      </c>
      <c r="K969" s="22">
        <v>966</v>
      </c>
      <c r="L969" s="12"/>
      <c r="Q969" s="15">
        <f t="shared" si="326"/>
        <v>966</v>
      </c>
      <c r="R969" s="2">
        <f t="shared" si="322"/>
        <v>44866</v>
      </c>
      <c r="S969" s="9">
        <f t="shared" ca="1" si="327"/>
        <v>1.1314289294594779E-2</v>
      </c>
      <c r="T969" s="9">
        <f t="shared" ca="1" si="328"/>
        <v>8.8077903704002567E-3</v>
      </c>
      <c r="U969" s="9">
        <f t="shared" ca="1" si="329"/>
        <v>3.4830340957125977E-2</v>
      </c>
      <c r="AB969" s="33" t="e">
        <f t="shared" ca="1" si="335"/>
        <v>#N/A</v>
      </c>
      <c r="AC969" s="34" t="e">
        <f t="shared" ca="1" si="336"/>
        <v>#N/A</v>
      </c>
      <c r="AD969" s="34" t="e">
        <f t="shared" ca="1" si="337"/>
        <v>#N/A</v>
      </c>
      <c r="AE969" s="33" t="e">
        <f t="shared" ca="1" si="338"/>
        <v>#N/A</v>
      </c>
      <c r="AF969" s="34" t="e">
        <f t="shared" ca="1" si="330"/>
        <v>#N/A</v>
      </c>
      <c r="AG969" s="34" t="e">
        <f t="shared" ca="1" si="331"/>
        <v>#N/A</v>
      </c>
      <c r="AH969" s="34" t="e">
        <f t="shared" ca="1" si="332"/>
        <v>#N/A</v>
      </c>
      <c r="AI969" s="33" t="e">
        <f t="shared" ca="1" si="339"/>
        <v>#N/A</v>
      </c>
      <c r="AJ969" s="34" t="e">
        <f t="shared" ca="1" si="340"/>
        <v>#N/A</v>
      </c>
      <c r="AK969" s="34" t="e">
        <f t="shared" ca="1" si="333"/>
        <v>#N/A</v>
      </c>
      <c r="AL969" s="34" t="e">
        <f t="shared" ca="1" si="334"/>
        <v>#N/A</v>
      </c>
      <c r="AM969" s="33" t="e">
        <f t="shared" ca="1" si="341"/>
        <v>#N/A</v>
      </c>
      <c r="AN969" s="34" t="e">
        <f t="shared" ca="1" si="342"/>
        <v>#N/A</v>
      </c>
    </row>
    <row r="970" spans="1:40" x14ac:dyDescent="0.3">
      <c r="A970" s="2">
        <v>44867</v>
      </c>
      <c r="B970" s="9">
        <v>76.010002</v>
      </c>
      <c r="C970" s="9">
        <v>90.300003000000004</v>
      </c>
      <c r="D970" s="9">
        <v>125.83000199999999</v>
      </c>
      <c r="E970" s="10"/>
      <c r="F970" s="13">
        <v>967</v>
      </c>
      <c r="G970" s="2">
        <v>44867</v>
      </c>
      <c r="H970" s="14">
        <f t="shared" si="323"/>
        <v>-1.7217067593851366E-2</v>
      </c>
      <c r="I970" s="14">
        <f t="shared" si="324"/>
        <v>-3.4930910189911464E-2</v>
      </c>
      <c r="J970" s="14">
        <f t="shared" si="325"/>
        <v>-3.2602644957245297E-2</v>
      </c>
      <c r="K970" s="22">
        <v>967</v>
      </c>
      <c r="L970" s="12"/>
      <c r="Q970" s="15">
        <f t="shared" si="326"/>
        <v>967</v>
      </c>
      <c r="R970" s="2">
        <f t="shared" si="322"/>
        <v>44867</v>
      </c>
      <c r="S970" s="9">
        <f t="shared" ca="1" si="327"/>
        <v>-1.7217067593851366E-2</v>
      </c>
      <c r="T970" s="9">
        <f t="shared" ca="1" si="328"/>
        <v>-3.4930910189911464E-2</v>
      </c>
      <c r="U970" s="9">
        <f t="shared" ca="1" si="329"/>
        <v>-3.2602644957245297E-2</v>
      </c>
      <c r="AB970" s="33" t="e">
        <f t="shared" ca="1" si="335"/>
        <v>#N/A</v>
      </c>
      <c r="AC970" s="34" t="e">
        <f t="shared" ca="1" si="336"/>
        <v>#N/A</v>
      </c>
      <c r="AD970" s="34" t="e">
        <f t="shared" ca="1" si="337"/>
        <v>#N/A</v>
      </c>
      <c r="AE970" s="33" t="e">
        <f t="shared" ca="1" si="338"/>
        <v>#N/A</v>
      </c>
      <c r="AF970" s="34" t="e">
        <f t="shared" ca="1" si="330"/>
        <v>#N/A</v>
      </c>
      <c r="AG970" s="34" t="e">
        <f t="shared" ca="1" si="331"/>
        <v>#N/A</v>
      </c>
      <c r="AH970" s="34" t="e">
        <f t="shared" ca="1" si="332"/>
        <v>#N/A</v>
      </c>
      <c r="AI970" s="33" t="e">
        <f t="shared" ca="1" si="339"/>
        <v>#N/A</v>
      </c>
      <c r="AJ970" s="34" t="e">
        <f t="shared" ca="1" si="340"/>
        <v>#N/A</v>
      </c>
      <c r="AK970" s="34" t="e">
        <f t="shared" ca="1" si="333"/>
        <v>#N/A</v>
      </c>
      <c r="AL970" s="34" t="e">
        <f t="shared" ca="1" si="334"/>
        <v>#N/A</v>
      </c>
      <c r="AM970" s="33" t="e">
        <f t="shared" ca="1" si="341"/>
        <v>#N/A</v>
      </c>
      <c r="AN970" s="34" t="e">
        <f t="shared" ca="1" si="342"/>
        <v>#N/A</v>
      </c>
    </row>
    <row r="971" spans="1:40" x14ac:dyDescent="0.3">
      <c r="A971" s="2">
        <v>44868</v>
      </c>
      <c r="B971" s="9">
        <v>71.779999000000004</v>
      </c>
      <c r="C971" s="9">
        <v>90.699996999999996</v>
      </c>
      <c r="D971" s="9">
        <v>129.71000699999999</v>
      </c>
      <c r="E971" s="10"/>
      <c r="F971" s="13">
        <v>968</v>
      </c>
      <c r="G971" s="2">
        <v>44868</v>
      </c>
      <c r="H971" s="14">
        <f t="shared" si="323"/>
        <v>-5.7259065102272147E-2</v>
      </c>
      <c r="I971" s="14">
        <f t="shared" si="324"/>
        <v>4.4198303994847964E-3</v>
      </c>
      <c r="J971" s="14">
        <f t="shared" si="325"/>
        <v>3.0369437820783877E-2</v>
      </c>
      <c r="K971" s="22">
        <v>968</v>
      </c>
      <c r="L971" s="12"/>
      <c r="Q971" s="15">
        <f t="shared" si="326"/>
        <v>968</v>
      </c>
      <c r="R971" s="2">
        <f t="shared" si="322"/>
        <v>44868</v>
      </c>
      <c r="S971" s="9">
        <f t="shared" ca="1" si="327"/>
        <v>-5.7259065102272147E-2</v>
      </c>
      <c r="T971" s="9">
        <f t="shared" ca="1" si="328"/>
        <v>4.4198303994847964E-3</v>
      </c>
      <c r="U971" s="9">
        <f t="shared" ca="1" si="329"/>
        <v>3.0369437820783877E-2</v>
      </c>
      <c r="AB971" s="33" t="e">
        <f t="shared" ca="1" si="335"/>
        <v>#N/A</v>
      </c>
      <c r="AC971" s="34" t="e">
        <f t="shared" ca="1" si="336"/>
        <v>#N/A</v>
      </c>
      <c r="AD971" s="34" t="e">
        <f t="shared" ca="1" si="337"/>
        <v>#N/A</v>
      </c>
      <c r="AE971" s="33" t="e">
        <f t="shared" ca="1" si="338"/>
        <v>#N/A</v>
      </c>
      <c r="AF971" s="34" t="e">
        <f t="shared" ca="1" si="330"/>
        <v>#N/A</v>
      </c>
      <c r="AG971" s="34" t="e">
        <f t="shared" ca="1" si="331"/>
        <v>#N/A</v>
      </c>
      <c r="AH971" s="34" t="e">
        <f t="shared" ca="1" si="332"/>
        <v>#N/A</v>
      </c>
      <c r="AI971" s="33" t="e">
        <f t="shared" ca="1" si="339"/>
        <v>#N/A</v>
      </c>
      <c r="AJ971" s="34" t="e">
        <f t="shared" ca="1" si="340"/>
        <v>#N/A</v>
      </c>
      <c r="AK971" s="34" t="e">
        <f t="shared" ca="1" si="333"/>
        <v>#N/A</v>
      </c>
      <c r="AL971" s="34" t="e">
        <f t="shared" ca="1" si="334"/>
        <v>#N/A</v>
      </c>
      <c r="AM971" s="33" t="e">
        <f t="shared" ca="1" si="341"/>
        <v>#N/A</v>
      </c>
      <c r="AN971" s="34" t="e">
        <f t="shared" ca="1" si="342"/>
        <v>#N/A</v>
      </c>
    </row>
    <row r="972" spans="1:40" x14ac:dyDescent="0.3">
      <c r="A972" s="2">
        <v>44869</v>
      </c>
      <c r="B972" s="9">
        <v>74.629997000000003</v>
      </c>
      <c r="C972" s="9">
        <v>95.059997999999993</v>
      </c>
      <c r="D972" s="9">
        <v>128.720001</v>
      </c>
      <c r="E972" s="10"/>
      <c r="F972" s="13">
        <v>969</v>
      </c>
      <c r="G972" s="2">
        <v>44869</v>
      </c>
      <c r="H972" s="14">
        <f t="shared" si="323"/>
        <v>3.8936659156979685E-2</v>
      </c>
      <c r="I972" s="14">
        <f t="shared" si="324"/>
        <v>4.6950926101504156E-2</v>
      </c>
      <c r="J972" s="14">
        <f t="shared" si="325"/>
        <v>-7.6617328661926958E-3</v>
      </c>
      <c r="K972" s="22">
        <v>969</v>
      </c>
      <c r="L972" s="12"/>
      <c r="Q972" s="15">
        <f t="shared" si="326"/>
        <v>969</v>
      </c>
      <c r="R972" s="2">
        <f t="shared" si="322"/>
        <v>44869</v>
      </c>
      <c r="S972" s="9">
        <f t="shared" ca="1" si="327"/>
        <v>3.8936659156979685E-2</v>
      </c>
      <c r="T972" s="9">
        <f t="shared" ca="1" si="328"/>
        <v>4.6950926101504156E-2</v>
      </c>
      <c r="U972" s="9">
        <f t="shared" ca="1" si="329"/>
        <v>-7.6617328661926958E-3</v>
      </c>
      <c r="AB972" s="33" t="e">
        <f t="shared" ca="1" si="335"/>
        <v>#N/A</v>
      </c>
      <c r="AC972" s="34" t="e">
        <f t="shared" ca="1" si="336"/>
        <v>#N/A</v>
      </c>
      <c r="AD972" s="34" t="e">
        <f t="shared" ca="1" si="337"/>
        <v>#N/A</v>
      </c>
      <c r="AE972" s="33" t="e">
        <f t="shared" ca="1" si="338"/>
        <v>#N/A</v>
      </c>
      <c r="AF972" s="34" t="e">
        <f t="shared" ca="1" si="330"/>
        <v>#N/A</v>
      </c>
      <c r="AG972" s="34" t="e">
        <f t="shared" ca="1" si="331"/>
        <v>#N/A</v>
      </c>
      <c r="AH972" s="34" t="e">
        <f t="shared" ca="1" si="332"/>
        <v>#N/A</v>
      </c>
      <c r="AI972" s="33" t="e">
        <f t="shared" ca="1" si="339"/>
        <v>#N/A</v>
      </c>
      <c r="AJ972" s="34" t="e">
        <f t="shared" ca="1" si="340"/>
        <v>#N/A</v>
      </c>
      <c r="AK972" s="34" t="e">
        <f t="shared" ca="1" si="333"/>
        <v>#N/A</v>
      </c>
      <c r="AL972" s="34" t="e">
        <f t="shared" ca="1" si="334"/>
        <v>#N/A</v>
      </c>
      <c r="AM972" s="33" t="e">
        <f t="shared" ca="1" si="341"/>
        <v>#N/A</v>
      </c>
      <c r="AN972" s="34" t="e">
        <f t="shared" ca="1" si="342"/>
        <v>#N/A</v>
      </c>
    </row>
    <row r="973" spans="1:40" x14ac:dyDescent="0.3">
      <c r="A973" s="2">
        <v>44872</v>
      </c>
      <c r="B973" s="9">
        <v>75.370002999999997</v>
      </c>
      <c r="C973" s="9">
        <v>94.57</v>
      </c>
      <c r="D973" s="9">
        <v>131.779999</v>
      </c>
      <c r="E973" s="10"/>
      <c r="F973" s="13">
        <v>970</v>
      </c>
      <c r="G973" s="2">
        <v>44872</v>
      </c>
      <c r="H973" s="14">
        <f t="shared" si="323"/>
        <v>9.8668267140293812E-3</v>
      </c>
      <c r="I973" s="14">
        <f t="shared" si="324"/>
        <v>-5.1679491190987593E-3</v>
      </c>
      <c r="J973" s="14">
        <f t="shared" si="325"/>
        <v>2.3494347444340796E-2</v>
      </c>
      <c r="K973" s="22">
        <v>970</v>
      </c>
      <c r="L973" s="12"/>
      <c r="Q973" s="15">
        <f t="shared" si="326"/>
        <v>970</v>
      </c>
      <c r="R973" s="2">
        <f t="shared" si="322"/>
        <v>44872</v>
      </c>
      <c r="S973" s="9">
        <f t="shared" ca="1" si="327"/>
        <v>9.8668267140293812E-3</v>
      </c>
      <c r="T973" s="9">
        <f t="shared" ca="1" si="328"/>
        <v>-5.1679491190987593E-3</v>
      </c>
      <c r="U973" s="9">
        <f t="shared" ca="1" si="329"/>
        <v>2.3494347444340796E-2</v>
      </c>
      <c r="AB973" s="33" t="e">
        <f t="shared" ca="1" si="335"/>
        <v>#N/A</v>
      </c>
      <c r="AC973" s="34" t="e">
        <f t="shared" ca="1" si="336"/>
        <v>#N/A</v>
      </c>
      <c r="AD973" s="34" t="e">
        <f t="shared" ca="1" si="337"/>
        <v>#N/A</v>
      </c>
      <c r="AE973" s="33" t="e">
        <f t="shared" ca="1" si="338"/>
        <v>#N/A</v>
      </c>
      <c r="AF973" s="34" t="e">
        <f t="shared" ca="1" si="330"/>
        <v>#N/A</v>
      </c>
      <c r="AG973" s="34" t="e">
        <f t="shared" ca="1" si="331"/>
        <v>#N/A</v>
      </c>
      <c r="AH973" s="34" t="e">
        <f t="shared" ca="1" si="332"/>
        <v>#N/A</v>
      </c>
      <c r="AI973" s="33" t="e">
        <f t="shared" ca="1" si="339"/>
        <v>#N/A</v>
      </c>
      <c r="AJ973" s="34" t="e">
        <f t="shared" ca="1" si="340"/>
        <v>#N/A</v>
      </c>
      <c r="AK973" s="34" t="e">
        <f t="shared" ca="1" si="333"/>
        <v>#N/A</v>
      </c>
      <c r="AL973" s="34" t="e">
        <f t="shared" ca="1" si="334"/>
        <v>#N/A</v>
      </c>
      <c r="AM973" s="33" t="e">
        <f t="shared" ca="1" si="341"/>
        <v>#N/A</v>
      </c>
      <c r="AN973" s="34" t="e">
        <f t="shared" ca="1" si="342"/>
        <v>#N/A</v>
      </c>
    </row>
    <row r="974" spans="1:40" x14ac:dyDescent="0.3">
      <c r="A974" s="2">
        <v>44873</v>
      </c>
      <c r="B974" s="9">
        <v>75.199996999999996</v>
      </c>
      <c r="C974" s="9">
        <v>95.150002000000001</v>
      </c>
      <c r="D974" s="9">
        <v>132.25</v>
      </c>
      <c r="E974" s="10"/>
      <c r="F974" s="13">
        <v>971</v>
      </c>
      <c r="G974" s="2">
        <v>44873</v>
      </c>
      <c r="H974" s="14">
        <f t="shared" si="323"/>
        <v>-2.2581665968368172E-3</v>
      </c>
      <c r="I974" s="14">
        <f t="shared" si="324"/>
        <v>6.1143137341806552E-3</v>
      </c>
      <c r="J974" s="14">
        <f t="shared" si="325"/>
        <v>3.560212841139864E-3</v>
      </c>
      <c r="K974" s="22">
        <v>971</v>
      </c>
      <c r="L974" s="12"/>
      <c r="Q974" s="15">
        <f t="shared" si="326"/>
        <v>971</v>
      </c>
      <c r="R974" s="2">
        <f t="shared" si="322"/>
        <v>44873</v>
      </c>
      <c r="S974" s="9">
        <f t="shared" ca="1" si="327"/>
        <v>-2.2581665968368172E-3</v>
      </c>
      <c r="T974" s="9">
        <f t="shared" ca="1" si="328"/>
        <v>6.1143137341806552E-3</v>
      </c>
      <c r="U974" s="9">
        <f t="shared" ca="1" si="329"/>
        <v>3.560212841139864E-3</v>
      </c>
      <c r="AB974" s="33" t="e">
        <f t="shared" ca="1" si="335"/>
        <v>#N/A</v>
      </c>
      <c r="AC974" s="34" t="e">
        <f t="shared" ca="1" si="336"/>
        <v>#N/A</v>
      </c>
      <c r="AD974" s="34" t="e">
        <f t="shared" ca="1" si="337"/>
        <v>#N/A</v>
      </c>
      <c r="AE974" s="33" t="e">
        <f t="shared" ca="1" si="338"/>
        <v>#N/A</v>
      </c>
      <c r="AF974" s="34" t="e">
        <f t="shared" ca="1" si="330"/>
        <v>#N/A</v>
      </c>
      <c r="AG974" s="34" t="e">
        <f t="shared" ca="1" si="331"/>
        <v>#N/A</v>
      </c>
      <c r="AH974" s="34" t="e">
        <f t="shared" ca="1" si="332"/>
        <v>#N/A</v>
      </c>
      <c r="AI974" s="33" t="e">
        <f t="shared" ca="1" si="339"/>
        <v>#N/A</v>
      </c>
      <c r="AJ974" s="34" t="e">
        <f t="shared" ca="1" si="340"/>
        <v>#N/A</v>
      </c>
      <c r="AK974" s="34" t="e">
        <f t="shared" ca="1" si="333"/>
        <v>#N/A</v>
      </c>
      <c r="AL974" s="34" t="e">
        <f t="shared" ca="1" si="334"/>
        <v>#N/A</v>
      </c>
      <c r="AM974" s="33" t="e">
        <f t="shared" ca="1" si="341"/>
        <v>#N/A</v>
      </c>
      <c r="AN974" s="34" t="e">
        <f t="shared" ca="1" si="342"/>
        <v>#N/A</v>
      </c>
    </row>
    <row r="975" spans="1:40" x14ac:dyDescent="0.3">
      <c r="A975" s="2">
        <v>44874</v>
      </c>
      <c r="B975" s="9">
        <v>74.110000999999997</v>
      </c>
      <c r="C975" s="9">
        <v>90.239998</v>
      </c>
      <c r="D975" s="9">
        <v>128</v>
      </c>
      <c r="E975" s="10"/>
      <c r="F975" s="13">
        <v>972</v>
      </c>
      <c r="G975" s="2">
        <v>44874</v>
      </c>
      <c r="H975" s="14">
        <f t="shared" si="323"/>
        <v>-1.4600701605453174E-2</v>
      </c>
      <c r="I975" s="14">
        <f t="shared" si="324"/>
        <v>-5.298184917497329E-2</v>
      </c>
      <c r="J975" s="14">
        <f t="shared" si="325"/>
        <v>-3.2663806818791573E-2</v>
      </c>
      <c r="K975" s="22">
        <v>972</v>
      </c>
      <c r="L975" s="12"/>
      <c r="Q975" s="15">
        <f t="shared" si="326"/>
        <v>972</v>
      </c>
      <c r="R975" s="2">
        <f t="shared" si="322"/>
        <v>44874</v>
      </c>
      <c r="S975" s="9">
        <f t="shared" ca="1" si="327"/>
        <v>-1.4600701605453174E-2</v>
      </c>
      <c r="T975" s="9">
        <f t="shared" ca="1" si="328"/>
        <v>-5.298184917497329E-2</v>
      </c>
      <c r="U975" s="9">
        <f t="shared" ca="1" si="329"/>
        <v>-3.2663806818791573E-2</v>
      </c>
      <c r="AB975" s="33" t="e">
        <f t="shared" ca="1" si="335"/>
        <v>#N/A</v>
      </c>
      <c r="AC975" s="34" t="e">
        <f t="shared" ca="1" si="336"/>
        <v>#N/A</v>
      </c>
      <c r="AD975" s="34" t="e">
        <f t="shared" ca="1" si="337"/>
        <v>#N/A</v>
      </c>
      <c r="AE975" s="33" t="e">
        <f t="shared" ca="1" si="338"/>
        <v>#N/A</v>
      </c>
      <c r="AF975" s="34" t="e">
        <f t="shared" ca="1" si="330"/>
        <v>#N/A</v>
      </c>
      <c r="AG975" s="34" t="e">
        <f t="shared" ca="1" si="331"/>
        <v>#N/A</v>
      </c>
      <c r="AH975" s="34" t="e">
        <f t="shared" ca="1" si="332"/>
        <v>#N/A</v>
      </c>
      <c r="AI975" s="33" t="e">
        <f t="shared" ca="1" si="339"/>
        <v>#N/A</v>
      </c>
      <c r="AJ975" s="34" t="e">
        <f t="shared" ca="1" si="340"/>
        <v>#N/A</v>
      </c>
      <c r="AK975" s="34" t="e">
        <f t="shared" ca="1" si="333"/>
        <v>#N/A</v>
      </c>
      <c r="AL975" s="34" t="e">
        <f t="shared" ca="1" si="334"/>
        <v>#N/A</v>
      </c>
      <c r="AM975" s="33" t="e">
        <f t="shared" ca="1" si="341"/>
        <v>#N/A</v>
      </c>
      <c r="AN975" s="34" t="e">
        <f t="shared" ca="1" si="342"/>
        <v>#N/A</v>
      </c>
    </row>
    <row r="976" spans="1:40" x14ac:dyDescent="0.3">
      <c r="A976" s="2">
        <v>44875</v>
      </c>
      <c r="B976" s="9">
        <v>79.589995999999999</v>
      </c>
      <c r="C976" s="9">
        <v>95.449996999999996</v>
      </c>
      <c r="D976" s="9">
        <v>132.449997</v>
      </c>
      <c r="E976" s="10"/>
      <c r="F976" s="13">
        <v>973</v>
      </c>
      <c r="G976" s="2">
        <v>44875</v>
      </c>
      <c r="H976" s="14">
        <f t="shared" si="323"/>
        <v>7.1337917103463572E-2</v>
      </c>
      <c r="I976" s="14">
        <f t="shared" si="324"/>
        <v>5.6129753155060101E-2</v>
      </c>
      <c r="J976" s="14">
        <f t="shared" si="325"/>
        <v>3.4174929148404636E-2</v>
      </c>
      <c r="K976" s="22">
        <v>973</v>
      </c>
      <c r="L976" s="12"/>
      <c r="Q976" s="15">
        <f t="shared" si="326"/>
        <v>973</v>
      </c>
      <c r="R976" s="2">
        <f t="shared" si="322"/>
        <v>44875</v>
      </c>
      <c r="S976" s="9">
        <f t="shared" ca="1" si="327"/>
        <v>7.1337917103463572E-2</v>
      </c>
      <c r="T976" s="9">
        <f t="shared" ca="1" si="328"/>
        <v>5.6129753155060101E-2</v>
      </c>
      <c r="U976" s="9">
        <f t="shared" ca="1" si="329"/>
        <v>3.4174929148404636E-2</v>
      </c>
      <c r="AB976" s="33" t="e">
        <f t="shared" ca="1" si="335"/>
        <v>#N/A</v>
      </c>
      <c r="AC976" s="34" t="e">
        <f t="shared" ca="1" si="336"/>
        <v>#N/A</v>
      </c>
      <c r="AD976" s="34" t="e">
        <f t="shared" ca="1" si="337"/>
        <v>#N/A</v>
      </c>
      <c r="AE976" s="33" t="e">
        <f t="shared" ca="1" si="338"/>
        <v>#N/A</v>
      </c>
      <c r="AF976" s="34" t="e">
        <f t="shared" ca="1" si="330"/>
        <v>#N/A</v>
      </c>
      <c r="AG976" s="34" t="e">
        <f t="shared" ca="1" si="331"/>
        <v>#N/A</v>
      </c>
      <c r="AH976" s="34" t="e">
        <f t="shared" ca="1" si="332"/>
        <v>#N/A</v>
      </c>
      <c r="AI976" s="33" t="e">
        <f t="shared" ca="1" si="339"/>
        <v>#N/A</v>
      </c>
      <c r="AJ976" s="34" t="e">
        <f t="shared" ca="1" si="340"/>
        <v>#N/A</v>
      </c>
      <c r="AK976" s="34" t="e">
        <f t="shared" ca="1" si="333"/>
        <v>#N/A</v>
      </c>
      <c r="AL976" s="34" t="e">
        <f t="shared" ca="1" si="334"/>
        <v>#N/A</v>
      </c>
      <c r="AM976" s="33" t="e">
        <f t="shared" ca="1" si="341"/>
        <v>#N/A</v>
      </c>
      <c r="AN976" s="34" t="e">
        <f t="shared" ca="1" si="342"/>
        <v>#N/A</v>
      </c>
    </row>
    <row r="977" spans="1:40" x14ac:dyDescent="0.3">
      <c r="A977" s="2">
        <v>44876</v>
      </c>
      <c r="B977" s="9">
        <v>80.849997999999999</v>
      </c>
      <c r="C977" s="9">
        <v>104.379997</v>
      </c>
      <c r="D977" s="9">
        <v>133.96000699999999</v>
      </c>
      <c r="E977" s="10"/>
      <c r="F977" s="13">
        <v>974</v>
      </c>
      <c r="G977" s="2">
        <v>44876</v>
      </c>
      <c r="H977" s="14">
        <f t="shared" si="323"/>
        <v>1.5707154725761216E-2</v>
      </c>
      <c r="I977" s="14">
        <f t="shared" si="324"/>
        <v>8.9435538732440756E-2</v>
      </c>
      <c r="J977" s="14">
        <f t="shared" si="325"/>
        <v>1.1336107112384933E-2</v>
      </c>
      <c r="K977" s="22">
        <v>974</v>
      </c>
      <c r="L977" s="12"/>
      <c r="Q977" s="15">
        <f t="shared" si="326"/>
        <v>974</v>
      </c>
      <c r="R977" s="2">
        <f t="shared" si="322"/>
        <v>44876</v>
      </c>
      <c r="S977" s="9">
        <f t="shared" ca="1" si="327"/>
        <v>1.5707154725761216E-2</v>
      </c>
      <c r="T977" s="9">
        <f t="shared" ca="1" si="328"/>
        <v>8.9435538732440756E-2</v>
      </c>
      <c r="U977" s="9">
        <f t="shared" ca="1" si="329"/>
        <v>1.1336107112384933E-2</v>
      </c>
      <c r="AB977" s="33" t="e">
        <f t="shared" ca="1" si="335"/>
        <v>#N/A</v>
      </c>
      <c r="AC977" s="34" t="e">
        <f t="shared" ca="1" si="336"/>
        <v>#N/A</v>
      </c>
      <c r="AD977" s="34" t="e">
        <f t="shared" ca="1" si="337"/>
        <v>#N/A</v>
      </c>
      <c r="AE977" s="33" t="e">
        <f t="shared" ca="1" si="338"/>
        <v>#N/A</v>
      </c>
      <c r="AF977" s="34" t="e">
        <f t="shared" ca="1" si="330"/>
        <v>#N/A</v>
      </c>
      <c r="AG977" s="34" t="e">
        <f t="shared" ca="1" si="331"/>
        <v>#N/A</v>
      </c>
      <c r="AH977" s="34" t="e">
        <f t="shared" ca="1" si="332"/>
        <v>#N/A</v>
      </c>
      <c r="AI977" s="33" t="e">
        <f t="shared" ca="1" si="339"/>
        <v>#N/A</v>
      </c>
      <c r="AJ977" s="34" t="e">
        <f t="shared" ca="1" si="340"/>
        <v>#N/A</v>
      </c>
      <c r="AK977" s="34" t="e">
        <f t="shared" ca="1" si="333"/>
        <v>#N/A</v>
      </c>
      <c r="AL977" s="34" t="e">
        <f t="shared" ca="1" si="334"/>
        <v>#N/A</v>
      </c>
      <c r="AM977" s="33" t="e">
        <f t="shared" ca="1" si="341"/>
        <v>#N/A</v>
      </c>
      <c r="AN977" s="34" t="e">
        <f t="shared" ca="1" si="342"/>
        <v>#N/A</v>
      </c>
    </row>
    <row r="978" spans="1:40" x14ac:dyDescent="0.3">
      <c r="A978" s="2">
        <v>44879</v>
      </c>
      <c r="B978" s="9">
        <v>78.440002000000007</v>
      </c>
      <c r="C978" s="9">
        <v>101.339996</v>
      </c>
      <c r="D978" s="9">
        <v>136.800003</v>
      </c>
      <c r="E978" s="10"/>
      <c r="F978" s="13">
        <v>975</v>
      </c>
      <c r="G978" s="2">
        <v>44879</v>
      </c>
      <c r="H978" s="14">
        <f t="shared" si="323"/>
        <v>-3.0261534460607364E-2</v>
      </c>
      <c r="I978" s="14">
        <f t="shared" si="324"/>
        <v>-2.9556896897453191E-2</v>
      </c>
      <c r="J978" s="14">
        <f t="shared" si="325"/>
        <v>2.0978726937867637E-2</v>
      </c>
      <c r="K978" s="22">
        <v>975</v>
      </c>
      <c r="L978" s="12"/>
      <c r="Q978" s="15">
        <f t="shared" si="326"/>
        <v>975</v>
      </c>
      <c r="R978" s="2">
        <f t="shared" si="322"/>
        <v>44879</v>
      </c>
      <c r="S978" s="9">
        <f t="shared" ca="1" si="327"/>
        <v>-3.0261534460607364E-2</v>
      </c>
      <c r="T978" s="9">
        <f t="shared" ca="1" si="328"/>
        <v>-2.9556896897453191E-2</v>
      </c>
      <c r="U978" s="9">
        <f t="shared" ca="1" si="329"/>
        <v>2.0978726937867637E-2</v>
      </c>
      <c r="AB978" s="33" t="e">
        <f t="shared" ca="1" si="335"/>
        <v>#N/A</v>
      </c>
      <c r="AC978" s="34" t="e">
        <f t="shared" ca="1" si="336"/>
        <v>#N/A</v>
      </c>
      <c r="AD978" s="34" t="e">
        <f t="shared" ca="1" si="337"/>
        <v>#N/A</v>
      </c>
      <c r="AE978" s="33" t="e">
        <f t="shared" ca="1" si="338"/>
        <v>#N/A</v>
      </c>
      <c r="AF978" s="34" t="e">
        <f t="shared" ca="1" si="330"/>
        <v>#N/A</v>
      </c>
      <c r="AG978" s="34" t="e">
        <f t="shared" ca="1" si="331"/>
        <v>#N/A</v>
      </c>
      <c r="AH978" s="34" t="e">
        <f t="shared" ca="1" si="332"/>
        <v>#N/A</v>
      </c>
      <c r="AI978" s="33" t="e">
        <f t="shared" ca="1" si="339"/>
        <v>#N/A</v>
      </c>
      <c r="AJ978" s="34" t="e">
        <f t="shared" ca="1" si="340"/>
        <v>#N/A</v>
      </c>
      <c r="AK978" s="34" t="e">
        <f t="shared" ca="1" si="333"/>
        <v>#N/A</v>
      </c>
      <c r="AL978" s="34" t="e">
        <f t="shared" ca="1" si="334"/>
        <v>#N/A</v>
      </c>
      <c r="AM978" s="33" t="e">
        <f t="shared" ca="1" si="341"/>
        <v>#N/A</v>
      </c>
      <c r="AN978" s="34" t="e">
        <f t="shared" ca="1" si="342"/>
        <v>#N/A</v>
      </c>
    </row>
    <row r="979" spans="1:40" x14ac:dyDescent="0.3">
      <c r="A979" s="2">
        <v>44880</v>
      </c>
      <c r="B979" s="9">
        <v>78</v>
      </c>
      <c r="C979" s="9">
        <v>103.870003</v>
      </c>
      <c r="D979" s="9">
        <v>140.71000699999999</v>
      </c>
      <c r="E979" s="10"/>
      <c r="F979" s="13">
        <v>976</v>
      </c>
      <c r="G979" s="2">
        <v>44880</v>
      </c>
      <c r="H979" s="14">
        <f t="shared" si="323"/>
        <v>-5.6252001357488196E-3</v>
      </c>
      <c r="I979" s="14">
        <f t="shared" si="324"/>
        <v>2.4658985545300775E-2</v>
      </c>
      <c r="J979" s="14">
        <f t="shared" si="325"/>
        <v>2.818105742959668E-2</v>
      </c>
      <c r="K979" s="22">
        <v>976</v>
      </c>
      <c r="L979" s="12"/>
      <c r="Q979" s="15">
        <f t="shared" si="326"/>
        <v>976</v>
      </c>
      <c r="R979" s="2">
        <f t="shared" si="322"/>
        <v>44880</v>
      </c>
      <c r="S979" s="9">
        <f t="shared" ca="1" si="327"/>
        <v>-5.6252001357488196E-3</v>
      </c>
      <c r="T979" s="9">
        <f t="shared" ca="1" si="328"/>
        <v>2.4658985545300775E-2</v>
      </c>
      <c r="U979" s="9">
        <f t="shared" ca="1" si="329"/>
        <v>2.818105742959668E-2</v>
      </c>
      <c r="AB979" s="33" t="e">
        <f t="shared" ca="1" si="335"/>
        <v>#N/A</v>
      </c>
      <c r="AC979" s="34" t="e">
        <f t="shared" ca="1" si="336"/>
        <v>#N/A</v>
      </c>
      <c r="AD979" s="34" t="e">
        <f t="shared" ca="1" si="337"/>
        <v>#N/A</v>
      </c>
      <c r="AE979" s="33" t="e">
        <f t="shared" ca="1" si="338"/>
        <v>#N/A</v>
      </c>
      <c r="AF979" s="34" t="e">
        <f t="shared" ca="1" si="330"/>
        <v>#N/A</v>
      </c>
      <c r="AG979" s="34" t="e">
        <f t="shared" ca="1" si="331"/>
        <v>#N/A</v>
      </c>
      <c r="AH979" s="34" t="e">
        <f t="shared" ca="1" si="332"/>
        <v>#N/A</v>
      </c>
      <c r="AI979" s="33" t="e">
        <f t="shared" ca="1" si="339"/>
        <v>#N/A</v>
      </c>
      <c r="AJ979" s="34" t="e">
        <f t="shared" ca="1" si="340"/>
        <v>#N/A</v>
      </c>
      <c r="AK979" s="34" t="e">
        <f t="shared" ca="1" si="333"/>
        <v>#N/A</v>
      </c>
      <c r="AL979" s="34" t="e">
        <f t="shared" ca="1" si="334"/>
        <v>#N/A</v>
      </c>
      <c r="AM979" s="33" t="e">
        <f t="shared" ca="1" si="341"/>
        <v>#N/A</v>
      </c>
      <c r="AN979" s="34" t="e">
        <f t="shared" ca="1" si="342"/>
        <v>#N/A</v>
      </c>
    </row>
    <row r="980" spans="1:40" x14ac:dyDescent="0.3">
      <c r="A980" s="2">
        <v>44881</v>
      </c>
      <c r="B980" s="9">
        <v>76.879997000000003</v>
      </c>
      <c r="C980" s="9">
        <v>100.120003</v>
      </c>
      <c r="D980" s="9">
        <v>135.529999</v>
      </c>
      <c r="E980" s="10"/>
      <c r="F980" s="13">
        <v>977</v>
      </c>
      <c r="G980" s="2">
        <v>44881</v>
      </c>
      <c r="H980" s="14">
        <f t="shared" si="323"/>
        <v>-1.4463101049407635E-2</v>
      </c>
      <c r="I980" s="14">
        <f t="shared" si="324"/>
        <v>-3.6770649594360161E-2</v>
      </c>
      <c r="J980" s="14">
        <f t="shared" si="325"/>
        <v>-3.750807389838675E-2</v>
      </c>
      <c r="K980" s="22">
        <v>977</v>
      </c>
      <c r="L980" s="12"/>
      <c r="Q980" s="15">
        <f t="shared" si="326"/>
        <v>977</v>
      </c>
      <c r="R980" s="2">
        <f t="shared" si="322"/>
        <v>44881</v>
      </c>
      <c r="S980" s="9">
        <f t="shared" ca="1" si="327"/>
        <v>-1.4463101049407635E-2</v>
      </c>
      <c r="T980" s="9">
        <f t="shared" ca="1" si="328"/>
        <v>-3.6770649594360161E-2</v>
      </c>
      <c r="U980" s="9">
        <f t="shared" ca="1" si="329"/>
        <v>-3.750807389838675E-2</v>
      </c>
      <c r="AB980" s="33" t="e">
        <f t="shared" ca="1" si="335"/>
        <v>#N/A</v>
      </c>
      <c r="AC980" s="34" t="e">
        <f t="shared" ca="1" si="336"/>
        <v>#N/A</v>
      </c>
      <c r="AD980" s="34" t="e">
        <f t="shared" ca="1" si="337"/>
        <v>#N/A</v>
      </c>
      <c r="AE980" s="33" t="e">
        <f t="shared" ca="1" si="338"/>
        <v>#N/A</v>
      </c>
      <c r="AF980" s="34" t="e">
        <f t="shared" ca="1" si="330"/>
        <v>#N/A</v>
      </c>
      <c r="AG980" s="34" t="e">
        <f t="shared" ca="1" si="331"/>
        <v>#N/A</v>
      </c>
      <c r="AH980" s="34" t="e">
        <f t="shared" ca="1" si="332"/>
        <v>#N/A</v>
      </c>
      <c r="AI980" s="33" t="e">
        <f t="shared" ca="1" si="339"/>
        <v>#N/A</v>
      </c>
      <c r="AJ980" s="34" t="e">
        <f t="shared" ca="1" si="340"/>
        <v>#N/A</v>
      </c>
      <c r="AK980" s="34" t="e">
        <f t="shared" ca="1" si="333"/>
        <v>#N/A</v>
      </c>
      <c r="AL980" s="34" t="e">
        <f t="shared" ca="1" si="334"/>
        <v>#N/A</v>
      </c>
      <c r="AM980" s="33" t="e">
        <f t="shared" ca="1" si="341"/>
        <v>#N/A</v>
      </c>
      <c r="AN980" s="34" t="e">
        <f t="shared" ca="1" si="342"/>
        <v>#N/A</v>
      </c>
    </row>
    <row r="981" spans="1:40" x14ac:dyDescent="0.3">
      <c r="A981" s="2">
        <v>44882</v>
      </c>
      <c r="B981" s="9">
        <v>75.589995999999999</v>
      </c>
      <c r="C981" s="9">
        <v>102.07</v>
      </c>
      <c r="D981" s="9">
        <v>137.91000399999999</v>
      </c>
      <c r="E981" s="10"/>
      <c r="F981" s="13">
        <v>978</v>
      </c>
      <c r="G981" s="2">
        <v>44882</v>
      </c>
      <c r="H981" s="14">
        <f t="shared" si="323"/>
        <v>-1.6921779253152639E-2</v>
      </c>
      <c r="I981" s="14">
        <f t="shared" si="324"/>
        <v>1.9289355887790908E-2</v>
      </c>
      <c r="J981" s="14">
        <f t="shared" si="325"/>
        <v>1.7408316841184653E-2</v>
      </c>
      <c r="K981" s="22">
        <v>978</v>
      </c>
      <c r="L981" s="12"/>
      <c r="Q981" s="15">
        <f t="shared" si="326"/>
        <v>978</v>
      </c>
      <c r="R981" s="2">
        <f t="shared" si="322"/>
        <v>44882</v>
      </c>
      <c r="S981" s="9">
        <f t="shared" ca="1" si="327"/>
        <v>-1.6921779253152639E-2</v>
      </c>
      <c r="T981" s="9">
        <f t="shared" ca="1" si="328"/>
        <v>1.9289355887790908E-2</v>
      </c>
      <c r="U981" s="9">
        <f t="shared" ca="1" si="329"/>
        <v>1.7408316841184653E-2</v>
      </c>
      <c r="AB981" s="33" t="e">
        <f t="shared" ca="1" si="335"/>
        <v>#N/A</v>
      </c>
      <c r="AC981" s="34" t="e">
        <f t="shared" ca="1" si="336"/>
        <v>#N/A</v>
      </c>
      <c r="AD981" s="34" t="e">
        <f t="shared" ca="1" si="337"/>
        <v>#N/A</v>
      </c>
      <c r="AE981" s="33" t="e">
        <f t="shared" ca="1" si="338"/>
        <v>#N/A</v>
      </c>
      <c r="AF981" s="34" t="e">
        <f t="shared" ca="1" si="330"/>
        <v>#N/A</v>
      </c>
      <c r="AG981" s="34" t="e">
        <f t="shared" ca="1" si="331"/>
        <v>#N/A</v>
      </c>
      <c r="AH981" s="34" t="e">
        <f t="shared" ca="1" si="332"/>
        <v>#N/A</v>
      </c>
      <c r="AI981" s="33" t="e">
        <f t="shared" ca="1" si="339"/>
        <v>#N/A</v>
      </c>
      <c r="AJ981" s="34" t="e">
        <f t="shared" ca="1" si="340"/>
        <v>#N/A</v>
      </c>
      <c r="AK981" s="34" t="e">
        <f t="shared" ca="1" si="333"/>
        <v>#N/A</v>
      </c>
      <c r="AL981" s="34" t="e">
        <f t="shared" ca="1" si="334"/>
        <v>#N/A</v>
      </c>
      <c r="AM981" s="33" t="e">
        <f t="shared" ca="1" si="341"/>
        <v>#N/A</v>
      </c>
      <c r="AN981" s="34" t="e">
        <f t="shared" ca="1" si="342"/>
        <v>#N/A</v>
      </c>
    </row>
    <row r="982" spans="1:40" x14ac:dyDescent="0.3">
      <c r="A982" s="2">
        <v>44883</v>
      </c>
      <c r="B982" s="9">
        <v>75.5</v>
      </c>
      <c r="C982" s="9">
        <v>102.870003</v>
      </c>
      <c r="D982" s="9">
        <v>137.61999499999999</v>
      </c>
      <c r="E982" s="10"/>
      <c r="F982" s="13">
        <v>979</v>
      </c>
      <c r="G982" s="2">
        <v>44883</v>
      </c>
      <c r="H982" s="14">
        <f t="shared" si="323"/>
        <v>-1.1912901320524018E-3</v>
      </c>
      <c r="I982" s="14">
        <f t="shared" si="324"/>
        <v>7.8072318905526112E-3</v>
      </c>
      <c r="J982" s="14">
        <f t="shared" si="325"/>
        <v>-2.1051000482644479E-3</v>
      </c>
      <c r="K982" s="22">
        <v>979</v>
      </c>
      <c r="L982" s="12"/>
      <c r="Q982" s="15">
        <f t="shared" si="326"/>
        <v>979</v>
      </c>
      <c r="R982" s="2">
        <f t="shared" si="322"/>
        <v>44883</v>
      </c>
      <c r="S982" s="9">
        <f t="shared" ca="1" si="327"/>
        <v>-1.1912901320524018E-3</v>
      </c>
      <c r="T982" s="9">
        <f t="shared" ca="1" si="328"/>
        <v>7.8072318905526112E-3</v>
      </c>
      <c r="U982" s="9">
        <f t="shared" ca="1" si="329"/>
        <v>-2.1051000482644479E-3</v>
      </c>
      <c r="AB982" s="33" t="e">
        <f t="shared" ca="1" si="335"/>
        <v>#N/A</v>
      </c>
      <c r="AC982" s="34" t="e">
        <f t="shared" ca="1" si="336"/>
        <v>#N/A</v>
      </c>
      <c r="AD982" s="34" t="e">
        <f t="shared" ca="1" si="337"/>
        <v>#N/A</v>
      </c>
      <c r="AE982" s="33" t="e">
        <f t="shared" ca="1" si="338"/>
        <v>#N/A</v>
      </c>
      <c r="AF982" s="34" t="e">
        <f t="shared" ca="1" si="330"/>
        <v>#N/A</v>
      </c>
      <c r="AG982" s="34" t="e">
        <f t="shared" ca="1" si="331"/>
        <v>#N/A</v>
      </c>
      <c r="AH982" s="34" t="e">
        <f t="shared" ca="1" si="332"/>
        <v>#N/A</v>
      </c>
      <c r="AI982" s="33" t="e">
        <f t="shared" ca="1" si="339"/>
        <v>#N/A</v>
      </c>
      <c r="AJ982" s="34" t="e">
        <f t="shared" ca="1" si="340"/>
        <v>#N/A</v>
      </c>
      <c r="AK982" s="34" t="e">
        <f t="shared" ca="1" si="333"/>
        <v>#N/A</v>
      </c>
      <c r="AL982" s="34" t="e">
        <f t="shared" ca="1" si="334"/>
        <v>#N/A</v>
      </c>
      <c r="AM982" s="33" t="e">
        <f t="shared" ca="1" si="341"/>
        <v>#N/A</v>
      </c>
      <c r="AN982" s="34" t="e">
        <f t="shared" ca="1" si="342"/>
        <v>#N/A</v>
      </c>
    </row>
    <row r="983" spans="1:40" x14ac:dyDescent="0.3">
      <c r="A983" s="2">
        <v>44886</v>
      </c>
      <c r="B983" s="9">
        <v>75.209998999999996</v>
      </c>
      <c r="C983" s="9">
        <v>101.16999800000001</v>
      </c>
      <c r="D983" s="9">
        <v>135.96000699999999</v>
      </c>
      <c r="E983" s="10"/>
      <c r="F983" s="13">
        <v>980</v>
      </c>
      <c r="G983" s="2">
        <v>44886</v>
      </c>
      <c r="H983" s="14">
        <f t="shared" si="323"/>
        <v>-3.8484687127717191E-3</v>
      </c>
      <c r="I983" s="14">
        <f t="shared" si="324"/>
        <v>-1.6663833856866789E-2</v>
      </c>
      <c r="J983" s="14">
        <f t="shared" si="325"/>
        <v>-1.2135451128759576E-2</v>
      </c>
      <c r="K983" s="22">
        <v>980</v>
      </c>
      <c r="L983" s="12"/>
      <c r="Q983" s="15">
        <f t="shared" si="326"/>
        <v>980</v>
      </c>
      <c r="R983" s="2">
        <f t="shared" si="322"/>
        <v>44886</v>
      </c>
      <c r="S983" s="9">
        <f t="shared" ca="1" si="327"/>
        <v>-3.8484687127717191E-3</v>
      </c>
      <c r="T983" s="9">
        <f t="shared" ca="1" si="328"/>
        <v>-1.6663833856866789E-2</v>
      </c>
      <c r="U983" s="9">
        <f t="shared" ca="1" si="329"/>
        <v>-1.2135451128759576E-2</v>
      </c>
      <c r="AB983" s="33" t="e">
        <f t="shared" ca="1" si="335"/>
        <v>#N/A</v>
      </c>
      <c r="AC983" s="34" t="e">
        <f t="shared" ca="1" si="336"/>
        <v>#N/A</v>
      </c>
      <c r="AD983" s="34" t="e">
        <f t="shared" ca="1" si="337"/>
        <v>#N/A</v>
      </c>
      <c r="AE983" s="33" t="e">
        <f t="shared" ca="1" si="338"/>
        <v>#N/A</v>
      </c>
      <c r="AF983" s="34" t="e">
        <f t="shared" ca="1" si="330"/>
        <v>#N/A</v>
      </c>
      <c r="AG983" s="34" t="e">
        <f t="shared" ca="1" si="331"/>
        <v>#N/A</v>
      </c>
      <c r="AH983" s="34" t="e">
        <f t="shared" ca="1" si="332"/>
        <v>#N/A</v>
      </c>
      <c r="AI983" s="33" t="e">
        <f t="shared" ca="1" si="339"/>
        <v>#N/A</v>
      </c>
      <c r="AJ983" s="34" t="e">
        <f t="shared" ca="1" si="340"/>
        <v>#N/A</v>
      </c>
      <c r="AK983" s="34" t="e">
        <f t="shared" ca="1" si="333"/>
        <v>#N/A</v>
      </c>
      <c r="AL983" s="34" t="e">
        <f t="shared" ca="1" si="334"/>
        <v>#N/A</v>
      </c>
      <c r="AM983" s="33" t="e">
        <f t="shared" ca="1" si="341"/>
        <v>#N/A</v>
      </c>
      <c r="AN983" s="34" t="e">
        <f t="shared" ca="1" si="342"/>
        <v>#N/A</v>
      </c>
    </row>
    <row r="984" spans="1:40" x14ac:dyDescent="0.3">
      <c r="A984" s="2">
        <v>44887</v>
      </c>
      <c r="B984" s="9">
        <v>77.089995999999999</v>
      </c>
      <c r="C984" s="9">
        <v>106.220001</v>
      </c>
      <c r="D984" s="9">
        <v>141.979996</v>
      </c>
      <c r="E984" s="10"/>
      <c r="F984" s="13">
        <v>981</v>
      </c>
      <c r="G984" s="2">
        <v>44887</v>
      </c>
      <c r="H984" s="14">
        <f t="shared" si="323"/>
        <v>2.4689331041557738E-2</v>
      </c>
      <c r="I984" s="14">
        <f t="shared" si="324"/>
        <v>4.87101739595832E-2</v>
      </c>
      <c r="J984" s="14">
        <f t="shared" si="325"/>
        <v>4.3325398124612301E-2</v>
      </c>
      <c r="K984" s="22">
        <v>981</v>
      </c>
      <c r="L984" s="12"/>
      <c r="Q984" s="15">
        <f t="shared" si="326"/>
        <v>981</v>
      </c>
      <c r="R984" s="2">
        <f t="shared" si="322"/>
        <v>44887</v>
      </c>
      <c r="S984" s="9">
        <f t="shared" ca="1" si="327"/>
        <v>2.4689331041557738E-2</v>
      </c>
      <c r="T984" s="9">
        <f t="shared" ca="1" si="328"/>
        <v>4.87101739595832E-2</v>
      </c>
      <c r="U984" s="9">
        <f t="shared" ca="1" si="329"/>
        <v>4.3325398124612301E-2</v>
      </c>
      <c r="AB984" s="33" t="e">
        <f t="shared" ca="1" si="335"/>
        <v>#N/A</v>
      </c>
      <c r="AC984" s="34" t="e">
        <f t="shared" ca="1" si="336"/>
        <v>#N/A</v>
      </c>
      <c r="AD984" s="34" t="e">
        <f t="shared" ca="1" si="337"/>
        <v>#N/A</v>
      </c>
      <c r="AE984" s="33" t="e">
        <f t="shared" ca="1" si="338"/>
        <v>#N/A</v>
      </c>
      <c r="AF984" s="34" t="e">
        <f t="shared" ca="1" si="330"/>
        <v>#N/A</v>
      </c>
      <c r="AG984" s="34" t="e">
        <f t="shared" ca="1" si="331"/>
        <v>#N/A</v>
      </c>
      <c r="AH984" s="34" t="e">
        <f t="shared" ca="1" si="332"/>
        <v>#N/A</v>
      </c>
      <c r="AI984" s="33" t="e">
        <f t="shared" ca="1" si="339"/>
        <v>#N/A</v>
      </c>
      <c r="AJ984" s="34" t="e">
        <f t="shared" ca="1" si="340"/>
        <v>#N/A</v>
      </c>
      <c r="AK984" s="34" t="e">
        <f t="shared" ca="1" si="333"/>
        <v>#N/A</v>
      </c>
      <c r="AL984" s="34" t="e">
        <f t="shared" ca="1" si="334"/>
        <v>#N/A</v>
      </c>
      <c r="AM984" s="33" t="e">
        <f t="shared" ca="1" si="341"/>
        <v>#N/A</v>
      </c>
      <c r="AN984" s="34" t="e">
        <f t="shared" ca="1" si="342"/>
        <v>#N/A</v>
      </c>
    </row>
    <row r="985" spans="1:40" x14ac:dyDescent="0.3">
      <c r="A985" s="2">
        <v>44888</v>
      </c>
      <c r="B985" s="9">
        <v>77.139999000000003</v>
      </c>
      <c r="C985" s="9">
        <v>107.099998</v>
      </c>
      <c r="D985" s="9">
        <v>139.21000699999999</v>
      </c>
      <c r="E985" s="10"/>
      <c r="F985" s="13">
        <v>982</v>
      </c>
      <c r="G985" s="2">
        <v>44888</v>
      </c>
      <c r="H985" s="14">
        <f t="shared" si="323"/>
        <v>6.484212328735767E-4</v>
      </c>
      <c r="I985" s="14">
        <f t="shared" si="324"/>
        <v>8.2505343708905929E-3</v>
      </c>
      <c r="J985" s="14">
        <f t="shared" si="325"/>
        <v>-1.970253975403877E-2</v>
      </c>
      <c r="K985" s="22">
        <v>982</v>
      </c>
      <c r="L985" s="12"/>
      <c r="Q985" s="15">
        <f t="shared" si="326"/>
        <v>982</v>
      </c>
      <c r="R985" s="2">
        <f t="shared" si="322"/>
        <v>44888</v>
      </c>
      <c r="S985" s="9">
        <f t="shared" ca="1" si="327"/>
        <v>6.484212328735767E-4</v>
      </c>
      <c r="T985" s="9">
        <f t="shared" ca="1" si="328"/>
        <v>8.2505343708905929E-3</v>
      </c>
      <c r="U985" s="9">
        <f t="shared" ca="1" si="329"/>
        <v>-1.970253975403877E-2</v>
      </c>
      <c r="AB985" s="33" t="e">
        <f t="shared" ca="1" si="335"/>
        <v>#N/A</v>
      </c>
      <c r="AC985" s="34" t="e">
        <f t="shared" ca="1" si="336"/>
        <v>#N/A</v>
      </c>
      <c r="AD985" s="34" t="e">
        <f t="shared" ca="1" si="337"/>
        <v>#N/A</v>
      </c>
      <c r="AE985" s="33" t="e">
        <f t="shared" ca="1" si="338"/>
        <v>#N/A</v>
      </c>
      <c r="AF985" s="34" t="e">
        <f t="shared" ca="1" si="330"/>
        <v>#N/A</v>
      </c>
      <c r="AG985" s="34" t="e">
        <f t="shared" ca="1" si="331"/>
        <v>#N/A</v>
      </c>
      <c r="AH985" s="34" t="e">
        <f t="shared" ca="1" si="332"/>
        <v>#N/A</v>
      </c>
      <c r="AI985" s="33" t="e">
        <f t="shared" ca="1" si="339"/>
        <v>#N/A</v>
      </c>
      <c r="AJ985" s="34" t="e">
        <f t="shared" ca="1" si="340"/>
        <v>#N/A</v>
      </c>
      <c r="AK985" s="34" t="e">
        <f t="shared" ca="1" si="333"/>
        <v>#N/A</v>
      </c>
      <c r="AL985" s="34" t="e">
        <f t="shared" ca="1" si="334"/>
        <v>#N/A</v>
      </c>
      <c r="AM985" s="33" t="e">
        <f t="shared" ca="1" si="341"/>
        <v>#N/A</v>
      </c>
      <c r="AN985" s="34" t="e">
        <f t="shared" ca="1" si="342"/>
        <v>#N/A</v>
      </c>
    </row>
    <row r="986" spans="1:40" x14ac:dyDescent="0.3">
      <c r="A986" s="2">
        <v>44890</v>
      </c>
      <c r="B986" s="9">
        <v>77.809997999999993</v>
      </c>
      <c r="C986" s="9">
        <v>109.470001</v>
      </c>
      <c r="D986" s="9">
        <v>138.39999399999999</v>
      </c>
      <c r="E986" s="10"/>
      <c r="F986" s="13">
        <v>983</v>
      </c>
      <c r="G986" s="2">
        <v>44890</v>
      </c>
      <c r="H986" s="14">
        <f t="shared" si="323"/>
        <v>8.6479921085627423E-3</v>
      </c>
      <c r="I986" s="14">
        <f t="shared" si="324"/>
        <v>2.1887589471822219E-2</v>
      </c>
      <c r="J986" s="14">
        <f t="shared" si="325"/>
        <v>-5.8356348532514852E-3</v>
      </c>
      <c r="K986" s="22">
        <v>983</v>
      </c>
      <c r="L986" s="12"/>
      <c r="Q986" s="15">
        <f t="shared" si="326"/>
        <v>983</v>
      </c>
      <c r="R986" s="2">
        <f t="shared" si="322"/>
        <v>44890</v>
      </c>
      <c r="S986" s="9">
        <f t="shared" ca="1" si="327"/>
        <v>8.6479921085627423E-3</v>
      </c>
      <c r="T986" s="9">
        <f t="shared" ca="1" si="328"/>
        <v>2.1887589471822219E-2</v>
      </c>
      <c r="U986" s="9">
        <f t="shared" ca="1" si="329"/>
        <v>-5.8356348532514852E-3</v>
      </c>
      <c r="AB986" s="33" t="e">
        <f t="shared" ca="1" si="335"/>
        <v>#N/A</v>
      </c>
      <c r="AC986" s="34" t="e">
        <f t="shared" ca="1" si="336"/>
        <v>#N/A</v>
      </c>
      <c r="AD986" s="34" t="e">
        <f t="shared" ca="1" si="337"/>
        <v>#N/A</v>
      </c>
      <c r="AE986" s="33" t="e">
        <f t="shared" ca="1" si="338"/>
        <v>#N/A</v>
      </c>
      <c r="AF986" s="34" t="e">
        <f t="shared" ca="1" si="330"/>
        <v>#N/A</v>
      </c>
      <c r="AG986" s="34" t="e">
        <f t="shared" ca="1" si="331"/>
        <v>#N/A</v>
      </c>
      <c r="AH986" s="34" t="e">
        <f t="shared" ca="1" si="332"/>
        <v>#N/A</v>
      </c>
      <c r="AI986" s="33" t="e">
        <f t="shared" ca="1" si="339"/>
        <v>#N/A</v>
      </c>
      <c r="AJ986" s="34" t="e">
        <f t="shared" ca="1" si="340"/>
        <v>#N/A</v>
      </c>
      <c r="AK986" s="34" t="e">
        <f t="shared" ca="1" si="333"/>
        <v>#N/A</v>
      </c>
      <c r="AL986" s="34" t="e">
        <f t="shared" ca="1" si="334"/>
        <v>#N/A</v>
      </c>
      <c r="AM986" s="33" t="e">
        <f t="shared" ca="1" si="341"/>
        <v>#N/A</v>
      </c>
      <c r="AN986" s="34" t="e">
        <f t="shared" ca="1" si="342"/>
        <v>#N/A</v>
      </c>
    </row>
    <row r="987" spans="1:40" x14ac:dyDescent="0.3">
      <c r="A987" s="2">
        <v>44893</v>
      </c>
      <c r="B987" s="9">
        <v>76.029999000000004</v>
      </c>
      <c r="C987" s="9">
        <v>107.949997</v>
      </c>
      <c r="D987" s="9">
        <v>134.83999600000001</v>
      </c>
      <c r="E987" s="10"/>
      <c r="F987" s="13">
        <v>984</v>
      </c>
      <c r="G987" s="2">
        <v>44893</v>
      </c>
      <c r="H987" s="14">
        <f t="shared" si="323"/>
        <v>-2.3141945837558874E-2</v>
      </c>
      <c r="I987" s="14">
        <f t="shared" si="324"/>
        <v>-1.3982419081216618E-2</v>
      </c>
      <c r="J987" s="14">
        <f t="shared" si="325"/>
        <v>-2.6059139129895287E-2</v>
      </c>
      <c r="K987" s="22">
        <v>984</v>
      </c>
      <c r="L987" s="12"/>
      <c r="Q987" s="15">
        <f t="shared" si="326"/>
        <v>984</v>
      </c>
      <c r="R987" s="2">
        <f t="shared" si="322"/>
        <v>44893</v>
      </c>
      <c r="S987" s="9">
        <f t="shared" ca="1" si="327"/>
        <v>-2.3141945837558874E-2</v>
      </c>
      <c r="T987" s="9">
        <f t="shared" ca="1" si="328"/>
        <v>-1.3982419081216618E-2</v>
      </c>
      <c r="U987" s="9">
        <f t="shared" ca="1" si="329"/>
        <v>-2.6059139129895287E-2</v>
      </c>
      <c r="AB987" s="33" t="e">
        <f t="shared" ca="1" si="335"/>
        <v>#N/A</v>
      </c>
      <c r="AC987" s="34" t="e">
        <f t="shared" ca="1" si="336"/>
        <v>#N/A</v>
      </c>
      <c r="AD987" s="34" t="e">
        <f t="shared" ca="1" si="337"/>
        <v>#N/A</v>
      </c>
      <c r="AE987" s="33" t="e">
        <f t="shared" ca="1" si="338"/>
        <v>#N/A</v>
      </c>
      <c r="AF987" s="34" t="e">
        <f t="shared" ca="1" si="330"/>
        <v>#N/A</v>
      </c>
      <c r="AG987" s="34" t="e">
        <f t="shared" ca="1" si="331"/>
        <v>#N/A</v>
      </c>
      <c r="AH987" s="34" t="e">
        <f t="shared" ca="1" si="332"/>
        <v>#N/A</v>
      </c>
      <c r="AI987" s="33" t="e">
        <f t="shared" ca="1" si="339"/>
        <v>#N/A</v>
      </c>
      <c r="AJ987" s="34" t="e">
        <f t="shared" ca="1" si="340"/>
        <v>#N/A</v>
      </c>
      <c r="AK987" s="34" t="e">
        <f t="shared" ca="1" si="333"/>
        <v>#N/A</v>
      </c>
      <c r="AL987" s="34" t="e">
        <f t="shared" ca="1" si="334"/>
        <v>#N/A</v>
      </c>
      <c r="AM987" s="33" t="e">
        <f t="shared" ca="1" si="341"/>
        <v>#N/A</v>
      </c>
      <c r="AN987" s="34" t="e">
        <f t="shared" ca="1" si="342"/>
        <v>#N/A</v>
      </c>
    </row>
    <row r="988" spans="1:40" x14ac:dyDescent="0.3">
      <c r="A988" s="2">
        <v>44894</v>
      </c>
      <c r="B988" s="9">
        <v>76.209998999999996</v>
      </c>
      <c r="C988" s="9">
        <v>112.660004</v>
      </c>
      <c r="D988" s="9">
        <v>135.199997</v>
      </c>
      <c r="E988" s="10"/>
      <c r="F988" s="13">
        <v>985</v>
      </c>
      <c r="G988" s="2">
        <v>44894</v>
      </c>
      <c r="H988" s="14">
        <f t="shared" si="323"/>
        <v>2.3646884687460968E-3</v>
      </c>
      <c r="I988" s="14">
        <f t="shared" si="324"/>
        <v>4.27063398014546E-2</v>
      </c>
      <c r="J988" s="14">
        <f t="shared" si="325"/>
        <v>2.6662807184426938E-3</v>
      </c>
      <c r="K988" s="22">
        <v>985</v>
      </c>
      <c r="L988" s="12"/>
      <c r="Q988" s="15">
        <f t="shared" si="326"/>
        <v>985</v>
      </c>
      <c r="R988" s="2">
        <f t="shared" si="322"/>
        <v>44894</v>
      </c>
      <c r="S988" s="9">
        <f t="shared" ca="1" si="327"/>
        <v>2.3646884687460968E-3</v>
      </c>
      <c r="T988" s="9">
        <f t="shared" ca="1" si="328"/>
        <v>4.27063398014546E-2</v>
      </c>
      <c r="U988" s="9">
        <f t="shared" ca="1" si="329"/>
        <v>2.6662807184426938E-3</v>
      </c>
      <c r="AB988" s="33" t="e">
        <f t="shared" ca="1" si="335"/>
        <v>#N/A</v>
      </c>
      <c r="AC988" s="34" t="e">
        <f t="shared" ca="1" si="336"/>
        <v>#N/A</v>
      </c>
      <c r="AD988" s="34" t="e">
        <f t="shared" ca="1" si="337"/>
        <v>#N/A</v>
      </c>
      <c r="AE988" s="33" t="e">
        <f t="shared" ca="1" si="338"/>
        <v>#N/A</v>
      </c>
      <c r="AF988" s="34" t="e">
        <f t="shared" ca="1" si="330"/>
        <v>#N/A</v>
      </c>
      <c r="AG988" s="34" t="e">
        <f t="shared" ca="1" si="331"/>
        <v>#N/A</v>
      </c>
      <c r="AH988" s="34" t="e">
        <f t="shared" ca="1" si="332"/>
        <v>#N/A</v>
      </c>
      <c r="AI988" s="33" t="e">
        <f t="shared" ca="1" si="339"/>
        <v>#N/A</v>
      </c>
      <c r="AJ988" s="34" t="e">
        <f t="shared" ca="1" si="340"/>
        <v>#N/A</v>
      </c>
      <c r="AK988" s="34" t="e">
        <f t="shared" ca="1" si="333"/>
        <v>#N/A</v>
      </c>
      <c r="AL988" s="34" t="e">
        <f t="shared" ca="1" si="334"/>
        <v>#N/A</v>
      </c>
      <c r="AM988" s="33" t="e">
        <f t="shared" ca="1" si="341"/>
        <v>#N/A</v>
      </c>
      <c r="AN988" s="34" t="e">
        <f t="shared" ca="1" si="342"/>
        <v>#N/A</v>
      </c>
    </row>
    <row r="989" spans="1:40" x14ac:dyDescent="0.3">
      <c r="A989" s="2">
        <v>44895</v>
      </c>
      <c r="B989" s="9">
        <v>78.779999000000004</v>
      </c>
      <c r="C989" s="9">
        <v>113.120003</v>
      </c>
      <c r="D989" s="9">
        <v>133.61999499999999</v>
      </c>
      <c r="E989" s="10"/>
      <c r="F989" s="13">
        <v>986</v>
      </c>
      <c r="G989" s="2">
        <v>44895</v>
      </c>
      <c r="H989" s="14">
        <f t="shared" si="323"/>
        <v>3.3166470292794431E-2</v>
      </c>
      <c r="I989" s="14">
        <f t="shared" si="324"/>
        <v>4.0747596971447723E-3</v>
      </c>
      <c r="J989" s="14">
        <f t="shared" si="325"/>
        <v>-1.1755228341731783E-2</v>
      </c>
      <c r="K989" s="22">
        <v>986</v>
      </c>
      <c r="L989" s="12"/>
      <c r="Q989" s="15">
        <f t="shared" si="326"/>
        <v>986</v>
      </c>
      <c r="R989" s="2">
        <f t="shared" si="322"/>
        <v>44895</v>
      </c>
      <c r="S989" s="9">
        <f t="shared" ca="1" si="327"/>
        <v>3.3166470292794431E-2</v>
      </c>
      <c r="T989" s="9">
        <f t="shared" ca="1" si="328"/>
        <v>4.0747596971447723E-3</v>
      </c>
      <c r="U989" s="9">
        <f t="shared" ca="1" si="329"/>
        <v>-1.1755228341731783E-2</v>
      </c>
      <c r="AB989" s="33" t="e">
        <f t="shared" ca="1" si="335"/>
        <v>#N/A</v>
      </c>
      <c r="AC989" s="34" t="e">
        <f t="shared" ca="1" si="336"/>
        <v>#N/A</v>
      </c>
      <c r="AD989" s="34" t="e">
        <f t="shared" ca="1" si="337"/>
        <v>#N/A</v>
      </c>
      <c r="AE989" s="33" t="e">
        <f t="shared" ca="1" si="338"/>
        <v>#N/A</v>
      </c>
      <c r="AF989" s="34" t="e">
        <f t="shared" ca="1" si="330"/>
        <v>#N/A</v>
      </c>
      <c r="AG989" s="34" t="e">
        <f t="shared" ca="1" si="331"/>
        <v>#N/A</v>
      </c>
      <c r="AH989" s="34" t="e">
        <f t="shared" ca="1" si="332"/>
        <v>#N/A</v>
      </c>
      <c r="AI989" s="33" t="e">
        <f t="shared" ca="1" si="339"/>
        <v>#N/A</v>
      </c>
      <c r="AJ989" s="34" t="e">
        <f t="shared" ca="1" si="340"/>
        <v>#N/A</v>
      </c>
      <c r="AK989" s="34" t="e">
        <f t="shared" ca="1" si="333"/>
        <v>#N/A</v>
      </c>
      <c r="AL989" s="34" t="e">
        <f t="shared" ca="1" si="334"/>
        <v>#N/A</v>
      </c>
      <c r="AM989" s="33" t="e">
        <f t="shared" ca="1" si="341"/>
        <v>#N/A</v>
      </c>
      <c r="AN989" s="34" t="e">
        <f t="shared" ca="1" si="342"/>
        <v>#N/A</v>
      </c>
    </row>
    <row r="990" spans="1:40" x14ac:dyDescent="0.3">
      <c r="A990" s="2">
        <v>44896</v>
      </c>
      <c r="B990" s="9">
        <v>78.480002999999996</v>
      </c>
      <c r="C990" s="9">
        <v>113.879997</v>
      </c>
      <c r="D990" s="9">
        <v>132.029999</v>
      </c>
      <c r="E990" s="10"/>
      <c r="F990" s="13">
        <v>987</v>
      </c>
      <c r="G990" s="2">
        <v>44896</v>
      </c>
      <c r="H990" s="14">
        <f t="shared" si="323"/>
        <v>-3.8152913657761543E-3</v>
      </c>
      <c r="I990" s="14">
        <f t="shared" si="324"/>
        <v>6.6960073975456044E-3</v>
      </c>
      <c r="J990" s="14">
        <f t="shared" si="325"/>
        <v>-1.1970751160708979E-2</v>
      </c>
      <c r="K990" s="22">
        <v>987</v>
      </c>
      <c r="L990" s="12"/>
      <c r="Q990" s="15">
        <f t="shared" si="326"/>
        <v>987</v>
      </c>
      <c r="R990" s="2">
        <f t="shared" si="322"/>
        <v>44896</v>
      </c>
      <c r="S990" s="9">
        <f t="shared" ca="1" si="327"/>
        <v>-3.8152913657761543E-3</v>
      </c>
      <c r="T990" s="9">
        <f t="shared" ca="1" si="328"/>
        <v>6.6960073975456044E-3</v>
      </c>
      <c r="U990" s="9">
        <f t="shared" ca="1" si="329"/>
        <v>-1.1970751160708979E-2</v>
      </c>
      <c r="AB990" s="33" t="e">
        <f t="shared" ca="1" si="335"/>
        <v>#N/A</v>
      </c>
      <c r="AC990" s="34" t="e">
        <f t="shared" ca="1" si="336"/>
        <v>#N/A</v>
      </c>
      <c r="AD990" s="34" t="e">
        <f t="shared" ca="1" si="337"/>
        <v>#N/A</v>
      </c>
      <c r="AE990" s="33" t="e">
        <f t="shared" ca="1" si="338"/>
        <v>#N/A</v>
      </c>
      <c r="AF990" s="34" t="e">
        <f t="shared" ca="1" si="330"/>
        <v>#N/A</v>
      </c>
      <c r="AG990" s="34" t="e">
        <f t="shared" ca="1" si="331"/>
        <v>#N/A</v>
      </c>
      <c r="AH990" s="34" t="e">
        <f t="shared" ca="1" si="332"/>
        <v>#N/A</v>
      </c>
      <c r="AI990" s="33" t="e">
        <f t="shared" ca="1" si="339"/>
        <v>#N/A</v>
      </c>
      <c r="AJ990" s="34" t="e">
        <f t="shared" ca="1" si="340"/>
        <v>#N/A</v>
      </c>
      <c r="AK990" s="34" t="e">
        <f t="shared" ca="1" si="333"/>
        <v>#N/A</v>
      </c>
      <c r="AL990" s="34" t="e">
        <f t="shared" ca="1" si="334"/>
        <v>#N/A</v>
      </c>
      <c r="AM990" s="33" t="e">
        <f t="shared" ca="1" si="341"/>
        <v>#N/A</v>
      </c>
      <c r="AN990" s="34" t="e">
        <f t="shared" ca="1" si="342"/>
        <v>#N/A</v>
      </c>
    </row>
    <row r="991" spans="1:40" x14ac:dyDescent="0.3">
      <c r="A991" s="2">
        <v>44897</v>
      </c>
      <c r="B991" s="9">
        <v>77.480002999999996</v>
      </c>
      <c r="C991" s="9">
        <v>115.55999799999999</v>
      </c>
      <c r="D991" s="9">
        <v>127.07</v>
      </c>
      <c r="E991" s="10"/>
      <c r="F991" s="13">
        <v>988</v>
      </c>
      <c r="G991" s="2">
        <v>44897</v>
      </c>
      <c r="H991" s="14">
        <f t="shared" si="323"/>
        <v>-1.2823976224942671E-2</v>
      </c>
      <c r="I991" s="14">
        <f t="shared" si="324"/>
        <v>1.4644622224690689E-2</v>
      </c>
      <c r="J991" s="14">
        <f t="shared" si="325"/>
        <v>-3.8291046200630542E-2</v>
      </c>
      <c r="K991" s="22">
        <v>988</v>
      </c>
      <c r="L991" s="12"/>
      <c r="Q991" s="15">
        <f t="shared" si="326"/>
        <v>988</v>
      </c>
      <c r="R991" s="2">
        <f t="shared" si="322"/>
        <v>44897</v>
      </c>
      <c r="S991" s="9">
        <f t="shared" ca="1" si="327"/>
        <v>-1.2823976224942671E-2</v>
      </c>
      <c r="T991" s="9">
        <f t="shared" ca="1" si="328"/>
        <v>1.4644622224690689E-2</v>
      </c>
      <c r="U991" s="9">
        <f t="shared" ca="1" si="329"/>
        <v>-3.8291046200630542E-2</v>
      </c>
      <c r="AB991" s="33" t="e">
        <f t="shared" ca="1" si="335"/>
        <v>#N/A</v>
      </c>
      <c r="AC991" s="34" t="e">
        <f t="shared" ca="1" si="336"/>
        <v>#N/A</v>
      </c>
      <c r="AD991" s="34" t="e">
        <f t="shared" ca="1" si="337"/>
        <v>#N/A</v>
      </c>
      <c r="AE991" s="33" t="e">
        <f t="shared" ca="1" si="338"/>
        <v>#N/A</v>
      </c>
      <c r="AF991" s="34" t="e">
        <f t="shared" ca="1" si="330"/>
        <v>#N/A</v>
      </c>
      <c r="AG991" s="34" t="e">
        <f t="shared" ca="1" si="331"/>
        <v>#N/A</v>
      </c>
      <c r="AH991" s="34" t="e">
        <f t="shared" ca="1" si="332"/>
        <v>#N/A</v>
      </c>
      <c r="AI991" s="33" t="e">
        <f t="shared" ca="1" si="339"/>
        <v>#N/A</v>
      </c>
      <c r="AJ991" s="34" t="e">
        <f t="shared" ca="1" si="340"/>
        <v>#N/A</v>
      </c>
      <c r="AK991" s="34" t="e">
        <f t="shared" ca="1" si="333"/>
        <v>#N/A</v>
      </c>
      <c r="AL991" s="34" t="e">
        <f t="shared" ca="1" si="334"/>
        <v>#N/A</v>
      </c>
      <c r="AM991" s="33" t="e">
        <f t="shared" ca="1" si="341"/>
        <v>#N/A</v>
      </c>
      <c r="AN991" s="34" t="e">
        <f t="shared" ca="1" si="342"/>
        <v>#N/A</v>
      </c>
    </row>
    <row r="992" spans="1:40" x14ac:dyDescent="0.3">
      <c r="A992" s="2">
        <v>44900</v>
      </c>
      <c r="B992" s="9">
        <v>75.559997999999993</v>
      </c>
      <c r="C992" s="9">
        <v>111.010002</v>
      </c>
      <c r="D992" s="9">
        <v>120.959999</v>
      </c>
      <c r="E992" s="10"/>
      <c r="F992" s="13">
        <v>989</v>
      </c>
      <c r="G992" s="2">
        <v>44900</v>
      </c>
      <c r="H992" s="14">
        <f t="shared" si="323"/>
        <v>-2.5092861094186843E-2</v>
      </c>
      <c r="I992" s="14">
        <f t="shared" si="324"/>
        <v>-4.0169552930057119E-2</v>
      </c>
      <c r="J992" s="14">
        <f t="shared" si="325"/>
        <v>-4.92782115524159E-2</v>
      </c>
      <c r="K992" s="22">
        <v>989</v>
      </c>
      <c r="L992" s="12"/>
      <c r="Q992" s="15">
        <f t="shared" si="326"/>
        <v>989</v>
      </c>
      <c r="R992" s="2">
        <f t="shared" si="322"/>
        <v>44900</v>
      </c>
      <c r="S992" s="9">
        <f t="shared" ca="1" si="327"/>
        <v>-2.5092861094186843E-2</v>
      </c>
      <c r="T992" s="9">
        <f t="shared" ca="1" si="328"/>
        <v>-4.0169552930057119E-2</v>
      </c>
      <c r="U992" s="9">
        <f t="shared" ca="1" si="329"/>
        <v>-4.92782115524159E-2</v>
      </c>
      <c r="AB992" s="33" t="e">
        <f t="shared" ca="1" si="335"/>
        <v>#N/A</v>
      </c>
      <c r="AC992" s="34" t="e">
        <f t="shared" ca="1" si="336"/>
        <v>#N/A</v>
      </c>
      <c r="AD992" s="34" t="e">
        <f t="shared" ca="1" si="337"/>
        <v>#N/A</v>
      </c>
      <c r="AE992" s="33" t="e">
        <f t="shared" ca="1" si="338"/>
        <v>#N/A</v>
      </c>
      <c r="AF992" s="34" t="e">
        <f t="shared" ca="1" si="330"/>
        <v>#N/A</v>
      </c>
      <c r="AG992" s="34" t="e">
        <f t="shared" ca="1" si="331"/>
        <v>#N/A</v>
      </c>
      <c r="AH992" s="34" t="e">
        <f t="shared" ca="1" si="332"/>
        <v>#N/A</v>
      </c>
      <c r="AI992" s="33" t="e">
        <f t="shared" ca="1" si="339"/>
        <v>#N/A</v>
      </c>
      <c r="AJ992" s="34" t="e">
        <f t="shared" ca="1" si="340"/>
        <v>#N/A</v>
      </c>
      <c r="AK992" s="34" t="e">
        <f t="shared" ca="1" si="333"/>
        <v>#N/A</v>
      </c>
      <c r="AL992" s="34" t="e">
        <f t="shared" ca="1" si="334"/>
        <v>#N/A</v>
      </c>
      <c r="AM992" s="33" t="e">
        <f t="shared" ca="1" si="341"/>
        <v>#N/A</v>
      </c>
      <c r="AN992" s="34" t="e">
        <f t="shared" ca="1" si="342"/>
        <v>#N/A</v>
      </c>
    </row>
    <row r="993" spans="1:40" x14ac:dyDescent="0.3">
      <c r="A993" s="2">
        <v>44901</v>
      </c>
      <c r="B993" s="9">
        <v>73.849997999999999</v>
      </c>
      <c r="C993" s="9">
        <v>110.82</v>
      </c>
      <c r="D993" s="9">
        <v>118.860001</v>
      </c>
      <c r="E993" s="10"/>
      <c r="F993" s="13">
        <v>990</v>
      </c>
      <c r="G993" s="2">
        <v>44901</v>
      </c>
      <c r="H993" s="14">
        <f t="shared" si="323"/>
        <v>-2.2891034268811537E-2</v>
      </c>
      <c r="I993" s="14">
        <f t="shared" si="324"/>
        <v>-1.7130419217470114E-3</v>
      </c>
      <c r="J993" s="14">
        <f t="shared" si="325"/>
        <v>-1.7513565812253259E-2</v>
      </c>
      <c r="K993" s="22">
        <v>990</v>
      </c>
      <c r="L993" s="12"/>
      <c r="Q993" s="15">
        <f t="shared" si="326"/>
        <v>990</v>
      </c>
      <c r="R993" s="2">
        <f t="shared" si="322"/>
        <v>44901</v>
      </c>
      <c r="S993" s="9">
        <f t="shared" ca="1" si="327"/>
        <v>-2.2891034268811537E-2</v>
      </c>
      <c r="T993" s="9">
        <f t="shared" ca="1" si="328"/>
        <v>-1.7130419217470114E-3</v>
      </c>
      <c r="U993" s="9">
        <f t="shared" ca="1" si="329"/>
        <v>-1.7513565812253259E-2</v>
      </c>
      <c r="AB993" s="33" t="e">
        <f t="shared" ca="1" si="335"/>
        <v>#N/A</v>
      </c>
      <c r="AC993" s="34" t="e">
        <f t="shared" ca="1" si="336"/>
        <v>#N/A</v>
      </c>
      <c r="AD993" s="34" t="e">
        <f t="shared" ca="1" si="337"/>
        <v>#N/A</v>
      </c>
      <c r="AE993" s="33" t="e">
        <f t="shared" ca="1" si="338"/>
        <v>#N/A</v>
      </c>
      <c r="AF993" s="34" t="e">
        <f t="shared" ca="1" si="330"/>
        <v>#N/A</v>
      </c>
      <c r="AG993" s="34" t="e">
        <f t="shared" ca="1" si="331"/>
        <v>#N/A</v>
      </c>
      <c r="AH993" s="34" t="e">
        <f t="shared" ca="1" si="332"/>
        <v>#N/A</v>
      </c>
      <c r="AI993" s="33" t="e">
        <f t="shared" ca="1" si="339"/>
        <v>#N/A</v>
      </c>
      <c r="AJ993" s="34" t="e">
        <f t="shared" ca="1" si="340"/>
        <v>#N/A</v>
      </c>
      <c r="AK993" s="34" t="e">
        <f t="shared" ca="1" si="333"/>
        <v>#N/A</v>
      </c>
      <c r="AL993" s="34" t="e">
        <f t="shared" ca="1" si="334"/>
        <v>#N/A</v>
      </c>
      <c r="AM993" s="33" t="e">
        <f t="shared" ca="1" si="341"/>
        <v>#N/A</v>
      </c>
      <c r="AN993" s="34" t="e">
        <f t="shared" ca="1" si="342"/>
        <v>#N/A</v>
      </c>
    </row>
    <row r="994" spans="1:40" x14ac:dyDescent="0.3">
      <c r="A994" s="2">
        <v>44902</v>
      </c>
      <c r="B994" s="9">
        <v>73.889999000000003</v>
      </c>
      <c r="C994" s="9">
        <v>109.779999</v>
      </c>
      <c r="D994" s="9">
        <v>120.19000200000001</v>
      </c>
      <c r="E994" s="10"/>
      <c r="F994" s="13">
        <v>991</v>
      </c>
      <c r="G994" s="2">
        <v>44902</v>
      </c>
      <c r="H994" s="14">
        <f t="shared" si="323"/>
        <v>5.4150537145943099E-4</v>
      </c>
      <c r="I994" s="14">
        <f t="shared" si="324"/>
        <v>-9.4289094265877556E-3</v>
      </c>
      <c r="J994" s="14">
        <f t="shared" si="325"/>
        <v>1.1127502253242992E-2</v>
      </c>
      <c r="K994" s="22">
        <v>991</v>
      </c>
      <c r="L994" s="12"/>
      <c r="Q994" s="15">
        <f t="shared" si="326"/>
        <v>991</v>
      </c>
      <c r="R994" s="2">
        <f t="shared" si="322"/>
        <v>44902</v>
      </c>
      <c r="S994" s="9">
        <f t="shared" ca="1" si="327"/>
        <v>5.4150537145943099E-4</v>
      </c>
      <c r="T994" s="9">
        <f t="shared" ca="1" si="328"/>
        <v>-9.4289094265877556E-3</v>
      </c>
      <c r="U994" s="9">
        <f t="shared" ca="1" si="329"/>
        <v>1.1127502253242992E-2</v>
      </c>
      <c r="AB994" s="33" t="e">
        <f t="shared" ca="1" si="335"/>
        <v>#N/A</v>
      </c>
      <c r="AC994" s="34" t="e">
        <f t="shared" ca="1" si="336"/>
        <v>#N/A</v>
      </c>
      <c r="AD994" s="34" t="e">
        <f t="shared" ca="1" si="337"/>
        <v>#N/A</v>
      </c>
      <c r="AE994" s="33" t="e">
        <f t="shared" ca="1" si="338"/>
        <v>#N/A</v>
      </c>
      <c r="AF994" s="34" t="e">
        <f t="shared" ca="1" si="330"/>
        <v>#N/A</v>
      </c>
      <c r="AG994" s="34" t="e">
        <f t="shared" ca="1" si="331"/>
        <v>#N/A</v>
      </c>
      <c r="AH994" s="34" t="e">
        <f t="shared" ca="1" si="332"/>
        <v>#N/A</v>
      </c>
      <c r="AI994" s="33" t="e">
        <f t="shared" ca="1" si="339"/>
        <v>#N/A</v>
      </c>
      <c r="AJ994" s="34" t="e">
        <f t="shared" ca="1" si="340"/>
        <v>#N/A</v>
      </c>
      <c r="AK994" s="34" t="e">
        <f t="shared" ca="1" si="333"/>
        <v>#N/A</v>
      </c>
      <c r="AL994" s="34" t="e">
        <f t="shared" ca="1" si="334"/>
        <v>#N/A</v>
      </c>
      <c r="AM994" s="33" t="e">
        <f t="shared" ca="1" si="341"/>
        <v>#N/A</v>
      </c>
      <c r="AN994" s="34" t="e">
        <f t="shared" ca="1" si="342"/>
        <v>#N/A</v>
      </c>
    </row>
    <row r="995" spans="1:40" x14ac:dyDescent="0.3">
      <c r="A995" s="2">
        <v>44903</v>
      </c>
      <c r="B995" s="9">
        <v>73.010002</v>
      </c>
      <c r="C995" s="9">
        <v>112.129997</v>
      </c>
      <c r="D995" s="9">
        <v>116.900002</v>
      </c>
      <c r="E995" s="10"/>
      <c r="F995" s="13">
        <v>992</v>
      </c>
      <c r="G995" s="2">
        <v>44903</v>
      </c>
      <c r="H995" s="14">
        <f t="shared" si="323"/>
        <v>-1.1981041805423346E-2</v>
      </c>
      <c r="I995" s="14">
        <f t="shared" si="324"/>
        <v>2.1180531705513508E-2</v>
      </c>
      <c r="J995" s="14">
        <f t="shared" si="325"/>
        <v>-2.7754955018354486E-2</v>
      </c>
      <c r="K995" s="22">
        <v>992</v>
      </c>
      <c r="L995" s="12"/>
      <c r="Q995" s="15">
        <f t="shared" si="326"/>
        <v>992</v>
      </c>
      <c r="R995" s="2">
        <f t="shared" si="322"/>
        <v>44903</v>
      </c>
      <c r="S995" s="9">
        <f t="shared" ca="1" si="327"/>
        <v>-1.1981041805423346E-2</v>
      </c>
      <c r="T995" s="9">
        <f t="shared" ca="1" si="328"/>
        <v>2.1180531705513508E-2</v>
      </c>
      <c r="U995" s="9">
        <f t="shared" ca="1" si="329"/>
        <v>-2.7754955018354486E-2</v>
      </c>
      <c r="AB995" s="33" t="e">
        <f t="shared" ca="1" si="335"/>
        <v>#N/A</v>
      </c>
      <c r="AC995" s="34" t="e">
        <f t="shared" ca="1" si="336"/>
        <v>#N/A</v>
      </c>
      <c r="AD995" s="34" t="e">
        <f t="shared" ca="1" si="337"/>
        <v>#N/A</v>
      </c>
      <c r="AE995" s="33" t="e">
        <f t="shared" ca="1" si="338"/>
        <v>#N/A</v>
      </c>
      <c r="AF995" s="34" t="e">
        <f t="shared" ca="1" si="330"/>
        <v>#N/A</v>
      </c>
      <c r="AG995" s="34" t="e">
        <f t="shared" ca="1" si="331"/>
        <v>#N/A</v>
      </c>
      <c r="AH995" s="34" t="e">
        <f t="shared" ca="1" si="332"/>
        <v>#N/A</v>
      </c>
      <c r="AI995" s="33" t="e">
        <f t="shared" ca="1" si="339"/>
        <v>#N/A</v>
      </c>
      <c r="AJ995" s="34" t="e">
        <f t="shared" ca="1" si="340"/>
        <v>#N/A</v>
      </c>
      <c r="AK995" s="34" t="e">
        <f t="shared" ca="1" si="333"/>
        <v>#N/A</v>
      </c>
      <c r="AL995" s="34" t="e">
        <f t="shared" ca="1" si="334"/>
        <v>#N/A</v>
      </c>
      <c r="AM995" s="33" t="e">
        <f t="shared" ca="1" si="341"/>
        <v>#N/A</v>
      </c>
      <c r="AN995" s="34" t="e">
        <f t="shared" ca="1" si="342"/>
        <v>#N/A</v>
      </c>
    </row>
    <row r="996" spans="1:40" x14ac:dyDescent="0.3">
      <c r="A996" s="2">
        <v>44904</v>
      </c>
      <c r="B996" s="9">
        <v>73.010002</v>
      </c>
      <c r="C996" s="9">
        <v>107.510002</v>
      </c>
      <c r="D996" s="9">
        <v>114.650002</v>
      </c>
      <c r="E996" s="10"/>
      <c r="F996" s="13">
        <v>993</v>
      </c>
      <c r="G996" s="2">
        <v>44904</v>
      </c>
      <c r="H996" s="14">
        <f t="shared" si="323"/>
        <v>0</v>
      </c>
      <c r="I996" s="14">
        <f t="shared" si="324"/>
        <v>-4.2075000618072088E-2</v>
      </c>
      <c r="J996" s="14">
        <f t="shared" si="325"/>
        <v>-1.9434858838353143E-2</v>
      </c>
      <c r="K996" s="22">
        <v>993</v>
      </c>
      <c r="L996" s="12"/>
      <c r="Q996" s="15">
        <f t="shared" si="326"/>
        <v>993</v>
      </c>
      <c r="R996" s="2">
        <f t="shared" si="322"/>
        <v>44904</v>
      </c>
      <c r="S996" s="9">
        <f t="shared" ca="1" si="327"/>
        <v>0</v>
      </c>
      <c r="T996" s="9">
        <f t="shared" ca="1" si="328"/>
        <v>-4.2075000618072088E-2</v>
      </c>
      <c r="U996" s="9">
        <f t="shared" ca="1" si="329"/>
        <v>-1.9434858838353143E-2</v>
      </c>
      <c r="AB996" s="33" t="e">
        <f t="shared" ca="1" si="335"/>
        <v>#N/A</v>
      </c>
      <c r="AC996" s="34" t="e">
        <f t="shared" ca="1" si="336"/>
        <v>#N/A</v>
      </c>
      <c r="AD996" s="34" t="e">
        <f t="shared" ca="1" si="337"/>
        <v>#N/A</v>
      </c>
      <c r="AE996" s="33" t="e">
        <f t="shared" ca="1" si="338"/>
        <v>#N/A</v>
      </c>
      <c r="AF996" s="34" t="e">
        <f t="shared" ca="1" si="330"/>
        <v>#N/A</v>
      </c>
      <c r="AG996" s="34" t="e">
        <f t="shared" ca="1" si="331"/>
        <v>#N/A</v>
      </c>
      <c r="AH996" s="34" t="e">
        <f t="shared" ca="1" si="332"/>
        <v>#N/A</v>
      </c>
      <c r="AI996" s="33" t="e">
        <f t="shared" ca="1" si="339"/>
        <v>#N/A</v>
      </c>
      <c r="AJ996" s="34" t="e">
        <f t="shared" ca="1" si="340"/>
        <v>#N/A</v>
      </c>
      <c r="AK996" s="34" t="e">
        <f t="shared" ca="1" si="333"/>
        <v>#N/A</v>
      </c>
      <c r="AL996" s="34" t="e">
        <f t="shared" ca="1" si="334"/>
        <v>#N/A</v>
      </c>
      <c r="AM996" s="33" t="e">
        <f t="shared" ca="1" si="341"/>
        <v>#N/A</v>
      </c>
      <c r="AN996" s="34" t="e">
        <f t="shared" ca="1" si="342"/>
        <v>#N/A</v>
      </c>
    </row>
    <row r="997" spans="1:40" x14ac:dyDescent="0.3">
      <c r="A997" s="2">
        <v>44907</v>
      </c>
      <c r="B997" s="9">
        <v>74.919998000000007</v>
      </c>
      <c r="C997" s="9">
        <v>111.220001</v>
      </c>
      <c r="D997" s="9">
        <v>120.660004</v>
      </c>
      <c r="E997" s="10"/>
      <c r="F997" s="13">
        <v>994</v>
      </c>
      <c r="G997" s="2">
        <v>44907</v>
      </c>
      <c r="H997" s="14">
        <f t="shared" si="323"/>
        <v>2.5824405419244197E-2</v>
      </c>
      <c r="I997" s="14">
        <f t="shared" si="324"/>
        <v>3.392634565054941E-2</v>
      </c>
      <c r="J997" s="14">
        <f t="shared" si="325"/>
        <v>5.1092679415308706E-2</v>
      </c>
      <c r="K997" s="22">
        <v>994</v>
      </c>
      <c r="L997" s="12"/>
      <c r="Q997" s="15">
        <f t="shared" si="326"/>
        <v>994</v>
      </c>
      <c r="R997" s="2">
        <f t="shared" si="322"/>
        <v>44907</v>
      </c>
      <c r="S997" s="9">
        <f t="shared" ca="1" si="327"/>
        <v>2.5824405419244197E-2</v>
      </c>
      <c r="T997" s="9">
        <f t="shared" ca="1" si="328"/>
        <v>3.392634565054941E-2</v>
      </c>
      <c r="U997" s="9">
        <f t="shared" ca="1" si="329"/>
        <v>5.1092679415308706E-2</v>
      </c>
      <c r="AB997" s="33" t="e">
        <f t="shared" ca="1" si="335"/>
        <v>#N/A</v>
      </c>
      <c r="AC997" s="34" t="e">
        <f t="shared" ca="1" si="336"/>
        <v>#N/A</v>
      </c>
      <c r="AD997" s="34" t="e">
        <f t="shared" ca="1" si="337"/>
        <v>#N/A</v>
      </c>
      <c r="AE997" s="33" t="e">
        <f t="shared" ca="1" si="338"/>
        <v>#N/A</v>
      </c>
      <c r="AF997" s="34" t="e">
        <f t="shared" ca="1" si="330"/>
        <v>#N/A</v>
      </c>
      <c r="AG997" s="34" t="e">
        <f t="shared" ca="1" si="331"/>
        <v>#N/A</v>
      </c>
      <c r="AH997" s="34" t="e">
        <f t="shared" ca="1" si="332"/>
        <v>#N/A</v>
      </c>
      <c r="AI997" s="33" t="e">
        <f t="shared" ca="1" si="339"/>
        <v>#N/A</v>
      </c>
      <c r="AJ997" s="34" t="e">
        <f t="shared" ca="1" si="340"/>
        <v>#N/A</v>
      </c>
      <c r="AK997" s="34" t="e">
        <f t="shared" ca="1" si="333"/>
        <v>#N/A</v>
      </c>
      <c r="AL997" s="34" t="e">
        <f t="shared" ca="1" si="334"/>
        <v>#N/A</v>
      </c>
      <c r="AM997" s="33" t="e">
        <f t="shared" ca="1" si="341"/>
        <v>#N/A</v>
      </c>
      <c r="AN997" s="34" t="e">
        <f t="shared" ca="1" si="342"/>
        <v>#N/A</v>
      </c>
    </row>
    <row r="998" spans="1:40" x14ac:dyDescent="0.3">
      <c r="A998" s="2">
        <v>44908</v>
      </c>
      <c r="B998" s="9">
        <v>76.050003000000004</v>
      </c>
      <c r="C998" s="9">
        <v>111.160004</v>
      </c>
      <c r="D998" s="9">
        <v>120.529999</v>
      </c>
      <c r="E998" s="10"/>
      <c r="F998" s="13">
        <v>995</v>
      </c>
      <c r="G998" s="2">
        <v>44908</v>
      </c>
      <c r="H998" s="14">
        <f t="shared" si="323"/>
        <v>1.4970207272286802E-2</v>
      </c>
      <c r="I998" s="14">
        <f t="shared" si="324"/>
        <v>-5.3958989213723631E-4</v>
      </c>
      <c r="J998" s="14">
        <f t="shared" si="325"/>
        <v>-1.0780298600553326E-3</v>
      </c>
      <c r="K998" s="22">
        <v>995</v>
      </c>
      <c r="L998" s="12"/>
      <c r="Q998" s="15">
        <f t="shared" si="326"/>
        <v>995</v>
      </c>
      <c r="R998" s="2">
        <f t="shared" si="322"/>
        <v>44908</v>
      </c>
      <c r="S998" s="9">
        <f t="shared" ca="1" si="327"/>
        <v>1.4970207272286802E-2</v>
      </c>
      <c r="T998" s="9">
        <f t="shared" ca="1" si="328"/>
        <v>-5.3958989213723631E-4</v>
      </c>
      <c r="U998" s="9">
        <f t="shared" ca="1" si="329"/>
        <v>-1.0780298600553326E-3</v>
      </c>
      <c r="AB998" s="33" t="e">
        <f t="shared" ca="1" si="335"/>
        <v>#N/A</v>
      </c>
      <c r="AC998" s="34" t="e">
        <f t="shared" ca="1" si="336"/>
        <v>#N/A</v>
      </c>
      <c r="AD998" s="34" t="e">
        <f t="shared" ca="1" si="337"/>
        <v>#N/A</v>
      </c>
      <c r="AE998" s="33" t="e">
        <f t="shared" ca="1" si="338"/>
        <v>#N/A</v>
      </c>
      <c r="AF998" s="34" t="e">
        <f t="shared" ca="1" si="330"/>
        <v>#N/A</v>
      </c>
      <c r="AG998" s="34" t="e">
        <f t="shared" ca="1" si="331"/>
        <v>#N/A</v>
      </c>
      <c r="AH998" s="34" t="e">
        <f t="shared" ca="1" si="332"/>
        <v>#N/A</v>
      </c>
      <c r="AI998" s="33" t="e">
        <f t="shared" ca="1" si="339"/>
        <v>#N/A</v>
      </c>
      <c r="AJ998" s="34" t="e">
        <f t="shared" ca="1" si="340"/>
        <v>#N/A</v>
      </c>
      <c r="AK998" s="34" t="e">
        <f t="shared" ca="1" si="333"/>
        <v>#N/A</v>
      </c>
      <c r="AL998" s="34" t="e">
        <f t="shared" ca="1" si="334"/>
        <v>#N/A</v>
      </c>
      <c r="AM998" s="33" t="e">
        <f t="shared" ca="1" si="341"/>
        <v>#N/A</v>
      </c>
      <c r="AN998" s="34" t="e">
        <f t="shared" ca="1" si="342"/>
        <v>#N/A</v>
      </c>
    </row>
    <row r="999" spans="1:40" x14ac:dyDescent="0.3">
      <c r="A999" s="2">
        <v>44909</v>
      </c>
      <c r="B999" s="9">
        <v>75.589995999999999</v>
      </c>
      <c r="C999" s="9">
        <v>110.470001</v>
      </c>
      <c r="D999" s="9">
        <v>119.730003</v>
      </c>
      <c r="E999" s="10"/>
      <c r="F999" s="13">
        <v>996</v>
      </c>
      <c r="G999" s="2">
        <v>44909</v>
      </c>
      <c r="H999" s="14">
        <f t="shared" si="323"/>
        <v>-6.0671117660014307E-3</v>
      </c>
      <c r="I999" s="14">
        <f t="shared" si="324"/>
        <v>-6.2266409220542414E-3</v>
      </c>
      <c r="J999" s="14">
        <f t="shared" si="325"/>
        <v>-6.6594435184338906E-3</v>
      </c>
      <c r="K999" s="22">
        <v>996</v>
      </c>
      <c r="L999" s="12"/>
      <c r="Q999" s="15">
        <f t="shared" si="326"/>
        <v>996</v>
      </c>
      <c r="R999" s="2">
        <f t="shared" si="322"/>
        <v>44909</v>
      </c>
      <c r="S999" s="9">
        <f t="shared" ca="1" si="327"/>
        <v>-6.0671117660014307E-3</v>
      </c>
      <c r="T999" s="9">
        <f t="shared" ca="1" si="328"/>
        <v>-6.2266409220542414E-3</v>
      </c>
      <c r="U999" s="9">
        <f t="shared" ca="1" si="329"/>
        <v>-6.6594435184338906E-3</v>
      </c>
      <c r="AB999" s="33" t="e">
        <f t="shared" ca="1" si="335"/>
        <v>#N/A</v>
      </c>
      <c r="AC999" s="34" t="e">
        <f t="shared" ca="1" si="336"/>
        <v>#N/A</v>
      </c>
      <c r="AD999" s="34" t="e">
        <f t="shared" ca="1" si="337"/>
        <v>#N/A</v>
      </c>
      <c r="AE999" s="33" t="e">
        <f t="shared" ca="1" si="338"/>
        <v>#N/A</v>
      </c>
      <c r="AF999" s="34" t="e">
        <f t="shared" ca="1" si="330"/>
        <v>#N/A</v>
      </c>
      <c r="AG999" s="34" t="e">
        <f t="shared" ca="1" si="331"/>
        <v>#N/A</v>
      </c>
      <c r="AH999" s="34" t="e">
        <f t="shared" ca="1" si="332"/>
        <v>#N/A</v>
      </c>
      <c r="AI999" s="33" t="e">
        <f t="shared" ca="1" si="339"/>
        <v>#N/A</v>
      </c>
      <c r="AJ999" s="34" t="e">
        <f t="shared" ca="1" si="340"/>
        <v>#N/A</v>
      </c>
      <c r="AK999" s="34" t="e">
        <f t="shared" ca="1" si="333"/>
        <v>#N/A</v>
      </c>
      <c r="AL999" s="34" t="e">
        <f t="shared" ca="1" si="334"/>
        <v>#N/A</v>
      </c>
      <c r="AM999" s="33" t="e">
        <f t="shared" ca="1" si="341"/>
        <v>#N/A</v>
      </c>
      <c r="AN999" s="34" t="e">
        <f t="shared" ca="1" si="342"/>
        <v>#N/A</v>
      </c>
    </row>
    <row r="1000" spans="1:40" x14ac:dyDescent="0.3">
      <c r="A1000" s="2">
        <v>44910</v>
      </c>
      <c r="B1000" s="9">
        <v>73.339995999999999</v>
      </c>
      <c r="C1000" s="9">
        <v>106.57</v>
      </c>
      <c r="D1000" s="9">
        <v>119.91999800000001</v>
      </c>
      <c r="E1000" s="10"/>
      <c r="F1000" s="13">
        <v>997</v>
      </c>
      <c r="G1000" s="2">
        <v>44910</v>
      </c>
      <c r="H1000" s="14">
        <f t="shared" si="323"/>
        <v>-3.0217838284349277E-2</v>
      </c>
      <c r="I1000" s="14">
        <f t="shared" si="324"/>
        <v>-3.5941953703550279E-2</v>
      </c>
      <c r="J1000" s="14">
        <f t="shared" si="325"/>
        <v>1.5856043314281666E-3</v>
      </c>
      <c r="K1000" s="22">
        <v>997</v>
      </c>
      <c r="L1000" s="12"/>
      <c r="Q1000" s="15">
        <f t="shared" si="326"/>
        <v>997</v>
      </c>
      <c r="R1000" s="2">
        <f t="shared" si="322"/>
        <v>44910</v>
      </c>
      <c r="S1000" s="9">
        <f t="shared" ca="1" si="327"/>
        <v>-3.0217838284349277E-2</v>
      </c>
      <c r="T1000" s="9">
        <f t="shared" ca="1" si="328"/>
        <v>-3.5941953703550279E-2</v>
      </c>
      <c r="U1000" s="9">
        <f t="shared" ca="1" si="329"/>
        <v>1.5856043314281666E-3</v>
      </c>
      <c r="AB1000" s="33" t="e">
        <f t="shared" ca="1" si="335"/>
        <v>#N/A</v>
      </c>
      <c r="AC1000" s="34" t="e">
        <f t="shared" ca="1" si="336"/>
        <v>#N/A</v>
      </c>
      <c r="AD1000" s="34" t="e">
        <f t="shared" ca="1" si="337"/>
        <v>#N/A</v>
      </c>
      <c r="AE1000" s="33" t="e">
        <f t="shared" ca="1" si="338"/>
        <v>#N/A</v>
      </c>
      <c r="AF1000" s="34" t="e">
        <f t="shared" ca="1" si="330"/>
        <v>#N/A</v>
      </c>
      <c r="AG1000" s="34" t="e">
        <f t="shared" ca="1" si="331"/>
        <v>#N/A</v>
      </c>
      <c r="AH1000" s="34" t="e">
        <f t="shared" ca="1" si="332"/>
        <v>#N/A</v>
      </c>
      <c r="AI1000" s="33" t="e">
        <f t="shared" ca="1" si="339"/>
        <v>#N/A</v>
      </c>
      <c r="AJ1000" s="34" t="e">
        <f t="shared" ca="1" si="340"/>
        <v>#N/A</v>
      </c>
      <c r="AK1000" s="34" t="e">
        <f t="shared" ca="1" si="333"/>
        <v>#N/A</v>
      </c>
      <c r="AL1000" s="34" t="e">
        <f t="shared" ca="1" si="334"/>
        <v>#N/A</v>
      </c>
      <c r="AM1000" s="33" t="e">
        <f t="shared" ca="1" si="341"/>
        <v>#N/A</v>
      </c>
      <c r="AN1000" s="34" t="e">
        <f t="shared" ca="1" si="342"/>
        <v>#N/A</v>
      </c>
    </row>
    <row r="1001" spans="1:40" x14ac:dyDescent="0.3">
      <c r="A1001" s="2">
        <v>44911</v>
      </c>
      <c r="B1001" s="9">
        <v>73.089995999999999</v>
      </c>
      <c r="C1001" s="9">
        <v>105.18</v>
      </c>
      <c r="D1001" s="9">
        <v>119.370003</v>
      </c>
      <c r="E1001" s="10"/>
      <c r="F1001" s="13">
        <v>998</v>
      </c>
      <c r="G1001" s="2">
        <v>44911</v>
      </c>
      <c r="H1001" s="14">
        <f t="shared" si="323"/>
        <v>-3.4146043374321338E-3</v>
      </c>
      <c r="I1001" s="14">
        <f t="shared" si="324"/>
        <v>-1.3128878071666539E-2</v>
      </c>
      <c r="J1001" s="14">
        <f t="shared" si="325"/>
        <v>-4.5968988776676819E-3</v>
      </c>
      <c r="K1001" s="22">
        <v>998</v>
      </c>
      <c r="L1001" s="12"/>
      <c r="Q1001" s="15">
        <f t="shared" si="326"/>
        <v>998</v>
      </c>
      <c r="R1001" s="2">
        <f t="shared" si="322"/>
        <v>44911</v>
      </c>
      <c r="S1001" s="9">
        <f t="shared" ca="1" si="327"/>
        <v>-3.4146043374321338E-3</v>
      </c>
      <c r="T1001" s="9">
        <f t="shared" ca="1" si="328"/>
        <v>-1.3128878071666539E-2</v>
      </c>
      <c r="U1001" s="9">
        <f t="shared" ca="1" si="329"/>
        <v>-4.5968988776676819E-3</v>
      </c>
      <c r="AB1001" s="33" t="e">
        <f t="shared" ca="1" si="335"/>
        <v>#N/A</v>
      </c>
      <c r="AC1001" s="34" t="e">
        <f t="shared" ca="1" si="336"/>
        <v>#N/A</v>
      </c>
      <c r="AD1001" s="34" t="e">
        <f t="shared" ca="1" si="337"/>
        <v>#N/A</v>
      </c>
      <c r="AE1001" s="33" t="e">
        <f t="shared" ca="1" si="338"/>
        <v>#N/A</v>
      </c>
      <c r="AF1001" s="34" t="e">
        <f t="shared" ca="1" si="330"/>
        <v>#N/A</v>
      </c>
      <c r="AG1001" s="34" t="e">
        <f t="shared" ca="1" si="331"/>
        <v>#N/A</v>
      </c>
      <c r="AH1001" s="34" t="e">
        <f t="shared" ca="1" si="332"/>
        <v>#N/A</v>
      </c>
      <c r="AI1001" s="33" t="e">
        <f t="shared" ca="1" si="339"/>
        <v>#N/A</v>
      </c>
      <c r="AJ1001" s="34" t="e">
        <f t="shared" ca="1" si="340"/>
        <v>#N/A</v>
      </c>
      <c r="AK1001" s="34" t="e">
        <f t="shared" ca="1" si="333"/>
        <v>#N/A</v>
      </c>
      <c r="AL1001" s="34" t="e">
        <f t="shared" ca="1" si="334"/>
        <v>#N/A</v>
      </c>
      <c r="AM1001" s="33" t="e">
        <f t="shared" ca="1" si="341"/>
        <v>#N/A</v>
      </c>
      <c r="AN1001" s="34" t="e">
        <f t="shared" ca="1" si="342"/>
        <v>#N/A</v>
      </c>
    </row>
    <row r="1002" spans="1:40" x14ac:dyDescent="0.3">
      <c r="A1002" s="2">
        <v>44914</v>
      </c>
      <c r="B1002" s="9">
        <v>72.069999999999993</v>
      </c>
      <c r="C1002" s="9">
        <v>103.019997</v>
      </c>
      <c r="D1002" s="9">
        <v>119.709999</v>
      </c>
      <c r="E1002" s="10"/>
      <c r="F1002" s="13">
        <v>999</v>
      </c>
      <c r="G1002" s="2">
        <v>44914</v>
      </c>
      <c r="H1002" s="14">
        <f t="shared" si="323"/>
        <v>-1.405363482890039E-2</v>
      </c>
      <c r="I1002" s="14">
        <f t="shared" si="324"/>
        <v>-2.0750053144318516E-2</v>
      </c>
      <c r="J1002" s="14">
        <f t="shared" si="325"/>
        <v>2.8442046708680533E-3</v>
      </c>
      <c r="K1002" s="22">
        <v>999</v>
      </c>
      <c r="L1002" s="12"/>
      <c r="Q1002" s="15">
        <f t="shared" si="326"/>
        <v>999</v>
      </c>
      <c r="R1002" s="2">
        <f t="shared" si="322"/>
        <v>44914</v>
      </c>
      <c r="S1002" s="9">
        <f t="shared" ca="1" si="327"/>
        <v>-1.405363482890039E-2</v>
      </c>
      <c r="T1002" s="9">
        <f t="shared" ca="1" si="328"/>
        <v>-2.0750053144318516E-2</v>
      </c>
      <c r="U1002" s="9">
        <f t="shared" ca="1" si="329"/>
        <v>2.8442046708680533E-3</v>
      </c>
      <c r="AB1002" s="33" t="e">
        <f t="shared" ca="1" si="335"/>
        <v>#N/A</v>
      </c>
      <c r="AC1002" s="34" t="e">
        <f t="shared" ca="1" si="336"/>
        <v>#N/A</v>
      </c>
      <c r="AD1002" s="34" t="e">
        <f t="shared" ca="1" si="337"/>
        <v>#N/A</v>
      </c>
      <c r="AE1002" s="33" t="e">
        <f t="shared" ca="1" si="338"/>
        <v>#N/A</v>
      </c>
      <c r="AF1002" s="34" t="e">
        <f t="shared" ca="1" si="330"/>
        <v>#N/A</v>
      </c>
      <c r="AG1002" s="34" t="e">
        <f t="shared" ca="1" si="331"/>
        <v>#N/A</v>
      </c>
      <c r="AH1002" s="34" t="e">
        <f t="shared" ca="1" si="332"/>
        <v>#N/A</v>
      </c>
      <c r="AI1002" s="33" t="e">
        <f t="shared" ca="1" si="339"/>
        <v>#N/A</v>
      </c>
      <c r="AJ1002" s="34" t="e">
        <f t="shared" ca="1" si="340"/>
        <v>#N/A</v>
      </c>
      <c r="AK1002" s="34" t="e">
        <f t="shared" ca="1" si="333"/>
        <v>#N/A</v>
      </c>
      <c r="AL1002" s="34" t="e">
        <f t="shared" ca="1" si="334"/>
        <v>#N/A</v>
      </c>
      <c r="AM1002" s="33" t="e">
        <f t="shared" ca="1" si="341"/>
        <v>#N/A</v>
      </c>
      <c r="AN1002" s="34" t="e">
        <f t="shared" ca="1" si="342"/>
        <v>#N/A</v>
      </c>
    </row>
    <row r="1003" spans="1:40" x14ac:dyDescent="0.3">
      <c r="A1003" s="2">
        <v>44915</v>
      </c>
      <c r="B1003" s="9">
        <v>71.730002999999996</v>
      </c>
      <c r="C1003" s="9">
        <v>101.650002</v>
      </c>
      <c r="D1003" s="9">
        <v>121.879997</v>
      </c>
      <c r="E1003" s="10"/>
      <c r="F1003" s="13">
        <v>1000</v>
      </c>
      <c r="G1003" s="2">
        <v>44915</v>
      </c>
      <c r="H1003" s="14">
        <f t="shared" si="323"/>
        <v>-4.7287569745026242E-3</v>
      </c>
      <c r="I1003" s="14">
        <f t="shared" si="324"/>
        <v>-1.3387555267167579E-2</v>
      </c>
      <c r="J1003" s="14">
        <f t="shared" si="325"/>
        <v>1.7964786593375717E-2</v>
      </c>
      <c r="K1003" s="22">
        <v>1000</v>
      </c>
      <c r="L1003" s="12"/>
      <c r="Q1003" s="15">
        <f t="shared" si="326"/>
        <v>1000</v>
      </c>
      <c r="R1003" s="2">
        <f t="shared" si="322"/>
        <v>44915</v>
      </c>
      <c r="S1003" s="9">
        <f t="shared" ca="1" si="327"/>
        <v>-4.7287569745026242E-3</v>
      </c>
      <c r="T1003" s="9">
        <f t="shared" ca="1" si="328"/>
        <v>-1.3387555267167579E-2</v>
      </c>
      <c r="U1003" s="9">
        <f t="shared" ca="1" si="329"/>
        <v>1.7964786593375717E-2</v>
      </c>
      <c r="AB1003" s="33" t="e">
        <f t="shared" ca="1" si="335"/>
        <v>#N/A</v>
      </c>
      <c r="AC1003" s="34" t="e">
        <f t="shared" ca="1" si="336"/>
        <v>#N/A</v>
      </c>
      <c r="AD1003" s="34" t="e">
        <f t="shared" ca="1" si="337"/>
        <v>#N/A</v>
      </c>
      <c r="AE1003" s="33" t="e">
        <f t="shared" ca="1" si="338"/>
        <v>#N/A</v>
      </c>
      <c r="AF1003" s="34" t="e">
        <f t="shared" ca="1" si="330"/>
        <v>#N/A</v>
      </c>
      <c r="AG1003" s="34" t="e">
        <f t="shared" ca="1" si="331"/>
        <v>#N/A</v>
      </c>
      <c r="AH1003" s="34" t="e">
        <f t="shared" ca="1" si="332"/>
        <v>#N/A</v>
      </c>
      <c r="AI1003" s="33" t="e">
        <f t="shared" ca="1" si="339"/>
        <v>#N/A</v>
      </c>
      <c r="AJ1003" s="34" t="e">
        <f t="shared" ca="1" si="340"/>
        <v>#N/A</v>
      </c>
      <c r="AK1003" s="34" t="e">
        <f t="shared" ca="1" si="333"/>
        <v>#N/A</v>
      </c>
      <c r="AL1003" s="34" t="e">
        <f t="shared" ca="1" si="334"/>
        <v>#N/A</v>
      </c>
      <c r="AM1003" s="33" t="e">
        <f t="shared" ca="1" si="341"/>
        <v>#N/A</v>
      </c>
      <c r="AN1003" s="34" t="e">
        <f t="shared" ca="1" si="342"/>
        <v>#N/A</v>
      </c>
    </row>
    <row r="1004" spans="1:40" x14ac:dyDescent="0.3">
      <c r="A1004" s="2">
        <v>44916</v>
      </c>
      <c r="B1004" s="9">
        <v>73.160004000000001</v>
      </c>
      <c r="C1004" s="9">
        <v>103.33000199999999</v>
      </c>
      <c r="D1004" s="9">
        <v>122.68</v>
      </c>
      <c r="E1004" s="10"/>
      <c r="F1004" s="13">
        <v>1001</v>
      </c>
      <c r="G1004" s="2">
        <v>44916</v>
      </c>
      <c r="H1004" s="14">
        <f t="shared" si="323"/>
        <v>1.9739766235502207E-2</v>
      </c>
      <c r="I1004" s="14">
        <f t="shared" si="324"/>
        <v>1.6392209832014344E-2</v>
      </c>
      <c r="J1004" s="14">
        <f t="shared" si="325"/>
        <v>6.542409742917631E-3</v>
      </c>
      <c r="K1004" s="22">
        <v>1001</v>
      </c>
      <c r="L1004" s="12"/>
      <c r="Q1004" s="15">
        <f t="shared" si="326"/>
        <v>1001</v>
      </c>
      <c r="R1004" s="2">
        <f t="shared" si="322"/>
        <v>44916</v>
      </c>
      <c r="S1004" s="9">
        <f t="shared" ca="1" si="327"/>
        <v>1.9739766235502207E-2</v>
      </c>
      <c r="T1004" s="9">
        <f t="shared" ca="1" si="328"/>
        <v>1.6392209832014344E-2</v>
      </c>
      <c r="U1004" s="9">
        <f t="shared" ca="1" si="329"/>
        <v>6.542409742917631E-3</v>
      </c>
      <c r="AB1004" s="33" t="e">
        <f t="shared" ca="1" si="335"/>
        <v>#N/A</v>
      </c>
      <c r="AC1004" s="34" t="e">
        <f t="shared" ca="1" si="336"/>
        <v>#N/A</v>
      </c>
      <c r="AD1004" s="34" t="e">
        <f t="shared" ca="1" si="337"/>
        <v>#N/A</v>
      </c>
      <c r="AE1004" s="33" t="e">
        <f t="shared" ca="1" si="338"/>
        <v>#N/A</v>
      </c>
      <c r="AF1004" s="34" t="e">
        <f t="shared" ca="1" si="330"/>
        <v>#N/A</v>
      </c>
      <c r="AG1004" s="34" t="e">
        <f t="shared" ca="1" si="331"/>
        <v>#N/A</v>
      </c>
      <c r="AH1004" s="34" t="e">
        <f t="shared" ca="1" si="332"/>
        <v>#N/A</v>
      </c>
      <c r="AI1004" s="33" t="e">
        <f t="shared" ca="1" si="339"/>
        <v>#N/A</v>
      </c>
      <c r="AJ1004" s="34" t="e">
        <f t="shared" ca="1" si="340"/>
        <v>#N/A</v>
      </c>
      <c r="AK1004" s="34" t="e">
        <f t="shared" ca="1" si="333"/>
        <v>#N/A</v>
      </c>
      <c r="AL1004" s="34" t="e">
        <f t="shared" ca="1" si="334"/>
        <v>#N/A</v>
      </c>
      <c r="AM1004" s="33" t="e">
        <f t="shared" ca="1" si="341"/>
        <v>#N/A</v>
      </c>
      <c r="AN1004" s="34" t="e">
        <f t="shared" ca="1" si="342"/>
        <v>#N/A</v>
      </c>
    </row>
    <row r="1005" spans="1:40" x14ac:dyDescent="0.3">
      <c r="A1005" s="2">
        <v>44917</v>
      </c>
      <c r="B1005" s="9">
        <v>71.949996999999996</v>
      </c>
      <c r="C1005" s="9">
        <v>103.760002</v>
      </c>
      <c r="D1005" s="9">
        <v>119.620003</v>
      </c>
      <c r="E1005" s="10"/>
      <c r="F1005" s="13">
        <v>1002</v>
      </c>
      <c r="G1005" s="2">
        <v>44917</v>
      </c>
      <c r="H1005" s="14">
        <f t="shared" si="323"/>
        <v>-1.6677486559595115E-2</v>
      </c>
      <c r="I1005" s="14">
        <f t="shared" si="324"/>
        <v>4.152789701712482E-3</v>
      </c>
      <c r="J1005" s="14">
        <f t="shared" si="325"/>
        <v>-2.5259262550222046E-2</v>
      </c>
      <c r="K1005" s="22">
        <v>1002</v>
      </c>
      <c r="L1005" s="12"/>
      <c r="Q1005" s="15">
        <f t="shared" si="326"/>
        <v>1002</v>
      </c>
      <c r="R1005" s="2">
        <f t="shared" si="322"/>
        <v>44917</v>
      </c>
      <c r="S1005" s="9">
        <f t="shared" ca="1" si="327"/>
        <v>-1.6677486559595115E-2</v>
      </c>
      <c r="T1005" s="9">
        <f t="shared" ca="1" si="328"/>
        <v>4.152789701712482E-3</v>
      </c>
      <c r="U1005" s="9">
        <f t="shared" ca="1" si="329"/>
        <v>-2.5259262550222046E-2</v>
      </c>
      <c r="AB1005" s="33" t="e">
        <f t="shared" ca="1" si="335"/>
        <v>#N/A</v>
      </c>
      <c r="AC1005" s="34" t="e">
        <f t="shared" ca="1" si="336"/>
        <v>#N/A</v>
      </c>
      <c r="AD1005" s="34" t="e">
        <f t="shared" ca="1" si="337"/>
        <v>#N/A</v>
      </c>
      <c r="AE1005" s="33" t="e">
        <f t="shared" ca="1" si="338"/>
        <v>#N/A</v>
      </c>
      <c r="AF1005" s="34" t="e">
        <f t="shared" ca="1" si="330"/>
        <v>#N/A</v>
      </c>
      <c r="AG1005" s="34" t="e">
        <f t="shared" ca="1" si="331"/>
        <v>#N/A</v>
      </c>
      <c r="AH1005" s="34" t="e">
        <f t="shared" ca="1" si="332"/>
        <v>#N/A</v>
      </c>
      <c r="AI1005" s="33" t="e">
        <f t="shared" ca="1" si="339"/>
        <v>#N/A</v>
      </c>
      <c r="AJ1005" s="34" t="e">
        <f t="shared" ca="1" si="340"/>
        <v>#N/A</v>
      </c>
      <c r="AK1005" s="34" t="e">
        <f t="shared" ca="1" si="333"/>
        <v>#N/A</v>
      </c>
      <c r="AL1005" s="34" t="e">
        <f t="shared" ca="1" si="334"/>
        <v>#N/A</v>
      </c>
      <c r="AM1005" s="33" t="e">
        <f t="shared" ca="1" si="341"/>
        <v>#N/A</v>
      </c>
      <c r="AN1005" s="34" t="e">
        <f t="shared" ca="1" si="342"/>
        <v>#N/A</v>
      </c>
    </row>
    <row r="1006" spans="1:40" x14ac:dyDescent="0.3">
      <c r="A1006" s="2">
        <v>44918</v>
      </c>
      <c r="B1006" s="9">
        <v>73.379997000000003</v>
      </c>
      <c r="C1006" s="9">
        <v>104.360001</v>
      </c>
      <c r="D1006" s="9">
        <v>124.370003</v>
      </c>
      <c r="E1006" s="10"/>
      <c r="F1006" s="13">
        <v>1003</v>
      </c>
      <c r="G1006" s="2">
        <v>44918</v>
      </c>
      <c r="H1006" s="14">
        <f t="shared" si="323"/>
        <v>1.9679986406306752E-2</v>
      </c>
      <c r="I1006" s="14">
        <f t="shared" si="324"/>
        <v>5.7659105673041255E-3</v>
      </c>
      <c r="J1006" s="14">
        <f t="shared" si="325"/>
        <v>3.8940941091393365E-2</v>
      </c>
      <c r="K1006" s="22">
        <v>1003</v>
      </c>
      <c r="L1006" s="12"/>
      <c r="Q1006" s="15">
        <f t="shared" si="326"/>
        <v>1003</v>
      </c>
      <c r="R1006" s="2">
        <f t="shared" si="322"/>
        <v>44918</v>
      </c>
      <c r="S1006" s="9">
        <f t="shared" ca="1" si="327"/>
        <v>1.9679986406306752E-2</v>
      </c>
      <c r="T1006" s="9">
        <f t="shared" ca="1" si="328"/>
        <v>5.7659105673041255E-3</v>
      </c>
      <c r="U1006" s="9">
        <f t="shared" ca="1" si="329"/>
        <v>3.8940941091393365E-2</v>
      </c>
      <c r="AB1006" s="33" t="e">
        <f t="shared" ca="1" si="335"/>
        <v>#N/A</v>
      </c>
      <c r="AC1006" s="34" t="e">
        <f t="shared" ca="1" si="336"/>
        <v>#N/A</v>
      </c>
      <c r="AD1006" s="34" t="e">
        <f t="shared" ca="1" si="337"/>
        <v>#N/A</v>
      </c>
      <c r="AE1006" s="33" t="e">
        <f t="shared" ca="1" si="338"/>
        <v>#N/A</v>
      </c>
      <c r="AF1006" s="34" t="e">
        <f t="shared" ca="1" si="330"/>
        <v>#N/A</v>
      </c>
      <c r="AG1006" s="34" t="e">
        <f t="shared" ca="1" si="331"/>
        <v>#N/A</v>
      </c>
      <c r="AH1006" s="34" t="e">
        <f t="shared" ca="1" si="332"/>
        <v>#N/A</v>
      </c>
      <c r="AI1006" s="33" t="e">
        <f t="shared" ca="1" si="339"/>
        <v>#N/A</v>
      </c>
      <c r="AJ1006" s="34" t="e">
        <f t="shared" ca="1" si="340"/>
        <v>#N/A</v>
      </c>
      <c r="AK1006" s="34" t="e">
        <f t="shared" ca="1" si="333"/>
        <v>#N/A</v>
      </c>
      <c r="AL1006" s="34" t="e">
        <f t="shared" ca="1" si="334"/>
        <v>#N/A</v>
      </c>
      <c r="AM1006" s="33" t="e">
        <f t="shared" ca="1" si="341"/>
        <v>#N/A</v>
      </c>
      <c r="AN1006" s="34" t="e">
        <f t="shared" ca="1" si="342"/>
        <v>#N/A</v>
      </c>
    </row>
    <row r="1007" spans="1:40" x14ac:dyDescent="0.3">
      <c r="A1007" s="2">
        <v>44922</v>
      </c>
      <c r="B1007" s="9">
        <v>73.470000999999996</v>
      </c>
      <c r="C1007" s="9">
        <v>104.239998</v>
      </c>
      <c r="D1007" s="9">
        <v>126.410004</v>
      </c>
      <c r="E1007" s="10"/>
      <c r="F1007" s="13">
        <v>1004</v>
      </c>
      <c r="G1007" s="2">
        <v>44922</v>
      </c>
      <c r="H1007" s="14">
        <f t="shared" si="323"/>
        <v>1.225795199122895E-3</v>
      </c>
      <c r="I1007" s="14">
        <f t="shared" si="324"/>
        <v>-1.1505562206461869E-3</v>
      </c>
      <c r="J1007" s="14">
        <f t="shared" si="325"/>
        <v>1.6269606363309881E-2</v>
      </c>
      <c r="K1007" s="22">
        <v>1004</v>
      </c>
      <c r="L1007" s="12"/>
      <c r="Q1007" s="15">
        <f t="shared" si="326"/>
        <v>1004</v>
      </c>
      <c r="R1007" s="2">
        <f t="shared" si="322"/>
        <v>44922</v>
      </c>
      <c r="S1007" s="9">
        <f t="shared" ca="1" si="327"/>
        <v>1.225795199122895E-3</v>
      </c>
      <c r="T1007" s="9">
        <f t="shared" ca="1" si="328"/>
        <v>-1.1505562206461869E-3</v>
      </c>
      <c r="U1007" s="9">
        <f t="shared" ca="1" si="329"/>
        <v>1.6269606363309881E-2</v>
      </c>
      <c r="AB1007" s="33" t="e">
        <f t="shared" ca="1" si="335"/>
        <v>#N/A</v>
      </c>
      <c r="AC1007" s="34" t="e">
        <f t="shared" ca="1" si="336"/>
        <v>#N/A</v>
      </c>
      <c r="AD1007" s="34" t="e">
        <f t="shared" ca="1" si="337"/>
        <v>#N/A</v>
      </c>
      <c r="AE1007" s="33" t="e">
        <f t="shared" ca="1" si="338"/>
        <v>#N/A</v>
      </c>
      <c r="AF1007" s="34" t="e">
        <f t="shared" ca="1" si="330"/>
        <v>#N/A</v>
      </c>
      <c r="AG1007" s="34" t="e">
        <f t="shared" ca="1" si="331"/>
        <v>#N/A</v>
      </c>
      <c r="AH1007" s="34" t="e">
        <f t="shared" ca="1" si="332"/>
        <v>#N/A</v>
      </c>
      <c r="AI1007" s="33" t="e">
        <f t="shared" ca="1" si="339"/>
        <v>#N/A</v>
      </c>
      <c r="AJ1007" s="34" t="e">
        <f t="shared" ca="1" si="340"/>
        <v>#N/A</v>
      </c>
      <c r="AK1007" s="34" t="e">
        <f t="shared" ca="1" si="333"/>
        <v>#N/A</v>
      </c>
      <c r="AL1007" s="34" t="e">
        <f t="shared" ca="1" si="334"/>
        <v>#N/A</v>
      </c>
      <c r="AM1007" s="33" t="e">
        <f t="shared" ca="1" si="341"/>
        <v>#N/A</v>
      </c>
      <c r="AN1007" s="34" t="e">
        <f t="shared" ca="1" si="342"/>
        <v>#N/A</v>
      </c>
    </row>
    <row r="1008" spans="1:40" x14ac:dyDescent="0.3">
      <c r="A1008" s="2">
        <v>44923</v>
      </c>
      <c r="B1008" s="9">
        <v>72.300003000000004</v>
      </c>
      <c r="C1008" s="9">
        <v>102.400002</v>
      </c>
      <c r="D1008" s="9">
        <v>125.349998</v>
      </c>
      <c r="E1008" s="10"/>
      <c r="F1008" s="13">
        <v>1005</v>
      </c>
      <c r="G1008" s="2">
        <v>44923</v>
      </c>
      <c r="H1008" s="14">
        <f t="shared" si="323"/>
        <v>-1.6053002584689505E-2</v>
      </c>
      <c r="I1008" s="14">
        <f t="shared" si="324"/>
        <v>-1.7809181493439609E-2</v>
      </c>
      <c r="J1008" s="14">
        <f t="shared" si="325"/>
        <v>-8.4208155015548167E-3</v>
      </c>
      <c r="K1008" s="22">
        <v>1005</v>
      </c>
      <c r="L1008" s="12"/>
      <c r="Q1008" s="15">
        <f t="shared" si="326"/>
        <v>1005</v>
      </c>
      <c r="R1008" s="2">
        <f t="shared" si="322"/>
        <v>44923</v>
      </c>
      <c r="S1008" s="9">
        <f t="shared" ca="1" si="327"/>
        <v>-1.6053002584689505E-2</v>
      </c>
      <c r="T1008" s="9">
        <f t="shared" ca="1" si="328"/>
        <v>-1.7809181493439609E-2</v>
      </c>
      <c r="U1008" s="9">
        <f t="shared" ca="1" si="329"/>
        <v>-8.4208155015548167E-3</v>
      </c>
      <c r="AB1008" s="33" t="e">
        <f t="shared" ca="1" si="335"/>
        <v>#N/A</v>
      </c>
      <c r="AC1008" s="34" t="e">
        <f t="shared" ca="1" si="336"/>
        <v>#N/A</v>
      </c>
      <c r="AD1008" s="34" t="e">
        <f t="shared" ca="1" si="337"/>
        <v>#N/A</v>
      </c>
      <c r="AE1008" s="33" t="e">
        <f t="shared" ca="1" si="338"/>
        <v>#N/A</v>
      </c>
      <c r="AF1008" s="34" t="e">
        <f t="shared" ca="1" si="330"/>
        <v>#N/A</v>
      </c>
      <c r="AG1008" s="34" t="e">
        <f t="shared" ca="1" si="331"/>
        <v>#N/A</v>
      </c>
      <c r="AH1008" s="34" t="e">
        <f t="shared" ca="1" si="332"/>
        <v>#N/A</v>
      </c>
      <c r="AI1008" s="33" t="e">
        <f t="shared" ca="1" si="339"/>
        <v>#N/A</v>
      </c>
      <c r="AJ1008" s="34" t="e">
        <f t="shared" ca="1" si="340"/>
        <v>#N/A</v>
      </c>
      <c r="AK1008" s="34" t="e">
        <f t="shared" ca="1" si="333"/>
        <v>#N/A</v>
      </c>
      <c r="AL1008" s="34" t="e">
        <f t="shared" ca="1" si="334"/>
        <v>#N/A</v>
      </c>
      <c r="AM1008" s="33" t="e">
        <f t="shared" ca="1" si="341"/>
        <v>#N/A</v>
      </c>
      <c r="AN1008" s="34" t="e">
        <f t="shared" ca="1" si="342"/>
        <v>#N/A</v>
      </c>
    </row>
    <row r="1009" spans="1:40" x14ac:dyDescent="0.3">
      <c r="A1009" s="2">
        <v>44924</v>
      </c>
      <c r="B1009" s="9">
        <v>73.870002999999997</v>
      </c>
      <c r="C1009" s="9">
        <v>104.68</v>
      </c>
      <c r="D1009" s="9">
        <v>126.32</v>
      </c>
      <c r="E1009" s="10"/>
      <c r="F1009" s="13">
        <v>1006</v>
      </c>
      <c r="G1009" s="2">
        <v>44924</v>
      </c>
      <c r="H1009" s="14">
        <f t="shared" si="323"/>
        <v>2.1482661494037054E-2</v>
      </c>
      <c r="I1009" s="14">
        <f t="shared" si="324"/>
        <v>2.2021345525287967E-2</v>
      </c>
      <c r="J1009" s="14">
        <f t="shared" si="325"/>
        <v>7.7085612984094335E-3</v>
      </c>
      <c r="K1009" s="22">
        <v>1006</v>
      </c>
      <c r="L1009" s="12"/>
      <c r="Q1009" s="15">
        <f t="shared" si="326"/>
        <v>1006</v>
      </c>
      <c r="R1009" s="2">
        <f t="shared" si="322"/>
        <v>44924</v>
      </c>
      <c r="S1009" s="9">
        <f t="shared" ca="1" si="327"/>
        <v>2.1482661494037054E-2</v>
      </c>
      <c r="T1009" s="9">
        <f t="shared" ca="1" si="328"/>
        <v>2.2021345525287967E-2</v>
      </c>
      <c r="U1009" s="9">
        <f t="shared" ca="1" si="329"/>
        <v>7.7085612984094335E-3</v>
      </c>
      <c r="AB1009" s="33" t="e">
        <f t="shared" ca="1" si="335"/>
        <v>#N/A</v>
      </c>
      <c r="AC1009" s="34" t="e">
        <f t="shared" ca="1" si="336"/>
        <v>#N/A</v>
      </c>
      <c r="AD1009" s="34" t="e">
        <f t="shared" ca="1" si="337"/>
        <v>#N/A</v>
      </c>
      <c r="AE1009" s="33" t="e">
        <f t="shared" ca="1" si="338"/>
        <v>#N/A</v>
      </c>
      <c r="AF1009" s="34" t="e">
        <f t="shared" ca="1" si="330"/>
        <v>#N/A</v>
      </c>
      <c r="AG1009" s="34" t="e">
        <f t="shared" ca="1" si="331"/>
        <v>#N/A</v>
      </c>
      <c r="AH1009" s="34" t="e">
        <f t="shared" ca="1" si="332"/>
        <v>#N/A</v>
      </c>
      <c r="AI1009" s="33" t="e">
        <f t="shared" ca="1" si="339"/>
        <v>#N/A</v>
      </c>
      <c r="AJ1009" s="34" t="e">
        <f t="shared" ca="1" si="340"/>
        <v>#N/A</v>
      </c>
      <c r="AK1009" s="34" t="e">
        <f t="shared" ca="1" si="333"/>
        <v>#N/A</v>
      </c>
      <c r="AL1009" s="34" t="e">
        <f t="shared" ca="1" si="334"/>
        <v>#N/A</v>
      </c>
      <c r="AM1009" s="33" t="e">
        <f t="shared" ca="1" si="341"/>
        <v>#N/A</v>
      </c>
      <c r="AN1009" s="34" t="e">
        <f t="shared" ca="1" si="342"/>
        <v>#N/A</v>
      </c>
    </row>
    <row r="1010" spans="1:40" x14ac:dyDescent="0.3">
      <c r="A1010" s="2">
        <v>44925</v>
      </c>
      <c r="B1010" s="9">
        <v>73.830001999999993</v>
      </c>
      <c r="C1010" s="9">
        <v>105.66999800000001</v>
      </c>
      <c r="D1010" s="9">
        <v>126.860001</v>
      </c>
      <c r="E1010" s="10"/>
      <c r="F1010" s="13">
        <v>1007</v>
      </c>
      <c r="G1010" s="2">
        <v>44925</v>
      </c>
      <c r="H1010" s="14">
        <f t="shared" si="323"/>
        <v>-5.4165199219842464E-4</v>
      </c>
      <c r="I1010" s="14">
        <f t="shared" si="324"/>
        <v>9.4129338641464055E-3</v>
      </c>
      <c r="J1010" s="14">
        <f t="shared" si="325"/>
        <v>4.2657541410697428E-3</v>
      </c>
      <c r="K1010" s="22">
        <v>1007</v>
      </c>
      <c r="L1010" s="12"/>
      <c r="Q1010" s="15">
        <f t="shared" si="326"/>
        <v>1007</v>
      </c>
      <c r="R1010" s="2">
        <f t="shared" si="322"/>
        <v>44925</v>
      </c>
      <c r="S1010" s="9">
        <f t="shared" ca="1" si="327"/>
        <v>-5.4165199219842464E-4</v>
      </c>
      <c r="T1010" s="9">
        <f t="shared" ca="1" si="328"/>
        <v>9.4129338641464055E-3</v>
      </c>
      <c r="U1010" s="9">
        <f t="shared" ca="1" si="329"/>
        <v>4.2657541410697428E-3</v>
      </c>
      <c r="AB1010" s="33" t="e">
        <f t="shared" ca="1" si="335"/>
        <v>#N/A</v>
      </c>
      <c r="AC1010" s="34" t="e">
        <f t="shared" ca="1" si="336"/>
        <v>#N/A</v>
      </c>
      <c r="AD1010" s="34" t="e">
        <f t="shared" ca="1" si="337"/>
        <v>#N/A</v>
      </c>
      <c r="AE1010" s="33" t="e">
        <f t="shared" ca="1" si="338"/>
        <v>#N/A</v>
      </c>
      <c r="AF1010" s="34" t="e">
        <f t="shared" ca="1" si="330"/>
        <v>#N/A</v>
      </c>
      <c r="AG1010" s="34" t="e">
        <f t="shared" ca="1" si="331"/>
        <v>#N/A</v>
      </c>
      <c r="AH1010" s="34" t="e">
        <f t="shared" ca="1" si="332"/>
        <v>#N/A</v>
      </c>
      <c r="AI1010" s="33" t="e">
        <f t="shared" ca="1" si="339"/>
        <v>#N/A</v>
      </c>
      <c r="AJ1010" s="34" t="e">
        <f t="shared" ca="1" si="340"/>
        <v>#N/A</v>
      </c>
      <c r="AK1010" s="34" t="e">
        <f t="shared" ca="1" si="333"/>
        <v>#N/A</v>
      </c>
      <c r="AL1010" s="34" t="e">
        <f t="shared" ca="1" si="334"/>
        <v>#N/A</v>
      </c>
      <c r="AM1010" s="33" t="e">
        <f t="shared" ca="1" si="341"/>
        <v>#N/A</v>
      </c>
      <c r="AN1010" s="34" t="e">
        <f t="shared" ca="1" si="342"/>
        <v>#N/A</v>
      </c>
    </row>
    <row r="1011" spans="1:40" x14ac:dyDescent="0.3">
      <c r="A1011" s="2">
        <v>44929</v>
      </c>
      <c r="B1011" s="9">
        <v>73.589995999999999</v>
      </c>
      <c r="C1011" s="9">
        <v>109.110001</v>
      </c>
      <c r="D1011" s="9">
        <v>120.040001</v>
      </c>
      <c r="E1011" s="10"/>
      <c r="F1011" s="13">
        <v>1008</v>
      </c>
      <c r="G1011" s="2">
        <v>44929</v>
      </c>
      <c r="H1011" s="14">
        <f t="shared" si="323"/>
        <v>-3.2560875770379642E-3</v>
      </c>
      <c r="I1011" s="14">
        <f t="shared" si="324"/>
        <v>3.2035545305978429E-2</v>
      </c>
      <c r="J1011" s="14">
        <f t="shared" si="325"/>
        <v>-5.5259095185733527E-2</v>
      </c>
      <c r="K1011" s="22">
        <v>1008</v>
      </c>
      <c r="L1011" s="12"/>
      <c r="Q1011" s="15">
        <f t="shared" si="326"/>
        <v>1008</v>
      </c>
      <c r="R1011" s="2">
        <f t="shared" si="322"/>
        <v>44929</v>
      </c>
      <c r="S1011" s="9">
        <f t="shared" ca="1" si="327"/>
        <v>-3.2560875770379642E-3</v>
      </c>
      <c r="T1011" s="9">
        <f t="shared" ca="1" si="328"/>
        <v>3.2035545305978429E-2</v>
      </c>
      <c r="U1011" s="9">
        <f t="shared" ca="1" si="329"/>
        <v>-5.5259095185733527E-2</v>
      </c>
      <c r="AB1011" s="33" t="e">
        <f t="shared" ca="1" si="335"/>
        <v>#N/A</v>
      </c>
      <c r="AC1011" s="34" t="e">
        <f t="shared" ca="1" si="336"/>
        <v>#N/A</v>
      </c>
      <c r="AD1011" s="34" t="e">
        <f t="shared" ca="1" si="337"/>
        <v>#N/A</v>
      </c>
      <c r="AE1011" s="33" t="e">
        <f t="shared" ca="1" si="338"/>
        <v>#N/A</v>
      </c>
      <c r="AF1011" s="34" t="e">
        <f t="shared" ca="1" si="330"/>
        <v>#N/A</v>
      </c>
      <c r="AG1011" s="34" t="e">
        <f t="shared" ca="1" si="331"/>
        <v>#N/A</v>
      </c>
      <c r="AH1011" s="34" t="e">
        <f t="shared" ca="1" si="332"/>
        <v>#N/A</v>
      </c>
      <c r="AI1011" s="33" t="e">
        <f t="shared" ca="1" si="339"/>
        <v>#N/A</v>
      </c>
      <c r="AJ1011" s="34" t="e">
        <f t="shared" ca="1" si="340"/>
        <v>#N/A</v>
      </c>
      <c r="AK1011" s="34" t="e">
        <f t="shared" ca="1" si="333"/>
        <v>#N/A</v>
      </c>
      <c r="AL1011" s="34" t="e">
        <f t="shared" ca="1" si="334"/>
        <v>#N/A</v>
      </c>
      <c r="AM1011" s="33" t="e">
        <f t="shared" ca="1" si="341"/>
        <v>#N/A</v>
      </c>
      <c r="AN1011" s="34" t="e">
        <f t="shared" ca="1" si="342"/>
        <v>#N/A</v>
      </c>
    </row>
    <row r="1012" spans="1:40" x14ac:dyDescent="0.3">
      <c r="A1012" s="2">
        <v>44930</v>
      </c>
      <c r="B1012" s="9">
        <v>75.5</v>
      </c>
      <c r="C1012" s="9">
        <v>113.160004</v>
      </c>
      <c r="D1012" s="9">
        <v>119.620003</v>
      </c>
      <c r="E1012" s="10"/>
      <c r="F1012" s="13">
        <v>1009</v>
      </c>
      <c r="G1012" s="2">
        <v>44930</v>
      </c>
      <c r="H1012" s="14">
        <f t="shared" si="323"/>
        <v>2.5623563671684231E-2</v>
      </c>
      <c r="I1012" s="14">
        <f t="shared" si="324"/>
        <v>3.6446224949475234E-2</v>
      </c>
      <c r="J1012" s="14">
        <f t="shared" si="325"/>
        <v>-3.5049522068940639E-3</v>
      </c>
      <c r="K1012" s="22">
        <v>1009</v>
      </c>
      <c r="L1012" s="12"/>
      <c r="Q1012" s="15">
        <f t="shared" si="326"/>
        <v>1009</v>
      </c>
      <c r="R1012" s="2">
        <f t="shared" si="322"/>
        <v>44930</v>
      </c>
      <c r="S1012" s="9">
        <f t="shared" ca="1" si="327"/>
        <v>2.5623563671684231E-2</v>
      </c>
      <c r="T1012" s="9">
        <f t="shared" ca="1" si="328"/>
        <v>3.6446224949475234E-2</v>
      </c>
      <c r="U1012" s="9">
        <f t="shared" ca="1" si="329"/>
        <v>-3.5049522068940639E-3</v>
      </c>
      <c r="AB1012" s="33" t="e">
        <f t="shared" ca="1" si="335"/>
        <v>#N/A</v>
      </c>
      <c r="AC1012" s="34" t="e">
        <f t="shared" ca="1" si="336"/>
        <v>#N/A</v>
      </c>
      <c r="AD1012" s="34" t="e">
        <f t="shared" ca="1" si="337"/>
        <v>#N/A</v>
      </c>
      <c r="AE1012" s="33" t="e">
        <f t="shared" ca="1" si="338"/>
        <v>#N/A</v>
      </c>
      <c r="AF1012" s="34" t="e">
        <f t="shared" ca="1" si="330"/>
        <v>#N/A</v>
      </c>
      <c r="AG1012" s="34" t="e">
        <f t="shared" ca="1" si="331"/>
        <v>#N/A</v>
      </c>
      <c r="AH1012" s="34" t="e">
        <f t="shared" ca="1" si="332"/>
        <v>#N/A</v>
      </c>
      <c r="AI1012" s="33" t="e">
        <f t="shared" ca="1" si="339"/>
        <v>#N/A</v>
      </c>
      <c r="AJ1012" s="34" t="e">
        <f t="shared" ca="1" si="340"/>
        <v>#N/A</v>
      </c>
      <c r="AK1012" s="34" t="e">
        <f t="shared" ca="1" si="333"/>
        <v>#N/A</v>
      </c>
      <c r="AL1012" s="34" t="e">
        <f t="shared" ca="1" si="334"/>
        <v>#N/A</v>
      </c>
      <c r="AM1012" s="33" t="e">
        <f t="shared" ca="1" si="341"/>
        <v>#N/A</v>
      </c>
      <c r="AN1012" s="34" t="e">
        <f t="shared" ca="1" si="342"/>
        <v>#N/A</v>
      </c>
    </row>
    <row r="1013" spans="1:40" x14ac:dyDescent="0.3">
      <c r="A1013" s="2">
        <v>44931</v>
      </c>
      <c r="B1013" s="9">
        <v>74.209998999999996</v>
      </c>
      <c r="C1013" s="9">
        <v>114.459999</v>
      </c>
      <c r="D1013" s="9">
        <v>126.589996</v>
      </c>
      <c r="E1013" s="10"/>
      <c r="F1013" s="13">
        <v>1010</v>
      </c>
      <c r="G1013" s="2">
        <v>44931</v>
      </c>
      <c r="H1013" s="14">
        <f t="shared" si="323"/>
        <v>-1.7233757748209844E-2</v>
      </c>
      <c r="I1013" s="14">
        <f t="shared" si="324"/>
        <v>1.1422626462734219E-2</v>
      </c>
      <c r="J1013" s="14">
        <f t="shared" si="325"/>
        <v>5.6633409354835046E-2</v>
      </c>
      <c r="K1013" s="22">
        <v>1010</v>
      </c>
      <c r="L1013" s="12"/>
      <c r="Q1013" s="15">
        <f t="shared" si="326"/>
        <v>1010</v>
      </c>
      <c r="R1013" s="2">
        <f t="shared" si="322"/>
        <v>44931</v>
      </c>
      <c r="S1013" s="9">
        <f t="shared" ca="1" si="327"/>
        <v>-1.7233757748209844E-2</v>
      </c>
      <c r="T1013" s="9">
        <f t="shared" ca="1" si="328"/>
        <v>1.1422626462734219E-2</v>
      </c>
      <c r="U1013" s="9">
        <f t="shared" ca="1" si="329"/>
        <v>5.6633409354835046E-2</v>
      </c>
      <c r="AB1013" s="33" t="e">
        <f t="shared" ca="1" si="335"/>
        <v>#N/A</v>
      </c>
      <c r="AC1013" s="34" t="e">
        <f t="shared" ca="1" si="336"/>
        <v>#N/A</v>
      </c>
      <c r="AD1013" s="34" t="e">
        <f t="shared" ca="1" si="337"/>
        <v>#N/A</v>
      </c>
      <c r="AE1013" s="33" t="e">
        <f t="shared" ca="1" si="338"/>
        <v>#N/A</v>
      </c>
      <c r="AF1013" s="34" t="e">
        <f t="shared" ca="1" si="330"/>
        <v>#N/A</v>
      </c>
      <c r="AG1013" s="34" t="e">
        <f t="shared" ca="1" si="331"/>
        <v>#N/A</v>
      </c>
      <c r="AH1013" s="34" t="e">
        <f t="shared" ca="1" si="332"/>
        <v>#N/A</v>
      </c>
      <c r="AI1013" s="33" t="e">
        <f t="shared" ca="1" si="339"/>
        <v>#N/A</v>
      </c>
      <c r="AJ1013" s="34" t="e">
        <f t="shared" ca="1" si="340"/>
        <v>#N/A</v>
      </c>
      <c r="AK1013" s="34" t="e">
        <f t="shared" ca="1" si="333"/>
        <v>#N/A</v>
      </c>
      <c r="AL1013" s="34" t="e">
        <f t="shared" ca="1" si="334"/>
        <v>#N/A</v>
      </c>
      <c r="AM1013" s="33" t="e">
        <f t="shared" ca="1" si="341"/>
        <v>#N/A</v>
      </c>
      <c r="AN1013" s="34" t="e">
        <f t="shared" ca="1" si="342"/>
        <v>#N/A</v>
      </c>
    </row>
    <row r="1014" spans="1:40" x14ac:dyDescent="0.3">
      <c r="A1014" s="2">
        <v>44932</v>
      </c>
      <c r="B1014" s="9">
        <v>76.25</v>
      </c>
      <c r="C1014" s="9">
        <v>115.970001</v>
      </c>
      <c r="D1014" s="9">
        <v>127.55999799999999</v>
      </c>
      <c r="E1014" s="10"/>
      <c r="F1014" s="13">
        <v>1011</v>
      </c>
      <c r="G1014" s="2">
        <v>44932</v>
      </c>
      <c r="H1014" s="14">
        <f t="shared" si="323"/>
        <v>2.7118516980751857E-2</v>
      </c>
      <c r="I1014" s="14">
        <f t="shared" si="324"/>
        <v>1.3106137347251981E-2</v>
      </c>
      <c r="J1014" s="14">
        <f t="shared" si="325"/>
        <v>7.6333404122965031E-3</v>
      </c>
      <c r="K1014" s="22">
        <v>1011</v>
      </c>
      <c r="L1014" s="12"/>
      <c r="Q1014" s="15">
        <f t="shared" si="326"/>
        <v>1011</v>
      </c>
      <c r="R1014" s="2">
        <f t="shared" si="322"/>
        <v>44932</v>
      </c>
      <c r="S1014" s="9">
        <f t="shared" ca="1" si="327"/>
        <v>2.7118516980751857E-2</v>
      </c>
      <c r="T1014" s="9">
        <f t="shared" ca="1" si="328"/>
        <v>1.3106137347251981E-2</v>
      </c>
      <c r="U1014" s="9">
        <f t="shared" ca="1" si="329"/>
        <v>7.6333404122965031E-3</v>
      </c>
      <c r="AB1014" s="33" t="e">
        <f t="shared" ca="1" si="335"/>
        <v>#N/A</v>
      </c>
      <c r="AC1014" s="34" t="e">
        <f t="shared" ca="1" si="336"/>
        <v>#N/A</v>
      </c>
      <c r="AD1014" s="34" t="e">
        <f t="shared" ca="1" si="337"/>
        <v>#N/A</v>
      </c>
      <c r="AE1014" s="33" t="e">
        <f t="shared" ca="1" si="338"/>
        <v>#N/A</v>
      </c>
      <c r="AF1014" s="34" t="e">
        <f t="shared" ca="1" si="330"/>
        <v>#N/A</v>
      </c>
      <c r="AG1014" s="34" t="e">
        <f t="shared" ca="1" si="331"/>
        <v>#N/A</v>
      </c>
      <c r="AH1014" s="34" t="e">
        <f t="shared" ca="1" si="332"/>
        <v>#N/A</v>
      </c>
      <c r="AI1014" s="33" t="e">
        <f t="shared" ca="1" si="339"/>
        <v>#N/A</v>
      </c>
      <c r="AJ1014" s="34" t="e">
        <f t="shared" ca="1" si="340"/>
        <v>#N/A</v>
      </c>
      <c r="AK1014" s="34" t="e">
        <f t="shared" ca="1" si="333"/>
        <v>#N/A</v>
      </c>
      <c r="AL1014" s="34" t="e">
        <f t="shared" ca="1" si="334"/>
        <v>#N/A</v>
      </c>
      <c r="AM1014" s="33" t="e">
        <f t="shared" ca="1" si="341"/>
        <v>#N/A</v>
      </c>
      <c r="AN1014" s="34" t="e">
        <f t="shared" ca="1" si="342"/>
        <v>#N/A</v>
      </c>
    </row>
    <row r="1015" spans="1:40" x14ac:dyDescent="0.3">
      <c r="A1015" s="2">
        <v>44935</v>
      </c>
      <c r="B1015" s="9">
        <v>75.410004000000001</v>
      </c>
      <c r="C1015" s="9">
        <v>114.379997</v>
      </c>
      <c r="D1015" s="9">
        <v>128.58000200000001</v>
      </c>
      <c r="E1015" s="10"/>
      <c r="F1015" s="13">
        <v>1012</v>
      </c>
      <c r="G1015" s="2">
        <v>44935</v>
      </c>
      <c r="H1015" s="14">
        <f t="shared" si="323"/>
        <v>-1.1077470229603851E-2</v>
      </c>
      <c r="I1015" s="14">
        <f t="shared" si="324"/>
        <v>-1.3805333332723364E-2</v>
      </c>
      <c r="J1015" s="14">
        <f t="shared" si="325"/>
        <v>7.9644678050987579E-3</v>
      </c>
      <c r="K1015" s="22">
        <v>1012</v>
      </c>
      <c r="L1015" s="12"/>
      <c r="Q1015" s="15">
        <f t="shared" si="326"/>
        <v>1012</v>
      </c>
      <c r="R1015" s="2">
        <f t="shared" si="322"/>
        <v>44935</v>
      </c>
      <c r="S1015" s="9">
        <f t="shared" ca="1" si="327"/>
        <v>-1.1077470229603851E-2</v>
      </c>
      <c r="T1015" s="9">
        <f t="shared" ca="1" si="328"/>
        <v>-1.3805333332723364E-2</v>
      </c>
      <c r="U1015" s="9">
        <f t="shared" ca="1" si="329"/>
        <v>7.9644678050987579E-3</v>
      </c>
      <c r="AB1015" s="33" t="e">
        <f t="shared" ca="1" si="335"/>
        <v>#N/A</v>
      </c>
      <c r="AC1015" s="34" t="e">
        <f t="shared" ca="1" si="336"/>
        <v>#N/A</v>
      </c>
      <c r="AD1015" s="34" t="e">
        <f t="shared" ca="1" si="337"/>
        <v>#N/A</v>
      </c>
      <c r="AE1015" s="33" t="e">
        <f t="shared" ca="1" si="338"/>
        <v>#N/A</v>
      </c>
      <c r="AF1015" s="34" t="e">
        <f t="shared" ca="1" si="330"/>
        <v>#N/A</v>
      </c>
      <c r="AG1015" s="34" t="e">
        <f t="shared" ca="1" si="331"/>
        <v>#N/A</v>
      </c>
      <c r="AH1015" s="34" t="e">
        <f t="shared" ca="1" si="332"/>
        <v>#N/A</v>
      </c>
      <c r="AI1015" s="33" t="e">
        <f t="shared" ca="1" si="339"/>
        <v>#N/A</v>
      </c>
      <c r="AJ1015" s="34" t="e">
        <f t="shared" ca="1" si="340"/>
        <v>#N/A</v>
      </c>
      <c r="AK1015" s="34" t="e">
        <f t="shared" ca="1" si="333"/>
        <v>#N/A</v>
      </c>
      <c r="AL1015" s="34" t="e">
        <f t="shared" ca="1" si="334"/>
        <v>#N/A</v>
      </c>
      <c r="AM1015" s="33" t="e">
        <f t="shared" ca="1" si="341"/>
        <v>#N/A</v>
      </c>
      <c r="AN1015" s="34" t="e">
        <f t="shared" ca="1" si="342"/>
        <v>#N/A</v>
      </c>
    </row>
    <row r="1016" spans="1:40" x14ac:dyDescent="0.3">
      <c r="A1016" s="2">
        <v>44936</v>
      </c>
      <c r="B1016" s="9">
        <v>75.050003000000004</v>
      </c>
      <c r="C1016" s="9">
        <v>114.08000199999999</v>
      </c>
      <c r="D1016" s="9">
        <v>132.009995</v>
      </c>
      <c r="E1016" s="10"/>
      <c r="F1016" s="13">
        <v>1013</v>
      </c>
      <c r="G1016" s="2">
        <v>44936</v>
      </c>
      <c r="H1016" s="14">
        <f t="shared" si="323"/>
        <v>-4.7853472050959425E-3</v>
      </c>
      <c r="I1016" s="14">
        <f t="shared" si="324"/>
        <v>-2.6262380612658291E-3</v>
      </c>
      <c r="J1016" s="14">
        <f t="shared" si="325"/>
        <v>2.6326345148689936E-2</v>
      </c>
      <c r="K1016" s="22">
        <v>1013</v>
      </c>
      <c r="L1016" s="12"/>
      <c r="Q1016" s="15">
        <f t="shared" si="326"/>
        <v>1013</v>
      </c>
      <c r="R1016" s="2">
        <f t="shared" si="322"/>
        <v>44936</v>
      </c>
      <c r="S1016" s="9">
        <f t="shared" ca="1" si="327"/>
        <v>-4.7853472050959425E-3</v>
      </c>
      <c r="T1016" s="9">
        <f t="shared" ca="1" si="328"/>
        <v>-2.6262380612658291E-3</v>
      </c>
      <c r="U1016" s="9">
        <f t="shared" ca="1" si="329"/>
        <v>2.6326345148689936E-2</v>
      </c>
      <c r="AB1016" s="33" t="e">
        <f t="shared" ca="1" si="335"/>
        <v>#N/A</v>
      </c>
      <c r="AC1016" s="34" t="e">
        <f t="shared" ca="1" si="336"/>
        <v>#N/A</v>
      </c>
      <c r="AD1016" s="34" t="e">
        <f t="shared" ca="1" si="337"/>
        <v>#N/A</v>
      </c>
      <c r="AE1016" s="33" t="e">
        <f t="shared" ca="1" si="338"/>
        <v>#N/A</v>
      </c>
      <c r="AF1016" s="34" t="e">
        <f t="shared" ca="1" si="330"/>
        <v>#N/A</v>
      </c>
      <c r="AG1016" s="34" t="e">
        <f t="shared" ca="1" si="331"/>
        <v>#N/A</v>
      </c>
      <c r="AH1016" s="34" t="e">
        <f t="shared" ca="1" si="332"/>
        <v>#N/A</v>
      </c>
      <c r="AI1016" s="33" t="e">
        <f t="shared" ca="1" si="339"/>
        <v>#N/A</v>
      </c>
      <c r="AJ1016" s="34" t="e">
        <f t="shared" ca="1" si="340"/>
        <v>#N/A</v>
      </c>
      <c r="AK1016" s="34" t="e">
        <f t="shared" ca="1" si="333"/>
        <v>#N/A</v>
      </c>
      <c r="AL1016" s="34" t="e">
        <f t="shared" ca="1" si="334"/>
        <v>#N/A</v>
      </c>
      <c r="AM1016" s="33" t="e">
        <f t="shared" ca="1" si="341"/>
        <v>#N/A</v>
      </c>
      <c r="AN1016" s="34" t="e">
        <f t="shared" ca="1" si="342"/>
        <v>#N/A</v>
      </c>
    </row>
    <row r="1017" spans="1:40" x14ac:dyDescent="0.3">
      <c r="A1017" s="2">
        <v>44937</v>
      </c>
      <c r="B1017" s="9">
        <v>76.220000999999996</v>
      </c>
      <c r="C1017" s="9">
        <v>116.220001</v>
      </c>
      <c r="D1017" s="9">
        <v>133.60000600000001</v>
      </c>
      <c r="E1017" s="10"/>
      <c r="F1017" s="13">
        <v>1014</v>
      </c>
      <c r="G1017" s="2">
        <v>44937</v>
      </c>
      <c r="H1017" s="14">
        <f t="shared" si="323"/>
        <v>1.5469310512808773E-2</v>
      </c>
      <c r="I1017" s="14">
        <f t="shared" si="324"/>
        <v>1.858498105378812E-2</v>
      </c>
      <c r="J1017" s="14">
        <f t="shared" si="325"/>
        <v>1.1972666595975109E-2</v>
      </c>
      <c r="K1017" s="22">
        <v>1014</v>
      </c>
      <c r="L1017" s="12"/>
      <c r="Q1017" s="15">
        <f t="shared" si="326"/>
        <v>1014</v>
      </c>
      <c r="R1017" s="2">
        <f t="shared" si="322"/>
        <v>44937</v>
      </c>
      <c r="S1017" s="9">
        <f t="shared" ca="1" si="327"/>
        <v>1.5469310512808773E-2</v>
      </c>
      <c r="T1017" s="9">
        <f t="shared" ca="1" si="328"/>
        <v>1.858498105378812E-2</v>
      </c>
      <c r="U1017" s="9">
        <f t="shared" ca="1" si="329"/>
        <v>1.1972666595975109E-2</v>
      </c>
      <c r="AB1017" s="33" t="e">
        <f t="shared" ca="1" si="335"/>
        <v>#N/A</v>
      </c>
      <c r="AC1017" s="34" t="e">
        <f t="shared" ca="1" si="336"/>
        <v>#N/A</v>
      </c>
      <c r="AD1017" s="34" t="e">
        <f t="shared" ca="1" si="337"/>
        <v>#N/A</v>
      </c>
      <c r="AE1017" s="33" t="e">
        <f t="shared" ca="1" si="338"/>
        <v>#N/A</v>
      </c>
      <c r="AF1017" s="34" t="e">
        <f t="shared" ca="1" si="330"/>
        <v>#N/A</v>
      </c>
      <c r="AG1017" s="34" t="e">
        <f t="shared" ca="1" si="331"/>
        <v>#N/A</v>
      </c>
      <c r="AH1017" s="34" t="e">
        <f t="shared" ca="1" si="332"/>
        <v>#N/A</v>
      </c>
      <c r="AI1017" s="33" t="e">
        <f t="shared" ca="1" si="339"/>
        <v>#N/A</v>
      </c>
      <c r="AJ1017" s="34" t="e">
        <f t="shared" ca="1" si="340"/>
        <v>#N/A</v>
      </c>
      <c r="AK1017" s="34" t="e">
        <f t="shared" ca="1" si="333"/>
        <v>#N/A</v>
      </c>
      <c r="AL1017" s="34" t="e">
        <f t="shared" ca="1" si="334"/>
        <v>#N/A</v>
      </c>
      <c r="AM1017" s="33" t="e">
        <f t="shared" ca="1" si="341"/>
        <v>#N/A</v>
      </c>
      <c r="AN1017" s="34" t="e">
        <f t="shared" ca="1" si="342"/>
        <v>#N/A</v>
      </c>
    </row>
    <row r="1018" spans="1:40" x14ac:dyDescent="0.3">
      <c r="A1018" s="2">
        <v>44938</v>
      </c>
      <c r="B1018" s="9">
        <v>76.089995999999999</v>
      </c>
      <c r="C1018" s="9">
        <v>119.43</v>
      </c>
      <c r="D1018" s="9">
        <v>135.320007</v>
      </c>
      <c r="E1018" s="10"/>
      <c r="F1018" s="13">
        <v>1015</v>
      </c>
      <c r="G1018" s="2">
        <v>44938</v>
      </c>
      <c r="H1018" s="14">
        <f t="shared" si="323"/>
        <v>-1.7071109465258353E-3</v>
      </c>
      <c r="I1018" s="14">
        <f t="shared" si="324"/>
        <v>2.7245470429005027E-2</v>
      </c>
      <c r="J1018" s="14">
        <f t="shared" si="325"/>
        <v>1.2792089629016734E-2</v>
      </c>
      <c r="K1018" s="22">
        <v>1015</v>
      </c>
      <c r="L1018" s="12"/>
      <c r="Q1018" s="15">
        <f t="shared" si="326"/>
        <v>1015</v>
      </c>
      <c r="R1018" s="2">
        <f t="shared" si="322"/>
        <v>44938</v>
      </c>
      <c r="S1018" s="9">
        <f t="shared" ca="1" si="327"/>
        <v>-1.7071109465258353E-3</v>
      </c>
      <c r="T1018" s="9">
        <f t="shared" ca="1" si="328"/>
        <v>2.7245470429005027E-2</v>
      </c>
      <c r="U1018" s="9">
        <f t="shared" ca="1" si="329"/>
        <v>1.2792089629016734E-2</v>
      </c>
      <c r="AB1018" s="33" t="e">
        <f t="shared" ca="1" si="335"/>
        <v>#N/A</v>
      </c>
      <c r="AC1018" s="34" t="e">
        <f t="shared" ca="1" si="336"/>
        <v>#N/A</v>
      </c>
      <c r="AD1018" s="34" t="e">
        <f t="shared" ca="1" si="337"/>
        <v>#N/A</v>
      </c>
      <c r="AE1018" s="33" t="e">
        <f t="shared" ca="1" si="338"/>
        <v>#N/A</v>
      </c>
      <c r="AF1018" s="34" t="e">
        <f t="shared" ca="1" si="330"/>
        <v>#N/A</v>
      </c>
      <c r="AG1018" s="34" t="e">
        <f t="shared" ca="1" si="331"/>
        <v>#N/A</v>
      </c>
      <c r="AH1018" s="34" t="e">
        <f t="shared" ca="1" si="332"/>
        <v>#N/A</v>
      </c>
      <c r="AI1018" s="33" t="e">
        <f t="shared" ca="1" si="339"/>
        <v>#N/A</v>
      </c>
      <c r="AJ1018" s="34" t="e">
        <f t="shared" ca="1" si="340"/>
        <v>#N/A</v>
      </c>
      <c r="AK1018" s="34" t="e">
        <f t="shared" ca="1" si="333"/>
        <v>#N/A</v>
      </c>
      <c r="AL1018" s="34" t="e">
        <f t="shared" ca="1" si="334"/>
        <v>#N/A</v>
      </c>
      <c r="AM1018" s="33" t="e">
        <f t="shared" ca="1" si="341"/>
        <v>#N/A</v>
      </c>
      <c r="AN1018" s="34" t="e">
        <f t="shared" ca="1" si="342"/>
        <v>#N/A</v>
      </c>
    </row>
    <row r="1019" spans="1:40" x14ac:dyDescent="0.3">
      <c r="A1019" s="2">
        <v>44939</v>
      </c>
      <c r="B1019" s="9">
        <v>77.5</v>
      </c>
      <c r="C1019" s="9">
        <v>118.80999799999999</v>
      </c>
      <c r="D1019" s="9">
        <v>136.13000500000001</v>
      </c>
      <c r="E1019" s="10"/>
      <c r="F1019" s="13">
        <v>1016</v>
      </c>
      <c r="G1019" s="2">
        <v>44939</v>
      </c>
      <c r="H1019" s="14">
        <f t="shared" si="323"/>
        <v>1.836113874019708E-2</v>
      </c>
      <c r="I1019" s="14">
        <f t="shared" si="324"/>
        <v>-5.2048640437395788E-3</v>
      </c>
      <c r="J1019" s="14">
        <f t="shared" si="325"/>
        <v>5.9679526122369221E-3</v>
      </c>
      <c r="K1019" s="22">
        <v>1016</v>
      </c>
      <c r="L1019" s="12"/>
      <c r="Q1019" s="15">
        <f t="shared" si="326"/>
        <v>1016</v>
      </c>
      <c r="R1019" s="2">
        <f t="shared" si="322"/>
        <v>44939</v>
      </c>
      <c r="S1019" s="9">
        <f t="shared" ca="1" si="327"/>
        <v>1.836113874019708E-2</v>
      </c>
      <c r="T1019" s="9">
        <f t="shared" ca="1" si="328"/>
        <v>-5.2048640437395788E-3</v>
      </c>
      <c r="U1019" s="9">
        <f t="shared" ca="1" si="329"/>
        <v>5.9679526122369221E-3</v>
      </c>
      <c r="AB1019" s="33" t="e">
        <f t="shared" ca="1" si="335"/>
        <v>#N/A</v>
      </c>
      <c r="AC1019" s="34" t="e">
        <f t="shared" ca="1" si="336"/>
        <v>#N/A</v>
      </c>
      <c r="AD1019" s="34" t="e">
        <f t="shared" ca="1" si="337"/>
        <v>#N/A</v>
      </c>
      <c r="AE1019" s="33" t="e">
        <f t="shared" ca="1" si="338"/>
        <v>#N/A</v>
      </c>
      <c r="AF1019" s="34" t="e">
        <f t="shared" ca="1" si="330"/>
        <v>#N/A</v>
      </c>
      <c r="AG1019" s="34" t="e">
        <f t="shared" ca="1" si="331"/>
        <v>#N/A</v>
      </c>
      <c r="AH1019" s="34" t="e">
        <f t="shared" ca="1" si="332"/>
        <v>#N/A</v>
      </c>
      <c r="AI1019" s="33" t="e">
        <f t="shared" ca="1" si="339"/>
        <v>#N/A</v>
      </c>
      <c r="AJ1019" s="34" t="e">
        <f t="shared" ca="1" si="340"/>
        <v>#N/A</v>
      </c>
      <c r="AK1019" s="34" t="e">
        <f t="shared" ca="1" si="333"/>
        <v>#N/A</v>
      </c>
      <c r="AL1019" s="34" t="e">
        <f t="shared" ca="1" si="334"/>
        <v>#N/A</v>
      </c>
      <c r="AM1019" s="33" t="e">
        <f t="shared" ca="1" si="341"/>
        <v>#N/A</v>
      </c>
      <c r="AN1019" s="34" t="e">
        <f t="shared" ca="1" si="342"/>
        <v>#N/A</v>
      </c>
    </row>
    <row r="1020" spans="1:40" x14ac:dyDescent="0.3">
      <c r="A1020" s="2">
        <v>44943</v>
      </c>
      <c r="B1020" s="9">
        <v>76.819999999999993</v>
      </c>
      <c r="C1020" s="9">
        <v>119.269997</v>
      </c>
      <c r="D1020" s="9">
        <v>137.61000100000001</v>
      </c>
      <c r="E1020" s="10"/>
      <c r="F1020" s="13">
        <v>1017</v>
      </c>
      <c r="G1020" s="2">
        <v>44943</v>
      </c>
      <c r="H1020" s="14">
        <f t="shared" si="323"/>
        <v>-8.8129134415426309E-3</v>
      </c>
      <c r="I1020" s="14">
        <f t="shared" si="324"/>
        <v>3.8642438009673223E-3</v>
      </c>
      <c r="J1020" s="14">
        <f t="shared" si="325"/>
        <v>1.0813256290126248E-2</v>
      </c>
      <c r="K1020" s="22">
        <v>1017</v>
      </c>
      <c r="L1020" s="12"/>
      <c r="Q1020" s="15">
        <f t="shared" si="326"/>
        <v>1017</v>
      </c>
      <c r="R1020" s="2">
        <f t="shared" si="322"/>
        <v>44943</v>
      </c>
      <c r="S1020" s="9">
        <f t="shared" ca="1" si="327"/>
        <v>-8.8129134415426309E-3</v>
      </c>
      <c r="T1020" s="9">
        <f t="shared" ca="1" si="328"/>
        <v>3.8642438009673223E-3</v>
      </c>
      <c r="U1020" s="9">
        <f t="shared" ca="1" si="329"/>
        <v>1.0813256290126248E-2</v>
      </c>
      <c r="AB1020" s="33" t="e">
        <f t="shared" ca="1" si="335"/>
        <v>#N/A</v>
      </c>
      <c r="AC1020" s="34" t="e">
        <f t="shared" ca="1" si="336"/>
        <v>#N/A</v>
      </c>
      <c r="AD1020" s="34" t="e">
        <f t="shared" ca="1" si="337"/>
        <v>#N/A</v>
      </c>
      <c r="AE1020" s="33" t="e">
        <f t="shared" ca="1" si="338"/>
        <v>#N/A</v>
      </c>
      <c r="AF1020" s="34" t="e">
        <f t="shared" ca="1" si="330"/>
        <v>#N/A</v>
      </c>
      <c r="AG1020" s="34" t="e">
        <f t="shared" ca="1" si="331"/>
        <v>#N/A</v>
      </c>
      <c r="AH1020" s="34" t="e">
        <f t="shared" ca="1" si="332"/>
        <v>#N/A</v>
      </c>
      <c r="AI1020" s="33" t="e">
        <f t="shared" ca="1" si="339"/>
        <v>#N/A</v>
      </c>
      <c r="AJ1020" s="34" t="e">
        <f t="shared" ca="1" si="340"/>
        <v>#N/A</v>
      </c>
      <c r="AK1020" s="34" t="e">
        <f t="shared" ca="1" si="333"/>
        <v>#N/A</v>
      </c>
      <c r="AL1020" s="34" t="e">
        <f t="shared" ca="1" si="334"/>
        <v>#N/A</v>
      </c>
      <c r="AM1020" s="33" t="e">
        <f t="shared" ca="1" si="341"/>
        <v>#N/A</v>
      </c>
      <c r="AN1020" s="34" t="e">
        <f t="shared" ca="1" si="342"/>
        <v>#N/A</v>
      </c>
    </row>
    <row r="1021" spans="1:40" x14ac:dyDescent="0.3">
      <c r="A1021" s="2">
        <v>44944</v>
      </c>
      <c r="B1021" s="9">
        <v>76.809997999999993</v>
      </c>
      <c r="C1021" s="9">
        <v>118.91999800000001</v>
      </c>
      <c r="D1021" s="9">
        <v>135.520004</v>
      </c>
      <c r="E1021" s="10"/>
      <c r="F1021" s="13">
        <v>1018</v>
      </c>
      <c r="G1021" s="2">
        <v>44944</v>
      </c>
      <c r="H1021" s="14">
        <f t="shared" si="323"/>
        <v>-1.3020894544480831E-4</v>
      </c>
      <c r="I1021" s="14">
        <f t="shared" si="324"/>
        <v>-2.9388241256953131E-3</v>
      </c>
      <c r="J1021" s="14">
        <f t="shared" si="325"/>
        <v>-1.5304344124421622E-2</v>
      </c>
      <c r="K1021" s="22">
        <v>1018</v>
      </c>
      <c r="L1021" s="12"/>
      <c r="Q1021" s="15">
        <f t="shared" si="326"/>
        <v>1018</v>
      </c>
      <c r="R1021" s="2">
        <f t="shared" si="322"/>
        <v>44944</v>
      </c>
      <c r="S1021" s="9">
        <f t="shared" ca="1" si="327"/>
        <v>-1.3020894544480831E-4</v>
      </c>
      <c r="T1021" s="9">
        <f t="shared" ca="1" si="328"/>
        <v>-2.9388241256953131E-3</v>
      </c>
      <c r="U1021" s="9">
        <f t="shared" ca="1" si="329"/>
        <v>-1.5304344124421622E-2</v>
      </c>
      <c r="AB1021" s="33" t="e">
        <f t="shared" ca="1" si="335"/>
        <v>#N/A</v>
      </c>
      <c r="AC1021" s="34" t="e">
        <f t="shared" ca="1" si="336"/>
        <v>#N/A</v>
      </c>
      <c r="AD1021" s="34" t="e">
        <f t="shared" ca="1" si="337"/>
        <v>#N/A</v>
      </c>
      <c r="AE1021" s="33" t="e">
        <f t="shared" ca="1" si="338"/>
        <v>#N/A</v>
      </c>
      <c r="AF1021" s="34" t="e">
        <f t="shared" ca="1" si="330"/>
        <v>#N/A</v>
      </c>
      <c r="AG1021" s="34" t="e">
        <f t="shared" ca="1" si="331"/>
        <v>#N/A</v>
      </c>
      <c r="AH1021" s="34" t="e">
        <f t="shared" ca="1" si="332"/>
        <v>#N/A</v>
      </c>
      <c r="AI1021" s="33" t="e">
        <f t="shared" ca="1" si="339"/>
        <v>#N/A</v>
      </c>
      <c r="AJ1021" s="34" t="e">
        <f t="shared" ca="1" si="340"/>
        <v>#N/A</v>
      </c>
      <c r="AK1021" s="34" t="e">
        <f t="shared" ca="1" si="333"/>
        <v>#N/A</v>
      </c>
      <c r="AL1021" s="34" t="e">
        <f t="shared" ca="1" si="334"/>
        <v>#N/A</v>
      </c>
      <c r="AM1021" s="33" t="e">
        <f t="shared" ca="1" si="341"/>
        <v>#N/A</v>
      </c>
      <c r="AN1021" s="34" t="e">
        <f t="shared" ca="1" si="342"/>
        <v>#N/A</v>
      </c>
    </row>
    <row r="1022" spans="1:40" x14ac:dyDescent="0.3">
      <c r="A1022" s="2">
        <v>44945</v>
      </c>
      <c r="B1022" s="9">
        <v>75.720000999999996</v>
      </c>
      <c r="C1022" s="9">
        <v>117.339996</v>
      </c>
      <c r="D1022" s="9">
        <v>138.470001</v>
      </c>
      <c r="E1022" s="10"/>
      <c r="F1022" s="13">
        <v>1019</v>
      </c>
      <c r="G1022" s="2">
        <v>44945</v>
      </c>
      <c r="H1022" s="14">
        <f t="shared" si="323"/>
        <v>-1.4292474424641497E-2</v>
      </c>
      <c r="I1022" s="14">
        <f t="shared" si="324"/>
        <v>-1.3375311903126876E-2</v>
      </c>
      <c r="J1022" s="14">
        <f t="shared" si="325"/>
        <v>2.1534442468721E-2</v>
      </c>
      <c r="K1022" s="22">
        <v>1019</v>
      </c>
      <c r="L1022" s="12"/>
      <c r="Q1022" s="15">
        <f t="shared" si="326"/>
        <v>1019</v>
      </c>
      <c r="R1022" s="2">
        <f t="shared" si="322"/>
        <v>44945</v>
      </c>
      <c r="S1022" s="9">
        <f t="shared" ca="1" si="327"/>
        <v>-1.4292474424641497E-2</v>
      </c>
      <c r="T1022" s="9">
        <f t="shared" ca="1" si="328"/>
        <v>-1.3375311903126876E-2</v>
      </c>
      <c r="U1022" s="9">
        <f t="shared" ca="1" si="329"/>
        <v>2.1534442468721E-2</v>
      </c>
      <c r="AB1022" s="33" t="e">
        <f t="shared" ca="1" si="335"/>
        <v>#N/A</v>
      </c>
      <c r="AC1022" s="34" t="e">
        <f t="shared" ca="1" si="336"/>
        <v>#N/A</v>
      </c>
      <c r="AD1022" s="34" t="e">
        <f t="shared" ca="1" si="337"/>
        <v>#N/A</v>
      </c>
      <c r="AE1022" s="33" t="e">
        <f t="shared" ca="1" si="338"/>
        <v>#N/A</v>
      </c>
      <c r="AF1022" s="34" t="e">
        <f t="shared" ca="1" si="330"/>
        <v>#N/A</v>
      </c>
      <c r="AG1022" s="34" t="e">
        <f t="shared" ca="1" si="331"/>
        <v>#N/A</v>
      </c>
      <c r="AH1022" s="34" t="e">
        <f t="shared" ca="1" si="332"/>
        <v>#N/A</v>
      </c>
      <c r="AI1022" s="33" t="e">
        <f t="shared" ca="1" si="339"/>
        <v>#N/A</v>
      </c>
      <c r="AJ1022" s="34" t="e">
        <f t="shared" ca="1" si="340"/>
        <v>#N/A</v>
      </c>
      <c r="AK1022" s="34" t="e">
        <f t="shared" ca="1" si="333"/>
        <v>#N/A</v>
      </c>
      <c r="AL1022" s="34" t="e">
        <f t="shared" ca="1" si="334"/>
        <v>#N/A</v>
      </c>
      <c r="AM1022" s="33" t="e">
        <f t="shared" ca="1" si="341"/>
        <v>#N/A</v>
      </c>
      <c r="AN1022" s="34" t="e">
        <f t="shared" ca="1" si="342"/>
        <v>#N/A</v>
      </c>
    </row>
    <row r="1023" spans="1:40" x14ac:dyDescent="0.3">
      <c r="A1023" s="2">
        <v>44946</v>
      </c>
      <c r="B1023" s="9">
        <v>78.269997000000004</v>
      </c>
      <c r="C1023" s="9">
        <v>121.050003</v>
      </c>
      <c r="D1023" s="9">
        <v>142.729996</v>
      </c>
      <c r="E1023" s="10"/>
      <c r="F1023" s="13">
        <v>1020</v>
      </c>
      <c r="G1023" s="2">
        <v>44946</v>
      </c>
      <c r="H1023" s="14">
        <f t="shared" si="323"/>
        <v>3.3122009940211944E-2</v>
      </c>
      <c r="I1023" s="14">
        <f t="shared" si="324"/>
        <v>3.1128038758473611E-2</v>
      </c>
      <c r="J1023" s="14">
        <f t="shared" si="325"/>
        <v>3.0301002728331083E-2</v>
      </c>
      <c r="K1023" s="22">
        <v>1020</v>
      </c>
      <c r="L1023" s="12"/>
      <c r="Q1023" s="15">
        <f t="shared" si="326"/>
        <v>1020</v>
      </c>
      <c r="R1023" s="2">
        <f t="shared" si="322"/>
        <v>44946</v>
      </c>
      <c r="S1023" s="9">
        <f t="shared" ca="1" si="327"/>
        <v>3.3122009940211944E-2</v>
      </c>
      <c r="T1023" s="9">
        <f t="shared" ca="1" si="328"/>
        <v>3.1128038758473611E-2</v>
      </c>
      <c r="U1023" s="9">
        <f t="shared" ca="1" si="329"/>
        <v>3.0301002728331083E-2</v>
      </c>
      <c r="AB1023" s="33" t="e">
        <f t="shared" ca="1" si="335"/>
        <v>#N/A</v>
      </c>
      <c r="AC1023" s="34" t="e">
        <f t="shared" ca="1" si="336"/>
        <v>#N/A</v>
      </c>
      <c r="AD1023" s="34" t="e">
        <f t="shared" ca="1" si="337"/>
        <v>#N/A</v>
      </c>
      <c r="AE1023" s="33" t="e">
        <f t="shared" ca="1" si="338"/>
        <v>#N/A</v>
      </c>
      <c r="AF1023" s="34" t="e">
        <f t="shared" ca="1" si="330"/>
        <v>#N/A</v>
      </c>
      <c r="AG1023" s="34" t="e">
        <f t="shared" ca="1" si="331"/>
        <v>#N/A</v>
      </c>
      <c r="AH1023" s="34" t="e">
        <f t="shared" ca="1" si="332"/>
        <v>#N/A</v>
      </c>
      <c r="AI1023" s="33" t="e">
        <f t="shared" ca="1" si="339"/>
        <v>#N/A</v>
      </c>
      <c r="AJ1023" s="34" t="e">
        <f t="shared" ca="1" si="340"/>
        <v>#N/A</v>
      </c>
      <c r="AK1023" s="34" t="e">
        <f t="shared" ca="1" si="333"/>
        <v>#N/A</v>
      </c>
      <c r="AL1023" s="34" t="e">
        <f t="shared" ca="1" si="334"/>
        <v>#N/A</v>
      </c>
      <c r="AM1023" s="33" t="e">
        <f t="shared" ca="1" si="341"/>
        <v>#N/A</v>
      </c>
      <c r="AN1023" s="34" t="e">
        <f t="shared" ca="1" si="342"/>
        <v>#N/A</v>
      </c>
    </row>
    <row r="1024" spans="1:40" x14ac:dyDescent="0.3">
      <c r="A1024" s="2">
        <v>44949</v>
      </c>
      <c r="B1024" s="9">
        <v>79.75</v>
      </c>
      <c r="C1024" s="9">
        <v>126.870003</v>
      </c>
      <c r="D1024" s="9">
        <v>143.08000200000001</v>
      </c>
      <c r="E1024" s="10"/>
      <c r="F1024" s="13">
        <v>1021</v>
      </c>
      <c r="G1024" s="2">
        <v>44949</v>
      </c>
      <c r="H1024" s="14">
        <f t="shared" si="323"/>
        <v>1.8732392177069512E-2</v>
      </c>
      <c r="I1024" s="14">
        <f t="shared" si="324"/>
        <v>4.6959255631543954E-2</v>
      </c>
      <c r="J1024" s="14">
        <f t="shared" si="325"/>
        <v>2.4492227522764994E-3</v>
      </c>
      <c r="K1024" s="22">
        <v>1021</v>
      </c>
      <c r="L1024" s="12"/>
      <c r="Q1024" s="15">
        <f t="shared" si="326"/>
        <v>1021</v>
      </c>
      <c r="R1024" s="2">
        <f t="shared" si="322"/>
        <v>44949</v>
      </c>
      <c r="S1024" s="9">
        <f t="shared" ca="1" si="327"/>
        <v>1.8732392177069512E-2</v>
      </c>
      <c r="T1024" s="9">
        <f t="shared" ca="1" si="328"/>
        <v>4.6959255631543954E-2</v>
      </c>
      <c r="U1024" s="9">
        <f t="shared" ca="1" si="329"/>
        <v>2.4492227522764994E-3</v>
      </c>
      <c r="AB1024" s="33" t="e">
        <f t="shared" ca="1" si="335"/>
        <v>#N/A</v>
      </c>
      <c r="AC1024" s="34" t="e">
        <f t="shared" ca="1" si="336"/>
        <v>#N/A</v>
      </c>
      <c r="AD1024" s="34" t="e">
        <f t="shared" ca="1" si="337"/>
        <v>#N/A</v>
      </c>
      <c r="AE1024" s="33" t="e">
        <f t="shared" ca="1" si="338"/>
        <v>#N/A</v>
      </c>
      <c r="AF1024" s="34" t="e">
        <f t="shared" ca="1" si="330"/>
        <v>#N/A</v>
      </c>
      <c r="AG1024" s="34" t="e">
        <f t="shared" ca="1" si="331"/>
        <v>#N/A</v>
      </c>
      <c r="AH1024" s="34" t="e">
        <f t="shared" ca="1" si="332"/>
        <v>#N/A</v>
      </c>
      <c r="AI1024" s="33" t="e">
        <f t="shared" ca="1" si="339"/>
        <v>#N/A</v>
      </c>
      <c r="AJ1024" s="34" t="e">
        <f t="shared" ca="1" si="340"/>
        <v>#N/A</v>
      </c>
      <c r="AK1024" s="34" t="e">
        <f t="shared" ca="1" si="333"/>
        <v>#N/A</v>
      </c>
      <c r="AL1024" s="34" t="e">
        <f t="shared" ca="1" si="334"/>
        <v>#N/A</v>
      </c>
      <c r="AM1024" s="33" t="e">
        <f t="shared" ca="1" si="341"/>
        <v>#N/A</v>
      </c>
      <c r="AN1024" s="34" t="e">
        <f t="shared" ca="1" si="342"/>
        <v>#N/A</v>
      </c>
    </row>
    <row r="1025" spans="1:40" x14ac:dyDescent="0.3">
      <c r="A1025" s="2">
        <v>44950</v>
      </c>
      <c r="B1025" s="9">
        <v>79.099997999999999</v>
      </c>
      <c r="C1025" s="9">
        <v>126.300003</v>
      </c>
      <c r="D1025" s="9">
        <v>145.029999</v>
      </c>
      <c r="E1025" s="10"/>
      <c r="F1025" s="13">
        <v>1022</v>
      </c>
      <c r="G1025" s="2">
        <v>44950</v>
      </c>
      <c r="H1025" s="14">
        <f t="shared" si="323"/>
        <v>-8.1838921757961518E-3</v>
      </c>
      <c r="I1025" s="14">
        <f t="shared" si="324"/>
        <v>-4.5029106893444172E-3</v>
      </c>
      <c r="J1025" s="14">
        <f t="shared" si="325"/>
        <v>1.3536682308022551E-2</v>
      </c>
      <c r="K1025" s="22">
        <v>1022</v>
      </c>
      <c r="L1025" s="12"/>
      <c r="Q1025" s="15">
        <f t="shared" si="326"/>
        <v>1022</v>
      </c>
      <c r="R1025" s="2">
        <f t="shared" si="322"/>
        <v>44950</v>
      </c>
      <c r="S1025" s="9">
        <f t="shared" ca="1" si="327"/>
        <v>-8.1838921757961518E-3</v>
      </c>
      <c r="T1025" s="9">
        <f t="shared" ca="1" si="328"/>
        <v>-4.5029106893444172E-3</v>
      </c>
      <c r="U1025" s="9">
        <f t="shared" ca="1" si="329"/>
        <v>1.3536682308022551E-2</v>
      </c>
      <c r="AB1025" s="33" t="e">
        <f t="shared" ca="1" si="335"/>
        <v>#N/A</v>
      </c>
      <c r="AC1025" s="34" t="e">
        <f t="shared" ca="1" si="336"/>
        <v>#N/A</v>
      </c>
      <c r="AD1025" s="34" t="e">
        <f t="shared" ca="1" si="337"/>
        <v>#N/A</v>
      </c>
      <c r="AE1025" s="33" t="e">
        <f t="shared" ca="1" si="338"/>
        <v>#N/A</v>
      </c>
      <c r="AF1025" s="34" t="e">
        <f t="shared" ca="1" si="330"/>
        <v>#N/A</v>
      </c>
      <c r="AG1025" s="34" t="e">
        <f t="shared" ca="1" si="331"/>
        <v>#N/A</v>
      </c>
      <c r="AH1025" s="34" t="e">
        <f t="shared" ca="1" si="332"/>
        <v>#N/A</v>
      </c>
      <c r="AI1025" s="33" t="e">
        <f t="shared" ca="1" si="339"/>
        <v>#N/A</v>
      </c>
      <c r="AJ1025" s="34" t="e">
        <f t="shared" ca="1" si="340"/>
        <v>#N/A</v>
      </c>
      <c r="AK1025" s="34" t="e">
        <f t="shared" ca="1" si="333"/>
        <v>#N/A</v>
      </c>
      <c r="AL1025" s="34" t="e">
        <f t="shared" ca="1" si="334"/>
        <v>#N/A</v>
      </c>
      <c r="AM1025" s="33" t="e">
        <f t="shared" ca="1" si="341"/>
        <v>#N/A</v>
      </c>
      <c r="AN1025" s="34" t="e">
        <f t="shared" ca="1" si="342"/>
        <v>#N/A</v>
      </c>
    </row>
    <row r="1026" spans="1:40" x14ac:dyDescent="0.3">
      <c r="A1026" s="2">
        <v>44951</v>
      </c>
      <c r="B1026" s="9">
        <v>78.879997000000003</v>
      </c>
      <c r="C1026" s="9">
        <v>123.980003</v>
      </c>
      <c r="D1026" s="9">
        <v>143.35000600000001</v>
      </c>
      <c r="E1026" s="10"/>
      <c r="F1026" s="13">
        <v>1023</v>
      </c>
      <c r="G1026" s="2">
        <v>44951</v>
      </c>
      <c r="H1026" s="14">
        <f t="shared" si="323"/>
        <v>-2.7851772272328634E-3</v>
      </c>
      <c r="I1026" s="14">
        <f t="shared" si="324"/>
        <v>-1.8539766638190108E-2</v>
      </c>
      <c r="J1026" s="14">
        <f t="shared" si="325"/>
        <v>-1.1651376492057358E-2</v>
      </c>
      <c r="K1026" s="22">
        <v>1023</v>
      </c>
      <c r="L1026" s="12"/>
      <c r="Q1026" s="15">
        <f t="shared" si="326"/>
        <v>1023</v>
      </c>
      <c r="R1026" s="2">
        <f t="shared" si="322"/>
        <v>44951</v>
      </c>
      <c r="S1026" s="9">
        <f t="shared" ca="1" si="327"/>
        <v>-2.7851772272328634E-3</v>
      </c>
      <c r="T1026" s="9">
        <f t="shared" ca="1" si="328"/>
        <v>-1.8539766638190108E-2</v>
      </c>
      <c r="U1026" s="9">
        <f t="shared" ca="1" si="329"/>
        <v>-1.1651376492057358E-2</v>
      </c>
      <c r="AB1026" s="33" t="e">
        <f t="shared" ca="1" si="335"/>
        <v>#N/A</v>
      </c>
      <c r="AC1026" s="34" t="e">
        <f t="shared" ca="1" si="336"/>
        <v>#N/A</v>
      </c>
      <c r="AD1026" s="34" t="e">
        <f t="shared" ca="1" si="337"/>
        <v>#N/A</v>
      </c>
      <c r="AE1026" s="33" t="e">
        <f t="shared" ca="1" si="338"/>
        <v>#N/A</v>
      </c>
      <c r="AF1026" s="34" t="e">
        <f t="shared" ca="1" si="330"/>
        <v>#N/A</v>
      </c>
      <c r="AG1026" s="34" t="e">
        <f t="shared" ca="1" si="331"/>
        <v>#N/A</v>
      </c>
      <c r="AH1026" s="34" t="e">
        <f t="shared" ca="1" si="332"/>
        <v>#N/A</v>
      </c>
      <c r="AI1026" s="33" t="e">
        <f t="shared" ca="1" si="339"/>
        <v>#N/A</v>
      </c>
      <c r="AJ1026" s="34" t="e">
        <f t="shared" ca="1" si="340"/>
        <v>#N/A</v>
      </c>
      <c r="AK1026" s="34" t="e">
        <f t="shared" ca="1" si="333"/>
        <v>#N/A</v>
      </c>
      <c r="AL1026" s="34" t="e">
        <f t="shared" ca="1" si="334"/>
        <v>#N/A</v>
      </c>
      <c r="AM1026" s="33" t="e">
        <f t="shared" ca="1" si="341"/>
        <v>#N/A</v>
      </c>
      <c r="AN1026" s="34" t="e">
        <f t="shared" ca="1" si="342"/>
        <v>#N/A</v>
      </c>
    </row>
    <row r="1027" spans="1:40" x14ac:dyDescent="0.3">
      <c r="A1027" s="2">
        <v>44952</v>
      </c>
      <c r="B1027" s="9">
        <v>80.809997999999993</v>
      </c>
      <c r="C1027" s="9">
        <v>124.209999</v>
      </c>
      <c r="D1027" s="9">
        <v>149.96000699999999</v>
      </c>
      <c r="E1027" s="10"/>
      <c r="F1027" s="13">
        <v>1024</v>
      </c>
      <c r="G1027" s="2">
        <v>44952</v>
      </c>
      <c r="H1027" s="14">
        <f t="shared" si="323"/>
        <v>2.4173023234018699E-2</v>
      </c>
      <c r="I1027" s="14">
        <f t="shared" si="324"/>
        <v>1.853387033996598E-3</v>
      </c>
      <c r="J1027" s="14">
        <f t="shared" si="325"/>
        <v>4.5079404361848339E-2</v>
      </c>
      <c r="K1027" s="22">
        <v>1024</v>
      </c>
      <c r="L1027" s="12"/>
      <c r="Q1027" s="15">
        <f t="shared" si="326"/>
        <v>1024</v>
      </c>
      <c r="R1027" s="2">
        <f t="shared" si="322"/>
        <v>44952</v>
      </c>
      <c r="S1027" s="9">
        <f t="shared" ca="1" si="327"/>
        <v>2.4173023234018699E-2</v>
      </c>
      <c r="T1027" s="9">
        <f t="shared" ca="1" si="328"/>
        <v>1.853387033996598E-3</v>
      </c>
      <c r="U1027" s="9">
        <f t="shared" ca="1" si="329"/>
        <v>4.5079404361848339E-2</v>
      </c>
      <c r="AB1027" s="33" t="e">
        <f t="shared" ca="1" si="335"/>
        <v>#N/A</v>
      </c>
      <c r="AC1027" s="34" t="e">
        <f t="shared" ca="1" si="336"/>
        <v>#N/A</v>
      </c>
      <c r="AD1027" s="34" t="e">
        <f t="shared" ca="1" si="337"/>
        <v>#N/A</v>
      </c>
      <c r="AE1027" s="33" t="e">
        <f t="shared" ca="1" si="338"/>
        <v>#N/A</v>
      </c>
      <c r="AF1027" s="34" t="e">
        <f t="shared" ca="1" si="330"/>
        <v>#N/A</v>
      </c>
      <c r="AG1027" s="34" t="e">
        <f t="shared" ca="1" si="331"/>
        <v>#N/A</v>
      </c>
      <c r="AH1027" s="34" t="e">
        <f t="shared" ca="1" si="332"/>
        <v>#N/A</v>
      </c>
      <c r="AI1027" s="33" t="e">
        <f t="shared" ca="1" si="339"/>
        <v>#N/A</v>
      </c>
      <c r="AJ1027" s="34" t="e">
        <f t="shared" ca="1" si="340"/>
        <v>#N/A</v>
      </c>
      <c r="AK1027" s="34" t="e">
        <f t="shared" ca="1" si="333"/>
        <v>#N/A</v>
      </c>
      <c r="AL1027" s="34" t="e">
        <f t="shared" ca="1" si="334"/>
        <v>#N/A</v>
      </c>
      <c r="AM1027" s="33" t="e">
        <f t="shared" ca="1" si="341"/>
        <v>#N/A</v>
      </c>
      <c r="AN1027" s="34" t="e">
        <f t="shared" ca="1" si="342"/>
        <v>#N/A</v>
      </c>
    </row>
    <row r="1028" spans="1:40" x14ac:dyDescent="0.3">
      <c r="A1028" s="2">
        <v>44953</v>
      </c>
      <c r="B1028" s="9">
        <v>85.199996999999996</v>
      </c>
      <c r="C1028" s="9">
        <v>122.82</v>
      </c>
      <c r="D1028" s="9">
        <v>143.21000699999999</v>
      </c>
      <c r="E1028" s="10"/>
      <c r="F1028" s="13">
        <v>1025</v>
      </c>
      <c r="G1028" s="2">
        <v>44953</v>
      </c>
      <c r="H1028" s="14">
        <f t="shared" si="323"/>
        <v>5.2900703128058099E-2</v>
      </c>
      <c r="I1028" s="14">
        <f t="shared" si="324"/>
        <v>-1.1253804603967632E-2</v>
      </c>
      <c r="J1028" s="14">
        <f t="shared" si="325"/>
        <v>-4.6056505176946455E-2</v>
      </c>
      <c r="K1028" s="22">
        <v>1025</v>
      </c>
      <c r="L1028" s="12"/>
      <c r="Q1028" s="15">
        <f t="shared" si="326"/>
        <v>1025</v>
      </c>
      <c r="R1028" s="2">
        <f t="shared" ref="R1028:R1091" si="343">IF(Q1028="","",VLOOKUP(Q1028,F1028:J2285,2))</f>
        <v>44953</v>
      </c>
      <c r="S1028" s="9">
        <f t="shared" ca="1" si="327"/>
        <v>5.2900703128058099E-2</v>
      </c>
      <c r="T1028" s="9">
        <f t="shared" ca="1" si="328"/>
        <v>-1.1253804603967632E-2</v>
      </c>
      <c r="U1028" s="9">
        <f t="shared" ca="1" si="329"/>
        <v>-4.6056505176946455E-2</v>
      </c>
      <c r="AB1028" s="33" t="e">
        <f t="shared" ca="1" si="335"/>
        <v>#N/A</v>
      </c>
      <c r="AC1028" s="34" t="e">
        <f t="shared" ca="1" si="336"/>
        <v>#N/A</v>
      </c>
      <c r="AD1028" s="34" t="e">
        <f t="shared" ca="1" si="337"/>
        <v>#N/A</v>
      </c>
      <c r="AE1028" s="33" t="e">
        <f t="shared" ca="1" si="338"/>
        <v>#N/A</v>
      </c>
      <c r="AF1028" s="34" t="e">
        <f t="shared" ca="1" si="330"/>
        <v>#N/A</v>
      </c>
      <c r="AG1028" s="34" t="e">
        <f t="shared" ca="1" si="331"/>
        <v>#N/A</v>
      </c>
      <c r="AH1028" s="34" t="e">
        <f t="shared" ca="1" si="332"/>
        <v>#N/A</v>
      </c>
      <c r="AI1028" s="33" t="e">
        <f t="shared" ca="1" si="339"/>
        <v>#N/A</v>
      </c>
      <c r="AJ1028" s="34" t="e">
        <f t="shared" ca="1" si="340"/>
        <v>#N/A</v>
      </c>
      <c r="AK1028" s="34" t="e">
        <f t="shared" ca="1" si="333"/>
        <v>#N/A</v>
      </c>
      <c r="AL1028" s="34" t="e">
        <f t="shared" ca="1" si="334"/>
        <v>#N/A</v>
      </c>
      <c r="AM1028" s="33" t="e">
        <f t="shared" ca="1" si="341"/>
        <v>#N/A</v>
      </c>
      <c r="AN1028" s="34" t="e">
        <f t="shared" ca="1" si="342"/>
        <v>#N/A</v>
      </c>
    </row>
    <row r="1029" spans="1:40" x14ac:dyDescent="0.3">
      <c r="A1029" s="2">
        <v>44956</v>
      </c>
      <c r="B1029" s="9">
        <v>82.470000999999996</v>
      </c>
      <c r="C1029" s="9">
        <v>121.860001</v>
      </c>
      <c r="D1029" s="9">
        <v>140.19000199999999</v>
      </c>
      <c r="E1029" s="10"/>
      <c r="F1029" s="13">
        <v>1026</v>
      </c>
      <c r="G1029" s="2">
        <v>44956</v>
      </c>
      <c r="H1029" s="14">
        <f t="shared" ref="H1029:H1092" si="344">LN(B1029/B1028)</f>
        <v>-3.2566795653116452E-2</v>
      </c>
      <c r="I1029" s="14">
        <f t="shared" ref="I1029:I1092" si="345">LN(C1029/C1028)</f>
        <v>-7.8470158747666937E-3</v>
      </c>
      <c r="J1029" s="14">
        <f t="shared" ref="J1029:J1092" si="346">LN(D1029/D1028)</f>
        <v>-2.1313473723080956E-2</v>
      </c>
      <c r="K1029" s="22">
        <v>1026</v>
      </c>
      <c r="L1029" s="12"/>
      <c r="Q1029" s="15">
        <f t="shared" ref="Q1029:Q1092" si="347">IF(Q1028="","",IF(Q1028+1&lt;=$M$6,Q1028+1,""))</f>
        <v>1026</v>
      </c>
      <c r="R1029" s="2">
        <f t="shared" si="343"/>
        <v>44956</v>
      </c>
      <c r="S1029" s="9">
        <f t="shared" ref="S1029:S1092" ca="1" si="348">IF(Q1029="","",OFFSET(H$3,$Q1029,0))</f>
        <v>-3.2566795653116452E-2</v>
      </c>
      <c r="T1029" s="9">
        <f t="shared" ref="T1029:T1092" ca="1" si="349">IF(R1029="","",OFFSET(I$3,$Q1029,0))</f>
        <v>-7.8470158747666937E-3</v>
      </c>
      <c r="U1029" s="9">
        <f t="shared" ref="U1029:U1092" ca="1" si="350">IF(S1029="","",OFFSET(J$3,$Q1029,0))</f>
        <v>-2.1313473723080956E-2</v>
      </c>
      <c r="AB1029" s="33" t="e">
        <f t="shared" ca="1" si="335"/>
        <v>#N/A</v>
      </c>
      <c r="AC1029" s="34" t="e">
        <f t="shared" ca="1" si="336"/>
        <v>#N/A</v>
      </c>
      <c r="AD1029" s="34" t="e">
        <f t="shared" ca="1" si="337"/>
        <v>#N/A</v>
      </c>
      <c r="AE1029" s="33" t="e">
        <f t="shared" ca="1" si="338"/>
        <v>#N/A</v>
      </c>
      <c r="AF1029" s="34" t="e">
        <f t="shared" ref="AF1029:AF1092" ca="1" si="351">IF(AB1029&lt;=$X$6,(AE1029/$X$5)/$X$7,"")</f>
        <v>#N/A</v>
      </c>
      <c r="AG1029" s="34" t="e">
        <f t="shared" ref="AG1029:AG1092" ca="1" si="352">IF(AB1029&lt;=$Y$6,AG1028+$Y$7,"")</f>
        <v>#N/A</v>
      </c>
      <c r="AH1029" s="34" t="e">
        <f t="shared" ref="AH1029:AH1092" ca="1" si="353">IF(AB1029&lt;=$Y$6,AG1029-$Y$7/2,"")</f>
        <v>#N/A</v>
      </c>
      <c r="AI1029" s="33" t="e">
        <f t="shared" ca="1" si="339"/>
        <v>#N/A</v>
      </c>
      <c r="AJ1029" s="34" t="e">
        <f t="shared" ca="1" si="340"/>
        <v>#N/A</v>
      </c>
      <c r="AK1029" s="34" t="e">
        <f t="shared" ref="AK1029:AK1092" ca="1" si="354">IF(AB1029&lt;=$Z$6,AK1028+$Z$7,"")</f>
        <v>#N/A</v>
      </c>
      <c r="AL1029" s="34" t="e">
        <f t="shared" ref="AL1029:AL1092" ca="1" si="355">IF(AB1029&lt;=$Z$6,AK1029-$Z$7/2,"")</f>
        <v>#N/A</v>
      </c>
      <c r="AM1029" s="33" t="e">
        <f t="shared" ca="1" si="341"/>
        <v>#N/A</v>
      </c>
      <c r="AN1029" s="34" t="e">
        <f t="shared" ca="1" si="342"/>
        <v>#N/A</v>
      </c>
    </row>
    <row r="1030" spans="1:40" x14ac:dyDescent="0.3">
      <c r="A1030" s="2">
        <v>44957</v>
      </c>
      <c r="B1030" s="9">
        <v>83.959998999999996</v>
      </c>
      <c r="C1030" s="9">
        <v>123.849998</v>
      </c>
      <c r="D1030" s="9">
        <v>140.029999</v>
      </c>
      <c r="E1030" s="10"/>
      <c r="F1030" s="13">
        <v>1027</v>
      </c>
      <c r="G1030" s="2">
        <v>44957</v>
      </c>
      <c r="H1030" s="14">
        <f t="shared" si="344"/>
        <v>1.7905880071113336E-2</v>
      </c>
      <c r="I1030" s="14">
        <f t="shared" si="345"/>
        <v>1.6198286760315223E-2</v>
      </c>
      <c r="J1030" s="14">
        <f t="shared" si="346"/>
        <v>-1.1419814204382858E-3</v>
      </c>
      <c r="K1030" s="22">
        <v>1027</v>
      </c>
      <c r="L1030" s="12"/>
      <c r="Q1030" s="15">
        <f t="shared" si="347"/>
        <v>1027</v>
      </c>
      <c r="R1030" s="2">
        <f t="shared" si="343"/>
        <v>44957</v>
      </c>
      <c r="S1030" s="9">
        <f t="shared" ca="1" si="348"/>
        <v>1.7905880071113336E-2</v>
      </c>
      <c r="T1030" s="9">
        <f t="shared" ca="1" si="349"/>
        <v>1.6198286760315223E-2</v>
      </c>
      <c r="U1030" s="9">
        <f t="shared" ca="1" si="350"/>
        <v>-1.1419814204382858E-3</v>
      </c>
      <c r="AB1030" s="33" t="e">
        <f t="shared" ref="AB1030:AB1093" ca="1" si="356">IF(AB1029&lt;$X$6,AB1029+1,NA())</f>
        <v>#N/A</v>
      </c>
      <c r="AC1030" s="34" t="e">
        <f t="shared" ref="AC1030:AC1093" ca="1" si="357">IF(AB1030&lt;=$X$6,AC1029+$X$7,"")</f>
        <v>#N/A</v>
      </c>
      <c r="AD1030" s="34" t="e">
        <f t="shared" ref="AD1030:AD1093" ca="1" si="358">IF(AB1030&lt;=$X$6,AC1030-$X$7/2,"")</f>
        <v>#N/A</v>
      </c>
      <c r="AE1030" s="33" t="e">
        <f t="shared" ref="AE1030:AE1093" ca="1" si="359">IF(AB1030&lt;=$X$6,COUNTIFS($S$3:$S$1260,"&gt;"&amp;AC1029,$S$3:$S$1260,"&lt;="&amp;AC1030),"")</f>
        <v>#N/A</v>
      </c>
      <c r="AF1030" s="34" t="e">
        <f t="shared" ca="1" si="351"/>
        <v>#N/A</v>
      </c>
      <c r="AG1030" s="34" t="e">
        <f t="shared" ca="1" si="352"/>
        <v>#N/A</v>
      </c>
      <c r="AH1030" s="34" t="e">
        <f t="shared" ca="1" si="353"/>
        <v>#N/A</v>
      </c>
      <c r="AI1030" s="33" t="e">
        <f t="shared" ref="AI1030:AI1093" ca="1" si="360">IF(AB1030&lt;=$Y$6,COUNTIFS($T$3:$T$1260,"&gt;"&amp;AG1029,$T$3:$T$1260,"&lt;="&amp;AG1030),"")</f>
        <v>#N/A</v>
      </c>
      <c r="AJ1030" s="34" t="e">
        <f t="shared" ref="AJ1030:AJ1093" ca="1" si="361">IF(AB1030&lt;=$Y$6,(AI1030/$Y$5)/$Y$7,"")</f>
        <v>#N/A</v>
      </c>
      <c r="AK1030" s="34" t="e">
        <f t="shared" ca="1" si="354"/>
        <v>#N/A</v>
      </c>
      <c r="AL1030" s="34" t="e">
        <f t="shared" ca="1" si="355"/>
        <v>#N/A</v>
      </c>
      <c r="AM1030" s="33" t="e">
        <f t="shared" ref="AM1030:AM1093" ca="1" si="362">IF(AB1030&lt;=$Z$6,COUNTIFS($U$3:$U$1260,"&gt;"&amp;AK1029,$U$3:$U$1260,"&lt;="&amp;AK1030),"")</f>
        <v>#N/A</v>
      </c>
      <c r="AN1030" s="34" t="e">
        <f t="shared" ref="AN1030:AN1093" ca="1" si="363">IF(AB1030&lt;=$Z$6,(AM1030/$Z$5)/$Z$7,"")</f>
        <v>#N/A</v>
      </c>
    </row>
    <row r="1031" spans="1:40" x14ac:dyDescent="0.3">
      <c r="A1031" s="2">
        <v>44958</v>
      </c>
      <c r="B1031" s="9">
        <v>85.589995999999999</v>
      </c>
      <c r="C1031" s="9">
        <v>127.730003</v>
      </c>
      <c r="D1031" s="9">
        <v>136.229996</v>
      </c>
      <c r="E1031" s="10"/>
      <c r="F1031" s="13">
        <v>1028</v>
      </c>
      <c r="G1031" s="2">
        <v>44958</v>
      </c>
      <c r="H1031" s="14">
        <f t="shared" si="344"/>
        <v>1.9227924117086983E-2</v>
      </c>
      <c r="I1031" s="14">
        <f t="shared" si="345"/>
        <v>3.0847544754926539E-2</v>
      </c>
      <c r="J1031" s="14">
        <f t="shared" si="346"/>
        <v>-2.7512073810498E-2</v>
      </c>
      <c r="K1031" s="22">
        <v>1028</v>
      </c>
      <c r="L1031" s="12"/>
      <c r="Q1031" s="15">
        <f t="shared" si="347"/>
        <v>1028</v>
      </c>
      <c r="R1031" s="2">
        <f t="shared" si="343"/>
        <v>44958</v>
      </c>
      <c r="S1031" s="9">
        <f t="shared" ca="1" si="348"/>
        <v>1.9227924117086983E-2</v>
      </c>
      <c r="T1031" s="9">
        <f t="shared" ca="1" si="349"/>
        <v>3.0847544754926539E-2</v>
      </c>
      <c r="U1031" s="9">
        <f t="shared" ca="1" si="350"/>
        <v>-2.7512073810498E-2</v>
      </c>
      <c r="AB1031" s="33" t="e">
        <f t="shared" ca="1" si="356"/>
        <v>#N/A</v>
      </c>
      <c r="AC1031" s="34" t="e">
        <f t="shared" ca="1" si="357"/>
        <v>#N/A</v>
      </c>
      <c r="AD1031" s="34" t="e">
        <f t="shared" ca="1" si="358"/>
        <v>#N/A</v>
      </c>
      <c r="AE1031" s="33" t="e">
        <f t="shared" ca="1" si="359"/>
        <v>#N/A</v>
      </c>
      <c r="AF1031" s="34" t="e">
        <f t="shared" ca="1" si="351"/>
        <v>#N/A</v>
      </c>
      <c r="AG1031" s="34" t="e">
        <f t="shared" ca="1" si="352"/>
        <v>#N/A</v>
      </c>
      <c r="AH1031" s="34" t="e">
        <f t="shared" ca="1" si="353"/>
        <v>#N/A</v>
      </c>
      <c r="AI1031" s="33" t="e">
        <f t="shared" ca="1" si="360"/>
        <v>#N/A</v>
      </c>
      <c r="AJ1031" s="34" t="e">
        <f t="shared" ca="1" si="361"/>
        <v>#N/A</v>
      </c>
      <c r="AK1031" s="34" t="e">
        <f t="shared" ca="1" si="354"/>
        <v>#N/A</v>
      </c>
      <c r="AL1031" s="34" t="e">
        <f t="shared" ca="1" si="355"/>
        <v>#N/A</v>
      </c>
      <c r="AM1031" s="33" t="e">
        <f t="shared" ca="1" si="362"/>
        <v>#N/A</v>
      </c>
      <c r="AN1031" s="34" t="e">
        <f t="shared" ca="1" si="363"/>
        <v>#N/A</v>
      </c>
    </row>
    <row r="1032" spans="1:40" x14ac:dyDescent="0.3">
      <c r="A1032" s="2">
        <v>44959</v>
      </c>
      <c r="B1032" s="9">
        <v>88.709998999999996</v>
      </c>
      <c r="C1032" s="9">
        <v>126.900002</v>
      </c>
      <c r="D1032" s="9">
        <v>133.050003</v>
      </c>
      <c r="E1032" s="10"/>
      <c r="F1032" s="13">
        <v>1029</v>
      </c>
      <c r="G1032" s="2">
        <v>44959</v>
      </c>
      <c r="H1032" s="14">
        <f t="shared" si="344"/>
        <v>3.5804204100723519E-2</v>
      </c>
      <c r="I1032" s="14">
        <f t="shared" si="345"/>
        <v>-6.5192940609449671E-3</v>
      </c>
      <c r="J1032" s="14">
        <f t="shared" si="346"/>
        <v>-2.3619584444248488E-2</v>
      </c>
      <c r="K1032" s="22">
        <v>1029</v>
      </c>
      <c r="L1032" s="12"/>
      <c r="Q1032" s="15">
        <f t="shared" si="347"/>
        <v>1029</v>
      </c>
      <c r="R1032" s="2">
        <f t="shared" si="343"/>
        <v>44959</v>
      </c>
      <c r="S1032" s="9">
        <f t="shared" ca="1" si="348"/>
        <v>3.5804204100723519E-2</v>
      </c>
      <c r="T1032" s="9">
        <f t="shared" ca="1" si="349"/>
        <v>-6.5192940609449671E-3</v>
      </c>
      <c r="U1032" s="9">
        <f t="shared" ca="1" si="350"/>
        <v>-2.3619584444248488E-2</v>
      </c>
      <c r="AB1032" s="33" t="e">
        <f t="shared" ca="1" si="356"/>
        <v>#N/A</v>
      </c>
      <c r="AC1032" s="34" t="e">
        <f t="shared" ca="1" si="357"/>
        <v>#N/A</v>
      </c>
      <c r="AD1032" s="34" t="e">
        <f t="shared" ca="1" si="358"/>
        <v>#N/A</v>
      </c>
      <c r="AE1032" s="33" t="e">
        <f t="shared" ca="1" si="359"/>
        <v>#N/A</v>
      </c>
      <c r="AF1032" s="34" t="e">
        <f t="shared" ca="1" si="351"/>
        <v>#N/A</v>
      </c>
      <c r="AG1032" s="34" t="e">
        <f t="shared" ca="1" si="352"/>
        <v>#N/A</v>
      </c>
      <c r="AH1032" s="34" t="e">
        <f t="shared" ca="1" si="353"/>
        <v>#N/A</v>
      </c>
      <c r="AI1032" s="33" t="e">
        <f t="shared" ca="1" si="360"/>
        <v>#N/A</v>
      </c>
      <c r="AJ1032" s="34" t="e">
        <f t="shared" ca="1" si="361"/>
        <v>#N/A</v>
      </c>
      <c r="AK1032" s="34" t="e">
        <f t="shared" ca="1" si="354"/>
        <v>#N/A</v>
      </c>
      <c r="AL1032" s="34" t="e">
        <f t="shared" ca="1" si="355"/>
        <v>#N/A</v>
      </c>
      <c r="AM1032" s="33" t="e">
        <f t="shared" ca="1" si="362"/>
        <v>#N/A</v>
      </c>
      <c r="AN1032" s="34" t="e">
        <f t="shared" ca="1" si="363"/>
        <v>#N/A</v>
      </c>
    </row>
    <row r="1033" spans="1:40" x14ac:dyDescent="0.3">
      <c r="A1033" s="2">
        <v>44960</v>
      </c>
      <c r="B1033" s="9">
        <v>87.059997999999993</v>
      </c>
      <c r="C1033" s="9">
        <v>125.889999</v>
      </c>
      <c r="D1033" s="9">
        <v>131.729996</v>
      </c>
      <c r="E1033" s="10"/>
      <c r="F1033" s="13">
        <v>1030</v>
      </c>
      <c r="G1033" s="2">
        <v>44960</v>
      </c>
      <c r="H1033" s="14">
        <f t="shared" si="344"/>
        <v>-1.8775098108320561E-2</v>
      </c>
      <c r="I1033" s="14">
        <f t="shared" si="345"/>
        <v>-7.9908886460579483E-3</v>
      </c>
      <c r="J1033" s="14">
        <f t="shared" si="346"/>
        <v>-9.9706770950178224E-3</v>
      </c>
      <c r="K1033" s="22">
        <v>1030</v>
      </c>
      <c r="L1033" s="12"/>
      <c r="Q1033" s="15">
        <f t="shared" si="347"/>
        <v>1030</v>
      </c>
      <c r="R1033" s="2">
        <f t="shared" si="343"/>
        <v>44960</v>
      </c>
      <c r="S1033" s="9">
        <f t="shared" ca="1" si="348"/>
        <v>-1.8775098108320561E-2</v>
      </c>
      <c r="T1033" s="9">
        <f t="shared" ca="1" si="349"/>
        <v>-7.9908886460579483E-3</v>
      </c>
      <c r="U1033" s="9">
        <f t="shared" ca="1" si="350"/>
        <v>-9.9706770950178224E-3</v>
      </c>
      <c r="AB1033" s="33" t="e">
        <f t="shared" ca="1" si="356"/>
        <v>#N/A</v>
      </c>
      <c r="AC1033" s="34" t="e">
        <f t="shared" ca="1" si="357"/>
        <v>#N/A</v>
      </c>
      <c r="AD1033" s="34" t="e">
        <f t="shared" ca="1" si="358"/>
        <v>#N/A</v>
      </c>
      <c r="AE1033" s="33" t="e">
        <f t="shared" ca="1" si="359"/>
        <v>#N/A</v>
      </c>
      <c r="AF1033" s="34" t="e">
        <f t="shared" ca="1" si="351"/>
        <v>#N/A</v>
      </c>
      <c r="AG1033" s="34" t="e">
        <f t="shared" ca="1" si="352"/>
        <v>#N/A</v>
      </c>
      <c r="AH1033" s="34" t="e">
        <f t="shared" ca="1" si="353"/>
        <v>#N/A</v>
      </c>
      <c r="AI1033" s="33" t="e">
        <f t="shared" ca="1" si="360"/>
        <v>#N/A</v>
      </c>
      <c r="AJ1033" s="34" t="e">
        <f t="shared" ca="1" si="361"/>
        <v>#N/A</v>
      </c>
      <c r="AK1033" s="34" t="e">
        <f t="shared" ca="1" si="354"/>
        <v>#N/A</v>
      </c>
      <c r="AL1033" s="34" t="e">
        <f t="shared" ca="1" si="355"/>
        <v>#N/A</v>
      </c>
      <c r="AM1033" s="33" t="e">
        <f t="shared" ca="1" si="362"/>
        <v>#N/A</v>
      </c>
      <c r="AN1033" s="34" t="e">
        <f t="shared" ca="1" si="363"/>
        <v>#N/A</v>
      </c>
    </row>
    <row r="1034" spans="1:40" x14ac:dyDescent="0.3">
      <c r="A1034" s="2">
        <v>44963</v>
      </c>
      <c r="B1034" s="9">
        <v>84.769997000000004</v>
      </c>
      <c r="C1034" s="9">
        <v>120.970001</v>
      </c>
      <c r="D1034" s="9">
        <v>128.08999600000001</v>
      </c>
      <c r="E1034" s="10"/>
      <c r="F1034" s="13">
        <v>1031</v>
      </c>
      <c r="G1034" s="2">
        <v>44963</v>
      </c>
      <c r="H1034" s="14">
        <f t="shared" si="344"/>
        <v>-2.6655841921053448E-2</v>
      </c>
      <c r="I1034" s="14">
        <f t="shared" si="345"/>
        <v>-3.9865912596456041E-2</v>
      </c>
      <c r="J1034" s="14">
        <f t="shared" si="346"/>
        <v>-2.8021232261592977E-2</v>
      </c>
      <c r="K1034" s="22">
        <v>1031</v>
      </c>
      <c r="L1034" s="12"/>
      <c r="Q1034" s="15">
        <f t="shared" si="347"/>
        <v>1031</v>
      </c>
      <c r="R1034" s="2">
        <f t="shared" si="343"/>
        <v>44963</v>
      </c>
      <c r="S1034" s="9">
        <f t="shared" ca="1" si="348"/>
        <v>-2.6655841921053448E-2</v>
      </c>
      <c r="T1034" s="9">
        <f t="shared" ca="1" si="349"/>
        <v>-3.9865912596456041E-2</v>
      </c>
      <c r="U1034" s="9">
        <f t="shared" ca="1" si="350"/>
        <v>-2.8021232261592977E-2</v>
      </c>
      <c r="AB1034" s="33" t="e">
        <f t="shared" ca="1" si="356"/>
        <v>#N/A</v>
      </c>
      <c r="AC1034" s="34" t="e">
        <f t="shared" ca="1" si="357"/>
        <v>#N/A</v>
      </c>
      <c r="AD1034" s="34" t="e">
        <f t="shared" ca="1" si="358"/>
        <v>#N/A</v>
      </c>
      <c r="AE1034" s="33" t="e">
        <f t="shared" ca="1" si="359"/>
        <v>#N/A</v>
      </c>
      <c r="AF1034" s="34" t="e">
        <f t="shared" ca="1" si="351"/>
        <v>#N/A</v>
      </c>
      <c r="AG1034" s="34" t="e">
        <f t="shared" ca="1" si="352"/>
        <v>#N/A</v>
      </c>
      <c r="AH1034" s="34" t="e">
        <f t="shared" ca="1" si="353"/>
        <v>#N/A</v>
      </c>
      <c r="AI1034" s="33" t="e">
        <f t="shared" ca="1" si="360"/>
        <v>#N/A</v>
      </c>
      <c r="AJ1034" s="34" t="e">
        <f t="shared" ca="1" si="361"/>
        <v>#N/A</v>
      </c>
      <c r="AK1034" s="34" t="e">
        <f t="shared" ca="1" si="354"/>
        <v>#N/A</v>
      </c>
      <c r="AL1034" s="34" t="e">
        <f t="shared" ca="1" si="355"/>
        <v>#N/A</v>
      </c>
      <c r="AM1034" s="33" t="e">
        <f t="shared" ca="1" si="362"/>
        <v>#N/A</v>
      </c>
      <c r="AN1034" s="34" t="e">
        <f t="shared" ca="1" si="363"/>
        <v>#N/A</v>
      </c>
    </row>
    <row r="1035" spans="1:40" x14ac:dyDescent="0.3">
      <c r="A1035" s="2">
        <v>44964</v>
      </c>
      <c r="B1035" s="9">
        <v>84.910004000000001</v>
      </c>
      <c r="C1035" s="9">
        <v>122.300003</v>
      </c>
      <c r="D1035" s="9">
        <v>134.520004</v>
      </c>
      <c r="E1035" s="10"/>
      <c r="F1035" s="13">
        <v>1032</v>
      </c>
      <c r="G1035" s="2">
        <v>44964</v>
      </c>
      <c r="H1035" s="14">
        <f t="shared" si="344"/>
        <v>1.6502478895392479E-3</v>
      </c>
      <c r="I1035" s="14">
        <f t="shared" si="345"/>
        <v>1.0934477984701901E-2</v>
      </c>
      <c r="J1035" s="14">
        <f t="shared" si="346"/>
        <v>4.897980599242218E-2</v>
      </c>
      <c r="K1035" s="22">
        <v>1032</v>
      </c>
      <c r="L1035" s="12"/>
      <c r="Q1035" s="15">
        <f t="shared" si="347"/>
        <v>1032</v>
      </c>
      <c r="R1035" s="2">
        <f t="shared" si="343"/>
        <v>44964</v>
      </c>
      <c r="S1035" s="9">
        <f t="shared" ca="1" si="348"/>
        <v>1.6502478895392479E-3</v>
      </c>
      <c r="T1035" s="9">
        <f t="shared" ca="1" si="349"/>
        <v>1.0934477984701901E-2</v>
      </c>
      <c r="U1035" s="9">
        <f t="shared" ca="1" si="350"/>
        <v>4.897980599242218E-2</v>
      </c>
      <c r="AB1035" s="33" t="e">
        <f t="shared" ca="1" si="356"/>
        <v>#N/A</v>
      </c>
      <c r="AC1035" s="34" t="e">
        <f t="shared" ca="1" si="357"/>
        <v>#N/A</v>
      </c>
      <c r="AD1035" s="34" t="e">
        <f t="shared" ca="1" si="358"/>
        <v>#N/A</v>
      </c>
      <c r="AE1035" s="33" t="e">
        <f t="shared" ca="1" si="359"/>
        <v>#N/A</v>
      </c>
      <c r="AF1035" s="34" t="e">
        <f t="shared" ca="1" si="351"/>
        <v>#N/A</v>
      </c>
      <c r="AG1035" s="34" t="e">
        <f t="shared" ca="1" si="352"/>
        <v>#N/A</v>
      </c>
      <c r="AH1035" s="34" t="e">
        <f t="shared" ca="1" si="353"/>
        <v>#N/A</v>
      </c>
      <c r="AI1035" s="33" t="e">
        <f t="shared" ca="1" si="360"/>
        <v>#N/A</v>
      </c>
      <c r="AJ1035" s="34" t="e">
        <f t="shared" ca="1" si="361"/>
        <v>#N/A</v>
      </c>
      <c r="AK1035" s="34" t="e">
        <f t="shared" ca="1" si="354"/>
        <v>#N/A</v>
      </c>
      <c r="AL1035" s="34" t="e">
        <f t="shared" ca="1" si="355"/>
        <v>#N/A</v>
      </c>
      <c r="AM1035" s="33" t="e">
        <f t="shared" ca="1" si="362"/>
        <v>#N/A</v>
      </c>
      <c r="AN1035" s="34" t="e">
        <f t="shared" ca="1" si="363"/>
        <v>#N/A</v>
      </c>
    </row>
    <row r="1036" spans="1:40" x14ac:dyDescent="0.3">
      <c r="A1036" s="2">
        <v>44965</v>
      </c>
      <c r="B1036" s="9">
        <v>84.389999000000003</v>
      </c>
      <c r="C1036" s="9">
        <v>117.08000199999999</v>
      </c>
      <c r="D1036" s="9">
        <v>134.11999499999999</v>
      </c>
      <c r="E1036" s="10"/>
      <c r="F1036" s="13">
        <v>1033</v>
      </c>
      <c r="G1036" s="2">
        <v>44965</v>
      </c>
      <c r="H1036" s="14">
        <f t="shared" si="344"/>
        <v>-6.1430197998443882E-3</v>
      </c>
      <c r="I1036" s="14">
        <f t="shared" si="345"/>
        <v>-4.3619588316949301E-2</v>
      </c>
      <c r="J1036" s="14">
        <f t="shared" si="346"/>
        <v>-2.9780322894444461E-3</v>
      </c>
      <c r="K1036" s="22">
        <v>1033</v>
      </c>
      <c r="L1036" s="12"/>
      <c r="Q1036" s="15">
        <f t="shared" si="347"/>
        <v>1033</v>
      </c>
      <c r="R1036" s="2">
        <f t="shared" si="343"/>
        <v>44965</v>
      </c>
      <c r="S1036" s="9">
        <f t="shared" ca="1" si="348"/>
        <v>-6.1430197998443882E-3</v>
      </c>
      <c r="T1036" s="9">
        <f t="shared" ca="1" si="349"/>
        <v>-4.3619588316949301E-2</v>
      </c>
      <c r="U1036" s="9">
        <f t="shared" ca="1" si="350"/>
        <v>-2.9780322894444461E-3</v>
      </c>
      <c r="AB1036" s="33" t="e">
        <f t="shared" ca="1" si="356"/>
        <v>#N/A</v>
      </c>
      <c r="AC1036" s="34" t="e">
        <f t="shared" ca="1" si="357"/>
        <v>#N/A</v>
      </c>
      <c r="AD1036" s="34" t="e">
        <f t="shared" ca="1" si="358"/>
        <v>#N/A</v>
      </c>
      <c r="AE1036" s="33" t="e">
        <f t="shared" ca="1" si="359"/>
        <v>#N/A</v>
      </c>
      <c r="AF1036" s="34" t="e">
        <f t="shared" ca="1" si="351"/>
        <v>#N/A</v>
      </c>
      <c r="AG1036" s="34" t="e">
        <f t="shared" ca="1" si="352"/>
        <v>#N/A</v>
      </c>
      <c r="AH1036" s="34" t="e">
        <f t="shared" ca="1" si="353"/>
        <v>#N/A</v>
      </c>
      <c r="AI1036" s="33" t="e">
        <f t="shared" ca="1" si="360"/>
        <v>#N/A</v>
      </c>
      <c r="AJ1036" s="34" t="e">
        <f t="shared" ca="1" si="361"/>
        <v>#N/A</v>
      </c>
      <c r="AK1036" s="34" t="e">
        <f t="shared" ca="1" si="354"/>
        <v>#N/A</v>
      </c>
      <c r="AL1036" s="34" t="e">
        <f t="shared" ca="1" si="355"/>
        <v>#N/A</v>
      </c>
      <c r="AM1036" s="33" t="e">
        <f t="shared" ca="1" si="362"/>
        <v>#N/A</v>
      </c>
      <c r="AN1036" s="34" t="e">
        <f t="shared" ca="1" si="363"/>
        <v>#N/A</v>
      </c>
    </row>
    <row r="1037" spans="1:40" x14ac:dyDescent="0.3">
      <c r="A1037" s="2">
        <v>44966</v>
      </c>
      <c r="B1037" s="9">
        <v>82.699996999999996</v>
      </c>
      <c r="C1037" s="9">
        <v>117.620003</v>
      </c>
      <c r="D1037" s="9">
        <v>132.61999499999999</v>
      </c>
      <c r="E1037" s="10"/>
      <c r="F1037" s="13">
        <v>1034</v>
      </c>
      <c r="G1037" s="2">
        <v>44966</v>
      </c>
      <c r="H1037" s="14">
        <f t="shared" si="344"/>
        <v>-2.0229333566180247E-2</v>
      </c>
      <c r="I1037" s="14">
        <f t="shared" si="345"/>
        <v>4.6016356316541012E-3</v>
      </c>
      <c r="J1037" s="14">
        <f t="shared" si="346"/>
        <v>-1.1247026078962588E-2</v>
      </c>
      <c r="K1037" s="22">
        <v>1034</v>
      </c>
      <c r="L1037" s="12"/>
      <c r="Q1037" s="15">
        <f t="shared" si="347"/>
        <v>1034</v>
      </c>
      <c r="R1037" s="2">
        <f t="shared" si="343"/>
        <v>44966</v>
      </c>
      <c r="S1037" s="9">
        <f t="shared" ca="1" si="348"/>
        <v>-2.0229333566180247E-2</v>
      </c>
      <c r="T1037" s="9">
        <f t="shared" ca="1" si="349"/>
        <v>4.6016356316541012E-3</v>
      </c>
      <c r="U1037" s="9">
        <f t="shared" ca="1" si="350"/>
        <v>-1.1247026078962588E-2</v>
      </c>
      <c r="AB1037" s="33" t="e">
        <f t="shared" ca="1" si="356"/>
        <v>#N/A</v>
      </c>
      <c r="AC1037" s="34" t="e">
        <f t="shared" ca="1" si="357"/>
        <v>#N/A</v>
      </c>
      <c r="AD1037" s="34" t="e">
        <f t="shared" ca="1" si="358"/>
        <v>#N/A</v>
      </c>
      <c r="AE1037" s="33" t="e">
        <f t="shared" ca="1" si="359"/>
        <v>#N/A</v>
      </c>
      <c r="AF1037" s="34" t="e">
        <f t="shared" ca="1" si="351"/>
        <v>#N/A</v>
      </c>
      <c r="AG1037" s="34" t="e">
        <f t="shared" ca="1" si="352"/>
        <v>#N/A</v>
      </c>
      <c r="AH1037" s="34" t="e">
        <f t="shared" ca="1" si="353"/>
        <v>#N/A</v>
      </c>
      <c r="AI1037" s="33" t="e">
        <f t="shared" ca="1" si="360"/>
        <v>#N/A</v>
      </c>
      <c r="AJ1037" s="34" t="e">
        <f t="shared" ca="1" si="361"/>
        <v>#N/A</v>
      </c>
      <c r="AK1037" s="34" t="e">
        <f t="shared" ca="1" si="354"/>
        <v>#N/A</v>
      </c>
      <c r="AL1037" s="34" t="e">
        <f t="shared" ca="1" si="355"/>
        <v>#N/A</v>
      </c>
      <c r="AM1037" s="33" t="e">
        <f t="shared" ca="1" si="362"/>
        <v>#N/A</v>
      </c>
      <c r="AN1037" s="34" t="e">
        <f t="shared" ca="1" si="363"/>
        <v>#N/A</v>
      </c>
    </row>
    <row r="1038" spans="1:40" x14ac:dyDescent="0.3">
      <c r="A1038" s="2">
        <v>44967</v>
      </c>
      <c r="B1038" s="9">
        <v>84.669998000000007</v>
      </c>
      <c r="C1038" s="9">
        <v>118.209999</v>
      </c>
      <c r="D1038" s="9">
        <v>140.729996</v>
      </c>
      <c r="E1038" s="10"/>
      <c r="F1038" s="13">
        <v>1035</v>
      </c>
      <c r="G1038" s="2">
        <v>44967</v>
      </c>
      <c r="H1038" s="14">
        <f t="shared" si="344"/>
        <v>2.3541758279118689E-2</v>
      </c>
      <c r="I1038" s="14">
        <f t="shared" si="345"/>
        <v>5.0035807650885156E-3</v>
      </c>
      <c r="J1038" s="14">
        <f t="shared" si="346"/>
        <v>5.9355274346237552E-2</v>
      </c>
      <c r="K1038" s="22">
        <v>1035</v>
      </c>
      <c r="L1038" s="12"/>
      <c r="Q1038" s="15">
        <f t="shared" si="347"/>
        <v>1035</v>
      </c>
      <c r="R1038" s="2">
        <f t="shared" si="343"/>
        <v>44967</v>
      </c>
      <c r="S1038" s="9">
        <f t="shared" ca="1" si="348"/>
        <v>2.3541758279118689E-2</v>
      </c>
      <c r="T1038" s="9">
        <f t="shared" ca="1" si="349"/>
        <v>5.0035807650885156E-3</v>
      </c>
      <c r="U1038" s="9">
        <f t="shared" ca="1" si="350"/>
        <v>5.9355274346237552E-2</v>
      </c>
      <c r="AB1038" s="33" t="e">
        <f t="shared" ca="1" si="356"/>
        <v>#N/A</v>
      </c>
      <c r="AC1038" s="34" t="e">
        <f t="shared" ca="1" si="357"/>
        <v>#N/A</v>
      </c>
      <c r="AD1038" s="34" t="e">
        <f t="shared" ca="1" si="358"/>
        <v>#N/A</v>
      </c>
      <c r="AE1038" s="33" t="e">
        <f t="shared" ca="1" si="359"/>
        <v>#N/A</v>
      </c>
      <c r="AF1038" s="34" t="e">
        <f t="shared" ca="1" si="351"/>
        <v>#N/A</v>
      </c>
      <c r="AG1038" s="34" t="e">
        <f t="shared" ca="1" si="352"/>
        <v>#N/A</v>
      </c>
      <c r="AH1038" s="34" t="e">
        <f t="shared" ca="1" si="353"/>
        <v>#N/A</v>
      </c>
      <c r="AI1038" s="33" t="e">
        <f t="shared" ca="1" si="360"/>
        <v>#N/A</v>
      </c>
      <c r="AJ1038" s="34" t="e">
        <f t="shared" ca="1" si="361"/>
        <v>#N/A</v>
      </c>
      <c r="AK1038" s="34" t="e">
        <f t="shared" ca="1" si="354"/>
        <v>#N/A</v>
      </c>
      <c r="AL1038" s="34" t="e">
        <f t="shared" ca="1" si="355"/>
        <v>#N/A</v>
      </c>
      <c r="AM1038" s="33" t="e">
        <f t="shared" ca="1" si="362"/>
        <v>#N/A</v>
      </c>
      <c r="AN1038" s="34" t="e">
        <f t="shared" ca="1" si="363"/>
        <v>#N/A</v>
      </c>
    </row>
    <row r="1039" spans="1:40" x14ac:dyDescent="0.3">
      <c r="A1039" s="2">
        <v>44970</v>
      </c>
      <c r="B1039" s="9">
        <v>84.400002000000001</v>
      </c>
      <c r="C1039" s="9">
        <v>122.879997</v>
      </c>
      <c r="D1039" s="9">
        <v>139.800003</v>
      </c>
      <c r="E1039" s="10"/>
      <c r="F1039" s="13">
        <v>1036</v>
      </c>
      <c r="G1039" s="2">
        <v>44970</v>
      </c>
      <c r="H1039" s="14">
        <f t="shared" si="344"/>
        <v>-3.193898734474778E-3</v>
      </c>
      <c r="I1039" s="14">
        <f t="shared" si="345"/>
        <v>3.8745549682534859E-2</v>
      </c>
      <c r="J1039" s="14">
        <f t="shared" si="346"/>
        <v>-6.6302813263170671E-3</v>
      </c>
      <c r="K1039" s="22">
        <v>1036</v>
      </c>
      <c r="L1039" s="12"/>
      <c r="Q1039" s="15">
        <f t="shared" si="347"/>
        <v>1036</v>
      </c>
      <c r="R1039" s="2">
        <f t="shared" si="343"/>
        <v>44970</v>
      </c>
      <c r="S1039" s="9">
        <f t="shared" ca="1" si="348"/>
        <v>-3.193898734474778E-3</v>
      </c>
      <c r="T1039" s="9">
        <f t="shared" ca="1" si="349"/>
        <v>3.8745549682534859E-2</v>
      </c>
      <c r="U1039" s="9">
        <f t="shared" ca="1" si="350"/>
        <v>-6.6302813263170671E-3</v>
      </c>
      <c r="AB1039" s="33" t="e">
        <f t="shared" ca="1" si="356"/>
        <v>#N/A</v>
      </c>
      <c r="AC1039" s="34" t="e">
        <f t="shared" ca="1" si="357"/>
        <v>#N/A</v>
      </c>
      <c r="AD1039" s="34" t="e">
        <f t="shared" ca="1" si="358"/>
        <v>#N/A</v>
      </c>
      <c r="AE1039" s="33" t="e">
        <f t="shared" ca="1" si="359"/>
        <v>#N/A</v>
      </c>
      <c r="AF1039" s="34" t="e">
        <f t="shared" ca="1" si="351"/>
        <v>#N/A</v>
      </c>
      <c r="AG1039" s="34" t="e">
        <f t="shared" ca="1" si="352"/>
        <v>#N/A</v>
      </c>
      <c r="AH1039" s="34" t="e">
        <f t="shared" ca="1" si="353"/>
        <v>#N/A</v>
      </c>
      <c r="AI1039" s="33" t="e">
        <f t="shared" ca="1" si="360"/>
        <v>#N/A</v>
      </c>
      <c r="AJ1039" s="34" t="e">
        <f t="shared" ca="1" si="361"/>
        <v>#N/A</v>
      </c>
      <c r="AK1039" s="34" t="e">
        <f t="shared" ca="1" si="354"/>
        <v>#N/A</v>
      </c>
      <c r="AL1039" s="34" t="e">
        <f t="shared" ca="1" si="355"/>
        <v>#N/A</v>
      </c>
      <c r="AM1039" s="33" t="e">
        <f t="shared" ca="1" si="362"/>
        <v>#N/A</v>
      </c>
      <c r="AN1039" s="34" t="e">
        <f t="shared" ca="1" si="363"/>
        <v>#N/A</v>
      </c>
    </row>
    <row r="1040" spans="1:40" x14ac:dyDescent="0.3">
      <c r="A1040" s="2">
        <v>44971</v>
      </c>
      <c r="B1040" s="9">
        <v>83.669998000000007</v>
      </c>
      <c r="C1040" s="9">
        <v>122.120003</v>
      </c>
      <c r="D1040" s="9">
        <v>139.69000199999999</v>
      </c>
      <c r="E1040" s="10"/>
      <c r="F1040" s="13">
        <v>1037</v>
      </c>
      <c r="G1040" s="2">
        <v>44971</v>
      </c>
      <c r="H1040" s="14">
        <f t="shared" si="344"/>
        <v>-8.6869588945166429E-3</v>
      </c>
      <c r="I1040" s="14">
        <f t="shared" si="345"/>
        <v>-6.2040525526218084E-3</v>
      </c>
      <c r="J1040" s="14">
        <f t="shared" si="346"/>
        <v>-7.8715520206059763E-4</v>
      </c>
      <c r="K1040" s="22">
        <v>1037</v>
      </c>
      <c r="L1040" s="12"/>
      <c r="Q1040" s="15">
        <f t="shared" si="347"/>
        <v>1037</v>
      </c>
      <c r="R1040" s="2">
        <f t="shared" si="343"/>
        <v>44971</v>
      </c>
      <c r="S1040" s="9">
        <f t="shared" ca="1" si="348"/>
        <v>-8.6869588945166429E-3</v>
      </c>
      <c r="T1040" s="9">
        <f t="shared" ca="1" si="349"/>
        <v>-6.2040525526218084E-3</v>
      </c>
      <c r="U1040" s="9">
        <f t="shared" ca="1" si="350"/>
        <v>-7.8715520206059763E-4</v>
      </c>
      <c r="AB1040" s="33" t="e">
        <f t="shared" ca="1" si="356"/>
        <v>#N/A</v>
      </c>
      <c r="AC1040" s="34" t="e">
        <f t="shared" ca="1" si="357"/>
        <v>#N/A</v>
      </c>
      <c r="AD1040" s="34" t="e">
        <f t="shared" ca="1" si="358"/>
        <v>#N/A</v>
      </c>
      <c r="AE1040" s="33" t="e">
        <f t="shared" ca="1" si="359"/>
        <v>#N/A</v>
      </c>
      <c r="AF1040" s="34" t="e">
        <f t="shared" ca="1" si="351"/>
        <v>#N/A</v>
      </c>
      <c r="AG1040" s="34" t="e">
        <f t="shared" ca="1" si="352"/>
        <v>#N/A</v>
      </c>
      <c r="AH1040" s="34" t="e">
        <f t="shared" ca="1" si="353"/>
        <v>#N/A</v>
      </c>
      <c r="AI1040" s="33" t="e">
        <f t="shared" ca="1" si="360"/>
        <v>#N/A</v>
      </c>
      <c r="AJ1040" s="34" t="e">
        <f t="shared" ca="1" si="361"/>
        <v>#N/A</v>
      </c>
      <c r="AK1040" s="34" t="e">
        <f t="shared" ca="1" si="354"/>
        <v>#N/A</v>
      </c>
      <c r="AL1040" s="34" t="e">
        <f t="shared" ca="1" si="355"/>
        <v>#N/A</v>
      </c>
      <c r="AM1040" s="33" t="e">
        <f t="shared" ca="1" si="362"/>
        <v>#N/A</v>
      </c>
      <c r="AN1040" s="34" t="e">
        <f t="shared" ca="1" si="363"/>
        <v>#N/A</v>
      </c>
    </row>
    <row r="1041" spans="1:40" x14ac:dyDescent="0.3">
      <c r="A1041" s="2">
        <v>44972</v>
      </c>
      <c r="B1041" s="9">
        <v>84.43</v>
      </c>
      <c r="C1041" s="9">
        <v>123.629997</v>
      </c>
      <c r="D1041" s="9">
        <v>136.36999499999999</v>
      </c>
      <c r="E1041" s="10"/>
      <c r="F1041" s="13">
        <v>1038</v>
      </c>
      <c r="G1041" s="2">
        <v>44972</v>
      </c>
      <c r="H1041" s="14">
        <f t="shared" si="344"/>
        <v>9.0423222773317342E-3</v>
      </c>
      <c r="I1041" s="14">
        <f t="shared" si="345"/>
        <v>1.2289017320203103E-2</v>
      </c>
      <c r="J1041" s="14">
        <f t="shared" si="346"/>
        <v>-2.4053952852090329E-2</v>
      </c>
      <c r="K1041" s="22">
        <v>1038</v>
      </c>
      <c r="L1041" s="12"/>
      <c r="Q1041" s="15">
        <f t="shared" si="347"/>
        <v>1038</v>
      </c>
      <c r="R1041" s="2">
        <f t="shared" si="343"/>
        <v>44972</v>
      </c>
      <c r="S1041" s="9">
        <f t="shared" ca="1" si="348"/>
        <v>9.0423222773317342E-3</v>
      </c>
      <c r="T1041" s="9">
        <f t="shared" ca="1" si="349"/>
        <v>1.2289017320203103E-2</v>
      </c>
      <c r="U1041" s="9">
        <f t="shared" ca="1" si="350"/>
        <v>-2.4053952852090329E-2</v>
      </c>
      <c r="AB1041" s="33" t="e">
        <f t="shared" ca="1" si="356"/>
        <v>#N/A</v>
      </c>
      <c r="AC1041" s="34" t="e">
        <f t="shared" ca="1" si="357"/>
        <v>#N/A</v>
      </c>
      <c r="AD1041" s="34" t="e">
        <f t="shared" ca="1" si="358"/>
        <v>#N/A</v>
      </c>
      <c r="AE1041" s="33" t="e">
        <f t="shared" ca="1" si="359"/>
        <v>#N/A</v>
      </c>
      <c r="AF1041" s="34" t="e">
        <f t="shared" ca="1" si="351"/>
        <v>#N/A</v>
      </c>
      <c r="AG1041" s="34" t="e">
        <f t="shared" ca="1" si="352"/>
        <v>#N/A</v>
      </c>
      <c r="AH1041" s="34" t="e">
        <f t="shared" ca="1" si="353"/>
        <v>#N/A</v>
      </c>
      <c r="AI1041" s="33" t="e">
        <f t="shared" ca="1" si="360"/>
        <v>#N/A</v>
      </c>
      <c r="AJ1041" s="34" t="e">
        <f t="shared" ca="1" si="361"/>
        <v>#N/A</v>
      </c>
      <c r="AK1041" s="34" t="e">
        <f t="shared" ca="1" si="354"/>
        <v>#N/A</v>
      </c>
      <c r="AL1041" s="34" t="e">
        <f t="shared" ca="1" si="355"/>
        <v>#N/A</v>
      </c>
      <c r="AM1041" s="33" t="e">
        <f t="shared" ca="1" si="362"/>
        <v>#N/A</v>
      </c>
      <c r="AN1041" s="34" t="e">
        <f t="shared" ca="1" si="363"/>
        <v>#N/A</v>
      </c>
    </row>
    <row r="1042" spans="1:40" x14ac:dyDescent="0.3">
      <c r="A1042" s="2">
        <v>44973</v>
      </c>
      <c r="B1042" s="9">
        <v>82.900002000000001</v>
      </c>
      <c r="C1042" s="9">
        <v>122.93</v>
      </c>
      <c r="D1042" s="9">
        <v>133.970001</v>
      </c>
      <c r="E1042" s="10"/>
      <c r="F1042" s="13">
        <v>1039</v>
      </c>
      <c r="G1042" s="2">
        <v>44973</v>
      </c>
      <c r="H1042" s="14">
        <f t="shared" si="344"/>
        <v>-1.8287702414707247E-2</v>
      </c>
      <c r="I1042" s="14">
        <f t="shared" si="345"/>
        <v>-5.6781220736308816E-3</v>
      </c>
      <c r="J1042" s="14">
        <f t="shared" si="346"/>
        <v>-1.7755841451534075E-2</v>
      </c>
      <c r="K1042" s="22">
        <v>1039</v>
      </c>
      <c r="L1042" s="12"/>
      <c r="Q1042" s="15">
        <f t="shared" si="347"/>
        <v>1039</v>
      </c>
      <c r="R1042" s="2">
        <f t="shared" si="343"/>
        <v>44973</v>
      </c>
      <c r="S1042" s="9">
        <f t="shared" ca="1" si="348"/>
        <v>-1.8287702414707247E-2</v>
      </c>
      <c r="T1042" s="9">
        <f t="shared" ca="1" si="349"/>
        <v>-5.6781220736308816E-3</v>
      </c>
      <c r="U1042" s="9">
        <f t="shared" ca="1" si="350"/>
        <v>-1.7755841451534075E-2</v>
      </c>
      <c r="AB1042" s="33" t="e">
        <f t="shared" ca="1" si="356"/>
        <v>#N/A</v>
      </c>
      <c r="AC1042" s="34" t="e">
        <f t="shared" ca="1" si="357"/>
        <v>#N/A</v>
      </c>
      <c r="AD1042" s="34" t="e">
        <f t="shared" ca="1" si="358"/>
        <v>#N/A</v>
      </c>
      <c r="AE1042" s="33" t="e">
        <f t="shared" ca="1" si="359"/>
        <v>#N/A</v>
      </c>
      <c r="AF1042" s="34" t="e">
        <f t="shared" ca="1" si="351"/>
        <v>#N/A</v>
      </c>
      <c r="AG1042" s="34" t="e">
        <f t="shared" ca="1" si="352"/>
        <v>#N/A</v>
      </c>
      <c r="AH1042" s="34" t="e">
        <f t="shared" ca="1" si="353"/>
        <v>#N/A</v>
      </c>
      <c r="AI1042" s="33" t="e">
        <f t="shared" ca="1" si="360"/>
        <v>#N/A</v>
      </c>
      <c r="AJ1042" s="34" t="e">
        <f t="shared" ca="1" si="361"/>
        <v>#N/A</v>
      </c>
      <c r="AK1042" s="34" t="e">
        <f t="shared" ca="1" si="354"/>
        <v>#N/A</v>
      </c>
      <c r="AL1042" s="34" t="e">
        <f t="shared" ca="1" si="355"/>
        <v>#N/A</v>
      </c>
      <c r="AM1042" s="33" t="e">
        <f t="shared" ca="1" si="362"/>
        <v>#N/A</v>
      </c>
      <c r="AN1042" s="34" t="e">
        <f t="shared" ca="1" si="363"/>
        <v>#N/A</v>
      </c>
    </row>
    <row r="1043" spans="1:40" x14ac:dyDescent="0.3">
      <c r="A1043" s="2">
        <v>44974</v>
      </c>
      <c r="B1043" s="9">
        <v>82.419998000000007</v>
      </c>
      <c r="C1043" s="9">
        <v>122.769997</v>
      </c>
      <c r="D1043" s="9">
        <v>129.61000100000001</v>
      </c>
      <c r="E1043" s="10"/>
      <c r="F1043" s="13">
        <v>1040</v>
      </c>
      <c r="G1043" s="2">
        <v>44974</v>
      </c>
      <c r="H1043" s="14">
        <f t="shared" si="344"/>
        <v>-5.8069846219851928E-3</v>
      </c>
      <c r="I1043" s="14">
        <f t="shared" si="345"/>
        <v>-1.3024259224386034E-3</v>
      </c>
      <c r="J1043" s="14">
        <f t="shared" si="346"/>
        <v>-3.3085952602514332E-2</v>
      </c>
      <c r="K1043" s="22">
        <v>1040</v>
      </c>
      <c r="L1043" s="12"/>
      <c r="Q1043" s="15">
        <f t="shared" si="347"/>
        <v>1040</v>
      </c>
      <c r="R1043" s="2">
        <f t="shared" si="343"/>
        <v>44974</v>
      </c>
      <c r="S1043" s="9">
        <f t="shared" ca="1" si="348"/>
        <v>-5.8069846219851928E-3</v>
      </c>
      <c r="T1043" s="9">
        <f t="shared" ca="1" si="349"/>
        <v>-1.3024259224386034E-3</v>
      </c>
      <c r="U1043" s="9">
        <f t="shared" ca="1" si="350"/>
        <v>-3.3085952602514332E-2</v>
      </c>
      <c r="AB1043" s="33" t="e">
        <f t="shared" ca="1" si="356"/>
        <v>#N/A</v>
      </c>
      <c r="AC1043" s="34" t="e">
        <f t="shared" ca="1" si="357"/>
        <v>#N/A</v>
      </c>
      <c r="AD1043" s="34" t="e">
        <f t="shared" ca="1" si="358"/>
        <v>#N/A</v>
      </c>
      <c r="AE1043" s="33" t="e">
        <f t="shared" ca="1" si="359"/>
        <v>#N/A</v>
      </c>
      <c r="AF1043" s="34" t="e">
        <f t="shared" ca="1" si="351"/>
        <v>#N/A</v>
      </c>
      <c r="AG1043" s="34" t="e">
        <f t="shared" ca="1" si="352"/>
        <v>#N/A</v>
      </c>
      <c r="AH1043" s="34" t="e">
        <f t="shared" ca="1" si="353"/>
        <v>#N/A</v>
      </c>
      <c r="AI1043" s="33" t="e">
        <f t="shared" ca="1" si="360"/>
        <v>#N/A</v>
      </c>
      <c r="AJ1043" s="34" t="e">
        <f t="shared" ca="1" si="361"/>
        <v>#N/A</v>
      </c>
      <c r="AK1043" s="34" t="e">
        <f t="shared" ca="1" si="354"/>
        <v>#N/A</v>
      </c>
      <c r="AL1043" s="34" t="e">
        <f t="shared" ca="1" si="355"/>
        <v>#N/A</v>
      </c>
      <c r="AM1043" s="33" t="e">
        <f t="shared" ca="1" si="362"/>
        <v>#N/A</v>
      </c>
      <c r="AN1043" s="34" t="e">
        <f t="shared" ca="1" si="363"/>
        <v>#N/A</v>
      </c>
    </row>
    <row r="1044" spans="1:40" x14ac:dyDescent="0.3">
      <c r="A1044" s="2">
        <v>44978</v>
      </c>
      <c r="B1044" s="9">
        <v>79.980002999999996</v>
      </c>
      <c r="C1044" s="9">
        <v>118.589996</v>
      </c>
      <c r="D1044" s="9">
        <v>132.199997</v>
      </c>
      <c r="E1044" s="10"/>
      <c r="F1044" s="13">
        <v>1041</v>
      </c>
      <c r="G1044" s="2">
        <v>44978</v>
      </c>
      <c r="H1044" s="14">
        <f t="shared" si="344"/>
        <v>-3.0051460716667353E-2</v>
      </c>
      <c r="I1044" s="14">
        <f t="shared" si="345"/>
        <v>-3.4640529509764671E-2</v>
      </c>
      <c r="J1044" s="14">
        <f t="shared" si="346"/>
        <v>1.9785955573958347E-2</v>
      </c>
      <c r="K1044" s="22">
        <v>1041</v>
      </c>
      <c r="L1044" s="12"/>
      <c r="Q1044" s="15">
        <f t="shared" si="347"/>
        <v>1041</v>
      </c>
      <c r="R1044" s="2">
        <f t="shared" si="343"/>
        <v>44978</v>
      </c>
      <c r="S1044" s="9">
        <f t="shared" ca="1" si="348"/>
        <v>-3.0051460716667353E-2</v>
      </c>
      <c r="T1044" s="9">
        <f t="shared" ca="1" si="349"/>
        <v>-3.4640529509764671E-2</v>
      </c>
      <c r="U1044" s="9">
        <f t="shared" ca="1" si="350"/>
        <v>1.9785955573958347E-2</v>
      </c>
      <c r="AB1044" s="33" t="e">
        <f t="shared" ca="1" si="356"/>
        <v>#N/A</v>
      </c>
      <c r="AC1044" s="34" t="e">
        <f t="shared" ca="1" si="357"/>
        <v>#N/A</v>
      </c>
      <c r="AD1044" s="34" t="e">
        <f t="shared" ca="1" si="358"/>
        <v>#N/A</v>
      </c>
      <c r="AE1044" s="33" t="e">
        <f t="shared" ca="1" si="359"/>
        <v>#N/A</v>
      </c>
      <c r="AF1044" s="34" t="e">
        <f t="shared" ca="1" si="351"/>
        <v>#N/A</v>
      </c>
      <c r="AG1044" s="34" t="e">
        <f t="shared" ca="1" si="352"/>
        <v>#N/A</v>
      </c>
      <c r="AH1044" s="34" t="e">
        <f t="shared" ca="1" si="353"/>
        <v>#N/A</v>
      </c>
      <c r="AI1044" s="33" t="e">
        <f t="shared" ca="1" si="360"/>
        <v>#N/A</v>
      </c>
      <c r="AJ1044" s="34" t="e">
        <f t="shared" ca="1" si="361"/>
        <v>#N/A</v>
      </c>
      <c r="AK1044" s="34" t="e">
        <f t="shared" ca="1" si="354"/>
        <v>#N/A</v>
      </c>
      <c r="AL1044" s="34" t="e">
        <f t="shared" ca="1" si="355"/>
        <v>#N/A</v>
      </c>
      <c r="AM1044" s="33" t="e">
        <f t="shared" ca="1" si="362"/>
        <v>#N/A</v>
      </c>
      <c r="AN1044" s="34" t="e">
        <f t="shared" ca="1" si="363"/>
        <v>#N/A</v>
      </c>
    </row>
    <row r="1045" spans="1:40" x14ac:dyDescent="0.3">
      <c r="A1045" s="2">
        <v>44979</v>
      </c>
      <c r="B1045" s="9">
        <v>80.470000999999996</v>
      </c>
      <c r="C1045" s="9">
        <v>119.08000199999999</v>
      </c>
      <c r="D1045" s="9">
        <v>130.69000199999999</v>
      </c>
      <c r="E1045" s="10"/>
      <c r="F1045" s="13">
        <v>1042</v>
      </c>
      <c r="G1045" s="2">
        <v>44979</v>
      </c>
      <c r="H1045" s="14">
        <f t="shared" si="344"/>
        <v>6.1078156569838431E-3</v>
      </c>
      <c r="I1045" s="14">
        <f t="shared" si="345"/>
        <v>4.1234206959606208E-3</v>
      </c>
      <c r="J1045" s="14">
        <f t="shared" si="346"/>
        <v>-1.1487782812361954E-2</v>
      </c>
      <c r="K1045" s="22">
        <v>1042</v>
      </c>
      <c r="L1045" s="12"/>
      <c r="Q1045" s="15">
        <f t="shared" si="347"/>
        <v>1042</v>
      </c>
      <c r="R1045" s="2">
        <f t="shared" si="343"/>
        <v>44979</v>
      </c>
      <c r="S1045" s="9">
        <f t="shared" ca="1" si="348"/>
        <v>6.1078156569838431E-3</v>
      </c>
      <c r="T1045" s="9">
        <f t="shared" ca="1" si="349"/>
        <v>4.1234206959606208E-3</v>
      </c>
      <c r="U1045" s="9">
        <f t="shared" ca="1" si="350"/>
        <v>-1.1487782812361954E-2</v>
      </c>
      <c r="AB1045" s="33" t="e">
        <f t="shared" ca="1" si="356"/>
        <v>#N/A</v>
      </c>
      <c r="AC1045" s="34" t="e">
        <f t="shared" ca="1" si="357"/>
        <v>#N/A</v>
      </c>
      <c r="AD1045" s="34" t="e">
        <f t="shared" ca="1" si="358"/>
        <v>#N/A</v>
      </c>
      <c r="AE1045" s="33" t="e">
        <f t="shared" ca="1" si="359"/>
        <v>#N/A</v>
      </c>
      <c r="AF1045" s="34" t="e">
        <f t="shared" ca="1" si="351"/>
        <v>#N/A</v>
      </c>
      <c r="AG1045" s="34" t="e">
        <f t="shared" ca="1" si="352"/>
        <v>#N/A</v>
      </c>
      <c r="AH1045" s="34" t="e">
        <f t="shared" ca="1" si="353"/>
        <v>#N/A</v>
      </c>
      <c r="AI1045" s="33" t="e">
        <f t="shared" ca="1" si="360"/>
        <v>#N/A</v>
      </c>
      <c r="AJ1045" s="34" t="e">
        <f t="shared" ca="1" si="361"/>
        <v>#N/A</v>
      </c>
      <c r="AK1045" s="34" t="e">
        <f t="shared" ca="1" si="354"/>
        <v>#N/A</v>
      </c>
      <c r="AL1045" s="34" t="e">
        <f t="shared" ca="1" si="355"/>
        <v>#N/A</v>
      </c>
      <c r="AM1045" s="33" t="e">
        <f t="shared" ca="1" si="362"/>
        <v>#N/A</v>
      </c>
      <c r="AN1045" s="34" t="e">
        <f t="shared" ca="1" si="363"/>
        <v>#N/A</v>
      </c>
    </row>
    <row r="1046" spans="1:40" x14ac:dyDescent="0.3">
      <c r="A1046" s="2">
        <v>44980</v>
      </c>
      <c r="B1046" s="9">
        <v>79.540001000000004</v>
      </c>
      <c r="C1046" s="9">
        <v>118.620003</v>
      </c>
      <c r="D1046" s="9">
        <v>132.429993</v>
      </c>
      <c r="E1046" s="10"/>
      <c r="F1046" s="13">
        <v>1043</v>
      </c>
      <c r="G1046" s="2">
        <v>44980</v>
      </c>
      <c r="H1046" s="14">
        <f t="shared" si="344"/>
        <v>-1.1624404233197621E-2</v>
      </c>
      <c r="I1046" s="14">
        <f t="shared" si="345"/>
        <v>-3.870421241582116E-3</v>
      </c>
      <c r="J1046" s="14">
        <f t="shared" si="346"/>
        <v>1.3226029168423671E-2</v>
      </c>
      <c r="K1046" s="22">
        <v>1043</v>
      </c>
      <c r="L1046" s="12"/>
      <c r="Q1046" s="15">
        <f t="shared" si="347"/>
        <v>1043</v>
      </c>
      <c r="R1046" s="2">
        <f t="shared" si="343"/>
        <v>44980</v>
      </c>
      <c r="S1046" s="9">
        <f t="shared" ca="1" si="348"/>
        <v>-1.1624404233197621E-2</v>
      </c>
      <c r="T1046" s="9">
        <f t="shared" ca="1" si="349"/>
        <v>-3.870421241582116E-3</v>
      </c>
      <c r="U1046" s="9">
        <f t="shared" ca="1" si="350"/>
        <v>1.3226029168423671E-2</v>
      </c>
      <c r="AB1046" s="33" t="e">
        <f t="shared" ca="1" si="356"/>
        <v>#N/A</v>
      </c>
      <c r="AC1046" s="34" t="e">
        <f t="shared" ca="1" si="357"/>
        <v>#N/A</v>
      </c>
      <c r="AD1046" s="34" t="e">
        <f t="shared" ca="1" si="358"/>
        <v>#N/A</v>
      </c>
      <c r="AE1046" s="33" t="e">
        <f t="shared" ca="1" si="359"/>
        <v>#N/A</v>
      </c>
      <c r="AF1046" s="34" t="e">
        <f t="shared" ca="1" si="351"/>
        <v>#N/A</v>
      </c>
      <c r="AG1046" s="34" t="e">
        <f t="shared" ca="1" si="352"/>
        <v>#N/A</v>
      </c>
      <c r="AH1046" s="34" t="e">
        <f t="shared" ca="1" si="353"/>
        <v>#N/A</v>
      </c>
      <c r="AI1046" s="33" t="e">
        <f t="shared" ca="1" si="360"/>
        <v>#N/A</v>
      </c>
      <c r="AJ1046" s="34" t="e">
        <f t="shared" ca="1" si="361"/>
        <v>#N/A</v>
      </c>
      <c r="AK1046" s="34" t="e">
        <f t="shared" ca="1" si="354"/>
        <v>#N/A</v>
      </c>
      <c r="AL1046" s="34" t="e">
        <f t="shared" ca="1" si="355"/>
        <v>#N/A</v>
      </c>
      <c r="AM1046" s="33" t="e">
        <f t="shared" ca="1" si="362"/>
        <v>#N/A</v>
      </c>
      <c r="AN1046" s="34" t="e">
        <f t="shared" ca="1" si="363"/>
        <v>#N/A</v>
      </c>
    </row>
    <row r="1047" spans="1:40" x14ac:dyDescent="0.3">
      <c r="A1047" s="2">
        <v>44981</v>
      </c>
      <c r="B1047" s="9">
        <v>78.569999999999993</v>
      </c>
      <c r="C1047" s="9">
        <v>118.949997</v>
      </c>
      <c r="D1047" s="9">
        <v>132.75</v>
      </c>
      <c r="E1047" s="10"/>
      <c r="F1047" s="13">
        <v>1044</v>
      </c>
      <c r="G1047" s="2">
        <v>44981</v>
      </c>
      <c r="H1047" s="14">
        <f t="shared" si="344"/>
        <v>-1.2270105164105018E-2</v>
      </c>
      <c r="I1047" s="14">
        <f t="shared" si="345"/>
        <v>2.7780798268603776E-3</v>
      </c>
      <c r="J1047" s="14">
        <f t="shared" si="346"/>
        <v>2.413509041290389E-3</v>
      </c>
      <c r="K1047" s="22">
        <v>1044</v>
      </c>
      <c r="L1047" s="12"/>
      <c r="Q1047" s="15">
        <f t="shared" si="347"/>
        <v>1044</v>
      </c>
      <c r="R1047" s="2">
        <f t="shared" si="343"/>
        <v>44981</v>
      </c>
      <c r="S1047" s="9">
        <f t="shared" ca="1" si="348"/>
        <v>-1.2270105164105018E-2</v>
      </c>
      <c r="T1047" s="9">
        <f t="shared" ca="1" si="349"/>
        <v>2.7780798268603776E-3</v>
      </c>
      <c r="U1047" s="9">
        <f t="shared" ca="1" si="350"/>
        <v>2.413509041290389E-3</v>
      </c>
      <c r="AB1047" s="33" t="e">
        <f t="shared" ca="1" si="356"/>
        <v>#N/A</v>
      </c>
      <c r="AC1047" s="34" t="e">
        <f t="shared" ca="1" si="357"/>
        <v>#N/A</v>
      </c>
      <c r="AD1047" s="34" t="e">
        <f t="shared" ca="1" si="358"/>
        <v>#N/A</v>
      </c>
      <c r="AE1047" s="33" t="e">
        <f t="shared" ca="1" si="359"/>
        <v>#N/A</v>
      </c>
      <c r="AF1047" s="34" t="e">
        <f t="shared" ca="1" si="351"/>
        <v>#N/A</v>
      </c>
      <c r="AG1047" s="34" t="e">
        <f t="shared" ca="1" si="352"/>
        <v>#N/A</v>
      </c>
      <c r="AH1047" s="34" t="e">
        <f t="shared" ca="1" si="353"/>
        <v>#N/A</v>
      </c>
      <c r="AI1047" s="33" t="e">
        <f t="shared" ca="1" si="360"/>
        <v>#N/A</v>
      </c>
      <c r="AJ1047" s="34" t="e">
        <f t="shared" ca="1" si="361"/>
        <v>#N/A</v>
      </c>
      <c r="AK1047" s="34" t="e">
        <f t="shared" ca="1" si="354"/>
        <v>#N/A</v>
      </c>
      <c r="AL1047" s="34" t="e">
        <f t="shared" ca="1" si="355"/>
        <v>#N/A</v>
      </c>
      <c r="AM1047" s="33" t="e">
        <f t="shared" ca="1" si="362"/>
        <v>#N/A</v>
      </c>
      <c r="AN1047" s="34" t="e">
        <f t="shared" ca="1" si="363"/>
        <v>#N/A</v>
      </c>
    </row>
    <row r="1048" spans="1:40" x14ac:dyDescent="0.3">
      <c r="A1048" s="2">
        <v>44984</v>
      </c>
      <c r="B1048" s="9">
        <v>79.680000000000007</v>
      </c>
      <c r="C1048" s="9">
        <v>119.099998</v>
      </c>
      <c r="D1048" s="9">
        <v>135.050003</v>
      </c>
      <c r="E1048" s="10"/>
      <c r="F1048" s="13">
        <v>1045</v>
      </c>
      <c r="G1048" s="2">
        <v>44984</v>
      </c>
      <c r="H1048" s="14">
        <f t="shared" si="344"/>
        <v>1.4028666088612817E-2</v>
      </c>
      <c r="I1048" s="14">
        <f t="shared" si="345"/>
        <v>1.2602480403576173E-3</v>
      </c>
      <c r="J1048" s="14">
        <f t="shared" si="346"/>
        <v>1.7177442330571033E-2</v>
      </c>
      <c r="K1048" s="22">
        <v>1045</v>
      </c>
      <c r="L1048" s="12"/>
      <c r="Q1048" s="15">
        <f t="shared" si="347"/>
        <v>1045</v>
      </c>
      <c r="R1048" s="2">
        <f t="shared" si="343"/>
        <v>44984</v>
      </c>
      <c r="S1048" s="9">
        <f t="shared" ca="1" si="348"/>
        <v>1.4028666088612817E-2</v>
      </c>
      <c r="T1048" s="9">
        <f t="shared" ca="1" si="349"/>
        <v>1.2602480403576173E-3</v>
      </c>
      <c r="U1048" s="9">
        <f t="shared" ca="1" si="350"/>
        <v>1.7177442330571033E-2</v>
      </c>
      <c r="AB1048" s="33" t="e">
        <f t="shared" ca="1" si="356"/>
        <v>#N/A</v>
      </c>
      <c r="AC1048" s="34" t="e">
        <f t="shared" ca="1" si="357"/>
        <v>#N/A</v>
      </c>
      <c r="AD1048" s="34" t="e">
        <f t="shared" ca="1" si="358"/>
        <v>#N/A</v>
      </c>
      <c r="AE1048" s="33" t="e">
        <f t="shared" ca="1" si="359"/>
        <v>#N/A</v>
      </c>
      <c r="AF1048" s="34" t="e">
        <f t="shared" ca="1" si="351"/>
        <v>#N/A</v>
      </c>
      <c r="AG1048" s="34" t="e">
        <f t="shared" ca="1" si="352"/>
        <v>#N/A</v>
      </c>
      <c r="AH1048" s="34" t="e">
        <f t="shared" ca="1" si="353"/>
        <v>#N/A</v>
      </c>
      <c r="AI1048" s="33" t="e">
        <f t="shared" ca="1" si="360"/>
        <v>#N/A</v>
      </c>
      <c r="AJ1048" s="34" t="e">
        <f t="shared" ca="1" si="361"/>
        <v>#N/A</v>
      </c>
      <c r="AK1048" s="34" t="e">
        <f t="shared" ca="1" si="354"/>
        <v>#N/A</v>
      </c>
      <c r="AL1048" s="34" t="e">
        <f t="shared" ca="1" si="355"/>
        <v>#N/A</v>
      </c>
      <c r="AM1048" s="33" t="e">
        <f t="shared" ca="1" si="362"/>
        <v>#N/A</v>
      </c>
      <c r="AN1048" s="34" t="e">
        <f t="shared" ca="1" si="363"/>
        <v>#N/A</v>
      </c>
    </row>
    <row r="1049" spans="1:40" x14ac:dyDescent="0.3">
      <c r="A1049" s="2">
        <v>44985</v>
      </c>
      <c r="B1049" s="9">
        <v>80.620002999999997</v>
      </c>
      <c r="C1049" s="9">
        <v>118.19000200000001</v>
      </c>
      <c r="D1049" s="9">
        <v>131.729996</v>
      </c>
      <c r="E1049" s="10"/>
      <c r="F1049" s="13">
        <v>1046</v>
      </c>
      <c r="G1049" s="2">
        <v>44985</v>
      </c>
      <c r="H1049" s="14">
        <f t="shared" si="344"/>
        <v>1.1728181624286082E-2</v>
      </c>
      <c r="I1049" s="14">
        <f t="shared" si="345"/>
        <v>-7.6699436225884437E-3</v>
      </c>
      <c r="J1049" s="14">
        <f t="shared" si="346"/>
        <v>-2.4890759576024674E-2</v>
      </c>
      <c r="K1049" s="22">
        <v>1046</v>
      </c>
      <c r="L1049" s="12"/>
      <c r="Q1049" s="15">
        <f t="shared" si="347"/>
        <v>1046</v>
      </c>
      <c r="R1049" s="2">
        <f t="shared" si="343"/>
        <v>44985</v>
      </c>
      <c r="S1049" s="9">
        <f t="shared" ca="1" si="348"/>
        <v>1.1728181624286082E-2</v>
      </c>
      <c r="T1049" s="9">
        <f t="shared" ca="1" si="349"/>
        <v>-7.6699436225884437E-3</v>
      </c>
      <c r="U1049" s="9">
        <f t="shared" ca="1" si="350"/>
        <v>-2.4890759576024674E-2</v>
      </c>
      <c r="AB1049" s="33" t="e">
        <f t="shared" ca="1" si="356"/>
        <v>#N/A</v>
      </c>
      <c r="AC1049" s="34" t="e">
        <f t="shared" ca="1" si="357"/>
        <v>#N/A</v>
      </c>
      <c r="AD1049" s="34" t="e">
        <f t="shared" ca="1" si="358"/>
        <v>#N/A</v>
      </c>
      <c r="AE1049" s="33" t="e">
        <f t="shared" ca="1" si="359"/>
        <v>#N/A</v>
      </c>
      <c r="AF1049" s="34" t="e">
        <f t="shared" ca="1" si="351"/>
        <v>#N/A</v>
      </c>
      <c r="AG1049" s="34" t="e">
        <f t="shared" ca="1" si="352"/>
        <v>#N/A</v>
      </c>
      <c r="AH1049" s="34" t="e">
        <f t="shared" ca="1" si="353"/>
        <v>#N/A</v>
      </c>
      <c r="AI1049" s="33" t="e">
        <f t="shared" ca="1" si="360"/>
        <v>#N/A</v>
      </c>
      <c r="AJ1049" s="34" t="e">
        <f t="shared" ca="1" si="361"/>
        <v>#N/A</v>
      </c>
      <c r="AK1049" s="34" t="e">
        <f t="shared" ca="1" si="354"/>
        <v>#N/A</v>
      </c>
      <c r="AL1049" s="34" t="e">
        <f t="shared" ca="1" si="355"/>
        <v>#N/A</v>
      </c>
      <c r="AM1049" s="33" t="e">
        <f t="shared" ca="1" si="362"/>
        <v>#N/A</v>
      </c>
      <c r="AN1049" s="34" t="e">
        <f t="shared" ca="1" si="363"/>
        <v>#N/A</v>
      </c>
    </row>
    <row r="1050" spans="1:40" x14ac:dyDescent="0.3">
      <c r="A1050" s="2">
        <v>44986</v>
      </c>
      <c r="B1050" s="9">
        <v>80.839995999999999</v>
      </c>
      <c r="C1050" s="9">
        <v>116.879997</v>
      </c>
      <c r="D1050" s="9">
        <v>139.28999300000001</v>
      </c>
      <c r="E1050" s="10"/>
      <c r="F1050" s="13">
        <v>1047</v>
      </c>
      <c r="G1050" s="2">
        <v>44986</v>
      </c>
      <c r="H1050" s="14">
        <f t="shared" si="344"/>
        <v>2.7250481543348508E-3</v>
      </c>
      <c r="I1050" s="14">
        <f t="shared" si="345"/>
        <v>-1.1145774170961907E-2</v>
      </c>
      <c r="J1050" s="14">
        <f t="shared" si="346"/>
        <v>5.5803697568480429E-2</v>
      </c>
      <c r="K1050" s="22">
        <v>1047</v>
      </c>
      <c r="L1050" s="12"/>
      <c r="Q1050" s="15">
        <f t="shared" si="347"/>
        <v>1047</v>
      </c>
      <c r="R1050" s="2">
        <f t="shared" si="343"/>
        <v>44986</v>
      </c>
      <c r="S1050" s="9">
        <f t="shared" ca="1" si="348"/>
        <v>2.7250481543348508E-3</v>
      </c>
      <c r="T1050" s="9">
        <f t="shared" ca="1" si="349"/>
        <v>-1.1145774170961907E-2</v>
      </c>
      <c r="U1050" s="9">
        <f t="shared" ca="1" si="350"/>
        <v>5.5803697568480429E-2</v>
      </c>
      <c r="AB1050" s="33" t="e">
        <f t="shared" ca="1" si="356"/>
        <v>#N/A</v>
      </c>
      <c r="AC1050" s="34" t="e">
        <f t="shared" ca="1" si="357"/>
        <v>#N/A</v>
      </c>
      <c r="AD1050" s="34" t="e">
        <f t="shared" ca="1" si="358"/>
        <v>#N/A</v>
      </c>
      <c r="AE1050" s="33" t="e">
        <f t="shared" ca="1" si="359"/>
        <v>#N/A</v>
      </c>
      <c r="AF1050" s="34" t="e">
        <f t="shared" ca="1" si="351"/>
        <v>#N/A</v>
      </c>
      <c r="AG1050" s="34" t="e">
        <f t="shared" ca="1" si="352"/>
        <v>#N/A</v>
      </c>
      <c r="AH1050" s="34" t="e">
        <f t="shared" ca="1" si="353"/>
        <v>#N/A</v>
      </c>
      <c r="AI1050" s="33" t="e">
        <f t="shared" ca="1" si="360"/>
        <v>#N/A</v>
      </c>
      <c r="AJ1050" s="34" t="e">
        <f t="shared" ca="1" si="361"/>
        <v>#N/A</v>
      </c>
      <c r="AK1050" s="34" t="e">
        <f t="shared" ca="1" si="354"/>
        <v>#N/A</v>
      </c>
      <c r="AL1050" s="34" t="e">
        <f t="shared" ca="1" si="355"/>
        <v>#N/A</v>
      </c>
      <c r="AM1050" s="33" t="e">
        <f t="shared" ca="1" si="362"/>
        <v>#N/A</v>
      </c>
      <c r="AN1050" s="34" t="e">
        <f t="shared" ca="1" si="363"/>
        <v>#N/A</v>
      </c>
    </row>
    <row r="1051" spans="1:40" x14ac:dyDescent="0.3">
      <c r="A1051" s="2">
        <v>44987</v>
      </c>
      <c r="B1051" s="9">
        <v>80.620002999999997</v>
      </c>
      <c r="C1051" s="9">
        <v>118.389999</v>
      </c>
      <c r="D1051" s="9">
        <v>139.229996</v>
      </c>
      <c r="E1051" s="10"/>
      <c r="F1051" s="13">
        <v>1048</v>
      </c>
      <c r="G1051" s="2">
        <v>44987</v>
      </c>
      <c r="H1051" s="14">
        <f t="shared" si="344"/>
        <v>-2.7250481543347753E-3</v>
      </c>
      <c r="I1051" s="14">
        <f t="shared" si="345"/>
        <v>1.2836509201792972E-2</v>
      </c>
      <c r="J1051" s="14">
        <f t="shared" si="346"/>
        <v>-4.3082725332168991E-4</v>
      </c>
      <c r="K1051" s="22">
        <v>1048</v>
      </c>
      <c r="L1051" s="12"/>
      <c r="Q1051" s="15">
        <f t="shared" si="347"/>
        <v>1048</v>
      </c>
      <c r="R1051" s="2">
        <f t="shared" si="343"/>
        <v>44987</v>
      </c>
      <c r="S1051" s="9">
        <f t="shared" ca="1" si="348"/>
        <v>-2.7250481543347753E-3</v>
      </c>
      <c r="T1051" s="9">
        <f t="shared" ca="1" si="349"/>
        <v>1.2836509201792972E-2</v>
      </c>
      <c r="U1051" s="9">
        <f t="shared" ca="1" si="350"/>
        <v>-4.3082725332168991E-4</v>
      </c>
      <c r="AB1051" s="33" t="e">
        <f t="shared" ca="1" si="356"/>
        <v>#N/A</v>
      </c>
      <c r="AC1051" s="34" t="e">
        <f t="shared" ca="1" si="357"/>
        <v>#N/A</v>
      </c>
      <c r="AD1051" s="34" t="e">
        <f t="shared" ca="1" si="358"/>
        <v>#N/A</v>
      </c>
      <c r="AE1051" s="33" t="e">
        <f t="shared" ca="1" si="359"/>
        <v>#N/A</v>
      </c>
      <c r="AF1051" s="34" t="e">
        <f t="shared" ca="1" si="351"/>
        <v>#N/A</v>
      </c>
      <c r="AG1051" s="34" t="e">
        <f t="shared" ca="1" si="352"/>
        <v>#N/A</v>
      </c>
      <c r="AH1051" s="34" t="e">
        <f t="shared" ca="1" si="353"/>
        <v>#N/A</v>
      </c>
      <c r="AI1051" s="33" t="e">
        <f t="shared" ca="1" si="360"/>
        <v>#N/A</v>
      </c>
      <c r="AJ1051" s="34" t="e">
        <f t="shared" ca="1" si="361"/>
        <v>#N/A</v>
      </c>
      <c r="AK1051" s="34" t="e">
        <f t="shared" ca="1" si="354"/>
        <v>#N/A</v>
      </c>
      <c r="AL1051" s="34" t="e">
        <f t="shared" ca="1" si="355"/>
        <v>#N/A</v>
      </c>
      <c r="AM1051" s="33" t="e">
        <f t="shared" ca="1" si="362"/>
        <v>#N/A</v>
      </c>
      <c r="AN1051" s="34" t="e">
        <f t="shared" ca="1" si="363"/>
        <v>#N/A</v>
      </c>
    </row>
    <row r="1052" spans="1:40" x14ac:dyDescent="0.3">
      <c r="A1052" s="2">
        <v>44988</v>
      </c>
      <c r="B1052" s="9">
        <v>81.319999999999993</v>
      </c>
      <c r="C1052" s="9">
        <v>118.889999</v>
      </c>
      <c r="D1052" s="9">
        <v>141.16999799999999</v>
      </c>
      <c r="E1052" s="10"/>
      <c r="F1052" s="13">
        <v>1049</v>
      </c>
      <c r="G1052" s="2">
        <v>44988</v>
      </c>
      <c r="H1052" s="14">
        <f t="shared" si="344"/>
        <v>8.6451938595166894E-3</v>
      </c>
      <c r="I1052" s="14">
        <f t="shared" si="345"/>
        <v>4.2144364824314128E-3</v>
      </c>
      <c r="J1052" s="14">
        <f t="shared" si="346"/>
        <v>1.3837610537038851E-2</v>
      </c>
      <c r="K1052" s="22">
        <v>1049</v>
      </c>
      <c r="L1052" s="12"/>
      <c r="Q1052" s="15">
        <f t="shared" si="347"/>
        <v>1049</v>
      </c>
      <c r="R1052" s="2">
        <f t="shared" si="343"/>
        <v>44988</v>
      </c>
      <c r="S1052" s="9">
        <f t="shared" ca="1" si="348"/>
        <v>8.6451938595166894E-3</v>
      </c>
      <c r="T1052" s="9">
        <f t="shared" ca="1" si="349"/>
        <v>4.2144364824314128E-3</v>
      </c>
      <c r="U1052" s="9">
        <f t="shared" ca="1" si="350"/>
        <v>1.3837610537038851E-2</v>
      </c>
      <c r="AB1052" s="33" t="e">
        <f t="shared" ca="1" si="356"/>
        <v>#N/A</v>
      </c>
      <c r="AC1052" s="34" t="e">
        <f t="shared" ca="1" si="357"/>
        <v>#N/A</v>
      </c>
      <c r="AD1052" s="34" t="e">
        <f t="shared" ca="1" si="358"/>
        <v>#N/A</v>
      </c>
      <c r="AE1052" s="33" t="e">
        <f t="shared" ca="1" si="359"/>
        <v>#N/A</v>
      </c>
      <c r="AF1052" s="34" t="e">
        <f t="shared" ca="1" si="351"/>
        <v>#N/A</v>
      </c>
      <c r="AG1052" s="34" t="e">
        <f t="shared" ca="1" si="352"/>
        <v>#N/A</v>
      </c>
      <c r="AH1052" s="34" t="e">
        <f t="shared" ca="1" si="353"/>
        <v>#N/A</v>
      </c>
      <c r="AI1052" s="33" t="e">
        <f t="shared" ca="1" si="360"/>
        <v>#N/A</v>
      </c>
      <c r="AJ1052" s="34" t="e">
        <f t="shared" ca="1" si="361"/>
        <v>#N/A</v>
      </c>
      <c r="AK1052" s="34" t="e">
        <f t="shared" ca="1" si="354"/>
        <v>#N/A</v>
      </c>
      <c r="AL1052" s="34" t="e">
        <f t="shared" ca="1" si="355"/>
        <v>#N/A</v>
      </c>
      <c r="AM1052" s="33" t="e">
        <f t="shared" ca="1" si="362"/>
        <v>#N/A</v>
      </c>
      <c r="AN1052" s="34" t="e">
        <f t="shared" ca="1" si="363"/>
        <v>#N/A</v>
      </c>
    </row>
    <row r="1053" spans="1:40" x14ac:dyDescent="0.3">
      <c r="A1053" s="2">
        <v>44991</v>
      </c>
      <c r="B1053" s="9">
        <v>81.25</v>
      </c>
      <c r="C1053" s="9">
        <v>117.040001</v>
      </c>
      <c r="D1053" s="9">
        <v>139.69000199999999</v>
      </c>
      <c r="E1053" s="10"/>
      <c r="F1053" s="13">
        <v>1050</v>
      </c>
      <c r="G1053" s="2">
        <v>44991</v>
      </c>
      <c r="H1053" s="14">
        <f t="shared" si="344"/>
        <v>-8.6116755029892278E-4</v>
      </c>
      <c r="I1053" s="14">
        <f t="shared" si="345"/>
        <v>-1.568292220336057E-2</v>
      </c>
      <c r="J1053" s="14">
        <f t="shared" si="346"/>
        <v>-1.0539127671915543E-2</v>
      </c>
      <c r="K1053" s="22">
        <v>1050</v>
      </c>
      <c r="L1053" s="12"/>
      <c r="Q1053" s="15">
        <f t="shared" si="347"/>
        <v>1050</v>
      </c>
      <c r="R1053" s="2">
        <f t="shared" si="343"/>
        <v>44991</v>
      </c>
      <c r="S1053" s="9">
        <f t="shared" ca="1" si="348"/>
        <v>-8.6116755029892278E-4</v>
      </c>
      <c r="T1053" s="9">
        <f t="shared" ca="1" si="349"/>
        <v>-1.568292220336057E-2</v>
      </c>
      <c r="U1053" s="9">
        <f t="shared" ca="1" si="350"/>
        <v>-1.0539127671915543E-2</v>
      </c>
      <c r="AB1053" s="33" t="e">
        <f t="shared" ca="1" si="356"/>
        <v>#N/A</v>
      </c>
      <c r="AC1053" s="34" t="e">
        <f t="shared" ca="1" si="357"/>
        <v>#N/A</v>
      </c>
      <c r="AD1053" s="34" t="e">
        <f t="shared" ca="1" si="358"/>
        <v>#N/A</v>
      </c>
      <c r="AE1053" s="33" t="e">
        <f t="shared" ca="1" si="359"/>
        <v>#N/A</v>
      </c>
      <c r="AF1053" s="34" t="e">
        <f t="shared" ca="1" si="351"/>
        <v>#N/A</v>
      </c>
      <c r="AG1053" s="34" t="e">
        <f t="shared" ca="1" si="352"/>
        <v>#N/A</v>
      </c>
      <c r="AH1053" s="34" t="e">
        <f t="shared" ca="1" si="353"/>
        <v>#N/A</v>
      </c>
      <c r="AI1053" s="33" t="e">
        <f t="shared" ca="1" si="360"/>
        <v>#N/A</v>
      </c>
      <c r="AJ1053" s="34" t="e">
        <f t="shared" ca="1" si="361"/>
        <v>#N/A</v>
      </c>
      <c r="AK1053" s="34" t="e">
        <f t="shared" ca="1" si="354"/>
        <v>#N/A</v>
      </c>
      <c r="AL1053" s="34" t="e">
        <f t="shared" ca="1" si="355"/>
        <v>#N/A</v>
      </c>
      <c r="AM1053" s="33" t="e">
        <f t="shared" ca="1" si="362"/>
        <v>#N/A</v>
      </c>
      <c r="AN1053" s="34" t="e">
        <f t="shared" ca="1" si="363"/>
        <v>#N/A</v>
      </c>
    </row>
    <row r="1054" spans="1:40" x14ac:dyDescent="0.3">
      <c r="A1054" s="2">
        <v>44992</v>
      </c>
      <c r="B1054" s="9">
        <v>80.680000000000007</v>
      </c>
      <c r="C1054" s="9">
        <v>116.33000199999999</v>
      </c>
      <c r="D1054" s="9">
        <v>136.96000699999999</v>
      </c>
      <c r="E1054" s="10"/>
      <c r="F1054" s="13">
        <v>1051</v>
      </c>
      <c r="G1054" s="2">
        <v>44992</v>
      </c>
      <c r="H1054" s="14">
        <f t="shared" si="344"/>
        <v>-7.0401081238357617E-3</v>
      </c>
      <c r="I1054" s="14">
        <f t="shared" si="345"/>
        <v>-6.0847682348118349E-3</v>
      </c>
      <c r="J1054" s="14">
        <f t="shared" si="346"/>
        <v>-1.9736732553632882E-2</v>
      </c>
      <c r="K1054" s="22">
        <v>1051</v>
      </c>
      <c r="L1054" s="12"/>
      <c r="Q1054" s="15">
        <f t="shared" si="347"/>
        <v>1051</v>
      </c>
      <c r="R1054" s="2">
        <f t="shared" si="343"/>
        <v>44992</v>
      </c>
      <c r="S1054" s="9">
        <f t="shared" ca="1" si="348"/>
        <v>-7.0401081238357617E-3</v>
      </c>
      <c r="T1054" s="9">
        <f t="shared" ca="1" si="349"/>
        <v>-6.0847682348118349E-3</v>
      </c>
      <c r="U1054" s="9">
        <f t="shared" ca="1" si="350"/>
        <v>-1.9736732553632882E-2</v>
      </c>
      <c r="AB1054" s="33" t="e">
        <f t="shared" ca="1" si="356"/>
        <v>#N/A</v>
      </c>
      <c r="AC1054" s="34" t="e">
        <f t="shared" ca="1" si="357"/>
        <v>#N/A</v>
      </c>
      <c r="AD1054" s="34" t="e">
        <f t="shared" ca="1" si="358"/>
        <v>#N/A</v>
      </c>
      <c r="AE1054" s="33" t="e">
        <f t="shared" ca="1" si="359"/>
        <v>#N/A</v>
      </c>
      <c r="AF1054" s="34" t="e">
        <f t="shared" ca="1" si="351"/>
        <v>#N/A</v>
      </c>
      <c r="AG1054" s="34" t="e">
        <f t="shared" ca="1" si="352"/>
        <v>#N/A</v>
      </c>
      <c r="AH1054" s="34" t="e">
        <f t="shared" ca="1" si="353"/>
        <v>#N/A</v>
      </c>
      <c r="AI1054" s="33" t="e">
        <f t="shared" ca="1" si="360"/>
        <v>#N/A</v>
      </c>
      <c r="AJ1054" s="34" t="e">
        <f t="shared" ca="1" si="361"/>
        <v>#N/A</v>
      </c>
      <c r="AK1054" s="34" t="e">
        <f t="shared" ca="1" si="354"/>
        <v>#N/A</v>
      </c>
      <c r="AL1054" s="34" t="e">
        <f t="shared" ca="1" si="355"/>
        <v>#N/A</v>
      </c>
      <c r="AM1054" s="33" t="e">
        <f t="shared" ca="1" si="362"/>
        <v>#N/A</v>
      </c>
      <c r="AN1054" s="34" t="e">
        <f t="shared" ca="1" si="363"/>
        <v>#N/A</v>
      </c>
    </row>
    <row r="1055" spans="1:40" x14ac:dyDescent="0.3">
      <c r="A1055" s="2">
        <v>44993</v>
      </c>
      <c r="B1055" s="9">
        <v>80.559997999999993</v>
      </c>
      <c r="C1055" s="9">
        <v>116.239998</v>
      </c>
      <c r="D1055" s="9">
        <v>132.770004</v>
      </c>
      <c r="E1055" s="10"/>
      <c r="F1055" s="13">
        <v>1052</v>
      </c>
      <c r="G1055" s="2">
        <v>44993</v>
      </c>
      <c r="H1055" s="14">
        <f t="shared" si="344"/>
        <v>-1.4884895019210891E-3</v>
      </c>
      <c r="I1055" s="14">
        <f t="shared" si="345"/>
        <v>-7.7399496489833448E-4</v>
      </c>
      <c r="J1055" s="14">
        <f t="shared" si="346"/>
        <v>-3.1070625468145614E-2</v>
      </c>
      <c r="K1055" s="22">
        <v>1052</v>
      </c>
      <c r="L1055" s="12"/>
      <c r="Q1055" s="15">
        <f t="shared" si="347"/>
        <v>1052</v>
      </c>
      <c r="R1055" s="2">
        <f t="shared" si="343"/>
        <v>44993</v>
      </c>
      <c r="S1055" s="9">
        <f t="shared" ca="1" si="348"/>
        <v>-1.4884895019210891E-3</v>
      </c>
      <c r="T1055" s="9">
        <f t="shared" ca="1" si="349"/>
        <v>-7.7399496489833448E-4</v>
      </c>
      <c r="U1055" s="9">
        <f t="shared" ca="1" si="350"/>
        <v>-3.1070625468145614E-2</v>
      </c>
      <c r="AB1055" s="33" t="e">
        <f t="shared" ca="1" si="356"/>
        <v>#N/A</v>
      </c>
      <c r="AC1055" s="34" t="e">
        <f t="shared" ca="1" si="357"/>
        <v>#N/A</v>
      </c>
      <c r="AD1055" s="34" t="e">
        <f t="shared" ca="1" si="358"/>
        <v>#N/A</v>
      </c>
      <c r="AE1055" s="33" t="e">
        <f t="shared" ca="1" si="359"/>
        <v>#N/A</v>
      </c>
      <c r="AF1055" s="34" t="e">
        <f t="shared" ca="1" si="351"/>
        <v>#N/A</v>
      </c>
      <c r="AG1055" s="34" t="e">
        <f t="shared" ca="1" si="352"/>
        <v>#N/A</v>
      </c>
      <c r="AH1055" s="34" t="e">
        <f t="shared" ca="1" si="353"/>
        <v>#N/A</v>
      </c>
      <c r="AI1055" s="33" t="e">
        <f t="shared" ca="1" si="360"/>
        <v>#N/A</v>
      </c>
      <c r="AJ1055" s="34" t="e">
        <f t="shared" ca="1" si="361"/>
        <v>#N/A</v>
      </c>
      <c r="AK1055" s="34" t="e">
        <f t="shared" ca="1" si="354"/>
        <v>#N/A</v>
      </c>
      <c r="AL1055" s="34" t="e">
        <f t="shared" ca="1" si="355"/>
        <v>#N/A</v>
      </c>
      <c r="AM1055" s="33" t="e">
        <f t="shared" ca="1" si="362"/>
        <v>#N/A</v>
      </c>
      <c r="AN1055" s="34" t="e">
        <f t="shared" ca="1" si="363"/>
        <v>#N/A</v>
      </c>
    </row>
    <row r="1056" spans="1:40" x14ac:dyDescent="0.3">
      <c r="A1056" s="2">
        <v>44994</v>
      </c>
      <c r="B1056" s="9">
        <v>78.839995999999999</v>
      </c>
      <c r="C1056" s="9">
        <v>114.699997</v>
      </c>
      <c r="D1056" s="9">
        <v>132.279999</v>
      </c>
      <c r="E1056" s="10"/>
      <c r="F1056" s="13">
        <v>1053</v>
      </c>
      <c r="G1056" s="2">
        <v>44994</v>
      </c>
      <c r="H1056" s="14">
        <f t="shared" si="344"/>
        <v>-2.1581792035239002E-2</v>
      </c>
      <c r="I1056" s="14">
        <f t="shared" si="345"/>
        <v>-1.3337004076108931E-2</v>
      </c>
      <c r="J1056" s="14">
        <f t="shared" si="346"/>
        <v>-3.6974574812277858E-3</v>
      </c>
      <c r="K1056" s="22">
        <v>1053</v>
      </c>
      <c r="L1056" s="12"/>
      <c r="Q1056" s="15">
        <f t="shared" si="347"/>
        <v>1053</v>
      </c>
      <c r="R1056" s="2">
        <f t="shared" si="343"/>
        <v>44994</v>
      </c>
      <c r="S1056" s="9">
        <f t="shared" ca="1" si="348"/>
        <v>-2.1581792035239002E-2</v>
      </c>
      <c r="T1056" s="9">
        <f t="shared" ca="1" si="349"/>
        <v>-1.3337004076108931E-2</v>
      </c>
      <c r="U1056" s="9">
        <f t="shared" ca="1" si="350"/>
        <v>-3.6974574812277858E-3</v>
      </c>
      <c r="AB1056" s="33" t="e">
        <f t="shared" ca="1" si="356"/>
        <v>#N/A</v>
      </c>
      <c r="AC1056" s="34" t="e">
        <f t="shared" ca="1" si="357"/>
        <v>#N/A</v>
      </c>
      <c r="AD1056" s="34" t="e">
        <f t="shared" ca="1" si="358"/>
        <v>#N/A</v>
      </c>
      <c r="AE1056" s="33" t="e">
        <f t="shared" ca="1" si="359"/>
        <v>#N/A</v>
      </c>
      <c r="AF1056" s="34" t="e">
        <f t="shared" ca="1" si="351"/>
        <v>#N/A</v>
      </c>
      <c r="AG1056" s="34" t="e">
        <f t="shared" ca="1" si="352"/>
        <v>#N/A</v>
      </c>
      <c r="AH1056" s="34" t="e">
        <f t="shared" ca="1" si="353"/>
        <v>#N/A</v>
      </c>
      <c r="AI1056" s="33" t="e">
        <f t="shared" ca="1" si="360"/>
        <v>#N/A</v>
      </c>
      <c r="AJ1056" s="34" t="e">
        <f t="shared" ca="1" si="361"/>
        <v>#N/A</v>
      </c>
      <c r="AK1056" s="34" t="e">
        <f t="shared" ca="1" si="354"/>
        <v>#N/A</v>
      </c>
      <c r="AL1056" s="34" t="e">
        <f t="shared" ca="1" si="355"/>
        <v>#N/A</v>
      </c>
      <c r="AM1056" s="33" t="e">
        <f t="shared" ca="1" si="362"/>
        <v>#N/A</v>
      </c>
      <c r="AN1056" s="34" t="e">
        <f t="shared" ca="1" si="363"/>
        <v>#N/A</v>
      </c>
    </row>
    <row r="1057" spans="1:40" x14ac:dyDescent="0.3">
      <c r="A1057" s="2">
        <v>44995</v>
      </c>
      <c r="B1057" s="9">
        <v>77.410004000000001</v>
      </c>
      <c r="C1057" s="9">
        <v>113.33000199999999</v>
      </c>
      <c r="D1057" s="9">
        <v>132.16000399999999</v>
      </c>
      <c r="E1057" s="10"/>
      <c r="F1057" s="13">
        <v>1054</v>
      </c>
      <c r="G1057" s="2">
        <v>44995</v>
      </c>
      <c r="H1057" s="14">
        <f t="shared" si="344"/>
        <v>-1.8304408659319732E-2</v>
      </c>
      <c r="I1057" s="14">
        <f t="shared" si="345"/>
        <v>-1.2016063587702462E-2</v>
      </c>
      <c r="J1057" s="14">
        <f t="shared" si="346"/>
        <v>-9.0754051485901575E-4</v>
      </c>
      <c r="K1057" s="22">
        <v>1054</v>
      </c>
      <c r="L1057" s="12"/>
      <c r="Q1057" s="15">
        <f t="shared" si="347"/>
        <v>1054</v>
      </c>
      <c r="R1057" s="2">
        <f t="shared" si="343"/>
        <v>44995</v>
      </c>
      <c r="S1057" s="9">
        <f t="shared" ca="1" si="348"/>
        <v>-1.8304408659319732E-2</v>
      </c>
      <c r="T1057" s="9">
        <f t="shared" ca="1" si="349"/>
        <v>-1.2016063587702462E-2</v>
      </c>
      <c r="U1057" s="9">
        <f t="shared" ca="1" si="350"/>
        <v>-9.0754051485901575E-4</v>
      </c>
      <c r="AB1057" s="33" t="e">
        <f t="shared" ca="1" si="356"/>
        <v>#N/A</v>
      </c>
      <c r="AC1057" s="34" t="e">
        <f t="shared" ca="1" si="357"/>
        <v>#N/A</v>
      </c>
      <c r="AD1057" s="34" t="e">
        <f t="shared" ca="1" si="358"/>
        <v>#N/A</v>
      </c>
      <c r="AE1057" s="33" t="e">
        <f t="shared" ca="1" si="359"/>
        <v>#N/A</v>
      </c>
      <c r="AF1057" s="34" t="e">
        <f t="shared" ca="1" si="351"/>
        <v>#N/A</v>
      </c>
      <c r="AG1057" s="34" t="e">
        <f t="shared" ca="1" si="352"/>
        <v>#N/A</v>
      </c>
      <c r="AH1057" s="34" t="e">
        <f t="shared" ca="1" si="353"/>
        <v>#N/A</v>
      </c>
      <c r="AI1057" s="33" t="e">
        <f t="shared" ca="1" si="360"/>
        <v>#N/A</v>
      </c>
      <c r="AJ1057" s="34" t="e">
        <f t="shared" ca="1" si="361"/>
        <v>#N/A</v>
      </c>
      <c r="AK1057" s="34" t="e">
        <f t="shared" ca="1" si="354"/>
        <v>#N/A</v>
      </c>
      <c r="AL1057" s="34" t="e">
        <f t="shared" ca="1" si="355"/>
        <v>#N/A</v>
      </c>
      <c r="AM1057" s="33" t="e">
        <f t="shared" ca="1" si="362"/>
        <v>#N/A</v>
      </c>
      <c r="AN1057" s="34" t="e">
        <f t="shared" ca="1" si="363"/>
        <v>#N/A</v>
      </c>
    </row>
    <row r="1058" spans="1:40" x14ac:dyDescent="0.3">
      <c r="A1058" s="2">
        <v>44998</v>
      </c>
      <c r="B1058" s="9">
        <v>77.330001999999993</v>
      </c>
      <c r="C1058" s="9">
        <v>110.720001</v>
      </c>
      <c r="D1058" s="9">
        <v>128.11000100000001</v>
      </c>
      <c r="E1058" s="10"/>
      <c r="F1058" s="13">
        <v>1055</v>
      </c>
      <c r="G1058" s="2">
        <v>44998</v>
      </c>
      <c r="H1058" s="14">
        <f t="shared" si="344"/>
        <v>-1.0340184054037714E-3</v>
      </c>
      <c r="I1058" s="14">
        <f t="shared" si="345"/>
        <v>-2.3299433491283484E-2</v>
      </c>
      <c r="J1058" s="14">
        <f t="shared" si="346"/>
        <v>-3.1124062364876914E-2</v>
      </c>
      <c r="K1058" s="22">
        <v>1055</v>
      </c>
      <c r="L1058" s="12"/>
      <c r="Q1058" s="15">
        <f t="shared" si="347"/>
        <v>1055</v>
      </c>
      <c r="R1058" s="2">
        <f t="shared" si="343"/>
        <v>44998</v>
      </c>
      <c r="S1058" s="9">
        <f t="shared" ca="1" si="348"/>
        <v>-1.0340184054037714E-3</v>
      </c>
      <c r="T1058" s="9">
        <f t="shared" ca="1" si="349"/>
        <v>-2.3299433491283484E-2</v>
      </c>
      <c r="U1058" s="9">
        <f t="shared" ca="1" si="350"/>
        <v>-3.1124062364876914E-2</v>
      </c>
      <c r="AB1058" s="33" t="e">
        <f t="shared" ca="1" si="356"/>
        <v>#N/A</v>
      </c>
      <c r="AC1058" s="34" t="e">
        <f t="shared" ca="1" si="357"/>
        <v>#N/A</v>
      </c>
      <c r="AD1058" s="34" t="e">
        <f t="shared" ca="1" si="358"/>
        <v>#N/A</v>
      </c>
      <c r="AE1058" s="33" t="e">
        <f t="shared" ca="1" si="359"/>
        <v>#N/A</v>
      </c>
      <c r="AF1058" s="34" t="e">
        <f t="shared" ca="1" si="351"/>
        <v>#N/A</v>
      </c>
      <c r="AG1058" s="34" t="e">
        <f t="shared" ca="1" si="352"/>
        <v>#N/A</v>
      </c>
      <c r="AH1058" s="34" t="e">
        <f t="shared" ca="1" si="353"/>
        <v>#N/A</v>
      </c>
      <c r="AI1058" s="33" t="e">
        <f t="shared" ca="1" si="360"/>
        <v>#N/A</v>
      </c>
      <c r="AJ1058" s="34" t="e">
        <f t="shared" ca="1" si="361"/>
        <v>#N/A</v>
      </c>
      <c r="AK1058" s="34" t="e">
        <f t="shared" ca="1" si="354"/>
        <v>#N/A</v>
      </c>
      <c r="AL1058" s="34" t="e">
        <f t="shared" ca="1" si="355"/>
        <v>#N/A</v>
      </c>
      <c r="AM1058" s="33" t="e">
        <f t="shared" ca="1" si="362"/>
        <v>#N/A</v>
      </c>
      <c r="AN1058" s="34" t="e">
        <f t="shared" ca="1" si="363"/>
        <v>#N/A</v>
      </c>
    </row>
    <row r="1059" spans="1:40" x14ac:dyDescent="0.3">
      <c r="A1059" s="2">
        <v>44999</v>
      </c>
      <c r="B1059" s="9">
        <v>77.150002000000001</v>
      </c>
      <c r="C1059" s="9">
        <v>111.82</v>
      </c>
      <c r="D1059" s="9">
        <v>131.61999499999999</v>
      </c>
      <c r="E1059" s="10"/>
      <c r="F1059" s="13">
        <v>1056</v>
      </c>
      <c r="G1059" s="2">
        <v>44999</v>
      </c>
      <c r="H1059" s="14">
        <f t="shared" si="344"/>
        <v>-2.3303997514323273E-3</v>
      </c>
      <c r="I1059" s="14">
        <f t="shared" si="345"/>
        <v>9.8859346973479527E-3</v>
      </c>
      <c r="J1059" s="14">
        <f t="shared" si="346"/>
        <v>2.7029667365690204E-2</v>
      </c>
      <c r="K1059" s="22">
        <v>1056</v>
      </c>
      <c r="L1059" s="12"/>
      <c r="Q1059" s="15">
        <f t="shared" si="347"/>
        <v>1056</v>
      </c>
      <c r="R1059" s="2">
        <f t="shared" si="343"/>
        <v>44999</v>
      </c>
      <c r="S1059" s="9">
        <f t="shared" ca="1" si="348"/>
        <v>-2.3303997514323273E-3</v>
      </c>
      <c r="T1059" s="9">
        <f t="shared" ca="1" si="349"/>
        <v>9.8859346973479527E-3</v>
      </c>
      <c r="U1059" s="9">
        <f t="shared" ca="1" si="350"/>
        <v>2.7029667365690204E-2</v>
      </c>
      <c r="AB1059" s="33" t="e">
        <f t="shared" ca="1" si="356"/>
        <v>#N/A</v>
      </c>
      <c r="AC1059" s="34" t="e">
        <f t="shared" ca="1" si="357"/>
        <v>#N/A</v>
      </c>
      <c r="AD1059" s="34" t="e">
        <f t="shared" ca="1" si="358"/>
        <v>#N/A</v>
      </c>
      <c r="AE1059" s="33" t="e">
        <f t="shared" ca="1" si="359"/>
        <v>#N/A</v>
      </c>
      <c r="AF1059" s="34" t="e">
        <f t="shared" ca="1" si="351"/>
        <v>#N/A</v>
      </c>
      <c r="AG1059" s="34" t="e">
        <f t="shared" ca="1" si="352"/>
        <v>#N/A</v>
      </c>
      <c r="AH1059" s="34" t="e">
        <f t="shared" ca="1" si="353"/>
        <v>#N/A</v>
      </c>
      <c r="AI1059" s="33" t="e">
        <f t="shared" ca="1" si="360"/>
        <v>#N/A</v>
      </c>
      <c r="AJ1059" s="34" t="e">
        <f t="shared" ca="1" si="361"/>
        <v>#N/A</v>
      </c>
      <c r="AK1059" s="34" t="e">
        <f t="shared" ca="1" si="354"/>
        <v>#N/A</v>
      </c>
      <c r="AL1059" s="34" t="e">
        <f t="shared" ca="1" si="355"/>
        <v>#N/A</v>
      </c>
      <c r="AM1059" s="33" t="e">
        <f t="shared" ca="1" si="362"/>
        <v>#N/A</v>
      </c>
      <c r="AN1059" s="34" t="e">
        <f t="shared" ca="1" si="363"/>
        <v>#N/A</v>
      </c>
    </row>
    <row r="1060" spans="1:40" x14ac:dyDescent="0.3">
      <c r="A1060" s="2">
        <v>45000</v>
      </c>
      <c r="B1060" s="9">
        <v>75.339995999999999</v>
      </c>
      <c r="C1060" s="9">
        <v>111.639999</v>
      </c>
      <c r="D1060" s="9">
        <v>124.33000199999999</v>
      </c>
      <c r="E1060" s="10"/>
      <c r="F1060" s="13">
        <v>1057</v>
      </c>
      <c r="G1060" s="2">
        <v>45000</v>
      </c>
      <c r="H1060" s="14">
        <f t="shared" si="344"/>
        <v>-2.3740455561448187E-2</v>
      </c>
      <c r="I1060" s="14">
        <f t="shared" si="345"/>
        <v>-1.6110358877407833E-3</v>
      </c>
      <c r="J1060" s="14">
        <f t="shared" si="346"/>
        <v>-5.6979607988756384E-2</v>
      </c>
      <c r="K1060" s="22">
        <v>1057</v>
      </c>
      <c r="L1060" s="12"/>
      <c r="Q1060" s="15">
        <f t="shared" si="347"/>
        <v>1057</v>
      </c>
      <c r="R1060" s="2">
        <f t="shared" si="343"/>
        <v>45000</v>
      </c>
      <c r="S1060" s="9">
        <f t="shared" ca="1" si="348"/>
        <v>-2.3740455561448187E-2</v>
      </c>
      <c r="T1060" s="9">
        <f t="shared" ca="1" si="349"/>
        <v>-1.6110358877407833E-3</v>
      </c>
      <c r="U1060" s="9">
        <f t="shared" ca="1" si="350"/>
        <v>-5.6979607988756384E-2</v>
      </c>
      <c r="AB1060" s="33" t="e">
        <f t="shared" ca="1" si="356"/>
        <v>#N/A</v>
      </c>
      <c r="AC1060" s="34" t="e">
        <f t="shared" ca="1" si="357"/>
        <v>#N/A</v>
      </c>
      <c r="AD1060" s="34" t="e">
        <f t="shared" ca="1" si="358"/>
        <v>#N/A</v>
      </c>
      <c r="AE1060" s="33" t="e">
        <f t="shared" ca="1" si="359"/>
        <v>#N/A</v>
      </c>
      <c r="AF1060" s="34" t="e">
        <f t="shared" ca="1" si="351"/>
        <v>#N/A</v>
      </c>
      <c r="AG1060" s="34" t="e">
        <f t="shared" ca="1" si="352"/>
        <v>#N/A</v>
      </c>
      <c r="AH1060" s="34" t="e">
        <f t="shared" ca="1" si="353"/>
        <v>#N/A</v>
      </c>
      <c r="AI1060" s="33" t="e">
        <f t="shared" ca="1" si="360"/>
        <v>#N/A</v>
      </c>
      <c r="AJ1060" s="34" t="e">
        <f t="shared" ca="1" si="361"/>
        <v>#N/A</v>
      </c>
      <c r="AK1060" s="34" t="e">
        <f t="shared" ca="1" si="354"/>
        <v>#N/A</v>
      </c>
      <c r="AL1060" s="34" t="e">
        <f t="shared" ca="1" si="355"/>
        <v>#N/A</v>
      </c>
      <c r="AM1060" s="33" t="e">
        <f t="shared" ca="1" si="362"/>
        <v>#N/A</v>
      </c>
      <c r="AN1060" s="34" t="e">
        <f t="shared" ca="1" si="363"/>
        <v>#N/A</v>
      </c>
    </row>
    <row r="1061" spans="1:40" x14ac:dyDescent="0.3">
      <c r="A1061" s="2">
        <v>45001</v>
      </c>
      <c r="B1061" s="9">
        <v>75.059997999999993</v>
      </c>
      <c r="C1061" s="9">
        <v>112.18</v>
      </c>
      <c r="D1061" s="9">
        <v>127.16999800000001</v>
      </c>
      <c r="E1061" s="10"/>
      <c r="F1061" s="13">
        <v>1058</v>
      </c>
      <c r="G1061" s="2">
        <v>45001</v>
      </c>
      <c r="H1061" s="14">
        <f t="shared" si="344"/>
        <v>-3.7233821097229836E-3</v>
      </c>
      <c r="I1061" s="14">
        <f t="shared" si="345"/>
        <v>4.825324369432552E-3</v>
      </c>
      <c r="J1061" s="14">
        <f t="shared" si="346"/>
        <v>2.2585421254607548E-2</v>
      </c>
      <c r="K1061" s="22">
        <v>1058</v>
      </c>
      <c r="L1061" s="12"/>
      <c r="Q1061" s="15">
        <f t="shared" si="347"/>
        <v>1058</v>
      </c>
      <c r="R1061" s="2">
        <f t="shared" si="343"/>
        <v>45001</v>
      </c>
      <c r="S1061" s="9">
        <f t="shared" ca="1" si="348"/>
        <v>-3.7233821097229836E-3</v>
      </c>
      <c r="T1061" s="9">
        <f t="shared" ca="1" si="349"/>
        <v>4.825324369432552E-3</v>
      </c>
      <c r="U1061" s="9">
        <f t="shared" ca="1" si="350"/>
        <v>2.2585421254607548E-2</v>
      </c>
      <c r="AB1061" s="33" t="e">
        <f t="shared" ca="1" si="356"/>
        <v>#N/A</v>
      </c>
      <c r="AC1061" s="34" t="e">
        <f t="shared" ca="1" si="357"/>
        <v>#N/A</v>
      </c>
      <c r="AD1061" s="34" t="e">
        <f t="shared" ca="1" si="358"/>
        <v>#N/A</v>
      </c>
      <c r="AE1061" s="33" t="e">
        <f t="shared" ca="1" si="359"/>
        <v>#N/A</v>
      </c>
      <c r="AF1061" s="34" t="e">
        <f t="shared" ca="1" si="351"/>
        <v>#N/A</v>
      </c>
      <c r="AG1061" s="34" t="e">
        <f t="shared" ca="1" si="352"/>
        <v>#N/A</v>
      </c>
      <c r="AH1061" s="34" t="e">
        <f t="shared" ca="1" si="353"/>
        <v>#N/A</v>
      </c>
      <c r="AI1061" s="33" t="e">
        <f t="shared" ca="1" si="360"/>
        <v>#N/A</v>
      </c>
      <c r="AJ1061" s="34" t="e">
        <f t="shared" ca="1" si="361"/>
        <v>#N/A</v>
      </c>
      <c r="AK1061" s="34" t="e">
        <f t="shared" ca="1" si="354"/>
        <v>#N/A</v>
      </c>
      <c r="AL1061" s="34" t="e">
        <f t="shared" ca="1" si="355"/>
        <v>#N/A</v>
      </c>
      <c r="AM1061" s="33" t="e">
        <f t="shared" ca="1" si="362"/>
        <v>#N/A</v>
      </c>
      <c r="AN1061" s="34" t="e">
        <f t="shared" ca="1" si="363"/>
        <v>#N/A</v>
      </c>
    </row>
    <row r="1062" spans="1:40" x14ac:dyDescent="0.3">
      <c r="A1062" s="2">
        <v>45002</v>
      </c>
      <c r="B1062" s="9">
        <v>73.379997000000003</v>
      </c>
      <c r="C1062" s="9">
        <v>110.91999800000001</v>
      </c>
      <c r="D1062" s="9">
        <v>126.370003</v>
      </c>
      <c r="E1062" s="10"/>
      <c r="F1062" s="13">
        <v>1059</v>
      </c>
      <c r="G1062" s="2">
        <v>45002</v>
      </c>
      <c r="H1062" s="14">
        <f t="shared" si="344"/>
        <v>-2.2636389017463152E-2</v>
      </c>
      <c r="I1062" s="14">
        <f t="shared" si="345"/>
        <v>-1.1295521363627097E-2</v>
      </c>
      <c r="J1062" s="14">
        <f t="shared" si="346"/>
        <v>-6.3106227952750152E-3</v>
      </c>
      <c r="K1062" s="22">
        <v>1059</v>
      </c>
      <c r="L1062" s="12"/>
      <c r="Q1062" s="15">
        <f t="shared" si="347"/>
        <v>1059</v>
      </c>
      <c r="R1062" s="2">
        <f t="shared" si="343"/>
        <v>45002</v>
      </c>
      <c r="S1062" s="9">
        <f t="shared" ca="1" si="348"/>
        <v>-2.2636389017463152E-2</v>
      </c>
      <c r="T1062" s="9">
        <f t="shared" ca="1" si="349"/>
        <v>-1.1295521363627097E-2</v>
      </c>
      <c r="U1062" s="9">
        <f t="shared" ca="1" si="350"/>
        <v>-6.3106227952750152E-3</v>
      </c>
      <c r="AB1062" s="33" t="e">
        <f t="shared" ca="1" si="356"/>
        <v>#N/A</v>
      </c>
      <c r="AC1062" s="34" t="e">
        <f t="shared" ca="1" si="357"/>
        <v>#N/A</v>
      </c>
      <c r="AD1062" s="34" t="e">
        <f t="shared" ca="1" si="358"/>
        <v>#N/A</v>
      </c>
      <c r="AE1062" s="33" t="e">
        <f t="shared" ca="1" si="359"/>
        <v>#N/A</v>
      </c>
      <c r="AF1062" s="34" t="e">
        <f t="shared" ca="1" si="351"/>
        <v>#N/A</v>
      </c>
      <c r="AG1062" s="34" t="e">
        <f t="shared" ca="1" si="352"/>
        <v>#N/A</v>
      </c>
      <c r="AH1062" s="34" t="e">
        <f t="shared" ca="1" si="353"/>
        <v>#N/A</v>
      </c>
      <c r="AI1062" s="33" t="e">
        <f t="shared" ca="1" si="360"/>
        <v>#N/A</v>
      </c>
      <c r="AJ1062" s="34" t="e">
        <f t="shared" ca="1" si="361"/>
        <v>#N/A</v>
      </c>
      <c r="AK1062" s="34" t="e">
        <f t="shared" ca="1" si="354"/>
        <v>#N/A</v>
      </c>
      <c r="AL1062" s="34" t="e">
        <f t="shared" ca="1" si="355"/>
        <v>#N/A</v>
      </c>
      <c r="AM1062" s="33" t="e">
        <f t="shared" ca="1" si="362"/>
        <v>#N/A</v>
      </c>
      <c r="AN1062" s="34" t="e">
        <f t="shared" ca="1" si="363"/>
        <v>#N/A</v>
      </c>
    </row>
    <row r="1063" spans="1:40" x14ac:dyDescent="0.3">
      <c r="A1063" s="2">
        <v>45005</v>
      </c>
      <c r="B1063" s="9">
        <v>75.419998000000007</v>
      </c>
      <c r="C1063" s="9">
        <v>112.05999799999999</v>
      </c>
      <c r="D1063" s="9">
        <v>128.91000399999999</v>
      </c>
      <c r="E1063" s="10"/>
      <c r="F1063" s="13">
        <v>1060</v>
      </c>
      <c r="G1063" s="2">
        <v>45005</v>
      </c>
      <c r="H1063" s="14">
        <f t="shared" si="344"/>
        <v>2.7421087267985055E-2</v>
      </c>
      <c r="I1063" s="14">
        <f t="shared" si="345"/>
        <v>1.0225221572992743E-2</v>
      </c>
      <c r="J1063" s="14">
        <f t="shared" si="346"/>
        <v>1.9900381974012483E-2</v>
      </c>
      <c r="K1063" s="22">
        <v>1060</v>
      </c>
      <c r="L1063" s="12"/>
      <c r="Q1063" s="15">
        <f t="shared" si="347"/>
        <v>1060</v>
      </c>
      <c r="R1063" s="2">
        <f t="shared" si="343"/>
        <v>45005</v>
      </c>
      <c r="S1063" s="9">
        <f t="shared" ca="1" si="348"/>
        <v>2.7421087267985055E-2</v>
      </c>
      <c r="T1063" s="9">
        <f t="shared" ca="1" si="349"/>
        <v>1.0225221572992743E-2</v>
      </c>
      <c r="U1063" s="9">
        <f t="shared" ca="1" si="350"/>
        <v>1.9900381974012483E-2</v>
      </c>
      <c r="AB1063" s="33" t="e">
        <f t="shared" ca="1" si="356"/>
        <v>#N/A</v>
      </c>
      <c r="AC1063" s="34" t="e">
        <f t="shared" ca="1" si="357"/>
        <v>#N/A</v>
      </c>
      <c r="AD1063" s="34" t="e">
        <f t="shared" ca="1" si="358"/>
        <v>#N/A</v>
      </c>
      <c r="AE1063" s="33" t="e">
        <f t="shared" ca="1" si="359"/>
        <v>#N/A</v>
      </c>
      <c r="AF1063" s="34" t="e">
        <f t="shared" ca="1" si="351"/>
        <v>#N/A</v>
      </c>
      <c r="AG1063" s="34" t="e">
        <f t="shared" ca="1" si="352"/>
        <v>#N/A</v>
      </c>
      <c r="AH1063" s="34" t="e">
        <f t="shared" ca="1" si="353"/>
        <v>#N/A</v>
      </c>
      <c r="AI1063" s="33" t="e">
        <f t="shared" ca="1" si="360"/>
        <v>#N/A</v>
      </c>
      <c r="AJ1063" s="34" t="e">
        <f t="shared" ca="1" si="361"/>
        <v>#N/A</v>
      </c>
      <c r="AK1063" s="34" t="e">
        <f t="shared" ca="1" si="354"/>
        <v>#N/A</v>
      </c>
      <c r="AL1063" s="34" t="e">
        <f t="shared" ca="1" si="355"/>
        <v>#N/A</v>
      </c>
      <c r="AM1063" s="33" t="e">
        <f t="shared" ca="1" si="362"/>
        <v>#N/A</v>
      </c>
      <c r="AN1063" s="34" t="e">
        <f t="shared" ca="1" si="363"/>
        <v>#N/A</v>
      </c>
    </row>
    <row r="1064" spans="1:40" x14ac:dyDescent="0.3">
      <c r="A1064" s="2">
        <v>45006</v>
      </c>
      <c r="B1064" s="9">
        <v>77.260002</v>
      </c>
      <c r="C1064" s="9">
        <v>114.529999</v>
      </c>
      <c r="D1064" s="9">
        <v>132.19000199999999</v>
      </c>
      <c r="E1064" s="10"/>
      <c r="F1064" s="13">
        <v>1061</v>
      </c>
      <c r="G1064" s="2">
        <v>45006</v>
      </c>
      <c r="H1064" s="14">
        <f t="shared" si="344"/>
        <v>2.4103917812705721E-2</v>
      </c>
      <c r="I1064" s="14">
        <f t="shared" si="345"/>
        <v>2.1802364388731437E-2</v>
      </c>
      <c r="J1064" s="14">
        <f t="shared" si="346"/>
        <v>2.5125779236632485E-2</v>
      </c>
      <c r="K1064" s="22">
        <v>1061</v>
      </c>
      <c r="L1064" s="12"/>
      <c r="Q1064" s="15">
        <f t="shared" si="347"/>
        <v>1061</v>
      </c>
      <c r="R1064" s="2">
        <f t="shared" si="343"/>
        <v>45006</v>
      </c>
      <c r="S1064" s="9">
        <f t="shared" ca="1" si="348"/>
        <v>2.4103917812705721E-2</v>
      </c>
      <c r="T1064" s="9">
        <f t="shared" ca="1" si="349"/>
        <v>2.1802364388731437E-2</v>
      </c>
      <c r="U1064" s="9">
        <f t="shared" ca="1" si="350"/>
        <v>2.5125779236632485E-2</v>
      </c>
      <c r="AB1064" s="33" t="e">
        <f t="shared" ca="1" si="356"/>
        <v>#N/A</v>
      </c>
      <c r="AC1064" s="34" t="e">
        <f t="shared" ca="1" si="357"/>
        <v>#N/A</v>
      </c>
      <c r="AD1064" s="34" t="e">
        <f t="shared" ca="1" si="358"/>
        <v>#N/A</v>
      </c>
      <c r="AE1064" s="33" t="e">
        <f t="shared" ca="1" si="359"/>
        <v>#N/A</v>
      </c>
      <c r="AF1064" s="34" t="e">
        <f t="shared" ca="1" si="351"/>
        <v>#N/A</v>
      </c>
      <c r="AG1064" s="34" t="e">
        <f t="shared" ca="1" si="352"/>
        <v>#N/A</v>
      </c>
      <c r="AH1064" s="34" t="e">
        <f t="shared" ca="1" si="353"/>
        <v>#N/A</v>
      </c>
      <c r="AI1064" s="33" t="e">
        <f t="shared" ca="1" si="360"/>
        <v>#N/A</v>
      </c>
      <c r="AJ1064" s="34" t="e">
        <f t="shared" ca="1" si="361"/>
        <v>#N/A</v>
      </c>
      <c r="AK1064" s="34" t="e">
        <f t="shared" ca="1" si="354"/>
        <v>#N/A</v>
      </c>
      <c r="AL1064" s="34" t="e">
        <f t="shared" ca="1" si="355"/>
        <v>#N/A</v>
      </c>
      <c r="AM1064" s="33" t="e">
        <f t="shared" ca="1" si="362"/>
        <v>#N/A</v>
      </c>
      <c r="AN1064" s="34" t="e">
        <f t="shared" ca="1" si="363"/>
        <v>#N/A</v>
      </c>
    </row>
    <row r="1065" spans="1:40" x14ac:dyDescent="0.3">
      <c r="A1065" s="2">
        <v>45007</v>
      </c>
      <c r="B1065" s="9">
        <v>74.629997000000003</v>
      </c>
      <c r="C1065" s="9">
        <v>111.889999</v>
      </c>
      <c r="D1065" s="9">
        <v>131.770004</v>
      </c>
      <c r="E1065" s="10"/>
      <c r="F1065" s="13">
        <v>1062</v>
      </c>
      <c r="G1065" s="2">
        <v>45007</v>
      </c>
      <c r="H1065" s="14">
        <f t="shared" si="344"/>
        <v>-3.463385217976795E-2</v>
      </c>
      <c r="I1065" s="14">
        <f t="shared" si="345"/>
        <v>-2.3320551796007477E-2</v>
      </c>
      <c r="J1065" s="14">
        <f t="shared" si="346"/>
        <v>-3.1822878079620187E-3</v>
      </c>
      <c r="K1065" s="22">
        <v>1062</v>
      </c>
      <c r="L1065" s="12"/>
      <c r="Q1065" s="15">
        <f t="shared" si="347"/>
        <v>1062</v>
      </c>
      <c r="R1065" s="2">
        <f t="shared" si="343"/>
        <v>45007</v>
      </c>
      <c r="S1065" s="9">
        <f t="shared" ca="1" si="348"/>
        <v>-3.463385217976795E-2</v>
      </c>
      <c r="T1065" s="9">
        <f t="shared" ca="1" si="349"/>
        <v>-2.3320551796007477E-2</v>
      </c>
      <c r="U1065" s="9">
        <f t="shared" ca="1" si="350"/>
        <v>-3.1822878079620187E-3</v>
      </c>
      <c r="AB1065" s="33" t="e">
        <f t="shared" ca="1" si="356"/>
        <v>#N/A</v>
      </c>
      <c r="AC1065" s="34" t="e">
        <f t="shared" ca="1" si="357"/>
        <v>#N/A</v>
      </c>
      <c r="AD1065" s="34" t="e">
        <f t="shared" ca="1" si="358"/>
        <v>#N/A</v>
      </c>
      <c r="AE1065" s="33" t="e">
        <f t="shared" ca="1" si="359"/>
        <v>#N/A</v>
      </c>
      <c r="AF1065" s="34" t="e">
        <f t="shared" ca="1" si="351"/>
        <v>#N/A</v>
      </c>
      <c r="AG1065" s="34" t="e">
        <f t="shared" ca="1" si="352"/>
        <v>#N/A</v>
      </c>
      <c r="AH1065" s="34" t="e">
        <f t="shared" ca="1" si="353"/>
        <v>#N/A</v>
      </c>
      <c r="AI1065" s="33" t="e">
        <f t="shared" ca="1" si="360"/>
        <v>#N/A</v>
      </c>
      <c r="AJ1065" s="34" t="e">
        <f t="shared" ca="1" si="361"/>
        <v>#N/A</v>
      </c>
      <c r="AK1065" s="34" t="e">
        <f t="shared" ca="1" si="354"/>
        <v>#N/A</v>
      </c>
      <c r="AL1065" s="34" t="e">
        <f t="shared" ca="1" si="355"/>
        <v>#N/A</v>
      </c>
      <c r="AM1065" s="33" t="e">
        <f t="shared" ca="1" si="362"/>
        <v>#N/A</v>
      </c>
      <c r="AN1065" s="34" t="e">
        <f t="shared" ca="1" si="363"/>
        <v>#N/A</v>
      </c>
    </row>
    <row r="1066" spans="1:40" x14ac:dyDescent="0.3">
      <c r="A1066" s="2">
        <v>45008</v>
      </c>
      <c r="B1066" s="9">
        <v>74.059997999999993</v>
      </c>
      <c r="C1066" s="9">
        <v>111.44000200000001</v>
      </c>
      <c r="D1066" s="9">
        <v>130.38000500000001</v>
      </c>
      <c r="E1066" s="10"/>
      <c r="F1066" s="13">
        <v>1063</v>
      </c>
      <c r="G1066" s="2">
        <v>45008</v>
      </c>
      <c r="H1066" s="14">
        <f t="shared" si="344"/>
        <v>-7.6669824646483772E-3</v>
      </c>
      <c r="I1066" s="14">
        <f t="shared" si="345"/>
        <v>-4.0298894638532501E-3</v>
      </c>
      <c r="J1066" s="14">
        <f t="shared" si="346"/>
        <v>-1.0604707067250909E-2</v>
      </c>
      <c r="K1066" s="22">
        <v>1063</v>
      </c>
      <c r="L1066" s="12"/>
      <c r="Q1066" s="15">
        <f t="shared" si="347"/>
        <v>1063</v>
      </c>
      <c r="R1066" s="2">
        <f t="shared" si="343"/>
        <v>45008</v>
      </c>
      <c r="S1066" s="9">
        <f t="shared" ca="1" si="348"/>
        <v>-7.6669824646483772E-3</v>
      </c>
      <c r="T1066" s="9">
        <f t="shared" ca="1" si="349"/>
        <v>-4.0298894638532501E-3</v>
      </c>
      <c r="U1066" s="9">
        <f t="shared" ca="1" si="350"/>
        <v>-1.0604707067250909E-2</v>
      </c>
      <c r="AB1066" s="33" t="e">
        <f t="shared" ca="1" si="356"/>
        <v>#N/A</v>
      </c>
      <c r="AC1066" s="34" t="e">
        <f t="shared" ca="1" si="357"/>
        <v>#N/A</v>
      </c>
      <c r="AD1066" s="34" t="e">
        <f t="shared" ca="1" si="358"/>
        <v>#N/A</v>
      </c>
      <c r="AE1066" s="33" t="e">
        <f t="shared" ca="1" si="359"/>
        <v>#N/A</v>
      </c>
      <c r="AF1066" s="34" t="e">
        <f t="shared" ca="1" si="351"/>
        <v>#N/A</v>
      </c>
      <c r="AG1066" s="34" t="e">
        <f t="shared" ca="1" si="352"/>
        <v>#N/A</v>
      </c>
      <c r="AH1066" s="34" t="e">
        <f t="shared" ca="1" si="353"/>
        <v>#N/A</v>
      </c>
      <c r="AI1066" s="33" t="e">
        <f t="shared" ca="1" si="360"/>
        <v>#N/A</v>
      </c>
      <c r="AJ1066" s="34" t="e">
        <f t="shared" ca="1" si="361"/>
        <v>#N/A</v>
      </c>
      <c r="AK1066" s="34" t="e">
        <f t="shared" ca="1" si="354"/>
        <v>#N/A</v>
      </c>
      <c r="AL1066" s="34" t="e">
        <f t="shared" ca="1" si="355"/>
        <v>#N/A</v>
      </c>
      <c r="AM1066" s="33" t="e">
        <f t="shared" ca="1" si="362"/>
        <v>#N/A</v>
      </c>
      <c r="AN1066" s="34" t="e">
        <f t="shared" ca="1" si="363"/>
        <v>#N/A</v>
      </c>
    </row>
    <row r="1067" spans="1:40" x14ac:dyDescent="0.3">
      <c r="A1067" s="2">
        <v>45009</v>
      </c>
      <c r="B1067" s="9">
        <v>74.699996999999996</v>
      </c>
      <c r="C1067" s="9">
        <v>111.089996</v>
      </c>
      <c r="D1067" s="9">
        <v>129.259995</v>
      </c>
      <c r="E1067" s="10"/>
      <c r="F1067" s="13">
        <v>1064</v>
      </c>
      <c r="G1067" s="2">
        <v>45009</v>
      </c>
      <c r="H1067" s="14">
        <f t="shared" si="344"/>
        <v>8.6045034977930424E-3</v>
      </c>
      <c r="I1067" s="14">
        <f t="shared" si="345"/>
        <v>-3.1456998316383229E-3</v>
      </c>
      <c r="J1067" s="14">
        <f t="shared" si="346"/>
        <v>-8.6274606928108191E-3</v>
      </c>
      <c r="K1067" s="22">
        <v>1064</v>
      </c>
      <c r="L1067" s="12"/>
      <c r="Q1067" s="15">
        <f t="shared" si="347"/>
        <v>1064</v>
      </c>
      <c r="R1067" s="2">
        <f t="shared" si="343"/>
        <v>45009</v>
      </c>
      <c r="S1067" s="9">
        <f t="shared" ca="1" si="348"/>
        <v>8.6045034977930424E-3</v>
      </c>
      <c r="T1067" s="9">
        <f t="shared" ca="1" si="349"/>
        <v>-3.1456998316383229E-3</v>
      </c>
      <c r="U1067" s="9">
        <f t="shared" ca="1" si="350"/>
        <v>-8.6274606928108191E-3</v>
      </c>
      <c r="AB1067" s="33" t="e">
        <f t="shared" ca="1" si="356"/>
        <v>#N/A</v>
      </c>
      <c r="AC1067" s="34" t="e">
        <f t="shared" ca="1" si="357"/>
        <v>#N/A</v>
      </c>
      <c r="AD1067" s="34" t="e">
        <f t="shared" ca="1" si="358"/>
        <v>#N/A</v>
      </c>
      <c r="AE1067" s="33" t="e">
        <f t="shared" ca="1" si="359"/>
        <v>#N/A</v>
      </c>
      <c r="AF1067" s="34" t="e">
        <f t="shared" ca="1" si="351"/>
        <v>#N/A</v>
      </c>
      <c r="AG1067" s="34" t="e">
        <f t="shared" ca="1" si="352"/>
        <v>#N/A</v>
      </c>
      <c r="AH1067" s="34" t="e">
        <f t="shared" ca="1" si="353"/>
        <v>#N/A</v>
      </c>
      <c r="AI1067" s="33" t="e">
        <f t="shared" ca="1" si="360"/>
        <v>#N/A</v>
      </c>
      <c r="AJ1067" s="34" t="e">
        <f t="shared" ca="1" si="361"/>
        <v>#N/A</v>
      </c>
      <c r="AK1067" s="34" t="e">
        <f t="shared" ca="1" si="354"/>
        <v>#N/A</v>
      </c>
      <c r="AL1067" s="34" t="e">
        <f t="shared" ca="1" si="355"/>
        <v>#N/A</v>
      </c>
      <c r="AM1067" s="33" t="e">
        <f t="shared" ca="1" si="362"/>
        <v>#N/A</v>
      </c>
      <c r="AN1067" s="34" t="e">
        <f t="shared" ca="1" si="363"/>
        <v>#N/A</v>
      </c>
    </row>
    <row r="1068" spans="1:40" x14ac:dyDescent="0.3">
      <c r="A1068" s="2">
        <v>45012</v>
      </c>
      <c r="B1068" s="9">
        <v>76.199996999999996</v>
      </c>
      <c r="C1068" s="9">
        <v>112.779999</v>
      </c>
      <c r="D1068" s="9">
        <v>131.88000500000001</v>
      </c>
      <c r="E1068" s="10"/>
      <c r="F1068" s="13">
        <v>1065</v>
      </c>
      <c r="G1068" s="2">
        <v>45012</v>
      </c>
      <c r="H1068" s="14">
        <f t="shared" si="344"/>
        <v>1.9881371344392912E-2</v>
      </c>
      <c r="I1068" s="14">
        <f t="shared" si="345"/>
        <v>1.509836192542662E-2</v>
      </c>
      <c r="J1068" s="14">
        <f t="shared" si="346"/>
        <v>2.0066614963762198E-2</v>
      </c>
      <c r="K1068" s="22">
        <v>1065</v>
      </c>
      <c r="L1068" s="12"/>
      <c r="Q1068" s="15">
        <f t="shared" si="347"/>
        <v>1065</v>
      </c>
      <c r="R1068" s="2">
        <f t="shared" si="343"/>
        <v>45012</v>
      </c>
      <c r="S1068" s="9">
        <f t="shared" ca="1" si="348"/>
        <v>1.9881371344392912E-2</v>
      </c>
      <c r="T1068" s="9">
        <f t="shared" ca="1" si="349"/>
        <v>1.509836192542662E-2</v>
      </c>
      <c r="U1068" s="9">
        <f t="shared" ca="1" si="350"/>
        <v>2.0066614963762198E-2</v>
      </c>
      <c r="AB1068" s="33" t="e">
        <f t="shared" ca="1" si="356"/>
        <v>#N/A</v>
      </c>
      <c r="AC1068" s="34" t="e">
        <f t="shared" ca="1" si="357"/>
        <v>#N/A</v>
      </c>
      <c r="AD1068" s="34" t="e">
        <f t="shared" ca="1" si="358"/>
        <v>#N/A</v>
      </c>
      <c r="AE1068" s="33" t="e">
        <f t="shared" ca="1" si="359"/>
        <v>#N/A</v>
      </c>
      <c r="AF1068" s="34" t="e">
        <f t="shared" ca="1" si="351"/>
        <v>#N/A</v>
      </c>
      <c r="AG1068" s="34" t="e">
        <f t="shared" ca="1" si="352"/>
        <v>#N/A</v>
      </c>
      <c r="AH1068" s="34" t="e">
        <f t="shared" ca="1" si="353"/>
        <v>#N/A</v>
      </c>
      <c r="AI1068" s="33" t="e">
        <f t="shared" ca="1" si="360"/>
        <v>#N/A</v>
      </c>
      <c r="AJ1068" s="34" t="e">
        <f t="shared" ca="1" si="361"/>
        <v>#N/A</v>
      </c>
      <c r="AK1068" s="34" t="e">
        <f t="shared" ca="1" si="354"/>
        <v>#N/A</v>
      </c>
      <c r="AL1068" s="34" t="e">
        <f t="shared" ca="1" si="355"/>
        <v>#N/A</v>
      </c>
      <c r="AM1068" s="33" t="e">
        <f t="shared" ca="1" si="362"/>
        <v>#N/A</v>
      </c>
      <c r="AN1068" s="34" t="e">
        <f t="shared" ca="1" si="363"/>
        <v>#N/A</v>
      </c>
    </row>
    <row r="1069" spans="1:40" x14ac:dyDescent="0.3">
      <c r="A1069" s="2">
        <v>45013</v>
      </c>
      <c r="B1069" s="9">
        <v>76.300003000000004</v>
      </c>
      <c r="C1069" s="9">
        <v>115.599998</v>
      </c>
      <c r="D1069" s="9">
        <v>136.020004</v>
      </c>
      <c r="E1069" s="10"/>
      <c r="F1069" s="13">
        <v>1066</v>
      </c>
      <c r="G1069" s="2">
        <v>45013</v>
      </c>
      <c r="H1069" s="14">
        <f t="shared" si="344"/>
        <v>1.3115542863692373E-3</v>
      </c>
      <c r="I1069" s="14">
        <f t="shared" si="345"/>
        <v>2.4696929425023204E-2</v>
      </c>
      <c r="J1069" s="14">
        <f t="shared" si="346"/>
        <v>3.0909507038148123E-2</v>
      </c>
      <c r="K1069" s="22">
        <v>1066</v>
      </c>
      <c r="L1069" s="12"/>
      <c r="Q1069" s="15">
        <f t="shared" si="347"/>
        <v>1066</v>
      </c>
      <c r="R1069" s="2">
        <f t="shared" si="343"/>
        <v>45013</v>
      </c>
      <c r="S1069" s="9">
        <f t="shared" ca="1" si="348"/>
        <v>1.3115542863692373E-3</v>
      </c>
      <c r="T1069" s="9">
        <f t="shared" ca="1" si="349"/>
        <v>2.4696929425023204E-2</v>
      </c>
      <c r="U1069" s="9">
        <f t="shared" ca="1" si="350"/>
        <v>3.0909507038148123E-2</v>
      </c>
      <c r="AB1069" s="33" t="e">
        <f t="shared" ca="1" si="356"/>
        <v>#N/A</v>
      </c>
      <c r="AC1069" s="34" t="e">
        <f t="shared" ca="1" si="357"/>
        <v>#N/A</v>
      </c>
      <c r="AD1069" s="34" t="e">
        <f t="shared" ca="1" si="358"/>
        <v>#N/A</v>
      </c>
      <c r="AE1069" s="33" t="e">
        <f t="shared" ca="1" si="359"/>
        <v>#N/A</v>
      </c>
      <c r="AF1069" s="34" t="e">
        <f t="shared" ca="1" si="351"/>
        <v>#N/A</v>
      </c>
      <c r="AG1069" s="34" t="e">
        <f t="shared" ca="1" si="352"/>
        <v>#N/A</v>
      </c>
      <c r="AH1069" s="34" t="e">
        <f t="shared" ca="1" si="353"/>
        <v>#N/A</v>
      </c>
      <c r="AI1069" s="33" t="e">
        <f t="shared" ca="1" si="360"/>
        <v>#N/A</v>
      </c>
      <c r="AJ1069" s="34" t="e">
        <f t="shared" ca="1" si="361"/>
        <v>#N/A</v>
      </c>
      <c r="AK1069" s="34" t="e">
        <f t="shared" ca="1" si="354"/>
        <v>#N/A</v>
      </c>
      <c r="AL1069" s="34" t="e">
        <f t="shared" ca="1" si="355"/>
        <v>#N/A</v>
      </c>
      <c r="AM1069" s="33" t="e">
        <f t="shared" ca="1" si="362"/>
        <v>#N/A</v>
      </c>
      <c r="AN1069" s="34" t="e">
        <f t="shared" ca="1" si="363"/>
        <v>#N/A</v>
      </c>
    </row>
    <row r="1070" spans="1:40" x14ac:dyDescent="0.3">
      <c r="A1070" s="2">
        <v>45014</v>
      </c>
      <c r="B1070" s="9">
        <v>77.150002000000001</v>
      </c>
      <c r="C1070" s="9">
        <v>116.620003</v>
      </c>
      <c r="D1070" s="9">
        <v>136.949997</v>
      </c>
      <c r="E1070" s="10"/>
      <c r="F1070" s="13">
        <v>1067</v>
      </c>
      <c r="G1070" s="2">
        <v>45014</v>
      </c>
      <c r="H1070" s="14">
        <f t="shared" si="344"/>
        <v>1.1078627123804911E-2</v>
      </c>
      <c r="I1070" s="14">
        <f t="shared" si="345"/>
        <v>8.7848725813461717E-3</v>
      </c>
      <c r="J1070" s="14">
        <f t="shared" si="346"/>
        <v>6.813910648349659E-3</v>
      </c>
      <c r="K1070" s="22">
        <v>1067</v>
      </c>
      <c r="L1070" s="12"/>
      <c r="Q1070" s="15">
        <f t="shared" si="347"/>
        <v>1067</v>
      </c>
      <c r="R1070" s="2">
        <f t="shared" si="343"/>
        <v>45014</v>
      </c>
      <c r="S1070" s="9">
        <f t="shared" ca="1" si="348"/>
        <v>1.1078627123804911E-2</v>
      </c>
      <c r="T1070" s="9">
        <f t="shared" ca="1" si="349"/>
        <v>8.7848725813461717E-3</v>
      </c>
      <c r="U1070" s="9">
        <f t="shared" ca="1" si="350"/>
        <v>6.813910648349659E-3</v>
      </c>
      <c r="AB1070" s="33" t="e">
        <f t="shared" ca="1" si="356"/>
        <v>#N/A</v>
      </c>
      <c r="AC1070" s="34" t="e">
        <f t="shared" ca="1" si="357"/>
        <v>#N/A</v>
      </c>
      <c r="AD1070" s="34" t="e">
        <f t="shared" ca="1" si="358"/>
        <v>#N/A</v>
      </c>
      <c r="AE1070" s="33" t="e">
        <f t="shared" ca="1" si="359"/>
        <v>#N/A</v>
      </c>
      <c r="AF1070" s="34" t="e">
        <f t="shared" ca="1" si="351"/>
        <v>#N/A</v>
      </c>
      <c r="AG1070" s="34" t="e">
        <f t="shared" ca="1" si="352"/>
        <v>#N/A</v>
      </c>
      <c r="AH1070" s="34" t="e">
        <f t="shared" ca="1" si="353"/>
        <v>#N/A</v>
      </c>
      <c r="AI1070" s="33" t="e">
        <f t="shared" ca="1" si="360"/>
        <v>#N/A</v>
      </c>
      <c r="AJ1070" s="34" t="e">
        <f t="shared" ca="1" si="361"/>
        <v>#N/A</v>
      </c>
      <c r="AK1070" s="34" t="e">
        <f t="shared" ca="1" si="354"/>
        <v>#N/A</v>
      </c>
      <c r="AL1070" s="34" t="e">
        <f t="shared" ca="1" si="355"/>
        <v>#N/A</v>
      </c>
      <c r="AM1070" s="33" t="e">
        <f t="shared" ca="1" si="362"/>
        <v>#N/A</v>
      </c>
      <c r="AN1070" s="34" t="e">
        <f t="shared" ca="1" si="363"/>
        <v>#N/A</v>
      </c>
    </row>
    <row r="1071" spans="1:40" x14ac:dyDescent="0.3">
      <c r="A1071" s="2">
        <v>45015</v>
      </c>
      <c r="B1071" s="9">
        <v>77.949996999999996</v>
      </c>
      <c r="C1071" s="9">
        <v>114.279999</v>
      </c>
      <c r="D1071" s="9">
        <v>137.020004</v>
      </c>
      <c r="E1071" s="10"/>
      <c r="F1071" s="13">
        <v>1068</v>
      </c>
      <c r="G1071" s="2">
        <v>45015</v>
      </c>
      <c r="H1071" s="14">
        <f t="shared" si="344"/>
        <v>1.0315952284880416E-2</v>
      </c>
      <c r="I1071" s="14">
        <f t="shared" si="345"/>
        <v>-2.0269242906450366E-2</v>
      </c>
      <c r="J1071" s="14">
        <f t="shared" si="346"/>
        <v>5.1105596428926135E-4</v>
      </c>
      <c r="K1071" s="22">
        <v>1068</v>
      </c>
      <c r="L1071" s="12"/>
      <c r="Q1071" s="15">
        <f t="shared" si="347"/>
        <v>1068</v>
      </c>
      <c r="R1071" s="2">
        <f t="shared" si="343"/>
        <v>45015</v>
      </c>
      <c r="S1071" s="9">
        <f t="shared" ca="1" si="348"/>
        <v>1.0315952284880416E-2</v>
      </c>
      <c r="T1071" s="9">
        <f t="shared" ca="1" si="349"/>
        <v>-2.0269242906450366E-2</v>
      </c>
      <c r="U1071" s="9">
        <f t="shared" ca="1" si="350"/>
        <v>5.1105596428926135E-4</v>
      </c>
      <c r="AB1071" s="33" t="e">
        <f t="shared" ca="1" si="356"/>
        <v>#N/A</v>
      </c>
      <c r="AC1071" s="34" t="e">
        <f t="shared" ca="1" si="357"/>
        <v>#N/A</v>
      </c>
      <c r="AD1071" s="34" t="e">
        <f t="shared" ca="1" si="358"/>
        <v>#N/A</v>
      </c>
      <c r="AE1071" s="33" t="e">
        <f t="shared" ca="1" si="359"/>
        <v>#N/A</v>
      </c>
      <c r="AF1071" s="34" t="e">
        <f t="shared" ca="1" si="351"/>
        <v>#N/A</v>
      </c>
      <c r="AG1071" s="34" t="e">
        <f t="shared" ca="1" si="352"/>
        <v>#N/A</v>
      </c>
      <c r="AH1071" s="34" t="e">
        <f t="shared" ca="1" si="353"/>
        <v>#N/A</v>
      </c>
      <c r="AI1071" s="33" t="e">
        <f t="shared" ca="1" si="360"/>
        <v>#N/A</v>
      </c>
      <c r="AJ1071" s="34" t="e">
        <f t="shared" ca="1" si="361"/>
        <v>#N/A</v>
      </c>
      <c r="AK1071" s="34" t="e">
        <f t="shared" ca="1" si="354"/>
        <v>#N/A</v>
      </c>
      <c r="AL1071" s="34" t="e">
        <f t="shared" ca="1" si="355"/>
        <v>#N/A</v>
      </c>
      <c r="AM1071" s="33" t="e">
        <f t="shared" ca="1" si="362"/>
        <v>#N/A</v>
      </c>
      <c r="AN1071" s="34" t="e">
        <f t="shared" ca="1" si="363"/>
        <v>#N/A</v>
      </c>
    </row>
    <row r="1072" spans="1:40" x14ac:dyDescent="0.3">
      <c r="A1072" s="2">
        <v>45016</v>
      </c>
      <c r="B1072" s="9">
        <v>80.569999999999993</v>
      </c>
      <c r="C1072" s="9">
        <v>116.66999800000001</v>
      </c>
      <c r="D1072" s="9">
        <v>139.60000600000001</v>
      </c>
      <c r="E1072" s="10"/>
      <c r="F1072" s="13">
        <v>1069</v>
      </c>
      <c r="G1072" s="2">
        <v>45016</v>
      </c>
      <c r="H1072" s="14">
        <f t="shared" si="344"/>
        <v>3.3058814771528881E-2</v>
      </c>
      <c r="I1072" s="14">
        <f t="shared" si="345"/>
        <v>2.0697851081263395E-2</v>
      </c>
      <c r="J1072" s="14">
        <f t="shared" si="346"/>
        <v>1.8654303540642882E-2</v>
      </c>
      <c r="K1072" s="22">
        <v>1069</v>
      </c>
      <c r="L1072" s="12"/>
      <c r="Q1072" s="15">
        <f t="shared" si="347"/>
        <v>1069</v>
      </c>
      <c r="R1072" s="2">
        <f t="shared" si="343"/>
        <v>45016</v>
      </c>
      <c r="S1072" s="9">
        <f t="shared" ca="1" si="348"/>
        <v>3.3058814771528881E-2</v>
      </c>
      <c r="T1072" s="9">
        <f t="shared" ca="1" si="349"/>
        <v>2.0697851081263395E-2</v>
      </c>
      <c r="U1072" s="9">
        <f t="shared" ca="1" si="350"/>
        <v>1.8654303540642882E-2</v>
      </c>
      <c r="AB1072" s="33" t="e">
        <f t="shared" ca="1" si="356"/>
        <v>#N/A</v>
      </c>
      <c r="AC1072" s="34" t="e">
        <f t="shared" ca="1" si="357"/>
        <v>#N/A</v>
      </c>
      <c r="AD1072" s="34" t="e">
        <f t="shared" ca="1" si="358"/>
        <v>#N/A</v>
      </c>
      <c r="AE1072" s="33" t="e">
        <f t="shared" ca="1" si="359"/>
        <v>#N/A</v>
      </c>
      <c r="AF1072" s="34" t="e">
        <f t="shared" ca="1" si="351"/>
        <v>#N/A</v>
      </c>
      <c r="AG1072" s="34" t="e">
        <f t="shared" ca="1" si="352"/>
        <v>#N/A</v>
      </c>
      <c r="AH1072" s="34" t="e">
        <f t="shared" ca="1" si="353"/>
        <v>#N/A</v>
      </c>
      <c r="AI1072" s="33" t="e">
        <f t="shared" ca="1" si="360"/>
        <v>#N/A</v>
      </c>
      <c r="AJ1072" s="34" t="e">
        <f t="shared" ca="1" si="361"/>
        <v>#N/A</v>
      </c>
      <c r="AK1072" s="34" t="e">
        <f t="shared" ca="1" si="354"/>
        <v>#N/A</v>
      </c>
      <c r="AL1072" s="34" t="e">
        <f t="shared" ca="1" si="355"/>
        <v>#N/A</v>
      </c>
      <c r="AM1072" s="33" t="e">
        <f t="shared" ca="1" si="362"/>
        <v>#N/A</v>
      </c>
      <c r="AN1072" s="34" t="e">
        <f t="shared" ca="1" si="363"/>
        <v>#N/A</v>
      </c>
    </row>
    <row r="1073" spans="1:40" x14ac:dyDescent="0.3">
      <c r="A1073" s="2">
        <v>45019</v>
      </c>
      <c r="B1073" s="9">
        <v>79.620002999999997</v>
      </c>
      <c r="C1073" s="9">
        <v>117.519997</v>
      </c>
      <c r="D1073" s="9">
        <v>138.529999</v>
      </c>
      <c r="E1073" s="10"/>
      <c r="F1073" s="13">
        <v>1070</v>
      </c>
      <c r="G1073" s="2">
        <v>45019</v>
      </c>
      <c r="H1073" s="14">
        <f t="shared" si="344"/>
        <v>-1.1861016537959009E-2</v>
      </c>
      <c r="I1073" s="14">
        <f t="shared" si="345"/>
        <v>7.2590866446536253E-3</v>
      </c>
      <c r="J1073" s="14">
        <f t="shared" si="346"/>
        <v>-7.6943318570792804E-3</v>
      </c>
      <c r="K1073" s="22">
        <v>1070</v>
      </c>
      <c r="L1073" s="12"/>
      <c r="Q1073" s="15">
        <f t="shared" si="347"/>
        <v>1070</v>
      </c>
      <c r="R1073" s="2">
        <f t="shared" si="343"/>
        <v>45019</v>
      </c>
      <c r="S1073" s="9">
        <f t="shared" ca="1" si="348"/>
        <v>-1.1861016537959009E-2</v>
      </c>
      <c r="T1073" s="9">
        <f t="shared" ca="1" si="349"/>
        <v>7.2590866446536253E-3</v>
      </c>
      <c r="U1073" s="9">
        <f t="shared" ca="1" si="350"/>
        <v>-7.6943318570792804E-3</v>
      </c>
      <c r="AB1073" s="33" t="e">
        <f t="shared" ca="1" si="356"/>
        <v>#N/A</v>
      </c>
      <c r="AC1073" s="34" t="e">
        <f t="shared" ca="1" si="357"/>
        <v>#N/A</v>
      </c>
      <c r="AD1073" s="34" t="e">
        <f t="shared" ca="1" si="358"/>
        <v>#N/A</v>
      </c>
      <c r="AE1073" s="33" t="e">
        <f t="shared" ca="1" si="359"/>
        <v>#N/A</v>
      </c>
      <c r="AF1073" s="34" t="e">
        <f t="shared" ca="1" si="351"/>
        <v>#N/A</v>
      </c>
      <c r="AG1073" s="34" t="e">
        <f t="shared" ca="1" si="352"/>
        <v>#N/A</v>
      </c>
      <c r="AH1073" s="34" t="e">
        <f t="shared" ca="1" si="353"/>
        <v>#N/A</v>
      </c>
      <c r="AI1073" s="33" t="e">
        <f t="shared" ca="1" si="360"/>
        <v>#N/A</v>
      </c>
      <c r="AJ1073" s="34" t="e">
        <f t="shared" ca="1" si="361"/>
        <v>#N/A</v>
      </c>
      <c r="AK1073" s="34" t="e">
        <f t="shared" ca="1" si="354"/>
        <v>#N/A</v>
      </c>
      <c r="AL1073" s="34" t="e">
        <f t="shared" ca="1" si="355"/>
        <v>#N/A</v>
      </c>
      <c r="AM1073" s="33" t="e">
        <f t="shared" ca="1" si="362"/>
        <v>#N/A</v>
      </c>
      <c r="AN1073" s="34" t="e">
        <f t="shared" ca="1" si="363"/>
        <v>#N/A</v>
      </c>
    </row>
    <row r="1074" spans="1:40" x14ac:dyDescent="0.3">
      <c r="A1074" s="2">
        <v>45020</v>
      </c>
      <c r="B1074" s="9">
        <v>77.480002999999996</v>
      </c>
      <c r="C1074" s="9">
        <v>115.540001</v>
      </c>
      <c r="D1074" s="9">
        <v>127.43</v>
      </c>
      <c r="E1074" s="10"/>
      <c r="F1074" s="13">
        <v>1071</v>
      </c>
      <c r="G1074" s="2">
        <v>45020</v>
      </c>
      <c r="H1074" s="14">
        <f t="shared" si="344"/>
        <v>-2.7245477992681556E-2</v>
      </c>
      <c r="I1074" s="14">
        <f t="shared" si="345"/>
        <v>-1.6991707329921071E-2</v>
      </c>
      <c r="J1074" s="14">
        <f t="shared" si="346"/>
        <v>-8.3519707226946779E-2</v>
      </c>
      <c r="K1074" s="22">
        <v>1071</v>
      </c>
      <c r="L1074" s="12"/>
      <c r="Q1074" s="15">
        <f t="shared" si="347"/>
        <v>1071</v>
      </c>
      <c r="R1074" s="2">
        <f t="shared" si="343"/>
        <v>45020</v>
      </c>
      <c r="S1074" s="9">
        <f t="shared" ca="1" si="348"/>
        <v>-2.7245477992681556E-2</v>
      </c>
      <c r="T1074" s="9">
        <f t="shared" ca="1" si="349"/>
        <v>-1.6991707329921071E-2</v>
      </c>
      <c r="U1074" s="9">
        <f t="shared" ca="1" si="350"/>
        <v>-8.3519707226946779E-2</v>
      </c>
      <c r="AB1074" s="33" t="e">
        <f t="shared" ca="1" si="356"/>
        <v>#N/A</v>
      </c>
      <c r="AC1074" s="34" t="e">
        <f t="shared" ca="1" si="357"/>
        <v>#N/A</v>
      </c>
      <c r="AD1074" s="34" t="e">
        <f t="shared" ca="1" si="358"/>
        <v>#N/A</v>
      </c>
      <c r="AE1074" s="33" t="e">
        <f t="shared" ca="1" si="359"/>
        <v>#N/A</v>
      </c>
      <c r="AF1074" s="34" t="e">
        <f t="shared" ca="1" si="351"/>
        <v>#N/A</v>
      </c>
      <c r="AG1074" s="34" t="e">
        <f t="shared" ca="1" si="352"/>
        <v>#N/A</v>
      </c>
      <c r="AH1074" s="34" t="e">
        <f t="shared" ca="1" si="353"/>
        <v>#N/A</v>
      </c>
      <c r="AI1074" s="33" t="e">
        <f t="shared" ca="1" si="360"/>
        <v>#N/A</v>
      </c>
      <c r="AJ1074" s="34" t="e">
        <f t="shared" ca="1" si="361"/>
        <v>#N/A</v>
      </c>
      <c r="AK1074" s="34" t="e">
        <f t="shared" ca="1" si="354"/>
        <v>#N/A</v>
      </c>
      <c r="AL1074" s="34" t="e">
        <f t="shared" ca="1" si="355"/>
        <v>#N/A</v>
      </c>
      <c r="AM1074" s="33" t="e">
        <f t="shared" ca="1" si="362"/>
        <v>#N/A</v>
      </c>
      <c r="AN1074" s="34" t="e">
        <f t="shared" ca="1" si="363"/>
        <v>#N/A</v>
      </c>
    </row>
    <row r="1075" spans="1:40" x14ac:dyDescent="0.3">
      <c r="A1075" s="2">
        <v>45021</v>
      </c>
      <c r="B1075" s="9">
        <v>75.040001000000004</v>
      </c>
      <c r="C1075" s="9">
        <v>113.839996</v>
      </c>
      <c r="D1075" s="9">
        <v>135.08999600000001</v>
      </c>
      <c r="E1075" s="10"/>
      <c r="F1075" s="13">
        <v>1072</v>
      </c>
      <c r="G1075" s="2">
        <v>45021</v>
      </c>
      <c r="H1075" s="14">
        <f t="shared" si="344"/>
        <v>-3.1998559234268698E-2</v>
      </c>
      <c r="I1075" s="14">
        <f t="shared" si="345"/>
        <v>-1.4822880363568823E-2</v>
      </c>
      <c r="J1075" s="14">
        <f t="shared" si="346"/>
        <v>5.8373999147512186E-2</v>
      </c>
      <c r="K1075" s="22">
        <v>1072</v>
      </c>
      <c r="L1075" s="12"/>
      <c r="Q1075" s="15">
        <f t="shared" si="347"/>
        <v>1072</v>
      </c>
      <c r="R1075" s="2">
        <f t="shared" si="343"/>
        <v>45021</v>
      </c>
      <c r="S1075" s="9">
        <f t="shared" ca="1" si="348"/>
        <v>-3.1998559234268698E-2</v>
      </c>
      <c r="T1075" s="9">
        <f t="shared" ca="1" si="349"/>
        <v>-1.4822880363568823E-2</v>
      </c>
      <c r="U1075" s="9">
        <f t="shared" ca="1" si="350"/>
        <v>5.8373999147512186E-2</v>
      </c>
      <c r="AB1075" s="33" t="e">
        <f t="shared" ca="1" si="356"/>
        <v>#N/A</v>
      </c>
      <c r="AC1075" s="34" t="e">
        <f t="shared" ca="1" si="357"/>
        <v>#N/A</v>
      </c>
      <c r="AD1075" s="34" t="e">
        <f t="shared" ca="1" si="358"/>
        <v>#N/A</v>
      </c>
      <c r="AE1075" s="33" t="e">
        <f t="shared" ca="1" si="359"/>
        <v>#N/A</v>
      </c>
      <c r="AF1075" s="34" t="e">
        <f t="shared" ca="1" si="351"/>
        <v>#N/A</v>
      </c>
      <c r="AG1075" s="34" t="e">
        <f t="shared" ca="1" si="352"/>
        <v>#N/A</v>
      </c>
      <c r="AH1075" s="34" t="e">
        <f t="shared" ca="1" si="353"/>
        <v>#N/A</v>
      </c>
      <c r="AI1075" s="33" t="e">
        <f t="shared" ca="1" si="360"/>
        <v>#N/A</v>
      </c>
      <c r="AJ1075" s="34" t="e">
        <f t="shared" ca="1" si="361"/>
        <v>#N/A</v>
      </c>
      <c r="AK1075" s="34" t="e">
        <f t="shared" ca="1" si="354"/>
        <v>#N/A</v>
      </c>
      <c r="AL1075" s="34" t="e">
        <f t="shared" ca="1" si="355"/>
        <v>#N/A</v>
      </c>
      <c r="AM1075" s="33" t="e">
        <f t="shared" ca="1" si="362"/>
        <v>#N/A</v>
      </c>
      <c r="AN1075" s="34" t="e">
        <f t="shared" ca="1" si="363"/>
        <v>#N/A</v>
      </c>
    </row>
    <row r="1076" spans="1:40" x14ac:dyDescent="0.3">
      <c r="A1076" s="2">
        <v>45022</v>
      </c>
      <c r="B1076" s="9">
        <v>74.010002</v>
      </c>
      <c r="C1076" s="9">
        <v>112.05999799999999</v>
      </c>
      <c r="D1076" s="9">
        <v>132.58999600000001</v>
      </c>
      <c r="E1076" s="10"/>
      <c r="F1076" s="13">
        <v>1073</v>
      </c>
      <c r="G1076" s="2">
        <v>45022</v>
      </c>
      <c r="H1076" s="14">
        <f t="shared" si="344"/>
        <v>-1.3821071791445377E-2</v>
      </c>
      <c r="I1076" s="14">
        <f t="shared" si="345"/>
        <v>-1.5759494355005309E-2</v>
      </c>
      <c r="J1076" s="14">
        <f t="shared" si="346"/>
        <v>-1.8679563413260551E-2</v>
      </c>
      <c r="K1076" s="22">
        <v>1073</v>
      </c>
      <c r="L1076" s="12"/>
      <c r="Q1076" s="15">
        <f t="shared" si="347"/>
        <v>1073</v>
      </c>
      <c r="R1076" s="2">
        <f t="shared" si="343"/>
        <v>45022</v>
      </c>
      <c r="S1076" s="9">
        <f t="shared" ca="1" si="348"/>
        <v>-1.3821071791445377E-2</v>
      </c>
      <c r="T1076" s="9">
        <f t="shared" ca="1" si="349"/>
        <v>-1.5759494355005309E-2</v>
      </c>
      <c r="U1076" s="9">
        <f t="shared" ca="1" si="350"/>
        <v>-1.8679563413260551E-2</v>
      </c>
      <c r="AB1076" s="33" t="e">
        <f t="shared" ca="1" si="356"/>
        <v>#N/A</v>
      </c>
      <c r="AC1076" s="34" t="e">
        <f t="shared" ca="1" si="357"/>
        <v>#N/A</v>
      </c>
      <c r="AD1076" s="34" t="e">
        <f t="shared" ca="1" si="358"/>
        <v>#N/A</v>
      </c>
      <c r="AE1076" s="33" t="e">
        <f t="shared" ca="1" si="359"/>
        <v>#N/A</v>
      </c>
      <c r="AF1076" s="34" t="e">
        <f t="shared" ca="1" si="351"/>
        <v>#N/A</v>
      </c>
      <c r="AG1076" s="34" t="e">
        <f t="shared" ca="1" si="352"/>
        <v>#N/A</v>
      </c>
      <c r="AH1076" s="34" t="e">
        <f t="shared" ca="1" si="353"/>
        <v>#N/A</v>
      </c>
      <c r="AI1076" s="33" t="e">
        <f t="shared" ca="1" si="360"/>
        <v>#N/A</v>
      </c>
      <c r="AJ1076" s="34" t="e">
        <f t="shared" ca="1" si="361"/>
        <v>#N/A</v>
      </c>
      <c r="AK1076" s="34" t="e">
        <f t="shared" ca="1" si="354"/>
        <v>#N/A</v>
      </c>
      <c r="AL1076" s="34" t="e">
        <f t="shared" ca="1" si="355"/>
        <v>#N/A</v>
      </c>
      <c r="AM1076" s="33" t="e">
        <f t="shared" ca="1" si="362"/>
        <v>#N/A</v>
      </c>
      <c r="AN1076" s="34" t="e">
        <f t="shared" ca="1" si="363"/>
        <v>#N/A</v>
      </c>
    </row>
    <row r="1077" spans="1:40" x14ac:dyDescent="0.3">
      <c r="A1077" s="2">
        <v>45026</v>
      </c>
      <c r="B1077" s="9">
        <v>74.959998999999996</v>
      </c>
      <c r="C1077" s="9">
        <v>116.910004</v>
      </c>
      <c r="D1077" s="9">
        <v>135.10000600000001</v>
      </c>
      <c r="E1077" s="10"/>
      <c r="F1077" s="13">
        <v>1074</v>
      </c>
      <c r="G1077" s="2">
        <v>45026</v>
      </c>
      <c r="H1077" s="14">
        <f t="shared" si="344"/>
        <v>1.2754378356968445E-2</v>
      </c>
      <c r="I1077" s="14">
        <f t="shared" si="345"/>
        <v>4.2370017943523214E-2</v>
      </c>
      <c r="J1077" s="14">
        <f t="shared" si="346"/>
        <v>1.8753659419259886E-2</v>
      </c>
      <c r="K1077" s="22">
        <v>1074</v>
      </c>
      <c r="L1077" s="12"/>
      <c r="Q1077" s="15">
        <f t="shared" si="347"/>
        <v>1074</v>
      </c>
      <c r="R1077" s="2">
        <f t="shared" si="343"/>
        <v>45026</v>
      </c>
      <c r="S1077" s="9">
        <f t="shared" ca="1" si="348"/>
        <v>1.2754378356968445E-2</v>
      </c>
      <c r="T1077" s="9">
        <f t="shared" ca="1" si="349"/>
        <v>4.2370017943523214E-2</v>
      </c>
      <c r="U1077" s="9">
        <f t="shared" ca="1" si="350"/>
        <v>1.8753659419259886E-2</v>
      </c>
      <c r="AB1077" s="33" t="e">
        <f t="shared" ca="1" si="356"/>
        <v>#N/A</v>
      </c>
      <c r="AC1077" s="34" t="e">
        <f t="shared" ca="1" si="357"/>
        <v>#N/A</v>
      </c>
      <c r="AD1077" s="34" t="e">
        <f t="shared" ca="1" si="358"/>
        <v>#N/A</v>
      </c>
      <c r="AE1077" s="33" t="e">
        <f t="shared" ca="1" si="359"/>
        <v>#N/A</v>
      </c>
      <c r="AF1077" s="34" t="e">
        <f t="shared" ca="1" si="351"/>
        <v>#N/A</v>
      </c>
      <c r="AG1077" s="34" t="e">
        <f t="shared" ca="1" si="352"/>
        <v>#N/A</v>
      </c>
      <c r="AH1077" s="34" t="e">
        <f t="shared" ca="1" si="353"/>
        <v>#N/A</v>
      </c>
      <c r="AI1077" s="33" t="e">
        <f t="shared" ca="1" si="360"/>
        <v>#N/A</v>
      </c>
      <c r="AJ1077" s="34" t="e">
        <f t="shared" ca="1" si="361"/>
        <v>#N/A</v>
      </c>
      <c r="AK1077" s="34" t="e">
        <f t="shared" ca="1" si="354"/>
        <v>#N/A</v>
      </c>
      <c r="AL1077" s="34" t="e">
        <f t="shared" ca="1" si="355"/>
        <v>#N/A</v>
      </c>
      <c r="AM1077" s="33" t="e">
        <f t="shared" ca="1" si="362"/>
        <v>#N/A</v>
      </c>
      <c r="AN1077" s="34" t="e">
        <f t="shared" ca="1" si="363"/>
        <v>#N/A</v>
      </c>
    </row>
    <row r="1078" spans="1:40" x14ac:dyDescent="0.3">
      <c r="A1078" s="2">
        <v>45027</v>
      </c>
      <c r="B1078" s="9">
        <v>75.510002</v>
      </c>
      <c r="C1078" s="9">
        <v>120.41999800000001</v>
      </c>
      <c r="D1078" s="9">
        <v>136.71000699999999</v>
      </c>
      <c r="E1078" s="10"/>
      <c r="F1078" s="13">
        <v>1075</v>
      </c>
      <c r="G1078" s="2">
        <v>45027</v>
      </c>
      <c r="H1078" s="14">
        <f t="shared" si="344"/>
        <v>7.3104997121734979E-3</v>
      </c>
      <c r="I1078" s="14">
        <f t="shared" si="345"/>
        <v>2.9581173194684993E-2</v>
      </c>
      <c r="J1078" s="14">
        <f t="shared" si="346"/>
        <v>1.1846655769477287E-2</v>
      </c>
      <c r="K1078" s="22">
        <v>1075</v>
      </c>
      <c r="L1078" s="12"/>
      <c r="Q1078" s="15">
        <f t="shared" si="347"/>
        <v>1075</v>
      </c>
      <c r="R1078" s="2">
        <f t="shared" si="343"/>
        <v>45027</v>
      </c>
      <c r="S1078" s="9">
        <f t="shared" ca="1" si="348"/>
        <v>7.3104997121734979E-3</v>
      </c>
      <c r="T1078" s="9">
        <f t="shared" ca="1" si="349"/>
        <v>2.9581173194684993E-2</v>
      </c>
      <c r="U1078" s="9">
        <f t="shared" ca="1" si="350"/>
        <v>1.1846655769477287E-2</v>
      </c>
      <c r="AB1078" s="33" t="e">
        <f t="shared" ca="1" si="356"/>
        <v>#N/A</v>
      </c>
      <c r="AC1078" s="34" t="e">
        <f t="shared" ca="1" si="357"/>
        <v>#N/A</v>
      </c>
      <c r="AD1078" s="34" t="e">
        <f t="shared" ca="1" si="358"/>
        <v>#N/A</v>
      </c>
      <c r="AE1078" s="33" t="e">
        <f t="shared" ca="1" si="359"/>
        <v>#N/A</v>
      </c>
      <c r="AF1078" s="34" t="e">
        <f t="shared" ca="1" si="351"/>
        <v>#N/A</v>
      </c>
      <c r="AG1078" s="34" t="e">
        <f t="shared" ca="1" si="352"/>
        <v>#N/A</v>
      </c>
      <c r="AH1078" s="34" t="e">
        <f t="shared" ca="1" si="353"/>
        <v>#N/A</v>
      </c>
      <c r="AI1078" s="33" t="e">
        <f t="shared" ca="1" si="360"/>
        <v>#N/A</v>
      </c>
      <c r="AJ1078" s="34" t="e">
        <f t="shared" ca="1" si="361"/>
        <v>#N/A</v>
      </c>
      <c r="AK1078" s="34" t="e">
        <f t="shared" ca="1" si="354"/>
        <v>#N/A</v>
      </c>
      <c r="AL1078" s="34" t="e">
        <f t="shared" ca="1" si="355"/>
        <v>#N/A</v>
      </c>
      <c r="AM1078" s="33" t="e">
        <f t="shared" ca="1" si="362"/>
        <v>#N/A</v>
      </c>
      <c r="AN1078" s="34" t="e">
        <f t="shared" ca="1" si="363"/>
        <v>#N/A</v>
      </c>
    </row>
    <row r="1079" spans="1:40" x14ac:dyDescent="0.3">
      <c r="A1079" s="2">
        <v>45028</v>
      </c>
      <c r="B1079" s="9">
        <v>73.940002000000007</v>
      </c>
      <c r="C1079" s="9">
        <v>118.25</v>
      </c>
      <c r="D1079" s="9">
        <v>133.720001</v>
      </c>
      <c r="E1079" s="10"/>
      <c r="F1079" s="13">
        <v>1076</v>
      </c>
      <c r="G1079" s="2">
        <v>45028</v>
      </c>
      <c r="H1079" s="14">
        <f t="shared" si="344"/>
        <v>-2.1011143744447708E-2</v>
      </c>
      <c r="I1079" s="14">
        <f t="shared" si="345"/>
        <v>-1.8184588055722584E-2</v>
      </c>
      <c r="J1079" s="14">
        <f t="shared" si="346"/>
        <v>-2.2113876116965813E-2</v>
      </c>
      <c r="K1079" s="22">
        <v>1076</v>
      </c>
      <c r="L1079" s="12"/>
      <c r="Q1079" s="15">
        <f t="shared" si="347"/>
        <v>1076</v>
      </c>
      <c r="R1079" s="2">
        <f t="shared" si="343"/>
        <v>45028</v>
      </c>
      <c r="S1079" s="9">
        <f t="shared" ca="1" si="348"/>
        <v>-2.1011143744447708E-2</v>
      </c>
      <c r="T1079" s="9">
        <f t="shared" ca="1" si="349"/>
        <v>-1.8184588055722584E-2</v>
      </c>
      <c r="U1079" s="9">
        <f t="shared" ca="1" si="350"/>
        <v>-2.2113876116965813E-2</v>
      </c>
      <c r="AB1079" s="33" t="e">
        <f t="shared" ca="1" si="356"/>
        <v>#N/A</v>
      </c>
      <c r="AC1079" s="34" t="e">
        <f t="shared" ca="1" si="357"/>
        <v>#N/A</v>
      </c>
      <c r="AD1079" s="34" t="e">
        <f t="shared" ca="1" si="358"/>
        <v>#N/A</v>
      </c>
      <c r="AE1079" s="33" t="e">
        <f t="shared" ca="1" si="359"/>
        <v>#N/A</v>
      </c>
      <c r="AF1079" s="34" t="e">
        <f t="shared" ca="1" si="351"/>
        <v>#N/A</v>
      </c>
      <c r="AG1079" s="34" t="e">
        <f t="shared" ca="1" si="352"/>
        <v>#N/A</v>
      </c>
      <c r="AH1079" s="34" t="e">
        <f t="shared" ca="1" si="353"/>
        <v>#N/A</v>
      </c>
      <c r="AI1079" s="33" t="e">
        <f t="shared" ca="1" si="360"/>
        <v>#N/A</v>
      </c>
      <c r="AJ1079" s="34" t="e">
        <f t="shared" ca="1" si="361"/>
        <v>#N/A</v>
      </c>
      <c r="AK1079" s="34" t="e">
        <f t="shared" ca="1" si="354"/>
        <v>#N/A</v>
      </c>
      <c r="AL1079" s="34" t="e">
        <f t="shared" ca="1" si="355"/>
        <v>#N/A</v>
      </c>
      <c r="AM1079" s="33" t="e">
        <f t="shared" ca="1" si="362"/>
        <v>#N/A</v>
      </c>
      <c r="AN1079" s="34" t="e">
        <f t="shared" ca="1" si="363"/>
        <v>#N/A</v>
      </c>
    </row>
    <row r="1080" spans="1:40" x14ac:dyDescent="0.3">
      <c r="A1080" s="2">
        <v>45029</v>
      </c>
      <c r="B1080" s="9">
        <v>75.550003000000004</v>
      </c>
      <c r="C1080" s="9">
        <v>119.980003</v>
      </c>
      <c r="D1080" s="9">
        <v>133.13000500000001</v>
      </c>
      <c r="E1080" s="10"/>
      <c r="F1080" s="13">
        <v>1077</v>
      </c>
      <c r="G1080" s="2">
        <v>45029</v>
      </c>
      <c r="H1080" s="14">
        <f t="shared" si="344"/>
        <v>2.1540747870105813E-2</v>
      </c>
      <c r="I1080" s="14">
        <f t="shared" si="345"/>
        <v>1.4524059857071633E-2</v>
      </c>
      <c r="J1080" s="14">
        <f t="shared" si="346"/>
        <v>-4.4219370291106877E-3</v>
      </c>
      <c r="K1080" s="22">
        <v>1077</v>
      </c>
      <c r="L1080" s="12"/>
      <c r="Q1080" s="15">
        <f t="shared" si="347"/>
        <v>1077</v>
      </c>
      <c r="R1080" s="2">
        <f t="shared" si="343"/>
        <v>45029</v>
      </c>
      <c r="S1080" s="9">
        <f t="shared" ca="1" si="348"/>
        <v>2.1540747870105813E-2</v>
      </c>
      <c r="T1080" s="9">
        <f t="shared" ca="1" si="349"/>
        <v>1.4524059857071633E-2</v>
      </c>
      <c r="U1080" s="9">
        <f t="shared" ca="1" si="350"/>
        <v>-4.4219370291106877E-3</v>
      </c>
      <c r="AB1080" s="33" t="e">
        <f t="shared" ca="1" si="356"/>
        <v>#N/A</v>
      </c>
      <c r="AC1080" s="34" t="e">
        <f t="shared" ca="1" si="357"/>
        <v>#N/A</v>
      </c>
      <c r="AD1080" s="34" t="e">
        <f t="shared" ca="1" si="358"/>
        <v>#N/A</v>
      </c>
      <c r="AE1080" s="33" t="e">
        <f t="shared" ca="1" si="359"/>
        <v>#N/A</v>
      </c>
      <c r="AF1080" s="34" t="e">
        <f t="shared" ca="1" si="351"/>
        <v>#N/A</v>
      </c>
      <c r="AG1080" s="34" t="e">
        <f t="shared" ca="1" si="352"/>
        <v>#N/A</v>
      </c>
      <c r="AH1080" s="34" t="e">
        <f t="shared" ca="1" si="353"/>
        <v>#N/A</v>
      </c>
      <c r="AI1080" s="33" t="e">
        <f t="shared" ca="1" si="360"/>
        <v>#N/A</v>
      </c>
      <c r="AJ1080" s="34" t="e">
        <f t="shared" ca="1" si="361"/>
        <v>#N/A</v>
      </c>
      <c r="AK1080" s="34" t="e">
        <f t="shared" ca="1" si="354"/>
        <v>#N/A</v>
      </c>
      <c r="AL1080" s="34" t="e">
        <f t="shared" ca="1" si="355"/>
        <v>#N/A</v>
      </c>
      <c r="AM1080" s="33" t="e">
        <f t="shared" ca="1" si="362"/>
        <v>#N/A</v>
      </c>
      <c r="AN1080" s="34" t="e">
        <f t="shared" ca="1" si="363"/>
        <v>#N/A</v>
      </c>
    </row>
    <row r="1081" spans="1:40" x14ac:dyDescent="0.3">
      <c r="A1081" s="2">
        <v>45030</v>
      </c>
      <c r="B1081" s="9">
        <v>75.319999999999993</v>
      </c>
      <c r="C1081" s="9">
        <v>120.07</v>
      </c>
      <c r="D1081" s="9">
        <v>131.86000100000001</v>
      </c>
      <c r="E1081" s="10"/>
      <c r="F1081" s="13">
        <v>1078</v>
      </c>
      <c r="G1081" s="2">
        <v>45030</v>
      </c>
      <c r="H1081" s="14">
        <f t="shared" si="344"/>
        <v>-3.0490246385983522E-3</v>
      </c>
      <c r="I1081" s="14">
        <f t="shared" si="345"/>
        <v>7.4981881351248066E-4</v>
      </c>
      <c r="J1081" s="14">
        <f t="shared" si="346"/>
        <v>-9.5853707321453593E-3</v>
      </c>
      <c r="K1081" s="22">
        <v>1078</v>
      </c>
      <c r="L1081" s="12"/>
      <c r="Q1081" s="15">
        <f t="shared" si="347"/>
        <v>1078</v>
      </c>
      <c r="R1081" s="2">
        <f t="shared" si="343"/>
        <v>45030</v>
      </c>
      <c r="S1081" s="9">
        <f t="shared" ca="1" si="348"/>
        <v>-3.0490246385983522E-3</v>
      </c>
      <c r="T1081" s="9">
        <f t="shared" ca="1" si="349"/>
        <v>7.4981881351248066E-4</v>
      </c>
      <c r="U1081" s="9">
        <f t="shared" ca="1" si="350"/>
        <v>-9.5853707321453593E-3</v>
      </c>
      <c r="AB1081" s="33" t="e">
        <f t="shared" ca="1" si="356"/>
        <v>#N/A</v>
      </c>
      <c r="AC1081" s="34" t="e">
        <f t="shared" ca="1" si="357"/>
        <v>#N/A</v>
      </c>
      <c r="AD1081" s="34" t="e">
        <f t="shared" ca="1" si="358"/>
        <v>#N/A</v>
      </c>
      <c r="AE1081" s="33" t="e">
        <f t="shared" ca="1" si="359"/>
        <v>#N/A</v>
      </c>
      <c r="AF1081" s="34" t="e">
        <f t="shared" ca="1" si="351"/>
        <v>#N/A</v>
      </c>
      <c r="AG1081" s="34" t="e">
        <f t="shared" ca="1" si="352"/>
        <v>#N/A</v>
      </c>
      <c r="AH1081" s="34" t="e">
        <f t="shared" ca="1" si="353"/>
        <v>#N/A</v>
      </c>
      <c r="AI1081" s="33" t="e">
        <f t="shared" ca="1" si="360"/>
        <v>#N/A</v>
      </c>
      <c r="AJ1081" s="34" t="e">
        <f t="shared" ca="1" si="361"/>
        <v>#N/A</v>
      </c>
      <c r="AK1081" s="34" t="e">
        <f t="shared" ca="1" si="354"/>
        <v>#N/A</v>
      </c>
      <c r="AL1081" s="34" t="e">
        <f t="shared" ca="1" si="355"/>
        <v>#N/A</v>
      </c>
      <c r="AM1081" s="33" t="e">
        <f t="shared" ca="1" si="362"/>
        <v>#N/A</v>
      </c>
      <c r="AN1081" s="34" t="e">
        <f t="shared" ca="1" si="363"/>
        <v>#N/A</v>
      </c>
    </row>
    <row r="1082" spans="1:40" x14ac:dyDescent="0.3">
      <c r="A1082" s="2">
        <v>45033</v>
      </c>
      <c r="B1082" s="9">
        <v>76.180000000000007</v>
      </c>
      <c r="C1082" s="9">
        <v>118.040001</v>
      </c>
      <c r="D1082" s="9">
        <v>128.300003</v>
      </c>
      <c r="E1082" s="10"/>
      <c r="F1082" s="13">
        <v>1079</v>
      </c>
      <c r="G1082" s="2">
        <v>45033</v>
      </c>
      <c r="H1082" s="14">
        <f t="shared" si="344"/>
        <v>1.135325726150649E-2</v>
      </c>
      <c r="I1082" s="14">
        <f t="shared" si="345"/>
        <v>-1.7051347496183443E-2</v>
      </c>
      <c r="J1082" s="14">
        <f t="shared" si="346"/>
        <v>-2.7369466264667394E-2</v>
      </c>
      <c r="K1082" s="22">
        <v>1079</v>
      </c>
      <c r="L1082" s="12"/>
      <c r="Q1082" s="15">
        <f t="shared" si="347"/>
        <v>1079</v>
      </c>
      <c r="R1082" s="2">
        <f t="shared" si="343"/>
        <v>45033</v>
      </c>
      <c r="S1082" s="9">
        <f t="shared" ca="1" si="348"/>
        <v>1.135325726150649E-2</v>
      </c>
      <c r="T1082" s="9">
        <f t="shared" ca="1" si="349"/>
        <v>-1.7051347496183443E-2</v>
      </c>
      <c r="U1082" s="9">
        <f t="shared" ca="1" si="350"/>
        <v>-2.7369466264667394E-2</v>
      </c>
      <c r="AB1082" s="33" t="e">
        <f t="shared" ca="1" si="356"/>
        <v>#N/A</v>
      </c>
      <c r="AC1082" s="34" t="e">
        <f t="shared" ca="1" si="357"/>
        <v>#N/A</v>
      </c>
      <c r="AD1082" s="34" t="e">
        <f t="shared" ca="1" si="358"/>
        <v>#N/A</v>
      </c>
      <c r="AE1082" s="33" t="e">
        <f t="shared" ca="1" si="359"/>
        <v>#N/A</v>
      </c>
      <c r="AF1082" s="34" t="e">
        <f t="shared" ca="1" si="351"/>
        <v>#N/A</v>
      </c>
      <c r="AG1082" s="34" t="e">
        <f t="shared" ca="1" si="352"/>
        <v>#N/A</v>
      </c>
      <c r="AH1082" s="34" t="e">
        <f t="shared" ca="1" si="353"/>
        <v>#N/A</v>
      </c>
      <c r="AI1082" s="33" t="e">
        <f t="shared" ca="1" si="360"/>
        <v>#N/A</v>
      </c>
      <c r="AJ1082" s="34" t="e">
        <f t="shared" ca="1" si="361"/>
        <v>#N/A</v>
      </c>
      <c r="AK1082" s="34" t="e">
        <f t="shared" ca="1" si="354"/>
        <v>#N/A</v>
      </c>
      <c r="AL1082" s="34" t="e">
        <f t="shared" ca="1" si="355"/>
        <v>#N/A</v>
      </c>
      <c r="AM1082" s="33" t="e">
        <f t="shared" ca="1" si="362"/>
        <v>#N/A</v>
      </c>
      <c r="AN1082" s="34" t="e">
        <f t="shared" ca="1" si="363"/>
        <v>#N/A</v>
      </c>
    </row>
    <row r="1083" spans="1:40" x14ac:dyDescent="0.3">
      <c r="A1083" s="2">
        <v>45034</v>
      </c>
      <c r="B1083" s="9">
        <v>75.660004000000001</v>
      </c>
      <c r="C1083" s="9">
        <v>117.360001</v>
      </c>
      <c r="D1083" s="9">
        <v>127.110001</v>
      </c>
      <c r="E1083" s="10"/>
      <c r="F1083" s="13">
        <v>1080</v>
      </c>
      <c r="G1083" s="2">
        <v>45034</v>
      </c>
      <c r="H1083" s="14">
        <f t="shared" si="344"/>
        <v>-6.8492889774821354E-3</v>
      </c>
      <c r="I1083" s="14">
        <f t="shared" si="345"/>
        <v>-5.777416190926225E-3</v>
      </c>
      <c r="J1083" s="14">
        <f t="shared" si="346"/>
        <v>-9.3184338305081511E-3</v>
      </c>
      <c r="K1083" s="22">
        <v>1080</v>
      </c>
      <c r="L1083" s="12"/>
      <c r="Q1083" s="15">
        <f t="shared" si="347"/>
        <v>1080</v>
      </c>
      <c r="R1083" s="2">
        <f t="shared" si="343"/>
        <v>45034</v>
      </c>
      <c r="S1083" s="9">
        <f t="shared" ca="1" si="348"/>
        <v>-6.8492889774821354E-3</v>
      </c>
      <c r="T1083" s="9">
        <f t="shared" ca="1" si="349"/>
        <v>-5.777416190926225E-3</v>
      </c>
      <c r="U1083" s="9">
        <f t="shared" ca="1" si="350"/>
        <v>-9.3184338305081511E-3</v>
      </c>
      <c r="AB1083" s="33" t="e">
        <f t="shared" ca="1" si="356"/>
        <v>#N/A</v>
      </c>
      <c r="AC1083" s="34" t="e">
        <f t="shared" ca="1" si="357"/>
        <v>#N/A</v>
      </c>
      <c r="AD1083" s="34" t="e">
        <f t="shared" ca="1" si="358"/>
        <v>#N/A</v>
      </c>
      <c r="AE1083" s="33" t="e">
        <f t="shared" ca="1" si="359"/>
        <v>#N/A</v>
      </c>
      <c r="AF1083" s="34" t="e">
        <f t="shared" ca="1" si="351"/>
        <v>#N/A</v>
      </c>
      <c r="AG1083" s="34" t="e">
        <f t="shared" ca="1" si="352"/>
        <v>#N/A</v>
      </c>
      <c r="AH1083" s="34" t="e">
        <f t="shared" ca="1" si="353"/>
        <v>#N/A</v>
      </c>
      <c r="AI1083" s="33" t="e">
        <f t="shared" ca="1" si="360"/>
        <v>#N/A</v>
      </c>
      <c r="AJ1083" s="34" t="e">
        <f t="shared" ca="1" si="361"/>
        <v>#N/A</v>
      </c>
      <c r="AK1083" s="34" t="e">
        <f t="shared" ca="1" si="354"/>
        <v>#N/A</v>
      </c>
      <c r="AL1083" s="34" t="e">
        <f t="shared" ca="1" si="355"/>
        <v>#N/A</v>
      </c>
      <c r="AM1083" s="33" t="e">
        <f t="shared" ca="1" si="362"/>
        <v>#N/A</v>
      </c>
      <c r="AN1083" s="34" t="e">
        <f t="shared" ca="1" si="363"/>
        <v>#N/A</v>
      </c>
    </row>
    <row r="1084" spans="1:40" x14ac:dyDescent="0.3">
      <c r="A1084" s="2">
        <v>45035</v>
      </c>
      <c r="B1084" s="9">
        <v>75.550003000000004</v>
      </c>
      <c r="C1084" s="9">
        <v>116.91999800000001</v>
      </c>
      <c r="D1084" s="9">
        <v>124.400002</v>
      </c>
      <c r="E1084" s="10"/>
      <c r="F1084" s="13">
        <v>1081</v>
      </c>
      <c r="G1084" s="2">
        <v>45035</v>
      </c>
      <c r="H1084" s="14">
        <f t="shared" si="344"/>
        <v>-1.4549436454259234E-3</v>
      </c>
      <c r="I1084" s="14">
        <f t="shared" si="345"/>
        <v>-3.7562192181851898E-3</v>
      </c>
      <c r="J1084" s="14">
        <f t="shared" si="346"/>
        <v>-2.1550664791529724E-2</v>
      </c>
      <c r="K1084" s="22">
        <v>1081</v>
      </c>
      <c r="L1084" s="12"/>
      <c r="Q1084" s="15">
        <f t="shared" si="347"/>
        <v>1081</v>
      </c>
      <c r="R1084" s="2">
        <f t="shared" si="343"/>
        <v>45035</v>
      </c>
      <c r="S1084" s="9">
        <f t="shared" ca="1" si="348"/>
        <v>-1.4549436454259234E-3</v>
      </c>
      <c r="T1084" s="9">
        <f t="shared" ca="1" si="349"/>
        <v>-3.7562192181851898E-3</v>
      </c>
      <c r="U1084" s="9">
        <f t="shared" ca="1" si="350"/>
        <v>-2.1550664791529724E-2</v>
      </c>
      <c r="AB1084" s="33" t="e">
        <f t="shared" ca="1" si="356"/>
        <v>#N/A</v>
      </c>
      <c r="AC1084" s="34" t="e">
        <f t="shared" ca="1" si="357"/>
        <v>#N/A</v>
      </c>
      <c r="AD1084" s="34" t="e">
        <f t="shared" ca="1" si="358"/>
        <v>#N/A</v>
      </c>
      <c r="AE1084" s="33" t="e">
        <f t="shared" ca="1" si="359"/>
        <v>#N/A</v>
      </c>
      <c r="AF1084" s="34" t="e">
        <f t="shared" ca="1" si="351"/>
        <v>#N/A</v>
      </c>
      <c r="AG1084" s="34" t="e">
        <f t="shared" ca="1" si="352"/>
        <v>#N/A</v>
      </c>
      <c r="AH1084" s="34" t="e">
        <f t="shared" ca="1" si="353"/>
        <v>#N/A</v>
      </c>
      <c r="AI1084" s="33" t="e">
        <f t="shared" ca="1" si="360"/>
        <v>#N/A</v>
      </c>
      <c r="AJ1084" s="34" t="e">
        <f t="shared" ca="1" si="361"/>
        <v>#N/A</v>
      </c>
      <c r="AK1084" s="34" t="e">
        <f t="shared" ca="1" si="354"/>
        <v>#N/A</v>
      </c>
      <c r="AL1084" s="34" t="e">
        <f t="shared" ca="1" si="355"/>
        <v>#N/A</v>
      </c>
      <c r="AM1084" s="33" t="e">
        <f t="shared" ca="1" si="362"/>
        <v>#N/A</v>
      </c>
      <c r="AN1084" s="34" t="e">
        <f t="shared" ca="1" si="363"/>
        <v>#N/A</v>
      </c>
    </row>
    <row r="1085" spans="1:40" x14ac:dyDescent="0.3">
      <c r="A1085" s="2">
        <v>45036</v>
      </c>
      <c r="B1085" s="9">
        <v>74.660004000000001</v>
      </c>
      <c r="C1085" s="9">
        <v>115.769997</v>
      </c>
      <c r="D1085" s="9">
        <v>122.949997</v>
      </c>
      <c r="E1085" s="10"/>
      <c r="F1085" s="13">
        <v>1082</v>
      </c>
      <c r="G1085" s="2">
        <v>45036</v>
      </c>
      <c r="H1085" s="14">
        <f t="shared" si="344"/>
        <v>-1.1850201364901412E-2</v>
      </c>
      <c r="I1085" s="14">
        <f t="shared" si="345"/>
        <v>-9.8844848331440648E-3</v>
      </c>
      <c r="J1085" s="14">
        <f t="shared" si="346"/>
        <v>-1.1724452120210765E-2</v>
      </c>
      <c r="K1085" s="22">
        <v>1082</v>
      </c>
      <c r="L1085" s="12"/>
      <c r="Q1085" s="15">
        <f t="shared" si="347"/>
        <v>1082</v>
      </c>
      <c r="R1085" s="2">
        <f t="shared" si="343"/>
        <v>45036</v>
      </c>
      <c r="S1085" s="9">
        <f t="shared" ca="1" si="348"/>
        <v>-1.1850201364901412E-2</v>
      </c>
      <c r="T1085" s="9">
        <f t="shared" ca="1" si="349"/>
        <v>-9.8844848331440648E-3</v>
      </c>
      <c r="U1085" s="9">
        <f t="shared" ca="1" si="350"/>
        <v>-1.1724452120210765E-2</v>
      </c>
      <c r="AB1085" s="33" t="e">
        <f t="shared" ca="1" si="356"/>
        <v>#N/A</v>
      </c>
      <c r="AC1085" s="34" t="e">
        <f t="shared" ca="1" si="357"/>
        <v>#N/A</v>
      </c>
      <c r="AD1085" s="34" t="e">
        <f t="shared" ca="1" si="358"/>
        <v>#N/A</v>
      </c>
      <c r="AE1085" s="33" t="e">
        <f t="shared" ca="1" si="359"/>
        <v>#N/A</v>
      </c>
      <c r="AF1085" s="34" t="e">
        <f t="shared" ca="1" si="351"/>
        <v>#N/A</v>
      </c>
      <c r="AG1085" s="34" t="e">
        <f t="shared" ca="1" si="352"/>
        <v>#N/A</v>
      </c>
      <c r="AH1085" s="34" t="e">
        <f t="shared" ca="1" si="353"/>
        <v>#N/A</v>
      </c>
      <c r="AI1085" s="33" t="e">
        <f t="shared" ca="1" si="360"/>
        <v>#N/A</v>
      </c>
      <c r="AJ1085" s="34" t="e">
        <f t="shared" ca="1" si="361"/>
        <v>#N/A</v>
      </c>
      <c r="AK1085" s="34" t="e">
        <f t="shared" ca="1" si="354"/>
        <v>#N/A</v>
      </c>
      <c r="AL1085" s="34" t="e">
        <f t="shared" ca="1" si="355"/>
        <v>#N/A</v>
      </c>
      <c r="AM1085" s="33" t="e">
        <f t="shared" ca="1" si="362"/>
        <v>#N/A</v>
      </c>
      <c r="AN1085" s="34" t="e">
        <f t="shared" ca="1" si="363"/>
        <v>#N/A</v>
      </c>
    </row>
    <row r="1086" spans="1:40" x14ac:dyDescent="0.3">
      <c r="A1086" s="2">
        <v>45037</v>
      </c>
      <c r="B1086" s="9">
        <v>73.300003000000004</v>
      </c>
      <c r="C1086" s="9">
        <v>115.110001</v>
      </c>
      <c r="D1086" s="9">
        <v>119.629997</v>
      </c>
      <c r="E1086" s="10"/>
      <c r="F1086" s="13">
        <v>1083</v>
      </c>
      <c r="G1086" s="2">
        <v>45037</v>
      </c>
      <c r="H1086" s="14">
        <f t="shared" si="344"/>
        <v>-1.8383877242349092E-2</v>
      </c>
      <c r="I1086" s="14">
        <f t="shared" si="345"/>
        <v>-5.7172366898745261E-3</v>
      </c>
      <c r="J1086" s="14">
        <f t="shared" si="346"/>
        <v>-2.7374123156547806E-2</v>
      </c>
      <c r="K1086" s="22">
        <v>1083</v>
      </c>
      <c r="L1086" s="12"/>
      <c r="Q1086" s="15">
        <f t="shared" si="347"/>
        <v>1083</v>
      </c>
      <c r="R1086" s="2">
        <f t="shared" si="343"/>
        <v>45037</v>
      </c>
      <c r="S1086" s="9">
        <f t="shared" ca="1" si="348"/>
        <v>-1.8383877242349092E-2</v>
      </c>
      <c r="T1086" s="9">
        <f t="shared" ca="1" si="349"/>
        <v>-5.7172366898745261E-3</v>
      </c>
      <c r="U1086" s="9">
        <f t="shared" ca="1" si="350"/>
        <v>-2.7374123156547806E-2</v>
      </c>
      <c r="AB1086" s="33" t="e">
        <f t="shared" ca="1" si="356"/>
        <v>#N/A</v>
      </c>
      <c r="AC1086" s="34" t="e">
        <f t="shared" ca="1" si="357"/>
        <v>#N/A</v>
      </c>
      <c r="AD1086" s="34" t="e">
        <f t="shared" ca="1" si="358"/>
        <v>#N/A</v>
      </c>
      <c r="AE1086" s="33" t="e">
        <f t="shared" ca="1" si="359"/>
        <v>#N/A</v>
      </c>
      <c r="AF1086" s="34" t="e">
        <f t="shared" ca="1" si="351"/>
        <v>#N/A</v>
      </c>
      <c r="AG1086" s="34" t="e">
        <f t="shared" ca="1" si="352"/>
        <v>#N/A</v>
      </c>
      <c r="AH1086" s="34" t="e">
        <f t="shared" ca="1" si="353"/>
        <v>#N/A</v>
      </c>
      <c r="AI1086" s="33" t="e">
        <f t="shared" ca="1" si="360"/>
        <v>#N/A</v>
      </c>
      <c r="AJ1086" s="34" t="e">
        <f t="shared" ca="1" si="361"/>
        <v>#N/A</v>
      </c>
      <c r="AK1086" s="34" t="e">
        <f t="shared" ca="1" si="354"/>
        <v>#N/A</v>
      </c>
      <c r="AL1086" s="34" t="e">
        <f t="shared" ca="1" si="355"/>
        <v>#N/A</v>
      </c>
      <c r="AM1086" s="33" t="e">
        <f t="shared" ca="1" si="362"/>
        <v>#N/A</v>
      </c>
      <c r="AN1086" s="34" t="e">
        <f t="shared" ca="1" si="363"/>
        <v>#N/A</v>
      </c>
    </row>
    <row r="1087" spans="1:40" x14ac:dyDescent="0.3">
      <c r="A1087" s="2">
        <v>45040</v>
      </c>
      <c r="B1087" s="9">
        <v>72.860000999999997</v>
      </c>
      <c r="C1087" s="9">
        <v>116.129997</v>
      </c>
      <c r="D1087" s="9">
        <v>120</v>
      </c>
      <c r="E1087" s="10"/>
      <c r="F1087" s="13">
        <v>1084</v>
      </c>
      <c r="G1087" s="2">
        <v>45040</v>
      </c>
      <c r="H1087" s="14">
        <f t="shared" si="344"/>
        <v>-6.0208445149298184E-3</v>
      </c>
      <c r="I1087" s="14">
        <f t="shared" si="345"/>
        <v>8.8220258102348782E-3</v>
      </c>
      <c r="J1087" s="14">
        <f t="shared" si="346"/>
        <v>3.0881216765552433E-3</v>
      </c>
      <c r="K1087" s="22">
        <v>1084</v>
      </c>
      <c r="L1087" s="12"/>
      <c r="Q1087" s="15">
        <f t="shared" si="347"/>
        <v>1084</v>
      </c>
      <c r="R1087" s="2">
        <f t="shared" si="343"/>
        <v>45040</v>
      </c>
      <c r="S1087" s="9">
        <f t="shared" ca="1" si="348"/>
        <v>-6.0208445149298184E-3</v>
      </c>
      <c r="T1087" s="9">
        <f t="shared" ca="1" si="349"/>
        <v>8.8220258102348782E-3</v>
      </c>
      <c r="U1087" s="9">
        <f t="shared" ca="1" si="350"/>
        <v>3.0881216765552433E-3</v>
      </c>
      <c r="AB1087" s="33" t="e">
        <f t="shared" ca="1" si="356"/>
        <v>#N/A</v>
      </c>
      <c r="AC1087" s="34" t="e">
        <f t="shared" ca="1" si="357"/>
        <v>#N/A</v>
      </c>
      <c r="AD1087" s="34" t="e">
        <f t="shared" ca="1" si="358"/>
        <v>#N/A</v>
      </c>
      <c r="AE1087" s="33" t="e">
        <f t="shared" ca="1" si="359"/>
        <v>#N/A</v>
      </c>
      <c r="AF1087" s="34" t="e">
        <f t="shared" ca="1" si="351"/>
        <v>#N/A</v>
      </c>
      <c r="AG1087" s="34" t="e">
        <f t="shared" ca="1" si="352"/>
        <v>#N/A</v>
      </c>
      <c r="AH1087" s="34" t="e">
        <f t="shared" ca="1" si="353"/>
        <v>#N/A</v>
      </c>
      <c r="AI1087" s="33" t="e">
        <f t="shared" ca="1" si="360"/>
        <v>#N/A</v>
      </c>
      <c r="AJ1087" s="34" t="e">
        <f t="shared" ca="1" si="361"/>
        <v>#N/A</v>
      </c>
      <c r="AK1087" s="34" t="e">
        <f t="shared" ca="1" si="354"/>
        <v>#N/A</v>
      </c>
      <c r="AL1087" s="34" t="e">
        <f t="shared" ca="1" si="355"/>
        <v>#N/A</v>
      </c>
      <c r="AM1087" s="33" t="e">
        <f t="shared" ca="1" si="362"/>
        <v>#N/A</v>
      </c>
      <c r="AN1087" s="34" t="e">
        <f t="shared" ca="1" si="363"/>
        <v>#N/A</v>
      </c>
    </row>
    <row r="1088" spans="1:40" x14ac:dyDescent="0.3">
      <c r="A1088" s="2">
        <v>45041</v>
      </c>
      <c r="B1088" s="9">
        <v>71.699996999999996</v>
      </c>
      <c r="C1088" s="9">
        <v>112.43</v>
      </c>
      <c r="D1088" s="9">
        <v>117.849998</v>
      </c>
      <c r="E1088" s="10"/>
      <c r="F1088" s="13">
        <v>1085</v>
      </c>
      <c r="G1088" s="2">
        <v>45041</v>
      </c>
      <c r="H1088" s="14">
        <f t="shared" si="344"/>
        <v>-1.6049099540799985E-2</v>
      </c>
      <c r="I1088" s="14">
        <f t="shared" si="345"/>
        <v>-3.2379421662879729E-2</v>
      </c>
      <c r="J1088" s="14">
        <f t="shared" si="346"/>
        <v>-1.8079130370631476E-2</v>
      </c>
      <c r="K1088" s="22">
        <v>1085</v>
      </c>
      <c r="L1088" s="12"/>
      <c r="Q1088" s="15">
        <f t="shared" si="347"/>
        <v>1085</v>
      </c>
      <c r="R1088" s="2">
        <f t="shared" si="343"/>
        <v>45041</v>
      </c>
      <c r="S1088" s="9">
        <f t="shared" ca="1" si="348"/>
        <v>-1.6049099540799985E-2</v>
      </c>
      <c r="T1088" s="9">
        <f t="shared" ca="1" si="349"/>
        <v>-3.2379421662879729E-2</v>
      </c>
      <c r="U1088" s="9">
        <f t="shared" ca="1" si="350"/>
        <v>-1.8079130370631476E-2</v>
      </c>
      <c r="AB1088" s="33" t="e">
        <f t="shared" ca="1" si="356"/>
        <v>#N/A</v>
      </c>
      <c r="AC1088" s="34" t="e">
        <f t="shared" ca="1" si="357"/>
        <v>#N/A</v>
      </c>
      <c r="AD1088" s="34" t="e">
        <f t="shared" ca="1" si="358"/>
        <v>#N/A</v>
      </c>
      <c r="AE1088" s="33" t="e">
        <f t="shared" ca="1" si="359"/>
        <v>#N/A</v>
      </c>
      <c r="AF1088" s="34" t="e">
        <f t="shared" ca="1" si="351"/>
        <v>#N/A</v>
      </c>
      <c r="AG1088" s="34" t="e">
        <f t="shared" ca="1" si="352"/>
        <v>#N/A</v>
      </c>
      <c r="AH1088" s="34" t="e">
        <f t="shared" ca="1" si="353"/>
        <v>#N/A</v>
      </c>
      <c r="AI1088" s="33" t="e">
        <f t="shared" ca="1" si="360"/>
        <v>#N/A</v>
      </c>
      <c r="AJ1088" s="34" t="e">
        <f t="shared" ca="1" si="361"/>
        <v>#N/A</v>
      </c>
      <c r="AK1088" s="34" t="e">
        <f t="shared" ca="1" si="354"/>
        <v>#N/A</v>
      </c>
      <c r="AL1088" s="34" t="e">
        <f t="shared" ca="1" si="355"/>
        <v>#N/A</v>
      </c>
      <c r="AM1088" s="33" t="e">
        <f t="shared" ca="1" si="362"/>
        <v>#N/A</v>
      </c>
      <c r="AN1088" s="34" t="e">
        <f t="shared" ca="1" si="363"/>
        <v>#N/A</v>
      </c>
    </row>
    <row r="1089" spans="1:40" x14ac:dyDescent="0.3">
      <c r="A1089" s="2">
        <v>45042</v>
      </c>
      <c r="B1089" s="9">
        <v>70.629997000000003</v>
      </c>
      <c r="C1089" s="9">
        <v>111.989998</v>
      </c>
      <c r="D1089" s="9">
        <v>116.639999</v>
      </c>
      <c r="E1089" s="10"/>
      <c r="F1089" s="13">
        <v>1086</v>
      </c>
      <c r="G1089" s="2">
        <v>45042</v>
      </c>
      <c r="H1089" s="14">
        <f t="shared" si="344"/>
        <v>-1.503576481860858E-2</v>
      </c>
      <c r="I1089" s="14">
        <f t="shared" si="345"/>
        <v>-3.921242025803736E-3</v>
      </c>
      <c r="J1089" s="14">
        <f t="shared" si="346"/>
        <v>-1.0320352724454624E-2</v>
      </c>
      <c r="K1089" s="22">
        <v>1086</v>
      </c>
      <c r="L1089" s="12"/>
      <c r="Q1089" s="15">
        <f t="shared" si="347"/>
        <v>1086</v>
      </c>
      <c r="R1089" s="2">
        <f t="shared" si="343"/>
        <v>45042</v>
      </c>
      <c r="S1089" s="9">
        <f t="shared" ca="1" si="348"/>
        <v>-1.503576481860858E-2</v>
      </c>
      <c r="T1089" s="9">
        <f t="shared" ca="1" si="349"/>
        <v>-3.921242025803736E-3</v>
      </c>
      <c r="U1089" s="9">
        <f t="shared" ca="1" si="350"/>
        <v>-1.0320352724454624E-2</v>
      </c>
      <c r="AB1089" s="33" t="e">
        <f t="shared" ca="1" si="356"/>
        <v>#N/A</v>
      </c>
      <c r="AC1089" s="34" t="e">
        <f t="shared" ca="1" si="357"/>
        <v>#N/A</v>
      </c>
      <c r="AD1089" s="34" t="e">
        <f t="shared" ca="1" si="358"/>
        <v>#N/A</v>
      </c>
      <c r="AE1089" s="33" t="e">
        <f t="shared" ca="1" si="359"/>
        <v>#N/A</v>
      </c>
      <c r="AF1089" s="34" t="e">
        <f t="shared" ca="1" si="351"/>
        <v>#N/A</v>
      </c>
      <c r="AG1089" s="34" t="e">
        <f t="shared" ca="1" si="352"/>
        <v>#N/A</v>
      </c>
      <c r="AH1089" s="34" t="e">
        <f t="shared" ca="1" si="353"/>
        <v>#N/A</v>
      </c>
      <c r="AI1089" s="33" t="e">
        <f t="shared" ca="1" si="360"/>
        <v>#N/A</v>
      </c>
      <c r="AJ1089" s="34" t="e">
        <f t="shared" ca="1" si="361"/>
        <v>#N/A</v>
      </c>
      <c r="AK1089" s="34" t="e">
        <f t="shared" ca="1" si="354"/>
        <v>#N/A</v>
      </c>
      <c r="AL1089" s="34" t="e">
        <f t="shared" ca="1" si="355"/>
        <v>#N/A</v>
      </c>
      <c r="AM1089" s="33" t="e">
        <f t="shared" ca="1" si="362"/>
        <v>#N/A</v>
      </c>
      <c r="AN1089" s="34" t="e">
        <f t="shared" ca="1" si="363"/>
        <v>#N/A</v>
      </c>
    </row>
    <row r="1090" spans="1:40" x14ac:dyDescent="0.3">
      <c r="A1090" s="2">
        <v>45043</v>
      </c>
      <c r="B1090" s="9">
        <v>73.129997000000003</v>
      </c>
      <c r="C1090" s="9">
        <v>114.739998</v>
      </c>
      <c r="D1090" s="9">
        <v>114.639999</v>
      </c>
      <c r="E1090" s="10"/>
      <c r="F1090" s="13">
        <v>1087</v>
      </c>
      <c r="G1090" s="2">
        <v>45043</v>
      </c>
      <c r="H1090" s="14">
        <f t="shared" si="344"/>
        <v>3.4783697314062084E-2</v>
      </c>
      <c r="I1090" s="14">
        <f t="shared" si="345"/>
        <v>2.425911800714721E-2</v>
      </c>
      <c r="J1090" s="14">
        <f t="shared" si="346"/>
        <v>-1.7295484890002238E-2</v>
      </c>
      <c r="K1090" s="22">
        <v>1087</v>
      </c>
      <c r="L1090" s="12"/>
      <c r="Q1090" s="15">
        <f t="shared" si="347"/>
        <v>1087</v>
      </c>
      <c r="R1090" s="2">
        <f t="shared" si="343"/>
        <v>45043</v>
      </c>
      <c r="S1090" s="9">
        <f t="shared" ca="1" si="348"/>
        <v>3.4783697314062084E-2</v>
      </c>
      <c r="T1090" s="9">
        <f t="shared" ca="1" si="349"/>
        <v>2.425911800714721E-2</v>
      </c>
      <c r="U1090" s="9">
        <f t="shared" ca="1" si="350"/>
        <v>-1.7295484890002238E-2</v>
      </c>
      <c r="AB1090" s="33" t="e">
        <f t="shared" ca="1" si="356"/>
        <v>#N/A</v>
      </c>
      <c r="AC1090" s="34" t="e">
        <f t="shared" ca="1" si="357"/>
        <v>#N/A</v>
      </c>
      <c r="AD1090" s="34" t="e">
        <f t="shared" ca="1" si="358"/>
        <v>#N/A</v>
      </c>
      <c r="AE1090" s="33" t="e">
        <f t="shared" ca="1" si="359"/>
        <v>#N/A</v>
      </c>
      <c r="AF1090" s="34" t="e">
        <f t="shared" ca="1" si="351"/>
        <v>#N/A</v>
      </c>
      <c r="AG1090" s="34" t="e">
        <f t="shared" ca="1" si="352"/>
        <v>#N/A</v>
      </c>
      <c r="AH1090" s="34" t="e">
        <f t="shared" ca="1" si="353"/>
        <v>#N/A</v>
      </c>
      <c r="AI1090" s="33" t="e">
        <f t="shared" ca="1" si="360"/>
        <v>#N/A</v>
      </c>
      <c r="AJ1090" s="34" t="e">
        <f t="shared" ca="1" si="361"/>
        <v>#N/A</v>
      </c>
      <c r="AK1090" s="34" t="e">
        <f t="shared" ca="1" si="354"/>
        <v>#N/A</v>
      </c>
      <c r="AL1090" s="34" t="e">
        <f t="shared" ca="1" si="355"/>
        <v>#N/A</v>
      </c>
      <c r="AM1090" s="33" t="e">
        <f t="shared" ca="1" si="362"/>
        <v>#N/A</v>
      </c>
      <c r="AN1090" s="34" t="e">
        <f t="shared" ca="1" si="363"/>
        <v>#N/A</v>
      </c>
    </row>
    <row r="1091" spans="1:40" x14ac:dyDescent="0.3">
      <c r="A1091" s="2">
        <v>45044</v>
      </c>
      <c r="B1091" s="9">
        <v>73</v>
      </c>
      <c r="C1091" s="9">
        <v>114.790001</v>
      </c>
      <c r="D1091" s="9">
        <v>114.66999800000001</v>
      </c>
      <c r="E1091" s="10"/>
      <c r="F1091" s="13">
        <v>1088</v>
      </c>
      <c r="G1091" s="2">
        <v>45044</v>
      </c>
      <c r="H1091" s="14">
        <f t="shared" si="344"/>
        <v>-1.7791971116318727E-3</v>
      </c>
      <c r="I1091" s="14">
        <f t="shared" si="345"/>
        <v>4.3569904595368362E-4</v>
      </c>
      <c r="J1091" s="14">
        <f t="shared" si="346"/>
        <v>2.6164581190188157E-4</v>
      </c>
      <c r="K1091" s="22">
        <v>1088</v>
      </c>
      <c r="L1091" s="12"/>
      <c r="Q1091" s="15">
        <f t="shared" si="347"/>
        <v>1088</v>
      </c>
      <c r="R1091" s="2">
        <f t="shared" si="343"/>
        <v>45044</v>
      </c>
      <c r="S1091" s="9">
        <f t="shared" ca="1" si="348"/>
        <v>-1.7791971116318727E-3</v>
      </c>
      <c r="T1091" s="9">
        <f t="shared" ca="1" si="349"/>
        <v>4.3569904595368362E-4</v>
      </c>
      <c r="U1091" s="9">
        <f t="shared" ca="1" si="350"/>
        <v>2.6164581190188157E-4</v>
      </c>
      <c r="AB1091" s="33" t="e">
        <f t="shared" ca="1" si="356"/>
        <v>#N/A</v>
      </c>
      <c r="AC1091" s="34" t="e">
        <f t="shared" ca="1" si="357"/>
        <v>#N/A</v>
      </c>
      <c r="AD1091" s="34" t="e">
        <f t="shared" ca="1" si="358"/>
        <v>#N/A</v>
      </c>
      <c r="AE1091" s="33" t="e">
        <f t="shared" ca="1" si="359"/>
        <v>#N/A</v>
      </c>
      <c r="AF1091" s="34" t="e">
        <f t="shared" ca="1" si="351"/>
        <v>#N/A</v>
      </c>
      <c r="AG1091" s="34" t="e">
        <f t="shared" ca="1" si="352"/>
        <v>#N/A</v>
      </c>
      <c r="AH1091" s="34" t="e">
        <f t="shared" ca="1" si="353"/>
        <v>#N/A</v>
      </c>
      <c r="AI1091" s="33" t="e">
        <f t="shared" ca="1" si="360"/>
        <v>#N/A</v>
      </c>
      <c r="AJ1091" s="34" t="e">
        <f t="shared" ca="1" si="361"/>
        <v>#N/A</v>
      </c>
      <c r="AK1091" s="34" t="e">
        <f t="shared" ca="1" si="354"/>
        <v>#N/A</v>
      </c>
      <c r="AL1091" s="34" t="e">
        <f t="shared" ca="1" si="355"/>
        <v>#N/A</v>
      </c>
      <c r="AM1091" s="33" t="e">
        <f t="shared" ca="1" si="362"/>
        <v>#N/A</v>
      </c>
      <c r="AN1091" s="34" t="e">
        <f t="shared" ca="1" si="363"/>
        <v>#N/A</v>
      </c>
    </row>
    <row r="1092" spans="1:40" x14ac:dyDescent="0.3">
      <c r="A1092" s="2">
        <v>45047</v>
      </c>
      <c r="B1092" s="9">
        <v>73.160004000000001</v>
      </c>
      <c r="C1092" s="9">
        <v>113.699997</v>
      </c>
      <c r="D1092" s="9">
        <v>115.410004</v>
      </c>
      <c r="E1092" s="10"/>
      <c r="F1092" s="13">
        <v>1089</v>
      </c>
      <c r="G1092" s="2">
        <v>45047</v>
      </c>
      <c r="H1092" s="14">
        <f t="shared" si="344"/>
        <v>2.1894370489579083E-3</v>
      </c>
      <c r="I1092" s="14">
        <f t="shared" si="345"/>
        <v>-9.5410064176999487E-3</v>
      </c>
      <c r="J1092" s="14">
        <f t="shared" si="346"/>
        <v>6.432619482495067E-3</v>
      </c>
      <c r="K1092" s="22">
        <v>1089</v>
      </c>
      <c r="L1092" s="12"/>
      <c r="Q1092" s="15">
        <f t="shared" si="347"/>
        <v>1089</v>
      </c>
      <c r="R1092" s="2">
        <f t="shared" ref="R1092:R1155" si="364">IF(Q1092="","",VLOOKUP(Q1092,F1092:J2349,2))</f>
        <v>45047</v>
      </c>
      <c r="S1092" s="9">
        <f t="shared" ca="1" si="348"/>
        <v>2.1894370489579083E-3</v>
      </c>
      <c r="T1092" s="9">
        <f t="shared" ca="1" si="349"/>
        <v>-9.5410064176999487E-3</v>
      </c>
      <c r="U1092" s="9">
        <f t="shared" ca="1" si="350"/>
        <v>6.432619482495067E-3</v>
      </c>
      <c r="AB1092" s="33" t="e">
        <f t="shared" ca="1" si="356"/>
        <v>#N/A</v>
      </c>
      <c r="AC1092" s="34" t="e">
        <f t="shared" ca="1" si="357"/>
        <v>#N/A</v>
      </c>
      <c r="AD1092" s="34" t="e">
        <f t="shared" ca="1" si="358"/>
        <v>#N/A</v>
      </c>
      <c r="AE1092" s="33" t="e">
        <f t="shared" ca="1" si="359"/>
        <v>#N/A</v>
      </c>
      <c r="AF1092" s="34" t="e">
        <f t="shared" ca="1" si="351"/>
        <v>#N/A</v>
      </c>
      <c r="AG1092" s="34" t="e">
        <f t="shared" ca="1" si="352"/>
        <v>#N/A</v>
      </c>
      <c r="AH1092" s="34" t="e">
        <f t="shared" ca="1" si="353"/>
        <v>#N/A</v>
      </c>
      <c r="AI1092" s="33" t="e">
        <f t="shared" ca="1" si="360"/>
        <v>#N/A</v>
      </c>
      <c r="AJ1092" s="34" t="e">
        <f t="shared" ca="1" si="361"/>
        <v>#N/A</v>
      </c>
      <c r="AK1092" s="34" t="e">
        <f t="shared" ca="1" si="354"/>
        <v>#N/A</v>
      </c>
      <c r="AL1092" s="34" t="e">
        <f t="shared" ca="1" si="355"/>
        <v>#N/A</v>
      </c>
      <c r="AM1092" s="33" t="e">
        <f t="shared" ca="1" si="362"/>
        <v>#N/A</v>
      </c>
      <c r="AN1092" s="34" t="e">
        <f t="shared" ca="1" si="363"/>
        <v>#N/A</v>
      </c>
    </row>
    <row r="1093" spans="1:40" x14ac:dyDescent="0.3">
      <c r="A1093" s="2">
        <v>45048</v>
      </c>
      <c r="B1093" s="9">
        <v>70.970000999999996</v>
      </c>
      <c r="C1093" s="9">
        <v>112.5</v>
      </c>
      <c r="D1093" s="9">
        <v>110.779999</v>
      </c>
      <c r="E1093" s="10"/>
      <c r="F1093" s="13">
        <v>1090</v>
      </c>
      <c r="G1093" s="2">
        <v>45048</v>
      </c>
      <c r="H1093" s="14">
        <f t="shared" ref="H1093:H1156" si="365">LN(B1093/B1092)</f>
        <v>-3.0391611569996948E-2</v>
      </c>
      <c r="I1093" s="14">
        <f t="shared" ref="I1093:I1156" si="366">LN(C1093/C1092)</f>
        <v>-1.0610152726790905E-2</v>
      </c>
      <c r="J1093" s="14">
        <f t="shared" ref="J1093:J1156" si="367">LN(D1093/D1092)</f>
        <v>-4.094479651329689E-2</v>
      </c>
      <c r="K1093" s="22">
        <v>1090</v>
      </c>
      <c r="L1093" s="12"/>
      <c r="Q1093" s="15">
        <f t="shared" ref="Q1093:Q1156" si="368">IF(Q1092="","",IF(Q1092+1&lt;=$M$6,Q1092+1,""))</f>
        <v>1090</v>
      </c>
      <c r="R1093" s="2">
        <f t="shared" si="364"/>
        <v>45048</v>
      </c>
      <c r="S1093" s="9">
        <f t="shared" ref="S1093:S1156" ca="1" si="369">IF(Q1093="","",OFFSET(H$3,$Q1093,0))</f>
        <v>-3.0391611569996948E-2</v>
      </c>
      <c r="T1093" s="9">
        <f t="shared" ref="T1093:T1156" ca="1" si="370">IF(R1093="","",OFFSET(I$3,$Q1093,0))</f>
        <v>-1.0610152726790905E-2</v>
      </c>
      <c r="U1093" s="9">
        <f t="shared" ref="U1093:U1156" ca="1" si="371">IF(S1093="","",OFFSET(J$3,$Q1093,0))</f>
        <v>-4.094479651329689E-2</v>
      </c>
      <c r="AB1093" s="33" t="e">
        <f t="shared" ca="1" si="356"/>
        <v>#N/A</v>
      </c>
      <c r="AC1093" s="34" t="e">
        <f t="shared" ca="1" si="357"/>
        <v>#N/A</v>
      </c>
      <c r="AD1093" s="34" t="e">
        <f t="shared" ca="1" si="358"/>
        <v>#N/A</v>
      </c>
      <c r="AE1093" s="33" t="e">
        <f t="shared" ca="1" si="359"/>
        <v>#N/A</v>
      </c>
      <c r="AF1093" s="34" t="e">
        <f t="shared" ref="AF1093:AF1156" ca="1" si="372">IF(AB1093&lt;=$X$6,(AE1093/$X$5)/$X$7,"")</f>
        <v>#N/A</v>
      </c>
      <c r="AG1093" s="34" t="e">
        <f t="shared" ref="AG1093:AG1156" ca="1" si="373">IF(AB1093&lt;=$Y$6,AG1092+$Y$7,"")</f>
        <v>#N/A</v>
      </c>
      <c r="AH1093" s="34" t="e">
        <f t="shared" ref="AH1093:AH1156" ca="1" si="374">IF(AB1093&lt;=$Y$6,AG1093-$Y$7/2,"")</f>
        <v>#N/A</v>
      </c>
      <c r="AI1093" s="33" t="e">
        <f t="shared" ca="1" si="360"/>
        <v>#N/A</v>
      </c>
      <c r="AJ1093" s="34" t="e">
        <f t="shared" ca="1" si="361"/>
        <v>#N/A</v>
      </c>
      <c r="AK1093" s="34" t="e">
        <f t="shared" ref="AK1093:AK1156" ca="1" si="375">IF(AB1093&lt;=$Z$6,AK1092+$Z$7,"")</f>
        <v>#N/A</v>
      </c>
      <c r="AL1093" s="34" t="e">
        <f t="shared" ref="AL1093:AL1156" ca="1" si="376">IF(AB1093&lt;=$Z$6,AK1093-$Z$7/2,"")</f>
        <v>#N/A</v>
      </c>
      <c r="AM1093" s="33" t="e">
        <f t="shared" ca="1" si="362"/>
        <v>#N/A</v>
      </c>
      <c r="AN1093" s="34" t="e">
        <f t="shared" ca="1" si="363"/>
        <v>#N/A</v>
      </c>
    </row>
    <row r="1094" spans="1:40" x14ac:dyDescent="0.3">
      <c r="A1094" s="2">
        <v>45049</v>
      </c>
      <c r="B1094" s="9">
        <v>68.900002000000001</v>
      </c>
      <c r="C1094" s="9">
        <v>112.349998</v>
      </c>
      <c r="D1094" s="9">
        <v>107.05999799999999</v>
      </c>
      <c r="E1094" s="10"/>
      <c r="F1094" s="13">
        <v>1091</v>
      </c>
      <c r="G1094" s="2">
        <v>45049</v>
      </c>
      <c r="H1094" s="14">
        <f t="shared" si="365"/>
        <v>-2.9601059580163437E-2</v>
      </c>
      <c r="I1094" s="14">
        <f t="shared" si="366"/>
        <v>-1.334240814649925E-3</v>
      </c>
      <c r="J1094" s="14">
        <f t="shared" si="367"/>
        <v>-3.4156837293936065E-2</v>
      </c>
      <c r="K1094" s="22">
        <v>1091</v>
      </c>
      <c r="L1094" s="12"/>
      <c r="Q1094" s="15">
        <f t="shared" si="368"/>
        <v>1091</v>
      </c>
      <c r="R1094" s="2">
        <f t="shared" si="364"/>
        <v>45049</v>
      </c>
      <c r="S1094" s="9">
        <f t="shared" ca="1" si="369"/>
        <v>-2.9601059580163437E-2</v>
      </c>
      <c r="T1094" s="9">
        <f t="shared" ca="1" si="370"/>
        <v>-1.334240814649925E-3</v>
      </c>
      <c r="U1094" s="9">
        <f t="shared" ca="1" si="371"/>
        <v>-3.4156837293936065E-2</v>
      </c>
      <c r="AB1094" s="33" t="e">
        <f t="shared" ref="AB1094:AB1157" ca="1" si="377">IF(AB1093&lt;$X$6,AB1093+1,NA())</f>
        <v>#N/A</v>
      </c>
      <c r="AC1094" s="34" t="e">
        <f t="shared" ref="AC1094:AC1157" ca="1" si="378">IF(AB1094&lt;=$X$6,AC1093+$X$7,"")</f>
        <v>#N/A</v>
      </c>
      <c r="AD1094" s="34" t="e">
        <f t="shared" ref="AD1094:AD1157" ca="1" si="379">IF(AB1094&lt;=$X$6,AC1094-$X$7/2,"")</f>
        <v>#N/A</v>
      </c>
      <c r="AE1094" s="33" t="e">
        <f t="shared" ref="AE1094:AE1157" ca="1" si="380">IF(AB1094&lt;=$X$6,COUNTIFS($S$3:$S$1260,"&gt;"&amp;AC1093,$S$3:$S$1260,"&lt;="&amp;AC1094),"")</f>
        <v>#N/A</v>
      </c>
      <c r="AF1094" s="34" t="e">
        <f t="shared" ca="1" si="372"/>
        <v>#N/A</v>
      </c>
      <c r="AG1094" s="34" t="e">
        <f t="shared" ca="1" si="373"/>
        <v>#N/A</v>
      </c>
      <c r="AH1094" s="34" t="e">
        <f t="shared" ca="1" si="374"/>
        <v>#N/A</v>
      </c>
      <c r="AI1094" s="33" t="e">
        <f t="shared" ref="AI1094:AI1157" ca="1" si="381">IF(AB1094&lt;=$Y$6,COUNTIFS($T$3:$T$1260,"&gt;"&amp;AG1093,$T$3:$T$1260,"&lt;="&amp;AG1094),"")</f>
        <v>#N/A</v>
      </c>
      <c r="AJ1094" s="34" t="e">
        <f t="shared" ref="AJ1094:AJ1157" ca="1" si="382">IF(AB1094&lt;=$Y$6,(AI1094/$Y$5)/$Y$7,"")</f>
        <v>#N/A</v>
      </c>
      <c r="AK1094" s="34" t="e">
        <f t="shared" ca="1" si="375"/>
        <v>#N/A</v>
      </c>
      <c r="AL1094" s="34" t="e">
        <f t="shared" ca="1" si="376"/>
        <v>#N/A</v>
      </c>
      <c r="AM1094" s="33" t="e">
        <f t="shared" ref="AM1094:AM1157" ca="1" si="383">IF(AB1094&lt;=$Z$6,COUNTIFS($U$3:$U$1260,"&gt;"&amp;AK1093,$U$3:$U$1260,"&lt;="&amp;AK1094),"")</f>
        <v>#N/A</v>
      </c>
      <c r="AN1094" s="34" t="e">
        <f t="shared" ref="AN1094:AN1157" ca="1" si="384">IF(AB1094&lt;=$Z$6,(AM1094/$Z$5)/$Z$7,"")</f>
        <v>#N/A</v>
      </c>
    </row>
    <row r="1095" spans="1:40" x14ac:dyDescent="0.3">
      <c r="A1095" s="2">
        <v>45050</v>
      </c>
      <c r="B1095" s="9">
        <v>67.419998000000007</v>
      </c>
      <c r="C1095" s="9">
        <v>109.839996</v>
      </c>
      <c r="D1095" s="9">
        <v>104.30999799999999</v>
      </c>
      <c r="E1095" s="10"/>
      <c r="F1095" s="13">
        <v>1092</v>
      </c>
      <c r="G1095" s="2">
        <v>45050</v>
      </c>
      <c r="H1095" s="14">
        <f t="shared" si="365"/>
        <v>-2.1714526906062279E-2</v>
      </c>
      <c r="I1095" s="14">
        <f t="shared" si="366"/>
        <v>-2.2594255786715912E-2</v>
      </c>
      <c r="J1095" s="14">
        <f t="shared" si="367"/>
        <v>-2.6022190769859194E-2</v>
      </c>
      <c r="K1095" s="22">
        <v>1092</v>
      </c>
      <c r="L1095" s="12"/>
      <c r="Q1095" s="15">
        <f t="shared" si="368"/>
        <v>1092</v>
      </c>
      <c r="R1095" s="2">
        <f t="shared" si="364"/>
        <v>45050</v>
      </c>
      <c r="S1095" s="9">
        <f t="shared" ca="1" si="369"/>
        <v>-2.1714526906062279E-2</v>
      </c>
      <c r="T1095" s="9">
        <f t="shared" ca="1" si="370"/>
        <v>-2.2594255786715912E-2</v>
      </c>
      <c r="U1095" s="9">
        <f t="shared" ca="1" si="371"/>
        <v>-2.6022190769859194E-2</v>
      </c>
      <c r="AB1095" s="33" t="e">
        <f t="shared" ca="1" si="377"/>
        <v>#N/A</v>
      </c>
      <c r="AC1095" s="34" t="e">
        <f t="shared" ca="1" si="378"/>
        <v>#N/A</v>
      </c>
      <c r="AD1095" s="34" t="e">
        <f t="shared" ca="1" si="379"/>
        <v>#N/A</v>
      </c>
      <c r="AE1095" s="33" t="e">
        <f t="shared" ca="1" si="380"/>
        <v>#N/A</v>
      </c>
      <c r="AF1095" s="34" t="e">
        <f t="shared" ca="1" si="372"/>
        <v>#N/A</v>
      </c>
      <c r="AG1095" s="34" t="e">
        <f t="shared" ca="1" si="373"/>
        <v>#N/A</v>
      </c>
      <c r="AH1095" s="34" t="e">
        <f t="shared" ca="1" si="374"/>
        <v>#N/A</v>
      </c>
      <c r="AI1095" s="33" t="e">
        <f t="shared" ca="1" si="381"/>
        <v>#N/A</v>
      </c>
      <c r="AJ1095" s="34" t="e">
        <f t="shared" ca="1" si="382"/>
        <v>#N/A</v>
      </c>
      <c r="AK1095" s="34" t="e">
        <f t="shared" ca="1" si="375"/>
        <v>#N/A</v>
      </c>
      <c r="AL1095" s="34" t="e">
        <f t="shared" ca="1" si="376"/>
        <v>#N/A</v>
      </c>
      <c r="AM1095" s="33" t="e">
        <f t="shared" ca="1" si="383"/>
        <v>#N/A</v>
      </c>
      <c r="AN1095" s="34" t="e">
        <f t="shared" ca="1" si="384"/>
        <v>#N/A</v>
      </c>
    </row>
    <row r="1096" spans="1:40" x14ac:dyDescent="0.3">
      <c r="A1096" s="2">
        <v>45051</v>
      </c>
      <c r="B1096" s="9">
        <v>69</v>
      </c>
      <c r="C1096" s="9">
        <v>113.839996</v>
      </c>
      <c r="D1096" s="9">
        <v>107.040001</v>
      </c>
      <c r="E1096" s="10"/>
      <c r="F1096" s="13">
        <v>1093</v>
      </c>
      <c r="G1096" s="2">
        <v>45051</v>
      </c>
      <c r="H1096" s="14">
        <f t="shared" si="365"/>
        <v>2.3164824456133052E-2</v>
      </c>
      <c r="I1096" s="14">
        <f t="shared" si="366"/>
        <v>3.5769193601452892E-2</v>
      </c>
      <c r="J1096" s="14">
        <f t="shared" si="367"/>
        <v>2.5835390207957862E-2</v>
      </c>
      <c r="K1096" s="22">
        <v>1093</v>
      </c>
      <c r="L1096" s="12"/>
      <c r="Q1096" s="15">
        <f t="shared" si="368"/>
        <v>1093</v>
      </c>
      <c r="R1096" s="2">
        <f t="shared" si="364"/>
        <v>45051</v>
      </c>
      <c r="S1096" s="9">
        <f t="shared" ca="1" si="369"/>
        <v>2.3164824456133052E-2</v>
      </c>
      <c r="T1096" s="9">
        <f t="shared" ca="1" si="370"/>
        <v>3.5769193601452892E-2</v>
      </c>
      <c r="U1096" s="9">
        <f t="shared" ca="1" si="371"/>
        <v>2.5835390207957862E-2</v>
      </c>
      <c r="AB1096" s="33" t="e">
        <f t="shared" ca="1" si="377"/>
        <v>#N/A</v>
      </c>
      <c r="AC1096" s="34" t="e">
        <f t="shared" ca="1" si="378"/>
        <v>#N/A</v>
      </c>
      <c r="AD1096" s="34" t="e">
        <f t="shared" ca="1" si="379"/>
        <v>#N/A</v>
      </c>
      <c r="AE1096" s="33" t="e">
        <f t="shared" ca="1" si="380"/>
        <v>#N/A</v>
      </c>
      <c r="AF1096" s="34" t="e">
        <f t="shared" ca="1" si="372"/>
        <v>#N/A</v>
      </c>
      <c r="AG1096" s="34" t="e">
        <f t="shared" ca="1" si="373"/>
        <v>#N/A</v>
      </c>
      <c r="AH1096" s="34" t="e">
        <f t="shared" ca="1" si="374"/>
        <v>#N/A</v>
      </c>
      <c r="AI1096" s="33" t="e">
        <f t="shared" ca="1" si="381"/>
        <v>#N/A</v>
      </c>
      <c r="AJ1096" s="34" t="e">
        <f t="shared" ca="1" si="382"/>
        <v>#N/A</v>
      </c>
      <c r="AK1096" s="34" t="e">
        <f t="shared" ca="1" si="375"/>
        <v>#N/A</v>
      </c>
      <c r="AL1096" s="34" t="e">
        <f t="shared" ca="1" si="376"/>
        <v>#N/A</v>
      </c>
      <c r="AM1096" s="33" t="e">
        <f t="shared" ca="1" si="383"/>
        <v>#N/A</v>
      </c>
      <c r="AN1096" s="34" t="e">
        <f t="shared" ca="1" si="384"/>
        <v>#N/A</v>
      </c>
    </row>
    <row r="1097" spans="1:40" x14ac:dyDescent="0.3">
      <c r="A1097" s="2">
        <v>45054</v>
      </c>
      <c r="B1097" s="9">
        <v>67.169998000000007</v>
      </c>
      <c r="C1097" s="9">
        <v>111.739998</v>
      </c>
      <c r="D1097" s="9">
        <v>107.379997</v>
      </c>
      <c r="E1097" s="10"/>
      <c r="F1097" s="13">
        <v>1094</v>
      </c>
      <c r="G1097" s="2">
        <v>45054</v>
      </c>
      <c r="H1097" s="14">
        <f t="shared" si="365"/>
        <v>-2.6879815093683885E-2</v>
      </c>
      <c r="I1097" s="14">
        <f t="shared" si="366"/>
        <v>-1.8619192512252747E-2</v>
      </c>
      <c r="J1097" s="14">
        <f t="shared" si="367"/>
        <v>3.1713113340392837E-3</v>
      </c>
      <c r="K1097" s="22">
        <v>1094</v>
      </c>
      <c r="L1097" s="12"/>
      <c r="Q1097" s="15">
        <f t="shared" si="368"/>
        <v>1094</v>
      </c>
      <c r="R1097" s="2">
        <f t="shared" si="364"/>
        <v>45054</v>
      </c>
      <c r="S1097" s="9">
        <f t="shared" ca="1" si="369"/>
        <v>-2.6879815093683885E-2</v>
      </c>
      <c r="T1097" s="9">
        <f t="shared" ca="1" si="370"/>
        <v>-1.8619192512252747E-2</v>
      </c>
      <c r="U1097" s="9">
        <f t="shared" ca="1" si="371"/>
        <v>3.1713113340392837E-3</v>
      </c>
      <c r="AB1097" s="33" t="e">
        <f t="shared" ca="1" si="377"/>
        <v>#N/A</v>
      </c>
      <c r="AC1097" s="34" t="e">
        <f t="shared" ca="1" si="378"/>
        <v>#N/A</v>
      </c>
      <c r="AD1097" s="34" t="e">
        <f t="shared" ca="1" si="379"/>
        <v>#N/A</v>
      </c>
      <c r="AE1097" s="33" t="e">
        <f t="shared" ca="1" si="380"/>
        <v>#N/A</v>
      </c>
      <c r="AF1097" s="34" t="e">
        <f t="shared" ca="1" si="372"/>
        <v>#N/A</v>
      </c>
      <c r="AG1097" s="34" t="e">
        <f t="shared" ca="1" si="373"/>
        <v>#N/A</v>
      </c>
      <c r="AH1097" s="34" t="e">
        <f t="shared" ca="1" si="374"/>
        <v>#N/A</v>
      </c>
      <c r="AI1097" s="33" t="e">
        <f t="shared" ca="1" si="381"/>
        <v>#N/A</v>
      </c>
      <c r="AJ1097" s="34" t="e">
        <f t="shared" ca="1" si="382"/>
        <v>#N/A</v>
      </c>
      <c r="AK1097" s="34" t="e">
        <f t="shared" ca="1" si="375"/>
        <v>#N/A</v>
      </c>
      <c r="AL1097" s="34" t="e">
        <f t="shared" ca="1" si="376"/>
        <v>#N/A</v>
      </c>
      <c r="AM1097" s="33" t="e">
        <f t="shared" ca="1" si="383"/>
        <v>#N/A</v>
      </c>
      <c r="AN1097" s="34" t="e">
        <f t="shared" ca="1" si="384"/>
        <v>#N/A</v>
      </c>
    </row>
    <row r="1098" spans="1:40" x14ac:dyDescent="0.3">
      <c r="A1098" s="2">
        <v>45055</v>
      </c>
      <c r="B1098" s="9">
        <v>66.870002999999997</v>
      </c>
      <c r="C1098" s="9">
        <v>110.720001</v>
      </c>
      <c r="D1098" s="9">
        <v>108.400002</v>
      </c>
      <c r="E1098" s="10"/>
      <c r="F1098" s="13">
        <v>1095</v>
      </c>
      <c r="G1098" s="2">
        <v>45055</v>
      </c>
      <c r="H1098" s="14">
        <f t="shared" si="365"/>
        <v>-4.4762085745220269E-3</v>
      </c>
      <c r="I1098" s="14">
        <f t="shared" si="366"/>
        <v>-9.1702252311579215E-3</v>
      </c>
      <c r="J1098" s="14">
        <f t="shared" si="367"/>
        <v>9.4541903994706192E-3</v>
      </c>
      <c r="K1098" s="22">
        <v>1095</v>
      </c>
      <c r="L1098" s="12"/>
      <c r="Q1098" s="15">
        <f t="shared" si="368"/>
        <v>1095</v>
      </c>
      <c r="R1098" s="2">
        <f t="shared" si="364"/>
        <v>45055</v>
      </c>
      <c r="S1098" s="9">
        <f t="shared" ca="1" si="369"/>
        <v>-4.4762085745220269E-3</v>
      </c>
      <c r="T1098" s="9">
        <f t="shared" ca="1" si="370"/>
        <v>-9.1702252311579215E-3</v>
      </c>
      <c r="U1098" s="9">
        <f t="shared" ca="1" si="371"/>
        <v>9.4541903994706192E-3</v>
      </c>
      <c r="AB1098" s="33" t="e">
        <f t="shared" ca="1" si="377"/>
        <v>#N/A</v>
      </c>
      <c r="AC1098" s="34" t="e">
        <f t="shared" ca="1" si="378"/>
        <v>#N/A</v>
      </c>
      <c r="AD1098" s="34" t="e">
        <f t="shared" ca="1" si="379"/>
        <v>#N/A</v>
      </c>
      <c r="AE1098" s="33" t="e">
        <f t="shared" ca="1" si="380"/>
        <v>#N/A</v>
      </c>
      <c r="AF1098" s="34" t="e">
        <f t="shared" ca="1" si="372"/>
        <v>#N/A</v>
      </c>
      <c r="AG1098" s="34" t="e">
        <f t="shared" ca="1" si="373"/>
        <v>#N/A</v>
      </c>
      <c r="AH1098" s="34" t="e">
        <f t="shared" ca="1" si="374"/>
        <v>#N/A</v>
      </c>
      <c r="AI1098" s="33" t="e">
        <f t="shared" ca="1" si="381"/>
        <v>#N/A</v>
      </c>
      <c r="AJ1098" s="34" t="e">
        <f t="shared" ca="1" si="382"/>
        <v>#N/A</v>
      </c>
      <c r="AK1098" s="34" t="e">
        <f t="shared" ca="1" si="375"/>
        <v>#N/A</v>
      </c>
      <c r="AL1098" s="34" t="e">
        <f t="shared" ca="1" si="376"/>
        <v>#N/A</v>
      </c>
      <c r="AM1098" s="33" t="e">
        <f t="shared" ca="1" si="383"/>
        <v>#N/A</v>
      </c>
      <c r="AN1098" s="34" t="e">
        <f t="shared" ca="1" si="384"/>
        <v>#N/A</v>
      </c>
    </row>
    <row r="1099" spans="1:40" x14ac:dyDescent="0.3">
      <c r="A1099" s="2">
        <v>45056</v>
      </c>
      <c r="B1099" s="9">
        <v>67.540001000000004</v>
      </c>
      <c r="C1099" s="9">
        <v>109.760002</v>
      </c>
      <c r="D1099" s="9">
        <v>111.010002</v>
      </c>
      <c r="E1099" s="10"/>
      <c r="F1099" s="13">
        <v>1096</v>
      </c>
      <c r="G1099" s="2">
        <v>45056</v>
      </c>
      <c r="H1099" s="14">
        <f t="shared" si="365"/>
        <v>9.9695488344090158E-3</v>
      </c>
      <c r="I1099" s="14">
        <f t="shared" si="366"/>
        <v>-8.7083187020020412E-3</v>
      </c>
      <c r="J1099" s="14">
        <f t="shared" si="367"/>
        <v>2.3792197905220278E-2</v>
      </c>
      <c r="K1099" s="22">
        <v>1096</v>
      </c>
      <c r="L1099" s="12"/>
      <c r="Q1099" s="15">
        <f t="shared" si="368"/>
        <v>1096</v>
      </c>
      <c r="R1099" s="2">
        <f t="shared" si="364"/>
        <v>45056</v>
      </c>
      <c r="S1099" s="9">
        <f t="shared" ca="1" si="369"/>
        <v>9.9695488344090158E-3</v>
      </c>
      <c r="T1099" s="9">
        <f t="shared" ca="1" si="370"/>
        <v>-8.7083187020020412E-3</v>
      </c>
      <c r="U1099" s="9">
        <f t="shared" ca="1" si="371"/>
        <v>2.3792197905220278E-2</v>
      </c>
      <c r="AB1099" s="33" t="e">
        <f t="shared" ca="1" si="377"/>
        <v>#N/A</v>
      </c>
      <c r="AC1099" s="34" t="e">
        <f t="shared" ca="1" si="378"/>
        <v>#N/A</v>
      </c>
      <c r="AD1099" s="34" t="e">
        <f t="shared" ca="1" si="379"/>
        <v>#N/A</v>
      </c>
      <c r="AE1099" s="33" t="e">
        <f t="shared" ca="1" si="380"/>
        <v>#N/A</v>
      </c>
      <c r="AF1099" s="34" t="e">
        <f t="shared" ca="1" si="372"/>
        <v>#N/A</v>
      </c>
      <c r="AG1099" s="34" t="e">
        <f t="shared" ca="1" si="373"/>
        <v>#N/A</v>
      </c>
      <c r="AH1099" s="34" t="e">
        <f t="shared" ca="1" si="374"/>
        <v>#N/A</v>
      </c>
      <c r="AI1099" s="33" t="e">
        <f t="shared" ca="1" si="381"/>
        <v>#N/A</v>
      </c>
      <c r="AJ1099" s="34" t="e">
        <f t="shared" ca="1" si="382"/>
        <v>#N/A</v>
      </c>
      <c r="AK1099" s="34" t="e">
        <f t="shared" ca="1" si="375"/>
        <v>#N/A</v>
      </c>
      <c r="AL1099" s="34" t="e">
        <f t="shared" ca="1" si="376"/>
        <v>#N/A</v>
      </c>
      <c r="AM1099" s="33" t="e">
        <f t="shared" ca="1" si="383"/>
        <v>#N/A</v>
      </c>
      <c r="AN1099" s="34" t="e">
        <f t="shared" ca="1" si="384"/>
        <v>#N/A</v>
      </c>
    </row>
    <row r="1100" spans="1:40" x14ac:dyDescent="0.3">
      <c r="A1100" s="2">
        <v>45057</v>
      </c>
      <c r="B1100" s="9">
        <v>67.150002000000001</v>
      </c>
      <c r="C1100" s="9">
        <v>110.970001</v>
      </c>
      <c r="D1100" s="9">
        <v>110.660004</v>
      </c>
      <c r="E1100" s="10"/>
      <c r="F1100" s="13">
        <v>1097</v>
      </c>
      <c r="G1100" s="2">
        <v>45057</v>
      </c>
      <c r="H1100" s="14">
        <f t="shared" si="365"/>
        <v>-5.7910770101507547E-3</v>
      </c>
      <c r="I1100" s="14">
        <f t="shared" si="366"/>
        <v>1.096372132476745E-2</v>
      </c>
      <c r="J1100" s="14">
        <f t="shared" si="367"/>
        <v>-3.1578317442317091E-3</v>
      </c>
      <c r="K1100" s="22">
        <v>1097</v>
      </c>
      <c r="L1100" s="12"/>
      <c r="Q1100" s="15">
        <f t="shared" si="368"/>
        <v>1097</v>
      </c>
      <c r="R1100" s="2">
        <f t="shared" si="364"/>
        <v>45057</v>
      </c>
      <c r="S1100" s="9">
        <f t="shared" ca="1" si="369"/>
        <v>-5.7910770101507547E-3</v>
      </c>
      <c r="T1100" s="9">
        <f t="shared" ca="1" si="370"/>
        <v>1.096372132476745E-2</v>
      </c>
      <c r="U1100" s="9">
        <f t="shared" ca="1" si="371"/>
        <v>-3.1578317442317091E-3</v>
      </c>
      <c r="AB1100" s="33" t="e">
        <f t="shared" ca="1" si="377"/>
        <v>#N/A</v>
      </c>
      <c r="AC1100" s="34" t="e">
        <f t="shared" ca="1" si="378"/>
        <v>#N/A</v>
      </c>
      <c r="AD1100" s="34" t="e">
        <f t="shared" ca="1" si="379"/>
        <v>#N/A</v>
      </c>
      <c r="AE1100" s="33" t="e">
        <f t="shared" ca="1" si="380"/>
        <v>#N/A</v>
      </c>
      <c r="AF1100" s="34" t="e">
        <f t="shared" ca="1" si="372"/>
        <v>#N/A</v>
      </c>
      <c r="AG1100" s="34" t="e">
        <f t="shared" ca="1" si="373"/>
        <v>#N/A</v>
      </c>
      <c r="AH1100" s="34" t="e">
        <f t="shared" ca="1" si="374"/>
        <v>#N/A</v>
      </c>
      <c r="AI1100" s="33" t="e">
        <f t="shared" ca="1" si="381"/>
        <v>#N/A</v>
      </c>
      <c r="AJ1100" s="34" t="e">
        <f t="shared" ca="1" si="382"/>
        <v>#N/A</v>
      </c>
      <c r="AK1100" s="34" t="e">
        <f t="shared" ca="1" si="375"/>
        <v>#N/A</v>
      </c>
      <c r="AL1100" s="34" t="e">
        <f t="shared" ca="1" si="376"/>
        <v>#N/A</v>
      </c>
      <c r="AM1100" s="33" t="e">
        <f t="shared" ca="1" si="383"/>
        <v>#N/A</v>
      </c>
      <c r="AN1100" s="34" t="e">
        <f t="shared" ca="1" si="384"/>
        <v>#N/A</v>
      </c>
    </row>
    <row r="1101" spans="1:40" x14ac:dyDescent="0.3">
      <c r="A1101" s="2">
        <v>45058</v>
      </c>
      <c r="B1101" s="9">
        <v>67.080001999999993</v>
      </c>
      <c r="C1101" s="9">
        <v>112.360001</v>
      </c>
      <c r="D1101" s="9">
        <v>110.519997</v>
      </c>
      <c r="E1101" s="10"/>
      <c r="F1101" s="13">
        <v>1098</v>
      </c>
      <c r="G1101" s="2">
        <v>45058</v>
      </c>
      <c r="H1101" s="14">
        <f t="shared" si="365"/>
        <v>-1.0429859831580061E-3</v>
      </c>
      <c r="I1101" s="14">
        <f t="shared" si="366"/>
        <v>1.2448107612090413E-2</v>
      </c>
      <c r="J1101" s="14">
        <f t="shared" si="367"/>
        <v>-1.2660007059116967E-3</v>
      </c>
      <c r="K1101" s="22">
        <v>1098</v>
      </c>
      <c r="L1101" s="12"/>
      <c r="Q1101" s="15">
        <f t="shared" si="368"/>
        <v>1098</v>
      </c>
      <c r="R1101" s="2">
        <f t="shared" si="364"/>
        <v>45058</v>
      </c>
      <c r="S1101" s="9">
        <f t="shared" ca="1" si="369"/>
        <v>-1.0429859831580061E-3</v>
      </c>
      <c r="T1101" s="9">
        <f t="shared" ca="1" si="370"/>
        <v>1.2448107612090413E-2</v>
      </c>
      <c r="U1101" s="9">
        <f t="shared" ca="1" si="371"/>
        <v>-1.2660007059116967E-3</v>
      </c>
      <c r="AB1101" s="33" t="e">
        <f t="shared" ca="1" si="377"/>
        <v>#N/A</v>
      </c>
      <c r="AC1101" s="34" t="e">
        <f t="shared" ca="1" si="378"/>
        <v>#N/A</v>
      </c>
      <c r="AD1101" s="34" t="e">
        <f t="shared" ca="1" si="379"/>
        <v>#N/A</v>
      </c>
      <c r="AE1101" s="33" t="e">
        <f t="shared" ca="1" si="380"/>
        <v>#N/A</v>
      </c>
      <c r="AF1101" s="34" t="e">
        <f t="shared" ca="1" si="372"/>
        <v>#N/A</v>
      </c>
      <c r="AG1101" s="34" t="e">
        <f t="shared" ca="1" si="373"/>
        <v>#N/A</v>
      </c>
      <c r="AH1101" s="34" t="e">
        <f t="shared" ca="1" si="374"/>
        <v>#N/A</v>
      </c>
      <c r="AI1101" s="33" t="e">
        <f t="shared" ca="1" si="381"/>
        <v>#N/A</v>
      </c>
      <c r="AJ1101" s="34" t="e">
        <f t="shared" ca="1" si="382"/>
        <v>#N/A</v>
      </c>
      <c r="AK1101" s="34" t="e">
        <f t="shared" ca="1" si="375"/>
        <v>#N/A</v>
      </c>
      <c r="AL1101" s="34" t="e">
        <f t="shared" ca="1" si="376"/>
        <v>#N/A</v>
      </c>
      <c r="AM1101" s="33" t="e">
        <f t="shared" ca="1" si="383"/>
        <v>#N/A</v>
      </c>
      <c r="AN1101" s="34" t="e">
        <f t="shared" ca="1" si="384"/>
        <v>#N/A</v>
      </c>
    </row>
    <row r="1102" spans="1:40" x14ac:dyDescent="0.3">
      <c r="A1102" s="2">
        <v>45061</v>
      </c>
      <c r="B1102" s="9">
        <v>67.639999000000003</v>
      </c>
      <c r="C1102" s="9">
        <v>113.25</v>
      </c>
      <c r="D1102" s="9">
        <v>112.910004</v>
      </c>
      <c r="E1102" s="10"/>
      <c r="F1102" s="13">
        <v>1099</v>
      </c>
      <c r="G1102" s="2">
        <v>45061</v>
      </c>
      <c r="H1102" s="14">
        <f t="shared" si="365"/>
        <v>8.3135424760743416E-3</v>
      </c>
      <c r="I1102" s="14">
        <f t="shared" si="366"/>
        <v>7.8897532271362102E-3</v>
      </c>
      <c r="J1102" s="14">
        <f t="shared" si="367"/>
        <v>2.1394603708068831E-2</v>
      </c>
      <c r="K1102" s="22">
        <v>1099</v>
      </c>
      <c r="L1102" s="12"/>
      <c r="Q1102" s="15">
        <f t="shared" si="368"/>
        <v>1099</v>
      </c>
      <c r="R1102" s="2">
        <f t="shared" si="364"/>
        <v>45061</v>
      </c>
      <c r="S1102" s="9">
        <f t="shared" ca="1" si="369"/>
        <v>8.3135424760743416E-3</v>
      </c>
      <c r="T1102" s="9">
        <f t="shared" ca="1" si="370"/>
        <v>7.8897532271362102E-3</v>
      </c>
      <c r="U1102" s="9">
        <f t="shared" ca="1" si="371"/>
        <v>2.1394603708068831E-2</v>
      </c>
      <c r="AB1102" s="33" t="e">
        <f t="shared" ca="1" si="377"/>
        <v>#N/A</v>
      </c>
      <c r="AC1102" s="34" t="e">
        <f t="shared" ca="1" si="378"/>
        <v>#N/A</v>
      </c>
      <c r="AD1102" s="34" t="e">
        <f t="shared" ca="1" si="379"/>
        <v>#N/A</v>
      </c>
      <c r="AE1102" s="33" t="e">
        <f t="shared" ca="1" si="380"/>
        <v>#N/A</v>
      </c>
      <c r="AF1102" s="34" t="e">
        <f t="shared" ca="1" si="372"/>
        <v>#N/A</v>
      </c>
      <c r="AG1102" s="34" t="e">
        <f t="shared" ca="1" si="373"/>
        <v>#N/A</v>
      </c>
      <c r="AH1102" s="34" t="e">
        <f t="shared" ca="1" si="374"/>
        <v>#N/A</v>
      </c>
      <c r="AI1102" s="33" t="e">
        <f t="shared" ca="1" si="381"/>
        <v>#N/A</v>
      </c>
      <c r="AJ1102" s="34" t="e">
        <f t="shared" ca="1" si="382"/>
        <v>#N/A</v>
      </c>
      <c r="AK1102" s="34" t="e">
        <f t="shared" ca="1" si="375"/>
        <v>#N/A</v>
      </c>
      <c r="AL1102" s="34" t="e">
        <f t="shared" ca="1" si="376"/>
        <v>#N/A</v>
      </c>
      <c r="AM1102" s="33" t="e">
        <f t="shared" ca="1" si="383"/>
        <v>#N/A</v>
      </c>
      <c r="AN1102" s="34" t="e">
        <f t="shared" ca="1" si="384"/>
        <v>#N/A</v>
      </c>
    </row>
    <row r="1103" spans="1:40" x14ac:dyDescent="0.3">
      <c r="A1103" s="2">
        <v>45062</v>
      </c>
      <c r="B1103" s="9">
        <v>66.199996999999996</v>
      </c>
      <c r="C1103" s="9">
        <v>109.480003</v>
      </c>
      <c r="D1103" s="9">
        <v>109.639999</v>
      </c>
      <c r="E1103" s="10"/>
      <c r="F1103" s="13">
        <v>1100</v>
      </c>
      <c r="G1103" s="2">
        <v>45062</v>
      </c>
      <c r="H1103" s="14">
        <f t="shared" si="365"/>
        <v>-2.1519091620487214E-2</v>
      </c>
      <c r="I1103" s="14">
        <f t="shared" si="366"/>
        <v>-3.3855852788400267E-2</v>
      </c>
      <c r="J1103" s="14">
        <f t="shared" si="367"/>
        <v>-2.938881430504986E-2</v>
      </c>
      <c r="K1103" s="22">
        <v>1100</v>
      </c>
      <c r="L1103" s="12"/>
      <c r="Q1103" s="15">
        <f t="shared" si="368"/>
        <v>1100</v>
      </c>
      <c r="R1103" s="2">
        <f t="shared" si="364"/>
        <v>45062</v>
      </c>
      <c r="S1103" s="9">
        <f t="shared" ca="1" si="369"/>
        <v>-2.1519091620487214E-2</v>
      </c>
      <c r="T1103" s="9">
        <f t="shared" ca="1" si="370"/>
        <v>-3.3855852788400267E-2</v>
      </c>
      <c r="U1103" s="9">
        <f t="shared" ca="1" si="371"/>
        <v>-2.938881430504986E-2</v>
      </c>
      <c r="AB1103" s="33" t="e">
        <f t="shared" ca="1" si="377"/>
        <v>#N/A</v>
      </c>
      <c r="AC1103" s="34" t="e">
        <f t="shared" ca="1" si="378"/>
        <v>#N/A</v>
      </c>
      <c r="AD1103" s="34" t="e">
        <f t="shared" ca="1" si="379"/>
        <v>#N/A</v>
      </c>
      <c r="AE1103" s="33" t="e">
        <f t="shared" ca="1" si="380"/>
        <v>#N/A</v>
      </c>
      <c r="AF1103" s="34" t="e">
        <f t="shared" ca="1" si="372"/>
        <v>#N/A</v>
      </c>
      <c r="AG1103" s="34" t="e">
        <f t="shared" ca="1" si="373"/>
        <v>#N/A</v>
      </c>
      <c r="AH1103" s="34" t="e">
        <f t="shared" ca="1" si="374"/>
        <v>#N/A</v>
      </c>
      <c r="AI1103" s="33" t="e">
        <f t="shared" ca="1" si="381"/>
        <v>#N/A</v>
      </c>
      <c r="AJ1103" s="34" t="e">
        <f t="shared" ca="1" si="382"/>
        <v>#N/A</v>
      </c>
      <c r="AK1103" s="34" t="e">
        <f t="shared" ca="1" si="375"/>
        <v>#N/A</v>
      </c>
      <c r="AL1103" s="34" t="e">
        <f t="shared" ca="1" si="376"/>
        <v>#N/A</v>
      </c>
      <c r="AM1103" s="33" t="e">
        <f t="shared" ca="1" si="383"/>
        <v>#N/A</v>
      </c>
      <c r="AN1103" s="34" t="e">
        <f t="shared" ca="1" si="384"/>
        <v>#N/A</v>
      </c>
    </row>
    <row r="1104" spans="1:40" x14ac:dyDescent="0.3">
      <c r="A1104" s="2">
        <v>45063</v>
      </c>
      <c r="B1104" s="9">
        <v>67.279999000000004</v>
      </c>
      <c r="C1104" s="9">
        <v>112</v>
      </c>
      <c r="D1104" s="9">
        <v>112.099998</v>
      </c>
      <c r="E1104" s="10"/>
      <c r="F1104" s="13">
        <v>1101</v>
      </c>
      <c r="G1104" s="2">
        <v>45063</v>
      </c>
      <c r="H1104" s="14">
        <f t="shared" si="365"/>
        <v>1.618258317569362E-2</v>
      </c>
      <c r="I1104" s="14">
        <f t="shared" si="366"/>
        <v>2.2756959720351317E-2</v>
      </c>
      <c r="J1104" s="14">
        <f t="shared" si="367"/>
        <v>2.2189049923074588E-2</v>
      </c>
      <c r="K1104" s="22">
        <v>1101</v>
      </c>
      <c r="L1104" s="12"/>
      <c r="Q1104" s="15">
        <f t="shared" si="368"/>
        <v>1101</v>
      </c>
      <c r="R1104" s="2">
        <f t="shared" si="364"/>
        <v>45063</v>
      </c>
      <c r="S1104" s="9">
        <f t="shared" ca="1" si="369"/>
        <v>1.618258317569362E-2</v>
      </c>
      <c r="T1104" s="9">
        <f t="shared" ca="1" si="370"/>
        <v>2.2756959720351317E-2</v>
      </c>
      <c r="U1104" s="9">
        <f t="shared" ca="1" si="371"/>
        <v>2.2189049923074588E-2</v>
      </c>
      <c r="AB1104" s="33" t="e">
        <f t="shared" ca="1" si="377"/>
        <v>#N/A</v>
      </c>
      <c r="AC1104" s="34" t="e">
        <f t="shared" ca="1" si="378"/>
        <v>#N/A</v>
      </c>
      <c r="AD1104" s="34" t="e">
        <f t="shared" ca="1" si="379"/>
        <v>#N/A</v>
      </c>
      <c r="AE1104" s="33" t="e">
        <f t="shared" ca="1" si="380"/>
        <v>#N/A</v>
      </c>
      <c r="AF1104" s="34" t="e">
        <f t="shared" ca="1" si="372"/>
        <v>#N/A</v>
      </c>
      <c r="AG1104" s="34" t="e">
        <f t="shared" ca="1" si="373"/>
        <v>#N/A</v>
      </c>
      <c r="AH1104" s="34" t="e">
        <f t="shared" ca="1" si="374"/>
        <v>#N/A</v>
      </c>
      <c r="AI1104" s="33" t="e">
        <f t="shared" ca="1" si="381"/>
        <v>#N/A</v>
      </c>
      <c r="AJ1104" s="34" t="e">
        <f t="shared" ca="1" si="382"/>
        <v>#N/A</v>
      </c>
      <c r="AK1104" s="34" t="e">
        <f t="shared" ca="1" si="375"/>
        <v>#N/A</v>
      </c>
      <c r="AL1104" s="34" t="e">
        <f t="shared" ca="1" si="376"/>
        <v>#N/A</v>
      </c>
      <c r="AM1104" s="33" t="e">
        <f t="shared" ca="1" si="383"/>
        <v>#N/A</v>
      </c>
      <c r="AN1104" s="34" t="e">
        <f t="shared" ca="1" si="384"/>
        <v>#N/A</v>
      </c>
    </row>
    <row r="1105" spans="1:40" x14ac:dyDescent="0.3">
      <c r="A1105" s="2">
        <v>45064</v>
      </c>
      <c r="B1105" s="9">
        <v>68.580001999999993</v>
      </c>
      <c r="C1105" s="9">
        <v>112.779999</v>
      </c>
      <c r="D1105" s="9">
        <v>111.550003</v>
      </c>
      <c r="E1105" s="10"/>
      <c r="F1105" s="13">
        <v>1102</v>
      </c>
      <c r="G1105" s="2">
        <v>45064</v>
      </c>
      <c r="H1105" s="14">
        <f t="shared" si="365"/>
        <v>1.9137975396360585E-2</v>
      </c>
      <c r="I1105" s="14">
        <f t="shared" si="366"/>
        <v>6.9401382171211537E-3</v>
      </c>
      <c r="J1105" s="14">
        <f t="shared" si="367"/>
        <v>-4.918364464590045E-3</v>
      </c>
      <c r="K1105" s="22">
        <v>1102</v>
      </c>
      <c r="L1105" s="12"/>
      <c r="Q1105" s="15">
        <f t="shared" si="368"/>
        <v>1102</v>
      </c>
      <c r="R1105" s="2">
        <f t="shared" si="364"/>
        <v>45064</v>
      </c>
      <c r="S1105" s="9">
        <f t="shared" ca="1" si="369"/>
        <v>1.9137975396360585E-2</v>
      </c>
      <c r="T1105" s="9">
        <f t="shared" ca="1" si="370"/>
        <v>6.9401382171211537E-3</v>
      </c>
      <c r="U1105" s="9">
        <f t="shared" ca="1" si="371"/>
        <v>-4.918364464590045E-3</v>
      </c>
      <c r="AB1105" s="33" t="e">
        <f t="shared" ca="1" si="377"/>
        <v>#N/A</v>
      </c>
      <c r="AC1105" s="34" t="e">
        <f t="shared" ca="1" si="378"/>
        <v>#N/A</v>
      </c>
      <c r="AD1105" s="34" t="e">
        <f t="shared" ca="1" si="379"/>
        <v>#N/A</v>
      </c>
      <c r="AE1105" s="33" t="e">
        <f t="shared" ca="1" si="380"/>
        <v>#N/A</v>
      </c>
      <c r="AF1105" s="34" t="e">
        <f t="shared" ca="1" si="372"/>
        <v>#N/A</v>
      </c>
      <c r="AG1105" s="34" t="e">
        <f t="shared" ca="1" si="373"/>
        <v>#N/A</v>
      </c>
      <c r="AH1105" s="34" t="e">
        <f t="shared" ca="1" si="374"/>
        <v>#N/A</v>
      </c>
      <c r="AI1105" s="33" t="e">
        <f t="shared" ca="1" si="381"/>
        <v>#N/A</v>
      </c>
      <c r="AJ1105" s="34" t="e">
        <f t="shared" ca="1" si="382"/>
        <v>#N/A</v>
      </c>
      <c r="AK1105" s="34" t="e">
        <f t="shared" ca="1" si="375"/>
        <v>#N/A</v>
      </c>
      <c r="AL1105" s="34" t="e">
        <f t="shared" ca="1" si="376"/>
        <v>#N/A</v>
      </c>
      <c r="AM1105" s="33" t="e">
        <f t="shared" ca="1" si="383"/>
        <v>#N/A</v>
      </c>
      <c r="AN1105" s="34" t="e">
        <f t="shared" ca="1" si="384"/>
        <v>#N/A</v>
      </c>
    </row>
    <row r="1106" spans="1:40" x14ac:dyDescent="0.3">
      <c r="A1106" s="2">
        <v>45065</v>
      </c>
      <c r="B1106" s="9">
        <v>68.360000999999997</v>
      </c>
      <c r="C1106" s="9">
        <v>109.120003</v>
      </c>
      <c r="D1106" s="9">
        <v>111.269997</v>
      </c>
      <c r="E1106" s="10"/>
      <c r="F1106" s="13">
        <v>1103</v>
      </c>
      <c r="G1106" s="2">
        <v>45065</v>
      </c>
      <c r="H1106" s="14">
        <f t="shared" si="365"/>
        <v>-3.2131033219673913E-3</v>
      </c>
      <c r="I1106" s="14">
        <f t="shared" si="366"/>
        <v>-3.2990787924395533E-2</v>
      </c>
      <c r="J1106" s="14">
        <f t="shared" si="367"/>
        <v>-2.5132945641471874E-3</v>
      </c>
      <c r="K1106" s="22">
        <v>1103</v>
      </c>
      <c r="L1106" s="12"/>
      <c r="Q1106" s="15">
        <f t="shared" si="368"/>
        <v>1103</v>
      </c>
      <c r="R1106" s="2">
        <f t="shared" si="364"/>
        <v>45065</v>
      </c>
      <c r="S1106" s="9">
        <f t="shared" ca="1" si="369"/>
        <v>-3.2131033219673913E-3</v>
      </c>
      <c r="T1106" s="9">
        <f t="shared" ca="1" si="370"/>
        <v>-3.2990787924395533E-2</v>
      </c>
      <c r="U1106" s="9">
        <f t="shared" ca="1" si="371"/>
        <v>-2.5132945641471874E-3</v>
      </c>
      <c r="AB1106" s="33" t="e">
        <f t="shared" ca="1" si="377"/>
        <v>#N/A</v>
      </c>
      <c r="AC1106" s="34" t="e">
        <f t="shared" ca="1" si="378"/>
        <v>#N/A</v>
      </c>
      <c r="AD1106" s="34" t="e">
        <f t="shared" ca="1" si="379"/>
        <v>#N/A</v>
      </c>
      <c r="AE1106" s="33" t="e">
        <f t="shared" ca="1" si="380"/>
        <v>#N/A</v>
      </c>
      <c r="AF1106" s="34" t="e">
        <f t="shared" ca="1" si="372"/>
        <v>#N/A</v>
      </c>
      <c r="AG1106" s="34" t="e">
        <f t="shared" ca="1" si="373"/>
        <v>#N/A</v>
      </c>
      <c r="AH1106" s="34" t="e">
        <f t="shared" ca="1" si="374"/>
        <v>#N/A</v>
      </c>
      <c r="AI1106" s="33" t="e">
        <f t="shared" ca="1" si="381"/>
        <v>#N/A</v>
      </c>
      <c r="AJ1106" s="34" t="e">
        <f t="shared" ca="1" si="382"/>
        <v>#N/A</v>
      </c>
      <c r="AK1106" s="34" t="e">
        <f t="shared" ca="1" si="375"/>
        <v>#N/A</v>
      </c>
      <c r="AL1106" s="34" t="e">
        <f t="shared" ca="1" si="376"/>
        <v>#N/A</v>
      </c>
      <c r="AM1106" s="33" t="e">
        <f t="shared" ca="1" si="383"/>
        <v>#N/A</v>
      </c>
      <c r="AN1106" s="34" t="e">
        <f t="shared" ca="1" si="384"/>
        <v>#N/A</v>
      </c>
    </row>
    <row r="1107" spans="1:40" x14ac:dyDescent="0.3">
      <c r="A1107" s="2">
        <v>45068</v>
      </c>
      <c r="B1107" s="9">
        <v>68.510002</v>
      </c>
      <c r="C1107" s="9">
        <v>108.82</v>
      </c>
      <c r="D1107" s="9">
        <v>112.790001</v>
      </c>
      <c r="E1107" s="10"/>
      <c r="F1107" s="13">
        <v>1104</v>
      </c>
      <c r="G1107" s="2">
        <v>45068</v>
      </c>
      <c r="H1107" s="14">
        <f t="shared" si="365"/>
        <v>2.1918763317981178E-3</v>
      </c>
      <c r="I1107" s="14">
        <f t="shared" si="366"/>
        <v>-2.7530805300409584E-3</v>
      </c>
      <c r="J1107" s="14">
        <f t="shared" si="367"/>
        <v>1.3568038309696041E-2</v>
      </c>
      <c r="K1107" s="22">
        <v>1104</v>
      </c>
      <c r="L1107" s="12"/>
      <c r="Q1107" s="15">
        <f t="shared" si="368"/>
        <v>1104</v>
      </c>
      <c r="R1107" s="2">
        <f t="shared" si="364"/>
        <v>45068</v>
      </c>
      <c r="S1107" s="9">
        <f t="shared" ca="1" si="369"/>
        <v>2.1918763317981178E-3</v>
      </c>
      <c r="T1107" s="9">
        <f t="shared" ca="1" si="370"/>
        <v>-2.7530805300409584E-3</v>
      </c>
      <c r="U1107" s="9">
        <f t="shared" ca="1" si="371"/>
        <v>1.3568038309696041E-2</v>
      </c>
      <c r="AB1107" s="33" t="e">
        <f t="shared" ca="1" si="377"/>
        <v>#N/A</v>
      </c>
      <c r="AC1107" s="34" t="e">
        <f t="shared" ca="1" si="378"/>
        <v>#N/A</v>
      </c>
      <c r="AD1107" s="34" t="e">
        <f t="shared" ca="1" si="379"/>
        <v>#N/A</v>
      </c>
      <c r="AE1107" s="33" t="e">
        <f t="shared" ca="1" si="380"/>
        <v>#N/A</v>
      </c>
      <c r="AF1107" s="34" t="e">
        <f t="shared" ca="1" si="372"/>
        <v>#N/A</v>
      </c>
      <c r="AG1107" s="34" t="e">
        <f t="shared" ca="1" si="373"/>
        <v>#N/A</v>
      </c>
      <c r="AH1107" s="34" t="e">
        <f t="shared" ca="1" si="374"/>
        <v>#N/A</v>
      </c>
      <c r="AI1107" s="33" t="e">
        <f t="shared" ca="1" si="381"/>
        <v>#N/A</v>
      </c>
      <c r="AJ1107" s="34" t="e">
        <f t="shared" ca="1" si="382"/>
        <v>#N/A</v>
      </c>
      <c r="AK1107" s="34" t="e">
        <f t="shared" ca="1" si="375"/>
        <v>#N/A</v>
      </c>
      <c r="AL1107" s="34" t="e">
        <f t="shared" ca="1" si="376"/>
        <v>#N/A</v>
      </c>
      <c r="AM1107" s="33" t="e">
        <f t="shared" ca="1" si="383"/>
        <v>#N/A</v>
      </c>
      <c r="AN1107" s="34" t="e">
        <f t="shared" ca="1" si="384"/>
        <v>#N/A</v>
      </c>
    </row>
    <row r="1108" spans="1:40" x14ac:dyDescent="0.3">
      <c r="A1108" s="2">
        <v>45069</v>
      </c>
      <c r="B1108" s="9">
        <v>68.519997000000004</v>
      </c>
      <c r="C1108" s="9">
        <v>107.959999</v>
      </c>
      <c r="D1108" s="9">
        <v>112.5</v>
      </c>
      <c r="E1108" s="10"/>
      <c r="F1108" s="13">
        <v>1105</v>
      </c>
      <c r="G1108" s="2">
        <v>45069</v>
      </c>
      <c r="H1108" s="14">
        <f t="shared" si="365"/>
        <v>1.4588046545520422E-4</v>
      </c>
      <c r="I1108" s="14">
        <f t="shared" si="366"/>
        <v>-7.9343621706653034E-3</v>
      </c>
      <c r="J1108" s="14">
        <f t="shared" si="367"/>
        <v>-2.5744698733848066E-3</v>
      </c>
      <c r="K1108" s="22">
        <v>1105</v>
      </c>
      <c r="L1108" s="12"/>
      <c r="Q1108" s="15">
        <f t="shared" si="368"/>
        <v>1105</v>
      </c>
      <c r="R1108" s="2">
        <f t="shared" si="364"/>
        <v>45069</v>
      </c>
      <c r="S1108" s="9">
        <f t="shared" ca="1" si="369"/>
        <v>1.4588046545520422E-4</v>
      </c>
      <c r="T1108" s="9">
        <f t="shared" ca="1" si="370"/>
        <v>-7.9343621706653034E-3</v>
      </c>
      <c r="U1108" s="9">
        <f t="shared" ca="1" si="371"/>
        <v>-2.5744698733848066E-3</v>
      </c>
      <c r="AB1108" s="33" t="e">
        <f t="shared" ca="1" si="377"/>
        <v>#N/A</v>
      </c>
      <c r="AC1108" s="34" t="e">
        <f t="shared" ca="1" si="378"/>
        <v>#N/A</v>
      </c>
      <c r="AD1108" s="34" t="e">
        <f t="shared" ca="1" si="379"/>
        <v>#N/A</v>
      </c>
      <c r="AE1108" s="33" t="e">
        <f t="shared" ca="1" si="380"/>
        <v>#N/A</v>
      </c>
      <c r="AF1108" s="34" t="e">
        <f t="shared" ca="1" si="372"/>
        <v>#N/A</v>
      </c>
      <c r="AG1108" s="34" t="e">
        <f t="shared" ca="1" si="373"/>
        <v>#N/A</v>
      </c>
      <c r="AH1108" s="34" t="e">
        <f t="shared" ca="1" si="374"/>
        <v>#N/A</v>
      </c>
      <c r="AI1108" s="33" t="e">
        <f t="shared" ca="1" si="381"/>
        <v>#N/A</v>
      </c>
      <c r="AJ1108" s="34" t="e">
        <f t="shared" ca="1" si="382"/>
        <v>#N/A</v>
      </c>
      <c r="AK1108" s="34" t="e">
        <f t="shared" ca="1" si="375"/>
        <v>#N/A</v>
      </c>
      <c r="AL1108" s="34" t="e">
        <f t="shared" ca="1" si="376"/>
        <v>#N/A</v>
      </c>
      <c r="AM1108" s="33" t="e">
        <f t="shared" ca="1" si="383"/>
        <v>#N/A</v>
      </c>
      <c r="AN1108" s="34" t="e">
        <f t="shared" ca="1" si="384"/>
        <v>#N/A</v>
      </c>
    </row>
    <row r="1109" spans="1:40" x14ac:dyDescent="0.3">
      <c r="A1109" s="2">
        <v>45070</v>
      </c>
      <c r="B1109" s="9">
        <v>67.629997000000003</v>
      </c>
      <c r="C1109" s="9">
        <v>108.220001</v>
      </c>
      <c r="D1109" s="9">
        <v>114.790001</v>
      </c>
      <c r="E1109" s="10"/>
      <c r="F1109" s="13">
        <v>1106</v>
      </c>
      <c r="G1109" s="2">
        <v>45070</v>
      </c>
      <c r="H1109" s="14">
        <f t="shared" si="365"/>
        <v>-1.3074002445245708E-2</v>
      </c>
      <c r="I1109" s="14">
        <f t="shared" si="366"/>
        <v>2.4054225679112314E-3</v>
      </c>
      <c r="J1109" s="14">
        <f t="shared" si="367"/>
        <v>2.0151159144490737E-2</v>
      </c>
      <c r="K1109" s="22">
        <v>1106</v>
      </c>
      <c r="L1109" s="12"/>
      <c r="Q1109" s="15">
        <f t="shared" si="368"/>
        <v>1106</v>
      </c>
      <c r="R1109" s="2">
        <f t="shared" si="364"/>
        <v>45070</v>
      </c>
      <c r="S1109" s="9">
        <f t="shared" ca="1" si="369"/>
        <v>-1.3074002445245708E-2</v>
      </c>
      <c r="T1109" s="9">
        <f t="shared" ca="1" si="370"/>
        <v>2.4054225679112314E-3</v>
      </c>
      <c r="U1109" s="9">
        <f t="shared" ca="1" si="371"/>
        <v>2.0151159144490737E-2</v>
      </c>
      <c r="AB1109" s="33" t="e">
        <f t="shared" ca="1" si="377"/>
        <v>#N/A</v>
      </c>
      <c r="AC1109" s="34" t="e">
        <f t="shared" ca="1" si="378"/>
        <v>#N/A</v>
      </c>
      <c r="AD1109" s="34" t="e">
        <f t="shared" ca="1" si="379"/>
        <v>#N/A</v>
      </c>
      <c r="AE1109" s="33" t="e">
        <f t="shared" ca="1" si="380"/>
        <v>#N/A</v>
      </c>
      <c r="AF1109" s="34" t="e">
        <f t="shared" ca="1" si="372"/>
        <v>#N/A</v>
      </c>
      <c r="AG1109" s="34" t="e">
        <f t="shared" ca="1" si="373"/>
        <v>#N/A</v>
      </c>
      <c r="AH1109" s="34" t="e">
        <f t="shared" ca="1" si="374"/>
        <v>#N/A</v>
      </c>
      <c r="AI1109" s="33" t="e">
        <f t="shared" ca="1" si="381"/>
        <v>#N/A</v>
      </c>
      <c r="AJ1109" s="34" t="e">
        <f t="shared" ca="1" si="382"/>
        <v>#N/A</v>
      </c>
      <c r="AK1109" s="34" t="e">
        <f t="shared" ca="1" si="375"/>
        <v>#N/A</v>
      </c>
      <c r="AL1109" s="34" t="e">
        <f t="shared" ca="1" si="376"/>
        <v>#N/A</v>
      </c>
      <c r="AM1109" s="33" t="e">
        <f t="shared" ca="1" si="383"/>
        <v>#N/A</v>
      </c>
      <c r="AN1109" s="34" t="e">
        <f t="shared" ca="1" si="384"/>
        <v>#N/A</v>
      </c>
    </row>
    <row r="1110" spans="1:40" x14ac:dyDescent="0.3">
      <c r="A1110" s="2">
        <v>45071</v>
      </c>
      <c r="B1110" s="9">
        <v>67.160004000000001</v>
      </c>
      <c r="C1110" s="9">
        <v>114</v>
      </c>
      <c r="D1110" s="9">
        <v>113.18</v>
      </c>
      <c r="E1110" s="10"/>
      <c r="F1110" s="13">
        <v>1107</v>
      </c>
      <c r="G1110" s="2">
        <v>45071</v>
      </c>
      <c r="H1110" s="14">
        <f t="shared" si="365"/>
        <v>-6.97373545923564E-3</v>
      </c>
      <c r="I1110" s="14">
        <f t="shared" si="366"/>
        <v>5.203224693947027E-2</v>
      </c>
      <c r="J1110" s="14">
        <f t="shared" si="367"/>
        <v>-1.4124909074587761E-2</v>
      </c>
      <c r="K1110" s="22">
        <v>1107</v>
      </c>
      <c r="L1110" s="12"/>
      <c r="Q1110" s="15">
        <f t="shared" si="368"/>
        <v>1107</v>
      </c>
      <c r="R1110" s="2">
        <f t="shared" si="364"/>
        <v>45071</v>
      </c>
      <c r="S1110" s="9">
        <f t="shared" ca="1" si="369"/>
        <v>-6.97373545923564E-3</v>
      </c>
      <c r="T1110" s="9">
        <f t="shared" ca="1" si="370"/>
        <v>5.203224693947027E-2</v>
      </c>
      <c r="U1110" s="9">
        <f t="shared" ca="1" si="371"/>
        <v>-1.4124909074587761E-2</v>
      </c>
      <c r="AB1110" s="33" t="e">
        <f t="shared" ca="1" si="377"/>
        <v>#N/A</v>
      </c>
      <c r="AC1110" s="34" t="e">
        <f t="shared" ca="1" si="378"/>
        <v>#N/A</v>
      </c>
      <c r="AD1110" s="34" t="e">
        <f t="shared" ca="1" si="379"/>
        <v>#N/A</v>
      </c>
      <c r="AE1110" s="33" t="e">
        <f t="shared" ca="1" si="380"/>
        <v>#N/A</v>
      </c>
      <c r="AF1110" s="34" t="e">
        <f t="shared" ca="1" si="372"/>
        <v>#N/A</v>
      </c>
      <c r="AG1110" s="34" t="e">
        <f t="shared" ca="1" si="373"/>
        <v>#N/A</v>
      </c>
      <c r="AH1110" s="34" t="e">
        <f t="shared" ca="1" si="374"/>
        <v>#N/A</v>
      </c>
      <c r="AI1110" s="33" t="e">
        <f t="shared" ca="1" si="381"/>
        <v>#N/A</v>
      </c>
      <c r="AJ1110" s="34" t="e">
        <f t="shared" ca="1" si="382"/>
        <v>#N/A</v>
      </c>
      <c r="AK1110" s="34" t="e">
        <f t="shared" ca="1" si="375"/>
        <v>#N/A</v>
      </c>
      <c r="AL1110" s="34" t="e">
        <f t="shared" ca="1" si="376"/>
        <v>#N/A</v>
      </c>
      <c r="AM1110" s="33" t="e">
        <f t="shared" ca="1" si="383"/>
        <v>#N/A</v>
      </c>
      <c r="AN1110" s="34" t="e">
        <f t="shared" ca="1" si="384"/>
        <v>#N/A</v>
      </c>
    </row>
    <row r="1111" spans="1:40" x14ac:dyDescent="0.3">
      <c r="A1111" s="2">
        <v>45072</v>
      </c>
      <c r="B1111" s="9">
        <v>67.5</v>
      </c>
      <c r="C1111" s="9">
        <v>112.760002</v>
      </c>
      <c r="D1111" s="9">
        <v>113.82</v>
      </c>
      <c r="E1111" s="10"/>
      <c r="F1111" s="13">
        <v>1108</v>
      </c>
      <c r="G1111" s="2">
        <v>45072</v>
      </c>
      <c r="H1111" s="14">
        <f t="shared" si="365"/>
        <v>5.0497061098843717E-3</v>
      </c>
      <c r="I1111" s="14">
        <f t="shared" si="366"/>
        <v>-1.0936764411797686E-2</v>
      </c>
      <c r="J1111" s="14">
        <f t="shared" si="367"/>
        <v>5.6387814606000354E-3</v>
      </c>
      <c r="K1111" s="22">
        <v>1108</v>
      </c>
      <c r="L1111" s="12"/>
      <c r="Q1111" s="15">
        <f t="shared" si="368"/>
        <v>1108</v>
      </c>
      <c r="R1111" s="2">
        <f t="shared" si="364"/>
        <v>45072</v>
      </c>
      <c r="S1111" s="9">
        <f t="shared" ca="1" si="369"/>
        <v>5.0497061098843717E-3</v>
      </c>
      <c r="T1111" s="9">
        <f t="shared" ca="1" si="370"/>
        <v>-1.0936764411797686E-2</v>
      </c>
      <c r="U1111" s="9">
        <f t="shared" ca="1" si="371"/>
        <v>5.6387814606000354E-3</v>
      </c>
      <c r="AB1111" s="33" t="e">
        <f t="shared" ca="1" si="377"/>
        <v>#N/A</v>
      </c>
      <c r="AC1111" s="34" t="e">
        <f t="shared" ca="1" si="378"/>
        <v>#N/A</v>
      </c>
      <c r="AD1111" s="34" t="e">
        <f t="shared" ca="1" si="379"/>
        <v>#N/A</v>
      </c>
      <c r="AE1111" s="33" t="e">
        <f t="shared" ca="1" si="380"/>
        <v>#N/A</v>
      </c>
      <c r="AF1111" s="34" t="e">
        <f t="shared" ca="1" si="372"/>
        <v>#N/A</v>
      </c>
      <c r="AG1111" s="34" t="e">
        <f t="shared" ca="1" si="373"/>
        <v>#N/A</v>
      </c>
      <c r="AH1111" s="34" t="e">
        <f t="shared" ca="1" si="374"/>
        <v>#N/A</v>
      </c>
      <c r="AI1111" s="33" t="e">
        <f t="shared" ca="1" si="381"/>
        <v>#N/A</v>
      </c>
      <c r="AJ1111" s="34" t="e">
        <f t="shared" ca="1" si="382"/>
        <v>#N/A</v>
      </c>
      <c r="AK1111" s="34" t="e">
        <f t="shared" ca="1" si="375"/>
        <v>#N/A</v>
      </c>
      <c r="AL1111" s="34" t="e">
        <f t="shared" ca="1" si="376"/>
        <v>#N/A</v>
      </c>
      <c r="AM1111" s="33" t="e">
        <f t="shared" ca="1" si="383"/>
        <v>#N/A</v>
      </c>
      <c r="AN1111" s="34" t="e">
        <f t="shared" ca="1" si="384"/>
        <v>#N/A</v>
      </c>
    </row>
    <row r="1112" spans="1:40" x14ac:dyDescent="0.3">
      <c r="A1112" s="2">
        <v>45076</v>
      </c>
      <c r="B1112" s="9">
        <v>66.769997000000004</v>
      </c>
      <c r="C1112" s="9">
        <v>109.32</v>
      </c>
      <c r="D1112" s="9">
        <v>111.660004</v>
      </c>
      <c r="E1112" s="10"/>
      <c r="F1112" s="13">
        <v>1109</v>
      </c>
      <c r="G1112" s="2">
        <v>45076</v>
      </c>
      <c r="H1112" s="14">
        <f t="shared" si="365"/>
        <v>-1.0873764939065575E-2</v>
      </c>
      <c r="I1112" s="14">
        <f t="shared" si="366"/>
        <v>-3.0982322922830589E-2</v>
      </c>
      <c r="J1112" s="14">
        <f t="shared" si="367"/>
        <v>-1.9159677469729804E-2</v>
      </c>
      <c r="K1112" s="22">
        <v>1109</v>
      </c>
      <c r="L1112" s="12"/>
      <c r="Q1112" s="15">
        <f t="shared" si="368"/>
        <v>1109</v>
      </c>
      <c r="R1112" s="2">
        <f t="shared" si="364"/>
        <v>45076</v>
      </c>
      <c r="S1112" s="9">
        <f t="shared" ca="1" si="369"/>
        <v>-1.0873764939065575E-2</v>
      </c>
      <c r="T1112" s="9">
        <f t="shared" ca="1" si="370"/>
        <v>-3.0982322922830589E-2</v>
      </c>
      <c r="U1112" s="9">
        <f t="shared" ca="1" si="371"/>
        <v>-1.9159677469729804E-2</v>
      </c>
      <c r="AB1112" s="33" t="e">
        <f t="shared" ca="1" si="377"/>
        <v>#N/A</v>
      </c>
      <c r="AC1112" s="34" t="e">
        <f t="shared" ca="1" si="378"/>
        <v>#N/A</v>
      </c>
      <c r="AD1112" s="34" t="e">
        <f t="shared" ca="1" si="379"/>
        <v>#N/A</v>
      </c>
      <c r="AE1112" s="33" t="e">
        <f t="shared" ca="1" si="380"/>
        <v>#N/A</v>
      </c>
      <c r="AF1112" s="34" t="e">
        <f t="shared" ca="1" si="372"/>
        <v>#N/A</v>
      </c>
      <c r="AG1112" s="34" t="e">
        <f t="shared" ca="1" si="373"/>
        <v>#N/A</v>
      </c>
      <c r="AH1112" s="34" t="e">
        <f t="shared" ca="1" si="374"/>
        <v>#N/A</v>
      </c>
      <c r="AI1112" s="33" t="e">
        <f t="shared" ca="1" si="381"/>
        <v>#N/A</v>
      </c>
      <c r="AJ1112" s="34" t="e">
        <f t="shared" ca="1" si="382"/>
        <v>#N/A</v>
      </c>
      <c r="AK1112" s="34" t="e">
        <f t="shared" ca="1" si="375"/>
        <v>#N/A</v>
      </c>
      <c r="AL1112" s="34" t="e">
        <f t="shared" ca="1" si="376"/>
        <v>#N/A</v>
      </c>
      <c r="AM1112" s="33" t="e">
        <f t="shared" ca="1" si="383"/>
        <v>#N/A</v>
      </c>
      <c r="AN1112" s="34" t="e">
        <f t="shared" ca="1" si="384"/>
        <v>#N/A</v>
      </c>
    </row>
    <row r="1113" spans="1:40" x14ac:dyDescent="0.3">
      <c r="A1113" s="2">
        <v>45077</v>
      </c>
      <c r="B1113" s="9">
        <v>65.019997000000004</v>
      </c>
      <c r="C1113" s="9">
        <v>106.30999799999999</v>
      </c>
      <c r="D1113" s="9">
        <v>107.040001</v>
      </c>
      <c r="E1113" s="10"/>
      <c r="F1113" s="13">
        <v>1110</v>
      </c>
      <c r="G1113" s="2">
        <v>45077</v>
      </c>
      <c r="H1113" s="14">
        <f t="shared" si="365"/>
        <v>-2.6558964203309655E-2</v>
      </c>
      <c r="I1113" s="14">
        <f t="shared" si="366"/>
        <v>-2.7920025572259314E-2</v>
      </c>
      <c r="J1113" s="14">
        <f t="shared" si="367"/>
        <v>-4.2255969983027671E-2</v>
      </c>
      <c r="K1113" s="22">
        <v>1110</v>
      </c>
      <c r="L1113" s="12"/>
      <c r="Q1113" s="15">
        <f t="shared" si="368"/>
        <v>1110</v>
      </c>
      <c r="R1113" s="2">
        <f t="shared" si="364"/>
        <v>45077</v>
      </c>
      <c r="S1113" s="9">
        <f t="shared" ca="1" si="369"/>
        <v>-2.6558964203309655E-2</v>
      </c>
      <c r="T1113" s="9">
        <f t="shared" ca="1" si="370"/>
        <v>-2.7920025572259314E-2</v>
      </c>
      <c r="U1113" s="9">
        <f t="shared" ca="1" si="371"/>
        <v>-4.2255969983027671E-2</v>
      </c>
      <c r="AB1113" s="33" t="e">
        <f t="shared" ca="1" si="377"/>
        <v>#N/A</v>
      </c>
      <c r="AC1113" s="34" t="e">
        <f t="shared" ca="1" si="378"/>
        <v>#N/A</v>
      </c>
      <c r="AD1113" s="34" t="e">
        <f t="shared" ca="1" si="379"/>
        <v>#N/A</v>
      </c>
      <c r="AE1113" s="33" t="e">
        <f t="shared" ca="1" si="380"/>
        <v>#N/A</v>
      </c>
      <c r="AF1113" s="34" t="e">
        <f t="shared" ca="1" si="372"/>
        <v>#N/A</v>
      </c>
      <c r="AG1113" s="34" t="e">
        <f t="shared" ca="1" si="373"/>
        <v>#N/A</v>
      </c>
      <c r="AH1113" s="34" t="e">
        <f t="shared" ca="1" si="374"/>
        <v>#N/A</v>
      </c>
      <c r="AI1113" s="33" t="e">
        <f t="shared" ca="1" si="381"/>
        <v>#N/A</v>
      </c>
      <c r="AJ1113" s="34" t="e">
        <f t="shared" ca="1" si="382"/>
        <v>#N/A</v>
      </c>
      <c r="AK1113" s="34" t="e">
        <f t="shared" ca="1" si="375"/>
        <v>#N/A</v>
      </c>
      <c r="AL1113" s="34" t="e">
        <f t="shared" ca="1" si="376"/>
        <v>#N/A</v>
      </c>
      <c r="AM1113" s="33" t="e">
        <f t="shared" ca="1" si="383"/>
        <v>#N/A</v>
      </c>
      <c r="AN1113" s="34" t="e">
        <f t="shared" ca="1" si="384"/>
        <v>#N/A</v>
      </c>
    </row>
    <row r="1114" spans="1:40" x14ac:dyDescent="0.3">
      <c r="A1114" s="2">
        <v>45078</v>
      </c>
      <c r="B1114" s="9">
        <v>66.360000999999997</v>
      </c>
      <c r="C1114" s="9">
        <v>106.089996</v>
      </c>
      <c r="D1114" s="9">
        <v>105.93</v>
      </c>
      <c r="E1114" s="10"/>
      <c r="F1114" s="13">
        <v>1111</v>
      </c>
      <c r="G1114" s="2">
        <v>45078</v>
      </c>
      <c r="H1114" s="14">
        <f t="shared" si="365"/>
        <v>2.0399611655453596E-2</v>
      </c>
      <c r="I1114" s="14">
        <f t="shared" si="366"/>
        <v>-2.071582720264835E-3</v>
      </c>
      <c r="J1114" s="14">
        <f t="shared" si="367"/>
        <v>-1.0424107113815464E-2</v>
      </c>
      <c r="K1114" s="22">
        <v>1111</v>
      </c>
      <c r="L1114" s="12"/>
      <c r="Q1114" s="15">
        <f t="shared" si="368"/>
        <v>1111</v>
      </c>
      <c r="R1114" s="2">
        <f t="shared" si="364"/>
        <v>45078</v>
      </c>
      <c r="S1114" s="9">
        <f t="shared" ca="1" si="369"/>
        <v>2.0399611655453596E-2</v>
      </c>
      <c r="T1114" s="9">
        <f t="shared" ca="1" si="370"/>
        <v>-2.071582720264835E-3</v>
      </c>
      <c r="U1114" s="9">
        <f t="shared" ca="1" si="371"/>
        <v>-1.0424107113815464E-2</v>
      </c>
      <c r="AB1114" s="33" t="e">
        <f t="shared" ca="1" si="377"/>
        <v>#N/A</v>
      </c>
      <c r="AC1114" s="34" t="e">
        <f t="shared" ca="1" si="378"/>
        <v>#N/A</v>
      </c>
      <c r="AD1114" s="34" t="e">
        <f t="shared" ca="1" si="379"/>
        <v>#N/A</v>
      </c>
      <c r="AE1114" s="33" t="e">
        <f t="shared" ca="1" si="380"/>
        <v>#N/A</v>
      </c>
      <c r="AF1114" s="34" t="e">
        <f t="shared" ca="1" si="372"/>
        <v>#N/A</v>
      </c>
      <c r="AG1114" s="34" t="e">
        <f t="shared" ca="1" si="373"/>
        <v>#N/A</v>
      </c>
      <c r="AH1114" s="34" t="e">
        <f t="shared" ca="1" si="374"/>
        <v>#N/A</v>
      </c>
      <c r="AI1114" s="33" t="e">
        <f t="shared" ca="1" si="381"/>
        <v>#N/A</v>
      </c>
      <c r="AJ1114" s="34" t="e">
        <f t="shared" ca="1" si="382"/>
        <v>#N/A</v>
      </c>
      <c r="AK1114" s="34" t="e">
        <f t="shared" ca="1" si="375"/>
        <v>#N/A</v>
      </c>
      <c r="AL1114" s="34" t="e">
        <f t="shared" ca="1" si="376"/>
        <v>#N/A</v>
      </c>
      <c r="AM1114" s="33" t="e">
        <f t="shared" ca="1" si="383"/>
        <v>#N/A</v>
      </c>
      <c r="AN1114" s="34" t="e">
        <f t="shared" ca="1" si="384"/>
        <v>#N/A</v>
      </c>
    </row>
    <row r="1115" spans="1:40" x14ac:dyDescent="0.3">
      <c r="A1115" s="2">
        <v>45079</v>
      </c>
      <c r="B1115" s="9">
        <v>69.879997000000003</v>
      </c>
      <c r="C1115" s="9">
        <v>112.58000199999999</v>
      </c>
      <c r="D1115" s="9">
        <v>109.269997</v>
      </c>
      <c r="E1115" s="10"/>
      <c r="F1115" s="13">
        <v>1112</v>
      </c>
      <c r="G1115" s="2">
        <v>45079</v>
      </c>
      <c r="H1115" s="14">
        <f t="shared" si="365"/>
        <v>5.1684961943554146E-2</v>
      </c>
      <c r="I1115" s="14">
        <f t="shared" si="366"/>
        <v>5.9376345033681999E-2</v>
      </c>
      <c r="J1115" s="14">
        <f t="shared" si="367"/>
        <v>3.1043357519320684E-2</v>
      </c>
      <c r="K1115" s="22">
        <v>1112</v>
      </c>
      <c r="L1115" s="12"/>
      <c r="Q1115" s="15">
        <f t="shared" si="368"/>
        <v>1112</v>
      </c>
      <c r="R1115" s="2">
        <f t="shared" si="364"/>
        <v>45079</v>
      </c>
      <c r="S1115" s="9">
        <f t="shared" ca="1" si="369"/>
        <v>5.1684961943554146E-2</v>
      </c>
      <c r="T1115" s="9">
        <f t="shared" ca="1" si="370"/>
        <v>5.9376345033681999E-2</v>
      </c>
      <c r="U1115" s="9">
        <f t="shared" ca="1" si="371"/>
        <v>3.1043357519320684E-2</v>
      </c>
      <c r="AB1115" s="33" t="e">
        <f t="shared" ca="1" si="377"/>
        <v>#N/A</v>
      </c>
      <c r="AC1115" s="34" t="e">
        <f t="shared" ca="1" si="378"/>
        <v>#N/A</v>
      </c>
      <c r="AD1115" s="34" t="e">
        <f t="shared" ca="1" si="379"/>
        <v>#N/A</v>
      </c>
      <c r="AE1115" s="33" t="e">
        <f t="shared" ca="1" si="380"/>
        <v>#N/A</v>
      </c>
      <c r="AF1115" s="34" t="e">
        <f t="shared" ca="1" si="372"/>
        <v>#N/A</v>
      </c>
      <c r="AG1115" s="34" t="e">
        <f t="shared" ca="1" si="373"/>
        <v>#N/A</v>
      </c>
      <c r="AH1115" s="34" t="e">
        <f t="shared" ca="1" si="374"/>
        <v>#N/A</v>
      </c>
      <c r="AI1115" s="33" t="e">
        <f t="shared" ca="1" si="381"/>
        <v>#N/A</v>
      </c>
      <c r="AJ1115" s="34" t="e">
        <f t="shared" ca="1" si="382"/>
        <v>#N/A</v>
      </c>
      <c r="AK1115" s="34" t="e">
        <f t="shared" ca="1" si="375"/>
        <v>#N/A</v>
      </c>
      <c r="AL1115" s="34" t="e">
        <f t="shared" ca="1" si="376"/>
        <v>#N/A</v>
      </c>
      <c r="AM1115" s="33" t="e">
        <f t="shared" ca="1" si="383"/>
        <v>#N/A</v>
      </c>
      <c r="AN1115" s="34" t="e">
        <f t="shared" ca="1" si="384"/>
        <v>#N/A</v>
      </c>
    </row>
    <row r="1116" spans="1:40" x14ac:dyDescent="0.3">
      <c r="A1116" s="2">
        <v>45082</v>
      </c>
      <c r="B1116" s="9">
        <v>69.610000999999997</v>
      </c>
      <c r="C1116" s="9">
        <v>113.18</v>
      </c>
      <c r="D1116" s="9">
        <v>107.389999</v>
      </c>
      <c r="E1116" s="10"/>
      <c r="F1116" s="13">
        <v>1113</v>
      </c>
      <c r="G1116" s="2">
        <v>45082</v>
      </c>
      <c r="H1116" s="14">
        <f t="shared" si="365"/>
        <v>-3.8711927887894958E-3</v>
      </c>
      <c r="I1116" s="14">
        <f t="shared" si="366"/>
        <v>5.3153739133526522E-3</v>
      </c>
      <c r="J1116" s="14">
        <f t="shared" si="367"/>
        <v>-1.7354797569454395E-2</v>
      </c>
      <c r="K1116" s="22">
        <v>1113</v>
      </c>
      <c r="L1116" s="12"/>
      <c r="Q1116" s="15">
        <f t="shared" si="368"/>
        <v>1113</v>
      </c>
      <c r="R1116" s="2">
        <f t="shared" si="364"/>
        <v>45082</v>
      </c>
      <c r="S1116" s="9">
        <f t="shared" ca="1" si="369"/>
        <v>-3.8711927887894958E-3</v>
      </c>
      <c r="T1116" s="9">
        <f t="shared" ca="1" si="370"/>
        <v>5.3153739133526522E-3</v>
      </c>
      <c r="U1116" s="9">
        <f t="shared" ca="1" si="371"/>
        <v>-1.7354797569454395E-2</v>
      </c>
      <c r="AB1116" s="33" t="e">
        <f t="shared" ca="1" si="377"/>
        <v>#N/A</v>
      </c>
      <c r="AC1116" s="34" t="e">
        <f t="shared" ca="1" si="378"/>
        <v>#N/A</v>
      </c>
      <c r="AD1116" s="34" t="e">
        <f t="shared" ca="1" si="379"/>
        <v>#N/A</v>
      </c>
      <c r="AE1116" s="33" t="e">
        <f t="shared" ca="1" si="380"/>
        <v>#N/A</v>
      </c>
      <c r="AF1116" s="34" t="e">
        <f t="shared" ca="1" si="372"/>
        <v>#N/A</v>
      </c>
      <c r="AG1116" s="34" t="e">
        <f t="shared" ca="1" si="373"/>
        <v>#N/A</v>
      </c>
      <c r="AH1116" s="34" t="e">
        <f t="shared" ca="1" si="374"/>
        <v>#N/A</v>
      </c>
      <c r="AI1116" s="33" t="e">
        <f t="shared" ca="1" si="381"/>
        <v>#N/A</v>
      </c>
      <c r="AJ1116" s="34" t="e">
        <f t="shared" ca="1" si="382"/>
        <v>#N/A</v>
      </c>
      <c r="AK1116" s="34" t="e">
        <f t="shared" ca="1" si="375"/>
        <v>#N/A</v>
      </c>
      <c r="AL1116" s="34" t="e">
        <f t="shared" ca="1" si="376"/>
        <v>#N/A</v>
      </c>
      <c r="AM1116" s="33" t="e">
        <f t="shared" ca="1" si="383"/>
        <v>#N/A</v>
      </c>
      <c r="AN1116" s="34" t="e">
        <f t="shared" ca="1" si="384"/>
        <v>#N/A</v>
      </c>
    </row>
    <row r="1117" spans="1:40" x14ac:dyDescent="0.3">
      <c r="A1117" s="2">
        <v>45083</v>
      </c>
      <c r="B1117" s="9">
        <v>71.5</v>
      </c>
      <c r="C1117" s="9">
        <v>115.489998</v>
      </c>
      <c r="D1117" s="9">
        <v>109.269997</v>
      </c>
      <c r="E1117" s="10"/>
      <c r="F1117" s="13">
        <v>1114</v>
      </c>
      <c r="G1117" s="2">
        <v>45083</v>
      </c>
      <c r="H1117" s="14">
        <f t="shared" si="365"/>
        <v>2.6789200153634923E-2</v>
      </c>
      <c r="I1117" s="14">
        <f t="shared" si="366"/>
        <v>2.0204457095101533E-2</v>
      </c>
      <c r="J1117" s="14">
        <f t="shared" si="367"/>
        <v>1.7354797569454301E-2</v>
      </c>
      <c r="K1117" s="22">
        <v>1114</v>
      </c>
      <c r="L1117" s="12"/>
      <c r="Q1117" s="15">
        <f t="shared" si="368"/>
        <v>1114</v>
      </c>
      <c r="R1117" s="2">
        <f t="shared" si="364"/>
        <v>45083</v>
      </c>
      <c r="S1117" s="9">
        <f t="shared" ca="1" si="369"/>
        <v>2.6789200153634923E-2</v>
      </c>
      <c r="T1117" s="9">
        <f t="shared" ca="1" si="370"/>
        <v>2.0204457095101533E-2</v>
      </c>
      <c r="U1117" s="9">
        <f t="shared" ca="1" si="371"/>
        <v>1.7354797569454301E-2</v>
      </c>
      <c r="AB1117" s="33" t="e">
        <f t="shared" ca="1" si="377"/>
        <v>#N/A</v>
      </c>
      <c r="AC1117" s="34" t="e">
        <f t="shared" ca="1" si="378"/>
        <v>#N/A</v>
      </c>
      <c r="AD1117" s="34" t="e">
        <f t="shared" ca="1" si="379"/>
        <v>#N/A</v>
      </c>
      <c r="AE1117" s="33" t="e">
        <f t="shared" ca="1" si="380"/>
        <v>#N/A</v>
      </c>
      <c r="AF1117" s="34" t="e">
        <f t="shared" ca="1" si="372"/>
        <v>#N/A</v>
      </c>
      <c r="AG1117" s="34" t="e">
        <f t="shared" ca="1" si="373"/>
        <v>#N/A</v>
      </c>
      <c r="AH1117" s="34" t="e">
        <f t="shared" ca="1" si="374"/>
        <v>#N/A</v>
      </c>
      <c r="AI1117" s="33" t="e">
        <f t="shared" ca="1" si="381"/>
        <v>#N/A</v>
      </c>
      <c r="AJ1117" s="34" t="e">
        <f t="shared" ca="1" si="382"/>
        <v>#N/A</v>
      </c>
      <c r="AK1117" s="34" t="e">
        <f t="shared" ca="1" si="375"/>
        <v>#N/A</v>
      </c>
      <c r="AL1117" s="34" t="e">
        <f t="shared" ca="1" si="376"/>
        <v>#N/A</v>
      </c>
      <c r="AM1117" s="33" t="e">
        <f t="shared" ca="1" si="383"/>
        <v>#N/A</v>
      </c>
      <c r="AN1117" s="34" t="e">
        <f t="shared" ca="1" si="384"/>
        <v>#N/A</v>
      </c>
    </row>
    <row r="1118" spans="1:40" x14ac:dyDescent="0.3">
      <c r="A1118" s="2">
        <v>45084</v>
      </c>
      <c r="B1118" s="9">
        <v>72.709998999999996</v>
      </c>
      <c r="C1118" s="9">
        <v>119.029999</v>
      </c>
      <c r="D1118" s="9">
        <v>113.519997</v>
      </c>
      <c r="E1118" s="10"/>
      <c r="F1118" s="13">
        <v>1115</v>
      </c>
      <c r="G1118" s="2">
        <v>45084</v>
      </c>
      <c r="H1118" s="14">
        <f t="shared" si="365"/>
        <v>1.6781463208736976E-2</v>
      </c>
      <c r="I1118" s="14">
        <f t="shared" si="366"/>
        <v>3.0191624969065831E-2</v>
      </c>
      <c r="J1118" s="14">
        <f t="shared" si="367"/>
        <v>3.8157150297000175E-2</v>
      </c>
      <c r="K1118" s="22">
        <v>1115</v>
      </c>
      <c r="L1118" s="12"/>
      <c r="Q1118" s="15">
        <f t="shared" si="368"/>
        <v>1115</v>
      </c>
      <c r="R1118" s="2">
        <f t="shared" si="364"/>
        <v>45084</v>
      </c>
      <c r="S1118" s="9">
        <f t="shared" ca="1" si="369"/>
        <v>1.6781463208736976E-2</v>
      </c>
      <c r="T1118" s="9">
        <f t="shared" ca="1" si="370"/>
        <v>3.0191624969065831E-2</v>
      </c>
      <c r="U1118" s="9">
        <f t="shared" ca="1" si="371"/>
        <v>3.8157150297000175E-2</v>
      </c>
      <c r="AB1118" s="33" t="e">
        <f t="shared" ca="1" si="377"/>
        <v>#N/A</v>
      </c>
      <c r="AC1118" s="34" t="e">
        <f t="shared" ca="1" si="378"/>
        <v>#N/A</v>
      </c>
      <c r="AD1118" s="34" t="e">
        <f t="shared" ca="1" si="379"/>
        <v>#N/A</v>
      </c>
      <c r="AE1118" s="33" t="e">
        <f t="shared" ca="1" si="380"/>
        <v>#N/A</v>
      </c>
      <c r="AF1118" s="34" t="e">
        <f t="shared" ca="1" si="372"/>
        <v>#N/A</v>
      </c>
      <c r="AG1118" s="34" t="e">
        <f t="shared" ca="1" si="373"/>
        <v>#N/A</v>
      </c>
      <c r="AH1118" s="34" t="e">
        <f t="shared" ca="1" si="374"/>
        <v>#N/A</v>
      </c>
      <c r="AI1118" s="33" t="e">
        <f t="shared" ca="1" si="381"/>
        <v>#N/A</v>
      </c>
      <c r="AJ1118" s="34" t="e">
        <f t="shared" ca="1" si="382"/>
        <v>#N/A</v>
      </c>
      <c r="AK1118" s="34" t="e">
        <f t="shared" ca="1" si="375"/>
        <v>#N/A</v>
      </c>
      <c r="AL1118" s="34" t="e">
        <f t="shared" ca="1" si="376"/>
        <v>#N/A</v>
      </c>
      <c r="AM1118" s="33" t="e">
        <f t="shared" ca="1" si="383"/>
        <v>#N/A</v>
      </c>
      <c r="AN1118" s="34" t="e">
        <f t="shared" ca="1" si="384"/>
        <v>#N/A</v>
      </c>
    </row>
    <row r="1119" spans="1:40" x14ac:dyDescent="0.3">
      <c r="A1119" s="2">
        <v>45085</v>
      </c>
      <c r="B1119" s="9">
        <v>72.889999000000003</v>
      </c>
      <c r="C1119" s="9">
        <v>117.730003</v>
      </c>
      <c r="D1119" s="9">
        <v>112.44000200000001</v>
      </c>
      <c r="E1119" s="10"/>
      <c r="F1119" s="13">
        <v>1116</v>
      </c>
      <c r="G1119" s="2">
        <v>45085</v>
      </c>
      <c r="H1119" s="14">
        <f t="shared" si="365"/>
        <v>2.4725287661195982E-3</v>
      </c>
      <c r="I1119" s="14">
        <f t="shared" si="366"/>
        <v>-1.0981661206404817E-2</v>
      </c>
      <c r="J1119" s="14">
        <f t="shared" si="367"/>
        <v>-9.5592425991302375E-3</v>
      </c>
      <c r="K1119" s="22">
        <v>1116</v>
      </c>
      <c r="L1119" s="12"/>
      <c r="Q1119" s="15">
        <f t="shared" si="368"/>
        <v>1116</v>
      </c>
      <c r="R1119" s="2">
        <f t="shared" si="364"/>
        <v>45085</v>
      </c>
      <c r="S1119" s="9">
        <f t="shared" ca="1" si="369"/>
        <v>2.4725287661195982E-3</v>
      </c>
      <c r="T1119" s="9">
        <f t="shared" ca="1" si="370"/>
        <v>-1.0981661206404817E-2</v>
      </c>
      <c r="U1119" s="9">
        <f t="shared" ca="1" si="371"/>
        <v>-9.5592425991302375E-3</v>
      </c>
      <c r="AB1119" s="33" t="e">
        <f t="shared" ca="1" si="377"/>
        <v>#N/A</v>
      </c>
      <c r="AC1119" s="34" t="e">
        <f t="shared" ca="1" si="378"/>
        <v>#N/A</v>
      </c>
      <c r="AD1119" s="34" t="e">
        <f t="shared" ca="1" si="379"/>
        <v>#N/A</v>
      </c>
      <c r="AE1119" s="33" t="e">
        <f t="shared" ca="1" si="380"/>
        <v>#N/A</v>
      </c>
      <c r="AF1119" s="34" t="e">
        <f t="shared" ca="1" si="372"/>
        <v>#N/A</v>
      </c>
      <c r="AG1119" s="34" t="e">
        <f t="shared" ca="1" si="373"/>
        <v>#N/A</v>
      </c>
      <c r="AH1119" s="34" t="e">
        <f t="shared" ca="1" si="374"/>
        <v>#N/A</v>
      </c>
      <c r="AI1119" s="33" t="e">
        <f t="shared" ca="1" si="381"/>
        <v>#N/A</v>
      </c>
      <c r="AJ1119" s="34" t="e">
        <f t="shared" ca="1" si="382"/>
        <v>#N/A</v>
      </c>
      <c r="AK1119" s="34" t="e">
        <f t="shared" ca="1" si="375"/>
        <v>#N/A</v>
      </c>
      <c r="AL1119" s="34" t="e">
        <f t="shared" ca="1" si="376"/>
        <v>#N/A</v>
      </c>
      <c r="AM1119" s="33" t="e">
        <f t="shared" ca="1" si="383"/>
        <v>#N/A</v>
      </c>
      <c r="AN1119" s="34" t="e">
        <f t="shared" ca="1" si="384"/>
        <v>#N/A</v>
      </c>
    </row>
    <row r="1120" spans="1:40" x14ac:dyDescent="0.3">
      <c r="A1120" s="2">
        <v>45086</v>
      </c>
      <c r="B1120" s="9">
        <v>72.720000999999996</v>
      </c>
      <c r="C1120" s="9">
        <v>117.33000199999999</v>
      </c>
      <c r="D1120" s="9">
        <v>113.389999</v>
      </c>
      <c r="E1120" s="10"/>
      <c r="F1120" s="13">
        <v>1117</v>
      </c>
      <c r="G1120" s="2">
        <v>45086</v>
      </c>
      <c r="H1120" s="14">
        <f t="shared" si="365"/>
        <v>-2.3349780542201277E-3</v>
      </c>
      <c r="I1120" s="14">
        <f t="shared" si="366"/>
        <v>-3.4033980906691464E-3</v>
      </c>
      <c r="J1120" s="14">
        <f t="shared" si="367"/>
        <v>8.413431339033205E-3</v>
      </c>
      <c r="K1120" s="22">
        <v>1117</v>
      </c>
      <c r="L1120" s="12"/>
      <c r="Q1120" s="15">
        <f t="shared" si="368"/>
        <v>1117</v>
      </c>
      <c r="R1120" s="2">
        <f t="shared" si="364"/>
        <v>45086</v>
      </c>
      <c r="S1120" s="9">
        <f t="shared" ca="1" si="369"/>
        <v>-2.3349780542201277E-3</v>
      </c>
      <c r="T1120" s="9">
        <f t="shared" ca="1" si="370"/>
        <v>-3.4033980906691464E-3</v>
      </c>
      <c r="U1120" s="9">
        <f t="shared" ca="1" si="371"/>
        <v>8.413431339033205E-3</v>
      </c>
      <c r="AB1120" s="33" t="e">
        <f t="shared" ca="1" si="377"/>
        <v>#N/A</v>
      </c>
      <c r="AC1120" s="34" t="e">
        <f t="shared" ca="1" si="378"/>
        <v>#N/A</v>
      </c>
      <c r="AD1120" s="34" t="e">
        <f t="shared" ca="1" si="379"/>
        <v>#N/A</v>
      </c>
      <c r="AE1120" s="33" t="e">
        <f t="shared" ca="1" si="380"/>
        <v>#N/A</v>
      </c>
      <c r="AF1120" s="34" t="e">
        <f t="shared" ca="1" si="372"/>
        <v>#N/A</v>
      </c>
      <c r="AG1120" s="34" t="e">
        <f t="shared" ca="1" si="373"/>
        <v>#N/A</v>
      </c>
      <c r="AH1120" s="34" t="e">
        <f t="shared" ca="1" si="374"/>
        <v>#N/A</v>
      </c>
      <c r="AI1120" s="33" t="e">
        <f t="shared" ca="1" si="381"/>
        <v>#N/A</v>
      </c>
      <c r="AJ1120" s="34" t="e">
        <f t="shared" ca="1" si="382"/>
        <v>#N/A</v>
      </c>
      <c r="AK1120" s="34" t="e">
        <f t="shared" ca="1" si="375"/>
        <v>#N/A</v>
      </c>
      <c r="AL1120" s="34" t="e">
        <f t="shared" ca="1" si="376"/>
        <v>#N/A</v>
      </c>
      <c r="AM1120" s="33" t="e">
        <f t="shared" ca="1" si="383"/>
        <v>#N/A</v>
      </c>
      <c r="AN1120" s="34" t="e">
        <f t="shared" ca="1" si="384"/>
        <v>#N/A</v>
      </c>
    </row>
    <row r="1121" spans="1:40" x14ac:dyDescent="0.3">
      <c r="A1121" s="2">
        <v>45089</v>
      </c>
      <c r="B1121" s="9">
        <v>73.430000000000007</v>
      </c>
      <c r="C1121" s="9">
        <v>118.30999799999999</v>
      </c>
      <c r="D1121" s="9">
        <v>113.08000199999999</v>
      </c>
      <c r="E1121" s="10"/>
      <c r="F1121" s="13">
        <v>1118</v>
      </c>
      <c r="G1121" s="2">
        <v>45089</v>
      </c>
      <c r="H1121" s="14">
        <f t="shared" si="365"/>
        <v>9.7161078429207452E-3</v>
      </c>
      <c r="I1121" s="14">
        <f t="shared" si="366"/>
        <v>8.3177868793583194E-3</v>
      </c>
      <c r="J1121" s="14">
        <f t="shared" si="367"/>
        <v>-2.7376446526456107E-3</v>
      </c>
      <c r="K1121" s="22">
        <v>1118</v>
      </c>
      <c r="L1121" s="12"/>
      <c r="Q1121" s="15">
        <f t="shared" si="368"/>
        <v>1118</v>
      </c>
      <c r="R1121" s="2">
        <f t="shared" si="364"/>
        <v>45089</v>
      </c>
      <c r="S1121" s="9">
        <f t="shared" ca="1" si="369"/>
        <v>9.7161078429207452E-3</v>
      </c>
      <c r="T1121" s="9">
        <f t="shared" ca="1" si="370"/>
        <v>8.3177868793583194E-3</v>
      </c>
      <c r="U1121" s="9">
        <f t="shared" ca="1" si="371"/>
        <v>-2.7376446526456107E-3</v>
      </c>
      <c r="AB1121" s="33" t="e">
        <f t="shared" ca="1" si="377"/>
        <v>#N/A</v>
      </c>
      <c r="AC1121" s="34" t="e">
        <f t="shared" ca="1" si="378"/>
        <v>#N/A</v>
      </c>
      <c r="AD1121" s="34" t="e">
        <f t="shared" ca="1" si="379"/>
        <v>#N/A</v>
      </c>
      <c r="AE1121" s="33" t="e">
        <f t="shared" ca="1" si="380"/>
        <v>#N/A</v>
      </c>
      <c r="AF1121" s="34" t="e">
        <f t="shared" ca="1" si="372"/>
        <v>#N/A</v>
      </c>
      <c r="AG1121" s="34" t="e">
        <f t="shared" ca="1" si="373"/>
        <v>#N/A</v>
      </c>
      <c r="AH1121" s="34" t="e">
        <f t="shared" ca="1" si="374"/>
        <v>#N/A</v>
      </c>
      <c r="AI1121" s="33" t="e">
        <f t="shared" ca="1" si="381"/>
        <v>#N/A</v>
      </c>
      <c r="AJ1121" s="34" t="e">
        <f t="shared" ca="1" si="382"/>
        <v>#N/A</v>
      </c>
      <c r="AK1121" s="34" t="e">
        <f t="shared" ca="1" si="375"/>
        <v>#N/A</v>
      </c>
      <c r="AL1121" s="34" t="e">
        <f t="shared" ca="1" si="376"/>
        <v>#N/A</v>
      </c>
      <c r="AM1121" s="33" t="e">
        <f t="shared" ca="1" si="383"/>
        <v>#N/A</v>
      </c>
      <c r="AN1121" s="34" t="e">
        <f t="shared" ca="1" si="384"/>
        <v>#N/A</v>
      </c>
    </row>
    <row r="1122" spans="1:40" x14ac:dyDescent="0.3">
      <c r="A1122" s="2">
        <v>45090</v>
      </c>
      <c r="B1122" s="9">
        <v>74.919998000000007</v>
      </c>
      <c r="C1122" s="9">
        <v>120.620003</v>
      </c>
      <c r="D1122" s="9">
        <v>113.08000199999999</v>
      </c>
      <c r="E1122" s="10"/>
      <c r="F1122" s="13">
        <v>1119</v>
      </c>
      <c r="G1122" s="2">
        <v>45090</v>
      </c>
      <c r="H1122" s="14">
        <f t="shared" si="365"/>
        <v>2.0088279417226868E-2</v>
      </c>
      <c r="I1122" s="14">
        <f t="shared" si="366"/>
        <v>1.9336851533508226E-2</v>
      </c>
      <c r="J1122" s="14">
        <f t="shared" si="367"/>
        <v>0</v>
      </c>
      <c r="K1122" s="22">
        <v>1119</v>
      </c>
      <c r="L1122" s="12"/>
      <c r="Q1122" s="15">
        <f t="shared" si="368"/>
        <v>1119</v>
      </c>
      <c r="R1122" s="2">
        <f t="shared" si="364"/>
        <v>45090</v>
      </c>
      <c r="S1122" s="9">
        <f t="shared" ca="1" si="369"/>
        <v>2.0088279417226868E-2</v>
      </c>
      <c r="T1122" s="9">
        <f t="shared" ca="1" si="370"/>
        <v>1.9336851533508226E-2</v>
      </c>
      <c r="U1122" s="9">
        <f t="shared" ca="1" si="371"/>
        <v>0</v>
      </c>
      <c r="AB1122" s="33" t="e">
        <f t="shared" ca="1" si="377"/>
        <v>#N/A</v>
      </c>
      <c r="AC1122" s="34" t="e">
        <f t="shared" ca="1" si="378"/>
        <v>#N/A</v>
      </c>
      <c r="AD1122" s="34" t="e">
        <f t="shared" ca="1" si="379"/>
        <v>#N/A</v>
      </c>
      <c r="AE1122" s="33" t="e">
        <f t="shared" ca="1" si="380"/>
        <v>#N/A</v>
      </c>
      <c r="AF1122" s="34" t="e">
        <f t="shared" ca="1" si="372"/>
        <v>#N/A</v>
      </c>
      <c r="AG1122" s="34" t="e">
        <f t="shared" ca="1" si="373"/>
        <v>#N/A</v>
      </c>
      <c r="AH1122" s="34" t="e">
        <f t="shared" ca="1" si="374"/>
        <v>#N/A</v>
      </c>
      <c r="AI1122" s="33" t="e">
        <f t="shared" ca="1" si="381"/>
        <v>#N/A</v>
      </c>
      <c r="AJ1122" s="34" t="e">
        <f t="shared" ca="1" si="382"/>
        <v>#N/A</v>
      </c>
      <c r="AK1122" s="34" t="e">
        <f t="shared" ca="1" si="375"/>
        <v>#N/A</v>
      </c>
      <c r="AL1122" s="34" t="e">
        <f t="shared" ca="1" si="376"/>
        <v>#N/A</v>
      </c>
      <c r="AM1122" s="33" t="e">
        <f t="shared" ca="1" si="383"/>
        <v>#N/A</v>
      </c>
      <c r="AN1122" s="34" t="e">
        <f t="shared" ca="1" si="384"/>
        <v>#N/A</v>
      </c>
    </row>
    <row r="1123" spans="1:40" x14ac:dyDescent="0.3">
      <c r="A1123" s="2">
        <v>45091</v>
      </c>
      <c r="B1123" s="9">
        <v>71.370002999999997</v>
      </c>
      <c r="C1123" s="9">
        <v>121.739998</v>
      </c>
      <c r="D1123" s="9">
        <v>111.83000199999999</v>
      </c>
      <c r="E1123" s="10"/>
      <c r="F1123" s="13">
        <v>1120</v>
      </c>
      <c r="G1123" s="2">
        <v>45091</v>
      </c>
      <c r="H1123" s="14">
        <f t="shared" si="365"/>
        <v>-4.8543195863302677E-2</v>
      </c>
      <c r="I1123" s="14">
        <f t="shared" si="366"/>
        <v>9.2424737429866091E-3</v>
      </c>
      <c r="J1123" s="14">
        <f t="shared" si="367"/>
        <v>-1.1115671587597587E-2</v>
      </c>
      <c r="K1123" s="22">
        <v>1120</v>
      </c>
      <c r="L1123" s="12"/>
      <c r="Q1123" s="15">
        <f t="shared" si="368"/>
        <v>1120</v>
      </c>
      <c r="R1123" s="2">
        <f t="shared" si="364"/>
        <v>45091</v>
      </c>
      <c r="S1123" s="9">
        <f t="shared" ca="1" si="369"/>
        <v>-4.8543195863302677E-2</v>
      </c>
      <c r="T1123" s="9">
        <f t="shared" ca="1" si="370"/>
        <v>9.2424737429866091E-3</v>
      </c>
      <c r="U1123" s="9">
        <f t="shared" ca="1" si="371"/>
        <v>-1.1115671587597587E-2</v>
      </c>
      <c r="AB1123" s="33" t="e">
        <f t="shared" ca="1" si="377"/>
        <v>#N/A</v>
      </c>
      <c r="AC1123" s="34" t="e">
        <f t="shared" ca="1" si="378"/>
        <v>#N/A</v>
      </c>
      <c r="AD1123" s="34" t="e">
        <f t="shared" ca="1" si="379"/>
        <v>#N/A</v>
      </c>
      <c r="AE1123" s="33" t="e">
        <f t="shared" ca="1" si="380"/>
        <v>#N/A</v>
      </c>
      <c r="AF1123" s="34" t="e">
        <f t="shared" ca="1" si="372"/>
        <v>#N/A</v>
      </c>
      <c r="AG1123" s="34" t="e">
        <f t="shared" ca="1" si="373"/>
        <v>#N/A</v>
      </c>
      <c r="AH1123" s="34" t="e">
        <f t="shared" ca="1" si="374"/>
        <v>#N/A</v>
      </c>
      <c r="AI1123" s="33" t="e">
        <f t="shared" ca="1" si="381"/>
        <v>#N/A</v>
      </c>
      <c r="AJ1123" s="34" t="e">
        <f t="shared" ca="1" si="382"/>
        <v>#N/A</v>
      </c>
      <c r="AK1123" s="34" t="e">
        <f t="shared" ca="1" si="375"/>
        <v>#N/A</v>
      </c>
      <c r="AL1123" s="34" t="e">
        <f t="shared" ca="1" si="376"/>
        <v>#N/A</v>
      </c>
      <c r="AM1123" s="33" t="e">
        <f t="shared" ca="1" si="383"/>
        <v>#N/A</v>
      </c>
      <c r="AN1123" s="34" t="e">
        <f t="shared" ca="1" si="384"/>
        <v>#N/A</v>
      </c>
    </row>
    <row r="1124" spans="1:40" x14ac:dyDescent="0.3">
      <c r="A1124" s="2">
        <v>45092</v>
      </c>
      <c r="B1124" s="9">
        <v>73.279999000000004</v>
      </c>
      <c r="C1124" s="9">
        <v>121.470001</v>
      </c>
      <c r="D1124" s="9">
        <v>114.029999</v>
      </c>
      <c r="E1124" s="10"/>
      <c r="F1124" s="13">
        <v>1121</v>
      </c>
      <c r="G1124" s="2">
        <v>45092</v>
      </c>
      <c r="H1124" s="14">
        <f t="shared" si="365"/>
        <v>2.6410051702143316E-2</v>
      </c>
      <c r="I1124" s="14">
        <f t="shared" si="366"/>
        <v>-2.2202796926593621E-3</v>
      </c>
      <c r="J1124" s="14">
        <f t="shared" si="367"/>
        <v>1.948168397525964E-2</v>
      </c>
      <c r="K1124" s="22">
        <v>1121</v>
      </c>
      <c r="L1124" s="12"/>
      <c r="Q1124" s="15">
        <f t="shared" si="368"/>
        <v>1121</v>
      </c>
      <c r="R1124" s="2">
        <f t="shared" si="364"/>
        <v>45092</v>
      </c>
      <c r="S1124" s="9">
        <f t="shared" ca="1" si="369"/>
        <v>2.6410051702143316E-2</v>
      </c>
      <c r="T1124" s="9">
        <f t="shared" ca="1" si="370"/>
        <v>-2.2202796926593621E-3</v>
      </c>
      <c r="U1124" s="9">
        <f t="shared" ca="1" si="371"/>
        <v>1.948168397525964E-2</v>
      </c>
      <c r="AB1124" s="33" t="e">
        <f t="shared" ca="1" si="377"/>
        <v>#N/A</v>
      </c>
      <c r="AC1124" s="34" t="e">
        <f t="shared" ca="1" si="378"/>
        <v>#N/A</v>
      </c>
      <c r="AD1124" s="34" t="e">
        <f t="shared" ca="1" si="379"/>
        <v>#N/A</v>
      </c>
      <c r="AE1124" s="33" t="e">
        <f t="shared" ca="1" si="380"/>
        <v>#N/A</v>
      </c>
      <c r="AF1124" s="34" t="e">
        <f t="shared" ca="1" si="372"/>
        <v>#N/A</v>
      </c>
      <c r="AG1124" s="34" t="e">
        <f t="shared" ca="1" si="373"/>
        <v>#N/A</v>
      </c>
      <c r="AH1124" s="34" t="e">
        <f t="shared" ca="1" si="374"/>
        <v>#N/A</v>
      </c>
      <c r="AI1124" s="33" t="e">
        <f t="shared" ca="1" si="381"/>
        <v>#N/A</v>
      </c>
      <c r="AJ1124" s="34" t="e">
        <f t="shared" ca="1" si="382"/>
        <v>#N/A</v>
      </c>
      <c r="AK1124" s="34" t="e">
        <f t="shared" ca="1" si="375"/>
        <v>#N/A</v>
      </c>
      <c r="AL1124" s="34" t="e">
        <f t="shared" ca="1" si="376"/>
        <v>#N/A</v>
      </c>
      <c r="AM1124" s="33" t="e">
        <f t="shared" ca="1" si="383"/>
        <v>#N/A</v>
      </c>
      <c r="AN1124" s="34" t="e">
        <f t="shared" ca="1" si="384"/>
        <v>#N/A</v>
      </c>
    </row>
    <row r="1125" spans="1:40" x14ac:dyDescent="0.3">
      <c r="A1125" s="2">
        <v>45093</v>
      </c>
      <c r="B1125" s="9">
        <v>73.419998000000007</v>
      </c>
      <c r="C1125" s="9">
        <v>123.18</v>
      </c>
      <c r="D1125" s="9">
        <v>114.209999</v>
      </c>
      <c r="E1125" s="10"/>
      <c r="F1125" s="13">
        <v>1122</v>
      </c>
      <c r="G1125" s="2">
        <v>45093</v>
      </c>
      <c r="H1125" s="14">
        <f t="shared" si="365"/>
        <v>1.9086441085675225E-3</v>
      </c>
      <c r="I1125" s="14">
        <f t="shared" si="366"/>
        <v>1.3979373314232459E-2</v>
      </c>
      <c r="J1125" s="14">
        <f t="shared" si="367"/>
        <v>1.5772874070697782E-3</v>
      </c>
      <c r="K1125" s="22">
        <v>1122</v>
      </c>
      <c r="L1125" s="12"/>
      <c r="Q1125" s="15">
        <f t="shared" si="368"/>
        <v>1122</v>
      </c>
      <c r="R1125" s="2">
        <f t="shared" si="364"/>
        <v>45093</v>
      </c>
      <c r="S1125" s="9">
        <f t="shared" ca="1" si="369"/>
        <v>1.9086441085675225E-3</v>
      </c>
      <c r="T1125" s="9">
        <f t="shared" ca="1" si="370"/>
        <v>1.3979373314232459E-2</v>
      </c>
      <c r="U1125" s="9">
        <f t="shared" ca="1" si="371"/>
        <v>1.5772874070697782E-3</v>
      </c>
      <c r="AB1125" s="33" t="e">
        <f t="shared" ca="1" si="377"/>
        <v>#N/A</v>
      </c>
      <c r="AC1125" s="34" t="e">
        <f t="shared" ca="1" si="378"/>
        <v>#N/A</v>
      </c>
      <c r="AD1125" s="34" t="e">
        <f t="shared" ca="1" si="379"/>
        <v>#N/A</v>
      </c>
      <c r="AE1125" s="33" t="e">
        <f t="shared" ca="1" si="380"/>
        <v>#N/A</v>
      </c>
      <c r="AF1125" s="34" t="e">
        <f t="shared" ca="1" si="372"/>
        <v>#N/A</v>
      </c>
      <c r="AG1125" s="34" t="e">
        <f t="shared" ca="1" si="373"/>
        <v>#N/A</v>
      </c>
      <c r="AH1125" s="34" t="e">
        <f t="shared" ca="1" si="374"/>
        <v>#N/A</v>
      </c>
      <c r="AI1125" s="33" t="e">
        <f t="shared" ca="1" si="381"/>
        <v>#N/A</v>
      </c>
      <c r="AJ1125" s="34" t="e">
        <f t="shared" ca="1" si="382"/>
        <v>#N/A</v>
      </c>
      <c r="AK1125" s="34" t="e">
        <f t="shared" ca="1" si="375"/>
        <v>#N/A</v>
      </c>
      <c r="AL1125" s="34" t="e">
        <f t="shared" ca="1" si="376"/>
        <v>#N/A</v>
      </c>
      <c r="AM1125" s="33" t="e">
        <f t="shared" ca="1" si="383"/>
        <v>#N/A</v>
      </c>
      <c r="AN1125" s="34" t="e">
        <f t="shared" ca="1" si="384"/>
        <v>#N/A</v>
      </c>
    </row>
    <row r="1126" spans="1:40" x14ac:dyDescent="0.3">
      <c r="A1126" s="2">
        <v>45097</v>
      </c>
      <c r="B1126" s="9">
        <v>71.559997999999993</v>
      </c>
      <c r="C1126" s="9">
        <v>123.379997</v>
      </c>
      <c r="D1126" s="9">
        <v>110.959999</v>
      </c>
      <c r="E1126" s="10"/>
      <c r="F1126" s="13">
        <v>1123</v>
      </c>
      <c r="G1126" s="2">
        <v>45097</v>
      </c>
      <c r="H1126" s="14">
        <f t="shared" si="365"/>
        <v>-2.5660120136210707E-2</v>
      </c>
      <c r="I1126" s="14">
        <f t="shared" si="366"/>
        <v>1.6222992074711431E-3</v>
      </c>
      <c r="J1126" s="14">
        <f t="shared" si="367"/>
        <v>-2.8869083312395495E-2</v>
      </c>
      <c r="K1126" s="22">
        <v>1123</v>
      </c>
      <c r="L1126" s="12"/>
      <c r="Q1126" s="15">
        <f t="shared" si="368"/>
        <v>1123</v>
      </c>
      <c r="R1126" s="2">
        <f t="shared" si="364"/>
        <v>45097</v>
      </c>
      <c r="S1126" s="9">
        <f t="shared" ca="1" si="369"/>
        <v>-2.5660120136210707E-2</v>
      </c>
      <c r="T1126" s="9">
        <f t="shared" ca="1" si="370"/>
        <v>1.6222992074711431E-3</v>
      </c>
      <c r="U1126" s="9">
        <f t="shared" ca="1" si="371"/>
        <v>-2.8869083312395495E-2</v>
      </c>
      <c r="AB1126" s="33" t="e">
        <f t="shared" ca="1" si="377"/>
        <v>#N/A</v>
      </c>
      <c r="AC1126" s="34" t="e">
        <f t="shared" ca="1" si="378"/>
        <v>#N/A</v>
      </c>
      <c r="AD1126" s="34" t="e">
        <f t="shared" ca="1" si="379"/>
        <v>#N/A</v>
      </c>
      <c r="AE1126" s="33" t="e">
        <f t="shared" ca="1" si="380"/>
        <v>#N/A</v>
      </c>
      <c r="AF1126" s="34" t="e">
        <f t="shared" ca="1" si="372"/>
        <v>#N/A</v>
      </c>
      <c r="AG1126" s="34" t="e">
        <f t="shared" ca="1" si="373"/>
        <v>#N/A</v>
      </c>
      <c r="AH1126" s="34" t="e">
        <f t="shared" ca="1" si="374"/>
        <v>#N/A</v>
      </c>
      <c r="AI1126" s="33" t="e">
        <f t="shared" ca="1" si="381"/>
        <v>#N/A</v>
      </c>
      <c r="AJ1126" s="34" t="e">
        <f t="shared" ca="1" si="382"/>
        <v>#N/A</v>
      </c>
      <c r="AK1126" s="34" t="e">
        <f t="shared" ca="1" si="375"/>
        <v>#N/A</v>
      </c>
      <c r="AL1126" s="34" t="e">
        <f t="shared" ca="1" si="376"/>
        <v>#N/A</v>
      </c>
      <c r="AM1126" s="33" t="e">
        <f t="shared" ca="1" si="383"/>
        <v>#N/A</v>
      </c>
      <c r="AN1126" s="34" t="e">
        <f t="shared" ca="1" si="384"/>
        <v>#N/A</v>
      </c>
    </row>
    <row r="1127" spans="1:40" x14ac:dyDescent="0.3">
      <c r="A1127" s="2">
        <v>45098</v>
      </c>
      <c r="B1127" s="9">
        <v>71.739998</v>
      </c>
      <c r="C1127" s="9">
        <v>123.650002</v>
      </c>
      <c r="D1127" s="9">
        <v>111.620003</v>
      </c>
      <c r="E1127" s="10"/>
      <c r="F1127" s="13">
        <v>1124</v>
      </c>
      <c r="G1127" s="2">
        <v>45098</v>
      </c>
      <c r="H1127" s="14">
        <f t="shared" si="365"/>
        <v>2.5122135337427697E-3</v>
      </c>
      <c r="I1127" s="14">
        <f t="shared" si="366"/>
        <v>2.1860106757434338E-3</v>
      </c>
      <c r="J1127" s="14">
        <f t="shared" si="367"/>
        <v>5.9305052428714851E-3</v>
      </c>
      <c r="K1127" s="22">
        <v>1124</v>
      </c>
      <c r="L1127" s="12"/>
      <c r="Q1127" s="15">
        <f t="shared" si="368"/>
        <v>1124</v>
      </c>
      <c r="R1127" s="2">
        <f t="shared" si="364"/>
        <v>45098</v>
      </c>
      <c r="S1127" s="9">
        <f t="shared" ca="1" si="369"/>
        <v>2.5122135337427697E-3</v>
      </c>
      <c r="T1127" s="9">
        <f t="shared" ca="1" si="370"/>
        <v>2.1860106757434338E-3</v>
      </c>
      <c r="U1127" s="9">
        <f t="shared" ca="1" si="371"/>
        <v>5.9305052428714851E-3</v>
      </c>
      <c r="AB1127" s="33" t="e">
        <f t="shared" ca="1" si="377"/>
        <v>#N/A</v>
      </c>
      <c r="AC1127" s="34" t="e">
        <f t="shared" ca="1" si="378"/>
        <v>#N/A</v>
      </c>
      <c r="AD1127" s="34" t="e">
        <f t="shared" ca="1" si="379"/>
        <v>#N/A</v>
      </c>
      <c r="AE1127" s="33" t="e">
        <f t="shared" ca="1" si="380"/>
        <v>#N/A</v>
      </c>
      <c r="AF1127" s="34" t="e">
        <f t="shared" ca="1" si="372"/>
        <v>#N/A</v>
      </c>
      <c r="AG1127" s="34" t="e">
        <f t="shared" ca="1" si="373"/>
        <v>#N/A</v>
      </c>
      <c r="AH1127" s="34" t="e">
        <f t="shared" ca="1" si="374"/>
        <v>#N/A</v>
      </c>
      <c r="AI1127" s="33" t="e">
        <f t="shared" ca="1" si="381"/>
        <v>#N/A</v>
      </c>
      <c r="AJ1127" s="34" t="e">
        <f t="shared" ca="1" si="382"/>
        <v>#N/A</v>
      </c>
      <c r="AK1127" s="34" t="e">
        <f t="shared" ca="1" si="375"/>
        <v>#N/A</v>
      </c>
      <c r="AL1127" s="34" t="e">
        <f t="shared" ca="1" si="376"/>
        <v>#N/A</v>
      </c>
      <c r="AM1127" s="33" t="e">
        <f t="shared" ca="1" si="383"/>
        <v>#N/A</v>
      </c>
      <c r="AN1127" s="34" t="e">
        <f t="shared" ca="1" si="384"/>
        <v>#N/A</v>
      </c>
    </row>
    <row r="1128" spans="1:40" x14ac:dyDescent="0.3">
      <c r="A1128" s="2">
        <v>45099</v>
      </c>
      <c r="B1128" s="9">
        <v>70.910004000000001</v>
      </c>
      <c r="C1128" s="9">
        <v>122.779999</v>
      </c>
      <c r="D1128" s="9">
        <v>110.389999</v>
      </c>
      <c r="E1128" s="10"/>
      <c r="F1128" s="13">
        <v>1125</v>
      </c>
      <c r="G1128" s="2">
        <v>45099</v>
      </c>
      <c r="H1128" s="14">
        <f t="shared" si="365"/>
        <v>-1.1636920500249176E-2</v>
      </c>
      <c r="I1128" s="14">
        <f t="shared" si="366"/>
        <v>-7.0608822874104341E-3</v>
      </c>
      <c r="J1128" s="14">
        <f t="shared" si="367"/>
        <v>-1.1080731265722185E-2</v>
      </c>
      <c r="K1128" s="22">
        <v>1125</v>
      </c>
      <c r="L1128" s="12"/>
      <c r="Q1128" s="15">
        <f t="shared" si="368"/>
        <v>1125</v>
      </c>
      <c r="R1128" s="2">
        <f t="shared" si="364"/>
        <v>45099</v>
      </c>
      <c r="S1128" s="9">
        <f t="shared" ca="1" si="369"/>
        <v>-1.1636920500249176E-2</v>
      </c>
      <c r="T1128" s="9">
        <f t="shared" ca="1" si="370"/>
        <v>-7.0608822874104341E-3</v>
      </c>
      <c r="U1128" s="9">
        <f t="shared" ca="1" si="371"/>
        <v>-1.1080731265722185E-2</v>
      </c>
      <c r="AB1128" s="33" t="e">
        <f t="shared" ca="1" si="377"/>
        <v>#N/A</v>
      </c>
      <c r="AC1128" s="34" t="e">
        <f t="shared" ca="1" si="378"/>
        <v>#N/A</v>
      </c>
      <c r="AD1128" s="34" t="e">
        <f t="shared" ca="1" si="379"/>
        <v>#N/A</v>
      </c>
      <c r="AE1128" s="33" t="e">
        <f t="shared" ca="1" si="380"/>
        <v>#N/A</v>
      </c>
      <c r="AF1128" s="34" t="e">
        <f t="shared" ca="1" si="372"/>
        <v>#N/A</v>
      </c>
      <c r="AG1128" s="34" t="e">
        <f t="shared" ca="1" si="373"/>
        <v>#N/A</v>
      </c>
      <c r="AH1128" s="34" t="e">
        <f t="shared" ca="1" si="374"/>
        <v>#N/A</v>
      </c>
      <c r="AI1128" s="33" t="e">
        <f t="shared" ca="1" si="381"/>
        <v>#N/A</v>
      </c>
      <c r="AJ1128" s="34" t="e">
        <f t="shared" ca="1" si="382"/>
        <v>#N/A</v>
      </c>
      <c r="AK1128" s="34" t="e">
        <f t="shared" ca="1" si="375"/>
        <v>#N/A</v>
      </c>
      <c r="AL1128" s="34" t="e">
        <f t="shared" ca="1" si="376"/>
        <v>#N/A</v>
      </c>
      <c r="AM1128" s="33" t="e">
        <f t="shared" ca="1" si="383"/>
        <v>#N/A</v>
      </c>
      <c r="AN1128" s="34" t="e">
        <f t="shared" ca="1" si="384"/>
        <v>#N/A</v>
      </c>
    </row>
    <row r="1129" spans="1:40" x14ac:dyDescent="0.3">
      <c r="A1129" s="2">
        <v>45100</v>
      </c>
      <c r="B1129" s="9">
        <v>70.529999000000004</v>
      </c>
      <c r="C1129" s="9">
        <v>119.620003</v>
      </c>
      <c r="D1129" s="9">
        <v>111.300003</v>
      </c>
      <c r="E1129" s="10"/>
      <c r="F1129" s="13">
        <v>1126</v>
      </c>
      <c r="G1129" s="2">
        <v>45100</v>
      </c>
      <c r="H1129" s="14">
        <f t="shared" si="365"/>
        <v>-5.3733866837129491E-3</v>
      </c>
      <c r="I1129" s="14">
        <f t="shared" si="366"/>
        <v>-2.607405115887259E-2</v>
      </c>
      <c r="J1129" s="14">
        <f t="shared" si="367"/>
        <v>8.2097442642080163E-3</v>
      </c>
      <c r="K1129" s="22">
        <v>1126</v>
      </c>
      <c r="L1129" s="12"/>
      <c r="Q1129" s="15">
        <f t="shared" si="368"/>
        <v>1126</v>
      </c>
      <c r="R1129" s="2">
        <f t="shared" si="364"/>
        <v>45100</v>
      </c>
      <c r="S1129" s="9">
        <f t="shared" ca="1" si="369"/>
        <v>-5.3733866837129491E-3</v>
      </c>
      <c r="T1129" s="9">
        <f t="shared" ca="1" si="370"/>
        <v>-2.607405115887259E-2</v>
      </c>
      <c r="U1129" s="9">
        <f t="shared" ca="1" si="371"/>
        <v>8.2097442642080163E-3</v>
      </c>
      <c r="AB1129" s="33" t="e">
        <f t="shared" ca="1" si="377"/>
        <v>#N/A</v>
      </c>
      <c r="AC1129" s="34" t="e">
        <f t="shared" ca="1" si="378"/>
        <v>#N/A</v>
      </c>
      <c r="AD1129" s="34" t="e">
        <f t="shared" ca="1" si="379"/>
        <v>#N/A</v>
      </c>
      <c r="AE1129" s="33" t="e">
        <f t="shared" ca="1" si="380"/>
        <v>#N/A</v>
      </c>
      <c r="AF1129" s="34" t="e">
        <f t="shared" ca="1" si="372"/>
        <v>#N/A</v>
      </c>
      <c r="AG1129" s="34" t="e">
        <f t="shared" ca="1" si="373"/>
        <v>#N/A</v>
      </c>
      <c r="AH1129" s="34" t="e">
        <f t="shared" ca="1" si="374"/>
        <v>#N/A</v>
      </c>
      <c r="AI1129" s="33" t="e">
        <f t="shared" ca="1" si="381"/>
        <v>#N/A</v>
      </c>
      <c r="AJ1129" s="34" t="e">
        <f t="shared" ca="1" si="382"/>
        <v>#N/A</v>
      </c>
      <c r="AK1129" s="34" t="e">
        <f t="shared" ca="1" si="375"/>
        <v>#N/A</v>
      </c>
      <c r="AL1129" s="34" t="e">
        <f t="shared" ca="1" si="376"/>
        <v>#N/A</v>
      </c>
      <c r="AM1129" s="33" t="e">
        <f t="shared" ca="1" si="383"/>
        <v>#N/A</v>
      </c>
      <c r="AN1129" s="34" t="e">
        <f t="shared" ca="1" si="384"/>
        <v>#N/A</v>
      </c>
    </row>
    <row r="1130" spans="1:40" x14ac:dyDescent="0.3">
      <c r="A1130" s="2">
        <v>45103</v>
      </c>
      <c r="B1130" s="9">
        <v>71.870002999999997</v>
      </c>
      <c r="C1130" s="9">
        <v>118.709999</v>
      </c>
      <c r="D1130" s="9">
        <v>112.989998</v>
      </c>
      <c r="E1130" s="10"/>
      <c r="F1130" s="13">
        <v>1127</v>
      </c>
      <c r="G1130" s="2">
        <v>45103</v>
      </c>
      <c r="H1130" s="14">
        <f t="shared" si="365"/>
        <v>1.8820836180660612E-2</v>
      </c>
      <c r="I1130" s="14">
        <f t="shared" si="366"/>
        <v>-7.6365410542763561E-3</v>
      </c>
      <c r="J1130" s="14">
        <f t="shared" si="367"/>
        <v>1.5070016284796432E-2</v>
      </c>
      <c r="K1130" s="22">
        <v>1127</v>
      </c>
      <c r="L1130" s="12"/>
      <c r="Q1130" s="15">
        <f t="shared" si="368"/>
        <v>1127</v>
      </c>
      <c r="R1130" s="2">
        <f t="shared" si="364"/>
        <v>45103</v>
      </c>
      <c r="S1130" s="9">
        <f t="shared" ca="1" si="369"/>
        <v>1.8820836180660612E-2</v>
      </c>
      <c r="T1130" s="9">
        <f t="shared" ca="1" si="370"/>
        <v>-7.6365410542763561E-3</v>
      </c>
      <c r="U1130" s="9">
        <f t="shared" ca="1" si="371"/>
        <v>1.5070016284796432E-2</v>
      </c>
      <c r="AB1130" s="33" t="e">
        <f t="shared" ca="1" si="377"/>
        <v>#N/A</v>
      </c>
      <c r="AC1130" s="34" t="e">
        <f t="shared" ca="1" si="378"/>
        <v>#N/A</v>
      </c>
      <c r="AD1130" s="34" t="e">
        <f t="shared" ca="1" si="379"/>
        <v>#N/A</v>
      </c>
      <c r="AE1130" s="33" t="e">
        <f t="shared" ca="1" si="380"/>
        <v>#N/A</v>
      </c>
      <c r="AF1130" s="34" t="e">
        <f t="shared" ca="1" si="372"/>
        <v>#N/A</v>
      </c>
      <c r="AG1130" s="34" t="e">
        <f t="shared" ca="1" si="373"/>
        <v>#N/A</v>
      </c>
      <c r="AH1130" s="34" t="e">
        <f t="shared" ca="1" si="374"/>
        <v>#N/A</v>
      </c>
      <c r="AI1130" s="33" t="e">
        <f t="shared" ca="1" si="381"/>
        <v>#N/A</v>
      </c>
      <c r="AJ1130" s="34" t="e">
        <f t="shared" ca="1" si="382"/>
        <v>#N/A</v>
      </c>
      <c r="AK1130" s="34" t="e">
        <f t="shared" ca="1" si="375"/>
        <v>#N/A</v>
      </c>
      <c r="AL1130" s="34" t="e">
        <f t="shared" ca="1" si="376"/>
        <v>#N/A</v>
      </c>
      <c r="AM1130" s="33" t="e">
        <f t="shared" ca="1" si="383"/>
        <v>#N/A</v>
      </c>
      <c r="AN1130" s="34" t="e">
        <f t="shared" ca="1" si="384"/>
        <v>#N/A</v>
      </c>
    </row>
    <row r="1131" spans="1:40" x14ac:dyDescent="0.3">
      <c r="A1131" s="2">
        <v>45104</v>
      </c>
      <c r="B1131" s="9">
        <v>72.059997999999993</v>
      </c>
      <c r="C1131" s="9">
        <v>121.5</v>
      </c>
      <c r="D1131" s="9">
        <v>115.349998</v>
      </c>
      <c r="E1131" s="10"/>
      <c r="F1131" s="13">
        <v>1128</v>
      </c>
      <c r="G1131" s="2">
        <v>45104</v>
      </c>
      <c r="H1131" s="14">
        <f t="shared" si="365"/>
        <v>2.6401043429131487E-3</v>
      </c>
      <c r="I1131" s="14">
        <f t="shared" si="366"/>
        <v>2.3230727139050732E-2</v>
      </c>
      <c r="J1131" s="14">
        <f t="shared" si="367"/>
        <v>2.0671665760754375E-2</v>
      </c>
      <c r="K1131" s="22">
        <v>1128</v>
      </c>
      <c r="L1131" s="12"/>
      <c r="Q1131" s="15">
        <f t="shared" si="368"/>
        <v>1128</v>
      </c>
      <c r="R1131" s="2">
        <f t="shared" si="364"/>
        <v>45104</v>
      </c>
      <c r="S1131" s="9">
        <f t="shared" ca="1" si="369"/>
        <v>2.6401043429131487E-3</v>
      </c>
      <c r="T1131" s="9">
        <f t="shared" ca="1" si="370"/>
        <v>2.3230727139050732E-2</v>
      </c>
      <c r="U1131" s="9">
        <f t="shared" ca="1" si="371"/>
        <v>2.0671665760754375E-2</v>
      </c>
      <c r="AB1131" s="33" t="e">
        <f t="shared" ca="1" si="377"/>
        <v>#N/A</v>
      </c>
      <c r="AC1131" s="34" t="e">
        <f t="shared" ca="1" si="378"/>
        <v>#N/A</v>
      </c>
      <c r="AD1131" s="34" t="e">
        <f t="shared" ca="1" si="379"/>
        <v>#N/A</v>
      </c>
      <c r="AE1131" s="33" t="e">
        <f t="shared" ca="1" si="380"/>
        <v>#N/A</v>
      </c>
      <c r="AF1131" s="34" t="e">
        <f t="shared" ca="1" si="372"/>
        <v>#N/A</v>
      </c>
      <c r="AG1131" s="34" t="e">
        <f t="shared" ca="1" si="373"/>
        <v>#N/A</v>
      </c>
      <c r="AH1131" s="34" t="e">
        <f t="shared" ca="1" si="374"/>
        <v>#N/A</v>
      </c>
      <c r="AI1131" s="33" t="e">
        <f t="shared" ca="1" si="381"/>
        <v>#N/A</v>
      </c>
      <c r="AJ1131" s="34" t="e">
        <f t="shared" ca="1" si="382"/>
        <v>#N/A</v>
      </c>
      <c r="AK1131" s="34" t="e">
        <f t="shared" ca="1" si="375"/>
        <v>#N/A</v>
      </c>
      <c r="AL1131" s="34" t="e">
        <f t="shared" ca="1" si="376"/>
        <v>#N/A</v>
      </c>
      <c r="AM1131" s="33" t="e">
        <f t="shared" ca="1" si="383"/>
        <v>#N/A</v>
      </c>
      <c r="AN1131" s="34" t="e">
        <f t="shared" ca="1" si="384"/>
        <v>#N/A</v>
      </c>
    </row>
    <row r="1132" spans="1:40" x14ac:dyDescent="0.3">
      <c r="A1132" s="2">
        <v>45105</v>
      </c>
      <c r="B1132" s="9">
        <v>72.349997999999999</v>
      </c>
      <c r="C1132" s="9">
        <v>122.05999799999999</v>
      </c>
      <c r="D1132" s="9">
        <v>115.69000200000001</v>
      </c>
      <c r="E1132" s="10"/>
      <c r="F1132" s="13">
        <v>1129</v>
      </c>
      <c r="G1132" s="2">
        <v>45105</v>
      </c>
      <c r="H1132" s="14">
        <f t="shared" si="365"/>
        <v>4.0163478687945909E-3</v>
      </c>
      <c r="I1132" s="14">
        <f t="shared" si="366"/>
        <v>4.5984479503614166E-3</v>
      </c>
      <c r="J1132" s="14">
        <f t="shared" si="367"/>
        <v>2.9432500471486467E-3</v>
      </c>
      <c r="K1132" s="22">
        <v>1129</v>
      </c>
      <c r="L1132" s="12"/>
      <c r="Q1132" s="15">
        <f t="shared" si="368"/>
        <v>1129</v>
      </c>
      <c r="R1132" s="2">
        <f t="shared" si="364"/>
        <v>45105</v>
      </c>
      <c r="S1132" s="9">
        <f t="shared" ca="1" si="369"/>
        <v>4.0163478687945909E-3</v>
      </c>
      <c r="T1132" s="9">
        <f t="shared" ca="1" si="370"/>
        <v>4.5984479503614166E-3</v>
      </c>
      <c r="U1132" s="9">
        <f t="shared" ca="1" si="371"/>
        <v>2.9432500471486467E-3</v>
      </c>
      <c r="AB1132" s="33" t="e">
        <f t="shared" ca="1" si="377"/>
        <v>#N/A</v>
      </c>
      <c r="AC1132" s="34" t="e">
        <f t="shared" ca="1" si="378"/>
        <v>#N/A</v>
      </c>
      <c r="AD1132" s="34" t="e">
        <f t="shared" ca="1" si="379"/>
        <v>#N/A</v>
      </c>
      <c r="AE1132" s="33" t="e">
        <f t="shared" ca="1" si="380"/>
        <v>#N/A</v>
      </c>
      <c r="AF1132" s="34" t="e">
        <f t="shared" ca="1" si="372"/>
        <v>#N/A</v>
      </c>
      <c r="AG1132" s="34" t="e">
        <f t="shared" ca="1" si="373"/>
        <v>#N/A</v>
      </c>
      <c r="AH1132" s="34" t="e">
        <f t="shared" ca="1" si="374"/>
        <v>#N/A</v>
      </c>
      <c r="AI1132" s="33" t="e">
        <f t="shared" ca="1" si="381"/>
        <v>#N/A</v>
      </c>
      <c r="AJ1132" s="34" t="e">
        <f t="shared" ca="1" si="382"/>
        <v>#N/A</v>
      </c>
      <c r="AK1132" s="34" t="e">
        <f t="shared" ca="1" si="375"/>
        <v>#N/A</v>
      </c>
      <c r="AL1132" s="34" t="e">
        <f t="shared" ca="1" si="376"/>
        <v>#N/A</v>
      </c>
      <c r="AM1132" s="33" t="e">
        <f t="shared" ca="1" si="383"/>
        <v>#N/A</v>
      </c>
      <c r="AN1132" s="34" t="e">
        <f t="shared" ca="1" si="384"/>
        <v>#N/A</v>
      </c>
    </row>
    <row r="1133" spans="1:40" x14ac:dyDescent="0.3">
      <c r="A1133" s="2">
        <v>45106</v>
      </c>
      <c r="B1133" s="9">
        <v>74.069999999999993</v>
      </c>
      <c r="C1133" s="9">
        <v>123.110001</v>
      </c>
      <c r="D1133" s="9">
        <v>116.610001</v>
      </c>
      <c r="E1133" s="10"/>
      <c r="F1133" s="13">
        <v>1130</v>
      </c>
      <c r="G1133" s="2">
        <v>45106</v>
      </c>
      <c r="H1133" s="14">
        <f t="shared" si="365"/>
        <v>2.3495166591105433E-2</v>
      </c>
      <c r="I1133" s="14">
        <f t="shared" si="366"/>
        <v>8.5655620513760619E-3</v>
      </c>
      <c r="J1133" s="14">
        <f t="shared" si="367"/>
        <v>7.9208247794589487E-3</v>
      </c>
      <c r="K1133" s="22">
        <v>1130</v>
      </c>
      <c r="L1133" s="12"/>
      <c r="Q1133" s="15">
        <f t="shared" si="368"/>
        <v>1130</v>
      </c>
      <c r="R1133" s="2">
        <f t="shared" si="364"/>
        <v>45106</v>
      </c>
      <c r="S1133" s="9">
        <f t="shared" ca="1" si="369"/>
        <v>2.3495166591105433E-2</v>
      </c>
      <c r="T1133" s="9">
        <f t="shared" ca="1" si="370"/>
        <v>8.5655620513760619E-3</v>
      </c>
      <c r="U1133" s="9">
        <f t="shared" ca="1" si="371"/>
        <v>7.9208247794589487E-3</v>
      </c>
      <c r="AB1133" s="33" t="e">
        <f t="shared" ca="1" si="377"/>
        <v>#N/A</v>
      </c>
      <c r="AC1133" s="34" t="e">
        <f t="shared" ca="1" si="378"/>
        <v>#N/A</v>
      </c>
      <c r="AD1133" s="34" t="e">
        <f t="shared" ca="1" si="379"/>
        <v>#N/A</v>
      </c>
      <c r="AE1133" s="33" t="e">
        <f t="shared" ca="1" si="380"/>
        <v>#N/A</v>
      </c>
      <c r="AF1133" s="34" t="e">
        <f t="shared" ca="1" si="372"/>
        <v>#N/A</v>
      </c>
      <c r="AG1133" s="34" t="e">
        <f t="shared" ca="1" si="373"/>
        <v>#N/A</v>
      </c>
      <c r="AH1133" s="34" t="e">
        <f t="shared" ca="1" si="374"/>
        <v>#N/A</v>
      </c>
      <c r="AI1133" s="33" t="e">
        <f t="shared" ca="1" si="381"/>
        <v>#N/A</v>
      </c>
      <c r="AJ1133" s="34" t="e">
        <f t="shared" ca="1" si="382"/>
        <v>#N/A</v>
      </c>
      <c r="AK1133" s="34" t="e">
        <f t="shared" ca="1" si="375"/>
        <v>#N/A</v>
      </c>
      <c r="AL1133" s="34" t="e">
        <f t="shared" ca="1" si="376"/>
        <v>#N/A</v>
      </c>
      <c r="AM1133" s="33" t="e">
        <f t="shared" ca="1" si="383"/>
        <v>#N/A</v>
      </c>
      <c r="AN1133" s="34" t="e">
        <f t="shared" ca="1" si="384"/>
        <v>#N/A</v>
      </c>
    </row>
    <row r="1134" spans="1:40" x14ac:dyDescent="0.3">
      <c r="A1134" s="2">
        <v>45107</v>
      </c>
      <c r="B1134" s="9">
        <v>75.220000999999996</v>
      </c>
      <c r="C1134" s="9">
        <v>123.300003</v>
      </c>
      <c r="D1134" s="9">
        <v>117.300003</v>
      </c>
      <c r="E1134" s="10"/>
      <c r="F1134" s="13">
        <v>1131</v>
      </c>
      <c r="G1134" s="2">
        <v>45107</v>
      </c>
      <c r="H1134" s="14">
        <f t="shared" si="365"/>
        <v>1.540657431132912E-2</v>
      </c>
      <c r="I1134" s="14">
        <f t="shared" si="366"/>
        <v>1.5421617188579495E-3</v>
      </c>
      <c r="J1134" s="14">
        <f t="shared" si="367"/>
        <v>5.899739127041722E-3</v>
      </c>
      <c r="K1134" s="22">
        <v>1131</v>
      </c>
      <c r="L1134" s="12"/>
      <c r="Q1134" s="15">
        <f t="shared" si="368"/>
        <v>1131</v>
      </c>
      <c r="R1134" s="2">
        <f t="shared" si="364"/>
        <v>45107</v>
      </c>
      <c r="S1134" s="9">
        <f t="shared" ca="1" si="369"/>
        <v>1.540657431132912E-2</v>
      </c>
      <c r="T1134" s="9">
        <f t="shared" ca="1" si="370"/>
        <v>1.5421617188579495E-3</v>
      </c>
      <c r="U1134" s="9">
        <f t="shared" ca="1" si="371"/>
        <v>5.899739127041722E-3</v>
      </c>
      <c r="AB1134" s="33" t="e">
        <f t="shared" ca="1" si="377"/>
        <v>#N/A</v>
      </c>
      <c r="AC1134" s="34" t="e">
        <f t="shared" ca="1" si="378"/>
        <v>#N/A</v>
      </c>
      <c r="AD1134" s="34" t="e">
        <f t="shared" ca="1" si="379"/>
        <v>#N/A</v>
      </c>
      <c r="AE1134" s="33" t="e">
        <f t="shared" ca="1" si="380"/>
        <v>#N/A</v>
      </c>
      <c r="AF1134" s="34" t="e">
        <f t="shared" ca="1" si="372"/>
        <v>#N/A</v>
      </c>
      <c r="AG1134" s="34" t="e">
        <f t="shared" ca="1" si="373"/>
        <v>#N/A</v>
      </c>
      <c r="AH1134" s="34" t="e">
        <f t="shared" ca="1" si="374"/>
        <v>#N/A</v>
      </c>
      <c r="AI1134" s="33" t="e">
        <f t="shared" ca="1" si="381"/>
        <v>#N/A</v>
      </c>
      <c r="AJ1134" s="34" t="e">
        <f t="shared" ca="1" si="382"/>
        <v>#N/A</v>
      </c>
      <c r="AK1134" s="34" t="e">
        <f t="shared" ca="1" si="375"/>
        <v>#N/A</v>
      </c>
      <c r="AL1134" s="34" t="e">
        <f t="shared" ca="1" si="376"/>
        <v>#N/A</v>
      </c>
      <c r="AM1134" s="33" t="e">
        <f t="shared" ca="1" si="383"/>
        <v>#N/A</v>
      </c>
      <c r="AN1134" s="34" t="e">
        <f t="shared" ca="1" si="384"/>
        <v>#N/A</v>
      </c>
    </row>
    <row r="1135" spans="1:40" x14ac:dyDescent="0.3">
      <c r="A1135" s="2">
        <v>45110</v>
      </c>
      <c r="B1135" s="9">
        <v>75.540001000000004</v>
      </c>
      <c r="C1135" s="9">
        <v>123.69000200000001</v>
      </c>
      <c r="D1135" s="9">
        <v>117.43</v>
      </c>
      <c r="E1135" s="10"/>
      <c r="F1135" s="13">
        <v>1132</v>
      </c>
      <c r="G1135" s="2">
        <v>45110</v>
      </c>
      <c r="H1135" s="14">
        <f t="shared" si="365"/>
        <v>4.2451641858034629E-3</v>
      </c>
      <c r="I1135" s="14">
        <f t="shared" si="366"/>
        <v>3.1580170551755659E-3</v>
      </c>
      <c r="J1135" s="14">
        <f t="shared" si="367"/>
        <v>1.1076301421128628E-3</v>
      </c>
      <c r="K1135" s="22">
        <v>1132</v>
      </c>
      <c r="L1135" s="12"/>
      <c r="Q1135" s="15">
        <f t="shared" si="368"/>
        <v>1132</v>
      </c>
      <c r="R1135" s="2">
        <f t="shared" si="364"/>
        <v>45110</v>
      </c>
      <c r="S1135" s="9">
        <f t="shared" ca="1" si="369"/>
        <v>4.2451641858034629E-3</v>
      </c>
      <c r="T1135" s="9">
        <f t="shared" ca="1" si="370"/>
        <v>3.1580170551755659E-3</v>
      </c>
      <c r="U1135" s="9">
        <f t="shared" ca="1" si="371"/>
        <v>1.1076301421128628E-3</v>
      </c>
      <c r="AB1135" s="33" t="e">
        <f t="shared" ca="1" si="377"/>
        <v>#N/A</v>
      </c>
      <c r="AC1135" s="34" t="e">
        <f t="shared" ca="1" si="378"/>
        <v>#N/A</v>
      </c>
      <c r="AD1135" s="34" t="e">
        <f t="shared" ca="1" si="379"/>
        <v>#N/A</v>
      </c>
      <c r="AE1135" s="33" t="e">
        <f t="shared" ca="1" si="380"/>
        <v>#N/A</v>
      </c>
      <c r="AF1135" s="34" t="e">
        <f t="shared" ca="1" si="372"/>
        <v>#N/A</v>
      </c>
      <c r="AG1135" s="34" t="e">
        <f t="shared" ca="1" si="373"/>
        <v>#N/A</v>
      </c>
      <c r="AH1135" s="34" t="e">
        <f t="shared" ca="1" si="374"/>
        <v>#N/A</v>
      </c>
      <c r="AI1135" s="33" t="e">
        <f t="shared" ca="1" si="381"/>
        <v>#N/A</v>
      </c>
      <c r="AJ1135" s="34" t="e">
        <f t="shared" ca="1" si="382"/>
        <v>#N/A</v>
      </c>
      <c r="AK1135" s="34" t="e">
        <f t="shared" ca="1" si="375"/>
        <v>#N/A</v>
      </c>
      <c r="AL1135" s="34" t="e">
        <f t="shared" ca="1" si="376"/>
        <v>#N/A</v>
      </c>
      <c r="AM1135" s="33" t="e">
        <f t="shared" ca="1" si="383"/>
        <v>#N/A</v>
      </c>
      <c r="AN1135" s="34" t="e">
        <f t="shared" ca="1" si="384"/>
        <v>#N/A</v>
      </c>
    </row>
    <row r="1136" spans="1:40" x14ac:dyDescent="0.3">
      <c r="A1136" s="2">
        <v>45112</v>
      </c>
      <c r="B1136" s="9">
        <v>77.330001999999993</v>
      </c>
      <c r="C1136" s="9">
        <v>124.550003</v>
      </c>
      <c r="D1136" s="9">
        <v>116.75</v>
      </c>
      <c r="E1136" s="10"/>
      <c r="F1136" s="13">
        <v>1133</v>
      </c>
      <c r="G1136" s="2">
        <v>45112</v>
      </c>
      <c r="H1136" s="14">
        <f t="shared" si="365"/>
        <v>2.3419673961797095E-2</v>
      </c>
      <c r="I1136" s="14">
        <f t="shared" si="366"/>
        <v>6.9288142385270863E-3</v>
      </c>
      <c r="J1136" s="14">
        <f t="shared" si="367"/>
        <v>-5.8075148279831254E-3</v>
      </c>
      <c r="K1136" s="22">
        <v>1133</v>
      </c>
      <c r="L1136" s="12"/>
      <c r="Q1136" s="15">
        <f t="shared" si="368"/>
        <v>1133</v>
      </c>
      <c r="R1136" s="2">
        <f t="shared" si="364"/>
        <v>45112</v>
      </c>
      <c r="S1136" s="9">
        <f t="shared" ca="1" si="369"/>
        <v>2.3419673961797095E-2</v>
      </c>
      <c r="T1136" s="9">
        <f t="shared" ca="1" si="370"/>
        <v>6.9288142385270863E-3</v>
      </c>
      <c r="U1136" s="9">
        <f t="shared" ca="1" si="371"/>
        <v>-5.8075148279831254E-3</v>
      </c>
      <c r="AB1136" s="33" t="e">
        <f t="shared" ca="1" si="377"/>
        <v>#N/A</v>
      </c>
      <c r="AC1136" s="34" t="e">
        <f t="shared" ca="1" si="378"/>
        <v>#N/A</v>
      </c>
      <c r="AD1136" s="34" t="e">
        <f t="shared" ca="1" si="379"/>
        <v>#N/A</v>
      </c>
      <c r="AE1136" s="33" t="e">
        <f t="shared" ca="1" si="380"/>
        <v>#N/A</v>
      </c>
      <c r="AF1136" s="34" t="e">
        <f t="shared" ca="1" si="372"/>
        <v>#N/A</v>
      </c>
      <c r="AG1136" s="34" t="e">
        <f t="shared" ca="1" si="373"/>
        <v>#N/A</v>
      </c>
      <c r="AH1136" s="34" t="e">
        <f t="shared" ca="1" si="374"/>
        <v>#N/A</v>
      </c>
      <c r="AI1136" s="33" t="e">
        <f t="shared" ca="1" si="381"/>
        <v>#N/A</v>
      </c>
      <c r="AJ1136" s="34" t="e">
        <f t="shared" ca="1" si="382"/>
        <v>#N/A</v>
      </c>
      <c r="AK1136" s="34" t="e">
        <f t="shared" ca="1" si="375"/>
        <v>#N/A</v>
      </c>
      <c r="AL1136" s="34" t="e">
        <f t="shared" ca="1" si="376"/>
        <v>#N/A</v>
      </c>
      <c r="AM1136" s="33" t="e">
        <f t="shared" ca="1" si="383"/>
        <v>#N/A</v>
      </c>
      <c r="AN1136" s="34" t="e">
        <f t="shared" ca="1" si="384"/>
        <v>#N/A</v>
      </c>
    </row>
    <row r="1137" spans="1:40" x14ac:dyDescent="0.3">
      <c r="A1137" s="2">
        <v>45113</v>
      </c>
      <c r="B1137" s="9">
        <v>76.870002999999997</v>
      </c>
      <c r="C1137" s="9">
        <v>123.69000200000001</v>
      </c>
      <c r="D1137" s="9">
        <v>113.459999</v>
      </c>
      <c r="E1137" s="10"/>
      <c r="F1137" s="13">
        <v>1134</v>
      </c>
      <c r="G1137" s="2">
        <v>45113</v>
      </c>
      <c r="H1137" s="14">
        <f t="shared" si="365"/>
        <v>-5.966282096159025E-3</v>
      </c>
      <c r="I1137" s="14">
        <f t="shared" si="366"/>
        <v>-6.928814238527219E-3</v>
      </c>
      <c r="J1137" s="14">
        <f t="shared" si="367"/>
        <v>-2.8584553464264414E-2</v>
      </c>
      <c r="K1137" s="22">
        <v>1134</v>
      </c>
      <c r="L1137" s="12"/>
      <c r="Q1137" s="15">
        <f t="shared" si="368"/>
        <v>1134</v>
      </c>
      <c r="R1137" s="2">
        <f t="shared" si="364"/>
        <v>45113</v>
      </c>
      <c r="S1137" s="9">
        <f t="shared" ca="1" si="369"/>
        <v>-5.966282096159025E-3</v>
      </c>
      <c r="T1137" s="9">
        <f t="shared" ca="1" si="370"/>
        <v>-6.928814238527219E-3</v>
      </c>
      <c r="U1137" s="9">
        <f t="shared" ca="1" si="371"/>
        <v>-2.8584553464264414E-2</v>
      </c>
      <c r="AB1137" s="33" t="e">
        <f t="shared" ca="1" si="377"/>
        <v>#N/A</v>
      </c>
      <c r="AC1137" s="34" t="e">
        <f t="shared" ca="1" si="378"/>
        <v>#N/A</v>
      </c>
      <c r="AD1137" s="34" t="e">
        <f t="shared" ca="1" si="379"/>
        <v>#N/A</v>
      </c>
      <c r="AE1137" s="33" t="e">
        <f t="shared" ca="1" si="380"/>
        <v>#N/A</v>
      </c>
      <c r="AF1137" s="34" t="e">
        <f t="shared" ca="1" si="372"/>
        <v>#N/A</v>
      </c>
      <c r="AG1137" s="34" t="e">
        <f t="shared" ca="1" si="373"/>
        <v>#N/A</v>
      </c>
      <c r="AH1137" s="34" t="e">
        <f t="shared" ca="1" si="374"/>
        <v>#N/A</v>
      </c>
      <c r="AI1137" s="33" t="e">
        <f t="shared" ca="1" si="381"/>
        <v>#N/A</v>
      </c>
      <c r="AJ1137" s="34" t="e">
        <f t="shared" ca="1" si="382"/>
        <v>#N/A</v>
      </c>
      <c r="AK1137" s="34" t="e">
        <f t="shared" ca="1" si="375"/>
        <v>#N/A</v>
      </c>
      <c r="AL1137" s="34" t="e">
        <f t="shared" ca="1" si="376"/>
        <v>#N/A</v>
      </c>
      <c r="AM1137" s="33" t="e">
        <f t="shared" ca="1" si="383"/>
        <v>#N/A</v>
      </c>
      <c r="AN1137" s="34" t="e">
        <f t="shared" ca="1" si="384"/>
        <v>#N/A</v>
      </c>
    </row>
    <row r="1138" spans="1:40" x14ac:dyDescent="0.3">
      <c r="A1138" s="2">
        <v>45114</v>
      </c>
      <c r="B1138" s="9">
        <v>77.529999000000004</v>
      </c>
      <c r="C1138" s="9">
        <v>122.550003</v>
      </c>
      <c r="D1138" s="9">
        <v>114.879997</v>
      </c>
      <c r="E1138" s="10"/>
      <c r="F1138" s="13">
        <v>1135</v>
      </c>
      <c r="G1138" s="2">
        <v>45114</v>
      </c>
      <c r="H1138" s="14">
        <f t="shared" si="365"/>
        <v>8.5492229446663542E-3</v>
      </c>
      <c r="I1138" s="14">
        <f t="shared" si="366"/>
        <v>-9.2593171024486654E-3</v>
      </c>
      <c r="J1138" s="14">
        <f t="shared" si="367"/>
        <v>1.2437736100965276E-2</v>
      </c>
      <c r="K1138" s="22">
        <v>1135</v>
      </c>
      <c r="L1138" s="12"/>
      <c r="Q1138" s="15">
        <f t="shared" si="368"/>
        <v>1135</v>
      </c>
      <c r="R1138" s="2">
        <f t="shared" si="364"/>
        <v>45114</v>
      </c>
      <c r="S1138" s="9">
        <f t="shared" ca="1" si="369"/>
        <v>8.5492229446663542E-3</v>
      </c>
      <c r="T1138" s="9">
        <f t="shared" ca="1" si="370"/>
        <v>-9.2593171024486654E-3</v>
      </c>
      <c r="U1138" s="9">
        <f t="shared" ca="1" si="371"/>
        <v>1.2437736100965276E-2</v>
      </c>
      <c r="AB1138" s="33" t="e">
        <f t="shared" ca="1" si="377"/>
        <v>#N/A</v>
      </c>
      <c r="AC1138" s="34" t="e">
        <f t="shared" ca="1" si="378"/>
        <v>#N/A</v>
      </c>
      <c r="AD1138" s="34" t="e">
        <f t="shared" ca="1" si="379"/>
        <v>#N/A</v>
      </c>
      <c r="AE1138" s="33" t="e">
        <f t="shared" ca="1" si="380"/>
        <v>#N/A</v>
      </c>
      <c r="AF1138" s="34" t="e">
        <f t="shared" ca="1" si="372"/>
        <v>#N/A</v>
      </c>
      <c r="AG1138" s="34" t="e">
        <f t="shared" ca="1" si="373"/>
        <v>#N/A</v>
      </c>
      <c r="AH1138" s="34" t="e">
        <f t="shared" ca="1" si="374"/>
        <v>#N/A</v>
      </c>
      <c r="AI1138" s="33" t="e">
        <f t="shared" ca="1" si="381"/>
        <v>#N/A</v>
      </c>
      <c r="AJ1138" s="34" t="e">
        <f t="shared" ca="1" si="382"/>
        <v>#N/A</v>
      </c>
      <c r="AK1138" s="34" t="e">
        <f t="shared" ca="1" si="375"/>
        <v>#N/A</v>
      </c>
      <c r="AL1138" s="34" t="e">
        <f t="shared" ca="1" si="376"/>
        <v>#N/A</v>
      </c>
      <c r="AM1138" s="33" t="e">
        <f t="shared" ca="1" si="383"/>
        <v>#N/A</v>
      </c>
      <c r="AN1138" s="34" t="e">
        <f t="shared" ca="1" si="384"/>
        <v>#N/A</v>
      </c>
    </row>
    <row r="1139" spans="1:40" x14ac:dyDescent="0.3">
      <c r="A1139" s="2">
        <v>45117</v>
      </c>
      <c r="B1139" s="9">
        <v>79.040001000000004</v>
      </c>
      <c r="C1139" s="9">
        <v>128.75</v>
      </c>
      <c r="D1139" s="9">
        <v>112.610001</v>
      </c>
      <c r="E1139" s="10"/>
      <c r="F1139" s="13">
        <v>1136</v>
      </c>
      <c r="G1139" s="2">
        <v>45117</v>
      </c>
      <c r="H1139" s="14">
        <f t="shared" si="365"/>
        <v>1.9289120758799495E-2</v>
      </c>
      <c r="I1139" s="14">
        <f t="shared" si="366"/>
        <v>4.9353405089920137E-2</v>
      </c>
      <c r="J1139" s="14">
        <f t="shared" si="367"/>
        <v>-1.9957548596567433E-2</v>
      </c>
      <c r="K1139" s="22">
        <v>1136</v>
      </c>
      <c r="L1139" s="12"/>
      <c r="Q1139" s="15">
        <f t="shared" si="368"/>
        <v>1136</v>
      </c>
      <c r="R1139" s="2">
        <f t="shared" si="364"/>
        <v>45117</v>
      </c>
      <c r="S1139" s="9">
        <f t="shared" ca="1" si="369"/>
        <v>1.9289120758799495E-2</v>
      </c>
      <c r="T1139" s="9">
        <f t="shared" ca="1" si="370"/>
        <v>4.9353405089920137E-2</v>
      </c>
      <c r="U1139" s="9">
        <f t="shared" ca="1" si="371"/>
        <v>-1.9957548596567433E-2</v>
      </c>
      <c r="AB1139" s="33" t="e">
        <f t="shared" ca="1" si="377"/>
        <v>#N/A</v>
      </c>
      <c r="AC1139" s="34" t="e">
        <f t="shared" ca="1" si="378"/>
        <v>#N/A</v>
      </c>
      <c r="AD1139" s="34" t="e">
        <f t="shared" ca="1" si="379"/>
        <v>#N/A</v>
      </c>
      <c r="AE1139" s="33" t="e">
        <f t="shared" ca="1" si="380"/>
        <v>#N/A</v>
      </c>
      <c r="AF1139" s="34" t="e">
        <f t="shared" ca="1" si="372"/>
        <v>#N/A</v>
      </c>
      <c r="AG1139" s="34" t="e">
        <f t="shared" ca="1" si="373"/>
        <v>#N/A</v>
      </c>
      <c r="AH1139" s="34" t="e">
        <f t="shared" ca="1" si="374"/>
        <v>#N/A</v>
      </c>
      <c r="AI1139" s="33" t="e">
        <f t="shared" ca="1" si="381"/>
        <v>#N/A</v>
      </c>
      <c r="AJ1139" s="34" t="e">
        <f t="shared" ca="1" si="382"/>
        <v>#N/A</v>
      </c>
      <c r="AK1139" s="34" t="e">
        <f t="shared" ca="1" si="375"/>
        <v>#N/A</v>
      </c>
      <c r="AL1139" s="34" t="e">
        <f t="shared" ca="1" si="376"/>
        <v>#N/A</v>
      </c>
      <c r="AM1139" s="33" t="e">
        <f t="shared" ca="1" si="383"/>
        <v>#N/A</v>
      </c>
      <c r="AN1139" s="34" t="e">
        <f t="shared" ca="1" si="384"/>
        <v>#N/A</v>
      </c>
    </row>
    <row r="1140" spans="1:40" x14ac:dyDescent="0.3">
      <c r="A1140" s="2">
        <v>45118</v>
      </c>
      <c r="B1140" s="9">
        <v>80.819999999999993</v>
      </c>
      <c r="C1140" s="9">
        <v>130.85000600000001</v>
      </c>
      <c r="D1140" s="9">
        <v>115.949997</v>
      </c>
      <c r="E1140" s="10"/>
      <c r="F1140" s="13">
        <v>1137</v>
      </c>
      <c r="G1140" s="2">
        <v>45118</v>
      </c>
      <c r="H1140" s="14">
        <f t="shared" si="365"/>
        <v>2.2270393558893389E-2</v>
      </c>
      <c r="I1140" s="14">
        <f t="shared" si="366"/>
        <v>1.6179135286339585E-2</v>
      </c>
      <c r="J1140" s="14">
        <f t="shared" si="367"/>
        <v>2.9228507239179E-2</v>
      </c>
      <c r="K1140" s="22">
        <v>1137</v>
      </c>
      <c r="L1140" s="12"/>
      <c r="Q1140" s="15">
        <f t="shared" si="368"/>
        <v>1137</v>
      </c>
      <c r="R1140" s="2">
        <f t="shared" si="364"/>
        <v>45118</v>
      </c>
      <c r="S1140" s="9">
        <f t="shared" ca="1" si="369"/>
        <v>2.2270393558893389E-2</v>
      </c>
      <c r="T1140" s="9">
        <f t="shared" ca="1" si="370"/>
        <v>1.6179135286339585E-2</v>
      </c>
      <c r="U1140" s="9">
        <f t="shared" ca="1" si="371"/>
        <v>2.9228507239179E-2</v>
      </c>
      <c r="AB1140" s="33" t="e">
        <f t="shared" ca="1" si="377"/>
        <v>#N/A</v>
      </c>
      <c r="AC1140" s="34" t="e">
        <f t="shared" ca="1" si="378"/>
        <v>#N/A</v>
      </c>
      <c r="AD1140" s="34" t="e">
        <f t="shared" ca="1" si="379"/>
        <v>#N/A</v>
      </c>
      <c r="AE1140" s="33" t="e">
        <f t="shared" ca="1" si="380"/>
        <v>#N/A</v>
      </c>
      <c r="AF1140" s="34" t="e">
        <f t="shared" ca="1" si="372"/>
        <v>#N/A</v>
      </c>
      <c r="AG1140" s="34" t="e">
        <f t="shared" ca="1" si="373"/>
        <v>#N/A</v>
      </c>
      <c r="AH1140" s="34" t="e">
        <f t="shared" ca="1" si="374"/>
        <v>#N/A</v>
      </c>
      <c r="AI1140" s="33" t="e">
        <f t="shared" ca="1" si="381"/>
        <v>#N/A</v>
      </c>
      <c r="AJ1140" s="34" t="e">
        <f t="shared" ca="1" si="382"/>
        <v>#N/A</v>
      </c>
      <c r="AK1140" s="34" t="e">
        <f t="shared" ca="1" si="375"/>
        <v>#N/A</v>
      </c>
      <c r="AL1140" s="34" t="e">
        <f t="shared" ca="1" si="376"/>
        <v>#N/A</v>
      </c>
      <c r="AM1140" s="33" t="e">
        <f t="shared" ca="1" si="383"/>
        <v>#N/A</v>
      </c>
      <c r="AN1140" s="34" t="e">
        <f t="shared" ca="1" si="384"/>
        <v>#N/A</v>
      </c>
    </row>
    <row r="1141" spans="1:40" x14ac:dyDescent="0.3">
      <c r="A1141" s="2">
        <v>45119</v>
      </c>
      <c r="B1141" s="9">
        <v>81.080001999999993</v>
      </c>
      <c r="C1141" s="9">
        <v>129.39999399999999</v>
      </c>
      <c r="D1141" s="9">
        <v>115.040001</v>
      </c>
      <c r="E1141" s="10"/>
      <c r="F1141" s="13">
        <v>1138</v>
      </c>
      <c r="G1141" s="2">
        <v>45119</v>
      </c>
      <c r="H1141" s="14">
        <f t="shared" si="365"/>
        <v>3.2118866004669359E-3</v>
      </c>
      <c r="I1141" s="14">
        <f t="shared" si="366"/>
        <v>-1.1143339131237764E-2</v>
      </c>
      <c r="J1141" s="14">
        <f t="shared" si="367"/>
        <v>-7.8791351629538525E-3</v>
      </c>
      <c r="K1141" s="22">
        <v>1138</v>
      </c>
      <c r="L1141" s="12"/>
      <c r="Q1141" s="15">
        <f t="shared" si="368"/>
        <v>1138</v>
      </c>
      <c r="R1141" s="2">
        <f t="shared" si="364"/>
        <v>45119</v>
      </c>
      <c r="S1141" s="9">
        <f t="shared" ca="1" si="369"/>
        <v>3.2118866004669359E-3</v>
      </c>
      <c r="T1141" s="9">
        <f t="shared" ca="1" si="370"/>
        <v>-1.1143339131237764E-2</v>
      </c>
      <c r="U1141" s="9">
        <f t="shared" ca="1" si="371"/>
        <v>-7.8791351629538525E-3</v>
      </c>
      <c r="AB1141" s="33" t="e">
        <f t="shared" ca="1" si="377"/>
        <v>#N/A</v>
      </c>
      <c r="AC1141" s="34" t="e">
        <f t="shared" ca="1" si="378"/>
        <v>#N/A</v>
      </c>
      <c r="AD1141" s="34" t="e">
        <f t="shared" ca="1" si="379"/>
        <v>#N/A</v>
      </c>
      <c r="AE1141" s="33" t="e">
        <f t="shared" ca="1" si="380"/>
        <v>#N/A</v>
      </c>
      <c r="AF1141" s="34" t="e">
        <f t="shared" ca="1" si="372"/>
        <v>#N/A</v>
      </c>
      <c r="AG1141" s="34" t="e">
        <f t="shared" ca="1" si="373"/>
        <v>#N/A</v>
      </c>
      <c r="AH1141" s="34" t="e">
        <f t="shared" ca="1" si="374"/>
        <v>#N/A</v>
      </c>
      <c r="AI1141" s="33" t="e">
        <f t="shared" ca="1" si="381"/>
        <v>#N/A</v>
      </c>
      <c r="AJ1141" s="34" t="e">
        <f t="shared" ca="1" si="382"/>
        <v>#N/A</v>
      </c>
      <c r="AK1141" s="34" t="e">
        <f t="shared" ca="1" si="375"/>
        <v>#N/A</v>
      </c>
      <c r="AL1141" s="34" t="e">
        <f t="shared" ca="1" si="376"/>
        <v>#N/A</v>
      </c>
      <c r="AM1141" s="33" t="e">
        <f t="shared" ca="1" si="383"/>
        <v>#N/A</v>
      </c>
      <c r="AN1141" s="34" t="e">
        <f t="shared" ca="1" si="384"/>
        <v>#N/A</v>
      </c>
    </row>
    <row r="1142" spans="1:40" x14ac:dyDescent="0.3">
      <c r="A1142" s="2">
        <v>45120</v>
      </c>
      <c r="B1142" s="9">
        <v>82.230002999999996</v>
      </c>
      <c r="C1142" s="9">
        <v>126.68</v>
      </c>
      <c r="D1142" s="9">
        <v>115.510002</v>
      </c>
      <c r="E1142" s="10"/>
      <c r="F1142" s="13">
        <v>1139</v>
      </c>
      <c r="G1142" s="2">
        <v>45120</v>
      </c>
      <c r="H1142" s="14">
        <f t="shared" si="365"/>
        <v>1.4083889215044236E-2</v>
      </c>
      <c r="I1142" s="14">
        <f t="shared" si="366"/>
        <v>-2.1244114028508339E-2</v>
      </c>
      <c r="J1142" s="14">
        <f t="shared" si="367"/>
        <v>4.077220949741828E-3</v>
      </c>
      <c r="K1142" s="22">
        <v>1139</v>
      </c>
      <c r="L1142" s="12"/>
      <c r="Q1142" s="15">
        <f t="shared" si="368"/>
        <v>1139</v>
      </c>
      <c r="R1142" s="2">
        <f t="shared" si="364"/>
        <v>45120</v>
      </c>
      <c r="S1142" s="9">
        <f t="shared" ca="1" si="369"/>
        <v>1.4083889215044236E-2</v>
      </c>
      <c r="T1142" s="9">
        <f t="shared" ca="1" si="370"/>
        <v>-2.1244114028508339E-2</v>
      </c>
      <c r="U1142" s="9">
        <f t="shared" ca="1" si="371"/>
        <v>4.077220949741828E-3</v>
      </c>
      <c r="AB1142" s="33" t="e">
        <f t="shared" ca="1" si="377"/>
        <v>#N/A</v>
      </c>
      <c r="AC1142" s="34" t="e">
        <f t="shared" ca="1" si="378"/>
        <v>#N/A</v>
      </c>
      <c r="AD1142" s="34" t="e">
        <f t="shared" ca="1" si="379"/>
        <v>#N/A</v>
      </c>
      <c r="AE1142" s="33" t="e">
        <f t="shared" ca="1" si="380"/>
        <v>#N/A</v>
      </c>
      <c r="AF1142" s="34" t="e">
        <f t="shared" ca="1" si="372"/>
        <v>#N/A</v>
      </c>
      <c r="AG1142" s="34" t="e">
        <f t="shared" ca="1" si="373"/>
        <v>#N/A</v>
      </c>
      <c r="AH1142" s="34" t="e">
        <f t="shared" ca="1" si="374"/>
        <v>#N/A</v>
      </c>
      <c r="AI1142" s="33" t="e">
        <f t="shared" ca="1" si="381"/>
        <v>#N/A</v>
      </c>
      <c r="AJ1142" s="34" t="e">
        <f t="shared" ca="1" si="382"/>
        <v>#N/A</v>
      </c>
      <c r="AK1142" s="34" t="e">
        <f t="shared" ca="1" si="375"/>
        <v>#N/A</v>
      </c>
      <c r="AL1142" s="34" t="e">
        <f t="shared" ca="1" si="376"/>
        <v>#N/A</v>
      </c>
      <c r="AM1142" s="33" t="e">
        <f t="shared" ca="1" si="383"/>
        <v>#N/A</v>
      </c>
      <c r="AN1142" s="34" t="e">
        <f t="shared" ca="1" si="384"/>
        <v>#N/A</v>
      </c>
    </row>
    <row r="1143" spans="1:40" x14ac:dyDescent="0.3">
      <c r="A1143" s="2">
        <v>45121</v>
      </c>
      <c r="B1143" s="9">
        <v>82.68</v>
      </c>
      <c r="C1143" s="9">
        <v>125.379997</v>
      </c>
      <c r="D1143" s="9">
        <v>113.480003</v>
      </c>
      <c r="E1143" s="10"/>
      <c r="F1143" s="13">
        <v>1140</v>
      </c>
      <c r="G1143" s="2">
        <v>45121</v>
      </c>
      <c r="H1143" s="14">
        <f t="shared" si="365"/>
        <v>5.4574993477287436E-3</v>
      </c>
      <c r="I1143" s="14">
        <f t="shared" si="366"/>
        <v>-1.0315119751878035E-2</v>
      </c>
      <c r="J1143" s="14">
        <f t="shared" si="367"/>
        <v>-1.7730487238080381E-2</v>
      </c>
      <c r="K1143" s="22">
        <v>1140</v>
      </c>
      <c r="L1143" s="12"/>
      <c r="Q1143" s="15">
        <f t="shared" si="368"/>
        <v>1140</v>
      </c>
      <c r="R1143" s="2">
        <f t="shared" si="364"/>
        <v>45121</v>
      </c>
      <c r="S1143" s="9">
        <f t="shared" ca="1" si="369"/>
        <v>5.4574993477287436E-3</v>
      </c>
      <c r="T1143" s="9">
        <f t="shared" ca="1" si="370"/>
        <v>-1.0315119751878035E-2</v>
      </c>
      <c r="U1143" s="9">
        <f t="shared" ca="1" si="371"/>
        <v>-1.7730487238080381E-2</v>
      </c>
      <c r="AB1143" s="33" t="e">
        <f t="shared" ca="1" si="377"/>
        <v>#N/A</v>
      </c>
      <c r="AC1143" s="34" t="e">
        <f t="shared" ca="1" si="378"/>
        <v>#N/A</v>
      </c>
      <c r="AD1143" s="34" t="e">
        <f t="shared" ca="1" si="379"/>
        <v>#N/A</v>
      </c>
      <c r="AE1143" s="33" t="e">
        <f t="shared" ca="1" si="380"/>
        <v>#N/A</v>
      </c>
      <c r="AF1143" s="34" t="e">
        <f t="shared" ca="1" si="372"/>
        <v>#N/A</v>
      </c>
      <c r="AG1143" s="34" t="e">
        <f t="shared" ca="1" si="373"/>
        <v>#N/A</v>
      </c>
      <c r="AH1143" s="34" t="e">
        <f t="shared" ca="1" si="374"/>
        <v>#N/A</v>
      </c>
      <c r="AI1143" s="33" t="e">
        <f t="shared" ca="1" si="381"/>
        <v>#N/A</v>
      </c>
      <c r="AJ1143" s="34" t="e">
        <f t="shared" ca="1" si="382"/>
        <v>#N/A</v>
      </c>
      <c r="AK1143" s="34" t="e">
        <f t="shared" ca="1" si="375"/>
        <v>#N/A</v>
      </c>
      <c r="AL1143" s="34" t="e">
        <f t="shared" ca="1" si="376"/>
        <v>#N/A</v>
      </c>
      <c r="AM1143" s="33" t="e">
        <f t="shared" ca="1" si="383"/>
        <v>#N/A</v>
      </c>
      <c r="AN1143" s="34" t="e">
        <f t="shared" ca="1" si="384"/>
        <v>#N/A</v>
      </c>
    </row>
    <row r="1144" spans="1:40" x14ac:dyDescent="0.3">
      <c r="A1144" s="2">
        <v>45124</v>
      </c>
      <c r="B1144" s="9">
        <v>83.379997000000003</v>
      </c>
      <c r="C1144" s="9">
        <v>125.989998</v>
      </c>
      <c r="D1144" s="9">
        <v>113.709999</v>
      </c>
      <c r="E1144" s="10"/>
      <c r="F1144" s="13">
        <v>1141</v>
      </c>
      <c r="G1144" s="2">
        <v>45124</v>
      </c>
      <c r="H1144" s="14">
        <f t="shared" si="365"/>
        <v>8.4307016592313783E-3</v>
      </c>
      <c r="I1144" s="14">
        <f t="shared" si="366"/>
        <v>4.8534209297013235E-3</v>
      </c>
      <c r="J1144" s="14">
        <f t="shared" si="367"/>
        <v>2.0247024653034214E-3</v>
      </c>
      <c r="K1144" s="22">
        <v>1141</v>
      </c>
      <c r="L1144" s="12"/>
      <c r="Q1144" s="15">
        <f t="shared" si="368"/>
        <v>1141</v>
      </c>
      <c r="R1144" s="2">
        <f t="shared" si="364"/>
        <v>45124</v>
      </c>
      <c r="S1144" s="9">
        <f t="shared" ca="1" si="369"/>
        <v>8.4307016592313783E-3</v>
      </c>
      <c r="T1144" s="9">
        <f t="shared" ca="1" si="370"/>
        <v>4.8534209297013235E-3</v>
      </c>
      <c r="U1144" s="9">
        <f t="shared" ca="1" si="371"/>
        <v>2.0247024653034214E-3</v>
      </c>
      <c r="AB1144" s="33" t="e">
        <f t="shared" ca="1" si="377"/>
        <v>#N/A</v>
      </c>
      <c r="AC1144" s="34" t="e">
        <f t="shared" ca="1" si="378"/>
        <v>#N/A</v>
      </c>
      <c r="AD1144" s="34" t="e">
        <f t="shared" ca="1" si="379"/>
        <v>#N/A</v>
      </c>
      <c r="AE1144" s="33" t="e">
        <f t="shared" ca="1" si="380"/>
        <v>#N/A</v>
      </c>
      <c r="AF1144" s="34" t="e">
        <f t="shared" ca="1" si="372"/>
        <v>#N/A</v>
      </c>
      <c r="AG1144" s="34" t="e">
        <f t="shared" ca="1" si="373"/>
        <v>#N/A</v>
      </c>
      <c r="AH1144" s="34" t="e">
        <f t="shared" ca="1" si="374"/>
        <v>#N/A</v>
      </c>
      <c r="AI1144" s="33" t="e">
        <f t="shared" ca="1" si="381"/>
        <v>#N/A</v>
      </c>
      <c r="AJ1144" s="34" t="e">
        <f t="shared" ca="1" si="382"/>
        <v>#N/A</v>
      </c>
      <c r="AK1144" s="34" t="e">
        <f t="shared" ca="1" si="375"/>
        <v>#N/A</v>
      </c>
      <c r="AL1144" s="34" t="e">
        <f t="shared" ca="1" si="376"/>
        <v>#N/A</v>
      </c>
      <c r="AM1144" s="33" t="e">
        <f t="shared" ca="1" si="383"/>
        <v>#N/A</v>
      </c>
      <c r="AN1144" s="34" t="e">
        <f t="shared" ca="1" si="384"/>
        <v>#N/A</v>
      </c>
    </row>
    <row r="1145" spans="1:40" x14ac:dyDescent="0.3">
      <c r="A1145" s="2">
        <v>45125</v>
      </c>
      <c r="B1145" s="9">
        <v>84.419998000000007</v>
      </c>
      <c r="C1145" s="9">
        <v>128.33999600000001</v>
      </c>
      <c r="D1145" s="9">
        <v>115.41999800000001</v>
      </c>
      <c r="E1145" s="10"/>
      <c r="F1145" s="13">
        <v>1142</v>
      </c>
      <c r="G1145" s="2">
        <v>45125</v>
      </c>
      <c r="H1145" s="14">
        <f t="shared" si="365"/>
        <v>1.2395880190484976E-2</v>
      </c>
      <c r="I1145" s="14">
        <f t="shared" si="366"/>
        <v>1.8480438306894342E-2</v>
      </c>
      <c r="J1145" s="14">
        <f t="shared" si="367"/>
        <v>1.4926293112470792E-2</v>
      </c>
      <c r="K1145" s="22">
        <v>1142</v>
      </c>
      <c r="L1145" s="12"/>
      <c r="Q1145" s="15">
        <f t="shared" si="368"/>
        <v>1142</v>
      </c>
      <c r="R1145" s="2">
        <f t="shared" si="364"/>
        <v>45125</v>
      </c>
      <c r="S1145" s="9">
        <f t="shared" ca="1" si="369"/>
        <v>1.2395880190484976E-2</v>
      </c>
      <c r="T1145" s="9">
        <f t="shared" ca="1" si="370"/>
        <v>1.8480438306894342E-2</v>
      </c>
      <c r="U1145" s="9">
        <f t="shared" ca="1" si="371"/>
        <v>1.4926293112470792E-2</v>
      </c>
      <c r="AB1145" s="33" t="e">
        <f t="shared" ca="1" si="377"/>
        <v>#N/A</v>
      </c>
      <c r="AC1145" s="34" t="e">
        <f t="shared" ca="1" si="378"/>
        <v>#N/A</v>
      </c>
      <c r="AD1145" s="34" t="e">
        <f t="shared" ca="1" si="379"/>
        <v>#N/A</v>
      </c>
      <c r="AE1145" s="33" t="e">
        <f t="shared" ca="1" si="380"/>
        <v>#N/A</v>
      </c>
      <c r="AF1145" s="34" t="e">
        <f t="shared" ca="1" si="372"/>
        <v>#N/A</v>
      </c>
      <c r="AG1145" s="34" t="e">
        <f t="shared" ca="1" si="373"/>
        <v>#N/A</v>
      </c>
      <c r="AH1145" s="34" t="e">
        <f t="shared" ca="1" si="374"/>
        <v>#N/A</v>
      </c>
      <c r="AI1145" s="33" t="e">
        <f t="shared" ca="1" si="381"/>
        <v>#N/A</v>
      </c>
      <c r="AJ1145" s="34" t="e">
        <f t="shared" ca="1" si="382"/>
        <v>#N/A</v>
      </c>
      <c r="AK1145" s="34" t="e">
        <f t="shared" ca="1" si="375"/>
        <v>#N/A</v>
      </c>
      <c r="AL1145" s="34" t="e">
        <f t="shared" ca="1" si="376"/>
        <v>#N/A</v>
      </c>
      <c r="AM1145" s="33" t="e">
        <f t="shared" ca="1" si="383"/>
        <v>#N/A</v>
      </c>
      <c r="AN1145" s="34" t="e">
        <f t="shared" ca="1" si="384"/>
        <v>#N/A</v>
      </c>
    </row>
    <row r="1146" spans="1:40" x14ac:dyDescent="0.3">
      <c r="A1146" s="2">
        <v>45126</v>
      </c>
      <c r="B1146" s="9">
        <v>84.559997999999993</v>
      </c>
      <c r="C1146" s="9">
        <v>128.60000600000001</v>
      </c>
      <c r="D1146" s="9">
        <v>118.019997</v>
      </c>
      <c r="E1146" s="10"/>
      <c r="F1146" s="13">
        <v>1143</v>
      </c>
      <c r="G1146" s="2">
        <v>45126</v>
      </c>
      <c r="H1146" s="14">
        <f t="shared" si="365"/>
        <v>1.657001246852912E-3</v>
      </c>
      <c r="I1146" s="14">
        <f t="shared" si="366"/>
        <v>2.0238973046597603E-3</v>
      </c>
      <c r="J1146" s="14">
        <f t="shared" si="367"/>
        <v>2.2276444254801114E-2</v>
      </c>
      <c r="K1146" s="22">
        <v>1143</v>
      </c>
      <c r="L1146" s="12"/>
      <c r="Q1146" s="15">
        <f t="shared" si="368"/>
        <v>1143</v>
      </c>
      <c r="R1146" s="2">
        <f t="shared" si="364"/>
        <v>45126</v>
      </c>
      <c r="S1146" s="9">
        <f t="shared" ca="1" si="369"/>
        <v>1.657001246852912E-3</v>
      </c>
      <c r="T1146" s="9">
        <f t="shared" ca="1" si="370"/>
        <v>2.0238973046597603E-3</v>
      </c>
      <c r="U1146" s="9">
        <f t="shared" ca="1" si="371"/>
        <v>2.2276444254801114E-2</v>
      </c>
      <c r="AB1146" s="33" t="e">
        <f t="shared" ca="1" si="377"/>
        <v>#N/A</v>
      </c>
      <c r="AC1146" s="34" t="e">
        <f t="shared" ca="1" si="378"/>
        <v>#N/A</v>
      </c>
      <c r="AD1146" s="34" t="e">
        <f t="shared" ca="1" si="379"/>
        <v>#N/A</v>
      </c>
      <c r="AE1146" s="33" t="e">
        <f t="shared" ca="1" si="380"/>
        <v>#N/A</v>
      </c>
      <c r="AF1146" s="34" t="e">
        <f t="shared" ca="1" si="372"/>
        <v>#N/A</v>
      </c>
      <c r="AG1146" s="34" t="e">
        <f t="shared" ca="1" si="373"/>
        <v>#N/A</v>
      </c>
      <c r="AH1146" s="34" t="e">
        <f t="shared" ca="1" si="374"/>
        <v>#N/A</v>
      </c>
      <c r="AI1146" s="33" t="e">
        <f t="shared" ca="1" si="381"/>
        <v>#N/A</v>
      </c>
      <c r="AJ1146" s="34" t="e">
        <f t="shared" ca="1" si="382"/>
        <v>#N/A</v>
      </c>
      <c r="AK1146" s="34" t="e">
        <f t="shared" ca="1" si="375"/>
        <v>#N/A</v>
      </c>
      <c r="AL1146" s="34" t="e">
        <f t="shared" ca="1" si="376"/>
        <v>#N/A</v>
      </c>
      <c r="AM1146" s="33" t="e">
        <f t="shared" ca="1" si="383"/>
        <v>#N/A</v>
      </c>
      <c r="AN1146" s="34" t="e">
        <f t="shared" ca="1" si="384"/>
        <v>#N/A</v>
      </c>
    </row>
    <row r="1147" spans="1:40" x14ac:dyDescent="0.3">
      <c r="A1147" s="2">
        <v>45127</v>
      </c>
      <c r="B1147" s="9">
        <v>81.639999000000003</v>
      </c>
      <c r="C1147" s="9">
        <v>127.209999</v>
      </c>
      <c r="D1147" s="9">
        <v>120.730003</v>
      </c>
      <c r="E1147" s="10"/>
      <c r="F1147" s="13">
        <v>1144</v>
      </c>
      <c r="G1147" s="2">
        <v>45127</v>
      </c>
      <c r="H1147" s="14">
        <f t="shared" si="365"/>
        <v>-3.5141992217390575E-2</v>
      </c>
      <c r="I1147" s="14">
        <f t="shared" si="366"/>
        <v>-1.0867602152714304E-2</v>
      </c>
      <c r="J1147" s="14">
        <f t="shared" si="367"/>
        <v>2.270259598353001E-2</v>
      </c>
      <c r="K1147" s="22">
        <v>1144</v>
      </c>
      <c r="L1147" s="12"/>
      <c r="Q1147" s="15">
        <f t="shared" si="368"/>
        <v>1144</v>
      </c>
      <c r="R1147" s="2">
        <f t="shared" si="364"/>
        <v>45127</v>
      </c>
      <c r="S1147" s="9">
        <f t="shared" ca="1" si="369"/>
        <v>-3.5141992217390575E-2</v>
      </c>
      <c r="T1147" s="9">
        <f t="shared" ca="1" si="370"/>
        <v>-1.0867602152714304E-2</v>
      </c>
      <c r="U1147" s="9">
        <f t="shared" ca="1" si="371"/>
        <v>2.270259598353001E-2</v>
      </c>
      <c r="AB1147" s="33" t="e">
        <f t="shared" ca="1" si="377"/>
        <v>#N/A</v>
      </c>
      <c r="AC1147" s="34" t="e">
        <f t="shared" ca="1" si="378"/>
        <v>#N/A</v>
      </c>
      <c r="AD1147" s="34" t="e">
        <f t="shared" ca="1" si="379"/>
        <v>#N/A</v>
      </c>
      <c r="AE1147" s="33" t="e">
        <f t="shared" ca="1" si="380"/>
        <v>#N/A</v>
      </c>
      <c r="AF1147" s="34" t="e">
        <f t="shared" ca="1" si="372"/>
        <v>#N/A</v>
      </c>
      <c r="AG1147" s="34" t="e">
        <f t="shared" ca="1" si="373"/>
        <v>#N/A</v>
      </c>
      <c r="AH1147" s="34" t="e">
        <f t="shared" ca="1" si="374"/>
        <v>#N/A</v>
      </c>
      <c r="AI1147" s="33" t="e">
        <f t="shared" ca="1" si="381"/>
        <v>#N/A</v>
      </c>
      <c r="AJ1147" s="34" t="e">
        <f t="shared" ca="1" si="382"/>
        <v>#N/A</v>
      </c>
      <c r="AK1147" s="34" t="e">
        <f t="shared" ca="1" si="375"/>
        <v>#N/A</v>
      </c>
      <c r="AL1147" s="34" t="e">
        <f t="shared" ca="1" si="376"/>
        <v>#N/A</v>
      </c>
      <c r="AM1147" s="33" t="e">
        <f t="shared" ca="1" si="383"/>
        <v>#N/A</v>
      </c>
      <c r="AN1147" s="34" t="e">
        <f t="shared" ca="1" si="384"/>
        <v>#N/A</v>
      </c>
    </row>
    <row r="1148" spans="1:40" x14ac:dyDescent="0.3">
      <c r="A1148" s="2">
        <v>45128</v>
      </c>
      <c r="B1148" s="9">
        <v>78.639999000000003</v>
      </c>
      <c r="C1148" s="9">
        <v>126.160004</v>
      </c>
      <c r="D1148" s="9">
        <v>122.989998</v>
      </c>
      <c r="E1148" s="10"/>
      <c r="F1148" s="13">
        <v>1145</v>
      </c>
      <c r="G1148" s="2">
        <v>45128</v>
      </c>
      <c r="H1148" s="14">
        <f t="shared" si="365"/>
        <v>-3.743886257001032E-2</v>
      </c>
      <c r="I1148" s="14">
        <f t="shared" si="366"/>
        <v>-8.2882819465494272E-3</v>
      </c>
      <c r="J1148" s="14">
        <f t="shared" si="367"/>
        <v>1.8546362799702402E-2</v>
      </c>
      <c r="K1148" s="22">
        <v>1145</v>
      </c>
      <c r="L1148" s="12"/>
      <c r="Q1148" s="15">
        <f t="shared" si="368"/>
        <v>1145</v>
      </c>
      <c r="R1148" s="2">
        <f t="shared" si="364"/>
        <v>45128</v>
      </c>
      <c r="S1148" s="9">
        <f t="shared" ca="1" si="369"/>
        <v>-3.743886257001032E-2</v>
      </c>
      <c r="T1148" s="9">
        <f t="shared" ca="1" si="370"/>
        <v>-8.2882819465494272E-3</v>
      </c>
      <c r="U1148" s="9">
        <f t="shared" ca="1" si="371"/>
        <v>1.8546362799702402E-2</v>
      </c>
      <c r="AB1148" s="33" t="e">
        <f t="shared" ca="1" si="377"/>
        <v>#N/A</v>
      </c>
      <c r="AC1148" s="34" t="e">
        <f t="shared" ca="1" si="378"/>
        <v>#N/A</v>
      </c>
      <c r="AD1148" s="34" t="e">
        <f t="shared" ca="1" si="379"/>
        <v>#N/A</v>
      </c>
      <c r="AE1148" s="33" t="e">
        <f t="shared" ca="1" si="380"/>
        <v>#N/A</v>
      </c>
      <c r="AF1148" s="34" t="e">
        <f t="shared" ca="1" si="372"/>
        <v>#N/A</v>
      </c>
      <c r="AG1148" s="34" t="e">
        <f t="shared" ca="1" si="373"/>
        <v>#N/A</v>
      </c>
      <c r="AH1148" s="34" t="e">
        <f t="shared" ca="1" si="374"/>
        <v>#N/A</v>
      </c>
      <c r="AI1148" s="33" t="e">
        <f t="shared" ca="1" si="381"/>
        <v>#N/A</v>
      </c>
      <c r="AJ1148" s="34" t="e">
        <f t="shared" ca="1" si="382"/>
        <v>#N/A</v>
      </c>
      <c r="AK1148" s="34" t="e">
        <f t="shared" ca="1" si="375"/>
        <v>#N/A</v>
      </c>
      <c r="AL1148" s="34" t="e">
        <f t="shared" ca="1" si="376"/>
        <v>#N/A</v>
      </c>
      <c r="AM1148" s="33" t="e">
        <f t="shared" ca="1" si="383"/>
        <v>#N/A</v>
      </c>
      <c r="AN1148" s="34" t="e">
        <f t="shared" ca="1" si="384"/>
        <v>#N/A</v>
      </c>
    </row>
    <row r="1149" spans="1:40" x14ac:dyDescent="0.3">
      <c r="A1149" s="2">
        <v>45131</v>
      </c>
      <c r="B1149" s="9">
        <v>80.089995999999999</v>
      </c>
      <c r="C1149" s="9">
        <v>128.520004</v>
      </c>
      <c r="D1149" s="9">
        <v>125.709999</v>
      </c>
      <c r="E1149" s="10"/>
      <c r="F1149" s="13">
        <v>1146</v>
      </c>
      <c r="G1149" s="2">
        <v>45131</v>
      </c>
      <c r="H1149" s="14">
        <f t="shared" si="365"/>
        <v>1.8270489269040336E-2</v>
      </c>
      <c r="I1149" s="14">
        <f t="shared" si="366"/>
        <v>1.853359101066486E-2</v>
      </c>
      <c r="J1149" s="14">
        <f t="shared" si="367"/>
        <v>2.1874623979088764E-2</v>
      </c>
      <c r="K1149" s="22">
        <v>1146</v>
      </c>
      <c r="L1149" s="12"/>
      <c r="Q1149" s="15">
        <f t="shared" si="368"/>
        <v>1146</v>
      </c>
      <c r="R1149" s="2">
        <f t="shared" si="364"/>
        <v>45131</v>
      </c>
      <c r="S1149" s="9">
        <f t="shared" ca="1" si="369"/>
        <v>1.8270489269040336E-2</v>
      </c>
      <c r="T1149" s="9">
        <f t="shared" ca="1" si="370"/>
        <v>1.853359101066486E-2</v>
      </c>
      <c r="U1149" s="9">
        <f t="shared" ca="1" si="371"/>
        <v>2.1874623979088764E-2</v>
      </c>
      <c r="AB1149" s="33" t="e">
        <f t="shared" ca="1" si="377"/>
        <v>#N/A</v>
      </c>
      <c r="AC1149" s="34" t="e">
        <f t="shared" ca="1" si="378"/>
        <v>#N/A</v>
      </c>
      <c r="AD1149" s="34" t="e">
        <f t="shared" ca="1" si="379"/>
        <v>#N/A</v>
      </c>
      <c r="AE1149" s="33" t="e">
        <f t="shared" ca="1" si="380"/>
        <v>#N/A</v>
      </c>
      <c r="AF1149" s="34" t="e">
        <f t="shared" ca="1" si="372"/>
        <v>#N/A</v>
      </c>
      <c r="AG1149" s="34" t="e">
        <f t="shared" ca="1" si="373"/>
        <v>#N/A</v>
      </c>
      <c r="AH1149" s="34" t="e">
        <f t="shared" ca="1" si="374"/>
        <v>#N/A</v>
      </c>
      <c r="AI1149" s="33" t="e">
        <f t="shared" ca="1" si="381"/>
        <v>#N/A</v>
      </c>
      <c r="AJ1149" s="34" t="e">
        <f t="shared" ca="1" si="382"/>
        <v>#N/A</v>
      </c>
      <c r="AK1149" s="34" t="e">
        <f t="shared" ca="1" si="375"/>
        <v>#N/A</v>
      </c>
      <c r="AL1149" s="34" t="e">
        <f t="shared" ca="1" si="376"/>
        <v>#N/A</v>
      </c>
      <c r="AM1149" s="33" t="e">
        <f t="shared" ca="1" si="383"/>
        <v>#N/A</v>
      </c>
      <c r="AN1149" s="34" t="e">
        <f t="shared" ca="1" si="384"/>
        <v>#N/A</v>
      </c>
    </row>
    <row r="1150" spans="1:40" x14ac:dyDescent="0.3">
      <c r="A1150" s="2">
        <v>45132</v>
      </c>
      <c r="B1150" s="9">
        <v>80.209998999999996</v>
      </c>
      <c r="C1150" s="9">
        <v>128.14999399999999</v>
      </c>
      <c r="D1150" s="9">
        <v>124.540001</v>
      </c>
      <c r="E1150" s="10"/>
      <c r="F1150" s="13">
        <v>1147</v>
      </c>
      <c r="G1150" s="2">
        <v>45132</v>
      </c>
      <c r="H1150" s="14">
        <f t="shared" si="365"/>
        <v>1.4972305197832833E-3</v>
      </c>
      <c r="I1150" s="14">
        <f t="shared" si="366"/>
        <v>-2.8831593812714811E-3</v>
      </c>
      <c r="J1150" s="14">
        <f t="shared" si="367"/>
        <v>-9.3507014980683204E-3</v>
      </c>
      <c r="K1150" s="22">
        <v>1147</v>
      </c>
      <c r="L1150" s="12"/>
      <c r="Q1150" s="15">
        <f t="shared" si="368"/>
        <v>1147</v>
      </c>
      <c r="R1150" s="2">
        <f t="shared" si="364"/>
        <v>45132</v>
      </c>
      <c r="S1150" s="9">
        <f t="shared" ca="1" si="369"/>
        <v>1.4972305197832833E-3</v>
      </c>
      <c r="T1150" s="9">
        <f t="shared" ca="1" si="370"/>
        <v>-2.8831593812714811E-3</v>
      </c>
      <c r="U1150" s="9">
        <f t="shared" ca="1" si="371"/>
        <v>-9.3507014980683204E-3</v>
      </c>
      <c r="AB1150" s="33" t="e">
        <f t="shared" ca="1" si="377"/>
        <v>#N/A</v>
      </c>
      <c r="AC1150" s="34" t="e">
        <f t="shared" ca="1" si="378"/>
        <v>#N/A</v>
      </c>
      <c r="AD1150" s="34" t="e">
        <f t="shared" ca="1" si="379"/>
        <v>#N/A</v>
      </c>
      <c r="AE1150" s="33" t="e">
        <f t="shared" ca="1" si="380"/>
        <v>#N/A</v>
      </c>
      <c r="AF1150" s="34" t="e">
        <f t="shared" ca="1" si="372"/>
        <v>#N/A</v>
      </c>
      <c r="AG1150" s="34" t="e">
        <f t="shared" ca="1" si="373"/>
        <v>#N/A</v>
      </c>
      <c r="AH1150" s="34" t="e">
        <f t="shared" ca="1" si="374"/>
        <v>#N/A</v>
      </c>
      <c r="AI1150" s="33" t="e">
        <f t="shared" ca="1" si="381"/>
        <v>#N/A</v>
      </c>
      <c r="AJ1150" s="34" t="e">
        <f t="shared" ca="1" si="382"/>
        <v>#N/A</v>
      </c>
      <c r="AK1150" s="34" t="e">
        <f t="shared" ca="1" si="375"/>
        <v>#N/A</v>
      </c>
      <c r="AL1150" s="34" t="e">
        <f t="shared" ca="1" si="376"/>
        <v>#N/A</v>
      </c>
      <c r="AM1150" s="33" t="e">
        <f t="shared" ca="1" si="383"/>
        <v>#N/A</v>
      </c>
      <c r="AN1150" s="34" t="e">
        <f t="shared" ca="1" si="384"/>
        <v>#N/A</v>
      </c>
    </row>
    <row r="1151" spans="1:40" x14ac:dyDescent="0.3">
      <c r="A1151" s="2">
        <v>45133</v>
      </c>
      <c r="B1151" s="9">
        <v>75.430000000000007</v>
      </c>
      <c r="C1151" s="9">
        <v>128.270004</v>
      </c>
      <c r="D1151" s="9">
        <v>126.18</v>
      </c>
      <c r="E1151" s="10"/>
      <c r="F1151" s="13">
        <v>1148</v>
      </c>
      <c r="G1151" s="2">
        <v>45133</v>
      </c>
      <c r="H1151" s="14">
        <f t="shared" si="365"/>
        <v>-6.1443109046020059E-2</v>
      </c>
      <c r="I1151" s="14">
        <f t="shared" si="366"/>
        <v>9.3604250603328254E-4</v>
      </c>
      <c r="J1151" s="14">
        <f t="shared" si="367"/>
        <v>1.3082501468808802E-2</v>
      </c>
      <c r="K1151" s="22">
        <v>1148</v>
      </c>
      <c r="L1151" s="12"/>
      <c r="Q1151" s="15">
        <f t="shared" si="368"/>
        <v>1148</v>
      </c>
      <c r="R1151" s="2">
        <f t="shared" si="364"/>
        <v>45133</v>
      </c>
      <c r="S1151" s="9">
        <f t="shared" ca="1" si="369"/>
        <v>-6.1443109046020059E-2</v>
      </c>
      <c r="T1151" s="9">
        <f t="shared" ca="1" si="370"/>
        <v>9.3604250603328254E-4</v>
      </c>
      <c r="U1151" s="9">
        <f t="shared" ca="1" si="371"/>
        <v>1.3082501468808802E-2</v>
      </c>
      <c r="AB1151" s="33" t="e">
        <f t="shared" ca="1" si="377"/>
        <v>#N/A</v>
      </c>
      <c r="AC1151" s="34" t="e">
        <f t="shared" ca="1" si="378"/>
        <v>#N/A</v>
      </c>
      <c r="AD1151" s="34" t="e">
        <f t="shared" ca="1" si="379"/>
        <v>#N/A</v>
      </c>
      <c r="AE1151" s="33" t="e">
        <f t="shared" ca="1" si="380"/>
        <v>#N/A</v>
      </c>
      <c r="AF1151" s="34" t="e">
        <f t="shared" ca="1" si="372"/>
        <v>#N/A</v>
      </c>
      <c r="AG1151" s="34" t="e">
        <f t="shared" ca="1" si="373"/>
        <v>#N/A</v>
      </c>
      <c r="AH1151" s="34" t="e">
        <f t="shared" ca="1" si="374"/>
        <v>#N/A</v>
      </c>
      <c r="AI1151" s="33" t="e">
        <f t="shared" ca="1" si="381"/>
        <v>#N/A</v>
      </c>
      <c r="AJ1151" s="34" t="e">
        <f t="shared" ca="1" si="382"/>
        <v>#N/A</v>
      </c>
      <c r="AK1151" s="34" t="e">
        <f t="shared" ca="1" si="375"/>
        <v>#N/A</v>
      </c>
      <c r="AL1151" s="34" t="e">
        <f t="shared" ca="1" si="376"/>
        <v>#N/A</v>
      </c>
      <c r="AM1151" s="33" t="e">
        <f t="shared" ca="1" si="383"/>
        <v>#N/A</v>
      </c>
      <c r="AN1151" s="34" t="e">
        <f t="shared" ca="1" si="384"/>
        <v>#N/A</v>
      </c>
    </row>
    <row r="1152" spans="1:40" x14ac:dyDescent="0.3">
      <c r="A1152" s="2">
        <v>45134</v>
      </c>
      <c r="B1152" s="9">
        <v>73.150002000000001</v>
      </c>
      <c r="C1152" s="9">
        <v>126.470001</v>
      </c>
      <c r="D1152" s="9">
        <v>125.470001</v>
      </c>
      <c r="E1152" s="10"/>
      <c r="F1152" s="13">
        <v>1149</v>
      </c>
      <c r="G1152" s="2">
        <v>45134</v>
      </c>
      <c r="H1152" s="14">
        <f t="shared" si="365"/>
        <v>-3.0692919058326627E-2</v>
      </c>
      <c r="I1152" s="14">
        <f t="shared" si="366"/>
        <v>-1.4132314697081186E-2</v>
      </c>
      <c r="J1152" s="14">
        <f t="shared" si="367"/>
        <v>-5.6427648010225007E-3</v>
      </c>
      <c r="K1152" s="22">
        <v>1149</v>
      </c>
      <c r="L1152" s="12"/>
      <c r="Q1152" s="15">
        <f t="shared" si="368"/>
        <v>1149</v>
      </c>
      <c r="R1152" s="2">
        <f t="shared" si="364"/>
        <v>45134</v>
      </c>
      <c r="S1152" s="9">
        <f t="shared" ca="1" si="369"/>
        <v>-3.0692919058326627E-2</v>
      </c>
      <c r="T1152" s="9">
        <f t="shared" ca="1" si="370"/>
        <v>-1.4132314697081186E-2</v>
      </c>
      <c r="U1152" s="9">
        <f t="shared" ca="1" si="371"/>
        <v>-5.6427648010225007E-3</v>
      </c>
      <c r="AB1152" s="33" t="e">
        <f t="shared" ca="1" si="377"/>
        <v>#N/A</v>
      </c>
      <c r="AC1152" s="34" t="e">
        <f t="shared" ca="1" si="378"/>
        <v>#N/A</v>
      </c>
      <c r="AD1152" s="34" t="e">
        <f t="shared" ca="1" si="379"/>
        <v>#N/A</v>
      </c>
      <c r="AE1152" s="33" t="e">
        <f t="shared" ca="1" si="380"/>
        <v>#N/A</v>
      </c>
      <c r="AF1152" s="34" t="e">
        <f t="shared" ca="1" si="372"/>
        <v>#N/A</v>
      </c>
      <c r="AG1152" s="34" t="e">
        <f t="shared" ca="1" si="373"/>
        <v>#N/A</v>
      </c>
      <c r="AH1152" s="34" t="e">
        <f t="shared" ca="1" si="374"/>
        <v>#N/A</v>
      </c>
      <c r="AI1152" s="33" t="e">
        <f t="shared" ca="1" si="381"/>
        <v>#N/A</v>
      </c>
      <c r="AJ1152" s="34" t="e">
        <f t="shared" ca="1" si="382"/>
        <v>#N/A</v>
      </c>
      <c r="AK1152" s="34" t="e">
        <f t="shared" ca="1" si="375"/>
        <v>#N/A</v>
      </c>
      <c r="AL1152" s="34" t="e">
        <f t="shared" ca="1" si="376"/>
        <v>#N/A</v>
      </c>
      <c r="AM1152" s="33" t="e">
        <f t="shared" ca="1" si="383"/>
        <v>#N/A</v>
      </c>
      <c r="AN1152" s="34" t="e">
        <f t="shared" ca="1" si="384"/>
        <v>#N/A</v>
      </c>
    </row>
    <row r="1153" spans="1:40" x14ac:dyDescent="0.3">
      <c r="A1153" s="2">
        <v>45135</v>
      </c>
      <c r="B1153" s="9">
        <v>74.559997999999993</v>
      </c>
      <c r="C1153" s="9">
        <v>127.68</v>
      </c>
      <c r="D1153" s="9">
        <v>129.070007</v>
      </c>
      <c r="E1153" s="10"/>
      <c r="F1153" s="13">
        <v>1150</v>
      </c>
      <c r="G1153" s="2">
        <v>45135</v>
      </c>
      <c r="H1153" s="14">
        <f t="shared" si="365"/>
        <v>1.9091988746088064E-2</v>
      </c>
      <c r="I1153" s="14">
        <f t="shared" si="366"/>
        <v>9.5219999026001281E-3</v>
      </c>
      <c r="J1153" s="14">
        <f t="shared" si="367"/>
        <v>2.8288252939590416E-2</v>
      </c>
      <c r="K1153" s="22">
        <v>1150</v>
      </c>
      <c r="L1153" s="12"/>
      <c r="Q1153" s="15">
        <f t="shared" si="368"/>
        <v>1150</v>
      </c>
      <c r="R1153" s="2">
        <f t="shared" si="364"/>
        <v>45135</v>
      </c>
      <c r="S1153" s="9">
        <f t="shared" ca="1" si="369"/>
        <v>1.9091988746088064E-2</v>
      </c>
      <c r="T1153" s="9">
        <f t="shared" ca="1" si="370"/>
        <v>9.5219999026001281E-3</v>
      </c>
      <c r="U1153" s="9">
        <f t="shared" ca="1" si="371"/>
        <v>2.8288252939590416E-2</v>
      </c>
      <c r="AB1153" s="33" t="e">
        <f t="shared" ca="1" si="377"/>
        <v>#N/A</v>
      </c>
      <c r="AC1153" s="34" t="e">
        <f t="shared" ca="1" si="378"/>
        <v>#N/A</v>
      </c>
      <c r="AD1153" s="34" t="e">
        <f t="shared" ca="1" si="379"/>
        <v>#N/A</v>
      </c>
      <c r="AE1153" s="33" t="e">
        <f t="shared" ca="1" si="380"/>
        <v>#N/A</v>
      </c>
      <c r="AF1153" s="34" t="e">
        <f t="shared" ca="1" si="372"/>
        <v>#N/A</v>
      </c>
      <c r="AG1153" s="34" t="e">
        <f t="shared" ca="1" si="373"/>
        <v>#N/A</v>
      </c>
      <c r="AH1153" s="34" t="e">
        <f t="shared" ca="1" si="374"/>
        <v>#N/A</v>
      </c>
      <c r="AI1153" s="33" t="e">
        <f t="shared" ca="1" si="381"/>
        <v>#N/A</v>
      </c>
      <c r="AJ1153" s="34" t="e">
        <f t="shared" ca="1" si="382"/>
        <v>#N/A</v>
      </c>
      <c r="AK1153" s="34" t="e">
        <f t="shared" ca="1" si="375"/>
        <v>#N/A</v>
      </c>
      <c r="AL1153" s="34" t="e">
        <f t="shared" ca="1" si="376"/>
        <v>#N/A</v>
      </c>
      <c r="AM1153" s="33" t="e">
        <f t="shared" ca="1" si="383"/>
        <v>#N/A</v>
      </c>
      <c r="AN1153" s="34" t="e">
        <f t="shared" ca="1" si="384"/>
        <v>#N/A</v>
      </c>
    </row>
    <row r="1154" spans="1:40" x14ac:dyDescent="0.3">
      <c r="A1154" s="2">
        <v>45138</v>
      </c>
      <c r="B1154" s="9">
        <v>74.150002000000001</v>
      </c>
      <c r="C1154" s="9">
        <v>131.33000200000001</v>
      </c>
      <c r="D1154" s="9">
        <v>128.91000399999999</v>
      </c>
      <c r="E1154" s="10"/>
      <c r="F1154" s="13">
        <v>1151</v>
      </c>
      <c r="G1154" s="2">
        <v>45138</v>
      </c>
      <c r="H1154" s="14">
        <f t="shared" si="365"/>
        <v>-5.5140479970068393E-3</v>
      </c>
      <c r="I1154" s="14">
        <f t="shared" si="366"/>
        <v>2.818612112438261E-2</v>
      </c>
      <c r="J1154" s="14">
        <f t="shared" si="367"/>
        <v>-1.2404295968181875E-3</v>
      </c>
      <c r="K1154" s="22">
        <v>1151</v>
      </c>
      <c r="L1154" s="12"/>
      <c r="Q1154" s="15">
        <f t="shared" si="368"/>
        <v>1151</v>
      </c>
      <c r="R1154" s="2">
        <f t="shared" si="364"/>
        <v>45138</v>
      </c>
      <c r="S1154" s="9">
        <f t="shared" ca="1" si="369"/>
        <v>-5.5140479970068393E-3</v>
      </c>
      <c r="T1154" s="9">
        <f t="shared" ca="1" si="370"/>
        <v>2.818612112438261E-2</v>
      </c>
      <c r="U1154" s="9">
        <f t="shared" ca="1" si="371"/>
        <v>-1.2404295968181875E-3</v>
      </c>
      <c r="AB1154" s="33" t="e">
        <f t="shared" ca="1" si="377"/>
        <v>#N/A</v>
      </c>
      <c r="AC1154" s="34" t="e">
        <f t="shared" ca="1" si="378"/>
        <v>#N/A</v>
      </c>
      <c r="AD1154" s="34" t="e">
        <f t="shared" ca="1" si="379"/>
        <v>#N/A</v>
      </c>
      <c r="AE1154" s="33" t="e">
        <f t="shared" ca="1" si="380"/>
        <v>#N/A</v>
      </c>
      <c r="AF1154" s="34" t="e">
        <f t="shared" ca="1" si="372"/>
        <v>#N/A</v>
      </c>
      <c r="AG1154" s="34" t="e">
        <f t="shared" ca="1" si="373"/>
        <v>#N/A</v>
      </c>
      <c r="AH1154" s="34" t="e">
        <f t="shared" ca="1" si="374"/>
        <v>#N/A</v>
      </c>
      <c r="AI1154" s="33" t="e">
        <f t="shared" ca="1" si="381"/>
        <v>#N/A</v>
      </c>
      <c r="AJ1154" s="34" t="e">
        <f t="shared" ca="1" si="382"/>
        <v>#N/A</v>
      </c>
      <c r="AK1154" s="34" t="e">
        <f t="shared" ca="1" si="375"/>
        <v>#N/A</v>
      </c>
      <c r="AL1154" s="34" t="e">
        <f t="shared" ca="1" si="376"/>
        <v>#N/A</v>
      </c>
      <c r="AM1154" s="33" t="e">
        <f t="shared" ca="1" si="383"/>
        <v>#N/A</v>
      </c>
      <c r="AN1154" s="34" t="e">
        <f t="shared" ca="1" si="384"/>
        <v>#N/A</v>
      </c>
    </row>
    <row r="1155" spans="1:40" x14ac:dyDescent="0.3">
      <c r="A1155" s="2">
        <v>45139</v>
      </c>
      <c r="B1155" s="9">
        <v>73.919998000000007</v>
      </c>
      <c r="C1155" s="9">
        <v>131.800003</v>
      </c>
      <c r="D1155" s="9">
        <v>128.770004</v>
      </c>
      <c r="E1155" s="10"/>
      <c r="F1155" s="13">
        <v>1152</v>
      </c>
      <c r="G1155" s="2">
        <v>45139</v>
      </c>
      <c r="H1155" s="14">
        <f t="shared" si="365"/>
        <v>-3.1066952791427307E-3</v>
      </c>
      <c r="I1155" s="14">
        <f t="shared" si="366"/>
        <v>3.5723900042854261E-3</v>
      </c>
      <c r="J1155" s="14">
        <f t="shared" si="367"/>
        <v>-1.0866191355853986E-3</v>
      </c>
      <c r="K1155" s="22">
        <v>1152</v>
      </c>
      <c r="L1155" s="12"/>
      <c r="Q1155" s="15">
        <f t="shared" si="368"/>
        <v>1152</v>
      </c>
      <c r="R1155" s="2">
        <f t="shared" si="364"/>
        <v>45139</v>
      </c>
      <c r="S1155" s="9">
        <f t="shared" ca="1" si="369"/>
        <v>-3.1066952791427307E-3</v>
      </c>
      <c r="T1155" s="9">
        <f t="shared" ca="1" si="370"/>
        <v>3.5723900042854261E-3</v>
      </c>
      <c r="U1155" s="9">
        <f t="shared" ca="1" si="371"/>
        <v>-1.0866191355853986E-3</v>
      </c>
      <c r="AB1155" s="33" t="e">
        <f t="shared" ca="1" si="377"/>
        <v>#N/A</v>
      </c>
      <c r="AC1155" s="34" t="e">
        <f t="shared" ca="1" si="378"/>
        <v>#N/A</v>
      </c>
      <c r="AD1155" s="34" t="e">
        <f t="shared" ca="1" si="379"/>
        <v>#N/A</v>
      </c>
      <c r="AE1155" s="33" t="e">
        <f t="shared" ca="1" si="380"/>
        <v>#N/A</v>
      </c>
      <c r="AF1155" s="34" t="e">
        <f t="shared" ca="1" si="372"/>
        <v>#N/A</v>
      </c>
      <c r="AG1155" s="34" t="e">
        <f t="shared" ca="1" si="373"/>
        <v>#N/A</v>
      </c>
      <c r="AH1155" s="34" t="e">
        <f t="shared" ca="1" si="374"/>
        <v>#N/A</v>
      </c>
      <c r="AI1155" s="33" t="e">
        <f t="shared" ca="1" si="381"/>
        <v>#N/A</v>
      </c>
      <c r="AJ1155" s="34" t="e">
        <f t="shared" ca="1" si="382"/>
        <v>#N/A</v>
      </c>
      <c r="AK1155" s="34" t="e">
        <f t="shared" ca="1" si="375"/>
        <v>#N/A</v>
      </c>
      <c r="AL1155" s="34" t="e">
        <f t="shared" ca="1" si="376"/>
        <v>#N/A</v>
      </c>
      <c r="AM1155" s="33" t="e">
        <f t="shared" ca="1" si="383"/>
        <v>#N/A</v>
      </c>
      <c r="AN1155" s="34" t="e">
        <f t="shared" ca="1" si="384"/>
        <v>#N/A</v>
      </c>
    </row>
    <row r="1156" spans="1:40" x14ac:dyDescent="0.3">
      <c r="A1156" s="2">
        <v>45140</v>
      </c>
      <c r="B1156" s="9">
        <v>74.300003000000004</v>
      </c>
      <c r="C1156" s="9">
        <v>131.479996</v>
      </c>
      <c r="D1156" s="9">
        <v>126.30999799999999</v>
      </c>
      <c r="E1156" s="10"/>
      <c r="F1156" s="13">
        <v>1153</v>
      </c>
      <c r="G1156" s="2">
        <v>45140</v>
      </c>
      <c r="H1156" s="14">
        <f t="shared" si="365"/>
        <v>5.1275918234120312E-3</v>
      </c>
      <c r="I1156" s="14">
        <f t="shared" si="366"/>
        <v>-2.4309264570267089E-3</v>
      </c>
      <c r="J1156" s="14">
        <f t="shared" si="367"/>
        <v>-1.9288711397003111E-2</v>
      </c>
      <c r="K1156" s="22">
        <v>1153</v>
      </c>
      <c r="L1156" s="12"/>
      <c r="Q1156" s="15">
        <f t="shared" si="368"/>
        <v>1153</v>
      </c>
      <c r="R1156" s="2">
        <f t="shared" ref="R1156:R1219" si="385">IF(Q1156="","",VLOOKUP(Q1156,F1156:J2413,2))</f>
        <v>45140</v>
      </c>
      <c r="S1156" s="9">
        <f t="shared" ca="1" si="369"/>
        <v>5.1275918234120312E-3</v>
      </c>
      <c r="T1156" s="9">
        <f t="shared" ca="1" si="370"/>
        <v>-2.4309264570267089E-3</v>
      </c>
      <c r="U1156" s="9">
        <f t="shared" ca="1" si="371"/>
        <v>-1.9288711397003111E-2</v>
      </c>
      <c r="AB1156" s="33" t="e">
        <f t="shared" ca="1" si="377"/>
        <v>#N/A</v>
      </c>
      <c r="AC1156" s="34" t="e">
        <f t="shared" ca="1" si="378"/>
        <v>#N/A</v>
      </c>
      <c r="AD1156" s="34" t="e">
        <f t="shared" ca="1" si="379"/>
        <v>#N/A</v>
      </c>
      <c r="AE1156" s="33" t="e">
        <f t="shared" ca="1" si="380"/>
        <v>#N/A</v>
      </c>
      <c r="AF1156" s="34" t="e">
        <f t="shared" ca="1" si="372"/>
        <v>#N/A</v>
      </c>
      <c r="AG1156" s="34" t="e">
        <f t="shared" ca="1" si="373"/>
        <v>#N/A</v>
      </c>
      <c r="AH1156" s="34" t="e">
        <f t="shared" ca="1" si="374"/>
        <v>#N/A</v>
      </c>
      <c r="AI1156" s="33" t="e">
        <f t="shared" ca="1" si="381"/>
        <v>#N/A</v>
      </c>
      <c r="AJ1156" s="34" t="e">
        <f t="shared" ca="1" si="382"/>
        <v>#N/A</v>
      </c>
      <c r="AK1156" s="34" t="e">
        <f t="shared" ca="1" si="375"/>
        <v>#N/A</v>
      </c>
      <c r="AL1156" s="34" t="e">
        <f t="shared" ca="1" si="376"/>
        <v>#N/A</v>
      </c>
      <c r="AM1156" s="33" t="e">
        <f t="shared" ca="1" si="383"/>
        <v>#N/A</v>
      </c>
      <c r="AN1156" s="34" t="e">
        <f t="shared" ca="1" si="384"/>
        <v>#N/A</v>
      </c>
    </row>
    <row r="1157" spans="1:40" x14ac:dyDescent="0.3">
      <c r="A1157" s="2">
        <v>45141</v>
      </c>
      <c r="B1157" s="9">
        <v>75.720000999999996</v>
      </c>
      <c r="C1157" s="9">
        <v>132.21000699999999</v>
      </c>
      <c r="D1157" s="9">
        <v>125.599998</v>
      </c>
      <c r="E1157" s="10"/>
      <c r="F1157" s="13">
        <v>1154</v>
      </c>
      <c r="G1157" s="2">
        <v>45141</v>
      </c>
      <c r="H1157" s="14">
        <f t="shared" ref="H1157:H1220" si="386">LN(B1157/B1156)</f>
        <v>1.8931347447108993E-2</v>
      </c>
      <c r="I1157" s="14">
        <f t="shared" ref="I1157:I1220" si="387">LN(C1157/C1156)</f>
        <v>5.5369020949342243E-3</v>
      </c>
      <c r="J1157" s="14">
        <f t="shared" ref="J1157:J1220" si="388">LN(D1157/D1156)</f>
        <v>-5.6369488412933893E-3</v>
      </c>
      <c r="K1157" s="22">
        <v>1154</v>
      </c>
      <c r="L1157" s="12"/>
      <c r="Q1157" s="15">
        <f t="shared" ref="Q1157:Q1220" si="389">IF(Q1156="","",IF(Q1156+1&lt;=$M$6,Q1156+1,""))</f>
        <v>1154</v>
      </c>
      <c r="R1157" s="2">
        <f t="shared" si="385"/>
        <v>45141</v>
      </c>
      <c r="S1157" s="9">
        <f t="shared" ref="S1157:S1220" ca="1" si="390">IF(Q1157="","",OFFSET(H$3,$Q1157,0))</f>
        <v>1.8931347447108993E-2</v>
      </c>
      <c r="T1157" s="9">
        <f t="shared" ref="T1157:T1220" ca="1" si="391">IF(R1157="","",OFFSET(I$3,$Q1157,0))</f>
        <v>5.5369020949342243E-3</v>
      </c>
      <c r="U1157" s="9">
        <f t="shared" ref="U1157:U1220" ca="1" si="392">IF(S1157="","",OFFSET(J$3,$Q1157,0))</f>
        <v>-5.6369488412933893E-3</v>
      </c>
      <c r="AB1157" s="33" t="e">
        <f t="shared" ca="1" si="377"/>
        <v>#N/A</v>
      </c>
      <c r="AC1157" s="34" t="e">
        <f t="shared" ca="1" si="378"/>
        <v>#N/A</v>
      </c>
      <c r="AD1157" s="34" t="e">
        <f t="shared" ca="1" si="379"/>
        <v>#N/A</v>
      </c>
      <c r="AE1157" s="33" t="e">
        <f t="shared" ca="1" si="380"/>
        <v>#N/A</v>
      </c>
      <c r="AF1157" s="34" t="e">
        <f t="shared" ref="AF1157:AF1220" ca="1" si="393">IF(AB1157&lt;=$X$6,(AE1157/$X$5)/$X$7,"")</f>
        <v>#N/A</v>
      </c>
      <c r="AG1157" s="34" t="e">
        <f t="shared" ref="AG1157:AG1220" ca="1" si="394">IF(AB1157&lt;=$Y$6,AG1156+$Y$7,"")</f>
        <v>#N/A</v>
      </c>
      <c r="AH1157" s="34" t="e">
        <f t="shared" ref="AH1157:AH1220" ca="1" si="395">IF(AB1157&lt;=$Y$6,AG1157-$Y$7/2,"")</f>
        <v>#N/A</v>
      </c>
      <c r="AI1157" s="33" t="e">
        <f t="shared" ca="1" si="381"/>
        <v>#N/A</v>
      </c>
      <c r="AJ1157" s="34" t="e">
        <f t="shared" ca="1" si="382"/>
        <v>#N/A</v>
      </c>
      <c r="AK1157" s="34" t="e">
        <f t="shared" ref="AK1157:AK1220" ca="1" si="396">IF(AB1157&lt;=$Z$6,AK1156+$Z$7,"")</f>
        <v>#N/A</v>
      </c>
      <c r="AL1157" s="34" t="e">
        <f t="shared" ref="AL1157:AL1220" ca="1" si="397">IF(AB1157&lt;=$Z$6,AK1157-$Z$7/2,"")</f>
        <v>#N/A</v>
      </c>
      <c r="AM1157" s="33" t="e">
        <f t="shared" ca="1" si="383"/>
        <v>#N/A</v>
      </c>
      <c r="AN1157" s="34" t="e">
        <f t="shared" ca="1" si="384"/>
        <v>#N/A</v>
      </c>
    </row>
    <row r="1158" spans="1:40" x14ac:dyDescent="0.3">
      <c r="A1158" s="2">
        <v>45142</v>
      </c>
      <c r="B1158" s="9">
        <v>75.110000999999997</v>
      </c>
      <c r="C1158" s="9">
        <v>131.740005</v>
      </c>
      <c r="D1158" s="9">
        <v>126.889999</v>
      </c>
      <c r="E1158" s="10"/>
      <c r="F1158" s="13">
        <v>1155</v>
      </c>
      <c r="G1158" s="2">
        <v>45142</v>
      </c>
      <c r="H1158" s="14">
        <f t="shared" si="386"/>
        <v>-8.088620535945697E-3</v>
      </c>
      <c r="I1158" s="14">
        <f t="shared" si="387"/>
        <v>-3.5612993019834413E-3</v>
      </c>
      <c r="J1158" s="14">
        <f t="shared" si="388"/>
        <v>1.0218323417450196E-2</v>
      </c>
      <c r="K1158" s="22">
        <v>1155</v>
      </c>
      <c r="L1158" s="12"/>
      <c r="Q1158" s="15">
        <f t="shared" si="389"/>
        <v>1155</v>
      </c>
      <c r="R1158" s="2">
        <f t="shared" si="385"/>
        <v>45142</v>
      </c>
      <c r="S1158" s="9">
        <f t="shared" ca="1" si="390"/>
        <v>-8.088620535945697E-3</v>
      </c>
      <c r="T1158" s="9">
        <f t="shared" ca="1" si="391"/>
        <v>-3.5612993019834413E-3</v>
      </c>
      <c r="U1158" s="9">
        <f t="shared" ca="1" si="392"/>
        <v>1.0218323417450196E-2</v>
      </c>
      <c r="AB1158" s="33" t="e">
        <f t="shared" ref="AB1158:AB1221" ca="1" si="398">IF(AB1157&lt;$X$6,AB1157+1,NA())</f>
        <v>#N/A</v>
      </c>
      <c r="AC1158" s="34" t="e">
        <f t="shared" ref="AC1158:AC1221" ca="1" si="399">IF(AB1158&lt;=$X$6,AC1157+$X$7,"")</f>
        <v>#N/A</v>
      </c>
      <c r="AD1158" s="34" t="e">
        <f t="shared" ref="AD1158:AD1221" ca="1" si="400">IF(AB1158&lt;=$X$6,AC1158-$X$7/2,"")</f>
        <v>#N/A</v>
      </c>
      <c r="AE1158" s="33" t="e">
        <f t="shared" ref="AE1158:AE1221" ca="1" si="401">IF(AB1158&lt;=$X$6,COUNTIFS($S$3:$S$1260,"&gt;"&amp;AC1157,$S$3:$S$1260,"&lt;="&amp;AC1158),"")</f>
        <v>#N/A</v>
      </c>
      <c r="AF1158" s="34" t="e">
        <f t="shared" ca="1" si="393"/>
        <v>#N/A</v>
      </c>
      <c r="AG1158" s="34" t="e">
        <f t="shared" ca="1" si="394"/>
        <v>#N/A</v>
      </c>
      <c r="AH1158" s="34" t="e">
        <f t="shared" ca="1" si="395"/>
        <v>#N/A</v>
      </c>
      <c r="AI1158" s="33" t="e">
        <f t="shared" ref="AI1158:AI1221" ca="1" si="402">IF(AB1158&lt;=$Y$6,COUNTIFS($T$3:$T$1260,"&gt;"&amp;AG1157,$T$3:$T$1260,"&lt;="&amp;AG1158),"")</f>
        <v>#N/A</v>
      </c>
      <c r="AJ1158" s="34" t="e">
        <f t="shared" ref="AJ1158:AJ1221" ca="1" si="403">IF(AB1158&lt;=$Y$6,(AI1158/$Y$5)/$Y$7,"")</f>
        <v>#N/A</v>
      </c>
      <c r="AK1158" s="34" t="e">
        <f t="shared" ca="1" si="396"/>
        <v>#N/A</v>
      </c>
      <c r="AL1158" s="34" t="e">
        <f t="shared" ca="1" si="397"/>
        <v>#N/A</v>
      </c>
      <c r="AM1158" s="33" t="e">
        <f t="shared" ref="AM1158:AM1221" ca="1" si="404">IF(AB1158&lt;=$Z$6,COUNTIFS($U$3:$U$1260,"&gt;"&amp;AK1157,$U$3:$U$1260,"&lt;="&amp;AK1158),"")</f>
        <v>#N/A</v>
      </c>
      <c r="AN1158" s="34" t="e">
        <f t="shared" ref="AN1158:AN1221" ca="1" si="405">IF(AB1158&lt;=$Z$6,(AM1158/$Z$5)/$Z$7,"")</f>
        <v>#N/A</v>
      </c>
    </row>
    <row r="1159" spans="1:40" x14ac:dyDescent="0.3">
      <c r="A1159" s="2">
        <v>45145</v>
      </c>
      <c r="B1159" s="9">
        <v>75.540001000000004</v>
      </c>
      <c r="C1159" s="9">
        <v>131.61999499999999</v>
      </c>
      <c r="D1159" s="9">
        <v>129.28999300000001</v>
      </c>
      <c r="E1159" s="10"/>
      <c r="F1159" s="13">
        <v>1156</v>
      </c>
      <c r="G1159" s="2">
        <v>45145</v>
      </c>
      <c r="H1159" s="14">
        <f t="shared" si="386"/>
        <v>5.7086115106035921E-3</v>
      </c>
      <c r="I1159" s="14">
        <f t="shared" si="387"/>
        <v>-9.1137612626644065E-4</v>
      </c>
      <c r="J1159" s="14">
        <f t="shared" si="388"/>
        <v>1.8737327596627339E-2</v>
      </c>
      <c r="K1159" s="22">
        <v>1156</v>
      </c>
      <c r="L1159" s="12"/>
      <c r="Q1159" s="15">
        <f t="shared" si="389"/>
        <v>1156</v>
      </c>
      <c r="R1159" s="2">
        <f t="shared" si="385"/>
        <v>45145</v>
      </c>
      <c r="S1159" s="9">
        <f t="shared" ca="1" si="390"/>
        <v>5.7086115106035921E-3</v>
      </c>
      <c r="T1159" s="9">
        <f t="shared" ca="1" si="391"/>
        <v>-9.1137612626644065E-4</v>
      </c>
      <c r="U1159" s="9">
        <f t="shared" ca="1" si="392"/>
        <v>1.8737327596627339E-2</v>
      </c>
      <c r="AB1159" s="33" t="e">
        <f t="shared" ca="1" si="398"/>
        <v>#N/A</v>
      </c>
      <c r="AC1159" s="34" t="e">
        <f t="shared" ca="1" si="399"/>
        <v>#N/A</v>
      </c>
      <c r="AD1159" s="34" t="e">
        <f t="shared" ca="1" si="400"/>
        <v>#N/A</v>
      </c>
      <c r="AE1159" s="33" t="e">
        <f t="shared" ca="1" si="401"/>
        <v>#N/A</v>
      </c>
      <c r="AF1159" s="34" t="e">
        <f t="shared" ca="1" si="393"/>
        <v>#N/A</v>
      </c>
      <c r="AG1159" s="34" t="e">
        <f t="shared" ca="1" si="394"/>
        <v>#N/A</v>
      </c>
      <c r="AH1159" s="34" t="e">
        <f t="shared" ca="1" si="395"/>
        <v>#N/A</v>
      </c>
      <c r="AI1159" s="33" t="e">
        <f t="shared" ca="1" si="402"/>
        <v>#N/A</v>
      </c>
      <c r="AJ1159" s="34" t="e">
        <f t="shared" ca="1" si="403"/>
        <v>#N/A</v>
      </c>
      <c r="AK1159" s="34" t="e">
        <f t="shared" ca="1" si="396"/>
        <v>#N/A</v>
      </c>
      <c r="AL1159" s="34" t="e">
        <f t="shared" ca="1" si="397"/>
        <v>#N/A</v>
      </c>
      <c r="AM1159" s="33" t="e">
        <f t="shared" ca="1" si="404"/>
        <v>#N/A</v>
      </c>
      <c r="AN1159" s="34" t="e">
        <f t="shared" ca="1" si="405"/>
        <v>#N/A</v>
      </c>
    </row>
    <row r="1160" spans="1:40" x14ac:dyDescent="0.3">
      <c r="A1160" s="2">
        <v>45146</v>
      </c>
      <c r="B1160" s="9">
        <v>75.819999999999993</v>
      </c>
      <c r="C1160" s="9">
        <v>130.14999399999999</v>
      </c>
      <c r="D1160" s="9">
        <v>131.33999600000001</v>
      </c>
      <c r="E1160" s="10"/>
      <c r="F1160" s="13">
        <v>1157</v>
      </c>
      <c r="G1160" s="2">
        <v>45146</v>
      </c>
      <c r="H1160" s="14">
        <f t="shared" si="386"/>
        <v>3.699779565858337E-3</v>
      </c>
      <c r="I1160" s="14">
        <f t="shared" si="387"/>
        <v>-1.1231359699904402E-2</v>
      </c>
      <c r="J1160" s="14">
        <f t="shared" si="388"/>
        <v>1.5731461182910439E-2</v>
      </c>
      <c r="K1160" s="22">
        <v>1157</v>
      </c>
      <c r="L1160" s="12"/>
      <c r="Q1160" s="15">
        <f t="shared" si="389"/>
        <v>1157</v>
      </c>
      <c r="R1160" s="2">
        <f t="shared" si="385"/>
        <v>45146</v>
      </c>
      <c r="S1160" s="9">
        <f t="shared" ca="1" si="390"/>
        <v>3.699779565858337E-3</v>
      </c>
      <c r="T1160" s="9">
        <f t="shared" ca="1" si="391"/>
        <v>-1.1231359699904402E-2</v>
      </c>
      <c r="U1160" s="9">
        <f t="shared" ca="1" si="392"/>
        <v>1.5731461182910439E-2</v>
      </c>
      <c r="AB1160" s="33" t="e">
        <f t="shared" ca="1" si="398"/>
        <v>#N/A</v>
      </c>
      <c r="AC1160" s="34" t="e">
        <f t="shared" ca="1" si="399"/>
        <v>#N/A</v>
      </c>
      <c r="AD1160" s="34" t="e">
        <f t="shared" ca="1" si="400"/>
        <v>#N/A</v>
      </c>
      <c r="AE1160" s="33" t="e">
        <f t="shared" ca="1" si="401"/>
        <v>#N/A</v>
      </c>
      <c r="AF1160" s="34" t="e">
        <f t="shared" ca="1" si="393"/>
        <v>#N/A</v>
      </c>
      <c r="AG1160" s="34" t="e">
        <f t="shared" ca="1" si="394"/>
        <v>#N/A</v>
      </c>
      <c r="AH1160" s="34" t="e">
        <f t="shared" ca="1" si="395"/>
        <v>#N/A</v>
      </c>
      <c r="AI1160" s="33" t="e">
        <f t="shared" ca="1" si="402"/>
        <v>#N/A</v>
      </c>
      <c r="AJ1160" s="34" t="e">
        <f t="shared" ca="1" si="403"/>
        <v>#N/A</v>
      </c>
      <c r="AK1160" s="34" t="e">
        <f t="shared" ca="1" si="396"/>
        <v>#N/A</v>
      </c>
      <c r="AL1160" s="34" t="e">
        <f t="shared" ca="1" si="397"/>
        <v>#N/A</v>
      </c>
      <c r="AM1160" s="33" t="e">
        <f t="shared" ca="1" si="404"/>
        <v>#N/A</v>
      </c>
      <c r="AN1160" s="34" t="e">
        <f t="shared" ca="1" si="405"/>
        <v>#N/A</v>
      </c>
    </row>
    <row r="1161" spans="1:40" x14ac:dyDescent="0.3">
      <c r="A1161" s="2">
        <v>45147</v>
      </c>
      <c r="B1161" s="9">
        <v>76.279999000000004</v>
      </c>
      <c r="C1161" s="9">
        <v>128.490005</v>
      </c>
      <c r="D1161" s="9">
        <v>133.949997</v>
      </c>
      <c r="E1161" s="10"/>
      <c r="F1161" s="13">
        <v>1158</v>
      </c>
      <c r="G1161" s="2">
        <v>45147</v>
      </c>
      <c r="H1161" s="14">
        <f t="shared" si="386"/>
        <v>6.0486575344333637E-3</v>
      </c>
      <c r="I1161" s="14">
        <f t="shared" si="387"/>
        <v>-1.283646613099753E-2</v>
      </c>
      <c r="J1161" s="14">
        <f t="shared" si="388"/>
        <v>1.9677223286681603E-2</v>
      </c>
      <c r="K1161" s="22">
        <v>1158</v>
      </c>
      <c r="L1161" s="12"/>
      <c r="Q1161" s="15">
        <f t="shared" si="389"/>
        <v>1158</v>
      </c>
      <c r="R1161" s="2">
        <f t="shared" si="385"/>
        <v>45147</v>
      </c>
      <c r="S1161" s="9">
        <f t="shared" ca="1" si="390"/>
        <v>6.0486575344333637E-3</v>
      </c>
      <c r="T1161" s="9">
        <f t="shared" ca="1" si="391"/>
        <v>-1.283646613099753E-2</v>
      </c>
      <c r="U1161" s="9">
        <f t="shared" ca="1" si="392"/>
        <v>1.9677223286681603E-2</v>
      </c>
      <c r="AB1161" s="33" t="e">
        <f t="shared" ca="1" si="398"/>
        <v>#N/A</v>
      </c>
      <c r="AC1161" s="34" t="e">
        <f t="shared" ca="1" si="399"/>
        <v>#N/A</v>
      </c>
      <c r="AD1161" s="34" t="e">
        <f t="shared" ca="1" si="400"/>
        <v>#N/A</v>
      </c>
      <c r="AE1161" s="33" t="e">
        <f t="shared" ca="1" si="401"/>
        <v>#N/A</v>
      </c>
      <c r="AF1161" s="34" t="e">
        <f t="shared" ca="1" si="393"/>
        <v>#N/A</v>
      </c>
      <c r="AG1161" s="34" t="e">
        <f t="shared" ca="1" si="394"/>
        <v>#N/A</v>
      </c>
      <c r="AH1161" s="34" t="e">
        <f t="shared" ca="1" si="395"/>
        <v>#N/A</v>
      </c>
      <c r="AI1161" s="33" t="e">
        <f t="shared" ca="1" si="402"/>
        <v>#N/A</v>
      </c>
      <c r="AJ1161" s="34" t="e">
        <f t="shared" ca="1" si="403"/>
        <v>#N/A</v>
      </c>
      <c r="AK1161" s="34" t="e">
        <f t="shared" ca="1" si="396"/>
        <v>#N/A</v>
      </c>
      <c r="AL1161" s="34" t="e">
        <f t="shared" ca="1" si="397"/>
        <v>#N/A</v>
      </c>
      <c r="AM1161" s="33" t="e">
        <f t="shared" ca="1" si="404"/>
        <v>#N/A</v>
      </c>
      <c r="AN1161" s="34" t="e">
        <f t="shared" ca="1" si="405"/>
        <v>#N/A</v>
      </c>
    </row>
    <row r="1162" spans="1:40" x14ac:dyDescent="0.3">
      <c r="A1162" s="2">
        <v>45148</v>
      </c>
      <c r="B1162" s="9">
        <v>76.260002</v>
      </c>
      <c r="C1162" s="9">
        <v>122.300003</v>
      </c>
      <c r="D1162" s="9">
        <v>134.86000100000001</v>
      </c>
      <c r="E1162" s="10"/>
      <c r="F1162" s="13">
        <v>1159</v>
      </c>
      <c r="G1162" s="2">
        <v>45148</v>
      </c>
      <c r="H1162" s="14">
        <f t="shared" si="386"/>
        <v>-2.621869671360553E-4</v>
      </c>
      <c r="I1162" s="14">
        <f t="shared" si="387"/>
        <v>-4.9374051985951566E-2</v>
      </c>
      <c r="J1162" s="14">
        <f t="shared" si="388"/>
        <v>6.7706371273322163E-3</v>
      </c>
      <c r="K1162" s="22">
        <v>1159</v>
      </c>
      <c r="L1162" s="12"/>
      <c r="Q1162" s="15">
        <f t="shared" si="389"/>
        <v>1159</v>
      </c>
      <c r="R1162" s="2">
        <f t="shared" si="385"/>
        <v>45148</v>
      </c>
      <c r="S1162" s="9">
        <f t="shared" ca="1" si="390"/>
        <v>-2.621869671360553E-4</v>
      </c>
      <c r="T1162" s="9">
        <f t="shared" ca="1" si="391"/>
        <v>-4.9374051985951566E-2</v>
      </c>
      <c r="U1162" s="9">
        <f t="shared" ca="1" si="392"/>
        <v>6.7706371273322163E-3</v>
      </c>
      <c r="AB1162" s="33" t="e">
        <f t="shared" ca="1" si="398"/>
        <v>#N/A</v>
      </c>
      <c r="AC1162" s="34" t="e">
        <f t="shared" ca="1" si="399"/>
        <v>#N/A</v>
      </c>
      <c r="AD1162" s="34" t="e">
        <f t="shared" ca="1" si="400"/>
        <v>#N/A</v>
      </c>
      <c r="AE1162" s="33" t="e">
        <f t="shared" ca="1" si="401"/>
        <v>#N/A</v>
      </c>
      <c r="AF1162" s="34" t="e">
        <f t="shared" ca="1" si="393"/>
        <v>#N/A</v>
      </c>
      <c r="AG1162" s="34" t="e">
        <f t="shared" ca="1" si="394"/>
        <v>#N/A</v>
      </c>
      <c r="AH1162" s="34" t="e">
        <f t="shared" ca="1" si="395"/>
        <v>#N/A</v>
      </c>
      <c r="AI1162" s="33" t="e">
        <f t="shared" ca="1" si="402"/>
        <v>#N/A</v>
      </c>
      <c r="AJ1162" s="34" t="e">
        <f t="shared" ca="1" si="403"/>
        <v>#N/A</v>
      </c>
      <c r="AK1162" s="34" t="e">
        <f t="shared" ca="1" si="396"/>
        <v>#N/A</v>
      </c>
      <c r="AL1162" s="34" t="e">
        <f t="shared" ca="1" si="397"/>
        <v>#N/A</v>
      </c>
      <c r="AM1162" s="33" t="e">
        <f t="shared" ca="1" si="404"/>
        <v>#N/A</v>
      </c>
      <c r="AN1162" s="34" t="e">
        <f t="shared" ca="1" si="405"/>
        <v>#N/A</v>
      </c>
    </row>
    <row r="1163" spans="1:40" x14ac:dyDescent="0.3">
      <c r="A1163" s="2">
        <v>45149</v>
      </c>
      <c r="B1163" s="9">
        <v>76.190002000000007</v>
      </c>
      <c r="C1163" s="9">
        <v>121.459999</v>
      </c>
      <c r="D1163" s="9">
        <v>139.05999800000001</v>
      </c>
      <c r="E1163" s="10"/>
      <c r="F1163" s="13">
        <v>1160</v>
      </c>
      <c r="G1163" s="2">
        <v>45149</v>
      </c>
      <c r="H1163" s="14">
        <f t="shared" si="386"/>
        <v>-9.1833392040393061E-4</v>
      </c>
      <c r="I1163" s="14">
        <f t="shared" si="387"/>
        <v>-6.8920849867050394E-3</v>
      </c>
      <c r="J1163" s="14">
        <f t="shared" si="388"/>
        <v>3.0668269567057666E-2</v>
      </c>
      <c r="K1163" s="22">
        <v>1160</v>
      </c>
      <c r="L1163" s="12"/>
      <c r="Q1163" s="15">
        <f t="shared" si="389"/>
        <v>1160</v>
      </c>
      <c r="R1163" s="2">
        <f t="shared" si="385"/>
        <v>45149</v>
      </c>
      <c r="S1163" s="9">
        <f t="shared" ca="1" si="390"/>
        <v>-9.1833392040393061E-4</v>
      </c>
      <c r="T1163" s="9">
        <f t="shared" ca="1" si="391"/>
        <v>-6.8920849867050394E-3</v>
      </c>
      <c r="U1163" s="9">
        <f t="shared" ca="1" si="392"/>
        <v>3.0668269567057666E-2</v>
      </c>
      <c r="AB1163" s="33" t="e">
        <f t="shared" ca="1" si="398"/>
        <v>#N/A</v>
      </c>
      <c r="AC1163" s="34" t="e">
        <f t="shared" ca="1" si="399"/>
        <v>#N/A</v>
      </c>
      <c r="AD1163" s="34" t="e">
        <f t="shared" ca="1" si="400"/>
        <v>#N/A</v>
      </c>
      <c r="AE1163" s="33" t="e">
        <f t="shared" ca="1" si="401"/>
        <v>#N/A</v>
      </c>
      <c r="AF1163" s="34" t="e">
        <f t="shared" ca="1" si="393"/>
        <v>#N/A</v>
      </c>
      <c r="AG1163" s="34" t="e">
        <f t="shared" ca="1" si="394"/>
        <v>#N/A</v>
      </c>
      <c r="AH1163" s="34" t="e">
        <f t="shared" ca="1" si="395"/>
        <v>#N/A</v>
      </c>
      <c r="AI1163" s="33" t="e">
        <f t="shared" ca="1" si="402"/>
        <v>#N/A</v>
      </c>
      <c r="AJ1163" s="34" t="e">
        <f t="shared" ca="1" si="403"/>
        <v>#N/A</v>
      </c>
      <c r="AK1163" s="34" t="e">
        <f t="shared" ca="1" si="396"/>
        <v>#N/A</v>
      </c>
      <c r="AL1163" s="34" t="e">
        <f t="shared" ca="1" si="397"/>
        <v>#N/A</v>
      </c>
      <c r="AM1163" s="33" t="e">
        <f t="shared" ca="1" si="404"/>
        <v>#N/A</v>
      </c>
      <c r="AN1163" s="34" t="e">
        <f t="shared" ca="1" si="405"/>
        <v>#N/A</v>
      </c>
    </row>
    <row r="1164" spans="1:40" x14ac:dyDescent="0.3">
      <c r="A1164" s="2">
        <v>45152</v>
      </c>
      <c r="B1164" s="9">
        <v>76.019997000000004</v>
      </c>
      <c r="C1164" s="9">
        <v>121.07</v>
      </c>
      <c r="D1164" s="9">
        <v>136.5</v>
      </c>
      <c r="E1164" s="10"/>
      <c r="F1164" s="13">
        <v>1161</v>
      </c>
      <c r="G1164" s="2">
        <v>45152</v>
      </c>
      <c r="H1164" s="14">
        <f t="shared" si="386"/>
        <v>-2.2338226372793169E-3</v>
      </c>
      <c r="I1164" s="14">
        <f t="shared" si="387"/>
        <v>-3.2160915166172021E-3</v>
      </c>
      <c r="J1164" s="14">
        <f t="shared" si="388"/>
        <v>-1.8580865663576317E-2</v>
      </c>
      <c r="K1164" s="22">
        <v>1161</v>
      </c>
      <c r="L1164" s="12"/>
      <c r="Q1164" s="15">
        <f t="shared" si="389"/>
        <v>1161</v>
      </c>
      <c r="R1164" s="2">
        <f t="shared" si="385"/>
        <v>45152</v>
      </c>
      <c r="S1164" s="9">
        <f t="shared" ca="1" si="390"/>
        <v>-2.2338226372793169E-3</v>
      </c>
      <c r="T1164" s="9">
        <f t="shared" ca="1" si="391"/>
        <v>-3.2160915166172021E-3</v>
      </c>
      <c r="U1164" s="9">
        <f t="shared" ca="1" si="392"/>
        <v>-1.8580865663576317E-2</v>
      </c>
      <c r="AB1164" s="33" t="e">
        <f t="shared" ca="1" si="398"/>
        <v>#N/A</v>
      </c>
      <c r="AC1164" s="34" t="e">
        <f t="shared" ca="1" si="399"/>
        <v>#N/A</v>
      </c>
      <c r="AD1164" s="34" t="e">
        <f t="shared" ca="1" si="400"/>
        <v>#N/A</v>
      </c>
      <c r="AE1164" s="33" t="e">
        <f t="shared" ca="1" si="401"/>
        <v>#N/A</v>
      </c>
      <c r="AF1164" s="34" t="e">
        <f t="shared" ca="1" si="393"/>
        <v>#N/A</v>
      </c>
      <c r="AG1164" s="34" t="e">
        <f t="shared" ca="1" si="394"/>
        <v>#N/A</v>
      </c>
      <c r="AH1164" s="34" t="e">
        <f t="shared" ca="1" si="395"/>
        <v>#N/A</v>
      </c>
      <c r="AI1164" s="33" t="e">
        <f t="shared" ca="1" si="402"/>
        <v>#N/A</v>
      </c>
      <c r="AJ1164" s="34" t="e">
        <f t="shared" ca="1" si="403"/>
        <v>#N/A</v>
      </c>
      <c r="AK1164" s="34" t="e">
        <f t="shared" ca="1" si="396"/>
        <v>#N/A</v>
      </c>
      <c r="AL1164" s="34" t="e">
        <f t="shared" ca="1" si="397"/>
        <v>#N/A</v>
      </c>
      <c r="AM1164" s="33" t="e">
        <f t="shared" ca="1" si="404"/>
        <v>#N/A</v>
      </c>
      <c r="AN1164" s="34" t="e">
        <f t="shared" ca="1" si="405"/>
        <v>#N/A</v>
      </c>
    </row>
    <row r="1165" spans="1:40" x14ac:dyDescent="0.3">
      <c r="A1165" s="2">
        <v>45153</v>
      </c>
      <c r="B1165" s="9">
        <v>74.860000999999997</v>
      </c>
      <c r="C1165" s="9">
        <v>119.629997</v>
      </c>
      <c r="D1165" s="9">
        <v>131.13999899999999</v>
      </c>
      <c r="E1165" s="10"/>
      <c r="F1165" s="13">
        <v>1162</v>
      </c>
      <c r="G1165" s="2">
        <v>45153</v>
      </c>
      <c r="H1165" s="14">
        <f t="shared" si="386"/>
        <v>-1.5376708263251292E-2</v>
      </c>
      <c r="I1165" s="14">
        <f t="shared" si="387"/>
        <v>-1.1965269614158072E-2</v>
      </c>
      <c r="J1165" s="14">
        <f t="shared" si="388"/>
        <v>-4.0059167414979627E-2</v>
      </c>
      <c r="K1165" s="22">
        <v>1162</v>
      </c>
      <c r="L1165" s="12"/>
      <c r="Q1165" s="15">
        <f t="shared" si="389"/>
        <v>1162</v>
      </c>
      <c r="R1165" s="2">
        <f t="shared" si="385"/>
        <v>45153</v>
      </c>
      <c r="S1165" s="9">
        <f t="shared" ca="1" si="390"/>
        <v>-1.5376708263251292E-2</v>
      </c>
      <c r="T1165" s="9">
        <f t="shared" ca="1" si="391"/>
        <v>-1.1965269614158072E-2</v>
      </c>
      <c r="U1165" s="9">
        <f t="shared" ca="1" si="392"/>
        <v>-4.0059167414979627E-2</v>
      </c>
      <c r="AB1165" s="33" t="e">
        <f t="shared" ca="1" si="398"/>
        <v>#N/A</v>
      </c>
      <c r="AC1165" s="34" t="e">
        <f t="shared" ca="1" si="399"/>
        <v>#N/A</v>
      </c>
      <c r="AD1165" s="34" t="e">
        <f t="shared" ca="1" si="400"/>
        <v>#N/A</v>
      </c>
      <c r="AE1165" s="33" t="e">
        <f t="shared" ca="1" si="401"/>
        <v>#N/A</v>
      </c>
      <c r="AF1165" s="34" t="e">
        <f t="shared" ca="1" si="393"/>
        <v>#N/A</v>
      </c>
      <c r="AG1165" s="34" t="e">
        <f t="shared" ca="1" si="394"/>
        <v>#N/A</v>
      </c>
      <c r="AH1165" s="34" t="e">
        <f t="shared" ca="1" si="395"/>
        <v>#N/A</v>
      </c>
      <c r="AI1165" s="33" t="e">
        <f t="shared" ca="1" si="402"/>
        <v>#N/A</v>
      </c>
      <c r="AJ1165" s="34" t="e">
        <f t="shared" ca="1" si="403"/>
        <v>#N/A</v>
      </c>
      <c r="AK1165" s="34" t="e">
        <f t="shared" ca="1" si="396"/>
        <v>#N/A</v>
      </c>
      <c r="AL1165" s="34" t="e">
        <f t="shared" ca="1" si="397"/>
        <v>#N/A</v>
      </c>
      <c r="AM1165" s="33" t="e">
        <f t="shared" ca="1" si="404"/>
        <v>#N/A</v>
      </c>
      <c r="AN1165" s="34" t="e">
        <f t="shared" ca="1" si="405"/>
        <v>#N/A</v>
      </c>
    </row>
    <row r="1166" spans="1:40" x14ac:dyDescent="0.3">
      <c r="A1166" s="2">
        <v>45154</v>
      </c>
      <c r="B1166" s="9">
        <v>74.099997999999999</v>
      </c>
      <c r="C1166" s="9">
        <v>117.75</v>
      </c>
      <c r="D1166" s="9">
        <v>130.94000199999999</v>
      </c>
      <c r="E1166" s="10"/>
      <c r="F1166" s="13">
        <v>1163</v>
      </c>
      <c r="G1166" s="2">
        <v>45154</v>
      </c>
      <c r="H1166" s="14">
        <f t="shared" si="386"/>
        <v>-1.0204210523063988E-2</v>
      </c>
      <c r="I1166" s="14">
        <f t="shared" si="387"/>
        <v>-1.5839888208963697E-2</v>
      </c>
      <c r="J1166" s="14">
        <f t="shared" si="388"/>
        <v>-1.5262289229182699E-3</v>
      </c>
      <c r="K1166" s="22">
        <v>1163</v>
      </c>
      <c r="L1166" s="12"/>
      <c r="Q1166" s="15">
        <f t="shared" si="389"/>
        <v>1163</v>
      </c>
      <c r="R1166" s="2">
        <f t="shared" si="385"/>
        <v>45154</v>
      </c>
      <c r="S1166" s="9">
        <f t="shared" ca="1" si="390"/>
        <v>-1.0204210523063988E-2</v>
      </c>
      <c r="T1166" s="9">
        <f t="shared" ca="1" si="391"/>
        <v>-1.5839888208963697E-2</v>
      </c>
      <c r="U1166" s="9">
        <f t="shared" ca="1" si="392"/>
        <v>-1.5262289229182699E-3</v>
      </c>
      <c r="AB1166" s="33" t="e">
        <f t="shared" ca="1" si="398"/>
        <v>#N/A</v>
      </c>
      <c r="AC1166" s="34" t="e">
        <f t="shared" ca="1" si="399"/>
        <v>#N/A</v>
      </c>
      <c r="AD1166" s="34" t="e">
        <f t="shared" ca="1" si="400"/>
        <v>#N/A</v>
      </c>
      <c r="AE1166" s="33" t="e">
        <f t="shared" ca="1" si="401"/>
        <v>#N/A</v>
      </c>
      <c r="AF1166" s="34" t="e">
        <f t="shared" ca="1" si="393"/>
        <v>#N/A</v>
      </c>
      <c r="AG1166" s="34" t="e">
        <f t="shared" ca="1" si="394"/>
        <v>#N/A</v>
      </c>
      <c r="AH1166" s="34" t="e">
        <f t="shared" ca="1" si="395"/>
        <v>#N/A</v>
      </c>
      <c r="AI1166" s="33" t="e">
        <f t="shared" ca="1" si="402"/>
        <v>#N/A</v>
      </c>
      <c r="AJ1166" s="34" t="e">
        <f t="shared" ca="1" si="403"/>
        <v>#N/A</v>
      </c>
      <c r="AK1166" s="34" t="e">
        <f t="shared" ca="1" si="396"/>
        <v>#N/A</v>
      </c>
      <c r="AL1166" s="34" t="e">
        <f t="shared" ca="1" si="397"/>
        <v>#N/A</v>
      </c>
      <c r="AM1166" s="33" t="e">
        <f t="shared" ca="1" si="404"/>
        <v>#N/A</v>
      </c>
      <c r="AN1166" s="34" t="e">
        <f t="shared" ca="1" si="405"/>
        <v>#N/A</v>
      </c>
    </row>
    <row r="1167" spans="1:40" x14ac:dyDescent="0.3">
      <c r="A1167" s="2">
        <v>45155</v>
      </c>
      <c r="B1167" s="9">
        <v>73.959998999999996</v>
      </c>
      <c r="C1167" s="9">
        <v>116.720001</v>
      </c>
      <c r="D1167" s="9">
        <v>132.020004</v>
      </c>
      <c r="E1167" s="10"/>
      <c r="F1167" s="13">
        <v>1164</v>
      </c>
      <c r="G1167" s="2">
        <v>45155</v>
      </c>
      <c r="H1167" s="14">
        <f t="shared" si="386"/>
        <v>-1.8911123133856639E-3</v>
      </c>
      <c r="I1167" s="14">
        <f t="shared" si="387"/>
        <v>-8.785820114485008E-3</v>
      </c>
      <c r="J1167" s="14">
        <f t="shared" si="388"/>
        <v>8.2142382719473991E-3</v>
      </c>
      <c r="K1167" s="22">
        <v>1164</v>
      </c>
      <c r="L1167" s="12"/>
      <c r="Q1167" s="15">
        <f t="shared" si="389"/>
        <v>1164</v>
      </c>
      <c r="R1167" s="2">
        <f t="shared" si="385"/>
        <v>45155</v>
      </c>
      <c r="S1167" s="9">
        <f t="shared" ca="1" si="390"/>
        <v>-1.8911123133856639E-3</v>
      </c>
      <c r="T1167" s="9">
        <f t="shared" ca="1" si="391"/>
        <v>-8.785820114485008E-3</v>
      </c>
      <c r="U1167" s="9">
        <f t="shared" ca="1" si="392"/>
        <v>8.2142382719473991E-3</v>
      </c>
      <c r="AB1167" s="33" t="e">
        <f t="shared" ca="1" si="398"/>
        <v>#N/A</v>
      </c>
      <c r="AC1167" s="34" t="e">
        <f t="shared" ca="1" si="399"/>
        <v>#N/A</v>
      </c>
      <c r="AD1167" s="34" t="e">
        <f t="shared" ca="1" si="400"/>
        <v>#N/A</v>
      </c>
      <c r="AE1167" s="33" t="e">
        <f t="shared" ca="1" si="401"/>
        <v>#N/A</v>
      </c>
      <c r="AF1167" s="34" t="e">
        <f t="shared" ca="1" si="393"/>
        <v>#N/A</v>
      </c>
      <c r="AG1167" s="34" t="e">
        <f t="shared" ca="1" si="394"/>
        <v>#N/A</v>
      </c>
      <c r="AH1167" s="34" t="e">
        <f t="shared" ca="1" si="395"/>
        <v>#N/A</v>
      </c>
      <c r="AI1167" s="33" t="e">
        <f t="shared" ca="1" si="402"/>
        <v>#N/A</v>
      </c>
      <c r="AJ1167" s="34" t="e">
        <f t="shared" ca="1" si="403"/>
        <v>#N/A</v>
      </c>
      <c r="AK1167" s="34" t="e">
        <f t="shared" ca="1" si="396"/>
        <v>#N/A</v>
      </c>
      <c r="AL1167" s="34" t="e">
        <f t="shared" ca="1" si="397"/>
        <v>#N/A</v>
      </c>
      <c r="AM1167" s="33" t="e">
        <f t="shared" ca="1" si="404"/>
        <v>#N/A</v>
      </c>
      <c r="AN1167" s="34" t="e">
        <f t="shared" ca="1" si="405"/>
        <v>#N/A</v>
      </c>
    </row>
    <row r="1168" spans="1:40" x14ac:dyDescent="0.3">
      <c r="A1168" s="2">
        <v>45156</v>
      </c>
      <c r="B1168" s="9">
        <v>74.650002000000001</v>
      </c>
      <c r="C1168" s="9">
        <v>115.43</v>
      </c>
      <c r="D1168" s="9">
        <v>133.58000200000001</v>
      </c>
      <c r="E1168" s="10"/>
      <c r="F1168" s="13">
        <v>1165</v>
      </c>
      <c r="G1168" s="2">
        <v>45156</v>
      </c>
      <c r="H1168" s="14">
        <f t="shared" si="386"/>
        <v>9.286157778791727E-3</v>
      </c>
      <c r="I1168" s="14">
        <f t="shared" si="387"/>
        <v>-1.1113627155221201E-2</v>
      </c>
      <c r="J1168" s="14">
        <f t="shared" si="388"/>
        <v>1.1747107710727194E-2</v>
      </c>
      <c r="K1168" s="22">
        <v>1165</v>
      </c>
      <c r="L1168" s="12"/>
      <c r="Q1168" s="15">
        <f t="shared" si="389"/>
        <v>1165</v>
      </c>
      <c r="R1168" s="2">
        <f t="shared" si="385"/>
        <v>45156</v>
      </c>
      <c r="S1168" s="9">
        <f t="shared" ca="1" si="390"/>
        <v>9.286157778791727E-3</v>
      </c>
      <c r="T1168" s="9">
        <f t="shared" ca="1" si="391"/>
        <v>-1.1113627155221201E-2</v>
      </c>
      <c r="U1168" s="9">
        <f t="shared" ca="1" si="392"/>
        <v>1.1747107710727194E-2</v>
      </c>
      <c r="AB1168" s="33" t="e">
        <f t="shared" ca="1" si="398"/>
        <v>#N/A</v>
      </c>
      <c r="AC1168" s="34" t="e">
        <f t="shared" ca="1" si="399"/>
        <v>#N/A</v>
      </c>
      <c r="AD1168" s="34" t="e">
        <f t="shared" ca="1" si="400"/>
        <v>#N/A</v>
      </c>
      <c r="AE1168" s="33" t="e">
        <f t="shared" ca="1" si="401"/>
        <v>#N/A</v>
      </c>
      <c r="AF1168" s="34" t="e">
        <f t="shared" ca="1" si="393"/>
        <v>#N/A</v>
      </c>
      <c r="AG1168" s="34" t="e">
        <f t="shared" ca="1" si="394"/>
        <v>#N/A</v>
      </c>
      <c r="AH1168" s="34" t="e">
        <f t="shared" ca="1" si="395"/>
        <v>#N/A</v>
      </c>
      <c r="AI1168" s="33" t="e">
        <f t="shared" ca="1" si="402"/>
        <v>#N/A</v>
      </c>
      <c r="AJ1168" s="34" t="e">
        <f t="shared" ca="1" si="403"/>
        <v>#N/A</v>
      </c>
      <c r="AK1168" s="34" t="e">
        <f t="shared" ca="1" si="396"/>
        <v>#N/A</v>
      </c>
      <c r="AL1168" s="34" t="e">
        <f t="shared" ca="1" si="397"/>
        <v>#N/A</v>
      </c>
      <c r="AM1168" s="33" t="e">
        <f t="shared" ca="1" si="404"/>
        <v>#N/A</v>
      </c>
      <c r="AN1168" s="34" t="e">
        <f t="shared" ca="1" si="405"/>
        <v>#N/A</v>
      </c>
    </row>
    <row r="1169" spans="1:40" x14ac:dyDescent="0.3">
      <c r="A1169" s="2">
        <v>45159</v>
      </c>
      <c r="B1169" s="9">
        <v>75.069999999999993</v>
      </c>
      <c r="C1169" s="9">
        <v>115.050003</v>
      </c>
      <c r="D1169" s="9">
        <v>131.16000399999999</v>
      </c>
      <c r="E1169" s="10"/>
      <c r="F1169" s="13">
        <v>1166</v>
      </c>
      <c r="G1169" s="2">
        <v>45159</v>
      </c>
      <c r="H1169" s="14">
        <f t="shared" si="386"/>
        <v>5.6104608080172463E-3</v>
      </c>
      <c r="I1169" s="14">
        <f t="shared" si="387"/>
        <v>-3.2974430698270111E-3</v>
      </c>
      <c r="J1169" s="14">
        <f t="shared" si="388"/>
        <v>-1.8282581796241391E-2</v>
      </c>
      <c r="K1169" s="22">
        <v>1166</v>
      </c>
      <c r="L1169" s="12"/>
      <c r="Q1169" s="15">
        <f t="shared" si="389"/>
        <v>1166</v>
      </c>
      <c r="R1169" s="2">
        <f t="shared" si="385"/>
        <v>45159</v>
      </c>
      <c r="S1169" s="9">
        <f t="shared" ca="1" si="390"/>
        <v>5.6104608080172463E-3</v>
      </c>
      <c r="T1169" s="9">
        <f t="shared" ca="1" si="391"/>
        <v>-3.2974430698270111E-3</v>
      </c>
      <c r="U1169" s="9">
        <f t="shared" ca="1" si="392"/>
        <v>-1.8282581796241391E-2</v>
      </c>
      <c r="AB1169" s="33" t="e">
        <f t="shared" ca="1" si="398"/>
        <v>#N/A</v>
      </c>
      <c r="AC1169" s="34" t="e">
        <f t="shared" ca="1" si="399"/>
        <v>#N/A</v>
      </c>
      <c r="AD1169" s="34" t="e">
        <f t="shared" ca="1" si="400"/>
        <v>#N/A</v>
      </c>
      <c r="AE1169" s="33" t="e">
        <f t="shared" ca="1" si="401"/>
        <v>#N/A</v>
      </c>
      <c r="AF1169" s="34" t="e">
        <f t="shared" ca="1" si="393"/>
        <v>#N/A</v>
      </c>
      <c r="AG1169" s="34" t="e">
        <f t="shared" ca="1" si="394"/>
        <v>#N/A</v>
      </c>
      <c r="AH1169" s="34" t="e">
        <f t="shared" ca="1" si="395"/>
        <v>#N/A</v>
      </c>
      <c r="AI1169" s="33" t="e">
        <f t="shared" ca="1" si="402"/>
        <v>#N/A</v>
      </c>
      <c r="AJ1169" s="34" t="e">
        <f t="shared" ca="1" si="403"/>
        <v>#N/A</v>
      </c>
      <c r="AK1169" s="34" t="e">
        <f t="shared" ca="1" si="396"/>
        <v>#N/A</v>
      </c>
      <c r="AL1169" s="34" t="e">
        <f t="shared" ca="1" si="397"/>
        <v>#N/A</v>
      </c>
      <c r="AM1169" s="33" t="e">
        <f t="shared" ca="1" si="404"/>
        <v>#N/A</v>
      </c>
      <c r="AN1169" s="34" t="e">
        <f t="shared" ca="1" si="405"/>
        <v>#N/A</v>
      </c>
    </row>
    <row r="1170" spans="1:40" x14ac:dyDescent="0.3">
      <c r="A1170" s="2">
        <v>45160</v>
      </c>
      <c r="B1170" s="9">
        <v>75.220000999999996</v>
      </c>
      <c r="C1170" s="9">
        <v>113.099998</v>
      </c>
      <c r="D1170" s="9">
        <v>130.88999899999999</v>
      </c>
      <c r="E1170" s="10"/>
      <c r="F1170" s="13">
        <v>1167</v>
      </c>
      <c r="G1170" s="2">
        <v>45160</v>
      </c>
      <c r="H1170" s="14">
        <f t="shared" si="386"/>
        <v>1.9961547516158472E-3</v>
      </c>
      <c r="I1170" s="14">
        <f t="shared" si="387"/>
        <v>-1.7094477118385281E-2</v>
      </c>
      <c r="J1170" s="14">
        <f t="shared" si="388"/>
        <v>-2.0607143099249246E-3</v>
      </c>
      <c r="K1170" s="22">
        <v>1167</v>
      </c>
      <c r="L1170" s="12"/>
      <c r="Q1170" s="15">
        <f t="shared" si="389"/>
        <v>1167</v>
      </c>
      <c r="R1170" s="2">
        <f t="shared" si="385"/>
        <v>45160</v>
      </c>
      <c r="S1170" s="9">
        <f t="shared" ca="1" si="390"/>
        <v>1.9961547516158472E-3</v>
      </c>
      <c r="T1170" s="9">
        <f t="shared" ca="1" si="391"/>
        <v>-1.7094477118385281E-2</v>
      </c>
      <c r="U1170" s="9">
        <f t="shared" ca="1" si="392"/>
        <v>-2.0607143099249246E-3</v>
      </c>
      <c r="AB1170" s="33" t="e">
        <f t="shared" ca="1" si="398"/>
        <v>#N/A</v>
      </c>
      <c r="AC1170" s="34" t="e">
        <f t="shared" ca="1" si="399"/>
        <v>#N/A</v>
      </c>
      <c r="AD1170" s="34" t="e">
        <f t="shared" ca="1" si="400"/>
        <v>#N/A</v>
      </c>
      <c r="AE1170" s="33" t="e">
        <f t="shared" ca="1" si="401"/>
        <v>#N/A</v>
      </c>
      <c r="AF1170" s="34" t="e">
        <f t="shared" ca="1" si="393"/>
        <v>#N/A</v>
      </c>
      <c r="AG1170" s="34" t="e">
        <f t="shared" ca="1" si="394"/>
        <v>#N/A</v>
      </c>
      <c r="AH1170" s="34" t="e">
        <f t="shared" ca="1" si="395"/>
        <v>#N/A</v>
      </c>
      <c r="AI1170" s="33" t="e">
        <f t="shared" ca="1" si="402"/>
        <v>#N/A</v>
      </c>
      <c r="AJ1170" s="34" t="e">
        <f t="shared" ca="1" si="403"/>
        <v>#N/A</v>
      </c>
      <c r="AK1170" s="34" t="e">
        <f t="shared" ca="1" si="396"/>
        <v>#N/A</v>
      </c>
      <c r="AL1170" s="34" t="e">
        <f t="shared" ca="1" si="397"/>
        <v>#N/A</v>
      </c>
      <c r="AM1170" s="33" t="e">
        <f t="shared" ca="1" si="404"/>
        <v>#N/A</v>
      </c>
      <c r="AN1170" s="34" t="e">
        <f t="shared" ca="1" si="405"/>
        <v>#N/A</v>
      </c>
    </row>
    <row r="1171" spans="1:40" x14ac:dyDescent="0.3">
      <c r="A1171" s="2">
        <v>45161</v>
      </c>
      <c r="B1171" s="9">
        <v>75.269997000000004</v>
      </c>
      <c r="C1171" s="9">
        <v>113.699997</v>
      </c>
      <c r="D1171" s="9">
        <v>129.36999499999999</v>
      </c>
      <c r="E1171" s="10"/>
      <c r="F1171" s="13">
        <v>1168</v>
      </c>
      <c r="G1171" s="2">
        <v>45161</v>
      </c>
      <c r="H1171" s="14">
        <f t="shared" si="386"/>
        <v>6.644428533965971E-4</v>
      </c>
      <c r="I1171" s="14">
        <f t="shared" si="387"/>
        <v>5.2910089326570972E-3</v>
      </c>
      <c r="J1171" s="14">
        <f t="shared" si="388"/>
        <v>-1.1680790882651681E-2</v>
      </c>
      <c r="K1171" s="22">
        <v>1168</v>
      </c>
      <c r="L1171" s="12"/>
      <c r="Q1171" s="15">
        <f t="shared" si="389"/>
        <v>1168</v>
      </c>
      <c r="R1171" s="2">
        <f t="shared" si="385"/>
        <v>45161</v>
      </c>
      <c r="S1171" s="9">
        <f t="shared" ca="1" si="390"/>
        <v>6.644428533965971E-4</v>
      </c>
      <c r="T1171" s="9">
        <f t="shared" ca="1" si="391"/>
        <v>5.2910089326570972E-3</v>
      </c>
      <c r="U1171" s="9">
        <f t="shared" ca="1" si="392"/>
        <v>-1.1680790882651681E-2</v>
      </c>
      <c r="AB1171" s="33" t="e">
        <f t="shared" ca="1" si="398"/>
        <v>#N/A</v>
      </c>
      <c r="AC1171" s="34" t="e">
        <f t="shared" ca="1" si="399"/>
        <v>#N/A</v>
      </c>
      <c r="AD1171" s="34" t="e">
        <f t="shared" ca="1" si="400"/>
        <v>#N/A</v>
      </c>
      <c r="AE1171" s="33" t="e">
        <f t="shared" ca="1" si="401"/>
        <v>#N/A</v>
      </c>
      <c r="AF1171" s="34" t="e">
        <f t="shared" ca="1" si="393"/>
        <v>#N/A</v>
      </c>
      <c r="AG1171" s="34" t="e">
        <f t="shared" ca="1" si="394"/>
        <v>#N/A</v>
      </c>
      <c r="AH1171" s="34" t="e">
        <f t="shared" ca="1" si="395"/>
        <v>#N/A</v>
      </c>
      <c r="AI1171" s="33" t="e">
        <f t="shared" ca="1" si="402"/>
        <v>#N/A</v>
      </c>
      <c r="AJ1171" s="34" t="e">
        <f t="shared" ca="1" si="403"/>
        <v>#N/A</v>
      </c>
      <c r="AK1171" s="34" t="e">
        <f t="shared" ca="1" si="396"/>
        <v>#N/A</v>
      </c>
      <c r="AL1171" s="34" t="e">
        <f t="shared" ca="1" si="397"/>
        <v>#N/A</v>
      </c>
      <c r="AM1171" s="33" t="e">
        <f t="shared" ca="1" si="404"/>
        <v>#N/A</v>
      </c>
      <c r="AN1171" s="34" t="e">
        <f t="shared" ca="1" si="405"/>
        <v>#N/A</v>
      </c>
    </row>
    <row r="1172" spans="1:40" x14ac:dyDescent="0.3">
      <c r="A1172" s="2">
        <v>45162</v>
      </c>
      <c r="B1172" s="9">
        <v>74.220000999999996</v>
      </c>
      <c r="C1172" s="9">
        <v>112.489998</v>
      </c>
      <c r="D1172" s="9">
        <v>129.46000699999999</v>
      </c>
      <c r="E1172" s="10"/>
      <c r="F1172" s="13">
        <v>1169</v>
      </c>
      <c r="G1172" s="2">
        <v>45162</v>
      </c>
      <c r="H1172" s="14">
        <f t="shared" si="386"/>
        <v>-1.4047940084014679E-2</v>
      </c>
      <c r="I1172" s="14">
        <f t="shared" si="387"/>
        <v>-1.0699063345889461E-2</v>
      </c>
      <c r="J1172" s="14">
        <f t="shared" si="388"/>
        <v>6.9552990714505153E-4</v>
      </c>
      <c r="K1172" s="22">
        <v>1169</v>
      </c>
      <c r="L1172" s="12"/>
      <c r="Q1172" s="15">
        <f t="shared" si="389"/>
        <v>1169</v>
      </c>
      <c r="R1172" s="2">
        <f t="shared" si="385"/>
        <v>45162</v>
      </c>
      <c r="S1172" s="9">
        <f t="shared" ca="1" si="390"/>
        <v>-1.4047940084014679E-2</v>
      </c>
      <c r="T1172" s="9">
        <f t="shared" ca="1" si="391"/>
        <v>-1.0699063345889461E-2</v>
      </c>
      <c r="U1172" s="9">
        <f t="shared" ca="1" si="392"/>
        <v>6.9552990714505153E-4</v>
      </c>
      <c r="AB1172" s="33" t="e">
        <f t="shared" ca="1" si="398"/>
        <v>#N/A</v>
      </c>
      <c r="AC1172" s="34" t="e">
        <f t="shared" ca="1" si="399"/>
        <v>#N/A</v>
      </c>
      <c r="AD1172" s="34" t="e">
        <f t="shared" ca="1" si="400"/>
        <v>#N/A</v>
      </c>
      <c r="AE1172" s="33" t="e">
        <f t="shared" ca="1" si="401"/>
        <v>#N/A</v>
      </c>
      <c r="AF1172" s="34" t="e">
        <f t="shared" ca="1" si="393"/>
        <v>#N/A</v>
      </c>
      <c r="AG1172" s="34" t="e">
        <f t="shared" ca="1" si="394"/>
        <v>#N/A</v>
      </c>
      <c r="AH1172" s="34" t="e">
        <f t="shared" ca="1" si="395"/>
        <v>#N/A</v>
      </c>
      <c r="AI1172" s="33" t="e">
        <f t="shared" ca="1" si="402"/>
        <v>#N/A</v>
      </c>
      <c r="AJ1172" s="34" t="e">
        <f t="shared" ca="1" si="403"/>
        <v>#N/A</v>
      </c>
      <c r="AK1172" s="34" t="e">
        <f t="shared" ca="1" si="396"/>
        <v>#N/A</v>
      </c>
      <c r="AL1172" s="34" t="e">
        <f t="shared" ca="1" si="397"/>
        <v>#N/A</v>
      </c>
      <c r="AM1172" s="33" t="e">
        <f t="shared" ca="1" si="404"/>
        <v>#N/A</v>
      </c>
      <c r="AN1172" s="34" t="e">
        <f t="shared" ca="1" si="405"/>
        <v>#N/A</v>
      </c>
    </row>
    <row r="1173" spans="1:40" x14ac:dyDescent="0.3">
      <c r="A1173" s="2">
        <v>45163</v>
      </c>
      <c r="B1173" s="9">
        <v>74.959998999999996</v>
      </c>
      <c r="C1173" s="9">
        <v>111.849998</v>
      </c>
      <c r="D1173" s="9">
        <v>133.11999499999999</v>
      </c>
      <c r="E1173" s="10"/>
      <c r="F1173" s="13">
        <v>1170</v>
      </c>
      <c r="G1173" s="2">
        <v>45163</v>
      </c>
      <c r="H1173" s="14">
        <f t="shared" si="386"/>
        <v>9.9209554838096195E-3</v>
      </c>
      <c r="I1173" s="14">
        <f t="shared" si="387"/>
        <v>-5.7056409703285411E-3</v>
      </c>
      <c r="J1173" s="14">
        <f t="shared" si="388"/>
        <v>2.7878932324683501E-2</v>
      </c>
      <c r="K1173" s="22">
        <v>1170</v>
      </c>
      <c r="L1173" s="12"/>
      <c r="Q1173" s="15">
        <f t="shared" si="389"/>
        <v>1170</v>
      </c>
      <c r="R1173" s="2">
        <f t="shared" si="385"/>
        <v>45163</v>
      </c>
      <c r="S1173" s="9">
        <f t="shared" ca="1" si="390"/>
        <v>9.9209554838096195E-3</v>
      </c>
      <c r="T1173" s="9">
        <f t="shared" ca="1" si="391"/>
        <v>-5.7056409703285411E-3</v>
      </c>
      <c r="U1173" s="9">
        <f t="shared" ca="1" si="392"/>
        <v>2.7878932324683501E-2</v>
      </c>
      <c r="AB1173" s="33" t="e">
        <f t="shared" ca="1" si="398"/>
        <v>#N/A</v>
      </c>
      <c r="AC1173" s="34" t="e">
        <f t="shared" ca="1" si="399"/>
        <v>#N/A</v>
      </c>
      <c r="AD1173" s="34" t="e">
        <f t="shared" ca="1" si="400"/>
        <v>#N/A</v>
      </c>
      <c r="AE1173" s="33" t="e">
        <f t="shared" ca="1" si="401"/>
        <v>#N/A</v>
      </c>
      <c r="AF1173" s="34" t="e">
        <f t="shared" ca="1" si="393"/>
        <v>#N/A</v>
      </c>
      <c r="AG1173" s="34" t="e">
        <f t="shared" ca="1" si="394"/>
        <v>#N/A</v>
      </c>
      <c r="AH1173" s="34" t="e">
        <f t="shared" ca="1" si="395"/>
        <v>#N/A</v>
      </c>
      <c r="AI1173" s="33" t="e">
        <f t="shared" ca="1" si="402"/>
        <v>#N/A</v>
      </c>
      <c r="AJ1173" s="34" t="e">
        <f t="shared" ca="1" si="403"/>
        <v>#N/A</v>
      </c>
      <c r="AK1173" s="34" t="e">
        <f t="shared" ca="1" si="396"/>
        <v>#N/A</v>
      </c>
      <c r="AL1173" s="34" t="e">
        <f t="shared" ca="1" si="397"/>
        <v>#N/A</v>
      </c>
      <c r="AM1173" s="33" t="e">
        <f t="shared" ca="1" si="404"/>
        <v>#N/A</v>
      </c>
      <c r="AN1173" s="34" t="e">
        <f t="shared" ca="1" si="405"/>
        <v>#N/A</v>
      </c>
    </row>
    <row r="1174" spans="1:40" x14ac:dyDescent="0.3">
      <c r="A1174" s="2">
        <v>45166</v>
      </c>
      <c r="B1174" s="9">
        <v>74.669998000000007</v>
      </c>
      <c r="C1174" s="9">
        <v>113.790001</v>
      </c>
      <c r="D1174" s="9">
        <v>131.60000600000001</v>
      </c>
      <c r="E1174" s="10"/>
      <c r="F1174" s="13">
        <v>1171</v>
      </c>
      <c r="G1174" s="2">
        <v>45166</v>
      </c>
      <c r="H1174" s="14">
        <f t="shared" si="386"/>
        <v>-3.876246326626889E-3</v>
      </c>
      <c r="I1174" s="14">
        <f t="shared" si="387"/>
        <v>1.7195983101988076E-2</v>
      </c>
      <c r="J1174" s="14">
        <f t="shared" si="388"/>
        <v>-1.148387502888056E-2</v>
      </c>
      <c r="K1174" s="22">
        <v>1171</v>
      </c>
      <c r="L1174" s="12"/>
      <c r="Q1174" s="15">
        <f t="shared" si="389"/>
        <v>1171</v>
      </c>
      <c r="R1174" s="2">
        <f t="shared" si="385"/>
        <v>45166</v>
      </c>
      <c r="S1174" s="9">
        <f t="shared" ca="1" si="390"/>
        <v>-3.876246326626889E-3</v>
      </c>
      <c r="T1174" s="9">
        <f t="shared" ca="1" si="391"/>
        <v>1.7195983101988076E-2</v>
      </c>
      <c r="U1174" s="9">
        <f t="shared" ca="1" si="392"/>
        <v>-1.148387502888056E-2</v>
      </c>
      <c r="AB1174" s="33" t="e">
        <f t="shared" ca="1" si="398"/>
        <v>#N/A</v>
      </c>
      <c r="AC1174" s="34" t="e">
        <f t="shared" ca="1" si="399"/>
        <v>#N/A</v>
      </c>
      <c r="AD1174" s="34" t="e">
        <f t="shared" ca="1" si="400"/>
        <v>#N/A</v>
      </c>
      <c r="AE1174" s="33" t="e">
        <f t="shared" ca="1" si="401"/>
        <v>#N/A</v>
      </c>
      <c r="AF1174" s="34" t="e">
        <f t="shared" ca="1" si="393"/>
        <v>#N/A</v>
      </c>
      <c r="AG1174" s="34" t="e">
        <f t="shared" ca="1" si="394"/>
        <v>#N/A</v>
      </c>
      <c r="AH1174" s="34" t="e">
        <f t="shared" ca="1" si="395"/>
        <v>#N/A</v>
      </c>
      <c r="AI1174" s="33" t="e">
        <f t="shared" ca="1" si="402"/>
        <v>#N/A</v>
      </c>
      <c r="AJ1174" s="34" t="e">
        <f t="shared" ca="1" si="403"/>
        <v>#N/A</v>
      </c>
      <c r="AK1174" s="34" t="e">
        <f t="shared" ca="1" si="396"/>
        <v>#N/A</v>
      </c>
      <c r="AL1174" s="34" t="e">
        <f t="shared" ca="1" si="397"/>
        <v>#N/A</v>
      </c>
      <c r="AM1174" s="33" t="e">
        <f t="shared" ca="1" si="404"/>
        <v>#N/A</v>
      </c>
      <c r="AN1174" s="34" t="e">
        <f t="shared" ca="1" si="405"/>
        <v>#N/A</v>
      </c>
    </row>
    <row r="1175" spans="1:40" x14ac:dyDescent="0.3">
      <c r="A1175" s="2">
        <v>45167</v>
      </c>
      <c r="B1175" s="9">
        <v>75.400002000000001</v>
      </c>
      <c r="C1175" s="9">
        <v>115.870003</v>
      </c>
      <c r="D1175" s="9">
        <v>131.38999899999999</v>
      </c>
      <c r="E1175" s="10"/>
      <c r="F1175" s="13">
        <v>1172</v>
      </c>
      <c r="G1175" s="2">
        <v>45167</v>
      </c>
      <c r="H1175" s="14">
        <f t="shared" si="386"/>
        <v>9.728923276017579E-3</v>
      </c>
      <c r="I1175" s="14">
        <f t="shared" si="387"/>
        <v>1.8114245743019806E-2</v>
      </c>
      <c r="J1175" s="14">
        <f t="shared" si="388"/>
        <v>-1.5970724411196889E-3</v>
      </c>
      <c r="K1175" s="22">
        <v>1172</v>
      </c>
      <c r="L1175" s="12"/>
      <c r="Q1175" s="15">
        <f t="shared" si="389"/>
        <v>1172</v>
      </c>
      <c r="R1175" s="2">
        <f t="shared" si="385"/>
        <v>45167</v>
      </c>
      <c r="S1175" s="9">
        <f t="shared" ca="1" si="390"/>
        <v>9.728923276017579E-3</v>
      </c>
      <c r="T1175" s="9">
        <f t="shared" ca="1" si="391"/>
        <v>1.8114245743019806E-2</v>
      </c>
      <c r="U1175" s="9">
        <f t="shared" ca="1" si="392"/>
        <v>-1.5970724411196889E-3</v>
      </c>
      <c r="AB1175" s="33" t="e">
        <f t="shared" ca="1" si="398"/>
        <v>#N/A</v>
      </c>
      <c r="AC1175" s="34" t="e">
        <f t="shared" ca="1" si="399"/>
        <v>#N/A</v>
      </c>
      <c r="AD1175" s="34" t="e">
        <f t="shared" ca="1" si="400"/>
        <v>#N/A</v>
      </c>
      <c r="AE1175" s="33" t="e">
        <f t="shared" ca="1" si="401"/>
        <v>#N/A</v>
      </c>
      <c r="AF1175" s="34" t="e">
        <f t="shared" ca="1" si="393"/>
        <v>#N/A</v>
      </c>
      <c r="AG1175" s="34" t="e">
        <f t="shared" ca="1" si="394"/>
        <v>#N/A</v>
      </c>
      <c r="AH1175" s="34" t="e">
        <f t="shared" ca="1" si="395"/>
        <v>#N/A</v>
      </c>
      <c r="AI1175" s="33" t="e">
        <f t="shared" ca="1" si="402"/>
        <v>#N/A</v>
      </c>
      <c r="AJ1175" s="34" t="e">
        <f t="shared" ca="1" si="403"/>
        <v>#N/A</v>
      </c>
      <c r="AK1175" s="34" t="e">
        <f t="shared" ca="1" si="396"/>
        <v>#N/A</v>
      </c>
      <c r="AL1175" s="34" t="e">
        <f t="shared" ca="1" si="397"/>
        <v>#N/A</v>
      </c>
      <c r="AM1175" s="33" t="e">
        <f t="shared" ca="1" si="404"/>
        <v>#N/A</v>
      </c>
      <c r="AN1175" s="34" t="e">
        <f t="shared" ca="1" si="405"/>
        <v>#N/A</v>
      </c>
    </row>
    <row r="1176" spans="1:40" x14ac:dyDescent="0.3">
      <c r="A1176" s="2">
        <v>45168</v>
      </c>
      <c r="B1176" s="9">
        <v>75.589995999999999</v>
      </c>
      <c r="C1176" s="9">
        <v>116.19000200000001</v>
      </c>
      <c r="D1176" s="9">
        <v>131.449997</v>
      </c>
      <c r="E1176" s="10"/>
      <c r="F1176" s="13">
        <v>1173</v>
      </c>
      <c r="G1176" s="2">
        <v>45168</v>
      </c>
      <c r="H1176" s="14">
        <f t="shared" si="386"/>
        <v>2.5166448479224252E-3</v>
      </c>
      <c r="I1176" s="14">
        <f t="shared" si="387"/>
        <v>2.7579005079002581E-3</v>
      </c>
      <c r="J1176" s="14">
        <f t="shared" si="388"/>
        <v>4.5653631072268305E-4</v>
      </c>
      <c r="K1176" s="22">
        <v>1173</v>
      </c>
      <c r="L1176" s="12"/>
      <c r="Q1176" s="15">
        <f t="shared" si="389"/>
        <v>1173</v>
      </c>
      <c r="R1176" s="2">
        <f t="shared" si="385"/>
        <v>45168</v>
      </c>
      <c r="S1176" s="9">
        <f t="shared" ca="1" si="390"/>
        <v>2.5166448479224252E-3</v>
      </c>
      <c r="T1176" s="9">
        <f t="shared" ca="1" si="391"/>
        <v>2.7579005079002581E-3</v>
      </c>
      <c r="U1176" s="9">
        <f t="shared" ca="1" si="392"/>
        <v>4.5653631072268305E-4</v>
      </c>
      <c r="AB1176" s="33" t="e">
        <f t="shared" ca="1" si="398"/>
        <v>#N/A</v>
      </c>
      <c r="AC1176" s="34" t="e">
        <f t="shared" ca="1" si="399"/>
        <v>#N/A</v>
      </c>
      <c r="AD1176" s="34" t="e">
        <f t="shared" ca="1" si="400"/>
        <v>#N/A</v>
      </c>
      <c r="AE1176" s="33" t="e">
        <f t="shared" ca="1" si="401"/>
        <v>#N/A</v>
      </c>
      <c r="AF1176" s="34" t="e">
        <f t="shared" ca="1" si="393"/>
        <v>#N/A</v>
      </c>
      <c r="AG1176" s="34" t="e">
        <f t="shared" ca="1" si="394"/>
        <v>#N/A</v>
      </c>
      <c r="AH1176" s="34" t="e">
        <f t="shared" ca="1" si="395"/>
        <v>#N/A</v>
      </c>
      <c r="AI1176" s="33" t="e">
        <f t="shared" ca="1" si="402"/>
        <v>#N/A</v>
      </c>
      <c r="AJ1176" s="34" t="e">
        <f t="shared" ca="1" si="403"/>
        <v>#N/A</v>
      </c>
      <c r="AK1176" s="34" t="e">
        <f t="shared" ca="1" si="396"/>
        <v>#N/A</v>
      </c>
      <c r="AL1176" s="34" t="e">
        <f t="shared" ca="1" si="397"/>
        <v>#N/A</v>
      </c>
      <c r="AM1176" s="33" t="e">
        <f t="shared" ca="1" si="404"/>
        <v>#N/A</v>
      </c>
      <c r="AN1176" s="34" t="e">
        <f t="shared" ca="1" si="405"/>
        <v>#N/A</v>
      </c>
    </row>
    <row r="1177" spans="1:40" x14ac:dyDescent="0.3">
      <c r="A1177" s="2">
        <v>45169</v>
      </c>
      <c r="B1177" s="9">
        <v>73.959998999999996</v>
      </c>
      <c r="C1177" s="9">
        <v>116.629997</v>
      </c>
      <c r="D1177" s="9">
        <v>129.89999399999999</v>
      </c>
      <c r="E1177" s="10"/>
      <c r="F1177" s="13">
        <v>1174</v>
      </c>
      <c r="G1177" s="2">
        <v>45169</v>
      </c>
      <c r="H1177" s="14">
        <f t="shared" si="386"/>
        <v>-2.1799553388929492E-2</v>
      </c>
      <c r="I1177" s="14">
        <f t="shared" si="387"/>
        <v>3.7797055726324909E-3</v>
      </c>
      <c r="J1177" s="14">
        <f t="shared" si="388"/>
        <v>-1.1861650866347766E-2</v>
      </c>
      <c r="K1177" s="22">
        <v>1174</v>
      </c>
      <c r="L1177" s="12"/>
      <c r="Q1177" s="15">
        <f t="shared" si="389"/>
        <v>1174</v>
      </c>
      <c r="R1177" s="2">
        <f t="shared" si="385"/>
        <v>45169</v>
      </c>
      <c r="S1177" s="9">
        <f t="shared" ca="1" si="390"/>
        <v>-2.1799553388929492E-2</v>
      </c>
      <c r="T1177" s="9">
        <f t="shared" ca="1" si="391"/>
        <v>3.7797055726324909E-3</v>
      </c>
      <c r="U1177" s="9">
        <f t="shared" ca="1" si="392"/>
        <v>-1.1861650866347766E-2</v>
      </c>
      <c r="AB1177" s="33" t="e">
        <f t="shared" ca="1" si="398"/>
        <v>#N/A</v>
      </c>
      <c r="AC1177" s="34" t="e">
        <f t="shared" ca="1" si="399"/>
        <v>#N/A</v>
      </c>
      <c r="AD1177" s="34" t="e">
        <f t="shared" ca="1" si="400"/>
        <v>#N/A</v>
      </c>
      <c r="AE1177" s="33" t="e">
        <f t="shared" ca="1" si="401"/>
        <v>#N/A</v>
      </c>
      <c r="AF1177" s="34" t="e">
        <f t="shared" ca="1" si="393"/>
        <v>#N/A</v>
      </c>
      <c r="AG1177" s="34" t="e">
        <f t="shared" ca="1" si="394"/>
        <v>#N/A</v>
      </c>
      <c r="AH1177" s="34" t="e">
        <f t="shared" ca="1" si="395"/>
        <v>#N/A</v>
      </c>
      <c r="AI1177" s="33" t="e">
        <f t="shared" ca="1" si="402"/>
        <v>#N/A</v>
      </c>
      <c r="AJ1177" s="34" t="e">
        <f t="shared" ca="1" si="403"/>
        <v>#N/A</v>
      </c>
      <c r="AK1177" s="34" t="e">
        <f t="shared" ca="1" si="396"/>
        <v>#N/A</v>
      </c>
      <c r="AL1177" s="34" t="e">
        <f t="shared" ca="1" si="397"/>
        <v>#N/A</v>
      </c>
      <c r="AM1177" s="33" t="e">
        <f t="shared" ca="1" si="404"/>
        <v>#N/A</v>
      </c>
      <c r="AN1177" s="34" t="e">
        <f t="shared" ca="1" si="405"/>
        <v>#N/A</v>
      </c>
    </row>
    <row r="1178" spans="1:40" x14ac:dyDescent="0.3">
      <c r="A1178" s="2">
        <v>45170</v>
      </c>
      <c r="B1178" s="9">
        <v>74.980002999999996</v>
      </c>
      <c r="C1178" s="9">
        <v>118.33000199999999</v>
      </c>
      <c r="D1178" s="9">
        <v>133.58000200000001</v>
      </c>
      <c r="E1178" s="10"/>
      <c r="F1178" s="13">
        <v>1175</v>
      </c>
      <c r="G1178" s="2">
        <v>45170</v>
      </c>
      <c r="H1178" s="14">
        <f t="shared" si="386"/>
        <v>1.3697058320332764E-2</v>
      </c>
      <c r="I1178" s="14">
        <f t="shared" si="387"/>
        <v>1.447084331776341E-2</v>
      </c>
      <c r="J1178" s="14">
        <f t="shared" si="388"/>
        <v>2.793568678261479E-2</v>
      </c>
      <c r="K1178" s="22">
        <v>1175</v>
      </c>
      <c r="L1178" s="12"/>
      <c r="Q1178" s="15">
        <f t="shared" si="389"/>
        <v>1175</v>
      </c>
      <c r="R1178" s="2">
        <f t="shared" si="385"/>
        <v>45170</v>
      </c>
      <c r="S1178" s="9">
        <f t="shared" ca="1" si="390"/>
        <v>1.3697058320332764E-2</v>
      </c>
      <c r="T1178" s="9">
        <f t="shared" ca="1" si="391"/>
        <v>1.447084331776341E-2</v>
      </c>
      <c r="U1178" s="9">
        <f t="shared" ca="1" si="392"/>
        <v>2.793568678261479E-2</v>
      </c>
      <c r="AB1178" s="33" t="e">
        <f t="shared" ca="1" si="398"/>
        <v>#N/A</v>
      </c>
      <c r="AC1178" s="34" t="e">
        <f t="shared" ca="1" si="399"/>
        <v>#N/A</v>
      </c>
      <c r="AD1178" s="34" t="e">
        <f t="shared" ca="1" si="400"/>
        <v>#N/A</v>
      </c>
      <c r="AE1178" s="33" t="e">
        <f t="shared" ca="1" si="401"/>
        <v>#N/A</v>
      </c>
      <c r="AF1178" s="34" t="e">
        <f t="shared" ca="1" si="393"/>
        <v>#N/A</v>
      </c>
      <c r="AG1178" s="34" t="e">
        <f t="shared" ca="1" si="394"/>
        <v>#N/A</v>
      </c>
      <c r="AH1178" s="34" t="e">
        <f t="shared" ca="1" si="395"/>
        <v>#N/A</v>
      </c>
      <c r="AI1178" s="33" t="e">
        <f t="shared" ca="1" si="402"/>
        <v>#N/A</v>
      </c>
      <c r="AJ1178" s="34" t="e">
        <f t="shared" ca="1" si="403"/>
        <v>#N/A</v>
      </c>
      <c r="AK1178" s="34" t="e">
        <f t="shared" ca="1" si="396"/>
        <v>#N/A</v>
      </c>
      <c r="AL1178" s="34" t="e">
        <f t="shared" ca="1" si="397"/>
        <v>#N/A</v>
      </c>
      <c r="AM1178" s="33" t="e">
        <f t="shared" ca="1" si="404"/>
        <v>#N/A</v>
      </c>
      <c r="AN1178" s="34" t="e">
        <f t="shared" ca="1" si="405"/>
        <v>#N/A</v>
      </c>
    </row>
    <row r="1179" spans="1:40" x14ac:dyDescent="0.3">
      <c r="A1179" s="2">
        <v>45174</v>
      </c>
      <c r="B1179" s="9">
        <v>73.650002000000001</v>
      </c>
      <c r="C1179" s="9">
        <v>117.339996</v>
      </c>
      <c r="D1179" s="9">
        <v>133.11999499999999</v>
      </c>
      <c r="E1179" s="10"/>
      <c r="F1179" s="13">
        <v>1176</v>
      </c>
      <c r="G1179" s="2">
        <v>45174</v>
      </c>
      <c r="H1179" s="14">
        <f t="shared" si="386"/>
        <v>-1.7897281254330731E-2</v>
      </c>
      <c r="I1179" s="14">
        <f t="shared" si="387"/>
        <v>-8.4016788896108478E-3</v>
      </c>
      <c r="J1179" s="14">
        <f t="shared" si="388"/>
        <v>-3.4496247569895983E-3</v>
      </c>
      <c r="K1179" s="22">
        <v>1176</v>
      </c>
      <c r="L1179" s="12"/>
      <c r="Q1179" s="15">
        <f t="shared" si="389"/>
        <v>1176</v>
      </c>
      <c r="R1179" s="2">
        <f t="shared" si="385"/>
        <v>45174</v>
      </c>
      <c r="S1179" s="9">
        <f t="shared" ca="1" si="390"/>
        <v>-1.7897281254330731E-2</v>
      </c>
      <c r="T1179" s="9">
        <f t="shared" ca="1" si="391"/>
        <v>-8.4016788896108478E-3</v>
      </c>
      <c r="U1179" s="9">
        <f t="shared" ca="1" si="392"/>
        <v>-3.4496247569895983E-3</v>
      </c>
      <c r="AB1179" s="33" t="e">
        <f t="shared" ca="1" si="398"/>
        <v>#N/A</v>
      </c>
      <c r="AC1179" s="34" t="e">
        <f t="shared" ca="1" si="399"/>
        <v>#N/A</v>
      </c>
      <c r="AD1179" s="34" t="e">
        <f t="shared" ca="1" si="400"/>
        <v>#N/A</v>
      </c>
      <c r="AE1179" s="33" t="e">
        <f t="shared" ca="1" si="401"/>
        <v>#N/A</v>
      </c>
      <c r="AF1179" s="34" t="e">
        <f t="shared" ca="1" si="393"/>
        <v>#N/A</v>
      </c>
      <c r="AG1179" s="34" t="e">
        <f t="shared" ca="1" si="394"/>
        <v>#N/A</v>
      </c>
      <c r="AH1179" s="34" t="e">
        <f t="shared" ca="1" si="395"/>
        <v>#N/A</v>
      </c>
      <c r="AI1179" s="33" t="e">
        <f t="shared" ca="1" si="402"/>
        <v>#N/A</v>
      </c>
      <c r="AJ1179" s="34" t="e">
        <f t="shared" ca="1" si="403"/>
        <v>#N/A</v>
      </c>
      <c r="AK1179" s="34" t="e">
        <f t="shared" ca="1" si="396"/>
        <v>#N/A</v>
      </c>
      <c r="AL1179" s="34" t="e">
        <f t="shared" ca="1" si="397"/>
        <v>#N/A</v>
      </c>
      <c r="AM1179" s="33" t="e">
        <f t="shared" ca="1" si="404"/>
        <v>#N/A</v>
      </c>
      <c r="AN1179" s="34" t="e">
        <f t="shared" ca="1" si="405"/>
        <v>#N/A</v>
      </c>
    </row>
    <row r="1180" spans="1:40" x14ac:dyDescent="0.3">
      <c r="A1180" s="2">
        <v>45175</v>
      </c>
      <c r="B1180" s="9">
        <v>72.260002</v>
      </c>
      <c r="C1180" s="9">
        <v>117.66999800000001</v>
      </c>
      <c r="D1180" s="9">
        <v>134.029999</v>
      </c>
      <c r="E1180" s="10"/>
      <c r="F1180" s="13">
        <v>1177</v>
      </c>
      <c r="G1180" s="2">
        <v>45175</v>
      </c>
      <c r="H1180" s="14">
        <f t="shared" si="386"/>
        <v>-1.9053416666780162E-2</v>
      </c>
      <c r="I1180" s="14">
        <f t="shared" si="387"/>
        <v>2.8084100704107236E-3</v>
      </c>
      <c r="J1180" s="14">
        <f t="shared" si="388"/>
        <v>6.8127085165875807E-3</v>
      </c>
      <c r="K1180" s="22">
        <v>1177</v>
      </c>
      <c r="L1180" s="12"/>
      <c r="Q1180" s="15">
        <f t="shared" si="389"/>
        <v>1177</v>
      </c>
      <c r="R1180" s="2">
        <f t="shared" si="385"/>
        <v>45175</v>
      </c>
      <c r="S1180" s="9">
        <f t="shared" ca="1" si="390"/>
        <v>-1.9053416666780162E-2</v>
      </c>
      <c r="T1180" s="9">
        <f t="shared" ca="1" si="391"/>
        <v>2.8084100704107236E-3</v>
      </c>
      <c r="U1180" s="9">
        <f t="shared" ca="1" si="392"/>
        <v>6.8127085165875807E-3</v>
      </c>
      <c r="AB1180" s="33" t="e">
        <f t="shared" ca="1" si="398"/>
        <v>#N/A</v>
      </c>
      <c r="AC1180" s="34" t="e">
        <f t="shared" ca="1" si="399"/>
        <v>#N/A</v>
      </c>
      <c r="AD1180" s="34" t="e">
        <f t="shared" ca="1" si="400"/>
        <v>#N/A</v>
      </c>
      <c r="AE1180" s="33" t="e">
        <f t="shared" ca="1" si="401"/>
        <v>#N/A</v>
      </c>
      <c r="AF1180" s="34" t="e">
        <f t="shared" ca="1" si="393"/>
        <v>#N/A</v>
      </c>
      <c r="AG1180" s="34" t="e">
        <f t="shared" ca="1" si="394"/>
        <v>#N/A</v>
      </c>
      <c r="AH1180" s="34" t="e">
        <f t="shared" ca="1" si="395"/>
        <v>#N/A</v>
      </c>
      <c r="AI1180" s="33" t="e">
        <f t="shared" ca="1" si="402"/>
        <v>#N/A</v>
      </c>
      <c r="AJ1180" s="34" t="e">
        <f t="shared" ca="1" si="403"/>
        <v>#N/A</v>
      </c>
      <c r="AK1180" s="34" t="e">
        <f t="shared" ca="1" si="396"/>
        <v>#N/A</v>
      </c>
      <c r="AL1180" s="34" t="e">
        <f t="shared" ca="1" si="397"/>
        <v>#N/A</v>
      </c>
      <c r="AM1180" s="33" t="e">
        <f t="shared" ca="1" si="404"/>
        <v>#N/A</v>
      </c>
      <c r="AN1180" s="34" t="e">
        <f t="shared" ca="1" si="405"/>
        <v>#N/A</v>
      </c>
    </row>
    <row r="1181" spans="1:40" x14ac:dyDescent="0.3">
      <c r="A1181" s="2">
        <v>45176</v>
      </c>
      <c r="B1181" s="9">
        <v>73.269997000000004</v>
      </c>
      <c r="C1181" s="9">
        <v>116.290001</v>
      </c>
      <c r="D1181" s="9">
        <v>136.25</v>
      </c>
      <c r="E1181" s="10"/>
      <c r="F1181" s="13">
        <v>1178</v>
      </c>
      <c r="G1181" s="2">
        <v>45176</v>
      </c>
      <c r="H1181" s="14">
        <f t="shared" si="386"/>
        <v>1.388045383009579E-2</v>
      </c>
      <c r="I1181" s="14">
        <f t="shared" si="387"/>
        <v>-1.1796999575008313E-2</v>
      </c>
      <c r="J1181" s="14">
        <f t="shared" si="388"/>
        <v>1.6427785513964292E-2</v>
      </c>
      <c r="K1181" s="22">
        <v>1178</v>
      </c>
      <c r="L1181" s="12"/>
      <c r="Q1181" s="15">
        <f t="shared" si="389"/>
        <v>1178</v>
      </c>
      <c r="R1181" s="2">
        <f t="shared" si="385"/>
        <v>45176</v>
      </c>
      <c r="S1181" s="9">
        <f t="shared" ca="1" si="390"/>
        <v>1.388045383009579E-2</v>
      </c>
      <c r="T1181" s="9">
        <f t="shared" ca="1" si="391"/>
        <v>-1.1796999575008313E-2</v>
      </c>
      <c r="U1181" s="9">
        <f t="shared" ca="1" si="392"/>
        <v>1.6427785513964292E-2</v>
      </c>
      <c r="AB1181" s="33" t="e">
        <f t="shared" ca="1" si="398"/>
        <v>#N/A</v>
      </c>
      <c r="AC1181" s="34" t="e">
        <f t="shared" ca="1" si="399"/>
        <v>#N/A</v>
      </c>
      <c r="AD1181" s="34" t="e">
        <f t="shared" ca="1" si="400"/>
        <v>#N/A</v>
      </c>
      <c r="AE1181" s="33" t="e">
        <f t="shared" ca="1" si="401"/>
        <v>#N/A</v>
      </c>
      <c r="AF1181" s="34" t="e">
        <f t="shared" ca="1" si="393"/>
        <v>#N/A</v>
      </c>
      <c r="AG1181" s="34" t="e">
        <f t="shared" ca="1" si="394"/>
        <v>#N/A</v>
      </c>
      <c r="AH1181" s="34" t="e">
        <f t="shared" ca="1" si="395"/>
        <v>#N/A</v>
      </c>
      <c r="AI1181" s="33" t="e">
        <f t="shared" ca="1" si="402"/>
        <v>#N/A</v>
      </c>
      <c r="AJ1181" s="34" t="e">
        <f t="shared" ca="1" si="403"/>
        <v>#N/A</v>
      </c>
      <c r="AK1181" s="34" t="e">
        <f t="shared" ca="1" si="396"/>
        <v>#N/A</v>
      </c>
      <c r="AL1181" s="34" t="e">
        <f t="shared" ca="1" si="397"/>
        <v>#N/A</v>
      </c>
      <c r="AM1181" s="33" t="e">
        <f t="shared" ca="1" si="404"/>
        <v>#N/A</v>
      </c>
      <c r="AN1181" s="34" t="e">
        <f t="shared" ca="1" si="405"/>
        <v>#N/A</v>
      </c>
    </row>
    <row r="1182" spans="1:40" x14ac:dyDescent="0.3">
      <c r="A1182" s="2">
        <v>45177</v>
      </c>
      <c r="B1182" s="9">
        <v>73.199996999999996</v>
      </c>
      <c r="C1182" s="9">
        <v>116.949997</v>
      </c>
      <c r="D1182" s="9">
        <v>142.05999800000001</v>
      </c>
      <c r="E1182" s="10"/>
      <c r="F1182" s="13">
        <v>1179</v>
      </c>
      <c r="G1182" s="2">
        <v>45177</v>
      </c>
      <c r="H1182" s="14">
        <f t="shared" si="386"/>
        <v>-9.558272437612342E-4</v>
      </c>
      <c r="I1182" s="14">
        <f t="shared" si="387"/>
        <v>5.6593874740562345E-3</v>
      </c>
      <c r="J1182" s="14">
        <f t="shared" si="388"/>
        <v>4.175805594775215E-2</v>
      </c>
      <c r="K1182" s="22">
        <v>1179</v>
      </c>
      <c r="L1182" s="12"/>
      <c r="Q1182" s="15">
        <f t="shared" si="389"/>
        <v>1179</v>
      </c>
      <c r="R1182" s="2">
        <f t="shared" si="385"/>
        <v>45177</v>
      </c>
      <c r="S1182" s="9">
        <f t="shared" ca="1" si="390"/>
        <v>-9.558272437612342E-4</v>
      </c>
      <c r="T1182" s="9">
        <f t="shared" ca="1" si="391"/>
        <v>5.6593874740562345E-3</v>
      </c>
      <c r="U1182" s="9">
        <f t="shared" ca="1" si="392"/>
        <v>4.175805594775215E-2</v>
      </c>
      <c r="AB1182" s="33" t="e">
        <f t="shared" ca="1" si="398"/>
        <v>#N/A</v>
      </c>
      <c r="AC1182" s="34" t="e">
        <f t="shared" ca="1" si="399"/>
        <v>#N/A</v>
      </c>
      <c r="AD1182" s="34" t="e">
        <f t="shared" ca="1" si="400"/>
        <v>#N/A</v>
      </c>
      <c r="AE1182" s="33" t="e">
        <f t="shared" ca="1" si="401"/>
        <v>#N/A</v>
      </c>
      <c r="AF1182" s="34" t="e">
        <f t="shared" ca="1" si="393"/>
        <v>#N/A</v>
      </c>
      <c r="AG1182" s="34" t="e">
        <f t="shared" ca="1" si="394"/>
        <v>#N/A</v>
      </c>
      <c r="AH1182" s="34" t="e">
        <f t="shared" ca="1" si="395"/>
        <v>#N/A</v>
      </c>
      <c r="AI1182" s="33" t="e">
        <f t="shared" ca="1" si="402"/>
        <v>#N/A</v>
      </c>
      <c r="AJ1182" s="34" t="e">
        <f t="shared" ca="1" si="403"/>
        <v>#N/A</v>
      </c>
      <c r="AK1182" s="34" t="e">
        <f t="shared" ca="1" si="396"/>
        <v>#N/A</v>
      </c>
      <c r="AL1182" s="34" t="e">
        <f t="shared" ca="1" si="397"/>
        <v>#N/A</v>
      </c>
      <c r="AM1182" s="33" t="e">
        <f t="shared" ca="1" si="404"/>
        <v>#N/A</v>
      </c>
      <c r="AN1182" s="34" t="e">
        <f t="shared" ca="1" si="405"/>
        <v>#N/A</v>
      </c>
    </row>
    <row r="1183" spans="1:40" x14ac:dyDescent="0.3">
      <c r="A1183" s="2">
        <v>45180</v>
      </c>
      <c r="B1183" s="9">
        <v>72.349997999999999</v>
      </c>
      <c r="C1183" s="9">
        <v>116.489998</v>
      </c>
      <c r="D1183" s="9">
        <v>143.740005</v>
      </c>
      <c r="E1183" s="10"/>
      <c r="F1183" s="13">
        <v>1180</v>
      </c>
      <c r="G1183" s="2">
        <v>45180</v>
      </c>
      <c r="H1183" s="14">
        <f t="shared" si="386"/>
        <v>-1.1679954549566066E-2</v>
      </c>
      <c r="I1183" s="14">
        <f t="shared" si="387"/>
        <v>-3.9410521353698052E-3</v>
      </c>
      <c r="J1183" s="14">
        <f t="shared" si="388"/>
        <v>1.1756657334219E-2</v>
      </c>
      <c r="K1183" s="22">
        <v>1180</v>
      </c>
      <c r="L1183" s="12"/>
      <c r="Q1183" s="15">
        <f t="shared" si="389"/>
        <v>1180</v>
      </c>
      <c r="R1183" s="2">
        <f t="shared" si="385"/>
        <v>45180</v>
      </c>
      <c r="S1183" s="9">
        <f t="shared" ca="1" si="390"/>
        <v>-1.1679954549566066E-2</v>
      </c>
      <c r="T1183" s="9">
        <f t="shared" ca="1" si="391"/>
        <v>-3.9410521353698052E-3</v>
      </c>
      <c r="U1183" s="9">
        <f t="shared" ca="1" si="392"/>
        <v>1.1756657334219E-2</v>
      </c>
      <c r="AB1183" s="33" t="e">
        <f t="shared" ca="1" si="398"/>
        <v>#N/A</v>
      </c>
      <c r="AC1183" s="34" t="e">
        <f t="shared" ca="1" si="399"/>
        <v>#N/A</v>
      </c>
      <c r="AD1183" s="34" t="e">
        <f t="shared" ca="1" si="400"/>
        <v>#N/A</v>
      </c>
      <c r="AE1183" s="33" t="e">
        <f t="shared" ca="1" si="401"/>
        <v>#N/A</v>
      </c>
      <c r="AF1183" s="34" t="e">
        <f t="shared" ca="1" si="393"/>
        <v>#N/A</v>
      </c>
      <c r="AG1183" s="34" t="e">
        <f t="shared" ca="1" si="394"/>
        <v>#N/A</v>
      </c>
      <c r="AH1183" s="34" t="e">
        <f t="shared" ca="1" si="395"/>
        <v>#N/A</v>
      </c>
      <c r="AI1183" s="33" t="e">
        <f t="shared" ca="1" si="402"/>
        <v>#N/A</v>
      </c>
      <c r="AJ1183" s="34" t="e">
        <f t="shared" ca="1" si="403"/>
        <v>#N/A</v>
      </c>
      <c r="AK1183" s="34" t="e">
        <f t="shared" ca="1" si="396"/>
        <v>#N/A</v>
      </c>
      <c r="AL1183" s="34" t="e">
        <f t="shared" ca="1" si="397"/>
        <v>#N/A</v>
      </c>
      <c r="AM1183" s="33" t="e">
        <f t="shared" ca="1" si="404"/>
        <v>#N/A</v>
      </c>
      <c r="AN1183" s="34" t="e">
        <f t="shared" ca="1" si="405"/>
        <v>#N/A</v>
      </c>
    </row>
    <row r="1184" spans="1:40" x14ac:dyDescent="0.3">
      <c r="A1184" s="2">
        <v>45181</v>
      </c>
      <c r="B1184" s="9">
        <v>72.339995999999999</v>
      </c>
      <c r="C1184" s="9">
        <v>117.410004</v>
      </c>
      <c r="D1184" s="9">
        <v>146.259995</v>
      </c>
      <c r="E1184" s="10"/>
      <c r="F1184" s="13">
        <v>1181</v>
      </c>
      <c r="G1184" s="2">
        <v>45181</v>
      </c>
      <c r="H1184" s="14">
        <f t="shared" si="386"/>
        <v>-1.3825420458490949E-4</v>
      </c>
      <c r="I1184" s="14">
        <f t="shared" si="387"/>
        <v>7.866701467938433E-3</v>
      </c>
      <c r="J1184" s="14">
        <f t="shared" si="388"/>
        <v>1.7379678831783523E-2</v>
      </c>
      <c r="K1184" s="22">
        <v>1181</v>
      </c>
      <c r="L1184" s="12"/>
      <c r="Q1184" s="15">
        <f t="shared" si="389"/>
        <v>1181</v>
      </c>
      <c r="R1184" s="2">
        <f t="shared" si="385"/>
        <v>45181</v>
      </c>
      <c r="S1184" s="9">
        <f t="shared" ca="1" si="390"/>
        <v>-1.3825420458490949E-4</v>
      </c>
      <c r="T1184" s="9">
        <f t="shared" ca="1" si="391"/>
        <v>7.866701467938433E-3</v>
      </c>
      <c r="U1184" s="9">
        <f t="shared" ca="1" si="392"/>
        <v>1.7379678831783523E-2</v>
      </c>
      <c r="AB1184" s="33" t="e">
        <f t="shared" ca="1" si="398"/>
        <v>#N/A</v>
      </c>
      <c r="AC1184" s="34" t="e">
        <f t="shared" ca="1" si="399"/>
        <v>#N/A</v>
      </c>
      <c r="AD1184" s="34" t="e">
        <f t="shared" ca="1" si="400"/>
        <v>#N/A</v>
      </c>
      <c r="AE1184" s="33" t="e">
        <f t="shared" ca="1" si="401"/>
        <v>#N/A</v>
      </c>
      <c r="AF1184" s="34" t="e">
        <f t="shared" ca="1" si="393"/>
        <v>#N/A</v>
      </c>
      <c r="AG1184" s="34" t="e">
        <f t="shared" ca="1" si="394"/>
        <v>#N/A</v>
      </c>
      <c r="AH1184" s="34" t="e">
        <f t="shared" ca="1" si="395"/>
        <v>#N/A</v>
      </c>
      <c r="AI1184" s="33" t="e">
        <f t="shared" ca="1" si="402"/>
        <v>#N/A</v>
      </c>
      <c r="AJ1184" s="34" t="e">
        <f t="shared" ca="1" si="403"/>
        <v>#N/A</v>
      </c>
      <c r="AK1184" s="34" t="e">
        <f t="shared" ca="1" si="396"/>
        <v>#N/A</v>
      </c>
      <c r="AL1184" s="34" t="e">
        <f t="shared" ca="1" si="397"/>
        <v>#N/A</v>
      </c>
      <c r="AM1184" s="33" t="e">
        <f t="shared" ca="1" si="404"/>
        <v>#N/A</v>
      </c>
      <c r="AN1184" s="34" t="e">
        <f t="shared" ca="1" si="405"/>
        <v>#N/A</v>
      </c>
    </row>
    <row r="1185" spans="1:40" x14ac:dyDescent="0.3">
      <c r="A1185" s="2">
        <v>45182</v>
      </c>
      <c r="B1185" s="9">
        <v>72.629997000000003</v>
      </c>
      <c r="C1185" s="9">
        <v>114.209999</v>
      </c>
      <c r="D1185" s="9">
        <v>145.479996</v>
      </c>
      <c r="E1185" s="10"/>
      <c r="F1185" s="13">
        <v>1182</v>
      </c>
      <c r="G1185" s="2">
        <v>45182</v>
      </c>
      <c r="H1185" s="14">
        <f t="shared" si="386"/>
        <v>4.000847083322873E-3</v>
      </c>
      <c r="I1185" s="14">
        <f t="shared" si="387"/>
        <v>-2.7633266404053371E-2</v>
      </c>
      <c r="J1185" s="14">
        <f t="shared" si="388"/>
        <v>-5.3472330335082524E-3</v>
      </c>
      <c r="K1185" s="22">
        <v>1182</v>
      </c>
      <c r="L1185" s="12"/>
      <c r="Q1185" s="15">
        <f t="shared" si="389"/>
        <v>1182</v>
      </c>
      <c r="R1185" s="2">
        <f t="shared" si="385"/>
        <v>45182</v>
      </c>
      <c r="S1185" s="9">
        <f t="shared" ca="1" si="390"/>
        <v>4.000847083322873E-3</v>
      </c>
      <c r="T1185" s="9">
        <f t="shared" ca="1" si="391"/>
        <v>-2.7633266404053371E-2</v>
      </c>
      <c r="U1185" s="9">
        <f t="shared" ca="1" si="392"/>
        <v>-5.3472330335082524E-3</v>
      </c>
      <c r="AB1185" s="33" t="e">
        <f t="shared" ca="1" si="398"/>
        <v>#N/A</v>
      </c>
      <c r="AC1185" s="34" t="e">
        <f t="shared" ca="1" si="399"/>
        <v>#N/A</v>
      </c>
      <c r="AD1185" s="34" t="e">
        <f t="shared" ca="1" si="400"/>
        <v>#N/A</v>
      </c>
      <c r="AE1185" s="33" t="e">
        <f t="shared" ca="1" si="401"/>
        <v>#N/A</v>
      </c>
      <c r="AF1185" s="34" t="e">
        <f t="shared" ca="1" si="393"/>
        <v>#N/A</v>
      </c>
      <c r="AG1185" s="34" t="e">
        <f t="shared" ca="1" si="394"/>
        <v>#N/A</v>
      </c>
      <c r="AH1185" s="34" t="e">
        <f t="shared" ca="1" si="395"/>
        <v>#N/A</v>
      </c>
      <c r="AI1185" s="33" t="e">
        <f t="shared" ca="1" si="402"/>
        <v>#N/A</v>
      </c>
      <c r="AJ1185" s="34" t="e">
        <f t="shared" ca="1" si="403"/>
        <v>#N/A</v>
      </c>
      <c r="AK1185" s="34" t="e">
        <f t="shared" ca="1" si="396"/>
        <v>#N/A</v>
      </c>
      <c r="AL1185" s="34" t="e">
        <f t="shared" ca="1" si="397"/>
        <v>#N/A</v>
      </c>
      <c r="AM1185" s="33" t="e">
        <f t="shared" ca="1" si="404"/>
        <v>#N/A</v>
      </c>
      <c r="AN1185" s="34" t="e">
        <f t="shared" ca="1" si="405"/>
        <v>#N/A</v>
      </c>
    </row>
    <row r="1186" spans="1:40" x14ac:dyDescent="0.3">
      <c r="A1186" s="2">
        <v>45183</v>
      </c>
      <c r="B1186" s="9">
        <v>74.650002000000001</v>
      </c>
      <c r="C1186" s="9">
        <v>115.040001</v>
      </c>
      <c r="D1186" s="9">
        <v>145.949997</v>
      </c>
      <c r="E1186" s="10"/>
      <c r="F1186" s="13">
        <v>1183</v>
      </c>
      <c r="G1186" s="2">
        <v>45183</v>
      </c>
      <c r="H1186" s="14">
        <f t="shared" si="386"/>
        <v>2.7432532464063474E-2</v>
      </c>
      <c r="I1186" s="14">
        <f t="shared" si="387"/>
        <v>7.241052358650424E-3</v>
      </c>
      <c r="J1186" s="14">
        <f t="shared" si="388"/>
        <v>3.2254841215394281E-3</v>
      </c>
      <c r="K1186" s="22">
        <v>1183</v>
      </c>
      <c r="L1186" s="12"/>
      <c r="Q1186" s="15">
        <f t="shared" si="389"/>
        <v>1183</v>
      </c>
      <c r="R1186" s="2">
        <f t="shared" si="385"/>
        <v>45183</v>
      </c>
      <c r="S1186" s="9">
        <f t="shared" ca="1" si="390"/>
        <v>2.7432532464063474E-2</v>
      </c>
      <c r="T1186" s="9">
        <f t="shared" ca="1" si="391"/>
        <v>7.241052358650424E-3</v>
      </c>
      <c r="U1186" s="9">
        <f t="shared" ca="1" si="392"/>
        <v>3.2254841215394281E-3</v>
      </c>
      <c r="AB1186" s="33" t="e">
        <f t="shared" ca="1" si="398"/>
        <v>#N/A</v>
      </c>
      <c r="AC1186" s="34" t="e">
        <f t="shared" ca="1" si="399"/>
        <v>#N/A</v>
      </c>
      <c r="AD1186" s="34" t="e">
        <f t="shared" ca="1" si="400"/>
        <v>#N/A</v>
      </c>
      <c r="AE1186" s="33" t="e">
        <f t="shared" ca="1" si="401"/>
        <v>#N/A</v>
      </c>
      <c r="AF1186" s="34" t="e">
        <f t="shared" ca="1" si="393"/>
        <v>#N/A</v>
      </c>
      <c r="AG1186" s="34" t="e">
        <f t="shared" ca="1" si="394"/>
        <v>#N/A</v>
      </c>
      <c r="AH1186" s="34" t="e">
        <f t="shared" ca="1" si="395"/>
        <v>#N/A</v>
      </c>
      <c r="AI1186" s="33" t="e">
        <f t="shared" ca="1" si="402"/>
        <v>#N/A</v>
      </c>
      <c r="AJ1186" s="34" t="e">
        <f t="shared" ca="1" si="403"/>
        <v>#N/A</v>
      </c>
      <c r="AK1186" s="34" t="e">
        <f t="shared" ca="1" si="396"/>
        <v>#N/A</v>
      </c>
      <c r="AL1186" s="34" t="e">
        <f t="shared" ca="1" si="397"/>
        <v>#N/A</v>
      </c>
      <c r="AM1186" s="33" t="e">
        <f t="shared" ca="1" si="404"/>
        <v>#N/A</v>
      </c>
      <c r="AN1186" s="34" t="e">
        <f t="shared" ca="1" si="405"/>
        <v>#N/A</v>
      </c>
    </row>
    <row r="1187" spans="1:40" x14ac:dyDescent="0.3">
      <c r="A1187" s="2">
        <v>45184</v>
      </c>
      <c r="B1187" s="9">
        <v>75.099997999999999</v>
      </c>
      <c r="C1187" s="9">
        <v>113.860001</v>
      </c>
      <c r="D1187" s="9">
        <v>143.679993</v>
      </c>
      <c r="E1187" s="10"/>
      <c r="F1187" s="13">
        <v>1184</v>
      </c>
      <c r="G1187" s="2">
        <v>45184</v>
      </c>
      <c r="H1187" s="14">
        <f t="shared" si="386"/>
        <v>6.0099813620367116E-3</v>
      </c>
      <c r="I1187" s="14">
        <f t="shared" si="387"/>
        <v>-1.0310270359713859E-2</v>
      </c>
      <c r="J1187" s="14">
        <f t="shared" si="388"/>
        <v>-1.5675520910627044E-2</v>
      </c>
      <c r="K1187" s="22">
        <v>1184</v>
      </c>
      <c r="L1187" s="12"/>
      <c r="Q1187" s="15">
        <f t="shared" si="389"/>
        <v>1184</v>
      </c>
      <c r="R1187" s="2">
        <f t="shared" si="385"/>
        <v>45184</v>
      </c>
      <c r="S1187" s="9">
        <f t="shared" ca="1" si="390"/>
        <v>6.0099813620367116E-3</v>
      </c>
      <c r="T1187" s="9">
        <f t="shared" ca="1" si="391"/>
        <v>-1.0310270359713859E-2</v>
      </c>
      <c r="U1187" s="9">
        <f t="shared" ca="1" si="392"/>
        <v>-1.5675520910627044E-2</v>
      </c>
      <c r="AB1187" s="33" t="e">
        <f t="shared" ca="1" si="398"/>
        <v>#N/A</v>
      </c>
      <c r="AC1187" s="34" t="e">
        <f t="shared" ca="1" si="399"/>
        <v>#N/A</v>
      </c>
      <c r="AD1187" s="34" t="e">
        <f t="shared" ca="1" si="400"/>
        <v>#N/A</v>
      </c>
      <c r="AE1187" s="33" t="e">
        <f t="shared" ca="1" si="401"/>
        <v>#N/A</v>
      </c>
      <c r="AF1187" s="34" t="e">
        <f t="shared" ca="1" si="393"/>
        <v>#N/A</v>
      </c>
      <c r="AG1187" s="34" t="e">
        <f t="shared" ca="1" si="394"/>
        <v>#N/A</v>
      </c>
      <c r="AH1187" s="34" t="e">
        <f t="shared" ca="1" si="395"/>
        <v>#N/A</v>
      </c>
      <c r="AI1187" s="33" t="e">
        <f t="shared" ca="1" si="402"/>
        <v>#N/A</v>
      </c>
      <c r="AJ1187" s="34" t="e">
        <f t="shared" ca="1" si="403"/>
        <v>#N/A</v>
      </c>
      <c r="AK1187" s="34" t="e">
        <f t="shared" ca="1" si="396"/>
        <v>#N/A</v>
      </c>
      <c r="AL1187" s="34" t="e">
        <f t="shared" ca="1" si="397"/>
        <v>#N/A</v>
      </c>
      <c r="AM1187" s="33" t="e">
        <f t="shared" ca="1" si="404"/>
        <v>#N/A</v>
      </c>
      <c r="AN1187" s="34" t="e">
        <f t="shared" ca="1" si="405"/>
        <v>#N/A</v>
      </c>
    </row>
    <row r="1188" spans="1:40" x14ac:dyDescent="0.3">
      <c r="A1188" s="2">
        <v>45187</v>
      </c>
      <c r="B1188" s="9">
        <v>74.150002000000001</v>
      </c>
      <c r="C1188" s="9">
        <v>114.720001</v>
      </c>
      <c r="D1188" s="9">
        <v>146.279999</v>
      </c>
      <c r="E1188" s="10"/>
      <c r="F1188" s="13">
        <v>1185</v>
      </c>
      <c r="G1188" s="2">
        <v>45187</v>
      </c>
      <c r="H1188" s="14">
        <f t="shared" si="386"/>
        <v>-1.2730436582636171E-2</v>
      </c>
      <c r="I1188" s="14">
        <f t="shared" si="387"/>
        <v>7.5247532625346385E-3</v>
      </c>
      <c r="J1188" s="14">
        <f t="shared" si="388"/>
        <v>1.7934030610464027E-2</v>
      </c>
      <c r="K1188" s="22">
        <v>1185</v>
      </c>
      <c r="L1188" s="12"/>
      <c r="Q1188" s="15">
        <f t="shared" si="389"/>
        <v>1185</v>
      </c>
      <c r="R1188" s="2">
        <f t="shared" si="385"/>
        <v>45187</v>
      </c>
      <c r="S1188" s="9">
        <f t="shared" ca="1" si="390"/>
        <v>-1.2730436582636171E-2</v>
      </c>
      <c r="T1188" s="9">
        <f t="shared" ca="1" si="391"/>
        <v>7.5247532625346385E-3</v>
      </c>
      <c r="U1188" s="9">
        <f t="shared" ca="1" si="392"/>
        <v>1.7934030610464027E-2</v>
      </c>
      <c r="AB1188" s="33" t="e">
        <f t="shared" ca="1" si="398"/>
        <v>#N/A</v>
      </c>
      <c r="AC1188" s="34" t="e">
        <f t="shared" ca="1" si="399"/>
        <v>#N/A</v>
      </c>
      <c r="AD1188" s="34" t="e">
        <f t="shared" ca="1" si="400"/>
        <v>#N/A</v>
      </c>
      <c r="AE1188" s="33" t="e">
        <f t="shared" ca="1" si="401"/>
        <v>#N/A</v>
      </c>
      <c r="AF1188" s="34" t="e">
        <f t="shared" ca="1" si="393"/>
        <v>#N/A</v>
      </c>
      <c r="AG1188" s="34" t="e">
        <f t="shared" ca="1" si="394"/>
        <v>#N/A</v>
      </c>
      <c r="AH1188" s="34" t="e">
        <f t="shared" ca="1" si="395"/>
        <v>#N/A</v>
      </c>
      <c r="AI1188" s="33" t="e">
        <f t="shared" ca="1" si="402"/>
        <v>#N/A</v>
      </c>
      <c r="AJ1188" s="34" t="e">
        <f t="shared" ca="1" si="403"/>
        <v>#N/A</v>
      </c>
      <c r="AK1188" s="34" t="e">
        <f t="shared" ca="1" si="396"/>
        <v>#N/A</v>
      </c>
      <c r="AL1188" s="34" t="e">
        <f t="shared" ca="1" si="397"/>
        <v>#N/A</v>
      </c>
      <c r="AM1188" s="33" t="e">
        <f t="shared" ca="1" si="404"/>
        <v>#N/A</v>
      </c>
      <c r="AN1188" s="34" t="e">
        <f t="shared" ca="1" si="405"/>
        <v>#N/A</v>
      </c>
    </row>
    <row r="1189" spans="1:40" x14ac:dyDescent="0.3">
      <c r="A1189" s="2">
        <v>45188</v>
      </c>
      <c r="B1189" s="9">
        <v>74.900002000000001</v>
      </c>
      <c r="C1189" s="9">
        <v>114.230003</v>
      </c>
      <c r="D1189" s="9">
        <v>142.66000399999999</v>
      </c>
      <c r="E1189" s="10"/>
      <c r="F1189" s="13">
        <v>1186</v>
      </c>
      <c r="G1189" s="2">
        <v>45188</v>
      </c>
      <c r="H1189" s="14">
        <f t="shared" si="386"/>
        <v>1.0063821669149041E-2</v>
      </c>
      <c r="I1189" s="14">
        <f t="shared" si="387"/>
        <v>-4.280399559527537E-3</v>
      </c>
      <c r="J1189" s="14">
        <f t="shared" si="388"/>
        <v>-2.5058381556391004E-2</v>
      </c>
      <c r="K1189" s="22">
        <v>1186</v>
      </c>
      <c r="L1189" s="12"/>
      <c r="Q1189" s="15">
        <f t="shared" si="389"/>
        <v>1186</v>
      </c>
      <c r="R1189" s="2">
        <f t="shared" si="385"/>
        <v>45188</v>
      </c>
      <c r="S1189" s="9">
        <f t="shared" ca="1" si="390"/>
        <v>1.0063821669149041E-2</v>
      </c>
      <c r="T1189" s="9">
        <f t="shared" ca="1" si="391"/>
        <v>-4.280399559527537E-3</v>
      </c>
      <c r="U1189" s="9">
        <f t="shared" ca="1" si="392"/>
        <v>-2.5058381556391004E-2</v>
      </c>
      <c r="AB1189" s="33" t="e">
        <f t="shared" ca="1" si="398"/>
        <v>#N/A</v>
      </c>
      <c r="AC1189" s="34" t="e">
        <f t="shared" ca="1" si="399"/>
        <v>#N/A</v>
      </c>
      <c r="AD1189" s="34" t="e">
        <f t="shared" ca="1" si="400"/>
        <v>#N/A</v>
      </c>
      <c r="AE1189" s="33" t="e">
        <f t="shared" ca="1" si="401"/>
        <v>#N/A</v>
      </c>
      <c r="AF1189" s="34" t="e">
        <f t="shared" ca="1" si="393"/>
        <v>#N/A</v>
      </c>
      <c r="AG1189" s="34" t="e">
        <f t="shared" ca="1" si="394"/>
        <v>#N/A</v>
      </c>
      <c r="AH1189" s="34" t="e">
        <f t="shared" ca="1" si="395"/>
        <v>#N/A</v>
      </c>
      <c r="AI1189" s="33" t="e">
        <f t="shared" ca="1" si="402"/>
        <v>#N/A</v>
      </c>
      <c r="AJ1189" s="34" t="e">
        <f t="shared" ca="1" si="403"/>
        <v>#N/A</v>
      </c>
      <c r="AK1189" s="34" t="e">
        <f t="shared" ca="1" si="396"/>
        <v>#N/A</v>
      </c>
      <c r="AL1189" s="34" t="e">
        <f t="shared" ca="1" si="397"/>
        <v>#N/A</v>
      </c>
      <c r="AM1189" s="33" t="e">
        <f t="shared" ca="1" si="404"/>
        <v>#N/A</v>
      </c>
      <c r="AN1189" s="34" t="e">
        <f t="shared" ca="1" si="405"/>
        <v>#N/A</v>
      </c>
    </row>
    <row r="1190" spans="1:40" x14ac:dyDescent="0.3">
      <c r="A1190" s="2">
        <v>45189</v>
      </c>
      <c r="B1190" s="9">
        <v>74.330001999999993</v>
      </c>
      <c r="C1190" s="9">
        <v>115.07</v>
      </c>
      <c r="D1190" s="9">
        <v>142.970001</v>
      </c>
      <c r="E1190" s="10"/>
      <c r="F1190" s="13">
        <v>1187</v>
      </c>
      <c r="G1190" s="2">
        <v>45189</v>
      </c>
      <c r="H1190" s="14">
        <f t="shared" si="386"/>
        <v>-7.6392515812052381E-3</v>
      </c>
      <c r="I1190" s="14">
        <f t="shared" si="387"/>
        <v>7.3266528267087521E-3</v>
      </c>
      <c r="J1190" s="14">
        <f t="shared" si="388"/>
        <v>2.1706201469620066E-3</v>
      </c>
      <c r="K1190" s="22">
        <v>1187</v>
      </c>
      <c r="L1190" s="12"/>
      <c r="Q1190" s="15">
        <f t="shared" si="389"/>
        <v>1187</v>
      </c>
      <c r="R1190" s="2">
        <f t="shared" si="385"/>
        <v>45189</v>
      </c>
      <c r="S1190" s="9">
        <f t="shared" ca="1" si="390"/>
        <v>-7.6392515812052381E-3</v>
      </c>
      <c r="T1190" s="9">
        <f t="shared" ca="1" si="391"/>
        <v>7.3266528267087521E-3</v>
      </c>
      <c r="U1190" s="9">
        <f t="shared" ca="1" si="392"/>
        <v>2.1706201469620066E-3</v>
      </c>
      <c r="AB1190" s="33" t="e">
        <f t="shared" ca="1" si="398"/>
        <v>#N/A</v>
      </c>
      <c r="AC1190" s="34" t="e">
        <f t="shared" ca="1" si="399"/>
        <v>#N/A</v>
      </c>
      <c r="AD1190" s="34" t="e">
        <f t="shared" ca="1" si="400"/>
        <v>#N/A</v>
      </c>
      <c r="AE1190" s="33" t="e">
        <f t="shared" ca="1" si="401"/>
        <v>#N/A</v>
      </c>
      <c r="AF1190" s="34" t="e">
        <f t="shared" ca="1" si="393"/>
        <v>#N/A</v>
      </c>
      <c r="AG1190" s="34" t="e">
        <f t="shared" ca="1" si="394"/>
        <v>#N/A</v>
      </c>
      <c r="AH1190" s="34" t="e">
        <f t="shared" ca="1" si="395"/>
        <v>#N/A</v>
      </c>
      <c r="AI1190" s="33" t="e">
        <f t="shared" ca="1" si="402"/>
        <v>#N/A</v>
      </c>
      <c r="AJ1190" s="34" t="e">
        <f t="shared" ca="1" si="403"/>
        <v>#N/A</v>
      </c>
      <c r="AK1190" s="34" t="e">
        <f t="shared" ca="1" si="396"/>
        <v>#N/A</v>
      </c>
      <c r="AL1190" s="34" t="e">
        <f t="shared" ca="1" si="397"/>
        <v>#N/A</v>
      </c>
      <c r="AM1190" s="33" t="e">
        <f t="shared" ca="1" si="404"/>
        <v>#N/A</v>
      </c>
      <c r="AN1190" s="34" t="e">
        <f t="shared" ca="1" si="405"/>
        <v>#N/A</v>
      </c>
    </row>
    <row r="1191" spans="1:40" x14ac:dyDescent="0.3">
      <c r="A1191" s="2">
        <v>45190</v>
      </c>
      <c r="B1191" s="9">
        <v>73.550003000000004</v>
      </c>
      <c r="C1191" s="9">
        <v>112.239998</v>
      </c>
      <c r="D1191" s="9">
        <v>146.300003</v>
      </c>
      <c r="E1191" s="10"/>
      <c r="F1191" s="13">
        <v>1188</v>
      </c>
      <c r="G1191" s="2">
        <v>45190</v>
      </c>
      <c r="H1191" s="14">
        <f t="shared" si="386"/>
        <v>-1.0549177808212937E-2</v>
      </c>
      <c r="I1191" s="14">
        <f t="shared" si="387"/>
        <v>-2.4901220860121136E-2</v>
      </c>
      <c r="J1191" s="14">
        <f t="shared" si="388"/>
        <v>2.3024503496341372E-2</v>
      </c>
      <c r="K1191" s="22">
        <v>1188</v>
      </c>
      <c r="L1191" s="12"/>
      <c r="Q1191" s="15">
        <f t="shared" si="389"/>
        <v>1188</v>
      </c>
      <c r="R1191" s="2">
        <f t="shared" si="385"/>
        <v>45190</v>
      </c>
      <c r="S1191" s="9">
        <f t="shared" ca="1" si="390"/>
        <v>-1.0549177808212937E-2</v>
      </c>
      <c r="T1191" s="9">
        <f t="shared" ca="1" si="391"/>
        <v>-2.4901220860121136E-2</v>
      </c>
      <c r="U1191" s="9">
        <f t="shared" ca="1" si="392"/>
        <v>2.3024503496341372E-2</v>
      </c>
      <c r="AB1191" s="33" t="e">
        <f t="shared" ca="1" si="398"/>
        <v>#N/A</v>
      </c>
      <c r="AC1191" s="34" t="e">
        <f t="shared" ca="1" si="399"/>
        <v>#N/A</v>
      </c>
      <c r="AD1191" s="34" t="e">
        <f t="shared" ca="1" si="400"/>
        <v>#N/A</v>
      </c>
      <c r="AE1191" s="33" t="e">
        <f t="shared" ca="1" si="401"/>
        <v>#N/A</v>
      </c>
      <c r="AF1191" s="34" t="e">
        <f t="shared" ca="1" si="393"/>
        <v>#N/A</v>
      </c>
      <c r="AG1191" s="34" t="e">
        <f t="shared" ca="1" si="394"/>
        <v>#N/A</v>
      </c>
      <c r="AH1191" s="34" t="e">
        <f t="shared" ca="1" si="395"/>
        <v>#N/A</v>
      </c>
      <c r="AI1191" s="33" t="e">
        <f t="shared" ca="1" si="402"/>
        <v>#N/A</v>
      </c>
      <c r="AJ1191" s="34" t="e">
        <f t="shared" ca="1" si="403"/>
        <v>#N/A</v>
      </c>
      <c r="AK1191" s="34" t="e">
        <f t="shared" ca="1" si="396"/>
        <v>#N/A</v>
      </c>
      <c r="AL1191" s="34" t="e">
        <f t="shared" ca="1" si="397"/>
        <v>#N/A</v>
      </c>
      <c r="AM1191" s="33" t="e">
        <f t="shared" ca="1" si="404"/>
        <v>#N/A</v>
      </c>
      <c r="AN1191" s="34" t="e">
        <f t="shared" ca="1" si="405"/>
        <v>#N/A</v>
      </c>
    </row>
    <row r="1192" spans="1:40" x14ac:dyDescent="0.3">
      <c r="A1192" s="2">
        <v>45191</v>
      </c>
      <c r="B1192" s="9">
        <v>72.919998000000007</v>
      </c>
      <c r="C1192" s="9">
        <v>112.139999</v>
      </c>
      <c r="D1192" s="9">
        <v>145.270004</v>
      </c>
      <c r="E1192" s="10"/>
      <c r="F1192" s="13">
        <v>1189</v>
      </c>
      <c r="G1192" s="2">
        <v>45191</v>
      </c>
      <c r="H1192" s="14">
        <f t="shared" si="386"/>
        <v>-8.6025654528805295E-3</v>
      </c>
      <c r="I1192" s="14">
        <f t="shared" si="387"/>
        <v>-8.9133619714420499E-4</v>
      </c>
      <c r="J1192" s="14">
        <f t="shared" si="388"/>
        <v>-7.0652211121616775E-3</v>
      </c>
      <c r="K1192" s="22">
        <v>1189</v>
      </c>
      <c r="L1192" s="12"/>
      <c r="Q1192" s="15">
        <f t="shared" si="389"/>
        <v>1189</v>
      </c>
      <c r="R1192" s="2">
        <f t="shared" si="385"/>
        <v>45191</v>
      </c>
      <c r="S1192" s="9">
        <f t="shared" ca="1" si="390"/>
        <v>-8.6025654528805295E-3</v>
      </c>
      <c r="T1192" s="9">
        <f t="shared" ca="1" si="391"/>
        <v>-8.9133619714420499E-4</v>
      </c>
      <c r="U1192" s="9">
        <f t="shared" ca="1" si="392"/>
        <v>-7.0652211121616775E-3</v>
      </c>
      <c r="AB1192" s="33" t="e">
        <f t="shared" ca="1" si="398"/>
        <v>#N/A</v>
      </c>
      <c r="AC1192" s="34" t="e">
        <f t="shared" ca="1" si="399"/>
        <v>#N/A</v>
      </c>
      <c r="AD1192" s="34" t="e">
        <f t="shared" ca="1" si="400"/>
        <v>#N/A</v>
      </c>
      <c r="AE1192" s="33" t="e">
        <f t="shared" ca="1" si="401"/>
        <v>#N/A</v>
      </c>
      <c r="AF1192" s="34" t="e">
        <f t="shared" ca="1" si="393"/>
        <v>#N/A</v>
      </c>
      <c r="AG1192" s="34" t="e">
        <f t="shared" ca="1" si="394"/>
        <v>#N/A</v>
      </c>
      <c r="AH1192" s="34" t="e">
        <f t="shared" ca="1" si="395"/>
        <v>#N/A</v>
      </c>
      <c r="AI1192" s="33" t="e">
        <f t="shared" ca="1" si="402"/>
        <v>#N/A</v>
      </c>
      <c r="AJ1192" s="34" t="e">
        <f t="shared" ca="1" si="403"/>
        <v>#N/A</v>
      </c>
      <c r="AK1192" s="34" t="e">
        <f t="shared" ca="1" si="396"/>
        <v>#N/A</v>
      </c>
      <c r="AL1192" s="34" t="e">
        <f t="shared" ca="1" si="397"/>
        <v>#N/A</v>
      </c>
      <c r="AM1192" s="33" t="e">
        <f t="shared" ca="1" si="404"/>
        <v>#N/A</v>
      </c>
      <c r="AN1192" s="34" t="e">
        <f t="shared" ca="1" si="405"/>
        <v>#N/A</v>
      </c>
    </row>
    <row r="1193" spans="1:40" x14ac:dyDescent="0.3">
      <c r="A1193" s="2">
        <v>45194</v>
      </c>
      <c r="B1193" s="9">
        <v>73.849997999999999</v>
      </c>
      <c r="C1193" s="9">
        <v>113.18</v>
      </c>
      <c r="D1193" s="9">
        <v>146.53999300000001</v>
      </c>
      <c r="E1193" s="10"/>
      <c r="F1193" s="13">
        <v>1190</v>
      </c>
      <c r="G1193" s="2">
        <v>45194</v>
      </c>
      <c r="H1193" s="14">
        <f t="shared" si="386"/>
        <v>1.2673059512321309E-2</v>
      </c>
      <c r="I1193" s="14">
        <f t="shared" si="387"/>
        <v>9.2313899362760164E-3</v>
      </c>
      <c r="J1193" s="14">
        <f t="shared" si="388"/>
        <v>8.7042735435627436E-3</v>
      </c>
      <c r="K1193" s="22">
        <v>1190</v>
      </c>
      <c r="L1193" s="12"/>
      <c r="Q1193" s="15">
        <f t="shared" si="389"/>
        <v>1190</v>
      </c>
      <c r="R1193" s="2">
        <f t="shared" si="385"/>
        <v>45194</v>
      </c>
      <c r="S1193" s="9">
        <f t="shared" ca="1" si="390"/>
        <v>1.2673059512321309E-2</v>
      </c>
      <c r="T1193" s="9">
        <f t="shared" ca="1" si="391"/>
        <v>9.2313899362760164E-3</v>
      </c>
      <c r="U1193" s="9">
        <f t="shared" ca="1" si="392"/>
        <v>8.7042735435627436E-3</v>
      </c>
      <c r="AB1193" s="33" t="e">
        <f t="shared" ca="1" si="398"/>
        <v>#N/A</v>
      </c>
      <c r="AC1193" s="34" t="e">
        <f t="shared" ca="1" si="399"/>
        <v>#N/A</v>
      </c>
      <c r="AD1193" s="34" t="e">
        <f t="shared" ca="1" si="400"/>
        <v>#N/A</v>
      </c>
      <c r="AE1193" s="33" t="e">
        <f t="shared" ca="1" si="401"/>
        <v>#N/A</v>
      </c>
      <c r="AF1193" s="34" t="e">
        <f t="shared" ca="1" si="393"/>
        <v>#N/A</v>
      </c>
      <c r="AG1193" s="34" t="e">
        <f t="shared" ca="1" si="394"/>
        <v>#N/A</v>
      </c>
      <c r="AH1193" s="34" t="e">
        <f t="shared" ca="1" si="395"/>
        <v>#N/A</v>
      </c>
      <c r="AI1193" s="33" t="e">
        <f t="shared" ca="1" si="402"/>
        <v>#N/A</v>
      </c>
      <c r="AJ1193" s="34" t="e">
        <f t="shared" ca="1" si="403"/>
        <v>#N/A</v>
      </c>
      <c r="AK1193" s="34" t="e">
        <f t="shared" ca="1" si="396"/>
        <v>#N/A</v>
      </c>
      <c r="AL1193" s="34" t="e">
        <f t="shared" ca="1" si="397"/>
        <v>#N/A</v>
      </c>
      <c r="AM1193" s="33" t="e">
        <f t="shared" ca="1" si="404"/>
        <v>#N/A</v>
      </c>
      <c r="AN1193" s="34" t="e">
        <f t="shared" ca="1" si="405"/>
        <v>#N/A</v>
      </c>
    </row>
    <row r="1194" spans="1:40" x14ac:dyDescent="0.3">
      <c r="A1194" s="2">
        <v>45195</v>
      </c>
      <c r="B1194" s="9">
        <v>71.589995999999999</v>
      </c>
      <c r="C1194" s="9">
        <v>113.43</v>
      </c>
      <c r="D1194" s="9">
        <v>141.58000200000001</v>
      </c>
      <c r="E1194" s="10"/>
      <c r="F1194" s="13">
        <v>1191</v>
      </c>
      <c r="G1194" s="2">
        <v>45195</v>
      </c>
      <c r="H1194" s="14">
        <f t="shared" si="386"/>
        <v>-3.1080638361098884E-2</v>
      </c>
      <c r="I1194" s="14">
        <f t="shared" si="387"/>
        <v>2.206434856573397E-3</v>
      </c>
      <c r="J1194" s="14">
        <f t="shared" si="388"/>
        <v>-3.443343849095723E-2</v>
      </c>
      <c r="K1194" s="22">
        <v>1191</v>
      </c>
      <c r="L1194" s="12"/>
      <c r="Q1194" s="15">
        <f t="shared" si="389"/>
        <v>1191</v>
      </c>
      <c r="R1194" s="2">
        <f t="shared" si="385"/>
        <v>45195</v>
      </c>
      <c r="S1194" s="9">
        <f t="shared" ca="1" si="390"/>
        <v>-3.1080638361098884E-2</v>
      </c>
      <c r="T1194" s="9">
        <f t="shared" ca="1" si="391"/>
        <v>2.206434856573397E-3</v>
      </c>
      <c r="U1194" s="9">
        <f t="shared" ca="1" si="392"/>
        <v>-3.443343849095723E-2</v>
      </c>
      <c r="AB1194" s="33" t="e">
        <f t="shared" ca="1" si="398"/>
        <v>#N/A</v>
      </c>
      <c r="AC1194" s="34" t="e">
        <f t="shared" ca="1" si="399"/>
        <v>#N/A</v>
      </c>
      <c r="AD1194" s="34" t="e">
        <f t="shared" ca="1" si="400"/>
        <v>#N/A</v>
      </c>
      <c r="AE1194" s="33" t="e">
        <f t="shared" ca="1" si="401"/>
        <v>#N/A</v>
      </c>
      <c r="AF1194" s="34" t="e">
        <f t="shared" ca="1" si="393"/>
        <v>#N/A</v>
      </c>
      <c r="AG1194" s="34" t="e">
        <f t="shared" ca="1" si="394"/>
        <v>#N/A</v>
      </c>
      <c r="AH1194" s="34" t="e">
        <f t="shared" ca="1" si="395"/>
        <v>#N/A</v>
      </c>
      <c r="AI1194" s="33" t="e">
        <f t="shared" ca="1" si="402"/>
        <v>#N/A</v>
      </c>
      <c r="AJ1194" s="34" t="e">
        <f t="shared" ca="1" si="403"/>
        <v>#N/A</v>
      </c>
      <c r="AK1194" s="34" t="e">
        <f t="shared" ca="1" si="396"/>
        <v>#N/A</v>
      </c>
      <c r="AL1194" s="34" t="e">
        <f t="shared" ca="1" si="397"/>
        <v>#N/A</v>
      </c>
      <c r="AM1194" s="33" t="e">
        <f t="shared" ca="1" si="404"/>
        <v>#N/A</v>
      </c>
      <c r="AN1194" s="34" t="e">
        <f t="shared" ca="1" si="405"/>
        <v>#N/A</v>
      </c>
    </row>
    <row r="1195" spans="1:40" x14ac:dyDescent="0.3">
      <c r="A1195" s="2">
        <v>45196</v>
      </c>
      <c r="B1195" s="9">
        <v>73.139999000000003</v>
      </c>
      <c r="C1195" s="9">
        <v>115.260002</v>
      </c>
      <c r="D1195" s="9">
        <v>143.949997</v>
      </c>
      <c r="E1195" s="10"/>
      <c r="F1195" s="13">
        <v>1192</v>
      </c>
      <c r="G1195" s="2">
        <v>45196</v>
      </c>
      <c r="H1195" s="14">
        <f t="shared" si="386"/>
        <v>2.1420055514459281E-2</v>
      </c>
      <c r="I1195" s="14">
        <f t="shared" si="387"/>
        <v>1.6004556789642431E-2</v>
      </c>
      <c r="J1195" s="14">
        <f t="shared" si="388"/>
        <v>1.6601053745282833E-2</v>
      </c>
      <c r="K1195" s="22">
        <v>1192</v>
      </c>
      <c r="L1195" s="12"/>
      <c r="Q1195" s="15">
        <f t="shared" si="389"/>
        <v>1192</v>
      </c>
      <c r="R1195" s="2">
        <f t="shared" si="385"/>
        <v>45196</v>
      </c>
      <c r="S1195" s="9">
        <f t="shared" ca="1" si="390"/>
        <v>2.1420055514459281E-2</v>
      </c>
      <c r="T1195" s="9">
        <f t="shared" ca="1" si="391"/>
        <v>1.6004556789642431E-2</v>
      </c>
      <c r="U1195" s="9">
        <f t="shared" ca="1" si="392"/>
        <v>1.6601053745282833E-2</v>
      </c>
      <c r="AB1195" s="33" t="e">
        <f t="shared" ca="1" si="398"/>
        <v>#N/A</v>
      </c>
      <c r="AC1195" s="34" t="e">
        <f t="shared" ca="1" si="399"/>
        <v>#N/A</v>
      </c>
      <c r="AD1195" s="34" t="e">
        <f t="shared" ca="1" si="400"/>
        <v>#N/A</v>
      </c>
      <c r="AE1195" s="33" t="e">
        <f t="shared" ca="1" si="401"/>
        <v>#N/A</v>
      </c>
      <c r="AF1195" s="34" t="e">
        <f t="shared" ca="1" si="393"/>
        <v>#N/A</v>
      </c>
      <c r="AG1195" s="34" t="e">
        <f t="shared" ca="1" si="394"/>
        <v>#N/A</v>
      </c>
      <c r="AH1195" s="34" t="e">
        <f t="shared" ca="1" si="395"/>
        <v>#N/A</v>
      </c>
      <c r="AI1195" s="33" t="e">
        <f t="shared" ca="1" si="402"/>
        <v>#N/A</v>
      </c>
      <c r="AJ1195" s="34" t="e">
        <f t="shared" ca="1" si="403"/>
        <v>#N/A</v>
      </c>
      <c r="AK1195" s="34" t="e">
        <f t="shared" ca="1" si="396"/>
        <v>#N/A</v>
      </c>
      <c r="AL1195" s="34" t="e">
        <f t="shared" ca="1" si="397"/>
        <v>#N/A</v>
      </c>
      <c r="AM1195" s="33" t="e">
        <f t="shared" ca="1" si="404"/>
        <v>#N/A</v>
      </c>
      <c r="AN1195" s="34" t="e">
        <f t="shared" ca="1" si="405"/>
        <v>#N/A</v>
      </c>
    </row>
    <row r="1196" spans="1:40" x14ac:dyDescent="0.3">
      <c r="A1196" s="2">
        <v>45197</v>
      </c>
      <c r="B1196" s="9">
        <v>73.199996999999996</v>
      </c>
      <c r="C1196" s="9">
        <v>115.389999</v>
      </c>
      <c r="D1196" s="9">
        <v>147.179993</v>
      </c>
      <c r="E1196" s="10"/>
      <c r="F1196" s="13">
        <v>1193</v>
      </c>
      <c r="G1196" s="2">
        <v>45197</v>
      </c>
      <c r="H1196" s="14">
        <f t="shared" si="386"/>
        <v>8.1998093483247271E-4</v>
      </c>
      <c r="I1196" s="14">
        <f t="shared" si="387"/>
        <v>1.1272231797203964E-3</v>
      </c>
      <c r="J1196" s="14">
        <f t="shared" si="388"/>
        <v>2.2190283720026849E-2</v>
      </c>
      <c r="K1196" s="22">
        <v>1193</v>
      </c>
      <c r="L1196" s="12"/>
      <c r="Q1196" s="15">
        <f t="shared" si="389"/>
        <v>1193</v>
      </c>
      <c r="R1196" s="2">
        <f t="shared" si="385"/>
        <v>45197</v>
      </c>
      <c r="S1196" s="9">
        <f t="shared" ca="1" si="390"/>
        <v>8.1998093483247271E-4</v>
      </c>
      <c r="T1196" s="9">
        <f t="shared" ca="1" si="391"/>
        <v>1.1272231797203964E-3</v>
      </c>
      <c r="U1196" s="9">
        <f t="shared" ca="1" si="392"/>
        <v>2.2190283720026849E-2</v>
      </c>
      <c r="AB1196" s="33" t="e">
        <f t="shared" ca="1" si="398"/>
        <v>#N/A</v>
      </c>
      <c r="AC1196" s="34" t="e">
        <f t="shared" ca="1" si="399"/>
        <v>#N/A</v>
      </c>
      <c r="AD1196" s="34" t="e">
        <f t="shared" ca="1" si="400"/>
        <v>#N/A</v>
      </c>
      <c r="AE1196" s="33" t="e">
        <f t="shared" ca="1" si="401"/>
        <v>#N/A</v>
      </c>
      <c r="AF1196" s="34" t="e">
        <f t="shared" ca="1" si="393"/>
        <v>#N/A</v>
      </c>
      <c r="AG1196" s="34" t="e">
        <f t="shared" ca="1" si="394"/>
        <v>#N/A</v>
      </c>
      <c r="AH1196" s="34" t="e">
        <f t="shared" ca="1" si="395"/>
        <v>#N/A</v>
      </c>
      <c r="AI1196" s="33" t="e">
        <f t="shared" ca="1" si="402"/>
        <v>#N/A</v>
      </c>
      <c r="AJ1196" s="34" t="e">
        <f t="shared" ca="1" si="403"/>
        <v>#N/A</v>
      </c>
      <c r="AK1196" s="34" t="e">
        <f t="shared" ca="1" si="396"/>
        <v>#N/A</v>
      </c>
      <c r="AL1196" s="34" t="e">
        <f t="shared" ca="1" si="397"/>
        <v>#N/A</v>
      </c>
      <c r="AM1196" s="33" t="e">
        <f t="shared" ca="1" si="404"/>
        <v>#N/A</v>
      </c>
      <c r="AN1196" s="34" t="e">
        <f t="shared" ca="1" si="405"/>
        <v>#N/A</v>
      </c>
    </row>
    <row r="1197" spans="1:40" x14ac:dyDescent="0.3">
      <c r="A1197" s="2">
        <v>45198</v>
      </c>
      <c r="B1197" s="9">
        <v>73.279999000000004</v>
      </c>
      <c r="C1197" s="9">
        <v>116.089996</v>
      </c>
      <c r="D1197" s="9">
        <v>141.71000699999999</v>
      </c>
      <c r="E1197" s="10"/>
      <c r="F1197" s="13">
        <v>1194</v>
      </c>
      <c r="G1197" s="2">
        <v>45198</v>
      </c>
      <c r="H1197" s="14">
        <f t="shared" si="386"/>
        <v>1.0923267359281483E-3</v>
      </c>
      <c r="I1197" s="14">
        <f t="shared" si="387"/>
        <v>6.0480313536041257E-3</v>
      </c>
      <c r="J1197" s="14">
        <f t="shared" si="388"/>
        <v>-3.7873514704209015E-2</v>
      </c>
      <c r="K1197" s="22">
        <v>1194</v>
      </c>
      <c r="L1197" s="12"/>
      <c r="Q1197" s="15">
        <f t="shared" si="389"/>
        <v>1194</v>
      </c>
      <c r="R1197" s="2">
        <f t="shared" si="385"/>
        <v>45198</v>
      </c>
      <c r="S1197" s="9">
        <f t="shared" ca="1" si="390"/>
        <v>1.0923267359281483E-3</v>
      </c>
      <c r="T1197" s="9">
        <f t="shared" ca="1" si="391"/>
        <v>6.0480313536041257E-3</v>
      </c>
      <c r="U1197" s="9">
        <f t="shared" ca="1" si="392"/>
        <v>-3.7873514704209015E-2</v>
      </c>
      <c r="AB1197" s="33" t="e">
        <f t="shared" ca="1" si="398"/>
        <v>#N/A</v>
      </c>
      <c r="AC1197" s="34" t="e">
        <f t="shared" ca="1" si="399"/>
        <v>#N/A</v>
      </c>
      <c r="AD1197" s="34" t="e">
        <f t="shared" ca="1" si="400"/>
        <v>#N/A</v>
      </c>
      <c r="AE1197" s="33" t="e">
        <f t="shared" ca="1" si="401"/>
        <v>#N/A</v>
      </c>
      <c r="AF1197" s="34" t="e">
        <f t="shared" ca="1" si="393"/>
        <v>#N/A</v>
      </c>
      <c r="AG1197" s="34" t="e">
        <f t="shared" ca="1" si="394"/>
        <v>#N/A</v>
      </c>
      <c r="AH1197" s="34" t="e">
        <f t="shared" ca="1" si="395"/>
        <v>#N/A</v>
      </c>
      <c r="AI1197" s="33" t="e">
        <f t="shared" ca="1" si="402"/>
        <v>#N/A</v>
      </c>
      <c r="AJ1197" s="34" t="e">
        <f t="shared" ca="1" si="403"/>
        <v>#N/A</v>
      </c>
      <c r="AK1197" s="34" t="e">
        <f t="shared" ca="1" si="396"/>
        <v>#N/A</v>
      </c>
      <c r="AL1197" s="34" t="e">
        <f t="shared" ca="1" si="397"/>
        <v>#N/A</v>
      </c>
      <c r="AM1197" s="33" t="e">
        <f t="shared" ca="1" si="404"/>
        <v>#N/A</v>
      </c>
      <c r="AN1197" s="34" t="e">
        <f t="shared" ca="1" si="405"/>
        <v>#N/A</v>
      </c>
    </row>
    <row r="1198" spans="1:40" x14ac:dyDescent="0.3">
      <c r="A1198" s="2">
        <v>45201</v>
      </c>
      <c r="B1198" s="9">
        <v>72.029999000000004</v>
      </c>
      <c r="C1198" s="9">
        <v>115.94000200000001</v>
      </c>
      <c r="D1198" s="9">
        <v>138.08999600000001</v>
      </c>
      <c r="E1198" s="10"/>
      <c r="F1198" s="13">
        <v>1195</v>
      </c>
      <c r="G1198" s="2">
        <v>45201</v>
      </c>
      <c r="H1198" s="14">
        <f t="shared" si="386"/>
        <v>-1.7205021701419319E-2</v>
      </c>
      <c r="I1198" s="14">
        <f t="shared" si="387"/>
        <v>-1.2928847320297259E-3</v>
      </c>
      <c r="J1198" s="14">
        <f t="shared" si="388"/>
        <v>-2.5877147702789451E-2</v>
      </c>
      <c r="K1198" s="22">
        <v>1195</v>
      </c>
      <c r="L1198" s="12"/>
      <c r="Q1198" s="15">
        <f t="shared" si="389"/>
        <v>1195</v>
      </c>
      <c r="R1198" s="2">
        <f t="shared" si="385"/>
        <v>45201</v>
      </c>
      <c r="S1198" s="9">
        <f t="shared" ca="1" si="390"/>
        <v>-1.7205021701419319E-2</v>
      </c>
      <c r="T1198" s="9">
        <f t="shared" ca="1" si="391"/>
        <v>-1.2928847320297259E-3</v>
      </c>
      <c r="U1198" s="9">
        <f t="shared" ca="1" si="392"/>
        <v>-2.5877147702789451E-2</v>
      </c>
      <c r="AB1198" s="33" t="e">
        <f t="shared" ca="1" si="398"/>
        <v>#N/A</v>
      </c>
      <c r="AC1198" s="34" t="e">
        <f t="shared" ca="1" si="399"/>
        <v>#N/A</v>
      </c>
      <c r="AD1198" s="34" t="e">
        <f t="shared" ca="1" si="400"/>
        <v>#N/A</v>
      </c>
      <c r="AE1198" s="33" t="e">
        <f t="shared" ca="1" si="401"/>
        <v>#N/A</v>
      </c>
      <c r="AF1198" s="34" t="e">
        <f t="shared" ca="1" si="393"/>
        <v>#N/A</v>
      </c>
      <c r="AG1198" s="34" t="e">
        <f t="shared" ca="1" si="394"/>
        <v>#N/A</v>
      </c>
      <c r="AH1198" s="34" t="e">
        <f t="shared" ca="1" si="395"/>
        <v>#N/A</v>
      </c>
      <c r="AI1198" s="33" t="e">
        <f t="shared" ca="1" si="402"/>
        <v>#N/A</v>
      </c>
      <c r="AJ1198" s="34" t="e">
        <f t="shared" ca="1" si="403"/>
        <v>#N/A</v>
      </c>
      <c r="AK1198" s="34" t="e">
        <f t="shared" ca="1" si="396"/>
        <v>#N/A</v>
      </c>
      <c r="AL1198" s="34" t="e">
        <f t="shared" ca="1" si="397"/>
        <v>#N/A</v>
      </c>
      <c r="AM1198" s="33" t="e">
        <f t="shared" ca="1" si="404"/>
        <v>#N/A</v>
      </c>
      <c r="AN1198" s="34" t="e">
        <f t="shared" ca="1" si="405"/>
        <v>#N/A</v>
      </c>
    </row>
    <row r="1199" spans="1:40" x14ac:dyDescent="0.3">
      <c r="A1199" s="2">
        <v>45202</v>
      </c>
      <c r="B1199" s="9">
        <v>73.819999999999993</v>
      </c>
      <c r="C1199" s="9">
        <v>112.33000199999999</v>
      </c>
      <c r="D1199" s="9">
        <v>133.58000200000001</v>
      </c>
      <c r="E1199" s="10"/>
      <c r="F1199" s="13">
        <v>1196</v>
      </c>
      <c r="G1199" s="2">
        <v>45202</v>
      </c>
      <c r="H1199" s="14">
        <f t="shared" si="386"/>
        <v>2.4547012583685201E-2</v>
      </c>
      <c r="I1199" s="14">
        <f t="shared" si="387"/>
        <v>-3.1631847703728268E-2</v>
      </c>
      <c r="J1199" s="14">
        <f t="shared" si="388"/>
        <v>-3.3205053260852387E-2</v>
      </c>
      <c r="K1199" s="22">
        <v>1196</v>
      </c>
      <c r="L1199" s="12"/>
      <c r="Q1199" s="15">
        <f t="shared" si="389"/>
        <v>1196</v>
      </c>
      <c r="R1199" s="2">
        <f t="shared" si="385"/>
        <v>45202</v>
      </c>
      <c r="S1199" s="9">
        <f t="shared" ca="1" si="390"/>
        <v>2.4547012583685201E-2</v>
      </c>
      <c r="T1199" s="9">
        <f t="shared" ca="1" si="391"/>
        <v>-3.1631847703728268E-2</v>
      </c>
      <c r="U1199" s="9">
        <f t="shared" ca="1" si="392"/>
        <v>-3.3205053260852387E-2</v>
      </c>
      <c r="AB1199" s="33" t="e">
        <f t="shared" ca="1" si="398"/>
        <v>#N/A</v>
      </c>
      <c r="AC1199" s="34" t="e">
        <f t="shared" ca="1" si="399"/>
        <v>#N/A</v>
      </c>
      <c r="AD1199" s="34" t="e">
        <f t="shared" ca="1" si="400"/>
        <v>#N/A</v>
      </c>
      <c r="AE1199" s="33" t="e">
        <f t="shared" ca="1" si="401"/>
        <v>#N/A</v>
      </c>
      <c r="AF1199" s="34" t="e">
        <f t="shared" ca="1" si="393"/>
        <v>#N/A</v>
      </c>
      <c r="AG1199" s="34" t="e">
        <f t="shared" ca="1" si="394"/>
        <v>#N/A</v>
      </c>
      <c r="AH1199" s="34" t="e">
        <f t="shared" ca="1" si="395"/>
        <v>#N/A</v>
      </c>
      <c r="AI1199" s="33" t="e">
        <f t="shared" ca="1" si="402"/>
        <v>#N/A</v>
      </c>
      <c r="AJ1199" s="34" t="e">
        <f t="shared" ca="1" si="403"/>
        <v>#N/A</v>
      </c>
      <c r="AK1199" s="34" t="e">
        <f t="shared" ca="1" si="396"/>
        <v>#N/A</v>
      </c>
      <c r="AL1199" s="34" t="e">
        <f t="shared" ca="1" si="397"/>
        <v>#N/A</v>
      </c>
      <c r="AM1199" s="33" t="e">
        <f t="shared" ca="1" si="404"/>
        <v>#N/A</v>
      </c>
      <c r="AN1199" s="34" t="e">
        <f t="shared" ca="1" si="405"/>
        <v>#N/A</v>
      </c>
    </row>
    <row r="1200" spans="1:40" x14ac:dyDescent="0.3">
      <c r="A1200" s="2">
        <v>45203</v>
      </c>
      <c r="B1200" s="9">
        <v>73.589995999999999</v>
      </c>
      <c r="C1200" s="9">
        <v>113.699997</v>
      </c>
      <c r="D1200" s="9">
        <v>128.66999799999999</v>
      </c>
      <c r="E1200" s="10"/>
      <c r="F1200" s="13">
        <v>1197</v>
      </c>
      <c r="G1200" s="2">
        <v>45203</v>
      </c>
      <c r="H1200" s="14">
        <f t="shared" si="386"/>
        <v>-3.1206050185575342E-3</v>
      </c>
      <c r="I1200" s="14">
        <f t="shared" si="387"/>
        <v>1.2122388913105421E-2</v>
      </c>
      <c r="J1200" s="14">
        <f t="shared" si="388"/>
        <v>-3.744959261653126E-2</v>
      </c>
      <c r="K1200" s="22">
        <v>1197</v>
      </c>
      <c r="L1200" s="12"/>
      <c r="Q1200" s="15">
        <f t="shared" si="389"/>
        <v>1197</v>
      </c>
      <c r="R1200" s="2">
        <f t="shared" si="385"/>
        <v>45203</v>
      </c>
      <c r="S1200" s="9">
        <f t="shared" ca="1" si="390"/>
        <v>-3.1206050185575342E-3</v>
      </c>
      <c r="T1200" s="9">
        <f t="shared" ca="1" si="391"/>
        <v>1.2122388913105421E-2</v>
      </c>
      <c r="U1200" s="9">
        <f t="shared" ca="1" si="392"/>
        <v>-3.744959261653126E-2</v>
      </c>
      <c r="AB1200" s="33" t="e">
        <f t="shared" ca="1" si="398"/>
        <v>#N/A</v>
      </c>
      <c r="AC1200" s="34" t="e">
        <f t="shared" ca="1" si="399"/>
        <v>#N/A</v>
      </c>
      <c r="AD1200" s="34" t="e">
        <f t="shared" ca="1" si="400"/>
        <v>#N/A</v>
      </c>
      <c r="AE1200" s="33" t="e">
        <f t="shared" ca="1" si="401"/>
        <v>#N/A</v>
      </c>
      <c r="AF1200" s="34" t="e">
        <f t="shared" ca="1" si="393"/>
        <v>#N/A</v>
      </c>
      <c r="AG1200" s="34" t="e">
        <f t="shared" ca="1" si="394"/>
        <v>#N/A</v>
      </c>
      <c r="AH1200" s="34" t="e">
        <f t="shared" ca="1" si="395"/>
        <v>#N/A</v>
      </c>
      <c r="AI1200" s="33" t="e">
        <f t="shared" ca="1" si="402"/>
        <v>#N/A</v>
      </c>
      <c r="AJ1200" s="34" t="e">
        <f t="shared" ca="1" si="403"/>
        <v>#N/A</v>
      </c>
      <c r="AK1200" s="34" t="e">
        <f t="shared" ca="1" si="396"/>
        <v>#N/A</v>
      </c>
      <c r="AL1200" s="34" t="e">
        <f t="shared" ca="1" si="397"/>
        <v>#N/A</v>
      </c>
      <c r="AM1200" s="33" t="e">
        <f t="shared" ca="1" si="404"/>
        <v>#N/A</v>
      </c>
      <c r="AN1200" s="34" t="e">
        <f t="shared" ca="1" si="405"/>
        <v>#N/A</v>
      </c>
    </row>
    <row r="1201" spans="1:40" x14ac:dyDescent="0.3">
      <c r="A1201" s="2">
        <v>45204</v>
      </c>
      <c r="B1201" s="9">
        <v>73.769997000000004</v>
      </c>
      <c r="C1201" s="9">
        <v>112.19000200000001</v>
      </c>
      <c r="D1201" s="9">
        <v>127.480003</v>
      </c>
      <c r="E1201" s="10"/>
      <c r="F1201" s="13">
        <v>1198</v>
      </c>
      <c r="G1201" s="2">
        <v>45204</v>
      </c>
      <c r="H1201" s="14">
        <f t="shared" si="386"/>
        <v>2.4430116459775806E-3</v>
      </c>
      <c r="I1201" s="14">
        <f t="shared" si="387"/>
        <v>-1.3369493987491675E-2</v>
      </c>
      <c r="J1201" s="14">
        <f t="shared" si="388"/>
        <v>-9.2914585710211946E-3</v>
      </c>
      <c r="K1201" s="22">
        <v>1198</v>
      </c>
      <c r="L1201" s="12"/>
      <c r="Q1201" s="15">
        <f t="shared" si="389"/>
        <v>1198</v>
      </c>
      <c r="R1201" s="2">
        <f t="shared" si="385"/>
        <v>45204</v>
      </c>
      <c r="S1201" s="9">
        <f t="shared" ca="1" si="390"/>
        <v>2.4430116459775806E-3</v>
      </c>
      <c r="T1201" s="9">
        <f t="shared" ca="1" si="391"/>
        <v>-1.3369493987491675E-2</v>
      </c>
      <c r="U1201" s="9">
        <f t="shared" ca="1" si="392"/>
        <v>-9.2914585710211946E-3</v>
      </c>
      <c r="AB1201" s="33" t="e">
        <f t="shared" ca="1" si="398"/>
        <v>#N/A</v>
      </c>
      <c r="AC1201" s="34" t="e">
        <f t="shared" ca="1" si="399"/>
        <v>#N/A</v>
      </c>
      <c r="AD1201" s="34" t="e">
        <f t="shared" ca="1" si="400"/>
        <v>#N/A</v>
      </c>
      <c r="AE1201" s="33" t="e">
        <f t="shared" ca="1" si="401"/>
        <v>#N/A</v>
      </c>
      <c r="AF1201" s="34" t="e">
        <f t="shared" ca="1" si="393"/>
        <v>#N/A</v>
      </c>
      <c r="AG1201" s="34" t="e">
        <f t="shared" ca="1" si="394"/>
        <v>#N/A</v>
      </c>
      <c r="AH1201" s="34" t="e">
        <f t="shared" ca="1" si="395"/>
        <v>#N/A</v>
      </c>
      <c r="AI1201" s="33" t="e">
        <f t="shared" ca="1" si="402"/>
        <v>#N/A</v>
      </c>
      <c r="AJ1201" s="34" t="e">
        <f t="shared" ca="1" si="403"/>
        <v>#N/A</v>
      </c>
      <c r="AK1201" s="34" t="e">
        <f t="shared" ca="1" si="396"/>
        <v>#N/A</v>
      </c>
      <c r="AL1201" s="34" t="e">
        <f t="shared" ca="1" si="397"/>
        <v>#N/A</v>
      </c>
      <c r="AM1201" s="33" t="e">
        <f t="shared" ca="1" si="404"/>
        <v>#N/A</v>
      </c>
      <c r="AN1201" s="34" t="e">
        <f t="shared" ca="1" si="405"/>
        <v>#N/A</v>
      </c>
    </row>
    <row r="1202" spans="1:40" x14ac:dyDescent="0.3">
      <c r="A1202" s="2">
        <v>45205</v>
      </c>
      <c r="B1202" s="9">
        <v>74.699996999999996</v>
      </c>
      <c r="C1202" s="9">
        <v>113.660004</v>
      </c>
      <c r="D1202" s="9">
        <v>126.529999</v>
      </c>
      <c r="E1202" s="10"/>
      <c r="F1202" s="13">
        <v>1199</v>
      </c>
      <c r="G1202" s="2">
        <v>45205</v>
      </c>
      <c r="H1202" s="14">
        <f t="shared" si="386"/>
        <v>1.2527947748855874E-2</v>
      </c>
      <c r="I1202" s="14">
        <f t="shared" si="387"/>
        <v>1.3017690677880771E-2</v>
      </c>
      <c r="J1202" s="14">
        <f t="shared" si="388"/>
        <v>-7.4800867843303875E-3</v>
      </c>
      <c r="K1202" s="22">
        <v>1199</v>
      </c>
      <c r="L1202" s="12"/>
      <c r="Q1202" s="15">
        <f t="shared" si="389"/>
        <v>1199</v>
      </c>
      <c r="R1202" s="2">
        <f t="shared" si="385"/>
        <v>45205</v>
      </c>
      <c r="S1202" s="9">
        <f t="shared" ca="1" si="390"/>
        <v>1.2527947748855874E-2</v>
      </c>
      <c r="T1202" s="9">
        <f t="shared" ca="1" si="391"/>
        <v>1.3017690677880771E-2</v>
      </c>
      <c r="U1202" s="9">
        <f t="shared" ca="1" si="392"/>
        <v>-7.4800867843303875E-3</v>
      </c>
      <c r="AB1202" s="33" t="e">
        <f t="shared" ca="1" si="398"/>
        <v>#N/A</v>
      </c>
      <c r="AC1202" s="34" t="e">
        <f t="shared" ca="1" si="399"/>
        <v>#N/A</v>
      </c>
      <c r="AD1202" s="34" t="e">
        <f t="shared" ca="1" si="400"/>
        <v>#N/A</v>
      </c>
      <c r="AE1202" s="33" t="e">
        <f t="shared" ca="1" si="401"/>
        <v>#N/A</v>
      </c>
      <c r="AF1202" s="34" t="e">
        <f t="shared" ca="1" si="393"/>
        <v>#N/A</v>
      </c>
      <c r="AG1202" s="34" t="e">
        <f t="shared" ca="1" si="394"/>
        <v>#N/A</v>
      </c>
      <c r="AH1202" s="34" t="e">
        <f t="shared" ca="1" si="395"/>
        <v>#N/A</v>
      </c>
      <c r="AI1202" s="33" t="e">
        <f t="shared" ca="1" si="402"/>
        <v>#N/A</v>
      </c>
      <c r="AJ1202" s="34" t="e">
        <f t="shared" ca="1" si="403"/>
        <v>#N/A</v>
      </c>
      <c r="AK1202" s="34" t="e">
        <f t="shared" ca="1" si="396"/>
        <v>#N/A</v>
      </c>
      <c r="AL1202" s="34" t="e">
        <f t="shared" ca="1" si="397"/>
        <v>#N/A</v>
      </c>
      <c r="AM1202" s="33" t="e">
        <f t="shared" ca="1" si="404"/>
        <v>#N/A</v>
      </c>
      <c r="AN1202" s="34" t="e">
        <f t="shared" ca="1" si="405"/>
        <v>#N/A</v>
      </c>
    </row>
    <row r="1203" spans="1:40" x14ac:dyDescent="0.3">
      <c r="A1203" s="2">
        <v>45208</v>
      </c>
      <c r="B1203" s="9">
        <v>76.400002000000001</v>
      </c>
      <c r="C1203" s="9">
        <v>114.220001</v>
      </c>
      <c r="D1203" s="9">
        <v>126.949997</v>
      </c>
      <c r="E1203" s="10"/>
      <c r="F1203" s="13">
        <v>1200</v>
      </c>
      <c r="G1203" s="2">
        <v>45208</v>
      </c>
      <c r="H1203" s="14">
        <f t="shared" si="386"/>
        <v>2.250267037235669E-2</v>
      </c>
      <c r="I1203" s="14">
        <f t="shared" si="387"/>
        <v>4.9148509300962397E-3</v>
      </c>
      <c r="J1203" s="14">
        <f t="shared" si="388"/>
        <v>3.3138582214279431E-3</v>
      </c>
      <c r="K1203" s="22">
        <v>1200</v>
      </c>
      <c r="L1203" s="12"/>
      <c r="Q1203" s="15">
        <f t="shared" si="389"/>
        <v>1200</v>
      </c>
      <c r="R1203" s="2">
        <f t="shared" si="385"/>
        <v>45208</v>
      </c>
      <c r="S1203" s="9">
        <f t="shared" ca="1" si="390"/>
        <v>2.250267037235669E-2</v>
      </c>
      <c r="T1203" s="9">
        <f t="shared" ca="1" si="391"/>
        <v>4.9148509300962397E-3</v>
      </c>
      <c r="U1203" s="9">
        <f t="shared" ca="1" si="392"/>
        <v>3.3138582214279431E-3</v>
      </c>
      <c r="AB1203" s="33" t="e">
        <f t="shared" ca="1" si="398"/>
        <v>#N/A</v>
      </c>
      <c r="AC1203" s="34" t="e">
        <f t="shared" ca="1" si="399"/>
        <v>#N/A</v>
      </c>
      <c r="AD1203" s="34" t="e">
        <f t="shared" ca="1" si="400"/>
        <v>#N/A</v>
      </c>
      <c r="AE1203" s="33" t="e">
        <f t="shared" ca="1" si="401"/>
        <v>#N/A</v>
      </c>
      <c r="AF1203" s="34" t="e">
        <f t="shared" ca="1" si="393"/>
        <v>#N/A</v>
      </c>
      <c r="AG1203" s="34" t="e">
        <f t="shared" ca="1" si="394"/>
        <v>#N/A</v>
      </c>
      <c r="AH1203" s="34" t="e">
        <f t="shared" ca="1" si="395"/>
        <v>#N/A</v>
      </c>
      <c r="AI1203" s="33" t="e">
        <f t="shared" ca="1" si="402"/>
        <v>#N/A</v>
      </c>
      <c r="AJ1203" s="34" t="e">
        <f t="shared" ca="1" si="403"/>
        <v>#N/A</v>
      </c>
      <c r="AK1203" s="34" t="e">
        <f t="shared" ca="1" si="396"/>
        <v>#N/A</v>
      </c>
      <c r="AL1203" s="34" t="e">
        <f t="shared" ca="1" si="397"/>
        <v>#N/A</v>
      </c>
      <c r="AM1203" s="33" t="e">
        <f t="shared" ca="1" si="404"/>
        <v>#N/A</v>
      </c>
      <c r="AN1203" s="34" t="e">
        <f t="shared" ca="1" si="405"/>
        <v>#N/A</v>
      </c>
    </row>
    <row r="1204" spans="1:40" x14ac:dyDescent="0.3">
      <c r="A1204" s="2">
        <v>45209</v>
      </c>
      <c r="B1204" s="9">
        <v>76.650002000000001</v>
      </c>
      <c r="C1204" s="9">
        <v>112.230003</v>
      </c>
      <c r="D1204" s="9">
        <v>130.21000699999999</v>
      </c>
      <c r="E1204" s="10"/>
      <c r="F1204" s="13">
        <v>1201</v>
      </c>
      <c r="G1204" s="2">
        <v>45209</v>
      </c>
      <c r="H1204" s="14">
        <f t="shared" si="386"/>
        <v>3.2669090599666776E-3</v>
      </c>
      <c r="I1204" s="14">
        <f t="shared" si="387"/>
        <v>-1.7576058232766176E-2</v>
      </c>
      <c r="J1204" s="14">
        <f t="shared" si="388"/>
        <v>2.5355300980611038E-2</v>
      </c>
      <c r="K1204" s="22">
        <v>1201</v>
      </c>
      <c r="L1204" s="12"/>
      <c r="Q1204" s="15">
        <f t="shared" si="389"/>
        <v>1201</v>
      </c>
      <c r="R1204" s="2">
        <f t="shared" si="385"/>
        <v>45209</v>
      </c>
      <c r="S1204" s="9">
        <f t="shared" ca="1" si="390"/>
        <v>3.2669090599666776E-3</v>
      </c>
      <c r="T1204" s="9">
        <f t="shared" ca="1" si="391"/>
        <v>-1.7576058232766176E-2</v>
      </c>
      <c r="U1204" s="9">
        <f t="shared" ca="1" si="392"/>
        <v>2.5355300980611038E-2</v>
      </c>
      <c r="AB1204" s="33" t="e">
        <f t="shared" ca="1" si="398"/>
        <v>#N/A</v>
      </c>
      <c r="AC1204" s="34" t="e">
        <f t="shared" ca="1" si="399"/>
        <v>#N/A</v>
      </c>
      <c r="AD1204" s="34" t="e">
        <f t="shared" ca="1" si="400"/>
        <v>#N/A</v>
      </c>
      <c r="AE1204" s="33" t="e">
        <f t="shared" ca="1" si="401"/>
        <v>#N/A</v>
      </c>
      <c r="AF1204" s="34" t="e">
        <f t="shared" ca="1" si="393"/>
        <v>#N/A</v>
      </c>
      <c r="AG1204" s="34" t="e">
        <f t="shared" ca="1" si="394"/>
        <v>#N/A</v>
      </c>
      <c r="AH1204" s="34" t="e">
        <f t="shared" ca="1" si="395"/>
        <v>#N/A</v>
      </c>
      <c r="AI1204" s="33" t="e">
        <f t="shared" ca="1" si="402"/>
        <v>#N/A</v>
      </c>
      <c r="AJ1204" s="34" t="e">
        <f t="shared" ca="1" si="403"/>
        <v>#N/A</v>
      </c>
      <c r="AK1204" s="34" t="e">
        <f t="shared" ca="1" si="396"/>
        <v>#N/A</v>
      </c>
      <c r="AL1204" s="34" t="e">
        <f t="shared" ca="1" si="397"/>
        <v>#N/A</v>
      </c>
      <c r="AM1204" s="33" t="e">
        <f t="shared" ca="1" si="404"/>
        <v>#N/A</v>
      </c>
      <c r="AN1204" s="34" t="e">
        <f t="shared" ca="1" si="405"/>
        <v>#N/A</v>
      </c>
    </row>
    <row r="1205" spans="1:40" x14ac:dyDescent="0.3">
      <c r="A1205" s="2">
        <v>45210</v>
      </c>
      <c r="B1205" s="9">
        <v>77</v>
      </c>
      <c r="C1205" s="9">
        <v>111.82</v>
      </c>
      <c r="D1205" s="9">
        <v>129.60000600000001</v>
      </c>
      <c r="E1205" s="10"/>
      <c r="F1205" s="13">
        <v>1202</v>
      </c>
      <c r="G1205" s="2">
        <v>45210</v>
      </c>
      <c r="H1205" s="14">
        <f t="shared" si="386"/>
        <v>4.555790443232211E-3</v>
      </c>
      <c r="I1205" s="14">
        <f t="shared" si="387"/>
        <v>-3.6599281604855127E-3</v>
      </c>
      <c r="J1205" s="14">
        <f t="shared" si="388"/>
        <v>-4.6957552854777216E-3</v>
      </c>
      <c r="K1205" s="22">
        <v>1202</v>
      </c>
      <c r="L1205" s="12"/>
      <c r="Q1205" s="15">
        <f t="shared" si="389"/>
        <v>1202</v>
      </c>
      <c r="R1205" s="2">
        <f t="shared" si="385"/>
        <v>45210</v>
      </c>
      <c r="S1205" s="9">
        <f t="shared" ca="1" si="390"/>
        <v>4.555790443232211E-3</v>
      </c>
      <c r="T1205" s="9">
        <f t="shared" ca="1" si="391"/>
        <v>-3.6599281604855127E-3</v>
      </c>
      <c r="U1205" s="9">
        <f t="shared" ca="1" si="392"/>
        <v>-4.6957552854777216E-3</v>
      </c>
      <c r="AB1205" s="33" t="e">
        <f t="shared" ca="1" si="398"/>
        <v>#N/A</v>
      </c>
      <c r="AC1205" s="34" t="e">
        <f t="shared" ca="1" si="399"/>
        <v>#N/A</v>
      </c>
      <c r="AD1205" s="34" t="e">
        <f t="shared" ca="1" si="400"/>
        <v>#N/A</v>
      </c>
      <c r="AE1205" s="33" t="e">
        <f t="shared" ca="1" si="401"/>
        <v>#N/A</v>
      </c>
      <c r="AF1205" s="34" t="e">
        <f t="shared" ca="1" si="393"/>
        <v>#N/A</v>
      </c>
      <c r="AG1205" s="34" t="e">
        <f t="shared" ca="1" si="394"/>
        <v>#N/A</v>
      </c>
      <c r="AH1205" s="34" t="e">
        <f t="shared" ca="1" si="395"/>
        <v>#N/A</v>
      </c>
      <c r="AI1205" s="33" t="e">
        <f t="shared" ca="1" si="402"/>
        <v>#N/A</v>
      </c>
      <c r="AJ1205" s="34" t="e">
        <f t="shared" ca="1" si="403"/>
        <v>#N/A</v>
      </c>
      <c r="AK1205" s="34" t="e">
        <f t="shared" ca="1" si="396"/>
        <v>#N/A</v>
      </c>
      <c r="AL1205" s="34" t="e">
        <f t="shared" ca="1" si="397"/>
        <v>#N/A</v>
      </c>
      <c r="AM1205" s="33" t="e">
        <f t="shared" ca="1" si="404"/>
        <v>#N/A</v>
      </c>
      <c r="AN1205" s="34" t="e">
        <f t="shared" ca="1" si="405"/>
        <v>#N/A</v>
      </c>
    </row>
    <row r="1206" spans="1:40" x14ac:dyDescent="0.3">
      <c r="A1206" s="2">
        <v>45211</v>
      </c>
      <c r="B1206" s="9">
        <v>77.099997999999999</v>
      </c>
      <c r="C1206" s="9">
        <v>109.80999799999999</v>
      </c>
      <c r="D1206" s="9">
        <v>126.230003</v>
      </c>
      <c r="E1206" s="10"/>
      <c r="F1206" s="13">
        <v>1203</v>
      </c>
      <c r="G1206" s="2">
        <v>45211</v>
      </c>
      <c r="H1206" s="14">
        <f t="shared" si="386"/>
        <v>1.2978327752623845E-3</v>
      </c>
      <c r="I1206" s="14">
        <f t="shared" si="387"/>
        <v>-1.8138854202155004E-2</v>
      </c>
      <c r="J1206" s="14">
        <f t="shared" si="388"/>
        <v>-2.6347166683558482E-2</v>
      </c>
      <c r="K1206" s="22">
        <v>1203</v>
      </c>
      <c r="L1206" s="12"/>
      <c r="Q1206" s="15">
        <f t="shared" si="389"/>
        <v>1203</v>
      </c>
      <c r="R1206" s="2">
        <f t="shared" si="385"/>
        <v>45211</v>
      </c>
      <c r="S1206" s="9">
        <f t="shared" ca="1" si="390"/>
        <v>1.2978327752623845E-3</v>
      </c>
      <c r="T1206" s="9">
        <f t="shared" ca="1" si="391"/>
        <v>-1.8138854202155004E-2</v>
      </c>
      <c r="U1206" s="9">
        <f t="shared" ca="1" si="392"/>
        <v>-2.6347166683558482E-2</v>
      </c>
      <c r="AB1206" s="33" t="e">
        <f t="shared" ca="1" si="398"/>
        <v>#N/A</v>
      </c>
      <c r="AC1206" s="34" t="e">
        <f t="shared" ca="1" si="399"/>
        <v>#N/A</v>
      </c>
      <c r="AD1206" s="34" t="e">
        <f t="shared" ca="1" si="400"/>
        <v>#N/A</v>
      </c>
      <c r="AE1206" s="33" t="e">
        <f t="shared" ca="1" si="401"/>
        <v>#N/A</v>
      </c>
      <c r="AF1206" s="34" t="e">
        <f t="shared" ca="1" si="393"/>
        <v>#N/A</v>
      </c>
      <c r="AG1206" s="34" t="e">
        <f t="shared" ca="1" si="394"/>
        <v>#N/A</v>
      </c>
      <c r="AH1206" s="34" t="e">
        <f t="shared" ca="1" si="395"/>
        <v>#N/A</v>
      </c>
      <c r="AI1206" s="33" t="e">
        <f t="shared" ca="1" si="402"/>
        <v>#N/A</v>
      </c>
      <c r="AJ1206" s="34" t="e">
        <f t="shared" ca="1" si="403"/>
        <v>#N/A</v>
      </c>
      <c r="AK1206" s="34" t="e">
        <f t="shared" ca="1" si="396"/>
        <v>#N/A</v>
      </c>
      <c r="AL1206" s="34" t="e">
        <f t="shared" ca="1" si="397"/>
        <v>#N/A</v>
      </c>
      <c r="AM1206" s="33" t="e">
        <f t="shared" ca="1" si="404"/>
        <v>#N/A</v>
      </c>
      <c r="AN1206" s="34" t="e">
        <f t="shared" ca="1" si="405"/>
        <v>#N/A</v>
      </c>
    </row>
    <row r="1207" spans="1:40" x14ac:dyDescent="0.3">
      <c r="A1207" s="2">
        <v>45212</v>
      </c>
      <c r="B1207" s="9">
        <v>75.699996999999996</v>
      </c>
      <c r="C1207" s="9">
        <v>109.57</v>
      </c>
      <c r="D1207" s="9">
        <v>126.050003</v>
      </c>
      <c r="E1207" s="10"/>
      <c r="F1207" s="13">
        <v>1204</v>
      </c>
      <c r="G1207" s="2">
        <v>45212</v>
      </c>
      <c r="H1207" s="14">
        <f t="shared" si="386"/>
        <v>-1.8325133815662857E-2</v>
      </c>
      <c r="I1207" s="14">
        <f t="shared" si="387"/>
        <v>-2.187966979042358E-3</v>
      </c>
      <c r="J1207" s="14">
        <f t="shared" si="388"/>
        <v>-1.4269860969032297E-3</v>
      </c>
      <c r="K1207" s="22">
        <v>1204</v>
      </c>
      <c r="L1207" s="12"/>
      <c r="Q1207" s="15">
        <f t="shared" si="389"/>
        <v>1204</v>
      </c>
      <c r="R1207" s="2">
        <f t="shared" si="385"/>
        <v>45212</v>
      </c>
      <c r="S1207" s="9">
        <f t="shared" ca="1" si="390"/>
        <v>-1.8325133815662857E-2</v>
      </c>
      <c r="T1207" s="9">
        <f t="shared" ca="1" si="391"/>
        <v>-2.187966979042358E-3</v>
      </c>
      <c r="U1207" s="9">
        <f t="shared" ca="1" si="392"/>
        <v>-1.4269860969032297E-3</v>
      </c>
      <c r="AB1207" s="33" t="e">
        <f t="shared" ca="1" si="398"/>
        <v>#N/A</v>
      </c>
      <c r="AC1207" s="34" t="e">
        <f t="shared" ca="1" si="399"/>
        <v>#N/A</v>
      </c>
      <c r="AD1207" s="34" t="e">
        <f t="shared" ca="1" si="400"/>
        <v>#N/A</v>
      </c>
      <c r="AE1207" s="33" t="e">
        <f t="shared" ca="1" si="401"/>
        <v>#N/A</v>
      </c>
      <c r="AF1207" s="34" t="e">
        <f t="shared" ca="1" si="393"/>
        <v>#N/A</v>
      </c>
      <c r="AG1207" s="34" t="e">
        <f t="shared" ca="1" si="394"/>
        <v>#N/A</v>
      </c>
      <c r="AH1207" s="34" t="e">
        <f t="shared" ca="1" si="395"/>
        <v>#N/A</v>
      </c>
      <c r="AI1207" s="33" t="e">
        <f t="shared" ca="1" si="402"/>
        <v>#N/A</v>
      </c>
      <c r="AJ1207" s="34" t="e">
        <f t="shared" ca="1" si="403"/>
        <v>#N/A</v>
      </c>
      <c r="AK1207" s="34" t="e">
        <f t="shared" ca="1" si="396"/>
        <v>#N/A</v>
      </c>
      <c r="AL1207" s="34" t="e">
        <f t="shared" ca="1" si="397"/>
        <v>#N/A</v>
      </c>
      <c r="AM1207" s="33" t="e">
        <f t="shared" ca="1" si="404"/>
        <v>#N/A</v>
      </c>
      <c r="AN1207" s="34" t="e">
        <f t="shared" ca="1" si="405"/>
        <v>#N/A</v>
      </c>
    </row>
    <row r="1208" spans="1:40" x14ac:dyDescent="0.3">
      <c r="A1208" s="2">
        <v>45215</v>
      </c>
      <c r="B1208" s="9">
        <v>76.370002999999997</v>
      </c>
      <c r="C1208" s="9">
        <v>111.83000199999999</v>
      </c>
      <c r="D1208" s="9">
        <v>129.199997</v>
      </c>
      <c r="E1208" s="10"/>
      <c r="F1208" s="13">
        <v>1205</v>
      </c>
      <c r="G1208" s="2">
        <v>45215</v>
      </c>
      <c r="H1208" s="14">
        <f t="shared" si="386"/>
        <v>8.8118673694493957E-3</v>
      </c>
      <c r="I1208" s="14">
        <f t="shared" si="387"/>
        <v>2.0416264507083434E-2</v>
      </c>
      <c r="J1208" s="14">
        <f t="shared" si="388"/>
        <v>2.4682890694678928E-2</v>
      </c>
      <c r="K1208" s="22">
        <v>1205</v>
      </c>
      <c r="L1208" s="12"/>
      <c r="Q1208" s="15">
        <f t="shared" si="389"/>
        <v>1205</v>
      </c>
      <c r="R1208" s="2">
        <f t="shared" si="385"/>
        <v>45215</v>
      </c>
      <c r="S1208" s="9">
        <f t="shared" ca="1" si="390"/>
        <v>8.8118673694493957E-3</v>
      </c>
      <c r="T1208" s="9">
        <f t="shared" ca="1" si="391"/>
        <v>2.0416264507083434E-2</v>
      </c>
      <c r="U1208" s="9">
        <f t="shared" ca="1" si="392"/>
        <v>2.4682890694678928E-2</v>
      </c>
      <c r="AB1208" s="33" t="e">
        <f t="shared" ca="1" si="398"/>
        <v>#N/A</v>
      </c>
      <c r="AC1208" s="34" t="e">
        <f t="shared" ca="1" si="399"/>
        <v>#N/A</v>
      </c>
      <c r="AD1208" s="34" t="e">
        <f t="shared" ca="1" si="400"/>
        <v>#N/A</v>
      </c>
      <c r="AE1208" s="33" t="e">
        <f t="shared" ca="1" si="401"/>
        <v>#N/A</v>
      </c>
      <c r="AF1208" s="34" t="e">
        <f t="shared" ca="1" si="393"/>
        <v>#N/A</v>
      </c>
      <c r="AG1208" s="34" t="e">
        <f t="shared" ca="1" si="394"/>
        <v>#N/A</v>
      </c>
      <c r="AH1208" s="34" t="e">
        <f t="shared" ca="1" si="395"/>
        <v>#N/A</v>
      </c>
      <c r="AI1208" s="33" t="e">
        <f t="shared" ca="1" si="402"/>
        <v>#N/A</v>
      </c>
      <c r="AJ1208" s="34" t="e">
        <f t="shared" ca="1" si="403"/>
        <v>#N/A</v>
      </c>
      <c r="AK1208" s="34" t="e">
        <f t="shared" ca="1" si="396"/>
        <v>#N/A</v>
      </c>
      <c r="AL1208" s="34" t="e">
        <f t="shared" ca="1" si="397"/>
        <v>#N/A</v>
      </c>
      <c r="AM1208" s="33" t="e">
        <f t="shared" ca="1" si="404"/>
        <v>#N/A</v>
      </c>
      <c r="AN1208" s="34" t="e">
        <f t="shared" ca="1" si="405"/>
        <v>#N/A</v>
      </c>
    </row>
    <row r="1209" spans="1:40" x14ac:dyDescent="0.3">
      <c r="A1209" s="2">
        <v>45216</v>
      </c>
      <c r="B1209" s="9">
        <v>76.970000999999996</v>
      </c>
      <c r="C1209" s="9">
        <v>116.07</v>
      </c>
      <c r="D1209" s="9">
        <v>130.720001</v>
      </c>
      <c r="E1209" s="10"/>
      <c r="F1209" s="13">
        <v>1206</v>
      </c>
      <c r="G1209" s="2">
        <v>45216</v>
      </c>
      <c r="H1209" s="14">
        <f t="shared" si="386"/>
        <v>7.8257603555680795E-3</v>
      </c>
      <c r="I1209" s="14">
        <f t="shared" si="387"/>
        <v>3.721357845614575E-2</v>
      </c>
      <c r="J1209" s="14">
        <f t="shared" si="388"/>
        <v>1.1696070632944542E-2</v>
      </c>
      <c r="K1209" s="22">
        <v>1206</v>
      </c>
      <c r="L1209" s="12"/>
      <c r="Q1209" s="15">
        <f t="shared" si="389"/>
        <v>1206</v>
      </c>
      <c r="R1209" s="2">
        <f t="shared" si="385"/>
        <v>45216</v>
      </c>
      <c r="S1209" s="9">
        <f t="shared" ca="1" si="390"/>
        <v>7.8257603555680795E-3</v>
      </c>
      <c r="T1209" s="9">
        <f t="shared" ca="1" si="391"/>
        <v>3.721357845614575E-2</v>
      </c>
      <c r="U1209" s="9">
        <f t="shared" ca="1" si="392"/>
        <v>1.1696070632944542E-2</v>
      </c>
      <c r="AB1209" s="33" t="e">
        <f t="shared" ca="1" si="398"/>
        <v>#N/A</v>
      </c>
      <c r="AC1209" s="34" t="e">
        <f t="shared" ca="1" si="399"/>
        <v>#N/A</v>
      </c>
      <c r="AD1209" s="34" t="e">
        <f t="shared" ca="1" si="400"/>
        <v>#N/A</v>
      </c>
      <c r="AE1209" s="33" t="e">
        <f t="shared" ca="1" si="401"/>
        <v>#N/A</v>
      </c>
      <c r="AF1209" s="34" t="e">
        <f t="shared" ca="1" si="393"/>
        <v>#N/A</v>
      </c>
      <c r="AG1209" s="34" t="e">
        <f t="shared" ca="1" si="394"/>
        <v>#N/A</v>
      </c>
      <c r="AH1209" s="34" t="e">
        <f t="shared" ca="1" si="395"/>
        <v>#N/A</v>
      </c>
      <c r="AI1209" s="33" t="e">
        <f t="shared" ca="1" si="402"/>
        <v>#N/A</v>
      </c>
      <c r="AJ1209" s="34" t="e">
        <f t="shared" ca="1" si="403"/>
        <v>#N/A</v>
      </c>
      <c r="AK1209" s="34" t="e">
        <f t="shared" ca="1" si="396"/>
        <v>#N/A</v>
      </c>
      <c r="AL1209" s="34" t="e">
        <f t="shared" ca="1" si="397"/>
        <v>#N/A</v>
      </c>
      <c r="AM1209" s="33" t="e">
        <f t="shared" ca="1" si="404"/>
        <v>#N/A</v>
      </c>
      <c r="AN1209" s="34" t="e">
        <f t="shared" ca="1" si="405"/>
        <v>#N/A</v>
      </c>
    </row>
    <row r="1210" spans="1:40" x14ac:dyDescent="0.3">
      <c r="A1210" s="2">
        <v>45217</v>
      </c>
      <c r="B1210" s="9">
        <v>75.550003000000004</v>
      </c>
      <c r="C1210" s="9">
        <v>116.30999799999999</v>
      </c>
      <c r="D1210" s="9">
        <v>134.029999</v>
      </c>
      <c r="E1210" s="10"/>
      <c r="F1210" s="13">
        <v>1207</v>
      </c>
      <c r="G1210" s="2">
        <v>45217</v>
      </c>
      <c r="H1210" s="14">
        <f t="shared" si="386"/>
        <v>-1.8621020110750786E-2</v>
      </c>
      <c r="I1210" s="14">
        <f t="shared" si="387"/>
        <v>2.0655657749900163E-3</v>
      </c>
      <c r="J1210" s="14">
        <f t="shared" si="388"/>
        <v>2.5006009267757513E-2</v>
      </c>
      <c r="K1210" s="22">
        <v>1207</v>
      </c>
      <c r="L1210" s="12"/>
      <c r="Q1210" s="15">
        <f t="shared" si="389"/>
        <v>1207</v>
      </c>
      <c r="R1210" s="2">
        <f t="shared" si="385"/>
        <v>45217</v>
      </c>
      <c r="S1210" s="9">
        <f t="shared" ca="1" si="390"/>
        <v>-1.8621020110750786E-2</v>
      </c>
      <c r="T1210" s="9">
        <f t="shared" ca="1" si="391"/>
        <v>2.0655657749900163E-3</v>
      </c>
      <c r="U1210" s="9">
        <f t="shared" ca="1" si="392"/>
        <v>2.5006009267757513E-2</v>
      </c>
      <c r="AB1210" s="33" t="e">
        <f t="shared" ca="1" si="398"/>
        <v>#N/A</v>
      </c>
      <c r="AC1210" s="34" t="e">
        <f t="shared" ca="1" si="399"/>
        <v>#N/A</v>
      </c>
      <c r="AD1210" s="34" t="e">
        <f t="shared" ca="1" si="400"/>
        <v>#N/A</v>
      </c>
      <c r="AE1210" s="33" t="e">
        <f t="shared" ca="1" si="401"/>
        <v>#N/A</v>
      </c>
      <c r="AF1210" s="34" t="e">
        <f t="shared" ca="1" si="393"/>
        <v>#N/A</v>
      </c>
      <c r="AG1210" s="34" t="e">
        <f t="shared" ca="1" si="394"/>
        <v>#N/A</v>
      </c>
      <c r="AH1210" s="34" t="e">
        <f t="shared" ca="1" si="395"/>
        <v>#N/A</v>
      </c>
      <c r="AI1210" s="33" t="e">
        <f t="shared" ca="1" si="402"/>
        <v>#N/A</v>
      </c>
      <c r="AJ1210" s="34" t="e">
        <f t="shared" ca="1" si="403"/>
        <v>#N/A</v>
      </c>
      <c r="AK1210" s="34" t="e">
        <f t="shared" ca="1" si="396"/>
        <v>#N/A</v>
      </c>
      <c r="AL1210" s="34" t="e">
        <f t="shared" ca="1" si="397"/>
        <v>#N/A</v>
      </c>
      <c r="AM1210" s="33" t="e">
        <f t="shared" ca="1" si="404"/>
        <v>#N/A</v>
      </c>
      <c r="AN1210" s="34" t="e">
        <f t="shared" ca="1" si="405"/>
        <v>#N/A</v>
      </c>
    </row>
    <row r="1211" spans="1:40" x14ac:dyDescent="0.3">
      <c r="A1211" s="2">
        <v>45218</v>
      </c>
      <c r="B1211" s="9">
        <v>74.470000999999996</v>
      </c>
      <c r="C1211" s="9">
        <v>117.050003</v>
      </c>
      <c r="D1211" s="9">
        <v>132.41999799999999</v>
      </c>
      <c r="E1211" s="10"/>
      <c r="F1211" s="13">
        <v>1208</v>
      </c>
      <c r="G1211" s="2">
        <v>45218</v>
      </c>
      <c r="H1211" s="14">
        <f t="shared" si="386"/>
        <v>-1.4398355276769789E-2</v>
      </c>
      <c r="I1211" s="14">
        <f t="shared" si="387"/>
        <v>6.342196411470896E-3</v>
      </c>
      <c r="J1211" s="14">
        <f t="shared" si="388"/>
        <v>-1.208497363614796E-2</v>
      </c>
      <c r="K1211" s="22">
        <v>1208</v>
      </c>
      <c r="L1211" s="12"/>
      <c r="Q1211" s="15">
        <f t="shared" si="389"/>
        <v>1208</v>
      </c>
      <c r="R1211" s="2">
        <f t="shared" si="385"/>
        <v>45218</v>
      </c>
      <c r="S1211" s="9">
        <f t="shared" ca="1" si="390"/>
        <v>-1.4398355276769789E-2</v>
      </c>
      <c r="T1211" s="9">
        <f t="shared" ca="1" si="391"/>
        <v>6.342196411470896E-3</v>
      </c>
      <c r="U1211" s="9">
        <f t="shared" ca="1" si="392"/>
        <v>-1.208497363614796E-2</v>
      </c>
      <c r="AB1211" s="33" t="e">
        <f t="shared" ca="1" si="398"/>
        <v>#N/A</v>
      </c>
      <c r="AC1211" s="34" t="e">
        <f t="shared" ca="1" si="399"/>
        <v>#N/A</v>
      </c>
      <c r="AD1211" s="34" t="e">
        <f t="shared" ca="1" si="400"/>
        <v>#N/A</v>
      </c>
      <c r="AE1211" s="33" t="e">
        <f t="shared" ca="1" si="401"/>
        <v>#N/A</v>
      </c>
      <c r="AF1211" s="34" t="e">
        <f t="shared" ca="1" si="393"/>
        <v>#N/A</v>
      </c>
      <c r="AG1211" s="34" t="e">
        <f t="shared" ca="1" si="394"/>
        <v>#N/A</v>
      </c>
      <c r="AH1211" s="34" t="e">
        <f t="shared" ca="1" si="395"/>
        <v>#N/A</v>
      </c>
      <c r="AI1211" s="33" t="e">
        <f t="shared" ca="1" si="402"/>
        <v>#N/A</v>
      </c>
      <c r="AJ1211" s="34" t="e">
        <f t="shared" ca="1" si="403"/>
        <v>#N/A</v>
      </c>
      <c r="AK1211" s="34" t="e">
        <f t="shared" ca="1" si="396"/>
        <v>#N/A</v>
      </c>
      <c r="AL1211" s="34" t="e">
        <f t="shared" ca="1" si="397"/>
        <v>#N/A</v>
      </c>
      <c r="AM1211" s="33" t="e">
        <f t="shared" ca="1" si="404"/>
        <v>#N/A</v>
      </c>
      <c r="AN1211" s="34" t="e">
        <f t="shared" ca="1" si="405"/>
        <v>#N/A</v>
      </c>
    </row>
    <row r="1212" spans="1:40" x14ac:dyDescent="0.3">
      <c r="A1212" s="2">
        <v>45219</v>
      </c>
      <c r="B1212" s="9">
        <v>73.660004000000001</v>
      </c>
      <c r="C1212" s="9">
        <v>115.790001</v>
      </c>
      <c r="D1212" s="9">
        <v>131.179993</v>
      </c>
      <c r="E1212" s="10"/>
      <c r="F1212" s="13">
        <v>1209</v>
      </c>
      <c r="G1212" s="2">
        <v>45219</v>
      </c>
      <c r="H1212" s="14">
        <f t="shared" si="386"/>
        <v>-1.0936407830305502E-2</v>
      </c>
      <c r="I1212" s="14">
        <f t="shared" si="387"/>
        <v>-1.0823005306486029E-2</v>
      </c>
      <c r="J1212" s="14">
        <f t="shared" si="388"/>
        <v>-9.4083018894461808E-3</v>
      </c>
      <c r="K1212" s="22">
        <v>1209</v>
      </c>
      <c r="L1212" s="12"/>
      <c r="Q1212" s="15">
        <f t="shared" si="389"/>
        <v>1209</v>
      </c>
      <c r="R1212" s="2">
        <f t="shared" si="385"/>
        <v>45219</v>
      </c>
      <c r="S1212" s="9">
        <f t="shared" ca="1" si="390"/>
        <v>-1.0936407830305502E-2</v>
      </c>
      <c r="T1212" s="9">
        <f t="shared" ca="1" si="391"/>
        <v>-1.0823005306486029E-2</v>
      </c>
      <c r="U1212" s="9">
        <f t="shared" ca="1" si="392"/>
        <v>-9.4083018894461808E-3</v>
      </c>
      <c r="AB1212" s="33" t="e">
        <f t="shared" ca="1" si="398"/>
        <v>#N/A</v>
      </c>
      <c r="AC1212" s="34" t="e">
        <f t="shared" ca="1" si="399"/>
        <v>#N/A</v>
      </c>
      <c r="AD1212" s="34" t="e">
        <f t="shared" ca="1" si="400"/>
        <v>#N/A</v>
      </c>
      <c r="AE1212" s="33" t="e">
        <f t="shared" ca="1" si="401"/>
        <v>#N/A</v>
      </c>
      <c r="AF1212" s="34" t="e">
        <f t="shared" ca="1" si="393"/>
        <v>#N/A</v>
      </c>
      <c r="AG1212" s="34" t="e">
        <f t="shared" ca="1" si="394"/>
        <v>#N/A</v>
      </c>
      <c r="AH1212" s="34" t="e">
        <f t="shared" ca="1" si="395"/>
        <v>#N/A</v>
      </c>
      <c r="AI1212" s="33" t="e">
        <f t="shared" ca="1" si="402"/>
        <v>#N/A</v>
      </c>
      <c r="AJ1212" s="34" t="e">
        <f t="shared" ca="1" si="403"/>
        <v>#N/A</v>
      </c>
      <c r="AK1212" s="34" t="e">
        <f t="shared" ca="1" si="396"/>
        <v>#N/A</v>
      </c>
      <c r="AL1212" s="34" t="e">
        <f t="shared" ca="1" si="397"/>
        <v>#N/A</v>
      </c>
      <c r="AM1212" s="33" t="e">
        <f t="shared" ca="1" si="404"/>
        <v>#N/A</v>
      </c>
      <c r="AN1212" s="34" t="e">
        <f t="shared" ca="1" si="405"/>
        <v>#N/A</v>
      </c>
    </row>
    <row r="1213" spans="1:40" x14ac:dyDescent="0.3">
      <c r="A1213" s="2">
        <v>45222</v>
      </c>
      <c r="B1213" s="9">
        <v>72.459998999999996</v>
      </c>
      <c r="C1213" s="9">
        <v>116.05999799999999</v>
      </c>
      <c r="D1213" s="9">
        <v>130.729996</v>
      </c>
      <c r="E1213" s="10"/>
      <c r="F1213" s="13">
        <v>1210</v>
      </c>
      <c r="G1213" s="2">
        <v>45222</v>
      </c>
      <c r="H1213" s="14">
        <f t="shared" si="386"/>
        <v>-1.6425293654261302E-2</v>
      </c>
      <c r="I1213" s="14">
        <f t="shared" si="387"/>
        <v>2.3290672694899523E-3</v>
      </c>
      <c r="J1213" s="14">
        <f t="shared" si="388"/>
        <v>-3.4362755274413501E-3</v>
      </c>
      <c r="K1213" s="22">
        <v>1210</v>
      </c>
      <c r="L1213" s="12"/>
      <c r="Q1213" s="15">
        <f t="shared" si="389"/>
        <v>1210</v>
      </c>
      <c r="R1213" s="2">
        <f t="shared" si="385"/>
        <v>45222</v>
      </c>
      <c r="S1213" s="9">
        <f t="shared" ca="1" si="390"/>
        <v>-1.6425293654261302E-2</v>
      </c>
      <c r="T1213" s="9">
        <f t="shared" ca="1" si="391"/>
        <v>2.3290672694899523E-3</v>
      </c>
      <c r="U1213" s="9">
        <f t="shared" ca="1" si="392"/>
        <v>-3.4362755274413501E-3</v>
      </c>
      <c r="AB1213" s="33" t="e">
        <f t="shared" ca="1" si="398"/>
        <v>#N/A</v>
      </c>
      <c r="AC1213" s="34" t="e">
        <f t="shared" ca="1" si="399"/>
        <v>#N/A</v>
      </c>
      <c r="AD1213" s="34" t="e">
        <f t="shared" ca="1" si="400"/>
        <v>#N/A</v>
      </c>
      <c r="AE1213" s="33" t="e">
        <f t="shared" ca="1" si="401"/>
        <v>#N/A</v>
      </c>
      <c r="AF1213" s="34" t="e">
        <f t="shared" ca="1" si="393"/>
        <v>#N/A</v>
      </c>
      <c r="AG1213" s="34" t="e">
        <f t="shared" ca="1" si="394"/>
        <v>#N/A</v>
      </c>
      <c r="AH1213" s="34" t="e">
        <f t="shared" ca="1" si="395"/>
        <v>#N/A</v>
      </c>
      <c r="AI1213" s="33" t="e">
        <f t="shared" ca="1" si="402"/>
        <v>#N/A</v>
      </c>
      <c r="AJ1213" s="34" t="e">
        <f t="shared" ca="1" si="403"/>
        <v>#N/A</v>
      </c>
      <c r="AK1213" s="34" t="e">
        <f t="shared" ca="1" si="396"/>
        <v>#N/A</v>
      </c>
      <c r="AL1213" s="34" t="e">
        <f t="shared" ca="1" si="397"/>
        <v>#N/A</v>
      </c>
      <c r="AM1213" s="33" t="e">
        <f t="shared" ca="1" si="404"/>
        <v>#N/A</v>
      </c>
      <c r="AN1213" s="34" t="e">
        <f t="shared" ca="1" si="405"/>
        <v>#N/A</v>
      </c>
    </row>
    <row r="1214" spans="1:40" x14ac:dyDescent="0.3">
      <c r="A1214" s="2">
        <v>45223</v>
      </c>
      <c r="B1214" s="9">
        <v>72.129997000000003</v>
      </c>
      <c r="C1214" s="9">
        <v>116.68</v>
      </c>
      <c r="D1214" s="9">
        <v>128.800003</v>
      </c>
      <c r="E1214" s="10"/>
      <c r="F1214" s="13">
        <v>1211</v>
      </c>
      <c r="G1214" s="2">
        <v>45223</v>
      </c>
      <c r="H1214" s="14">
        <f t="shared" si="386"/>
        <v>-4.5646667422037128E-3</v>
      </c>
      <c r="I1214" s="14">
        <f t="shared" si="387"/>
        <v>5.3278634695246583E-3</v>
      </c>
      <c r="J1214" s="14">
        <f t="shared" si="388"/>
        <v>-1.4873260014175209E-2</v>
      </c>
      <c r="K1214" s="22">
        <v>1211</v>
      </c>
      <c r="L1214" s="12"/>
      <c r="Q1214" s="15">
        <f t="shared" si="389"/>
        <v>1211</v>
      </c>
      <c r="R1214" s="2">
        <f t="shared" si="385"/>
        <v>45223</v>
      </c>
      <c r="S1214" s="9">
        <f t="shared" ca="1" si="390"/>
        <v>-4.5646667422037128E-3</v>
      </c>
      <c r="T1214" s="9">
        <f t="shared" ca="1" si="391"/>
        <v>5.3278634695246583E-3</v>
      </c>
      <c r="U1214" s="9">
        <f t="shared" ca="1" si="392"/>
        <v>-1.4873260014175209E-2</v>
      </c>
      <c r="AB1214" s="33" t="e">
        <f t="shared" ca="1" si="398"/>
        <v>#N/A</v>
      </c>
      <c r="AC1214" s="34" t="e">
        <f t="shared" ca="1" si="399"/>
        <v>#N/A</v>
      </c>
      <c r="AD1214" s="34" t="e">
        <f t="shared" ca="1" si="400"/>
        <v>#N/A</v>
      </c>
      <c r="AE1214" s="33" t="e">
        <f t="shared" ca="1" si="401"/>
        <v>#N/A</v>
      </c>
      <c r="AF1214" s="34" t="e">
        <f t="shared" ca="1" si="393"/>
        <v>#N/A</v>
      </c>
      <c r="AG1214" s="34" t="e">
        <f t="shared" ca="1" si="394"/>
        <v>#N/A</v>
      </c>
      <c r="AH1214" s="34" t="e">
        <f t="shared" ca="1" si="395"/>
        <v>#N/A</v>
      </c>
      <c r="AI1214" s="33" t="e">
        <f t="shared" ca="1" si="402"/>
        <v>#N/A</v>
      </c>
      <c r="AJ1214" s="34" t="e">
        <f t="shared" ca="1" si="403"/>
        <v>#N/A</v>
      </c>
      <c r="AK1214" s="34" t="e">
        <f t="shared" ca="1" si="396"/>
        <v>#N/A</v>
      </c>
      <c r="AL1214" s="34" t="e">
        <f t="shared" ca="1" si="397"/>
        <v>#N/A</v>
      </c>
      <c r="AM1214" s="33" t="e">
        <f t="shared" ca="1" si="404"/>
        <v>#N/A</v>
      </c>
      <c r="AN1214" s="34" t="e">
        <f t="shared" ca="1" si="405"/>
        <v>#N/A</v>
      </c>
    </row>
    <row r="1215" spans="1:40" x14ac:dyDescent="0.3">
      <c r="A1215" s="2">
        <v>45224</v>
      </c>
      <c r="B1215" s="9">
        <v>73.559997999999993</v>
      </c>
      <c r="C1215" s="9">
        <v>114.150002</v>
      </c>
      <c r="D1215" s="9">
        <v>126.860001</v>
      </c>
      <c r="E1215" s="10"/>
      <c r="F1215" s="13">
        <v>1212</v>
      </c>
      <c r="G1215" s="2">
        <v>45224</v>
      </c>
      <c r="H1215" s="14">
        <f t="shared" si="386"/>
        <v>1.9631367623420642E-2</v>
      </c>
      <c r="I1215" s="14">
        <f t="shared" si="387"/>
        <v>-2.1921754502910378E-2</v>
      </c>
      <c r="J1215" s="14">
        <f t="shared" si="388"/>
        <v>-1.5176712873722053E-2</v>
      </c>
      <c r="K1215" s="22">
        <v>1212</v>
      </c>
      <c r="L1215" s="12"/>
      <c r="Q1215" s="15">
        <f t="shared" si="389"/>
        <v>1212</v>
      </c>
      <c r="R1215" s="2">
        <f t="shared" si="385"/>
        <v>45224</v>
      </c>
      <c r="S1215" s="9">
        <f t="shared" ca="1" si="390"/>
        <v>1.9631367623420642E-2</v>
      </c>
      <c r="T1215" s="9">
        <f t="shared" ca="1" si="391"/>
        <v>-2.1921754502910378E-2</v>
      </c>
      <c r="U1215" s="9">
        <f t="shared" ca="1" si="392"/>
        <v>-1.5176712873722053E-2</v>
      </c>
      <c r="AB1215" s="33" t="e">
        <f t="shared" ca="1" si="398"/>
        <v>#N/A</v>
      </c>
      <c r="AC1215" s="34" t="e">
        <f t="shared" ca="1" si="399"/>
        <v>#N/A</v>
      </c>
      <c r="AD1215" s="34" t="e">
        <f t="shared" ca="1" si="400"/>
        <v>#N/A</v>
      </c>
      <c r="AE1215" s="33" t="e">
        <f t="shared" ca="1" si="401"/>
        <v>#N/A</v>
      </c>
      <c r="AF1215" s="34" t="e">
        <f t="shared" ca="1" si="393"/>
        <v>#N/A</v>
      </c>
      <c r="AG1215" s="34" t="e">
        <f t="shared" ca="1" si="394"/>
        <v>#N/A</v>
      </c>
      <c r="AH1215" s="34" t="e">
        <f t="shared" ca="1" si="395"/>
        <v>#N/A</v>
      </c>
      <c r="AI1215" s="33" t="e">
        <f t="shared" ca="1" si="402"/>
        <v>#N/A</v>
      </c>
      <c r="AJ1215" s="34" t="e">
        <f t="shared" ca="1" si="403"/>
        <v>#N/A</v>
      </c>
      <c r="AK1215" s="34" t="e">
        <f t="shared" ca="1" si="396"/>
        <v>#N/A</v>
      </c>
      <c r="AL1215" s="34" t="e">
        <f t="shared" ca="1" si="397"/>
        <v>#N/A</v>
      </c>
      <c r="AM1215" s="33" t="e">
        <f t="shared" ca="1" si="404"/>
        <v>#N/A</v>
      </c>
      <c r="AN1215" s="34" t="e">
        <f t="shared" ca="1" si="405"/>
        <v>#N/A</v>
      </c>
    </row>
    <row r="1216" spans="1:40" x14ac:dyDescent="0.3">
      <c r="A1216" s="2">
        <v>45225</v>
      </c>
      <c r="B1216" s="9">
        <v>73.300003000000004</v>
      </c>
      <c r="C1216" s="9">
        <v>113.269997</v>
      </c>
      <c r="D1216" s="9">
        <v>125.360001</v>
      </c>
      <c r="E1216" s="10"/>
      <c r="F1216" s="13">
        <v>1213</v>
      </c>
      <c r="G1216" s="2">
        <v>45225</v>
      </c>
      <c r="H1216" s="14">
        <f t="shared" si="386"/>
        <v>-3.5407227271309237E-3</v>
      </c>
      <c r="I1216" s="14">
        <f t="shared" si="387"/>
        <v>-7.7390677693773228E-3</v>
      </c>
      <c r="J1216" s="14">
        <f t="shared" si="388"/>
        <v>-1.1894518063664927E-2</v>
      </c>
      <c r="K1216" s="22">
        <v>1213</v>
      </c>
      <c r="L1216" s="12"/>
      <c r="Q1216" s="15">
        <f t="shared" si="389"/>
        <v>1213</v>
      </c>
      <c r="R1216" s="2">
        <f t="shared" si="385"/>
        <v>45225</v>
      </c>
      <c r="S1216" s="9">
        <f t="shared" ca="1" si="390"/>
        <v>-3.5407227271309237E-3</v>
      </c>
      <c r="T1216" s="9">
        <f t="shared" ca="1" si="391"/>
        <v>-7.7390677693773228E-3</v>
      </c>
      <c r="U1216" s="9">
        <f t="shared" ca="1" si="392"/>
        <v>-1.1894518063664927E-2</v>
      </c>
      <c r="AB1216" s="33" t="e">
        <f t="shared" ca="1" si="398"/>
        <v>#N/A</v>
      </c>
      <c r="AC1216" s="34" t="e">
        <f t="shared" ca="1" si="399"/>
        <v>#N/A</v>
      </c>
      <c r="AD1216" s="34" t="e">
        <f t="shared" ca="1" si="400"/>
        <v>#N/A</v>
      </c>
      <c r="AE1216" s="33" t="e">
        <f t="shared" ca="1" si="401"/>
        <v>#N/A</v>
      </c>
      <c r="AF1216" s="34" t="e">
        <f t="shared" ca="1" si="393"/>
        <v>#N/A</v>
      </c>
      <c r="AG1216" s="34" t="e">
        <f t="shared" ca="1" si="394"/>
        <v>#N/A</v>
      </c>
      <c r="AH1216" s="34" t="e">
        <f t="shared" ca="1" si="395"/>
        <v>#N/A</v>
      </c>
      <c r="AI1216" s="33" t="e">
        <f t="shared" ca="1" si="402"/>
        <v>#N/A</v>
      </c>
      <c r="AJ1216" s="34" t="e">
        <f t="shared" ca="1" si="403"/>
        <v>#N/A</v>
      </c>
      <c r="AK1216" s="34" t="e">
        <f t="shared" ca="1" si="396"/>
        <v>#N/A</v>
      </c>
      <c r="AL1216" s="34" t="e">
        <f t="shared" ca="1" si="397"/>
        <v>#N/A</v>
      </c>
      <c r="AM1216" s="33" t="e">
        <f t="shared" ca="1" si="404"/>
        <v>#N/A</v>
      </c>
      <c r="AN1216" s="34" t="e">
        <f t="shared" ca="1" si="405"/>
        <v>#N/A</v>
      </c>
    </row>
    <row r="1217" spans="1:40" x14ac:dyDescent="0.3">
      <c r="A1217" s="2">
        <v>45226</v>
      </c>
      <c r="B1217" s="9">
        <v>72.989998</v>
      </c>
      <c r="C1217" s="9">
        <v>109.82</v>
      </c>
      <c r="D1217" s="9">
        <v>123.55999799999999</v>
      </c>
      <c r="E1217" s="10"/>
      <c r="F1217" s="13">
        <v>1214</v>
      </c>
      <c r="G1217" s="2">
        <v>45226</v>
      </c>
      <c r="H1217" s="14">
        <f t="shared" si="386"/>
        <v>-4.2382317577727294E-3</v>
      </c>
      <c r="I1217" s="14">
        <f t="shared" si="387"/>
        <v>-3.0931660876506454E-2</v>
      </c>
      <c r="J1217" s="14">
        <f t="shared" si="388"/>
        <v>-1.4462754160878883E-2</v>
      </c>
      <c r="K1217" s="22">
        <v>1214</v>
      </c>
      <c r="L1217" s="12"/>
      <c r="Q1217" s="15">
        <f t="shared" si="389"/>
        <v>1214</v>
      </c>
      <c r="R1217" s="2">
        <f t="shared" si="385"/>
        <v>45226</v>
      </c>
      <c r="S1217" s="9">
        <f t="shared" ca="1" si="390"/>
        <v>-4.2382317577727294E-3</v>
      </c>
      <c r="T1217" s="9">
        <f t="shared" ca="1" si="391"/>
        <v>-3.0931660876506454E-2</v>
      </c>
      <c r="U1217" s="9">
        <f t="shared" ca="1" si="392"/>
        <v>-1.4462754160878883E-2</v>
      </c>
      <c r="AB1217" s="33" t="e">
        <f t="shared" ca="1" si="398"/>
        <v>#N/A</v>
      </c>
      <c r="AC1217" s="34" t="e">
        <f t="shared" ca="1" si="399"/>
        <v>#N/A</v>
      </c>
      <c r="AD1217" s="34" t="e">
        <f t="shared" ca="1" si="400"/>
        <v>#N/A</v>
      </c>
      <c r="AE1217" s="33" t="e">
        <f t="shared" ca="1" si="401"/>
        <v>#N/A</v>
      </c>
      <c r="AF1217" s="34" t="e">
        <f t="shared" ca="1" si="393"/>
        <v>#N/A</v>
      </c>
      <c r="AG1217" s="34" t="e">
        <f t="shared" ca="1" si="394"/>
        <v>#N/A</v>
      </c>
      <c r="AH1217" s="34" t="e">
        <f t="shared" ca="1" si="395"/>
        <v>#N/A</v>
      </c>
      <c r="AI1217" s="33" t="e">
        <f t="shared" ca="1" si="402"/>
        <v>#N/A</v>
      </c>
      <c r="AJ1217" s="34" t="e">
        <f t="shared" ca="1" si="403"/>
        <v>#N/A</v>
      </c>
      <c r="AK1217" s="34" t="e">
        <f t="shared" ca="1" si="396"/>
        <v>#N/A</v>
      </c>
      <c r="AL1217" s="34" t="e">
        <f t="shared" ca="1" si="397"/>
        <v>#N/A</v>
      </c>
      <c r="AM1217" s="33" t="e">
        <f t="shared" ca="1" si="404"/>
        <v>#N/A</v>
      </c>
      <c r="AN1217" s="34" t="e">
        <f t="shared" ca="1" si="405"/>
        <v>#N/A</v>
      </c>
    </row>
    <row r="1218" spans="1:40" x14ac:dyDescent="0.3">
      <c r="A1218" s="2">
        <v>45229</v>
      </c>
      <c r="B1218" s="9">
        <v>74.050003000000004</v>
      </c>
      <c r="C1218" s="9">
        <v>112.05999799999999</v>
      </c>
      <c r="D1218" s="9">
        <v>124.239998</v>
      </c>
      <c r="E1218" s="10"/>
      <c r="F1218" s="13">
        <v>1215</v>
      </c>
      <c r="G1218" s="2">
        <v>45229</v>
      </c>
      <c r="H1218" s="14">
        <f t="shared" si="386"/>
        <v>1.4418163164447141E-2</v>
      </c>
      <c r="I1218" s="14">
        <f t="shared" si="387"/>
        <v>2.0191762438830082E-2</v>
      </c>
      <c r="J1218" s="14">
        <f t="shared" si="388"/>
        <v>5.4883108786437512E-3</v>
      </c>
      <c r="K1218" s="22">
        <v>1215</v>
      </c>
      <c r="L1218" s="12"/>
      <c r="Q1218" s="15">
        <f t="shared" si="389"/>
        <v>1215</v>
      </c>
      <c r="R1218" s="2">
        <f t="shared" si="385"/>
        <v>45229</v>
      </c>
      <c r="S1218" s="9">
        <f t="shared" ca="1" si="390"/>
        <v>1.4418163164447141E-2</v>
      </c>
      <c r="T1218" s="9">
        <f t="shared" ca="1" si="391"/>
        <v>2.0191762438830082E-2</v>
      </c>
      <c r="U1218" s="9">
        <f t="shared" ca="1" si="392"/>
        <v>5.4883108786437512E-3</v>
      </c>
      <c r="AB1218" s="33" t="e">
        <f t="shared" ca="1" si="398"/>
        <v>#N/A</v>
      </c>
      <c r="AC1218" s="34" t="e">
        <f t="shared" ca="1" si="399"/>
        <v>#N/A</v>
      </c>
      <c r="AD1218" s="34" t="e">
        <f t="shared" ca="1" si="400"/>
        <v>#N/A</v>
      </c>
      <c r="AE1218" s="33" t="e">
        <f t="shared" ca="1" si="401"/>
        <v>#N/A</v>
      </c>
      <c r="AF1218" s="34" t="e">
        <f t="shared" ca="1" si="393"/>
        <v>#N/A</v>
      </c>
      <c r="AG1218" s="34" t="e">
        <f t="shared" ca="1" si="394"/>
        <v>#N/A</v>
      </c>
      <c r="AH1218" s="34" t="e">
        <f t="shared" ca="1" si="395"/>
        <v>#N/A</v>
      </c>
      <c r="AI1218" s="33" t="e">
        <f t="shared" ca="1" si="402"/>
        <v>#N/A</v>
      </c>
      <c r="AJ1218" s="34" t="e">
        <f t="shared" ca="1" si="403"/>
        <v>#N/A</v>
      </c>
      <c r="AK1218" s="34" t="e">
        <f t="shared" ca="1" si="396"/>
        <v>#N/A</v>
      </c>
      <c r="AL1218" s="34" t="e">
        <f t="shared" ca="1" si="397"/>
        <v>#N/A</v>
      </c>
      <c r="AM1218" s="33" t="e">
        <f t="shared" ca="1" si="404"/>
        <v>#N/A</v>
      </c>
      <c r="AN1218" s="34" t="e">
        <f t="shared" ca="1" si="405"/>
        <v>#N/A</v>
      </c>
    </row>
    <row r="1219" spans="1:40" x14ac:dyDescent="0.3">
      <c r="A1219" s="2">
        <v>45230</v>
      </c>
      <c r="B1219" s="9">
        <v>74.769997000000004</v>
      </c>
      <c r="C1219" s="9">
        <v>112.529999</v>
      </c>
      <c r="D1219" s="9">
        <v>127</v>
      </c>
      <c r="E1219" s="10"/>
      <c r="F1219" s="13">
        <v>1216</v>
      </c>
      <c r="G1219" s="2">
        <v>45230</v>
      </c>
      <c r="H1219" s="14">
        <f t="shared" si="386"/>
        <v>9.6761136618056867E-3</v>
      </c>
      <c r="I1219" s="14">
        <f t="shared" si="387"/>
        <v>4.1854195858298015E-3</v>
      </c>
      <c r="J1219" s="14">
        <f t="shared" si="388"/>
        <v>2.1971923716034816E-2</v>
      </c>
      <c r="K1219" s="22">
        <v>1216</v>
      </c>
      <c r="L1219" s="12"/>
      <c r="Q1219" s="15">
        <f t="shared" si="389"/>
        <v>1216</v>
      </c>
      <c r="R1219" s="2">
        <f t="shared" si="385"/>
        <v>45230</v>
      </c>
      <c r="S1219" s="9">
        <f t="shared" ca="1" si="390"/>
        <v>9.6761136618056867E-3</v>
      </c>
      <c r="T1219" s="9">
        <f t="shared" ca="1" si="391"/>
        <v>4.1854195858298015E-3</v>
      </c>
      <c r="U1219" s="9">
        <f t="shared" ca="1" si="392"/>
        <v>2.1971923716034816E-2</v>
      </c>
      <c r="AB1219" s="33" t="e">
        <f t="shared" ca="1" si="398"/>
        <v>#N/A</v>
      </c>
      <c r="AC1219" s="34" t="e">
        <f t="shared" ca="1" si="399"/>
        <v>#N/A</v>
      </c>
      <c r="AD1219" s="34" t="e">
        <f t="shared" ca="1" si="400"/>
        <v>#N/A</v>
      </c>
      <c r="AE1219" s="33" t="e">
        <f t="shared" ca="1" si="401"/>
        <v>#N/A</v>
      </c>
      <c r="AF1219" s="34" t="e">
        <f t="shared" ca="1" si="393"/>
        <v>#N/A</v>
      </c>
      <c r="AG1219" s="34" t="e">
        <f t="shared" ca="1" si="394"/>
        <v>#N/A</v>
      </c>
      <c r="AH1219" s="34" t="e">
        <f t="shared" ca="1" si="395"/>
        <v>#N/A</v>
      </c>
      <c r="AI1219" s="33" t="e">
        <f t="shared" ca="1" si="402"/>
        <v>#N/A</v>
      </c>
      <c r="AJ1219" s="34" t="e">
        <f t="shared" ca="1" si="403"/>
        <v>#N/A</v>
      </c>
      <c r="AK1219" s="34" t="e">
        <f t="shared" ca="1" si="396"/>
        <v>#N/A</v>
      </c>
      <c r="AL1219" s="34" t="e">
        <f t="shared" ca="1" si="397"/>
        <v>#N/A</v>
      </c>
      <c r="AM1219" s="33" t="e">
        <f t="shared" ca="1" si="404"/>
        <v>#N/A</v>
      </c>
      <c r="AN1219" s="34" t="e">
        <f t="shared" ca="1" si="405"/>
        <v>#N/A</v>
      </c>
    </row>
    <row r="1220" spans="1:40" x14ac:dyDescent="0.3">
      <c r="A1220" s="2">
        <v>45231</v>
      </c>
      <c r="B1220" s="9">
        <v>73.980002999999996</v>
      </c>
      <c r="C1220" s="9">
        <v>111.449997</v>
      </c>
      <c r="D1220" s="9">
        <v>127.730003</v>
      </c>
      <c r="E1220" s="10"/>
      <c r="F1220" s="13">
        <v>1217</v>
      </c>
      <c r="G1220" s="2">
        <v>45231</v>
      </c>
      <c r="H1220" s="14">
        <f t="shared" si="386"/>
        <v>-1.0621867932972002E-2</v>
      </c>
      <c r="I1220" s="14">
        <f t="shared" si="387"/>
        <v>-9.6438109614094669E-3</v>
      </c>
      <c r="J1220" s="14">
        <f t="shared" si="388"/>
        <v>5.7315980831368204E-3</v>
      </c>
      <c r="K1220" s="22">
        <v>1217</v>
      </c>
      <c r="L1220" s="12"/>
      <c r="Q1220" s="15">
        <f t="shared" si="389"/>
        <v>1217</v>
      </c>
      <c r="R1220" s="2">
        <f t="shared" ref="R1220:R1260" si="406">IF(Q1220="","",VLOOKUP(Q1220,F1220:J2477,2))</f>
        <v>45231</v>
      </c>
      <c r="S1220" s="9">
        <f t="shared" ca="1" si="390"/>
        <v>-1.0621867932972002E-2</v>
      </c>
      <c r="T1220" s="9">
        <f t="shared" ca="1" si="391"/>
        <v>-9.6438109614094669E-3</v>
      </c>
      <c r="U1220" s="9">
        <f t="shared" ca="1" si="392"/>
        <v>5.7315980831368204E-3</v>
      </c>
      <c r="AB1220" s="33" t="e">
        <f t="shared" ca="1" si="398"/>
        <v>#N/A</v>
      </c>
      <c r="AC1220" s="34" t="e">
        <f t="shared" ca="1" si="399"/>
        <v>#N/A</v>
      </c>
      <c r="AD1220" s="34" t="e">
        <f t="shared" ca="1" si="400"/>
        <v>#N/A</v>
      </c>
      <c r="AE1220" s="33" t="e">
        <f t="shared" ca="1" si="401"/>
        <v>#N/A</v>
      </c>
      <c r="AF1220" s="34" t="e">
        <f t="shared" ca="1" si="393"/>
        <v>#N/A</v>
      </c>
      <c r="AG1220" s="34" t="e">
        <f t="shared" ca="1" si="394"/>
        <v>#N/A</v>
      </c>
      <c r="AH1220" s="34" t="e">
        <f t="shared" ca="1" si="395"/>
        <v>#N/A</v>
      </c>
      <c r="AI1220" s="33" t="e">
        <f t="shared" ca="1" si="402"/>
        <v>#N/A</v>
      </c>
      <c r="AJ1220" s="34" t="e">
        <f t="shared" ca="1" si="403"/>
        <v>#N/A</v>
      </c>
      <c r="AK1220" s="34" t="e">
        <f t="shared" ca="1" si="396"/>
        <v>#N/A</v>
      </c>
      <c r="AL1220" s="34" t="e">
        <f t="shared" ca="1" si="397"/>
        <v>#N/A</v>
      </c>
      <c r="AM1220" s="33" t="e">
        <f t="shared" ca="1" si="404"/>
        <v>#N/A</v>
      </c>
      <c r="AN1220" s="34" t="e">
        <f t="shared" ca="1" si="405"/>
        <v>#N/A</v>
      </c>
    </row>
    <row r="1221" spans="1:40" x14ac:dyDescent="0.3">
      <c r="A1221" s="2">
        <v>45232</v>
      </c>
      <c r="B1221" s="9">
        <v>75.830001999999993</v>
      </c>
      <c r="C1221" s="9">
        <v>112.519997</v>
      </c>
      <c r="D1221" s="9">
        <v>128.96000699999999</v>
      </c>
      <c r="E1221" s="10"/>
      <c r="F1221" s="13">
        <v>1218</v>
      </c>
      <c r="G1221" s="2">
        <v>45232</v>
      </c>
      <c r="H1221" s="14">
        <f t="shared" ref="H1221:H1260" si="407">LN(B1221/B1220)</f>
        <v>2.4699192131821947E-2</v>
      </c>
      <c r="I1221" s="14">
        <f t="shared" ref="I1221:I1260" si="408">LN(C1221/C1220)</f>
        <v>9.5549240457519433E-3</v>
      </c>
      <c r="J1221" s="14">
        <f t="shared" ref="J1221:J1260" si="409">LN(D1221/D1220)</f>
        <v>9.5836484969855796E-3</v>
      </c>
      <c r="K1221" s="22">
        <v>1218</v>
      </c>
      <c r="L1221" s="12"/>
      <c r="Q1221" s="15">
        <f t="shared" ref="Q1221:Q1260" si="410">IF(Q1220="","",IF(Q1220+1&lt;=$M$6,Q1220+1,""))</f>
        <v>1218</v>
      </c>
      <c r="R1221" s="2">
        <f t="shared" si="406"/>
        <v>45232</v>
      </c>
      <c r="S1221" s="9">
        <f t="shared" ref="S1221:S1260" ca="1" si="411">IF(Q1221="","",OFFSET(H$3,$Q1221,0))</f>
        <v>2.4699192131821947E-2</v>
      </c>
      <c r="T1221" s="9">
        <f t="shared" ref="T1221:T1260" ca="1" si="412">IF(R1221="","",OFFSET(I$3,$Q1221,0))</f>
        <v>9.5549240457519433E-3</v>
      </c>
      <c r="U1221" s="9">
        <f t="shared" ref="U1221:U1260" ca="1" si="413">IF(S1221="","",OFFSET(J$3,$Q1221,0))</f>
        <v>9.5836484969855796E-3</v>
      </c>
      <c r="AB1221" s="33" t="e">
        <f t="shared" ca="1" si="398"/>
        <v>#N/A</v>
      </c>
      <c r="AC1221" s="34" t="e">
        <f t="shared" ca="1" si="399"/>
        <v>#N/A</v>
      </c>
      <c r="AD1221" s="34" t="e">
        <f t="shared" ca="1" si="400"/>
        <v>#N/A</v>
      </c>
      <c r="AE1221" s="33" t="e">
        <f t="shared" ca="1" si="401"/>
        <v>#N/A</v>
      </c>
      <c r="AF1221" s="34" t="e">
        <f t="shared" ref="AF1221:AF1260" ca="1" si="414">IF(AB1221&lt;=$X$6,(AE1221/$X$5)/$X$7,"")</f>
        <v>#N/A</v>
      </c>
      <c r="AG1221" s="34" t="e">
        <f t="shared" ref="AG1221:AG1260" ca="1" si="415">IF(AB1221&lt;=$Y$6,AG1220+$Y$7,"")</f>
        <v>#N/A</v>
      </c>
      <c r="AH1221" s="34" t="e">
        <f t="shared" ref="AH1221:AH1260" ca="1" si="416">IF(AB1221&lt;=$Y$6,AG1221-$Y$7/2,"")</f>
        <v>#N/A</v>
      </c>
      <c r="AI1221" s="33" t="e">
        <f t="shared" ca="1" si="402"/>
        <v>#N/A</v>
      </c>
      <c r="AJ1221" s="34" t="e">
        <f t="shared" ca="1" si="403"/>
        <v>#N/A</v>
      </c>
      <c r="AK1221" s="34" t="e">
        <f t="shared" ref="AK1221:AK1260" ca="1" si="417">IF(AB1221&lt;=$Z$6,AK1220+$Z$7,"")</f>
        <v>#N/A</v>
      </c>
      <c r="AL1221" s="34" t="e">
        <f t="shared" ref="AL1221:AL1260" ca="1" si="418">IF(AB1221&lt;=$Z$6,AK1221-$Z$7/2,"")</f>
        <v>#N/A</v>
      </c>
      <c r="AM1221" s="33" t="e">
        <f t="shared" ca="1" si="404"/>
        <v>#N/A</v>
      </c>
      <c r="AN1221" s="34" t="e">
        <f t="shared" ca="1" si="405"/>
        <v>#N/A</v>
      </c>
    </row>
    <row r="1222" spans="1:40" x14ac:dyDescent="0.3">
      <c r="A1222" s="2">
        <v>45233</v>
      </c>
      <c r="B1222" s="9">
        <v>76.349997999999999</v>
      </c>
      <c r="C1222" s="9">
        <v>115.16999800000001</v>
      </c>
      <c r="D1222" s="9">
        <v>126.43</v>
      </c>
      <c r="E1222" s="10"/>
      <c r="F1222" s="13">
        <v>1219</v>
      </c>
      <c r="G1222" s="2">
        <v>45233</v>
      </c>
      <c r="H1222" s="14">
        <f t="shared" si="407"/>
        <v>6.8339863818577097E-3</v>
      </c>
      <c r="I1222" s="14">
        <f t="shared" si="408"/>
        <v>2.3278323355453431E-2</v>
      </c>
      <c r="J1222" s="14">
        <f t="shared" si="409"/>
        <v>-1.9813537714907247E-2</v>
      </c>
      <c r="K1222" s="22">
        <v>1219</v>
      </c>
      <c r="L1222" s="12"/>
      <c r="Q1222" s="15">
        <f t="shared" si="410"/>
        <v>1219</v>
      </c>
      <c r="R1222" s="2">
        <f t="shared" si="406"/>
        <v>45233</v>
      </c>
      <c r="S1222" s="9">
        <f t="shared" ca="1" si="411"/>
        <v>6.8339863818577097E-3</v>
      </c>
      <c r="T1222" s="9">
        <f t="shared" ca="1" si="412"/>
        <v>2.3278323355453431E-2</v>
      </c>
      <c r="U1222" s="9">
        <f t="shared" ca="1" si="413"/>
        <v>-1.9813537714907247E-2</v>
      </c>
      <c r="AB1222" s="33" t="e">
        <f t="shared" ref="AB1222:AB1260" ca="1" si="419">IF(AB1221&lt;$X$6,AB1221+1,NA())</f>
        <v>#N/A</v>
      </c>
      <c r="AC1222" s="34" t="e">
        <f t="shared" ref="AC1222:AC1260" ca="1" si="420">IF(AB1222&lt;=$X$6,AC1221+$X$7,"")</f>
        <v>#N/A</v>
      </c>
      <c r="AD1222" s="34" t="e">
        <f t="shared" ref="AD1222:AD1260" ca="1" si="421">IF(AB1222&lt;=$X$6,AC1222-$X$7/2,"")</f>
        <v>#N/A</v>
      </c>
      <c r="AE1222" s="33" t="e">
        <f t="shared" ref="AE1222:AE1260" ca="1" si="422">IF(AB1222&lt;=$X$6,COUNTIFS($S$3:$S$1260,"&gt;"&amp;AC1221,$S$3:$S$1260,"&lt;="&amp;AC1222),"")</f>
        <v>#N/A</v>
      </c>
      <c r="AF1222" s="34" t="e">
        <f t="shared" ca="1" si="414"/>
        <v>#N/A</v>
      </c>
      <c r="AG1222" s="34" t="e">
        <f t="shared" ca="1" si="415"/>
        <v>#N/A</v>
      </c>
      <c r="AH1222" s="34" t="e">
        <f t="shared" ca="1" si="416"/>
        <v>#N/A</v>
      </c>
      <c r="AI1222" s="33" t="e">
        <f t="shared" ref="AI1222:AI1260" ca="1" si="423">IF(AB1222&lt;=$Y$6,COUNTIFS($T$3:$T$1260,"&gt;"&amp;AG1221,$T$3:$T$1260,"&lt;="&amp;AG1222),"")</f>
        <v>#N/A</v>
      </c>
      <c r="AJ1222" s="34" t="e">
        <f t="shared" ref="AJ1222:AJ1260" ca="1" si="424">IF(AB1222&lt;=$Y$6,(AI1222/$Y$5)/$Y$7,"")</f>
        <v>#N/A</v>
      </c>
      <c r="AK1222" s="34" t="e">
        <f t="shared" ca="1" si="417"/>
        <v>#N/A</v>
      </c>
      <c r="AL1222" s="34" t="e">
        <f t="shared" ca="1" si="418"/>
        <v>#N/A</v>
      </c>
      <c r="AM1222" s="33" t="e">
        <f t="shared" ref="AM1222:AM1260" ca="1" si="425">IF(AB1222&lt;=$Z$6,COUNTIFS($U$3:$U$1260,"&gt;"&amp;AK1221,$U$3:$U$1260,"&lt;="&amp;AK1222),"")</f>
        <v>#N/A</v>
      </c>
      <c r="AN1222" s="34" t="e">
        <f t="shared" ref="AN1222:AN1260" ca="1" si="426">IF(AB1222&lt;=$Z$6,(AM1222/$Z$5)/$Z$7,"")</f>
        <v>#N/A</v>
      </c>
    </row>
    <row r="1223" spans="1:40" x14ac:dyDescent="0.3">
      <c r="A1223" s="2">
        <v>45236</v>
      </c>
      <c r="B1223" s="9">
        <v>76.559997999999993</v>
      </c>
      <c r="C1223" s="9">
        <v>113.220001</v>
      </c>
      <c r="D1223" s="9">
        <v>125.82</v>
      </c>
      <c r="E1223" s="10"/>
      <c r="F1223" s="13">
        <v>1220</v>
      </c>
      <c r="G1223" s="2">
        <v>45236</v>
      </c>
      <c r="H1223" s="14">
        <f t="shared" si="407"/>
        <v>2.7467155519092868E-3</v>
      </c>
      <c r="I1223" s="14">
        <f t="shared" si="408"/>
        <v>-1.7076442874307023E-2</v>
      </c>
      <c r="J1223" s="14">
        <f t="shared" si="409"/>
        <v>-4.8364811819228953E-3</v>
      </c>
      <c r="K1223" s="22">
        <v>1220</v>
      </c>
      <c r="L1223" s="12"/>
      <c r="Q1223" s="15">
        <f t="shared" si="410"/>
        <v>1220</v>
      </c>
      <c r="R1223" s="2">
        <f t="shared" si="406"/>
        <v>45236</v>
      </c>
      <c r="S1223" s="9">
        <f t="shared" ca="1" si="411"/>
        <v>2.7467155519092868E-3</v>
      </c>
      <c r="T1223" s="9">
        <f t="shared" ca="1" si="412"/>
        <v>-1.7076442874307023E-2</v>
      </c>
      <c r="U1223" s="9">
        <f t="shared" ca="1" si="413"/>
        <v>-4.8364811819228953E-3</v>
      </c>
      <c r="AB1223" s="33" t="e">
        <f t="shared" ca="1" si="419"/>
        <v>#N/A</v>
      </c>
      <c r="AC1223" s="34" t="e">
        <f t="shared" ca="1" si="420"/>
        <v>#N/A</v>
      </c>
      <c r="AD1223" s="34" t="e">
        <f t="shared" ca="1" si="421"/>
        <v>#N/A</v>
      </c>
      <c r="AE1223" s="33" t="e">
        <f t="shared" ca="1" si="422"/>
        <v>#N/A</v>
      </c>
      <c r="AF1223" s="34" t="e">
        <f t="shared" ca="1" si="414"/>
        <v>#N/A</v>
      </c>
      <c r="AG1223" s="34" t="e">
        <f t="shared" ca="1" si="415"/>
        <v>#N/A</v>
      </c>
      <c r="AH1223" s="34" t="e">
        <f t="shared" ca="1" si="416"/>
        <v>#N/A</v>
      </c>
      <c r="AI1223" s="33" t="e">
        <f t="shared" ca="1" si="423"/>
        <v>#N/A</v>
      </c>
      <c r="AJ1223" s="34" t="e">
        <f t="shared" ca="1" si="424"/>
        <v>#N/A</v>
      </c>
      <c r="AK1223" s="34" t="e">
        <f t="shared" ca="1" si="417"/>
        <v>#N/A</v>
      </c>
      <c r="AL1223" s="34" t="e">
        <f t="shared" ca="1" si="418"/>
        <v>#N/A</v>
      </c>
      <c r="AM1223" s="33" t="e">
        <f t="shared" ca="1" si="425"/>
        <v>#N/A</v>
      </c>
      <c r="AN1223" s="34" t="e">
        <f t="shared" ca="1" si="426"/>
        <v>#N/A</v>
      </c>
    </row>
    <row r="1224" spans="1:40" x14ac:dyDescent="0.3">
      <c r="A1224" s="2">
        <v>45237</v>
      </c>
      <c r="B1224" s="9">
        <v>74.599997999999999</v>
      </c>
      <c r="C1224" s="9">
        <v>112.860001</v>
      </c>
      <c r="D1224" s="9">
        <v>123.050003</v>
      </c>
      <c r="E1224" s="10"/>
      <c r="F1224" s="13">
        <v>1221</v>
      </c>
      <c r="G1224" s="2">
        <v>45237</v>
      </c>
      <c r="H1224" s="14">
        <f t="shared" si="407"/>
        <v>-2.5934240621333034E-2</v>
      </c>
      <c r="I1224" s="14">
        <f t="shared" si="408"/>
        <v>-3.1847160393463857E-3</v>
      </c>
      <c r="J1224" s="14">
        <f t="shared" si="409"/>
        <v>-2.2261512924485749E-2</v>
      </c>
      <c r="K1224" s="22">
        <v>1221</v>
      </c>
      <c r="L1224" s="12"/>
      <c r="Q1224" s="15">
        <f t="shared" si="410"/>
        <v>1221</v>
      </c>
      <c r="R1224" s="2">
        <f t="shared" si="406"/>
        <v>45237</v>
      </c>
      <c r="S1224" s="9">
        <f t="shared" ca="1" si="411"/>
        <v>-2.5934240621333034E-2</v>
      </c>
      <c r="T1224" s="9">
        <f t="shared" ca="1" si="412"/>
        <v>-3.1847160393463857E-3</v>
      </c>
      <c r="U1224" s="9">
        <f t="shared" ca="1" si="413"/>
        <v>-2.2261512924485749E-2</v>
      </c>
      <c r="AB1224" s="33" t="e">
        <f t="shared" ca="1" si="419"/>
        <v>#N/A</v>
      </c>
      <c r="AC1224" s="34" t="e">
        <f t="shared" ca="1" si="420"/>
        <v>#N/A</v>
      </c>
      <c r="AD1224" s="34" t="e">
        <f t="shared" ca="1" si="421"/>
        <v>#N/A</v>
      </c>
      <c r="AE1224" s="33" t="e">
        <f t="shared" ca="1" si="422"/>
        <v>#N/A</v>
      </c>
      <c r="AF1224" s="34" t="e">
        <f t="shared" ca="1" si="414"/>
        <v>#N/A</v>
      </c>
      <c r="AG1224" s="34" t="e">
        <f t="shared" ca="1" si="415"/>
        <v>#N/A</v>
      </c>
      <c r="AH1224" s="34" t="e">
        <f t="shared" ca="1" si="416"/>
        <v>#N/A</v>
      </c>
      <c r="AI1224" s="33" t="e">
        <f t="shared" ca="1" si="423"/>
        <v>#N/A</v>
      </c>
      <c r="AJ1224" s="34" t="e">
        <f t="shared" ca="1" si="424"/>
        <v>#N/A</v>
      </c>
      <c r="AK1224" s="34" t="e">
        <f t="shared" ca="1" si="417"/>
        <v>#N/A</v>
      </c>
      <c r="AL1224" s="34" t="e">
        <f t="shared" ca="1" si="418"/>
        <v>#N/A</v>
      </c>
      <c r="AM1224" s="33" t="e">
        <f t="shared" ca="1" si="425"/>
        <v>#N/A</v>
      </c>
      <c r="AN1224" s="34" t="e">
        <f t="shared" ca="1" si="426"/>
        <v>#N/A</v>
      </c>
    </row>
    <row r="1225" spans="1:40" x14ac:dyDescent="0.3">
      <c r="A1225" s="2">
        <v>45238</v>
      </c>
      <c r="B1225" s="9">
        <v>75.650002000000001</v>
      </c>
      <c r="C1225" s="9">
        <v>116.470001</v>
      </c>
      <c r="D1225" s="9">
        <v>121.58000199999999</v>
      </c>
      <c r="E1225" s="10"/>
      <c r="F1225" s="13">
        <v>1222</v>
      </c>
      <c r="G1225" s="2">
        <v>45238</v>
      </c>
      <c r="H1225" s="14">
        <f t="shared" si="407"/>
        <v>1.3976986271842616E-2</v>
      </c>
      <c r="I1225" s="14">
        <f t="shared" si="408"/>
        <v>3.1485616298933324E-2</v>
      </c>
      <c r="J1225" s="14">
        <f t="shared" si="409"/>
        <v>-1.2018302446747552E-2</v>
      </c>
      <c r="K1225" s="22">
        <v>1222</v>
      </c>
      <c r="L1225" s="12"/>
      <c r="Q1225" s="15">
        <f t="shared" si="410"/>
        <v>1222</v>
      </c>
      <c r="R1225" s="2">
        <f t="shared" si="406"/>
        <v>45238</v>
      </c>
      <c r="S1225" s="9">
        <f t="shared" ca="1" si="411"/>
        <v>1.3976986271842616E-2</v>
      </c>
      <c r="T1225" s="9">
        <f t="shared" ca="1" si="412"/>
        <v>3.1485616298933324E-2</v>
      </c>
      <c r="U1225" s="9">
        <f t="shared" ca="1" si="413"/>
        <v>-1.2018302446747552E-2</v>
      </c>
      <c r="AB1225" s="33" t="e">
        <f t="shared" ca="1" si="419"/>
        <v>#N/A</v>
      </c>
      <c r="AC1225" s="34" t="e">
        <f t="shared" ca="1" si="420"/>
        <v>#N/A</v>
      </c>
      <c r="AD1225" s="34" t="e">
        <f t="shared" ca="1" si="421"/>
        <v>#N/A</v>
      </c>
      <c r="AE1225" s="33" t="e">
        <f t="shared" ca="1" si="422"/>
        <v>#N/A</v>
      </c>
      <c r="AF1225" s="34" t="e">
        <f t="shared" ca="1" si="414"/>
        <v>#N/A</v>
      </c>
      <c r="AG1225" s="34" t="e">
        <f t="shared" ca="1" si="415"/>
        <v>#N/A</v>
      </c>
      <c r="AH1225" s="34" t="e">
        <f t="shared" ca="1" si="416"/>
        <v>#N/A</v>
      </c>
      <c r="AI1225" s="33" t="e">
        <f t="shared" ca="1" si="423"/>
        <v>#N/A</v>
      </c>
      <c r="AJ1225" s="34" t="e">
        <f t="shared" ca="1" si="424"/>
        <v>#N/A</v>
      </c>
      <c r="AK1225" s="34" t="e">
        <f t="shared" ca="1" si="417"/>
        <v>#N/A</v>
      </c>
      <c r="AL1225" s="34" t="e">
        <f t="shared" ca="1" si="418"/>
        <v>#N/A</v>
      </c>
      <c r="AM1225" s="33" t="e">
        <f t="shared" ca="1" si="425"/>
        <v>#N/A</v>
      </c>
      <c r="AN1225" s="34" t="e">
        <f t="shared" ca="1" si="426"/>
        <v>#N/A</v>
      </c>
    </row>
    <row r="1226" spans="1:40" x14ac:dyDescent="0.3">
      <c r="A1226" s="2">
        <v>45239</v>
      </c>
      <c r="B1226" s="9">
        <v>76.120002999999997</v>
      </c>
      <c r="C1226" s="9">
        <v>116.589996</v>
      </c>
      <c r="D1226" s="9">
        <v>119.91999800000001</v>
      </c>
      <c r="E1226" s="10"/>
      <c r="F1226" s="13">
        <v>1223</v>
      </c>
      <c r="G1226" s="2">
        <v>45239</v>
      </c>
      <c r="H1226" s="14">
        <f t="shared" si="407"/>
        <v>6.1936151674975978E-3</v>
      </c>
      <c r="I1226" s="14">
        <f t="shared" si="408"/>
        <v>1.0297349364773655E-3</v>
      </c>
      <c r="J1226" s="14">
        <f t="shared" si="409"/>
        <v>-1.3747661654093227E-2</v>
      </c>
      <c r="K1226" s="22">
        <v>1223</v>
      </c>
      <c r="L1226" s="12"/>
      <c r="Q1226" s="15">
        <f t="shared" si="410"/>
        <v>1223</v>
      </c>
      <c r="R1226" s="2">
        <f t="shared" si="406"/>
        <v>45239</v>
      </c>
      <c r="S1226" s="9">
        <f t="shared" ca="1" si="411"/>
        <v>6.1936151674975978E-3</v>
      </c>
      <c r="T1226" s="9">
        <f t="shared" ca="1" si="412"/>
        <v>1.0297349364773655E-3</v>
      </c>
      <c r="U1226" s="9">
        <f t="shared" ca="1" si="413"/>
        <v>-1.3747661654093227E-2</v>
      </c>
      <c r="AB1226" s="33" t="e">
        <f t="shared" ca="1" si="419"/>
        <v>#N/A</v>
      </c>
      <c r="AC1226" s="34" t="e">
        <f t="shared" ca="1" si="420"/>
        <v>#N/A</v>
      </c>
      <c r="AD1226" s="34" t="e">
        <f t="shared" ca="1" si="421"/>
        <v>#N/A</v>
      </c>
      <c r="AE1226" s="33" t="e">
        <f t="shared" ca="1" si="422"/>
        <v>#N/A</v>
      </c>
      <c r="AF1226" s="34" t="e">
        <f t="shared" ca="1" si="414"/>
        <v>#N/A</v>
      </c>
      <c r="AG1226" s="34" t="e">
        <f t="shared" ca="1" si="415"/>
        <v>#N/A</v>
      </c>
      <c r="AH1226" s="34" t="e">
        <f t="shared" ca="1" si="416"/>
        <v>#N/A</v>
      </c>
      <c r="AI1226" s="33" t="e">
        <f t="shared" ca="1" si="423"/>
        <v>#N/A</v>
      </c>
      <c r="AJ1226" s="34" t="e">
        <f t="shared" ca="1" si="424"/>
        <v>#N/A</v>
      </c>
      <c r="AK1226" s="34" t="e">
        <f t="shared" ca="1" si="417"/>
        <v>#N/A</v>
      </c>
      <c r="AL1226" s="34" t="e">
        <f t="shared" ca="1" si="418"/>
        <v>#N/A</v>
      </c>
      <c r="AM1226" s="33" t="e">
        <f t="shared" ca="1" si="425"/>
        <v>#N/A</v>
      </c>
      <c r="AN1226" s="34" t="e">
        <f t="shared" ca="1" si="426"/>
        <v>#N/A</v>
      </c>
    </row>
    <row r="1227" spans="1:40" x14ac:dyDescent="0.3">
      <c r="A1227" s="2">
        <v>45240</v>
      </c>
      <c r="B1227" s="9">
        <v>76.989998</v>
      </c>
      <c r="C1227" s="9">
        <v>115.620003</v>
      </c>
      <c r="D1227" s="9">
        <v>122.66999800000001</v>
      </c>
      <c r="E1227" s="10"/>
      <c r="F1227" s="13">
        <v>1224</v>
      </c>
      <c r="G1227" s="2">
        <v>45240</v>
      </c>
      <c r="H1227" s="14">
        <f t="shared" si="407"/>
        <v>1.1364435473154641E-2</v>
      </c>
      <c r="I1227" s="14">
        <f t="shared" si="408"/>
        <v>-8.3544950355421126E-3</v>
      </c>
      <c r="J1227" s="14">
        <f t="shared" si="409"/>
        <v>2.2672969624198732E-2</v>
      </c>
      <c r="K1227" s="22">
        <v>1224</v>
      </c>
      <c r="L1227" s="12"/>
      <c r="Q1227" s="15">
        <f t="shared" si="410"/>
        <v>1224</v>
      </c>
      <c r="R1227" s="2">
        <f t="shared" si="406"/>
        <v>45240</v>
      </c>
      <c r="S1227" s="9">
        <f t="shared" ca="1" si="411"/>
        <v>1.1364435473154641E-2</v>
      </c>
      <c r="T1227" s="9">
        <f t="shared" ca="1" si="412"/>
        <v>-8.3544950355421126E-3</v>
      </c>
      <c r="U1227" s="9">
        <f t="shared" ca="1" si="413"/>
        <v>2.2672969624198732E-2</v>
      </c>
      <c r="AB1227" s="33" t="e">
        <f t="shared" ca="1" si="419"/>
        <v>#N/A</v>
      </c>
      <c r="AC1227" s="34" t="e">
        <f t="shared" ca="1" si="420"/>
        <v>#N/A</v>
      </c>
      <c r="AD1227" s="34" t="e">
        <f t="shared" ca="1" si="421"/>
        <v>#N/A</v>
      </c>
      <c r="AE1227" s="33" t="e">
        <f t="shared" ca="1" si="422"/>
        <v>#N/A</v>
      </c>
      <c r="AF1227" s="34" t="e">
        <f t="shared" ca="1" si="414"/>
        <v>#N/A</v>
      </c>
      <c r="AG1227" s="34" t="e">
        <f t="shared" ca="1" si="415"/>
        <v>#N/A</v>
      </c>
      <c r="AH1227" s="34" t="e">
        <f t="shared" ca="1" si="416"/>
        <v>#N/A</v>
      </c>
      <c r="AI1227" s="33" t="e">
        <f t="shared" ca="1" si="423"/>
        <v>#N/A</v>
      </c>
      <c r="AJ1227" s="34" t="e">
        <f t="shared" ca="1" si="424"/>
        <v>#N/A</v>
      </c>
      <c r="AK1227" s="34" t="e">
        <f t="shared" ca="1" si="417"/>
        <v>#N/A</v>
      </c>
      <c r="AL1227" s="34" t="e">
        <f t="shared" ca="1" si="418"/>
        <v>#N/A</v>
      </c>
      <c r="AM1227" s="33" t="e">
        <f t="shared" ca="1" si="425"/>
        <v>#N/A</v>
      </c>
      <c r="AN1227" s="34" t="e">
        <f t="shared" ca="1" si="426"/>
        <v>#N/A</v>
      </c>
    </row>
    <row r="1228" spans="1:40" x14ac:dyDescent="0.3">
      <c r="A1228" s="2">
        <v>45243</v>
      </c>
      <c r="B1228" s="9">
        <v>76.589995999999999</v>
      </c>
      <c r="C1228" s="9">
        <v>115.360001</v>
      </c>
      <c r="D1228" s="9">
        <v>124.269997</v>
      </c>
      <c r="E1228" s="10"/>
      <c r="F1228" s="13">
        <v>1225</v>
      </c>
      <c r="G1228" s="2">
        <v>45243</v>
      </c>
      <c r="H1228" s="14">
        <f t="shared" si="407"/>
        <v>-5.2090496171966448E-3</v>
      </c>
      <c r="I1228" s="14">
        <f t="shared" si="408"/>
        <v>-2.2512953962428211E-3</v>
      </c>
      <c r="J1228" s="14">
        <f t="shared" si="409"/>
        <v>1.2958786936163903E-2</v>
      </c>
      <c r="K1228" s="22">
        <v>1225</v>
      </c>
      <c r="L1228" s="12"/>
      <c r="Q1228" s="15">
        <f t="shared" si="410"/>
        <v>1225</v>
      </c>
      <c r="R1228" s="2">
        <f t="shared" si="406"/>
        <v>45243</v>
      </c>
      <c r="S1228" s="9">
        <f t="shared" ca="1" si="411"/>
        <v>-5.2090496171966448E-3</v>
      </c>
      <c r="T1228" s="9">
        <f t="shared" ca="1" si="412"/>
        <v>-2.2512953962428211E-3</v>
      </c>
      <c r="U1228" s="9">
        <f t="shared" ca="1" si="413"/>
        <v>1.2958786936163903E-2</v>
      </c>
      <c r="AB1228" s="33" t="e">
        <f t="shared" ca="1" si="419"/>
        <v>#N/A</v>
      </c>
      <c r="AC1228" s="34" t="e">
        <f t="shared" ca="1" si="420"/>
        <v>#N/A</v>
      </c>
      <c r="AD1228" s="34" t="e">
        <f t="shared" ca="1" si="421"/>
        <v>#N/A</v>
      </c>
      <c r="AE1228" s="33" t="e">
        <f t="shared" ca="1" si="422"/>
        <v>#N/A</v>
      </c>
      <c r="AF1228" s="34" t="e">
        <f t="shared" ca="1" si="414"/>
        <v>#N/A</v>
      </c>
      <c r="AG1228" s="34" t="e">
        <f t="shared" ca="1" si="415"/>
        <v>#N/A</v>
      </c>
      <c r="AH1228" s="34" t="e">
        <f t="shared" ca="1" si="416"/>
        <v>#N/A</v>
      </c>
      <c r="AI1228" s="33" t="e">
        <f t="shared" ca="1" si="423"/>
        <v>#N/A</v>
      </c>
      <c r="AJ1228" s="34" t="e">
        <f t="shared" ca="1" si="424"/>
        <v>#N/A</v>
      </c>
      <c r="AK1228" s="34" t="e">
        <f t="shared" ca="1" si="417"/>
        <v>#N/A</v>
      </c>
      <c r="AL1228" s="34" t="e">
        <f t="shared" ca="1" si="418"/>
        <v>#N/A</v>
      </c>
      <c r="AM1228" s="33" t="e">
        <f t="shared" ca="1" si="425"/>
        <v>#N/A</v>
      </c>
      <c r="AN1228" s="34" t="e">
        <f t="shared" ca="1" si="426"/>
        <v>#N/A</v>
      </c>
    </row>
    <row r="1229" spans="1:40" x14ac:dyDescent="0.3">
      <c r="A1229" s="2">
        <v>45244</v>
      </c>
      <c r="B1229" s="9">
        <v>80.480002999999996</v>
      </c>
      <c r="C1229" s="9">
        <v>120.44000200000001</v>
      </c>
      <c r="D1229" s="9">
        <v>126.08000199999999</v>
      </c>
      <c r="E1229" s="10"/>
      <c r="F1229" s="13">
        <v>1226</v>
      </c>
      <c r="G1229" s="2">
        <v>45244</v>
      </c>
      <c r="H1229" s="14">
        <f t="shared" si="407"/>
        <v>4.9542275932408709E-2</v>
      </c>
      <c r="I1229" s="14">
        <f t="shared" si="408"/>
        <v>4.3094038014156989E-2</v>
      </c>
      <c r="J1229" s="14">
        <f t="shared" si="409"/>
        <v>1.4460048295593414E-2</v>
      </c>
      <c r="K1229" s="22">
        <v>1226</v>
      </c>
      <c r="L1229" s="12"/>
      <c r="Q1229" s="15">
        <f t="shared" si="410"/>
        <v>1226</v>
      </c>
      <c r="R1229" s="2">
        <f t="shared" si="406"/>
        <v>45244</v>
      </c>
      <c r="S1229" s="9">
        <f t="shared" ca="1" si="411"/>
        <v>4.9542275932408709E-2</v>
      </c>
      <c r="T1229" s="9">
        <f t="shared" ca="1" si="412"/>
        <v>4.3094038014156989E-2</v>
      </c>
      <c r="U1229" s="9">
        <f t="shared" ca="1" si="413"/>
        <v>1.4460048295593414E-2</v>
      </c>
      <c r="AB1229" s="33" t="e">
        <f t="shared" ca="1" si="419"/>
        <v>#N/A</v>
      </c>
      <c r="AC1229" s="34" t="e">
        <f t="shared" ca="1" si="420"/>
        <v>#N/A</v>
      </c>
      <c r="AD1229" s="34" t="e">
        <f t="shared" ca="1" si="421"/>
        <v>#N/A</v>
      </c>
      <c r="AE1229" s="33" t="e">
        <f t="shared" ca="1" si="422"/>
        <v>#N/A</v>
      </c>
      <c r="AF1229" s="34" t="e">
        <f t="shared" ca="1" si="414"/>
        <v>#N/A</v>
      </c>
      <c r="AG1229" s="34" t="e">
        <f t="shared" ca="1" si="415"/>
        <v>#N/A</v>
      </c>
      <c r="AH1229" s="34" t="e">
        <f t="shared" ca="1" si="416"/>
        <v>#N/A</v>
      </c>
      <c r="AI1229" s="33" t="e">
        <f t="shared" ca="1" si="423"/>
        <v>#N/A</v>
      </c>
      <c r="AJ1229" s="34" t="e">
        <f t="shared" ca="1" si="424"/>
        <v>#N/A</v>
      </c>
      <c r="AK1229" s="34" t="e">
        <f t="shared" ca="1" si="417"/>
        <v>#N/A</v>
      </c>
      <c r="AL1229" s="34" t="e">
        <f t="shared" ca="1" si="418"/>
        <v>#N/A</v>
      </c>
      <c r="AM1229" s="33" t="e">
        <f t="shared" ca="1" si="425"/>
        <v>#N/A</v>
      </c>
      <c r="AN1229" s="34" t="e">
        <f t="shared" ca="1" si="426"/>
        <v>#N/A</v>
      </c>
    </row>
    <row r="1230" spans="1:40" x14ac:dyDescent="0.3">
      <c r="A1230" s="2">
        <v>45245</v>
      </c>
      <c r="B1230" s="9">
        <v>80.080001999999993</v>
      </c>
      <c r="C1230" s="9">
        <v>123.91999800000001</v>
      </c>
      <c r="D1230" s="9">
        <v>126.699997</v>
      </c>
      <c r="E1230" s="10"/>
      <c r="F1230" s="13">
        <v>1227</v>
      </c>
      <c r="G1230" s="2">
        <v>45245</v>
      </c>
      <c r="H1230" s="14">
        <f t="shared" si="407"/>
        <v>-4.982583645780519E-3</v>
      </c>
      <c r="I1230" s="14">
        <f t="shared" si="408"/>
        <v>2.8484459749856542E-2</v>
      </c>
      <c r="J1230" s="14">
        <f t="shared" si="409"/>
        <v>4.9054216766007061E-3</v>
      </c>
      <c r="K1230" s="22">
        <v>1227</v>
      </c>
      <c r="L1230" s="12"/>
      <c r="Q1230" s="15">
        <f t="shared" si="410"/>
        <v>1227</v>
      </c>
      <c r="R1230" s="2">
        <f t="shared" si="406"/>
        <v>45245</v>
      </c>
      <c r="S1230" s="9">
        <f t="shared" ca="1" si="411"/>
        <v>-4.982583645780519E-3</v>
      </c>
      <c r="T1230" s="9">
        <f t="shared" ca="1" si="412"/>
        <v>2.8484459749856542E-2</v>
      </c>
      <c r="U1230" s="9">
        <f t="shared" ca="1" si="413"/>
        <v>4.9054216766007061E-3</v>
      </c>
      <c r="AB1230" s="33" t="e">
        <f t="shared" ca="1" si="419"/>
        <v>#N/A</v>
      </c>
      <c r="AC1230" s="34" t="e">
        <f t="shared" ca="1" si="420"/>
        <v>#N/A</v>
      </c>
      <c r="AD1230" s="34" t="e">
        <f t="shared" ca="1" si="421"/>
        <v>#N/A</v>
      </c>
      <c r="AE1230" s="33" t="e">
        <f t="shared" ca="1" si="422"/>
        <v>#N/A</v>
      </c>
      <c r="AF1230" s="34" t="e">
        <f t="shared" ca="1" si="414"/>
        <v>#N/A</v>
      </c>
      <c r="AG1230" s="34" t="e">
        <f t="shared" ca="1" si="415"/>
        <v>#N/A</v>
      </c>
      <c r="AH1230" s="34" t="e">
        <f t="shared" ca="1" si="416"/>
        <v>#N/A</v>
      </c>
      <c r="AI1230" s="33" t="e">
        <f t="shared" ca="1" si="423"/>
        <v>#N/A</v>
      </c>
      <c r="AJ1230" s="34" t="e">
        <f t="shared" ca="1" si="424"/>
        <v>#N/A</v>
      </c>
      <c r="AK1230" s="34" t="e">
        <f t="shared" ca="1" si="417"/>
        <v>#N/A</v>
      </c>
      <c r="AL1230" s="34" t="e">
        <f t="shared" ca="1" si="418"/>
        <v>#N/A</v>
      </c>
      <c r="AM1230" s="33" t="e">
        <f t="shared" ca="1" si="425"/>
        <v>#N/A</v>
      </c>
      <c r="AN1230" s="34" t="e">
        <f t="shared" ca="1" si="426"/>
        <v>#N/A</v>
      </c>
    </row>
    <row r="1231" spans="1:40" x14ac:dyDescent="0.3">
      <c r="A1231" s="2">
        <v>45246</v>
      </c>
      <c r="B1231" s="9">
        <v>79.779999000000004</v>
      </c>
      <c r="C1231" s="9">
        <v>120.699997</v>
      </c>
      <c r="D1231" s="9">
        <v>121.91999800000001</v>
      </c>
      <c r="E1231" s="10"/>
      <c r="F1231" s="13">
        <v>1228</v>
      </c>
      <c r="G1231" s="2">
        <v>45246</v>
      </c>
      <c r="H1231" s="14">
        <f t="shared" si="407"/>
        <v>-3.7533260391990134E-3</v>
      </c>
      <c r="I1231" s="14">
        <f t="shared" si="408"/>
        <v>-2.6328076720695287E-2</v>
      </c>
      <c r="J1231" s="14">
        <f t="shared" si="409"/>
        <v>-3.8456988114977032E-2</v>
      </c>
      <c r="K1231" s="22">
        <v>1228</v>
      </c>
      <c r="L1231" s="12"/>
      <c r="Q1231" s="15">
        <f t="shared" si="410"/>
        <v>1228</v>
      </c>
      <c r="R1231" s="2">
        <f t="shared" si="406"/>
        <v>45246</v>
      </c>
      <c r="S1231" s="9">
        <f t="shared" ca="1" si="411"/>
        <v>-3.7533260391990134E-3</v>
      </c>
      <c r="T1231" s="9">
        <f t="shared" ca="1" si="412"/>
        <v>-2.6328076720695287E-2</v>
      </c>
      <c r="U1231" s="9">
        <f t="shared" ca="1" si="413"/>
        <v>-3.8456988114977032E-2</v>
      </c>
      <c r="AB1231" s="33" t="e">
        <f t="shared" ca="1" si="419"/>
        <v>#N/A</v>
      </c>
      <c r="AC1231" s="34" t="e">
        <f t="shared" ca="1" si="420"/>
        <v>#N/A</v>
      </c>
      <c r="AD1231" s="34" t="e">
        <f t="shared" ca="1" si="421"/>
        <v>#N/A</v>
      </c>
      <c r="AE1231" s="33" t="e">
        <f t="shared" ca="1" si="422"/>
        <v>#N/A</v>
      </c>
      <c r="AF1231" s="34" t="e">
        <f t="shared" ca="1" si="414"/>
        <v>#N/A</v>
      </c>
      <c r="AG1231" s="34" t="e">
        <f t="shared" ca="1" si="415"/>
        <v>#N/A</v>
      </c>
      <c r="AH1231" s="34" t="e">
        <f t="shared" ca="1" si="416"/>
        <v>#N/A</v>
      </c>
      <c r="AI1231" s="33" t="e">
        <f t="shared" ca="1" si="423"/>
        <v>#N/A</v>
      </c>
      <c r="AJ1231" s="34" t="e">
        <f t="shared" ca="1" si="424"/>
        <v>#N/A</v>
      </c>
      <c r="AK1231" s="34" t="e">
        <f t="shared" ca="1" si="417"/>
        <v>#N/A</v>
      </c>
      <c r="AL1231" s="34" t="e">
        <f t="shared" ca="1" si="418"/>
        <v>#N/A</v>
      </c>
      <c r="AM1231" s="33" t="e">
        <f t="shared" ca="1" si="425"/>
        <v>#N/A</v>
      </c>
      <c r="AN1231" s="34" t="e">
        <f t="shared" ca="1" si="426"/>
        <v>#N/A</v>
      </c>
    </row>
    <row r="1232" spans="1:40" x14ac:dyDescent="0.3">
      <c r="A1232" s="2">
        <v>45247</v>
      </c>
      <c r="B1232" s="9">
        <v>80.849997999999999</v>
      </c>
      <c r="C1232" s="9">
        <v>121.75</v>
      </c>
      <c r="D1232" s="9">
        <v>124.110001</v>
      </c>
      <c r="E1232" s="10"/>
      <c r="F1232" s="13">
        <v>1229</v>
      </c>
      <c r="G1232" s="2">
        <v>45247</v>
      </c>
      <c r="H1232" s="14">
        <f t="shared" si="407"/>
        <v>1.3322727343157167E-2</v>
      </c>
      <c r="I1232" s="14">
        <f t="shared" si="408"/>
        <v>8.6616587142260299E-3</v>
      </c>
      <c r="J1232" s="14">
        <f t="shared" si="409"/>
        <v>1.7803201664661705E-2</v>
      </c>
      <c r="K1232" s="22">
        <v>1229</v>
      </c>
      <c r="L1232" s="12"/>
      <c r="Q1232" s="15">
        <f t="shared" si="410"/>
        <v>1229</v>
      </c>
      <c r="R1232" s="2">
        <f t="shared" si="406"/>
        <v>45247</v>
      </c>
      <c r="S1232" s="9">
        <f t="shared" ca="1" si="411"/>
        <v>1.3322727343157167E-2</v>
      </c>
      <c r="T1232" s="9">
        <f t="shared" ca="1" si="412"/>
        <v>8.6616587142260299E-3</v>
      </c>
      <c r="U1232" s="9">
        <f t="shared" ca="1" si="413"/>
        <v>1.7803201664661705E-2</v>
      </c>
      <c r="AB1232" s="33" t="e">
        <f t="shared" ca="1" si="419"/>
        <v>#N/A</v>
      </c>
      <c r="AC1232" s="34" t="e">
        <f t="shared" ca="1" si="420"/>
        <v>#N/A</v>
      </c>
      <c r="AD1232" s="34" t="e">
        <f t="shared" ca="1" si="421"/>
        <v>#N/A</v>
      </c>
      <c r="AE1232" s="33" t="e">
        <f t="shared" ca="1" si="422"/>
        <v>#N/A</v>
      </c>
      <c r="AF1232" s="34" t="e">
        <f t="shared" ca="1" si="414"/>
        <v>#N/A</v>
      </c>
      <c r="AG1232" s="34" t="e">
        <f t="shared" ca="1" si="415"/>
        <v>#N/A</v>
      </c>
      <c r="AH1232" s="34" t="e">
        <f t="shared" ca="1" si="416"/>
        <v>#N/A</v>
      </c>
      <c r="AI1232" s="33" t="e">
        <f t="shared" ca="1" si="423"/>
        <v>#N/A</v>
      </c>
      <c r="AJ1232" s="34" t="e">
        <f t="shared" ca="1" si="424"/>
        <v>#N/A</v>
      </c>
      <c r="AK1232" s="34" t="e">
        <f t="shared" ca="1" si="417"/>
        <v>#N/A</v>
      </c>
      <c r="AL1232" s="34" t="e">
        <f t="shared" ca="1" si="418"/>
        <v>#N/A</v>
      </c>
      <c r="AM1232" s="33" t="e">
        <f t="shared" ca="1" si="425"/>
        <v>#N/A</v>
      </c>
      <c r="AN1232" s="34" t="e">
        <f t="shared" ca="1" si="426"/>
        <v>#N/A</v>
      </c>
    </row>
    <row r="1233" spans="1:40" x14ac:dyDescent="0.3">
      <c r="A1233" s="2">
        <v>45250</v>
      </c>
      <c r="B1233" s="9">
        <v>82.419998000000007</v>
      </c>
      <c r="C1233" s="9">
        <v>122.57</v>
      </c>
      <c r="D1233" s="9">
        <v>124.730003</v>
      </c>
      <c r="E1233" s="10"/>
      <c r="F1233" s="13">
        <v>1230</v>
      </c>
      <c r="G1233" s="2">
        <v>45250</v>
      </c>
      <c r="H1233" s="14">
        <f t="shared" si="407"/>
        <v>1.923254035876833E-2</v>
      </c>
      <c r="I1233" s="14">
        <f t="shared" si="408"/>
        <v>6.7125333903745258E-3</v>
      </c>
      <c r="J1233" s="14">
        <f t="shared" si="409"/>
        <v>4.9831479907714565E-3</v>
      </c>
      <c r="K1233" s="22">
        <v>1230</v>
      </c>
      <c r="L1233" s="12"/>
      <c r="Q1233" s="15">
        <f t="shared" si="410"/>
        <v>1230</v>
      </c>
      <c r="R1233" s="2">
        <f t="shared" si="406"/>
        <v>45250</v>
      </c>
      <c r="S1233" s="9">
        <f t="shared" ca="1" si="411"/>
        <v>1.923254035876833E-2</v>
      </c>
      <c r="T1233" s="9">
        <f t="shared" ca="1" si="412"/>
        <v>6.7125333903745258E-3</v>
      </c>
      <c r="U1233" s="9">
        <f t="shared" ca="1" si="413"/>
        <v>4.9831479907714565E-3</v>
      </c>
      <c r="AB1233" s="33" t="e">
        <f t="shared" ca="1" si="419"/>
        <v>#N/A</v>
      </c>
      <c r="AC1233" s="34" t="e">
        <f t="shared" ca="1" si="420"/>
        <v>#N/A</v>
      </c>
      <c r="AD1233" s="34" t="e">
        <f t="shared" ca="1" si="421"/>
        <v>#N/A</v>
      </c>
      <c r="AE1233" s="33" t="e">
        <f t="shared" ca="1" si="422"/>
        <v>#N/A</v>
      </c>
      <c r="AF1233" s="34" t="e">
        <f t="shared" ca="1" si="414"/>
        <v>#N/A</v>
      </c>
      <c r="AG1233" s="34" t="e">
        <f t="shared" ca="1" si="415"/>
        <v>#N/A</v>
      </c>
      <c r="AH1233" s="34" t="e">
        <f t="shared" ca="1" si="416"/>
        <v>#N/A</v>
      </c>
      <c r="AI1233" s="33" t="e">
        <f t="shared" ca="1" si="423"/>
        <v>#N/A</v>
      </c>
      <c r="AJ1233" s="34" t="e">
        <f t="shared" ca="1" si="424"/>
        <v>#N/A</v>
      </c>
      <c r="AK1233" s="34" t="e">
        <f t="shared" ca="1" si="417"/>
        <v>#N/A</v>
      </c>
      <c r="AL1233" s="34" t="e">
        <f t="shared" ca="1" si="418"/>
        <v>#N/A</v>
      </c>
      <c r="AM1233" s="33" t="e">
        <f t="shared" ca="1" si="425"/>
        <v>#N/A</v>
      </c>
      <c r="AN1233" s="34" t="e">
        <f t="shared" ca="1" si="426"/>
        <v>#N/A</v>
      </c>
    </row>
    <row r="1234" spans="1:40" x14ac:dyDescent="0.3">
      <c r="A1234" s="2">
        <v>45251</v>
      </c>
      <c r="B1234" s="9">
        <v>81.610000999999997</v>
      </c>
      <c r="C1234" s="9">
        <v>121.800003</v>
      </c>
      <c r="D1234" s="9">
        <v>123.16999800000001</v>
      </c>
      <c r="E1234" s="10"/>
      <c r="F1234" s="13">
        <v>1231</v>
      </c>
      <c r="G1234" s="2">
        <v>45251</v>
      </c>
      <c r="H1234" s="14">
        <f t="shared" si="407"/>
        <v>-9.8762859101645256E-3</v>
      </c>
      <c r="I1234" s="14">
        <f t="shared" si="408"/>
        <v>-6.3019154467354723E-3</v>
      </c>
      <c r="J1234" s="14">
        <f t="shared" si="409"/>
        <v>-1.2585926473897089E-2</v>
      </c>
      <c r="K1234" s="22">
        <v>1231</v>
      </c>
      <c r="L1234" s="12"/>
      <c r="Q1234" s="15">
        <f t="shared" si="410"/>
        <v>1231</v>
      </c>
      <c r="R1234" s="2">
        <f t="shared" si="406"/>
        <v>45251</v>
      </c>
      <c r="S1234" s="9">
        <f t="shared" ca="1" si="411"/>
        <v>-9.8762859101645256E-3</v>
      </c>
      <c r="T1234" s="9">
        <f t="shared" ca="1" si="412"/>
        <v>-6.3019154467354723E-3</v>
      </c>
      <c r="U1234" s="9">
        <f t="shared" ca="1" si="413"/>
        <v>-1.2585926473897089E-2</v>
      </c>
      <c r="AB1234" s="33" t="e">
        <f t="shared" ca="1" si="419"/>
        <v>#N/A</v>
      </c>
      <c r="AC1234" s="34" t="e">
        <f t="shared" ca="1" si="420"/>
        <v>#N/A</v>
      </c>
      <c r="AD1234" s="34" t="e">
        <f t="shared" ca="1" si="421"/>
        <v>#N/A</v>
      </c>
      <c r="AE1234" s="33" t="e">
        <f t="shared" ca="1" si="422"/>
        <v>#N/A</v>
      </c>
      <c r="AF1234" s="34" t="e">
        <f t="shared" ca="1" si="414"/>
        <v>#N/A</v>
      </c>
      <c r="AG1234" s="34" t="e">
        <f t="shared" ca="1" si="415"/>
        <v>#N/A</v>
      </c>
      <c r="AH1234" s="34" t="e">
        <f t="shared" ca="1" si="416"/>
        <v>#N/A</v>
      </c>
      <c r="AI1234" s="33" t="e">
        <f t="shared" ca="1" si="423"/>
        <v>#N/A</v>
      </c>
      <c r="AJ1234" s="34" t="e">
        <f t="shared" ca="1" si="424"/>
        <v>#N/A</v>
      </c>
      <c r="AK1234" s="34" t="e">
        <f t="shared" ca="1" si="417"/>
        <v>#N/A</v>
      </c>
      <c r="AL1234" s="34" t="e">
        <f t="shared" ca="1" si="418"/>
        <v>#N/A</v>
      </c>
      <c r="AM1234" s="33" t="e">
        <f t="shared" ca="1" si="425"/>
        <v>#N/A</v>
      </c>
      <c r="AN1234" s="34" t="e">
        <f t="shared" ca="1" si="426"/>
        <v>#N/A</v>
      </c>
    </row>
    <row r="1235" spans="1:40" x14ac:dyDescent="0.3">
      <c r="A1235" s="2">
        <v>45252</v>
      </c>
      <c r="B1235" s="9">
        <v>81.529999000000004</v>
      </c>
      <c r="C1235" s="9">
        <v>122.66999800000001</v>
      </c>
      <c r="D1235" s="9">
        <v>125.360001</v>
      </c>
      <c r="E1235" s="10"/>
      <c r="F1235" s="13">
        <v>1232</v>
      </c>
      <c r="G1235" s="2">
        <v>45252</v>
      </c>
      <c r="H1235" s="14">
        <f t="shared" si="407"/>
        <v>-9.8077732515606305E-4</v>
      </c>
      <c r="I1235" s="14">
        <f t="shared" si="408"/>
        <v>7.1174268344176223E-3</v>
      </c>
      <c r="J1235" s="14">
        <f t="shared" si="409"/>
        <v>1.7624107309118796E-2</v>
      </c>
      <c r="K1235" s="22">
        <v>1232</v>
      </c>
      <c r="L1235" s="12"/>
      <c r="Q1235" s="15">
        <f t="shared" si="410"/>
        <v>1232</v>
      </c>
      <c r="R1235" s="2">
        <f t="shared" si="406"/>
        <v>45252</v>
      </c>
      <c r="S1235" s="9">
        <f t="shared" ca="1" si="411"/>
        <v>-9.8077732515606305E-4</v>
      </c>
      <c r="T1235" s="9">
        <f t="shared" ca="1" si="412"/>
        <v>7.1174268344176223E-3</v>
      </c>
      <c r="U1235" s="9">
        <f t="shared" ca="1" si="413"/>
        <v>1.7624107309118796E-2</v>
      </c>
      <c r="AB1235" s="33" t="e">
        <f t="shared" ca="1" si="419"/>
        <v>#N/A</v>
      </c>
      <c r="AC1235" s="34" t="e">
        <f t="shared" ca="1" si="420"/>
        <v>#N/A</v>
      </c>
      <c r="AD1235" s="34" t="e">
        <f t="shared" ca="1" si="421"/>
        <v>#N/A</v>
      </c>
      <c r="AE1235" s="33" t="e">
        <f t="shared" ca="1" si="422"/>
        <v>#N/A</v>
      </c>
      <c r="AF1235" s="34" t="e">
        <f t="shared" ca="1" si="414"/>
        <v>#N/A</v>
      </c>
      <c r="AG1235" s="34" t="e">
        <f t="shared" ca="1" si="415"/>
        <v>#N/A</v>
      </c>
      <c r="AH1235" s="34" t="e">
        <f t="shared" ca="1" si="416"/>
        <v>#N/A</v>
      </c>
      <c r="AI1235" s="33" t="e">
        <f t="shared" ca="1" si="423"/>
        <v>#N/A</v>
      </c>
      <c r="AJ1235" s="34" t="e">
        <f t="shared" ca="1" si="424"/>
        <v>#N/A</v>
      </c>
      <c r="AK1235" s="34" t="e">
        <f t="shared" ca="1" si="417"/>
        <v>#N/A</v>
      </c>
      <c r="AL1235" s="34" t="e">
        <f t="shared" ca="1" si="418"/>
        <v>#N/A</v>
      </c>
      <c r="AM1235" s="33" t="e">
        <f t="shared" ca="1" si="425"/>
        <v>#N/A</v>
      </c>
      <c r="AN1235" s="34" t="e">
        <f t="shared" ca="1" si="426"/>
        <v>#N/A</v>
      </c>
    </row>
    <row r="1236" spans="1:40" x14ac:dyDescent="0.3">
      <c r="A1236" s="2">
        <v>45254</v>
      </c>
      <c r="B1236" s="9">
        <v>81.260002</v>
      </c>
      <c r="C1236" s="9">
        <v>124.540001</v>
      </c>
      <c r="D1236" s="9">
        <v>124.959999</v>
      </c>
      <c r="E1236" s="10"/>
      <c r="F1236" s="13">
        <v>1233</v>
      </c>
      <c r="G1236" s="2">
        <v>45254</v>
      </c>
      <c r="H1236" s="14">
        <f t="shared" si="407"/>
        <v>-3.317123237459882E-3</v>
      </c>
      <c r="I1236" s="14">
        <f t="shared" si="408"/>
        <v>1.5129150733098904E-2</v>
      </c>
      <c r="J1236" s="14">
        <f t="shared" si="409"/>
        <v>-3.1959279359765214E-3</v>
      </c>
      <c r="K1236" s="22">
        <v>1233</v>
      </c>
      <c r="L1236" s="12"/>
      <c r="Q1236" s="15">
        <f t="shared" si="410"/>
        <v>1233</v>
      </c>
      <c r="R1236" s="2">
        <f t="shared" si="406"/>
        <v>45254</v>
      </c>
      <c r="S1236" s="9">
        <f t="shared" ca="1" si="411"/>
        <v>-3.317123237459882E-3</v>
      </c>
      <c r="T1236" s="9">
        <f t="shared" ca="1" si="412"/>
        <v>1.5129150733098904E-2</v>
      </c>
      <c r="U1236" s="9">
        <f t="shared" ca="1" si="413"/>
        <v>-3.1959279359765214E-3</v>
      </c>
      <c r="AB1236" s="33" t="e">
        <f t="shared" ca="1" si="419"/>
        <v>#N/A</v>
      </c>
      <c r="AC1236" s="34" t="e">
        <f t="shared" ca="1" si="420"/>
        <v>#N/A</v>
      </c>
      <c r="AD1236" s="34" t="e">
        <f t="shared" ca="1" si="421"/>
        <v>#N/A</v>
      </c>
      <c r="AE1236" s="33" t="e">
        <f t="shared" ca="1" si="422"/>
        <v>#N/A</v>
      </c>
      <c r="AF1236" s="34" t="e">
        <f t="shared" ca="1" si="414"/>
        <v>#N/A</v>
      </c>
      <c r="AG1236" s="34" t="e">
        <f t="shared" ca="1" si="415"/>
        <v>#N/A</v>
      </c>
      <c r="AH1236" s="34" t="e">
        <f t="shared" ca="1" si="416"/>
        <v>#N/A</v>
      </c>
      <c r="AI1236" s="33" t="e">
        <f t="shared" ca="1" si="423"/>
        <v>#N/A</v>
      </c>
      <c r="AJ1236" s="34" t="e">
        <f t="shared" ca="1" si="424"/>
        <v>#N/A</v>
      </c>
      <c r="AK1236" s="34" t="e">
        <f t="shared" ca="1" si="417"/>
        <v>#N/A</v>
      </c>
      <c r="AL1236" s="34" t="e">
        <f t="shared" ca="1" si="418"/>
        <v>#N/A</v>
      </c>
      <c r="AM1236" s="33" t="e">
        <f t="shared" ca="1" si="425"/>
        <v>#N/A</v>
      </c>
      <c r="AN1236" s="34" t="e">
        <f t="shared" ca="1" si="426"/>
        <v>#N/A</v>
      </c>
    </row>
    <row r="1237" spans="1:40" x14ac:dyDescent="0.3">
      <c r="A1237" s="2">
        <v>45257</v>
      </c>
      <c r="B1237" s="9">
        <v>81.440002000000007</v>
      </c>
      <c r="C1237" s="9">
        <v>125.75</v>
      </c>
      <c r="D1237" s="9">
        <v>125.610001</v>
      </c>
      <c r="E1237" s="10"/>
      <c r="F1237" s="13">
        <v>1234</v>
      </c>
      <c r="G1237" s="2">
        <v>45257</v>
      </c>
      <c r="H1237" s="14">
        <f t="shared" si="407"/>
        <v>2.2126621882333302E-3</v>
      </c>
      <c r="I1237" s="14">
        <f t="shared" si="408"/>
        <v>9.6688515059938328E-3</v>
      </c>
      <c r="J1237" s="14">
        <f t="shared" si="409"/>
        <v>5.1881985714962225E-3</v>
      </c>
      <c r="K1237" s="22">
        <v>1234</v>
      </c>
      <c r="L1237" s="12"/>
      <c r="Q1237" s="15">
        <f t="shared" si="410"/>
        <v>1234</v>
      </c>
      <c r="R1237" s="2">
        <f t="shared" si="406"/>
        <v>45257</v>
      </c>
      <c r="S1237" s="9">
        <f t="shared" ca="1" si="411"/>
        <v>2.2126621882333302E-3</v>
      </c>
      <c r="T1237" s="9">
        <f t="shared" ca="1" si="412"/>
        <v>9.6688515059938328E-3</v>
      </c>
      <c r="U1237" s="9">
        <f t="shared" ca="1" si="413"/>
        <v>5.1881985714962225E-3</v>
      </c>
      <c r="AB1237" s="33" t="e">
        <f t="shared" ca="1" si="419"/>
        <v>#N/A</v>
      </c>
      <c r="AC1237" s="34" t="e">
        <f t="shared" ca="1" si="420"/>
        <v>#N/A</v>
      </c>
      <c r="AD1237" s="34" t="e">
        <f t="shared" ca="1" si="421"/>
        <v>#N/A</v>
      </c>
      <c r="AE1237" s="33" t="e">
        <f t="shared" ca="1" si="422"/>
        <v>#N/A</v>
      </c>
      <c r="AF1237" s="34" t="e">
        <f t="shared" ca="1" si="414"/>
        <v>#N/A</v>
      </c>
      <c r="AG1237" s="34" t="e">
        <f t="shared" ca="1" si="415"/>
        <v>#N/A</v>
      </c>
      <c r="AH1237" s="34" t="e">
        <f t="shared" ca="1" si="416"/>
        <v>#N/A</v>
      </c>
      <c r="AI1237" s="33" t="e">
        <f t="shared" ca="1" si="423"/>
        <v>#N/A</v>
      </c>
      <c r="AJ1237" s="34" t="e">
        <f t="shared" ca="1" si="424"/>
        <v>#N/A</v>
      </c>
      <c r="AK1237" s="34" t="e">
        <f t="shared" ca="1" si="417"/>
        <v>#N/A</v>
      </c>
      <c r="AL1237" s="34" t="e">
        <f t="shared" ca="1" si="418"/>
        <v>#N/A</v>
      </c>
      <c r="AM1237" s="33" t="e">
        <f t="shared" ca="1" si="425"/>
        <v>#N/A</v>
      </c>
      <c r="AN1237" s="34" t="e">
        <f t="shared" ca="1" si="426"/>
        <v>#N/A</v>
      </c>
    </row>
    <row r="1238" spans="1:40" x14ac:dyDescent="0.3">
      <c r="A1238" s="2">
        <v>45258</v>
      </c>
      <c r="B1238" s="9">
        <v>80.370002999999997</v>
      </c>
      <c r="C1238" s="9">
        <v>126.629997</v>
      </c>
      <c r="D1238" s="9">
        <v>125.239998</v>
      </c>
      <c r="E1238" s="10"/>
      <c r="F1238" s="13">
        <v>1235</v>
      </c>
      <c r="G1238" s="2">
        <v>45258</v>
      </c>
      <c r="H1238" s="14">
        <f t="shared" si="407"/>
        <v>-1.3225567808181848E-2</v>
      </c>
      <c r="I1238" s="14">
        <f t="shared" si="408"/>
        <v>6.9736157915998628E-3</v>
      </c>
      <c r="J1238" s="14">
        <f t="shared" si="409"/>
        <v>-2.9499961714452663E-3</v>
      </c>
      <c r="K1238" s="22">
        <v>1235</v>
      </c>
      <c r="L1238" s="12"/>
      <c r="Q1238" s="15">
        <f t="shared" si="410"/>
        <v>1235</v>
      </c>
      <c r="R1238" s="2">
        <f t="shared" si="406"/>
        <v>45258</v>
      </c>
      <c r="S1238" s="9">
        <f t="shared" ca="1" si="411"/>
        <v>-1.3225567808181848E-2</v>
      </c>
      <c r="T1238" s="9">
        <f t="shared" ca="1" si="412"/>
        <v>6.9736157915998628E-3</v>
      </c>
      <c r="U1238" s="9">
        <f t="shared" ca="1" si="413"/>
        <v>-2.9499961714452663E-3</v>
      </c>
      <c r="AB1238" s="33" t="e">
        <f t="shared" ca="1" si="419"/>
        <v>#N/A</v>
      </c>
      <c r="AC1238" s="34" t="e">
        <f t="shared" ca="1" si="420"/>
        <v>#N/A</v>
      </c>
      <c r="AD1238" s="34" t="e">
        <f t="shared" ca="1" si="421"/>
        <v>#N/A</v>
      </c>
      <c r="AE1238" s="33" t="e">
        <f t="shared" ca="1" si="422"/>
        <v>#N/A</v>
      </c>
      <c r="AF1238" s="34" t="e">
        <f t="shared" ca="1" si="414"/>
        <v>#N/A</v>
      </c>
      <c r="AG1238" s="34" t="e">
        <f t="shared" ca="1" si="415"/>
        <v>#N/A</v>
      </c>
      <c r="AH1238" s="34" t="e">
        <f t="shared" ca="1" si="416"/>
        <v>#N/A</v>
      </c>
      <c r="AI1238" s="33" t="e">
        <f t="shared" ca="1" si="423"/>
        <v>#N/A</v>
      </c>
      <c r="AJ1238" s="34" t="e">
        <f t="shared" ca="1" si="424"/>
        <v>#N/A</v>
      </c>
      <c r="AK1238" s="34" t="e">
        <f t="shared" ca="1" si="417"/>
        <v>#N/A</v>
      </c>
      <c r="AL1238" s="34" t="e">
        <f t="shared" ca="1" si="418"/>
        <v>#N/A</v>
      </c>
      <c r="AM1238" s="33" t="e">
        <f t="shared" ca="1" si="425"/>
        <v>#N/A</v>
      </c>
      <c r="AN1238" s="34" t="e">
        <f t="shared" ca="1" si="426"/>
        <v>#N/A</v>
      </c>
    </row>
    <row r="1239" spans="1:40" x14ac:dyDescent="0.3">
      <c r="A1239" s="2">
        <v>45259</v>
      </c>
      <c r="B1239" s="9">
        <v>80.5</v>
      </c>
      <c r="C1239" s="9">
        <v>129.449997</v>
      </c>
      <c r="D1239" s="9">
        <v>124.08000199999999</v>
      </c>
      <c r="E1239" s="10"/>
      <c r="F1239" s="13">
        <v>1236</v>
      </c>
      <c r="G1239" s="2">
        <v>45259</v>
      </c>
      <c r="H1239" s="14">
        <f t="shared" si="407"/>
        <v>1.6161748725302984E-3</v>
      </c>
      <c r="I1239" s="14">
        <f t="shared" si="408"/>
        <v>2.202525825112692E-2</v>
      </c>
      <c r="J1239" s="14">
        <f t="shared" si="409"/>
        <v>-9.3053455019496672E-3</v>
      </c>
      <c r="K1239" s="22">
        <v>1236</v>
      </c>
      <c r="L1239" s="12"/>
      <c r="Q1239" s="15">
        <f t="shared" si="410"/>
        <v>1236</v>
      </c>
      <c r="R1239" s="2">
        <f t="shared" si="406"/>
        <v>45259</v>
      </c>
      <c r="S1239" s="9">
        <f t="shared" ca="1" si="411"/>
        <v>1.6161748725302984E-3</v>
      </c>
      <c r="T1239" s="9">
        <f t="shared" ca="1" si="412"/>
        <v>2.202525825112692E-2</v>
      </c>
      <c r="U1239" s="9">
        <f t="shared" ca="1" si="413"/>
        <v>-9.3053455019496672E-3</v>
      </c>
      <c r="AB1239" s="33" t="e">
        <f t="shared" ca="1" si="419"/>
        <v>#N/A</v>
      </c>
      <c r="AC1239" s="34" t="e">
        <f t="shared" ca="1" si="420"/>
        <v>#N/A</v>
      </c>
      <c r="AD1239" s="34" t="e">
        <f t="shared" ca="1" si="421"/>
        <v>#N/A</v>
      </c>
      <c r="AE1239" s="33" t="e">
        <f t="shared" ca="1" si="422"/>
        <v>#N/A</v>
      </c>
      <c r="AF1239" s="34" t="e">
        <f t="shared" ca="1" si="414"/>
        <v>#N/A</v>
      </c>
      <c r="AG1239" s="34" t="e">
        <f t="shared" ca="1" si="415"/>
        <v>#N/A</v>
      </c>
      <c r="AH1239" s="34" t="e">
        <f t="shared" ca="1" si="416"/>
        <v>#N/A</v>
      </c>
      <c r="AI1239" s="33" t="e">
        <f t="shared" ca="1" si="423"/>
        <v>#N/A</v>
      </c>
      <c r="AJ1239" s="34" t="e">
        <f t="shared" ca="1" si="424"/>
        <v>#N/A</v>
      </c>
      <c r="AK1239" s="34" t="e">
        <f t="shared" ca="1" si="417"/>
        <v>#N/A</v>
      </c>
      <c r="AL1239" s="34" t="e">
        <f t="shared" ca="1" si="418"/>
        <v>#N/A</v>
      </c>
      <c r="AM1239" s="33" t="e">
        <f t="shared" ca="1" si="425"/>
        <v>#N/A</v>
      </c>
      <c r="AN1239" s="34" t="e">
        <f t="shared" ca="1" si="426"/>
        <v>#N/A</v>
      </c>
    </row>
    <row r="1240" spans="1:40" x14ac:dyDescent="0.3">
      <c r="A1240" s="2">
        <v>45260</v>
      </c>
      <c r="B1240" s="9">
        <v>81.980002999999996</v>
      </c>
      <c r="C1240" s="9">
        <v>129.38000500000001</v>
      </c>
      <c r="D1240" s="9">
        <v>125.360001</v>
      </c>
      <c r="E1240" s="10"/>
      <c r="F1240" s="13">
        <v>1237</v>
      </c>
      <c r="G1240" s="2">
        <v>45260</v>
      </c>
      <c r="H1240" s="14">
        <f t="shared" si="407"/>
        <v>1.8218167245964454E-2</v>
      </c>
      <c r="I1240" s="14">
        <f t="shared" si="408"/>
        <v>-5.4083376088718616E-4</v>
      </c>
      <c r="J1240" s="14">
        <f t="shared" si="409"/>
        <v>1.0263071037875241E-2</v>
      </c>
      <c r="K1240" s="22">
        <v>1237</v>
      </c>
      <c r="L1240" s="12"/>
      <c r="Q1240" s="15">
        <f t="shared" si="410"/>
        <v>1237</v>
      </c>
      <c r="R1240" s="2">
        <f t="shared" si="406"/>
        <v>45260</v>
      </c>
      <c r="S1240" s="9">
        <f t="shared" ca="1" si="411"/>
        <v>1.8218167245964454E-2</v>
      </c>
      <c r="T1240" s="9">
        <f t="shared" ca="1" si="412"/>
        <v>-5.4083376088718616E-4</v>
      </c>
      <c r="U1240" s="9">
        <f t="shared" ca="1" si="413"/>
        <v>1.0263071037875241E-2</v>
      </c>
      <c r="AB1240" s="33" t="e">
        <f t="shared" ca="1" si="419"/>
        <v>#N/A</v>
      </c>
      <c r="AC1240" s="34" t="e">
        <f t="shared" ca="1" si="420"/>
        <v>#N/A</v>
      </c>
      <c r="AD1240" s="34" t="e">
        <f t="shared" ca="1" si="421"/>
        <v>#N/A</v>
      </c>
      <c r="AE1240" s="33" t="e">
        <f t="shared" ca="1" si="422"/>
        <v>#N/A</v>
      </c>
      <c r="AF1240" s="34" t="e">
        <f t="shared" ca="1" si="414"/>
        <v>#N/A</v>
      </c>
      <c r="AG1240" s="34" t="e">
        <f t="shared" ca="1" si="415"/>
        <v>#N/A</v>
      </c>
      <c r="AH1240" s="34" t="e">
        <f t="shared" ca="1" si="416"/>
        <v>#N/A</v>
      </c>
      <c r="AI1240" s="33" t="e">
        <f t="shared" ca="1" si="423"/>
        <v>#N/A</v>
      </c>
      <c r="AJ1240" s="34" t="e">
        <f t="shared" ca="1" si="424"/>
        <v>#N/A</v>
      </c>
      <c r="AK1240" s="34" t="e">
        <f t="shared" ca="1" si="417"/>
        <v>#N/A</v>
      </c>
      <c r="AL1240" s="34" t="e">
        <f t="shared" ca="1" si="418"/>
        <v>#N/A</v>
      </c>
      <c r="AM1240" s="33" t="e">
        <f t="shared" ca="1" si="425"/>
        <v>#N/A</v>
      </c>
      <c r="AN1240" s="34" t="e">
        <f t="shared" ca="1" si="426"/>
        <v>#N/A</v>
      </c>
    </row>
    <row r="1241" spans="1:40" x14ac:dyDescent="0.3">
      <c r="A1241" s="2">
        <v>45261</v>
      </c>
      <c r="B1241" s="9">
        <v>83.370002999999997</v>
      </c>
      <c r="C1241" s="9">
        <v>133.63000500000001</v>
      </c>
      <c r="D1241" s="9">
        <v>126.379997</v>
      </c>
      <c r="E1241" s="10"/>
      <c r="F1241" s="13">
        <v>1238</v>
      </c>
      <c r="G1241" s="2">
        <v>45261</v>
      </c>
      <c r="H1241" s="14">
        <f t="shared" si="407"/>
        <v>1.6813216736206189E-2</v>
      </c>
      <c r="I1241" s="14">
        <f t="shared" si="408"/>
        <v>3.2320974948028422E-2</v>
      </c>
      <c r="J1241" s="14">
        <f t="shared" si="409"/>
        <v>8.1036115825841547E-3</v>
      </c>
      <c r="K1241" s="22">
        <v>1238</v>
      </c>
      <c r="L1241" s="12"/>
      <c r="Q1241" s="15">
        <f t="shared" si="410"/>
        <v>1238</v>
      </c>
      <c r="R1241" s="2">
        <f t="shared" si="406"/>
        <v>45261</v>
      </c>
      <c r="S1241" s="9">
        <f t="shared" ca="1" si="411"/>
        <v>1.6813216736206189E-2</v>
      </c>
      <c r="T1241" s="9">
        <f t="shared" ca="1" si="412"/>
        <v>3.2320974948028422E-2</v>
      </c>
      <c r="U1241" s="9">
        <f t="shared" ca="1" si="413"/>
        <v>8.1036115825841547E-3</v>
      </c>
      <c r="AB1241" s="33" t="e">
        <f t="shared" ca="1" si="419"/>
        <v>#N/A</v>
      </c>
      <c r="AC1241" s="34" t="e">
        <f t="shared" ca="1" si="420"/>
        <v>#N/A</v>
      </c>
      <c r="AD1241" s="34" t="e">
        <f t="shared" ca="1" si="421"/>
        <v>#N/A</v>
      </c>
      <c r="AE1241" s="33" t="e">
        <f t="shared" ca="1" si="422"/>
        <v>#N/A</v>
      </c>
      <c r="AF1241" s="34" t="e">
        <f t="shared" ca="1" si="414"/>
        <v>#N/A</v>
      </c>
      <c r="AG1241" s="34" t="e">
        <f t="shared" ca="1" si="415"/>
        <v>#N/A</v>
      </c>
      <c r="AH1241" s="34" t="e">
        <f t="shared" ca="1" si="416"/>
        <v>#N/A</v>
      </c>
      <c r="AI1241" s="33" t="e">
        <f t="shared" ca="1" si="423"/>
        <v>#N/A</v>
      </c>
      <c r="AJ1241" s="34" t="e">
        <f t="shared" ca="1" si="424"/>
        <v>#N/A</v>
      </c>
      <c r="AK1241" s="34" t="e">
        <f t="shared" ca="1" si="417"/>
        <v>#N/A</v>
      </c>
      <c r="AL1241" s="34" t="e">
        <f t="shared" ca="1" si="418"/>
        <v>#N/A</v>
      </c>
      <c r="AM1241" s="33" t="e">
        <f t="shared" ca="1" si="425"/>
        <v>#N/A</v>
      </c>
      <c r="AN1241" s="34" t="e">
        <f t="shared" ca="1" si="426"/>
        <v>#N/A</v>
      </c>
    </row>
    <row r="1242" spans="1:40" x14ac:dyDescent="0.3">
      <c r="A1242" s="2">
        <v>45264</v>
      </c>
      <c r="B1242" s="9">
        <v>84.800003000000004</v>
      </c>
      <c r="C1242" s="9">
        <v>129.16999799999999</v>
      </c>
      <c r="D1242" s="9">
        <v>126.459999</v>
      </c>
      <c r="E1242" s="10"/>
      <c r="F1242" s="13">
        <v>1239</v>
      </c>
      <c r="G1242" s="2">
        <v>45264</v>
      </c>
      <c r="H1242" s="14">
        <f t="shared" si="407"/>
        <v>1.7007009768526978E-2</v>
      </c>
      <c r="I1242" s="14">
        <f t="shared" si="408"/>
        <v>-3.3945473449264109E-2</v>
      </c>
      <c r="J1242" s="14">
        <f t="shared" si="409"/>
        <v>6.3282711545260351E-4</v>
      </c>
      <c r="K1242" s="22">
        <v>1239</v>
      </c>
      <c r="L1242" s="12"/>
      <c r="Q1242" s="15">
        <f t="shared" si="410"/>
        <v>1239</v>
      </c>
      <c r="R1242" s="2">
        <f t="shared" si="406"/>
        <v>45264</v>
      </c>
      <c r="S1242" s="9">
        <f t="shared" ca="1" si="411"/>
        <v>1.7007009768526978E-2</v>
      </c>
      <c r="T1242" s="9">
        <f t="shared" ca="1" si="412"/>
        <v>-3.3945473449264109E-2</v>
      </c>
      <c r="U1242" s="9">
        <f t="shared" ca="1" si="413"/>
        <v>6.3282711545260351E-4</v>
      </c>
      <c r="AB1242" s="33" t="e">
        <f t="shared" ca="1" si="419"/>
        <v>#N/A</v>
      </c>
      <c r="AC1242" s="34" t="e">
        <f t="shared" ca="1" si="420"/>
        <v>#N/A</v>
      </c>
      <c r="AD1242" s="34" t="e">
        <f t="shared" ca="1" si="421"/>
        <v>#N/A</v>
      </c>
      <c r="AE1242" s="33" t="e">
        <f t="shared" ca="1" si="422"/>
        <v>#N/A</v>
      </c>
      <c r="AF1242" s="34" t="e">
        <f t="shared" ca="1" si="414"/>
        <v>#N/A</v>
      </c>
      <c r="AG1242" s="34" t="e">
        <f t="shared" ca="1" si="415"/>
        <v>#N/A</v>
      </c>
      <c r="AH1242" s="34" t="e">
        <f t="shared" ca="1" si="416"/>
        <v>#N/A</v>
      </c>
      <c r="AI1242" s="33" t="e">
        <f t="shared" ca="1" si="423"/>
        <v>#N/A</v>
      </c>
      <c r="AJ1242" s="34" t="e">
        <f t="shared" ca="1" si="424"/>
        <v>#N/A</v>
      </c>
      <c r="AK1242" s="34" t="e">
        <f t="shared" ca="1" si="417"/>
        <v>#N/A</v>
      </c>
      <c r="AL1242" s="34" t="e">
        <f t="shared" ca="1" si="418"/>
        <v>#N/A</v>
      </c>
      <c r="AM1242" s="33" t="e">
        <f t="shared" ca="1" si="425"/>
        <v>#N/A</v>
      </c>
      <c r="AN1242" s="34" t="e">
        <f t="shared" ca="1" si="426"/>
        <v>#N/A</v>
      </c>
    </row>
    <row r="1243" spans="1:40" x14ac:dyDescent="0.3">
      <c r="A1243" s="2">
        <v>45265</v>
      </c>
      <c r="B1243" s="9">
        <v>82.370002999999997</v>
      </c>
      <c r="C1243" s="9">
        <v>129.10000600000001</v>
      </c>
      <c r="D1243" s="9">
        <v>125.650002</v>
      </c>
      <c r="E1243" s="10"/>
      <c r="F1243" s="13">
        <v>1240</v>
      </c>
      <c r="G1243" s="2">
        <v>45265</v>
      </c>
      <c r="H1243" s="14">
        <f t="shared" si="407"/>
        <v>-2.9074248801031558E-2</v>
      </c>
      <c r="I1243" s="14">
        <f t="shared" si="408"/>
        <v>-5.4200643225648835E-4</v>
      </c>
      <c r="J1243" s="14">
        <f t="shared" si="409"/>
        <v>-6.4257648159968522E-3</v>
      </c>
      <c r="K1243" s="22">
        <v>1240</v>
      </c>
      <c r="L1243" s="12"/>
      <c r="Q1243" s="15">
        <f t="shared" si="410"/>
        <v>1240</v>
      </c>
      <c r="R1243" s="2">
        <f t="shared" si="406"/>
        <v>45265</v>
      </c>
      <c r="S1243" s="9">
        <f t="shared" ca="1" si="411"/>
        <v>-2.9074248801031558E-2</v>
      </c>
      <c r="T1243" s="9">
        <f t="shared" ca="1" si="412"/>
        <v>-5.4200643225648835E-4</v>
      </c>
      <c r="U1243" s="9">
        <f t="shared" ca="1" si="413"/>
        <v>-6.4257648159968522E-3</v>
      </c>
      <c r="AB1243" s="33" t="e">
        <f t="shared" ca="1" si="419"/>
        <v>#N/A</v>
      </c>
      <c r="AC1243" s="34" t="e">
        <f t="shared" ca="1" si="420"/>
        <v>#N/A</v>
      </c>
      <c r="AD1243" s="34" t="e">
        <f t="shared" ca="1" si="421"/>
        <v>#N/A</v>
      </c>
      <c r="AE1243" s="33" t="e">
        <f t="shared" ca="1" si="422"/>
        <v>#N/A</v>
      </c>
      <c r="AF1243" s="34" t="e">
        <f t="shared" ca="1" si="414"/>
        <v>#N/A</v>
      </c>
      <c r="AG1243" s="34" t="e">
        <f t="shared" ca="1" si="415"/>
        <v>#N/A</v>
      </c>
      <c r="AH1243" s="34" t="e">
        <f t="shared" ca="1" si="416"/>
        <v>#N/A</v>
      </c>
      <c r="AI1243" s="33" t="e">
        <f t="shared" ca="1" si="423"/>
        <v>#N/A</v>
      </c>
      <c r="AJ1243" s="34" t="e">
        <f t="shared" ca="1" si="424"/>
        <v>#N/A</v>
      </c>
      <c r="AK1243" s="34" t="e">
        <f t="shared" ca="1" si="417"/>
        <v>#N/A</v>
      </c>
      <c r="AL1243" s="34" t="e">
        <f t="shared" ca="1" si="418"/>
        <v>#N/A</v>
      </c>
      <c r="AM1243" s="33" t="e">
        <f t="shared" ca="1" si="425"/>
        <v>#N/A</v>
      </c>
      <c r="AN1243" s="34" t="e">
        <f t="shared" ca="1" si="426"/>
        <v>#N/A</v>
      </c>
    </row>
    <row r="1244" spans="1:40" x14ac:dyDescent="0.3">
      <c r="A1244" s="2">
        <v>45266</v>
      </c>
      <c r="B1244" s="9">
        <v>82.529999000000004</v>
      </c>
      <c r="C1244" s="9">
        <v>129.479996</v>
      </c>
      <c r="D1244" s="9">
        <v>122.730003</v>
      </c>
      <c r="E1244" s="10"/>
      <c r="F1244" s="13">
        <v>1241</v>
      </c>
      <c r="G1244" s="2">
        <v>45266</v>
      </c>
      <c r="H1244" s="14">
        <f t="shared" si="407"/>
        <v>1.9405221136031237E-3</v>
      </c>
      <c r="I1244" s="14">
        <f t="shared" si="408"/>
        <v>2.9390538370450414E-3</v>
      </c>
      <c r="J1244" s="14">
        <f t="shared" si="409"/>
        <v>-2.3513434853513655E-2</v>
      </c>
      <c r="K1244" s="22">
        <v>1241</v>
      </c>
      <c r="L1244" s="12"/>
      <c r="Q1244" s="15">
        <f t="shared" si="410"/>
        <v>1241</v>
      </c>
      <c r="R1244" s="2">
        <f t="shared" si="406"/>
        <v>45266</v>
      </c>
      <c r="S1244" s="9">
        <f t="shared" ca="1" si="411"/>
        <v>1.9405221136031237E-3</v>
      </c>
      <c r="T1244" s="9">
        <f t="shared" ca="1" si="412"/>
        <v>2.9390538370450414E-3</v>
      </c>
      <c r="U1244" s="9">
        <f t="shared" ca="1" si="413"/>
        <v>-2.3513434853513655E-2</v>
      </c>
      <c r="AB1244" s="33" t="e">
        <f t="shared" ca="1" si="419"/>
        <v>#N/A</v>
      </c>
      <c r="AC1244" s="34" t="e">
        <f t="shared" ca="1" si="420"/>
        <v>#N/A</v>
      </c>
      <c r="AD1244" s="34" t="e">
        <f t="shared" ca="1" si="421"/>
        <v>#N/A</v>
      </c>
      <c r="AE1244" s="33" t="e">
        <f t="shared" ca="1" si="422"/>
        <v>#N/A</v>
      </c>
      <c r="AF1244" s="34" t="e">
        <f t="shared" ca="1" si="414"/>
        <v>#N/A</v>
      </c>
      <c r="AG1244" s="34" t="e">
        <f t="shared" ca="1" si="415"/>
        <v>#N/A</v>
      </c>
      <c r="AH1244" s="34" t="e">
        <f t="shared" ca="1" si="416"/>
        <v>#N/A</v>
      </c>
      <c r="AI1244" s="33" t="e">
        <f t="shared" ca="1" si="423"/>
        <v>#N/A</v>
      </c>
      <c r="AJ1244" s="34" t="e">
        <f t="shared" ca="1" si="424"/>
        <v>#N/A</v>
      </c>
      <c r="AK1244" s="34" t="e">
        <f t="shared" ca="1" si="417"/>
        <v>#N/A</v>
      </c>
      <c r="AL1244" s="34" t="e">
        <f t="shared" ca="1" si="418"/>
        <v>#N/A</v>
      </c>
      <c r="AM1244" s="33" t="e">
        <f t="shared" ca="1" si="425"/>
        <v>#N/A</v>
      </c>
      <c r="AN1244" s="34" t="e">
        <f t="shared" ca="1" si="426"/>
        <v>#N/A</v>
      </c>
    </row>
    <row r="1245" spans="1:40" x14ac:dyDescent="0.3">
      <c r="A1245" s="2">
        <v>45267</v>
      </c>
      <c r="B1245" s="9">
        <v>83.089995999999999</v>
      </c>
      <c r="C1245" s="9">
        <v>131.16999799999999</v>
      </c>
      <c r="D1245" s="9">
        <v>122.07</v>
      </c>
      <c r="E1245" s="10"/>
      <c r="F1245" s="13">
        <v>1242</v>
      </c>
      <c r="G1245" s="2">
        <v>45267</v>
      </c>
      <c r="H1245" s="14">
        <f t="shared" si="407"/>
        <v>6.7624580485314773E-3</v>
      </c>
      <c r="I1245" s="14">
        <f t="shared" si="408"/>
        <v>1.2967778414424064E-2</v>
      </c>
      <c r="J1245" s="14">
        <f t="shared" si="409"/>
        <v>-5.3921943716096262E-3</v>
      </c>
      <c r="K1245" s="22">
        <v>1242</v>
      </c>
      <c r="L1245" s="12"/>
      <c r="Q1245" s="15">
        <f t="shared" si="410"/>
        <v>1242</v>
      </c>
      <c r="R1245" s="2">
        <f t="shared" si="406"/>
        <v>45267</v>
      </c>
      <c r="S1245" s="9">
        <f t="shared" ca="1" si="411"/>
        <v>6.7624580485314773E-3</v>
      </c>
      <c r="T1245" s="9">
        <f t="shared" ca="1" si="412"/>
        <v>1.2967778414424064E-2</v>
      </c>
      <c r="U1245" s="9">
        <f t="shared" ca="1" si="413"/>
        <v>-5.3921943716096262E-3</v>
      </c>
      <c r="AB1245" s="33" t="e">
        <f t="shared" ca="1" si="419"/>
        <v>#N/A</v>
      </c>
      <c r="AC1245" s="34" t="e">
        <f t="shared" ca="1" si="420"/>
        <v>#N/A</v>
      </c>
      <c r="AD1245" s="34" t="e">
        <f t="shared" ca="1" si="421"/>
        <v>#N/A</v>
      </c>
      <c r="AE1245" s="33" t="e">
        <f t="shared" ca="1" si="422"/>
        <v>#N/A</v>
      </c>
      <c r="AF1245" s="34" t="e">
        <f t="shared" ca="1" si="414"/>
        <v>#N/A</v>
      </c>
      <c r="AG1245" s="34" t="e">
        <f t="shared" ca="1" si="415"/>
        <v>#N/A</v>
      </c>
      <c r="AH1245" s="34" t="e">
        <f t="shared" ca="1" si="416"/>
        <v>#N/A</v>
      </c>
      <c r="AI1245" s="33" t="e">
        <f t="shared" ca="1" si="423"/>
        <v>#N/A</v>
      </c>
      <c r="AJ1245" s="34" t="e">
        <f t="shared" ca="1" si="424"/>
        <v>#N/A</v>
      </c>
      <c r="AK1245" s="34" t="e">
        <f t="shared" ca="1" si="417"/>
        <v>#N/A</v>
      </c>
      <c r="AL1245" s="34" t="e">
        <f t="shared" ca="1" si="418"/>
        <v>#N/A</v>
      </c>
      <c r="AM1245" s="33" t="e">
        <f t="shared" ca="1" si="425"/>
        <v>#N/A</v>
      </c>
      <c r="AN1245" s="34" t="e">
        <f t="shared" ca="1" si="426"/>
        <v>#N/A</v>
      </c>
    </row>
    <row r="1246" spans="1:40" x14ac:dyDescent="0.3">
      <c r="A1246" s="2">
        <v>45268</v>
      </c>
      <c r="B1246" s="9">
        <v>83.089995999999999</v>
      </c>
      <c r="C1246" s="9">
        <v>131.759995</v>
      </c>
      <c r="D1246" s="9">
        <v>122.739998</v>
      </c>
      <c r="E1246" s="10"/>
      <c r="F1246" s="13">
        <v>1243</v>
      </c>
      <c r="G1246" s="2">
        <v>45268</v>
      </c>
      <c r="H1246" s="14">
        <f t="shared" si="407"/>
        <v>0</v>
      </c>
      <c r="I1246" s="14">
        <f t="shared" si="408"/>
        <v>4.4878713419349812E-3</v>
      </c>
      <c r="J1246" s="14">
        <f t="shared" si="409"/>
        <v>5.4736299846361632E-3</v>
      </c>
      <c r="K1246" s="22">
        <v>1243</v>
      </c>
      <c r="L1246" s="12"/>
      <c r="Q1246" s="15">
        <f t="shared" si="410"/>
        <v>1243</v>
      </c>
      <c r="R1246" s="2">
        <f t="shared" si="406"/>
        <v>45268</v>
      </c>
      <c r="S1246" s="9">
        <f t="shared" ca="1" si="411"/>
        <v>0</v>
      </c>
      <c r="T1246" s="9">
        <f t="shared" ca="1" si="412"/>
        <v>4.4878713419349812E-3</v>
      </c>
      <c r="U1246" s="9">
        <f t="shared" ca="1" si="413"/>
        <v>5.4736299846361632E-3</v>
      </c>
      <c r="AB1246" s="33" t="e">
        <f t="shared" ca="1" si="419"/>
        <v>#N/A</v>
      </c>
      <c r="AC1246" s="34" t="e">
        <f t="shared" ca="1" si="420"/>
        <v>#N/A</v>
      </c>
      <c r="AD1246" s="34" t="e">
        <f t="shared" ca="1" si="421"/>
        <v>#N/A</v>
      </c>
      <c r="AE1246" s="33" t="e">
        <f t="shared" ca="1" si="422"/>
        <v>#N/A</v>
      </c>
      <c r="AF1246" s="34" t="e">
        <f t="shared" ca="1" si="414"/>
        <v>#N/A</v>
      </c>
      <c r="AG1246" s="34" t="e">
        <f t="shared" ca="1" si="415"/>
        <v>#N/A</v>
      </c>
      <c r="AH1246" s="34" t="e">
        <f t="shared" ca="1" si="416"/>
        <v>#N/A</v>
      </c>
      <c r="AI1246" s="33" t="e">
        <f t="shared" ca="1" si="423"/>
        <v>#N/A</v>
      </c>
      <c r="AJ1246" s="34" t="e">
        <f t="shared" ca="1" si="424"/>
        <v>#N/A</v>
      </c>
      <c r="AK1246" s="34" t="e">
        <f t="shared" ca="1" si="417"/>
        <v>#N/A</v>
      </c>
      <c r="AL1246" s="34" t="e">
        <f t="shared" ca="1" si="418"/>
        <v>#N/A</v>
      </c>
      <c r="AM1246" s="33" t="e">
        <f t="shared" ca="1" si="425"/>
        <v>#N/A</v>
      </c>
      <c r="AN1246" s="34" t="e">
        <f t="shared" ca="1" si="426"/>
        <v>#N/A</v>
      </c>
    </row>
    <row r="1247" spans="1:40" x14ac:dyDescent="0.3">
      <c r="A1247" s="2">
        <v>45271</v>
      </c>
      <c r="B1247" s="9">
        <v>83.879997000000003</v>
      </c>
      <c r="C1247" s="9">
        <v>134.25</v>
      </c>
      <c r="D1247" s="9">
        <v>123.480003</v>
      </c>
      <c r="E1247" s="10"/>
      <c r="F1247" s="13">
        <v>1244</v>
      </c>
      <c r="G1247" s="2">
        <v>45271</v>
      </c>
      <c r="H1247" s="14">
        <f t="shared" si="407"/>
        <v>9.4628607320211815E-3</v>
      </c>
      <c r="I1247" s="14">
        <f t="shared" si="408"/>
        <v>1.8721685467373819E-2</v>
      </c>
      <c r="J1247" s="14">
        <f t="shared" si="409"/>
        <v>6.0109432630463169E-3</v>
      </c>
      <c r="K1247" s="22">
        <v>1244</v>
      </c>
      <c r="L1247" s="12"/>
      <c r="Q1247" s="15">
        <f t="shared" si="410"/>
        <v>1244</v>
      </c>
      <c r="R1247" s="2">
        <f t="shared" si="406"/>
        <v>45271</v>
      </c>
      <c r="S1247" s="9">
        <f t="shared" ca="1" si="411"/>
        <v>9.4628607320211815E-3</v>
      </c>
      <c r="T1247" s="9">
        <f t="shared" ca="1" si="412"/>
        <v>1.8721685467373819E-2</v>
      </c>
      <c r="U1247" s="9">
        <f t="shared" ca="1" si="413"/>
        <v>6.0109432630463169E-3</v>
      </c>
      <c r="AB1247" s="33" t="e">
        <f t="shared" ca="1" si="419"/>
        <v>#N/A</v>
      </c>
      <c r="AC1247" s="34" t="e">
        <f t="shared" ca="1" si="420"/>
        <v>#N/A</v>
      </c>
      <c r="AD1247" s="34" t="e">
        <f t="shared" ca="1" si="421"/>
        <v>#N/A</v>
      </c>
      <c r="AE1247" s="33" t="e">
        <f t="shared" ca="1" si="422"/>
        <v>#N/A</v>
      </c>
      <c r="AF1247" s="34" t="e">
        <f t="shared" ca="1" si="414"/>
        <v>#N/A</v>
      </c>
      <c r="AG1247" s="34" t="e">
        <f t="shared" ca="1" si="415"/>
        <v>#N/A</v>
      </c>
      <c r="AH1247" s="34" t="e">
        <f t="shared" ca="1" si="416"/>
        <v>#N/A</v>
      </c>
      <c r="AI1247" s="33" t="e">
        <f t="shared" ca="1" si="423"/>
        <v>#N/A</v>
      </c>
      <c r="AJ1247" s="34" t="e">
        <f t="shared" ca="1" si="424"/>
        <v>#N/A</v>
      </c>
      <c r="AK1247" s="34" t="e">
        <f t="shared" ca="1" si="417"/>
        <v>#N/A</v>
      </c>
      <c r="AL1247" s="34" t="e">
        <f t="shared" ca="1" si="418"/>
        <v>#N/A</v>
      </c>
      <c r="AM1247" s="33" t="e">
        <f t="shared" ca="1" si="425"/>
        <v>#N/A</v>
      </c>
      <c r="AN1247" s="34" t="e">
        <f t="shared" ca="1" si="426"/>
        <v>#N/A</v>
      </c>
    </row>
    <row r="1248" spans="1:40" x14ac:dyDescent="0.3">
      <c r="A1248" s="2">
        <v>45272</v>
      </c>
      <c r="B1248" s="9">
        <v>83.720000999999996</v>
      </c>
      <c r="C1248" s="9">
        <v>135.33999600000001</v>
      </c>
      <c r="D1248" s="9">
        <v>120.900002</v>
      </c>
      <c r="E1248" s="10"/>
      <c r="F1248" s="13">
        <v>1245</v>
      </c>
      <c r="G1248" s="2">
        <v>45272</v>
      </c>
      <c r="H1248" s="14">
        <f t="shared" si="407"/>
        <v>-1.9092607459635044E-3</v>
      </c>
      <c r="I1248" s="14">
        <f t="shared" si="408"/>
        <v>8.0863678599107681E-3</v>
      </c>
      <c r="J1248" s="14">
        <f t="shared" si="409"/>
        <v>-2.1115449766046651E-2</v>
      </c>
      <c r="K1248" s="22">
        <v>1245</v>
      </c>
      <c r="L1248" s="12"/>
      <c r="Q1248" s="15">
        <f t="shared" si="410"/>
        <v>1245</v>
      </c>
      <c r="R1248" s="2">
        <f t="shared" si="406"/>
        <v>45272</v>
      </c>
      <c r="S1248" s="9">
        <f t="shared" ca="1" si="411"/>
        <v>-1.9092607459635044E-3</v>
      </c>
      <c r="T1248" s="9">
        <f t="shared" ca="1" si="412"/>
        <v>8.0863678599107681E-3</v>
      </c>
      <c r="U1248" s="9">
        <f t="shared" ca="1" si="413"/>
        <v>-2.1115449766046651E-2</v>
      </c>
      <c r="AB1248" s="33" t="e">
        <f t="shared" ca="1" si="419"/>
        <v>#N/A</v>
      </c>
      <c r="AC1248" s="34" t="e">
        <f t="shared" ca="1" si="420"/>
        <v>#N/A</v>
      </c>
      <c r="AD1248" s="34" t="e">
        <f t="shared" ca="1" si="421"/>
        <v>#N/A</v>
      </c>
      <c r="AE1248" s="33" t="e">
        <f t="shared" ca="1" si="422"/>
        <v>#N/A</v>
      </c>
      <c r="AF1248" s="34" t="e">
        <f t="shared" ca="1" si="414"/>
        <v>#N/A</v>
      </c>
      <c r="AG1248" s="34" t="e">
        <f t="shared" ca="1" si="415"/>
        <v>#N/A</v>
      </c>
      <c r="AH1248" s="34" t="e">
        <f t="shared" ca="1" si="416"/>
        <v>#N/A</v>
      </c>
      <c r="AI1248" s="33" t="e">
        <f t="shared" ca="1" si="423"/>
        <v>#N/A</v>
      </c>
      <c r="AJ1248" s="34" t="e">
        <f t="shared" ca="1" si="424"/>
        <v>#N/A</v>
      </c>
      <c r="AK1248" s="34" t="e">
        <f t="shared" ca="1" si="417"/>
        <v>#N/A</v>
      </c>
      <c r="AL1248" s="34" t="e">
        <f t="shared" ca="1" si="418"/>
        <v>#N/A</v>
      </c>
      <c r="AM1248" s="33" t="e">
        <f t="shared" ca="1" si="425"/>
        <v>#N/A</v>
      </c>
      <c r="AN1248" s="34" t="e">
        <f t="shared" ca="1" si="426"/>
        <v>#N/A</v>
      </c>
    </row>
    <row r="1249" spans="1:40" x14ac:dyDescent="0.3">
      <c r="A1249" s="2">
        <v>45273</v>
      </c>
      <c r="B1249" s="9">
        <v>84.120002999999997</v>
      </c>
      <c r="C1249" s="9">
        <v>138.38999899999999</v>
      </c>
      <c r="D1249" s="9">
        <v>124.800003</v>
      </c>
      <c r="E1249" s="10"/>
      <c r="F1249" s="13">
        <v>1246</v>
      </c>
      <c r="G1249" s="2">
        <v>45273</v>
      </c>
      <c r="H1249" s="14">
        <f t="shared" si="407"/>
        <v>4.7664769754603526E-3</v>
      </c>
      <c r="I1249" s="14">
        <f t="shared" si="408"/>
        <v>2.2285677762998359E-2</v>
      </c>
      <c r="J1249" s="14">
        <f t="shared" si="409"/>
        <v>3.1748705810444457E-2</v>
      </c>
      <c r="K1249" s="22">
        <v>1246</v>
      </c>
      <c r="L1249" s="12"/>
      <c r="Q1249" s="15">
        <f t="shared" si="410"/>
        <v>1246</v>
      </c>
      <c r="R1249" s="2">
        <f t="shared" si="406"/>
        <v>45273</v>
      </c>
      <c r="S1249" s="9">
        <f t="shared" ca="1" si="411"/>
        <v>4.7664769754603526E-3</v>
      </c>
      <c r="T1249" s="9">
        <f t="shared" ca="1" si="412"/>
        <v>2.2285677762998359E-2</v>
      </c>
      <c r="U1249" s="9">
        <f t="shared" ca="1" si="413"/>
        <v>3.1748705810444457E-2</v>
      </c>
      <c r="AB1249" s="33" t="e">
        <f t="shared" ca="1" si="419"/>
        <v>#N/A</v>
      </c>
      <c r="AC1249" s="34" t="e">
        <f t="shared" ca="1" si="420"/>
        <v>#N/A</v>
      </c>
      <c r="AD1249" s="34" t="e">
        <f t="shared" ca="1" si="421"/>
        <v>#N/A</v>
      </c>
      <c r="AE1249" s="33" t="e">
        <f t="shared" ca="1" si="422"/>
        <v>#N/A</v>
      </c>
      <c r="AF1249" s="34" t="e">
        <f t="shared" ca="1" si="414"/>
        <v>#N/A</v>
      </c>
      <c r="AG1249" s="34" t="e">
        <f t="shared" ca="1" si="415"/>
        <v>#N/A</v>
      </c>
      <c r="AH1249" s="34" t="e">
        <f t="shared" ca="1" si="416"/>
        <v>#N/A</v>
      </c>
      <c r="AI1249" s="33" t="e">
        <f t="shared" ca="1" si="423"/>
        <v>#N/A</v>
      </c>
      <c r="AJ1249" s="34" t="e">
        <f t="shared" ca="1" si="424"/>
        <v>#N/A</v>
      </c>
      <c r="AK1249" s="34" t="e">
        <f t="shared" ca="1" si="417"/>
        <v>#N/A</v>
      </c>
      <c r="AL1249" s="34" t="e">
        <f t="shared" ca="1" si="418"/>
        <v>#N/A</v>
      </c>
      <c r="AM1249" s="33" t="e">
        <f t="shared" ca="1" si="425"/>
        <v>#N/A</v>
      </c>
      <c r="AN1249" s="34" t="e">
        <f t="shared" ca="1" si="426"/>
        <v>#N/A</v>
      </c>
    </row>
    <row r="1250" spans="1:40" x14ac:dyDescent="0.3">
      <c r="A1250" s="2">
        <v>45274</v>
      </c>
      <c r="B1250" s="9">
        <v>86.620002999999997</v>
      </c>
      <c r="C1250" s="9">
        <v>141.85000600000001</v>
      </c>
      <c r="D1250" s="9">
        <v>129.179993</v>
      </c>
      <c r="E1250" s="10"/>
      <c r="F1250" s="13">
        <v>1247</v>
      </c>
      <c r="G1250" s="2">
        <v>45274</v>
      </c>
      <c r="H1250" s="14">
        <f t="shared" si="407"/>
        <v>2.9286383922677305E-2</v>
      </c>
      <c r="I1250" s="14">
        <f t="shared" si="408"/>
        <v>2.4694424541178726E-2</v>
      </c>
      <c r="J1250" s="14">
        <f t="shared" si="409"/>
        <v>3.4494246442581804E-2</v>
      </c>
      <c r="K1250" s="22">
        <v>1247</v>
      </c>
      <c r="L1250" s="12"/>
      <c r="Q1250" s="15">
        <f t="shared" si="410"/>
        <v>1247</v>
      </c>
      <c r="R1250" s="2">
        <f t="shared" si="406"/>
        <v>45274</v>
      </c>
      <c r="S1250" s="9">
        <f t="shared" ca="1" si="411"/>
        <v>2.9286383922677305E-2</v>
      </c>
      <c r="T1250" s="9">
        <f t="shared" ca="1" si="412"/>
        <v>2.4694424541178726E-2</v>
      </c>
      <c r="U1250" s="9">
        <f t="shared" ca="1" si="413"/>
        <v>3.4494246442581804E-2</v>
      </c>
      <c r="AB1250" s="33" t="e">
        <f t="shared" ca="1" si="419"/>
        <v>#N/A</v>
      </c>
      <c r="AC1250" s="34" t="e">
        <f t="shared" ca="1" si="420"/>
        <v>#N/A</v>
      </c>
      <c r="AD1250" s="34" t="e">
        <f t="shared" ca="1" si="421"/>
        <v>#N/A</v>
      </c>
      <c r="AE1250" s="33" t="e">
        <f t="shared" ca="1" si="422"/>
        <v>#N/A</v>
      </c>
      <c r="AF1250" s="34" t="e">
        <f t="shared" ca="1" si="414"/>
        <v>#N/A</v>
      </c>
      <c r="AG1250" s="34" t="e">
        <f t="shared" ca="1" si="415"/>
        <v>#N/A</v>
      </c>
      <c r="AH1250" s="34" t="e">
        <f t="shared" ca="1" si="416"/>
        <v>#N/A</v>
      </c>
      <c r="AI1250" s="33" t="e">
        <f t="shared" ca="1" si="423"/>
        <v>#N/A</v>
      </c>
      <c r="AJ1250" s="34" t="e">
        <f t="shared" ca="1" si="424"/>
        <v>#N/A</v>
      </c>
      <c r="AK1250" s="34" t="e">
        <f t="shared" ca="1" si="417"/>
        <v>#N/A</v>
      </c>
      <c r="AL1250" s="34" t="e">
        <f t="shared" ca="1" si="418"/>
        <v>#N/A</v>
      </c>
      <c r="AM1250" s="33" t="e">
        <f t="shared" ca="1" si="425"/>
        <v>#N/A</v>
      </c>
      <c r="AN1250" s="34" t="e">
        <f t="shared" ca="1" si="426"/>
        <v>#N/A</v>
      </c>
    </row>
    <row r="1251" spans="1:40" x14ac:dyDescent="0.3">
      <c r="A1251" s="2">
        <v>45275</v>
      </c>
      <c r="B1251" s="9">
        <v>87.010002</v>
      </c>
      <c r="C1251" s="9">
        <v>141.050003</v>
      </c>
      <c r="D1251" s="9">
        <v>128.570007</v>
      </c>
      <c r="E1251" s="10"/>
      <c r="F1251" s="13">
        <v>1248</v>
      </c>
      <c r="G1251" s="2">
        <v>45275</v>
      </c>
      <c r="H1251" s="14">
        <f t="shared" si="407"/>
        <v>4.4923071432828674E-3</v>
      </c>
      <c r="I1251" s="14">
        <f t="shared" si="408"/>
        <v>-5.655744836003204E-3</v>
      </c>
      <c r="J1251" s="14">
        <f t="shared" si="409"/>
        <v>-4.7331688751649226E-3</v>
      </c>
      <c r="K1251" s="22">
        <v>1248</v>
      </c>
      <c r="L1251" s="12"/>
      <c r="Q1251" s="15">
        <f t="shared" si="410"/>
        <v>1248</v>
      </c>
      <c r="R1251" s="2">
        <f t="shared" si="406"/>
        <v>45275</v>
      </c>
      <c r="S1251" s="9">
        <f t="shared" ca="1" si="411"/>
        <v>4.4923071432828674E-3</v>
      </c>
      <c r="T1251" s="9">
        <f t="shared" ca="1" si="412"/>
        <v>-5.655744836003204E-3</v>
      </c>
      <c r="U1251" s="9">
        <f t="shared" ca="1" si="413"/>
        <v>-4.7331688751649226E-3</v>
      </c>
      <c r="AB1251" s="33" t="e">
        <f t="shared" ca="1" si="419"/>
        <v>#N/A</v>
      </c>
      <c r="AC1251" s="34" t="e">
        <f t="shared" ca="1" si="420"/>
        <v>#N/A</v>
      </c>
      <c r="AD1251" s="34" t="e">
        <f t="shared" ca="1" si="421"/>
        <v>#N/A</v>
      </c>
      <c r="AE1251" s="33" t="e">
        <f t="shared" ca="1" si="422"/>
        <v>#N/A</v>
      </c>
      <c r="AF1251" s="34" t="e">
        <f t="shared" ca="1" si="414"/>
        <v>#N/A</v>
      </c>
      <c r="AG1251" s="34" t="e">
        <f t="shared" ca="1" si="415"/>
        <v>#N/A</v>
      </c>
      <c r="AH1251" s="34" t="e">
        <f t="shared" ca="1" si="416"/>
        <v>#N/A</v>
      </c>
      <c r="AI1251" s="33" t="e">
        <f t="shared" ca="1" si="423"/>
        <v>#N/A</v>
      </c>
      <c r="AJ1251" s="34" t="e">
        <f t="shared" ca="1" si="424"/>
        <v>#N/A</v>
      </c>
      <c r="AK1251" s="34" t="e">
        <f t="shared" ca="1" si="417"/>
        <v>#N/A</v>
      </c>
      <c r="AL1251" s="34" t="e">
        <f t="shared" ca="1" si="418"/>
        <v>#N/A</v>
      </c>
      <c r="AM1251" s="33" t="e">
        <f t="shared" ca="1" si="425"/>
        <v>#N/A</v>
      </c>
      <c r="AN1251" s="34" t="e">
        <f t="shared" ca="1" si="426"/>
        <v>#N/A</v>
      </c>
    </row>
    <row r="1252" spans="1:40" x14ac:dyDescent="0.3">
      <c r="A1252" s="2">
        <v>45278</v>
      </c>
      <c r="B1252" s="9">
        <v>87.199996999999996</v>
      </c>
      <c r="C1252" s="9">
        <v>143.58999600000001</v>
      </c>
      <c r="D1252" s="9">
        <v>131.91999799999999</v>
      </c>
      <c r="E1252" s="10"/>
      <c r="F1252" s="13">
        <v>1249</v>
      </c>
      <c r="G1252" s="2">
        <v>45278</v>
      </c>
      <c r="H1252" s="14">
        <f t="shared" si="407"/>
        <v>2.1812189474670141E-3</v>
      </c>
      <c r="I1252" s="14">
        <f t="shared" si="408"/>
        <v>1.784752973213339E-2</v>
      </c>
      <c r="J1252" s="14">
        <f t="shared" si="409"/>
        <v>2.572210554943434E-2</v>
      </c>
      <c r="K1252" s="22">
        <v>1249</v>
      </c>
      <c r="L1252" s="12"/>
      <c r="Q1252" s="15">
        <f t="shared" si="410"/>
        <v>1249</v>
      </c>
      <c r="R1252" s="2">
        <f t="shared" si="406"/>
        <v>45278</v>
      </c>
      <c r="S1252" s="9">
        <f t="shared" ca="1" si="411"/>
        <v>2.1812189474670141E-3</v>
      </c>
      <c r="T1252" s="9">
        <f t="shared" ca="1" si="412"/>
        <v>1.784752973213339E-2</v>
      </c>
      <c r="U1252" s="9">
        <f t="shared" ca="1" si="413"/>
        <v>2.572210554943434E-2</v>
      </c>
      <c r="AB1252" s="33" t="e">
        <f t="shared" ca="1" si="419"/>
        <v>#N/A</v>
      </c>
      <c r="AC1252" s="34" t="e">
        <f t="shared" ca="1" si="420"/>
        <v>#N/A</v>
      </c>
      <c r="AD1252" s="34" t="e">
        <f t="shared" ca="1" si="421"/>
        <v>#N/A</v>
      </c>
      <c r="AE1252" s="33" t="e">
        <f t="shared" ca="1" si="422"/>
        <v>#N/A</v>
      </c>
      <c r="AF1252" s="34" t="e">
        <f t="shared" ca="1" si="414"/>
        <v>#N/A</v>
      </c>
      <c r="AG1252" s="34" t="e">
        <f t="shared" ca="1" si="415"/>
        <v>#N/A</v>
      </c>
      <c r="AH1252" s="34" t="e">
        <f t="shared" ca="1" si="416"/>
        <v>#N/A</v>
      </c>
      <c r="AI1252" s="33" t="e">
        <f t="shared" ca="1" si="423"/>
        <v>#N/A</v>
      </c>
      <c r="AJ1252" s="34" t="e">
        <f t="shared" ca="1" si="424"/>
        <v>#N/A</v>
      </c>
      <c r="AK1252" s="34" t="e">
        <f t="shared" ca="1" si="417"/>
        <v>#N/A</v>
      </c>
      <c r="AL1252" s="34" t="e">
        <f t="shared" ca="1" si="418"/>
        <v>#N/A</v>
      </c>
      <c r="AM1252" s="33" t="e">
        <f t="shared" ca="1" si="425"/>
        <v>#N/A</v>
      </c>
      <c r="AN1252" s="34" t="e">
        <f t="shared" ca="1" si="426"/>
        <v>#N/A</v>
      </c>
    </row>
    <row r="1253" spans="1:40" x14ac:dyDescent="0.3">
      <c r="A1253" s="2">
        <v>45279</v>
      </c>
      <c r="B1253" s="9">
        <v>87.370002999999997</v>
      </c>
      <c r="C1253" s="9">
        <v>146.41000399999999</v>
      </c>
      <c r="D1253" s="9">
        <v>133.60000600000001</v>
      </c>
      <c r="E1253" s="10"/>
      <c r="F1253" s="13">
        <v>1250</v>
      </c>
      <c r="G1253" s="2">
        <v>45279</v>
      </c>
      <c r="H1253" s="14">
        <f t="shared" si="407"/>
        <v>1.9477121354677905E-3</v>
      </c>
      <c r="I1253" s="14">
        <f t="shared" si="408"/>
        <v>1.9448944076736367E-2</v>
      </c>
      <c r="J1253" s="14">
        <f t="shared" si="409"/>
        <v>1.2654642922084205E-2</v>
      </c>
      <c r="K1253" s="22">
        <v>1250</v>
      </c>
      <c r="L1253" s="12"/>
      <c r="Q1253" s="15">
        <f t="shared" si="410"/>
        <v>1250</v>
      </c>
      <c r="R1253" s="2">
        <f t="shared" si="406"/>
        <v>45279</v>
      </c>
      <c r="S1253" s="9">
        <f t="shared" ca="1" si="411"/>
        <v>1.9477121354677905E-3</v>
      </c>
      <c r="T1253" s="9">
        <f t="shared" ca="1" si="412"/>
        <v>1.9448944076736367E-2</v>
      </c>
      <c r="U1253" s="9">
        <f t="shared" ca="1" si="413"/>
        <v>1.2654642922084205E-2</v>
      </c>
      <c r="AB1253" s="33" t="e">
        <f t="shared" ca="1" si="419"/>
        <v>#N/A</v>
      </c>
      <c r="AC1253" s="34" t="e">
        <f t="shared" ca="1" si="420"/>
        <v>#N/A</v>
      </c>
      <c r="AD1253" s="34" t="e">
        <f t="shared" ca="1" si="421"/>
        <v>#N/A</v>
      </c>
      <c r="AE1253" s="33" t="e">
        <f t="shared" ca="1" si="422"/>
        <v>#N/A</v>
      </c>
      <c r="AF1253" s="34" t="e">
        <f t="shared" ca="1" si="414"/>
        <v>#N/A</v>
      </c>
      <c r="AG1253" s="34" t="e">
        <f t="shared" ca="1" si="415"/>
        <v>#N/A</v>
      </c>
      <c r="AH1253" s="34" t="e">
        <f t="shared" ca="1" si="416"/>
        <v>#N/A</v>
      </c>
      <c r="AI1253" s="33" t="e">
        <f t="shared" ca="1" si="423"/>
        <v>#N/A</v>
      </c>
      <c r="AJ1253" s="34" t="e">
        <f t="shared" ca="1" si="424"/>
        <v>#N/A</v>
      </c>
      <c r="AK1253" s="34" t="e">
        <f t="shared" ca="1" si="417"/>
        <v>#N/A</v>
      </c>
      <c r="AL1253" s="34" t="e">
        <f t="shared" ca="1" si="418"/>
        <v>#N/A</v>
      </c>
      <c r="AM1253" s="33" t="e">
        <f t="shared" ca="1" si="425"/>
        <v>#N/A</v>
      </c>
      <c r="AN1253" s="34" t="e">
        <f t="shared" ca="1" si="426"/>
        <v>#N/A</v>
      </c>
    </row>
    <row r="1254" spans="1:40" x14ac:dyDescent="0.3">
      <c r="A1254" s="2">
        <v>45280</v>
      </c>
      <c r="B1254" s="9">
        <v>86.139999000000003</v>
      </c>
      <c r="C1254" s="9">
        <v>145.550003</v>
      </c>
      <c r="D1254" s="9">
        <v>132.53999300000001</v>
      </c>
      <c r="E1254" s="10"/>
      <c r="F1254" s="13">
        <v>1251</v>
      </c>
      <c r="G1254" s="2">
        <v>45280</v>
      </c>
      <c r="H1254" s="14">
        <f t="shared" si="407"/>
        <v>-1.4178140629775534E-2</v>
      </c>
      <c r="I1254" s="14">
        <f t="shared" si="408"/>
        <v>-5.8912417228227845E-3</v>
      </c>
      <c r="J1254" s="14">
        <f t="shared" si="409"/>
        <v>-7.9658721668892582E-3</v>
      </c>
      <c r="K1254" s="22">
        <v>1251</v>
      </c>
      <c r="L1254" s="12"/>
      <c r="Q1254" s="15">
        <f t="shared" si="410"/>
        <v>1251</v>
      </c>
      <c r="R1254" s="2">
        <f t="shared" si="406"/>
        <v>45280</v>
      </c>
      <c r="S1254" s="9">
        <f t="shared" ca="1" si="411"/>
        <v>-1.4178140629775534E-2</v>
      </c>
      <c r="T1254" s="9">
        <f t="shared" ca="1" si="412"/>
        <v>-5.8912417228227845E-3</v>
      </c>
      <c r="U1254" s="9">
        <f t="shared" ca="1" si="413"/>
        <v>-7.9658721668892582E-3</v>
      </c>
      <c r="AB1254" s="33" t="e">
        <f t="shared" ca="1" si="419"/>
        <v>#N/A</v>
      </c>
      <c r="AC1254" s="34" t="e">
        <f t="shared" ca="1" si="420"/>
        <v>#N/A</v>
      </c>
      <c r="AD1254" s="34" t="e">
        <f t="shared" ca="1" si="421"/>
        <v>#N/A</v>
      </c>
      <c r="AE1254" s="33" t="e">
        <f t="shared" ca="1" si="422"/>
        <v>#N/A</v>
      </c>
      <c r="AF1254" s="34" t="e">
        <f t="shared" ca="1" si="414"/>
        <v>#N/A</v>
      </c>
      <c r="AG1254" s="34" t="e">
        <f t="shared" ca="1" si="415"/>
        <v>#N/A</v>
      </c>
      <c r="AH1254" s="34" t="e">
        <f t="shared" ca="1" si="416"/>
        <v>#N/A</v>
      </c>
      <c r="AI1254" s="33" t="e">
        <f t="shared" ca="1" si="423"/>
        <v>#N/A</v>
      </c>
      <c r="AJ1254" s="34" t="e">
        <f t="shared" ca="1" si="424"/>
        <v>#N/A</v>
      </c>
      <c r="AK1254" s="34" t="e">
        <f t="shared" ca="1" si="417"/>
        <v>#N/A</v>
      </c>
      <c r="AL1254" s="34" t="e">
        <f t="shared" ca="1" si="418"/>
        <v>#N/A</v>
      </c>
      <c r="AM1254" s="33" t="e">
        <f t="shared" ca="1" si="425"/>
        <v>#N/A</v>
      </c>
      <c r="AN1254" s="34" t="e">
        <f t="shared" ca="1" si="426"/>
        <v>#N/A</v>
      </c>
    </row>
    <row r="1255" spans="1:40" x14ac:dyDescent="0.3">
      <c r="A1255" s="2">
        <v>45281</v>
      </c>
      <c r="B1255" s="9">
        <v>86.82</v>
      </c>
      <c r="C1255" s="9">
        <v>147.91999799999999</v>
      </c>
      <c r="D1255" s="9">
        <v>131.91999799999999</v>
      </c>
      <c r="E1255" s="10"/>
      <c r="F1255" s="13">
        <v>1252</v>
      </c>
      <c r="G1255" s="2">
        <v>45281</v>
      </c>
      <c r="H1255" s="14">
        <f t="shared" si="407"/>
        <v>7.8631418544915319E-3</v>
      </c>
      <c r="I1255" s="14">
        <f t="shared" si="408"/>
        <v>1.6151882754941529E-2</v>
      </c>
      <c r="J1255" s="14">
        <f t="shared" si="409"/>
        <v>-4.6887707551948642E-3</v>
      </c>
      <c r="K1255" s="22">
        <v>1252</v>
      </c>
      <c r="L1255" s="12"/>
      <c r="Q1255" s="15">
        <f t="shared" si="410"/>
        <v>1252</v>
      </c>
      <c r="R1255" s="2">
        <f t="shared" si="406"/>
        <v>45281</v>
      </c>
      <c r="S1255" s="9">
        <f t="shared" ca="1" si="411"/>
        <v>7.8631418544915319E-3</v>
      </c>
      <c r="T1255" s="9">
        <f t="shared" ca="1" si="412"/>
        <v>1.6151882754941529E-2</v>
      </c>
      <c r="U1255" s="9">
        <f t="shared" ca="1" si="413"/>
        <v>-4.6887707551948642E-3</v>
      </c>
      <c r="AB1255" s="33" t="e">
        <f t="shared" ca="1" si="419"/>
        <v>#N/A</v>
      </c>
      <c r="AC1255" s="34" t="e">
        <f t="shared" ca="1" si="420"/>
        <v>#N/A</v>
      </c>
      <c r="AD1255" s="34" t="e">
        <f t="shared" ca="1" si="421"/>
        <v>#N/A</v>
      </c>
      <c r="AE1255" s="33" t="e">
        <f t="shared" ca="1" si="422"/>
        <v>#N/A</v>
      </c>
      <c r="AF1255" s="34" t="e">
        <f t="shared" ca="1" si="414"/>
        <v>#N/A</v>
      </c>
      <c r="AG1255" s="34" t="e">
        <f t="shared" ca="1" si="415"/>
        <v>#N/A</v>
      </c>
      <c r="AH1255" s="34" t="e">
        <f t="shared" ca="1" si="416"/>
        <v>#N/A</v>
      </c>
      <c r="AI1255" s="33" t="e">
        <f t="shared" ca="1" si="423"/>
        <v>#N/A</v>
      </c>
      <c r="AJ1255" s="34" t="e">
        <f t="shared" ca="1" si="424"/>
        <v>#N/A</v>
      </c>
      <c r="AK1255" s="34" t="e">
        <f t="shared" ca="1" si="417"/>
        <v>#N/A</v>
      </c>
      <c r="AL1255" s="34" t="e">
        <f t="shared" ca="1" si="418"/>
        <v>#N/A</v>
      </c>
      <c r="AM1255" s="33" t="e">
        <f t="shared" ca="1" si="425"/>
        <v>#N/A</v>
      </c>
      <c r="AN1255" s="34" t="e">
        <f t="shared" ca="1" si="426"/>
        <v>#N/A</v>
      </c>
    </row>
    <row r="1256" spans="1:40" x14ac:dyDescent="0.3">
      <c r="A1256" s="2">
        <v>45282</v>
      </c>
      <c r="B1256" s="9">
        <v>87.269997000000004</v>
      </c>
      <c r="C1256" s="9">
        <v>145.470001</v>
      </c>
      <c r="D1256" s="9">
        <v>132.199997</v>
      </c>
      <c r="E1256" s="10"/>
      <c r="F1256" s="13">
        <v>1253</v>
      </c>
      <c r="G1256" s="2">
        <v>45282</v>
      </c>
      <c r="H1256" s="14">
        <f t="shared" si="407"/>
        <v>5.1697169276976795E-3</v>
      </c>
      <c r="I1256" s="14">
        <f t="shared" si="408"/>
        <v>-1.6701686898407016E-2</v>
      </c>
      <c r="J1256" s="14">
        <f t="shared" si="409"/>
        <v>2.120241634056269E-3</v>
      </c>
      <c r="K1256" s="22">
        <v>1253</v>
      </c>
      <c r="L1256" s="12"/>
      <c r="Q1256" s="15">
        <f t="shared" si="410"/>
        <v>1253</v>
      </c>
      <c r="R1256" s="2">
        <f>IF(Q1256="","",VLOOKUP(Q1256,F1256:J2513,2))</f>
        <v>45282</v>
      </c>
      <c r="S1256" s="9">
        <f t="shared" ca="1" si="411"/>
        <v>5.1697169276976795E-3</v>
      </c>
      <c r="T1256" s="9">
        <f t="shared" ca="1" si="412"/>
        <v>-1.6701686898407016E-2</v>
      </c>
      <c r="U1256" s="9">
        <f t="shared" ca="1" si="413"/>
        <v>2.120241634056269E-3</v>
      </c>
      <c r="AB1256" s="33" t="e">
        <f t="shared" ca="1" si="419"/>
        <v>#N/A</v>
      </c>
      <c r="AC1256" s="34" t="e">
        <f t="shared" ca="1" si="420"/>
        <v>#N/A</v>
      </c>
      <c r="AD1256" s="34" t="e">
        <f t="shared" ca="1" si="421"/>
        <v>#N/A</v>
      </c>
      <c r="AE1256" s="33" t="e">
        <f t="shared" ca="1" si="422"/>
        <v>#N/A</v>
      </c>
      <c r="AF1256" s="34" t="e">
        <f t="shared" ca="1" si="414"/>
        <v>#N/A</v>
      </c>
      <c r="AG1256" s="34" t="e">
        <f t="shared" ca="1" si="415"/>
        <v>#N/A</v>
      </c>
      <c r="AH1256" s="34" t="e">
        <f t="shared" ca="1" si="416"/>
        <v>#N/A</v>
      </c>
      <c r="AI1256" s="33" t="e">
        <f t="shared" ca="1" si="423"/>
        <v>#N/A</v>
      </c>
      <c r="AJ1256" s="34" t="e">
        <f t="shared" ca="1" si="424"/>
        <v>#N/A</v>
      </c>
      <c r="AK1256" s="34" t="e">
        <f t="shared" ca="1" si="417"/>
        <v>#N/A</v>
      </c>
      <c r="AL1256" s="34" t="e">
        <f t="shared" ca="1" si="418"/>
        <v>#N/A</v>
      </c>
      <c r="AM1256" s="33" t="e">
        <f t="shared" ca="1" si="425"/>
        <v>#N/A</v>
      </c>
      <c r="AN1256" s="34" t="e">
        <f t="shared" ca="1" si="426"/>
        <v>#N/A</v>
      </c>
    </row>
    <row r="1257" spans="1:40" x14ac:dyDescent="0.3">
      <c r="A1257" s="2">
        <v>45286</v>
      </c>
      <c r="B1257" s="9">
        <v>87.650002000000001</v>
      </c>
      <c r="C1257" s="9">
        <v>145.949997</v>
      </c>
      <c r="D1257" s="9">
        <v>133.19000199999999</v>
      </c>
      <c r="E1257" s="10"/>
      <c r="F1257" s="13">
        <v>1254</v>
      </c>
      <c r="G1257" s="2">
        <v>45286</v>
      </c>
      <c r="H1257" s="14">
        <f t="shared" si="407"/>
        <v>4.3449073861243845E-3</v>
      </c>
      <c r="I1257" s="14">
        <f t="shared" si="408"/>
        <v>3.2941900854987589E-3</v>
      </c>
      <c r="J1257" s="14">
        <f t="shared" si="409"/>
        <v>7.4607905043852047E-3</v>
      </c>
      <c r="K1257" s="22">
        <v>1254</v>
      </c>
      <c r="L1257" s="12"/>
      <c r="Q1257" s="15">
        <f t="shared" si="410"/>
        <v>1254</v>
      </c>
      <c r="R1257" s="2">
        <f t="shared" si="406"/>
        <v>45286</v>
      </c>
      <c r="S1257" s="9">
        <f t="shared" ca="1" si="411"/>
        <v>4.3449073861243845E-3</v>
      </c>
      <c r="T1257" s="9">
        <f t="shared" ca="1" si="412"/>
        <v>3.2941900854987589E-3</v>
      </c>
      <c r="U1257" s="9">
        <f t="shared" ca="1" si="413"/>
        <v>7.4607905043852047E-3</v>
      </c>
      <c r="AB1257" s="33" t="e">
        <f t="shared" ca="1" si="419"/>
        <v>#N/A</v>
      </c>
      <c r="AC1257" s="34" t="e">
        <f t="shared" ca="1" si="420"/>
        <v>#N/A</v>
      </c>
      <c r="AD1257" s="34" t="e">
        <f t="shared" ca="1" si="421"/>
        <v>#N/A</v>
      </c>
      <c r="AE1257" s="33" t="e">
        <f t="shared" ca="1" si="422"/>
        <v>#N/A</v>
      </c>
      <c r="AF1257" s="34" t="e">
        <f t="shared" ca="1" si="414"/>
        <v>#N/A</v>
      </c>
      <c r="AG1257" s="34" t="e">
        <f t="shared" ca="1" si="415"/>
        <v>#N/A</v>
      </c>
      <c r="AH1257" s="34" t="e">
        <f t="shared" ca="1" si="416"/>
        <v>#N/A</v>
      </c>
      <c r="AI1257" s="33" t="e">
        <f t="shared" ca="1" si="423"/>
        <v>#N/A</v>
      </c>
      <c r="AJ1257" s="34" t="e">
        <f t="shared" ca="1" si="424"/>
        <v>#N/A</v>
      </c>
      <c r="AK1257" s="34" t="e">
        <f t="shared" ca="1" si="417"/>
        <v>#N/A</v>
      </c>
      <c r="AL1257" s="34" t="e">
        <f t="shared" ca="1" si="418"/>
        <v>#N/A</v>
      </c>
      <c r="AM1257" s="33" t="e">
        <f t="shared" ca="1" si="425"/>
        <v>#N/A</v>
      </c>
      <c r="AN1257" s="34" t="e">
        <f t="shared" ca="1" si="426"/>
        <v>#N/A</v>
      </c>
    </row>
    <row r="1258" spans="1:40" x14ac:dyDescent="0.3">
      <c r="A1258" s="2">
        <v>45287</v>
      </c>
      <c r="B1258" s="9">
        <v>88.010002</v>
      </c>
      <c r="C1258" s="9">
        <v>145.63000500000001</v>
      </c>
      <c r="D1258" s="9">
        <v>131.820007</v>
      </c>
      <c r="E1258" s="10"/>
      <c r="F1258" s="13">
        <v>1255</v>
      </c>
      <c r="G1258" s="2">
        <v>45287</v>
      </c>
      <c r="H1258" s="14">
        <f t="shared" si="407"/>
        <v>4.0988329251409831E-3</v>
      </c>
      <c r="I1258" s="14">
        <f t="shared" si="408"/>
        <v>-2.1948839170653389E-3</v>
      </c>
      <c r="J1258" s="14">
        <f t="shared" si="409"/>
        <v>-1.0339286501793112E-2</v>
      </c>
      <c r="K1258" s="22">
        <v>1255</v>
      </c>
      <c r="L1258" s="12"/>
      <c r="Q1258" s="15">
        <f t="shared" si="410"/>
        <v>1255</v>
      </c>
      <c r="R1258" s="2">
        <f t="shared" si="406"/>
        <v>45287</v>
      </c>
      <c r="S1258" s="9">
        <f t="shared" ca="1" si="411"/>
        <v>4.0988329251409831E-3</v>
      </c>
      <c r="T1258" s="9">
        <f t="shared" ca="1" si="412"/>
        <v>-2.1948839170653389E-3</v>
      </c>
      <c r="U1258" s="9">
        <f t="shared" ca="1" si="413"/>
        <v>-1.0339286501793112E-2</v>
      </c>
      <c r="AB1258" s="33" t="e">
        <f t="shared" ca="1" si="419"/>
        <v>#N/A</v>
      </c>
      <c r="AC1258" s="34" t="e">
        <f t="shared" ca="1" si="420"/>
        <v>#N/A</v>
      </c>
      <c r="AD1258" s="34" t="e">
        <f t="shared" ca="1" si="421"/>
        <v>#N/A</v>
      </c>
      <c r="AE1258" s="33" t="e">
        <f t="shared" ca="1" si="422"/>
        <v>#N/A</v>
      </c>
      <c r="AF1258" s="34" t="e">
        <f t="shared" ca="1" si="414"/>
        <v>#N/A</v>
      </c>
      <c r="AG1258" s="34" t="e">
        <f t="shared" ca="1" si="415"/>
        <v>#N/A</v>
      </c>
      <c r="AH1258" s="34" t="e">
        <f t="shared" ca="1" si="416"/>
        <v>#N/A</v>
      </c>
      <c r="AI1258" s="33" t="e">
        <f t="shared" ca="1" si="423"/>
        <v>#N/A</v>
      </c>
      <c r="AJ1258" s="34" t="e">
        <f t="shared" ca="1" si="424"/>
        <v>#N/A</v>
      </c>
      <c r="AK1258" s="34" t="e">
        <f t="shared" ca="1" si="417"/>
        <v>#N/A</v>
      </c>
      <c r="AL1258" s="34" t="e">
        <f t="shared" ca="1" si="418"/>
        <v>#N/A</v>
      </c>
      <c r="AM1258" s="33" t="e">
        <f t="shared" ca="1" si="425"/>
        <v>#N/A</v>
      </c>
      <c r="AN1258" s="34" t="e">
        <f t="shared" ca="1" si="426"/>
        <v>#N/A</v>
      </c>
    </row>
    <row r="1259" spans="1:40" x14ac:dyDescent="0.3">
      <c r="A1259" s="2">
        <v>45288</v>
      </c>
      <c r="B1259" s="9">
        <v>88.160004000000001</v>
      </c>
      <c r="C1259" s="9">
        <v>145.699997</v>
      </c>
      <c r="D1259" s="9">
        <v>130.08999600000001</v>
      </c>
      <c r="E1259" s="10"/>
      <c r="F1259" s="13">
        <v>1256</v>
      </c>
      <c r="G1259" s="2">
        <v>45288</v>
      </c>
      <c r="H1259" s="14">
        <f t="shared" si="407"/>
        <v>1.7029236662436963E-3</v>
      </c>
      <c r="I1259" s="14">
        <f t="shared" si="408"/>
        <v>4.8049978283140014E-4</v>
      </c>
      <c r="J1259" s="14">
        <f t="shared" si="409"/>
        <v>-1.3210920861764749E-2</v>
      </c>
      <c r="K1259" s="22">
        <v>1256</v>
      </c>
      <c r="L1259" s="12"/>
      <c r="Q1259" s="15">
        <f t="shared" si="410"/>
        <v>1256</v>
      </c>
      <c r="R1259" s="2">
        <f t="shared" si="406"/>
        <v>45288</v>
      </c>
      <c r="S1259" s="9">
        <f t="shared" ca="1" si="411"/>
        <v>1.7029236662436963E-3</v>
      </c>
      <c r="T1259" s="9">
        <f t="shared" ca="1" si="412"/>
        <v>4.8049978283140014E-4</v>
      </c>
      <c r="U1259" s="9">
        <f t="shared" ca="1" si="413"/>
        <v>-1.3210920861764749E-2</v>
      </c>
      <c r="AB1259" s="33" t="e">
        <f t="shared" ca="1" si="419"/>
        <v>#N/A</v>
      </c>
      <c r="AC1259" s="34" t="e">
        <f t="shared" ca="1" si="420"/>
        <v>#N/A</v>
      </c>
      <c r="AD1259" s="34" t="e">
        <f t="shared" ca="1" si="421"/>
        <v>#N/A</v>
      </c>
      <c r="AE1259" s="33" t="e">
        <f t="shared" ca="1" si="422"/>
        <v>#N/A</v>
      </c>
      <c r="AF1259" s="34" t="e">
        <f t="shared" ca="1" si="414"/>
        <v>#N/A</v>
      </c>
      <c r="AG1259" s="34" t="e">
        <f t="shared" ca="1" si="415"/>
        <v>#N/A</v>
      </c>
      <c r="AH1259" s="34" t="e">
        <f t="shared" ca="1" si="416"/>
        <v>#N/A</v>
      </c>
      <c r="AI1259" s="33" t="e">
        <f t="shared" ca="1" si="423"/>
        <v>#N/A</v>
      </c>
      <c r="AJ1259" s="34" t="e">
        <f t="shared" ca="1" si="424"/>
        <v>#N/A</v>
      </c>
      <c r="AK1259" s="34" t="e">
        <f t="shared" ca="1" si="417"/>
        <v>#N/A</v>
      </c>
      <c r="AL1259" s="34" t="e">
        <f t="shared" ca="1" si="418"/>
        <v>#N/A</v>
      </c>
      <c r="AM1259" s="33" t="e">
        <f t="shared" ca="1" si="425"/>
        <v>#N/A</v>
      </c>
      <c r="AN1259" s="34" t="e">
        <f t="shared" ca="1" si="426"/>
        <v>#N/A</v>
      </c>
    </row>
    <row r="1260" spans="1:40" x14ac:dyDescent="0.3">
      <c r="A1260" s="2">
        <v>45289</v>
      </c>
      <c r="B1260" s="9">
        <v>87.919998000000007</v>
      </c>
      <c r="C1260" s="9">
        <v>144.199997</v>
      </c>
      <c r="D1260" s="9">
        <v>130</v>
      </c>
      <c r="E1260" s="10"/>
      <c r="F1260" s="13">
        <v>1257</v>
      </c>
      <c r="G1260" s="2">
        <v>45289</v>
      </c>
      <c r="H1260" s="14">
        <f t="shared" si="407"/>
        <v>-2.7261034292411185E-3</v>
      </c>
      <c r="I1260" s="14">
        <f t="shared" si="408"/>
        <v>-1.0348488564494805E-2</v>
      </c>
      <c r="J1260" s="14">
        <f t="shared" si="409"/>
        <v>-6.9203740994113676E-4</v>
      </c>
      <c r="K1260" s="22">
        <v>1257</v>
      </c>
      <c r="L1260" s="12"/>
      <c r="Q1260" s="15">
        <f t="shared" si="410"/>
        <v>1257</v>
      </c>
      <c r="R1260" s="2">
        <f t="shared" si="406"/>
        <v>45289</v>
      </c>
      <c r="S1260" s="9">
        <f t="shared" ca="1" si="411"/>
        <v>-2.7261034292411185E-3</v>
      </c>
      <c r="T1260" s="9">
        <f t="shared" ca="1" si="412"/>
        <v>-1.0348488564494805E-2</v>
      </c>
      <c r="U1260" s="9">
        <f t="shared" ca="1" si="413"/>
        <v>-6.9203740994113676E-4</v>
      </c>
      <c r="AB1260" s="33" t="e">
        <f t="shared" ca="1" si="419"/>
        <v>#N/A</v>
      </c>
      <c r="AC1260" s="34" t="e">
        <f t="shared" ca="1" si="420"/>
        <v>#N/A</v>
      </c>
      <c r="AD1260" s="34" t="e">
        <f t="shared" ca="1" si="421"/>
        <v>#N/A</v>
      </c>
      <c r="AE1260" s="33" t="e">
        <f t="shared" ca="1" si="422"/>
        <v>#N/A</v>
      </c>
      <c r="AF1260" s="34" t="e">
        <f t="shared" ca="1" si="414"/>
        <v>#N/A</v>
      </c>
      <c r="AG1260" s="34" t="e">
        <f t="shared" ca="1" si="415"/>
        <v>#N/A</v>
      </c>
      <c r="AH1260" s="34" t="e">
        <f t="shared" ca="1" si="416"/>
        <v>#N/A</v>
      </c>
      <c r="AI1260" s="33" t="e">
        <f t="shared" ca="1" si="423"/>
        <v>#N/A</v>
      </c>
      <c r="AJ1260" s="34" t="e">
        <f t="shared" ca="1" si="424"/>
        <v>#N/A</v>
      </c>
      <c r="AK1260" s="34" t="e">
        <f t="shared" ca="1" si="417"/>
        <v>#N/A</v>
      </c>
      <c r="AL1260" s="34" t="e">
        <f t="shared" ca="1" si="418"/>
        <v>#N/A</v>
      </c>
      <c r="AM1260" s="33" t="e">
        <f t="shared" ca="1" si="425"/>
        <v>#N/A</v>
      </c>
      <c r="AN1260" s="34" t="e">
        <f t="shared" ca="1" si="426"/>
        <v>#N/A</v>
      </c>
    </row>
  </sheetData>
  <mergeCells count="9">
    <mergeCell ref="AK2:AN2"/>
    <mergeCell ref="L2:L4"/>
    <mergeCell ref="AC2:AF2"/>
    <mergeCell ref="Q1:U1"/>
    <mergeCell ref="A1:D1"/>
    <mergeCell ref="F1:J1"/>
    <mergeCell ref="X1:Z1"/>
    <mergeCell ref="W1:W2"/>
    <mergeCell ref="AG2:AJ2"/>
  </mergeCells>
  <conditionalFormatting sqref="W3:W8">
    <cfRule type="notContainsBlanks" dxfId="4" priority="6">
      <formula>LEN(TRIM(W3))&gt;0</formula>
    </cfRule>
  </conditionalFormatting>
  <conditionalFormatting sqref="AB4:AN1260">
    <cfRule type="containsErrors" dxfId="3" priority="5">
      <formula>ISERROR(AB4)</formula>
    </cfRule>
    <cfRule type="containsErrors" dxfId="2" priority="4">
      <formula>ISERROR(AB4)</formula>
    </cfRule>
  </conditionalFormatting>
  <conditionalFormatting sqref="AB5:AN1260">
    <cfRule type="notContainsErrors" dxfId="1" priority="3">
      <formula>NOT(ISERROR(AB5))</formula>
    </cfRule>
  </conditionalFormatting>
  <conditionalFormatting sqref="Q3:U1260">
    <cfRule type="containsErrors" dxfId="0" priority="1">
      <formula>ISERROR(Q3)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AB24C-EDC5-41D6-81D8-A13F3180B475}">
  <sheetPr codeName="Munka2"/>
  <dimension ref="A1:B3"/>
  <sheetViews>
    <sheetView showGridLines="0" workbookViewId="0">
      <selection activeCell="B4" sqref="B4"/>
    </sheetView>
  </sheetViews>
  <sheetFormatPr defaultRowHeight="14.4" x14ac:dyDescent="0.3"/>
  <cols>
    <col min="1" max="2" width="12.109375" customWidth="1"/>
  </cols>
  <sheetData>
    <row r="1" spans="1:2" ht="15" thickBot="1" x14ac:dyDescent="0.35">
      <c r="A1" s="46" t="s">
        <v>21</v>
      </c>
      <c r="B1" s="46"/>
    </row>
    <row r="2" spans="1:2" x14ac:dyDescent="0.3">
      <c r="A2" s="29" t="s">
        <v>3</v>
      </c>
      <c r="B2" s="30">
        <v>43466</v>
      </c>
    </row>
    <row r="3" spans="1:2" x14ac:dyDescent="0.3">
      <c r="A3" s="6" t="s">
        <v>4</v>
      </c>
      <c r="B3" s="7">
        <v>45291</v>
      </c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RHI, RL, VLO</vt:lpstr>
      <vt:lpstr>Ábrázolás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2024-03-04T20:42:44Z</dcterms:created>
  <dcterms:modified xsi:type="dcterms:W3CDTF">2024-05-02T23:17:59Z</dcterms:modified>
</cp:coreProperties>
</file>