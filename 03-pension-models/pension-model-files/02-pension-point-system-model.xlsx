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gyetem\6.félév\Fej biz\"/>
    </mc:Choice>
  </mc:AlternateContent>
  <xr:revisionPtr revIDLastSave="0" documentId="13_ncr:1_{24920158-8352-4C36-B8FD-BB0EC585BA21}" xr6:coauthVersionLast="47" xr6:coauthVersionMax="47" xr10:uidLastSave="{00000000-0000-0000-0000-000000000000}"/>
  <bookViews>
    <workbookView xWindow="-108" yWindow="-108" windowWidth="23256" windowHeight="12456" activeTab="4" xr2:uid="{4C652508-E29B-48E8-93E7-A289FFF7DF05}"/>
  </bookViews>
  <sheets>
    <sheet name="Eredmények" sheetId="1" r:id="rId1"/>
    <sheet name="Érzékenység vizsgálat" sheetId="8" r:id="rId2"/>
    <sheet name="Éves számolás" sheetId="10" r:id="rId3"/>
    <sheet name="Átlagos nyugdíj tábla" sheetId="12" r:id="rId4"/>
    <sheet name="Átlagbér tábla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D4" i="8"/>
  <c r="E4" i="8"/>
  <c r="F4" i="8"/>
  <c r="G4" i="8"/>
  <c r="C6" i="8"/>
  <c r="D6" i="8"/>
  <c r="E6" i="8"/>
  <c r="F6" i="8"/>
  <c r="G6" i="8"/>
  <c r="C7" i="8"/>
  <c r="D7" i="8"/>
  <c r="E7" i="8"/>
  <c r="F7" i="8"/>
  <c r="G7" i="8"/>
  <c r="C9" i="8"/>
  <c r="D9" i="8"/>
  <c r="E9" i="8"/>
  <c r="F9" i="8"/>
  <c r="G9" i="8"/>
  <c r="C10" i="8"/>
  <c r="D10" i="8"/>
  <c r="E10" i="8"/>
  <c r="F10" i="8"/>
  <c r="G10" i="8"/>
  <c r="C12" i="8"/>
  <c r="D12" i="8"/>
  <c r="E12" i="8"/>
  <c r="F12" i="8"/>
  <c r="G12" i="8"/>
  <c r="C13" i="8"/>
  <c r="D13" i="8"/>
  <c r="E13" i="8"/>
  <c r="F13" i="8"/>
  <c r="G13" i="8"/>
  <c r="C3" i="8"/>
  <c r="D3" i="8"/>
  <c r="E3" i="8"/>
  <c r="F3" i="8"/>
  <c r="G3" i="8"/>
  <c r="C2" i="10"/>
  <c r="C3" i="10" s="1"/>
  <c r="B4" i="1"/>
  <c r="L11" i="1"/>
  <c r="B12" i="8" s="1"/>
  <c r="L8" i="1"/>
  <c r="B9" i="8" s="1"/>
  <c r="L5" i="1"/>
  <c r="B6" i="8" s="1"/>
  <c r="L2" i="1"/>
  <c r="B3" i="8" s="1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A121" i="11"/>
  <c r="C121" i="11"/>
  <c r="B121" i="11" s="1"/>
  <c r="B122" i="11" s="1"/>
  <c r="A122" i="11"/>
  <c r="C122" i="11"/>
  <c r="A116" i="11"/>
  <c r="C116" i="11"/>
  <c r="B116" i="11" s="1"/>
  <c r="A117" i="11"/>
  <c r="C117" i="11" s="1"/>
  <c r="A113" i="11"/>
  <c r="C113" i="11" s="1"/>
  <c r="B113" i="11" s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3" i="12"/>
  <c r="B28" i="12"/>
  <c r="C28" i="12" s="1"/>
  <c r="J5" i="12" a="1"/>
  <c r="J5" i="12" s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3" i="1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B29" i="12"/>
  <c r="B117" i="11"/>
  <c r="A118" i="11"/>
  <c r="A114" i="11"/>
  <c r="E2" i="12"/>
  <c r="F2" i="12" s="1"/>
  <c r="H2" i="11"/>
  <c r="I2" i="11" s="1"/>
  <c r="E2" i="11"/>
  <c r="F2" i="11" s="1"/>
  <c r="B30" i="12" l="1"/>
  <c r="C29" i="12"/>
  <c r="C118" i="11"/>
  <c r="A119" i="11"/>
  <c r="B118" i="11"/>
  <c r="A115" i="11"/>
  <c r="C115" i="11" s="1"/>
  <c r="C114" i="11"/>
  <c r="B114" i="11" s="1"/>
  <c r="B31" i="12" l="1"/>
  <c r="C30" i="12"/>
  <c r="C119" i="11"/>
  <c r="B119" i="11" s="1"/>
  <c r="A120" i="11"/>
  <c r="B115" i="11"/>
  <c r="B32" i="12" l="1"/>
  <c r="C31" i="12"/>
  <c r="C120" i="11"/>
  <c r="B120" i="11" s="1"/>
  <c r="L5" i="11" a="1"/>
  <c r="L5" i="11" s="1"/>
  <c r="B33" i="12" l="1"/>
  <c r="C32" i="12"/>
  <c r="B34" i="12" l="1"/>
  <c r="C33" i="12"/>
  <c r="B35" i="12" l="1"/>
  <c r="C34" i="12"/>
  <c r="B36" i="12" l="1"/>
  <c r="C35" i="12"/>
  <c r="B37" i="12" l="1"/>
  <c r="C36" i="12"/>
  <c r="B38" i="12" l="1"/>
  <c r="C37" i="12"/>
  <c r="B39" i="12" l="1"/>
  <c r="C38" i="12"/>
  <c r="A68" i="11"/>
  <c r="A2" i="10"/>
  <c r="B40" i="12" l="1"/>
  <c r="C39" i="12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69" i="11"/>
  <c r="C68" i="11"/>
  <c r="B68" i="11" s="1"/>
  <c r="B3" i="10"/>
  <c r="B41" i="12" l="1"/>
  <c r="C40" i="12"/>
  <c r="B4" i="10"/>
  <c r="A70" i="11"/>
  <c r="C69" i="11"/>
  <c r="B69" i="11" s="1"/>
  <c r="B42" i="12" l="1"/>
  <c r="C41" i="12"/>
  <c r="B5" i="10"/>
  <c r="A71" i="11"/>
  <c r="C70" i="11"/>
  <c r="B70" i="11" s="1"/>
  <c r="B43" i="12" l="1"/>
  <c r="C42" i="12"/>
  <c r="B6" i="10"/>
  <c r="A72" i="11"/>
  <c r="C71" i="11"/>
  <c r="B71" i="11" s="1"/>
  <c r="B44" i="12" l="1"/>
  <c r="C43" i="12"/>
  <c r="B7" i="10"/>
  <c r="A73" i="11"/>
  <c r="C72" i="11"/>
  <c r="B72" i="11" s="1"/>
  <c r="B45" i="12" l="1"/>
  <c r="C44" i="12"/>
  <c r="B8" i="10"/>
  <c r="A74" i="11"/>
  <c r="C73" i="11"/>
  <c r="B73" i="11" s="1"/>
  <c r="B46" i="12" l="1"/>
  <c r="C45" i="12"/>
  <c r="B9" i="10"/>
  <c r="A75" i="11"/>
  <c r="C74" i="11"/>
  <c r="B74" i="11" s="1"/>
  <c r="B47" i="12" l="1"/>
  <c r="C46" i="12"/>
  <c r="B10" i="10"/>
  <c r="A76" i="11"/>
  <c r="C75" i="11"/>
  <c r="B75" i="11" s="1"/>
  <c r="B48" i="12" l="1"/>
  <c r="C47" i="12"/>
  <c r="B11" i="10"/>
  <c r="A77" i="11"/>
  <c r="C76" i="11"/>
  <c r="B76" i="11" s="1"/>
  <c r="B49" i="12" l="1"/>
  <c r="C48" i="12"/>
  <c r="B12" i="10"/>
  <c r="A78" i="11"/>
  <c r="C77" i="11"/>
  <c r="B77" i="11" s="1"/>
  <c r="B50" i="12" l="1"/>
  <c r="C49" i="12"/>
  <c r="B13" i="10"/>
  <c r="A79" i="11"/>
  <c r="C78" i="11"/>
  <c r="B78" i="11" s="1"/>
  <c r="B51" i="12" l="1"/>
  <c r="C50" i="12"/>
  <c r="B14" i="10"/>
  <c r="A80" i="11"/>
  <c r="C79" i="11"/>
  <c r="B79" i="11" s="1"/>
  <c r="B52" i="12" l="1"/>
  <c r="C51" i="12"/>
  <c r="B15" i="10"/>
  <c r="A81" i="11"/>
  <c r="C80" i="11"/>
  <c r="B80" i="11" s="1"/>
  <c r="B53" i="12" l="1"/>
  <c r="C52" i="12"/>
  <c r="B16" i="10"/>
  <c r="A82" i="11"/>
  <c r="C81" i="11"/>
  <c r="B81" i="11" s="1"/>
  <c r="B54" i="12" l="1"/>
  <c r="C53" i="12"/>
  <c r="B17" i="10"/>
  <c r="A83" i="11"/>
  <c r="C82" i="11"/>
  <c r="B82" i="11" s="1"/>
  <c r="B55" i="12" l="1"/>
  <c r="C54" i="12"/>
  <c r="B18" i="10"/>
  <c r="A84" i="11"/>
  <c r="C83" i="11"/>
  <c r="B83" i="11" s="1"/>
  <c r="B56" i="12" l="1"/>
  <c r="C55" i="12"/>
  <c r="B19" i="10"/>
  <c r="A85" i="11"/>
  <c r="C84" i="11"/>
  <c r="B84" i="11" s="1"/>
  <c r="B57" i="12" l="1"/>
  <c r="C56" i="12"/>
  <c r="B20" i="10"/>
  <c r="A86" i="11"/>
  <c r="C85" i="11"/>
  <c r="B85" i="11" s="1"/>
  <c r="B58" i="12" l="1"/>
  <c r="C57" i="12"/>
  <c r="B21" i="10"/>
  <c r="A87" i="11"/>
  <c r="C86" i="11"/>
  <c r="B86" i="11" s="1"/>
  <c r="B59" i="12" l="1"/>
  <c r="C58" i="12"/>
  <c r="B22" i="10"/>
  <c r="A88" i="11"/>
  <c r="C87" i="11"/>
  <c r="B87" i="11" s="1"/>
  <c r="B60" i="12" l="1"/>
  <c r="C59" i="12"/>
  <c r="B23" i="10"/>
  <c r="A89" i="11"/>
  <c r="C88" i="11"/>
  <c r="B88" i="11" s="1"/>
  <c r="B61" i="12" l="1"/>
  <c r="C60" i="12"/>
  <c r="B24" i="10"/>
  <c r="A90" i="11"/>
  <c r="C89" i="11"/>
  <c r="B89" i="11" s="1"/>
  <c r="B62" i="12" l="1"/>
  <c r="C61" i="12"/>
  <c r="B25" i="10"/>
  <c r="A91" i="11"/>
  <c r="C90" i="11"/>
  <c r="B90" i="11" s="1"/>
  <c r="B63" i="12" l="1"/>
  <c r="C62" i="12"/>
  <c r="B26" i="10"/>
  <c r="A92" i="11"/>
  <c r="C91" i="11"/>
  <c r="B91" i="11" s="1"/>
  <c r="B64" i="12" l="1"/>
  <c r="C63" i="12"/>
  <c r="B27" i="10"/>
  <c r="A93" i="11"/>
  <c r="C92" i="11"/>
  <c r="B92" i="11" s="1"/>
  <c r="B65" i="12" l="1"/>
  <c r="C64" i="12"/>
  <c r="B28" i="10"/>
  <c r="A94" i="11"/>
  <c r="C93" i="11"/>
  <c r="B93" i="11" s="1"/>
  <c r="B66" i="12" l="1"/>
  <c r="C65" i="12"/>
  <c r="B29" i="10"/>
  <c r="A95" i="11"/>
  <c r="C94" i="11"/>
  <c r="B94" i="11" s="1"/>
  <c r="B67" i="12" l="1"/>
  <c r="C66" i="12"/>
  <c r="B30" i="10"/>
  <c r="A96" i="11"/>
  <c r="C95" i="11"/>
  <c r="B95" i="11" s="1"/>
  <c r="B68" i="12" l="1"/>
  <c r="C67" i="12"/>
  <c r="B31" i="10"/>
  <c r="A97" i="11"/>
  <c r="C96" i="11"/>
  <c r="B96" i="11" s="1"/>
  <c r="B69" i="12" l="1"/>
  <c r="C68" i="12"/>
  <c r="B32" i="10"/>
  <c r="A98" i="11"/>
  <c r="C97" i="11"/>
  <c r="B97" i="11" s="1"/>
  <c r="B70" i="12" l="1"/>
  <c r="C69" i="12"/>
  <c r="B33" i="10"/>
  <c r="A99" i="11"/>
  <c r="C98" i="11"/>
  <c r="B98" i="11" s="1"/>
  <c r="B71" i="12" l="1"/>
  <c r="C70" i="12"/>
  <c r="B34" i="10"/>
  <c r="A100" i="11"/>
  <c r="C99" i="11"/>
  <c r="B99" i="11" s="1"/>
  <c r="B72" i="12" l="1"/>
  <c r="C71" i="12"/>
  <c r="B35" i="10"/>
  <c r="A101" i="11"/>
  <c r="C100" i="11"/>
  <c r="B100" i="11" s="1"/>
  <c r="B73" i="12" l="1"/>
  <c r="C72" i="12"/>
  <c r="B36" i="10"/>
  <c r="A102" i="11"/>
  <c r="C101" i="11"/>
  <c r="B101" i="11" s="1"/>
  <c r="B74" i="12" l="1"/>
  <c r="C73" i="12"/>
  <c r="B37" i="10"/>
  <c r="A103" i="11"/>
  <c r="C102" i="11"/>
  <c r="B102" i="11" s="1"/>
  <c r="B75" i="12" l="1"/>
  <c r="C74" i="12"/>
  <c r="B38" i="10"/>
  <c r="A104" i="11"/>
  <c r="C103" i="11"/>
  <c r="B103" i="11" s="1"/>
  <c r="B76" i="12" l="1"/>
  <c r="B7" i="1"/>
  <c r="C75" i="12"/>
  <c r="B39" i="10"/>
  <c r="A105" i="11"/>
  <c r="C104" i="11"/>
  <c r="B104" i="11" s="1"/>
  <c r="B77" i="12" l="1"/>
  <c r="C76" i="12"/>
  <c r="B40" i="10"/>
  <c r="A106" i="11"/>
  <c r="C105" i="11"/>
  <c r="B105" i="11" s="1"/>
  <c r="B78" i="12" l="1"/>
  <c r="C77" i="12"/>
  <c r="B41" i="10"/>
  <c r="A107" i="11"/>
  <c r="C106" i="11"/>
  <c r="B106" i="11" s="1"/>
  <c r="B79" i="12" l="1"/>
  <c r="C78" i="12"/>
  <c r="B42" i="10"/>
  <c r="A108" i="11"/>
  <c r="C107" i="11"/>
  <c r="B107" i="11" s="1"/>
  <c r="B80" i="12" l="1"/>
  <c r="C79" i="12"/>
  <c r="B43" i="10"/>
  <c r="A109" i="11"/>
  <c r="C108" i="11"/>
  <c r="B108" i="11" s="1"/>
  <c r="B81" i="12" l="1"/>
  <c r="C80" i="12"/>
  <c r="B44" i="10"/>
  <c r="B45" i="10" s="1"/>
  <c r="B46" i="10" s="1"/>
  <c r="A110" i="11"/>
  <c r="C109" i="11"/>
  <c r="B109" i="11" s="1"/>
  <c r="B82" i="12" l="1"/>
  <c r="C81" i="12"/>
  <c r="A111" i="11"/>
  <c r="C110" i="11"/>
  <c r="B110" i="11" s="1"/>
  <c r="B83" i="12" l="1"/>
  <c r="C82" i="12"/>
  <c r="A112" i="11"/>
  <c r="C111" i="11"/>
  <c r="B111" i="11" s="1"/>
  <c r="B84" i="12" l="1"/>
  <c r="C83" i="12"/>
  <c r="C112" i="11"/>
  <c r="B85" i="12" l="1"/>
  <c r="C84" i="12"/>
  <c r="B112" i="11"/>
  <c r="B86" i="12" l="1"/>
  <c r="C85" i="12"/>
  <c r="B87" i="12" l="1"/>
  <c r="C86" i="12"/>
  <c r="B88" i="12" l="1"/>
  <c r="C87" i="12"/>
  <c r="B89" i="12" l="1"/>
  <c r="C88" i="12"/>
  <c r="B90" i="12" l="1"/>
  <c r="C89" i="12"/>
  <c r="B91" i="12" l="1"/>
  <c r="C90" i="12"/>
  <c r="B92" i="12" l="1"/>
  <c r="C91" i="12"/>
  <c r="B93" i="12" l="1"/>
  <c r="C92" i="12"/>
  <c r="B94" i="12" l="1"/>
  <c r="C93" i="12"/>
  <c r="B95" i="12" l="1"/>
  <c r="C94" i="12"/>
  <c r="B96" i="12" l="1"/>
  <c r="C95" i="12"/>
  <c r="B97" i="12" l="1"/>
  <c r="C96" i="12"/>
  <c r="B98" i="12" l="1"/>
  <c r="C97" i="12"/>
  <c r="B99" i="12" l="1"/>
  <c r="C98" i="12"/>
  <c r="B100" i="12" l="1"/>
  <c r="C99" i="12"/>
  <c r="B101" i="12" l="1"/>
  <c r="C100" i="12"/>
  <c r="B102" i="12" l="1"/>
  <c r="C101" i="12"/>
  <c r="B103" i="12" l="1"/>
  <c r="C102" i="12"/>
  <c r="B104" i="12" l="1"/>
  <c r="C103" i="12"/>
  <c r="B105" i="12" l="1"/>
  <c r="C104" i="12"/>
  <c r="B106" i="12" l="1"/>
  <c r="C106" i="12" s="1"/>
  <c r="C105" i="12"/>
  <c r="E2" i="10"/>
  <c r="E3" i="10"/>
  <c r="E4" i="10" l="1"/>
  <c r="E5" i="10" l="1"/>
  <c r="E6" i="10" l="1"/>
  <c r="E7" i="10" l="1"/>
  <c r="E8" i="10" l="1"/>
  <c r="E9" i="10" l="1"/>
  <c r="E10" i="10" l="1"/>
  <c r="E11" i="10" l="1"/>
  <c r="E12" i="10" l="1"/>
  <c r="E13" i="10" l="1"/>
  <c r="E14" i="10" l="1"/>
  <c r="E15" i="10" l="1"/>
  <c r="E16" i="10" l="1"/>
  <c r="E17" i="10" l="1"/>
  <c r="E18" i="10" l="1"/>
  <c r="E19" i="10" l="1"/>
  <c r="E20" i="10" l="1"/>
  <c r="E21" i="10" l="1"/>
  <c r="E22" i="10" l="1"/>
  <c r="E23" i="10" l="1"/>
  <c r="E24" i="10" l="1"/>
  <c r="E25" i="10" l="1"/>
  <c r="E26" i="10" l="1"/>
  <c r="E27" i="10" l="1"/>
  <c r="E28" i="10" l="1"/>
  <c r="E29" i="10" l="1"/>
  <c r="E30" i="10" l="1"/>
  <c r="E31" i="10" l="1"/>
  <c r="E32" i="10" l="1"/>
  <c r="E33" i="10" l="1"/>
  <c r="E34" i="10" l="1"/>
  <c r="E35" i="10" l="1"/>
  <c r="E36" i="10" l="1"/>
  <c r="E37" i="10" l="1"/>
  <c r="E38" i="10" l="1"/>
  <c r="E39" i="10" l="1"/>
  <c r="E40" i="10" l="1"/>
  <c r="E41" i="10" l="1"/>
  <c r="E42" i="10" l="1"/>
  <c r="E43" i="10" l="1"/>
  <c r="E44" i="10" l="1"/>
  <c r="E46" i="10" l="1"/>
  <c r="F2" i="1" s="1"/>
  <c r="H2" i="1" s="1"/>
  <c r="E45" i="10"/>
  <c r="L3" i="1" l="1"/>
  <c r="G2" i="1"/>
  <c r="L6" i="1" l="1"/>
  <c r="B4" i="8"/>
  <c r="L9" i="1" l="1"/>
  <c r="B7" i="8"/>
  <c r="L12" i="1" l="1"/>
  <c r="B13" i="8" s="1"/>
  <c r="B1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<sst xmlns="http://schemas.openxmlformats.org/spreadsheetml/2006/main" count="64" uniqueCount="44">
  <si>
    <t>Paraméter</t>
  </si>
  <si>
    <t>Érték</t>
  </si>
  <si>
    <t>Indoklás</t>
  </si>
  <si>
    <t>Nyugdíjkorhatár</t>
  </si>
  <si>
    <t>Halandóság</t>
  </si>
  <si>
    <t>Férfi</t>
  </si>
  <si>
    <t>Életkor</t>
  </si>
  <si>
    <t>Év</t>
  </si>
  <si>
    <t>Éves induló nyugdíj</t>
  </si>
  <si>
    <t>Havi induló nyugdíj</t>
  </si>
  <si>
    <t>Junior éves bér (életkor 24-27)</t>
  </si>
  <si>
    <t>diploma megszerzés éve, munkakezdés éve</t>
  </si>
  <si>
    <t>Várható nyugdíjkorhatár, demográfiai kürölményeknek köszönhetően</t>
  </si>
  <si>
    <t>Munkába állás kora (év)</t>
  </si>
  <si>
    <t>Nyugdíjkorhatár (év)</t>
  </si>
  <si>
    <t>Nyilvános béradatok alapján választott mediánközeli bruttó bér</t>
  </si>
  <si>
    <t>2020-as magyar férfi halandósági tábla alapján</t>
  </si>
  <si>
    <t>Átlagbér</t>
  </si>
  <si>
    <t>Éves átlag bruttó bér</t>
  </si>
  <si>
    <t>Éves bruttó bér</t>
  </si>
  <si>
    <t>Átlagos emelkedési ráta</t>
  </si>
  <si>
    <t>Utolsó 25 év átlagos emelkedési ráta</t>
  </si>
  <si>
    <t>Éves növekedési faktor</t>
  </si>
  <si>
    <t>Konzervatív előrejelzéshez</t>
  </si>
  <si>
    <t>Évtől</t>
  </si>
  <si>
    <t>Évig</t>
  </si>
  <si>
    <t>Átlagos éves növekedésiráta</t>
  </si>
  <si>
    <t>Növekedési ráta</t>
  </si>
  <si>
    <t>Átlagos éves növekedési ráta</t>
  </si>
  <si>
    <t>Éves pont</t>
  </si>
  <si>
    <t>Összes pont</t>
  </si>
  <si>
    <t>Átlagos havi nyugdíj</t>
  </si>
  <si>
    <t>Inflációs érték</t>
  </si>
  <si>
    <t>Átlag pontszám</t>
  </si>
  <si>
    <t>Induló pont érték - 2071</t>
  </si>
  <si>
    <t>2071-es várharó nyugdíj és az átlag pontszám hányadosa</t>
  </si>
  <si>
    <t>Eurostat adati alapján a Magyaroszágon élő lakosok átlagos munkaéveinek száma</t>
  </si>
  <si>
    <t>MNB középtávú inflációs cél</t>
  </si>
  <si>
    <t>Megváltoztatott paraméter</t>
  </si>
  <si>
    <t>Alapértelmezett érték</t>
  </si>
  <si>
    <t>További értékek</t>
  </si>
  <si>
    <t>Átlagpontszám</t>
  </si>
  <si>
    <t>Induló havi nyugdíj</t>
  </si>
  <si>
    <t>Induló éves átlag bruttó bér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</si>
</sst>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Ft&quot;"/>
    <numFmt numFmtId="165" formatCode="#,##0\ &quot;Ft&quot;"/>
    <numFmt numFmtId="166" formatCode="0.0%"/>
    <numFmt numFmtId="167" formatCode="0.0000"/>
    <numFmt numFmtId="168" formatCode="0.000"/>
    <numFmt numFmtId="171" formatCode="0.00000"/>
    <numFmt numFmtId="178" formatCode="#,##0.0"/>
  </numFmts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name val="Times New Roman CE"/>
      <charset val="238"/>
    </font>
    <font>
      <sz val="8"/>
      <name val="Arial"/>
      <family val="2"/>
      <charset val="238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</cellStyleXfs>
  <cellXfs count="7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168" fontId="0" fillId="0" borderId="0" xfId="0" applyNumberFormat="1"/>
    <xf numFmtId="164" fontId="0" fillId="2" borderId="0" xfId="0" applyNumberForma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vertical="top"/>
    </xf>
    <xf numFmtId="3" fontId="0" fillId="0" borderId="7" xfId="0" applyNumberFormat="1" applyBorder="1" applyAlignment="1">
      <alignment vertical="top"/>
    </xf>
    <xf numFmtId="0" fontId="0" fillId="0" borderId="8" xfId="0" applyBorder="1" applyAlignment="1">
      <alignment vertical="top" wrapText="1"/>
    </xf>
    <xf numFmtId="165" fontId="0" fillId="0" borderId="7" xfId="0" applyNumberFormat="1" applyBorder="1" applyAlignment="1">
      <alignment vertical="top"/>
    </xf>
    <xf numFmtId="0" fontId="0" fillId="0" borderId="7" xfId="0" applyBorder="1" applyAlignment="1">
      <alignment horizontal="right" vertical="top"/>
    </xf>
    <xf numFmtId="164" fontId="0" fillId="0" borderId="7" xfId="0" applyNumberFormat="1" applyBorder="1"/>
    <xf numFmtId="0" fontId="5" fillId="0" borderId="0" xfId="2" applyFont="1"/>
    <xf numFmtId="0" fontId="6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 wrapText="1"/>
    </xf>
    <xf numFmtId="0" fontId="6" fillId="0" borderId="0" xfId="2" applyFont="1" applyBorder="1" applyAlignment="1">
      <alignment horizontal="center"/>
    </xf>
    <xf numFmtId="165" fontId="6" fillId="0" borderId="0" xfId="2" applyNumberFormat="1" applyFont="1" applyBorder="1"/>
    <xf numFmtId="0" fontId="6" fillId="0" borderId="0" xfId="2" applyFont="1" applyBorder="1" applyAlignment="1">
      <alignment horizontal="center" vertical="center"/>
    </xf>
    <xf numFmtId="165" fontId="6" fillId="0" borderId="0" xfId="2" applyNumberFormat="1" applyFont="1" applyBorder="1" applyAlignment="1">
      <alignment vertical="center"/>
    </xf>
    <xf numFmtId="165" fontId="6" fillId="0" borderId="0" xfId="2" applyNumberFormat="1" applyFont="1" applyBorder="1" applyAlignment="1">
      <alignment horizontal="right" vertical="center"/>
    </xf>
    <xf numFmtId="165" fontId="6" fillId="0" borderId="0" xfId="3" applyNumberFormat="1" applyFont="1" applyBorder="1" applyAlignment="1">
      <alignment vertical="center"/>
    </xf>
    <xf numFmtId="165" fontId="8" fillId="0" borderId="0" xfId="3" applyNumberFormat="1" applyFont="1" applyBorder="1" applyAlignment="1">
      <alignment vertical="center"/>
    </xf>
    <xf numFmtId="165" fontId="7" fillId="0" borderId="0" xfId="3" applyNumberFormat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/>
    <xf numFmtId="0" fontId="6" fillId="0" borderId="1" xfId="2" applyFont="1" applyBorder="1" applyAlignment="1">
      <alignment horizontal="center" vertical="center"/>
    </xf>
    <xf numFmtId="165" fontId="6" fillId="0" borderId="1" xfId="2" applyNumberFormat="1" applyFont="1" applyBorder="1"/>
    <xf numFmtId="10" fontId="6" fillId="0" borderId="0" xfId="1" applyNumberFormat="1" applyFont="1" applyBorder="1"/>
    <xf numFmtId="167" fontId="6" fillId="0" borderId="0" xfId="2" applyNumberFormat="1" applyFont="1" applyBorder="1"/>
    <xf numFmtId="171" fontId="6" fillId="0" borderId="0" xfId="2" applyNumberFormat="1" applyFont="1" applyBorder="1"/>
    <xf numFmtId="167" fontId="7" fillId="0" borderId="1" xfId="2" applyNumberFormat="1" applyFont="1" applyBorder="1" applyAlignment="1">
      <alignment horizontal="center" wrapText="1"/>
    </xf>
    <xf numFmtId="167" fontId="6" fillId="0" borderId="0" xfId="2" applyNumberFormat="1" applyFont="1" applyBorder="1" applyAlignment="1">
      <alignment vertical="center"/>
    </xf>
    <xf numFmtId="167" fontId="9" fillId="0" borderId="0" xfId="2" applyNumberFormat="1" applyFont="1"/>
    <xf numFmtId="1" fontId="6" fillId="0" borderId="0" xfId="2" applyNumberFormat="1" applyFont="1" applyBorder="1" applyAlignment="1">
      <alignment vertical="center"/>
    </xf>
    <xf numFmtId="0" fontId="5" fillId="0" borderId="0" xfId="2" applyFont="1" applyBorder="1"/>
    <xf numFmtId="167" fontId="6" fillId="0" borderId="1" xfId="2" applyNumberFormat="1" applyFont="1" applyBorder="1" applyAlignment="1">
      <alignment vertical="center"/>
    </xf>
    <xf numFmtId="0" fontId="7" fillId="0" borderId="1" xfId="2" applyFont="1" applyBorder="1" applyAlignment="1">
      <alignment horizontal="center" wrapText="1"/>
    </xf>
    <xf numFmtId="9" fontId="6" fillId="0" borderId="0" xfId="1" applyFont="1" applyBorder="1" applyAlignment="1">
      <alignment vertical="center"/>
    </xf>
    <xf numFmtId="166" fontId="6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0" fillId="0" borderId="6" xfId="0" applyFill="1" applyBorder="1" applyAlignment="1">
      <alignment vertical="top"/>
    </xf>
    <xf numFmtId="2" fontId="0" fillId="0" borderId="0" xfId="0" applyNumberFormat="1"/>
    <xf numFmtId="165" fontId="6" fillId="0" borderId="1" xfId="2" applyNumberFormat="1" applyFont="1" applyBorder="1" applyAlignment="1">
      <alignment vertical="center"/>
    </xf>
    <xf numFmtId="9" fontId="0" fillId="0" borderId="7" xfId="1" applyFont="1" applyBorder="1" applyAlignment="1">
      <alignment horizontal="right" vertical="top"/>
    </xf>
    <xf numFmtId="178" fontId="0" fillId="0" borderId="7" xfId="0" applyNumberFormat="1" applyBorder="1" applyAlignment="1">
      <alignment vertical="top"/>
    </xf>
    <xf numFmtId="0" fontId="0" fillId="0" borderId="8" xfId="0" applyFill="1" applyBorder="1" applyAlignment="1">
      <alignment vertical="top" wrapText="1"/>
    </xf>
    <xf numFmtId="0" fontId="0" fillId="0" borderId="2" xfId="0" applyBorder="1"/>
    <xf numFmtId="165" fontId="0" fillId="0" borderId="2" xfId="0" applyNumberFormat="1" applyBorder="1"/>
    <xf numFmtId="168" fontId="0" fillId="0" borderId="2" xfId="0" applyNumberFormat="1" applyBorder="1"/>
    <xf numFmtId="3" fontId="0" fillId="0" borderId="6" xfId="0" applyNumberFormat="1" applyBorder="1"/>
    <xf numFmtId="164" fontId="0" fillId="0" borderId="6" xfId="0" applyNumberFormat="1" applyBorder="1"/>
    <xf numFmtId="9" fontId="0" fillId="0" borderId="6" xfId="0" applyNumberFormat="1" applyBorder="1"/>
    <xf numFmtId="9" fontId="0" fillId="0" borderId="0" xfId="0" applyNumberFormat="1"/>
    <xf numFmtId="10" fontId="0" fillId="0" borderId="0" xfId="0" applyNumberFormat="1"/>
    <xf numFmtId="178" fontId="0" fillId="0" borderId="6" xfId="0" applyNumberFormat="1" applyBorder="1"/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9" fontId="0" fillId="0" borderId="7" xfId="0" applyNumberFormat="1" applyBorder="1"/>
    <xf numFmtId="0" fontId="3" fillId="0" borderId="0" xfId="0" applyFont="1" applyBorder="1" applyAlignment="1">
      <alignment wrapText="1"/>
    </xf>
    <xf numFmtId="0" fontId="3" fillId="0" borderId="0" xfId="0" applyFont="1" applyBorder="1"/>
    <xf numFmtId="3" fontId="3" fillId="0" borderId="0" xfId="0" applyNumberFormat="1" applyFont="1" applyBorder="1"/>
    <xf numFmtId="164" fontId="3" fillId="0" borderId="0" xfId="0" applyNumberFormat="1" applyFont="1" applyBorder="1"/>
    <xf numFmtId="178" fontId="3" fillId="0" borderId="0" xfId="0" applyNumberFormat="1" applyFont="1" applyBorder="1"/>
    <xf numFmtId="9" fontId="3" fillId="0" borderId="0" xfId="0" applyNumberFormat="1" applyFont="1" applyBorder="1"/>
    <xf numFmtId="10" fontId="3" fillId="0" borderId="0" xfId="0" applyNumberFormat="1" applyFont="1" applyBorder="1"/>
  </cellXfs>
  <cellStyles count="4">
    <cellStyle name="Normál" xfId="0" builtinId="0"/>
    <cellStyle name="Normál 2" xfId="2" xr:uid="{12BFF0C7-AE72-4460-8D74-7E708C5A4994}"/>
    <cellStyle name="Normál_1_2_9" xfId="3" xr:uid="{58A08D0B-E09F-4372-9B20-E1E6E79CAFB5}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B5BB-DADF-460B-9FAE-06B9F5D5001D}">
  <dimension ref="A1:Q12"/>
  <sheetViews>
    <sheetView showGridLines="0" topLeftCell="B1" zoomScale="62" workbookViewId="0">
      <selection activeCell="I1" sqref="I1:I1048576"/>
    </sheetView>
  </sheetViews>
  <sheetFormatPr defaultRowHeight="14.4" x14ac:dyDescent="0.3"/>
  <cols>
    <col min="1" max="1" width="28.44140625" customWidth="1"/>
    <col min="2" max="2" width="15.21875" bestFit="1" customWidth="1"/>
    <col min="3" max="3" width="57.6640625" customWidth="1"/>
    <col min="6" max="8" width="21.33203125" customWidth="1"/>
    <col min="11" max="11" width="22.77734375" style="70" customWidth="1"/>
    <col min="12" max="12" width="19.21875" style="70" customWidth="1"/>
    <col min="13" max="17" width="16.109375" style="70" customWidth="1"/>
  </cols>
  <sheetData>
    <row r="1" spans="1:17" ht="31.8" customHeight="1" x14ac:dyDescent="0.3">
      <c r="A1" s="7" t="s">
        <v>0</v>
      </c>
      <c r="B1" s="8" t="s">
        <v>1</v>
      </c>
      <c r="C1" s="9" t="s">
        <v>2</v>
      </c>
      <c r="F1" s="4" t="s">
        <v>30</v>
      </c>
      <c r="G1" s="4" t="s">
        <v>8</v>
      </c>
      <c r="H1" s="4" t="s">
        <v>9</v>
      </c>
      <c r="K1" s="69" t="s">
        <v>38</v>
      </c>
      <c r="L1" s="69" t="s">
        <v>39</v>
      </c>
      <c r="M1" s="69" t="s">
        <v>40</v>
      </c>
    </row>
    <row r="2" spans="1:17" x14ac:dyDescent="0.3">
      <c r="A2" s="12" t="s">
        <v>13</v>
      </c>
      <c r="B2" s="13">
        <v>24</v>
      </c>
      <c r="C2" s="14" t="s">
        <v>11</v>
      </c>
      <c r="F2" s="49">
        <f>SUMIF('Éves számolás'!B:B,"&lt;"&amp;B3,'Éves számolás'!E:E)</f>
        <v>51.263353889065165</v>
      </c>
      <c r="G2" s="1">
        <f>H2*12</f>
        <v>15524971.172694273</v>
      </c>
      <c r="H2" s="6">
        <f>F2*B7</f>
        <v>1293747.5977245227</v>
      </c>
      <c r="K2" s="70" t="s">
        <v>3</v>
      </c>
      <c r="L2" s="71">
        <f>B3</f>
        <v>67</v>
      </c>
      <c r="M2" s="70">
        <v>65</v>
      </c>
      <c r="N2" s="70">
        <v>66</v>
      </c>
      <c r="O2" s="70">
        <v>67</v>
      </c>
      <c r="P2" s="70">
        <v>68</v>
      </c>
      <c r="Q2" s="70">
        <v>69</v>
      </c>
    </row>
    <row r="3" spans="1:17" x14ac:dyDescent="0.3">
      <c r="A3" s="12" t="s">
        <v>14</v>
      </c>
      <c r="B3" s="13">
        <v>67</v>
      </c>
      <c r="C3" s="14" t="s">
        <v>12</v>
      </c>
      <c r="K3" s="70" t="s">
        <v>42</v>
      </c>
      <c r="L3" s="72">
        <f>H2</f>
        <v>1293747.5977245227</v>
      </c>
      <c r="M3" s="72">
        <f t="dataTable" ref="M3:Q3" dt2D="0" dtr="1" r1="B3" ca="1"/>
        <v>1150241.1650767359</v>
      </c>
      <c r="N3" s="72">
        <v>1220313.6268963844</v>
      </c>
      <c r="O3" s="72">
        <v>1293747.5977245227</v>
      </c>
      <c r="P3" s="72">
        <v>1370967.2742617214</v>
      </c>
      <c r="Q3" s="72">
        <v>1451735.9469911987</v>
      </c>
    </row>
    <row r="4" spans="1:17" x14ac:dyDescent="0.3">
      <c r="A4" s="12" t="s">
        <v>10</v>
      </c>
      <c r="B4" s="15">
        <f>12*820000</f>
        <v>9840000</v>
      </c>
      <c r="C4" s="14" t="s">
        <v>15</v>
      </c>
    </row>
    <row r="5" spans="1:17" x14ac:dyDescent="0.3">
      <c r="A5" s="12" t="s">
        <v>4</v>
      </c>
      <c r="B5" s="16" t="s">
        <v>5</v>
      </c>
      <c r="C5" s="14" t="s">
        <v>16</v>
      </c>
      <c r="K5" s="70" t="s">
        <v>43</v>
      </c>
      <c r="L5" s="72">
        <f>B4</f>
        <v>9840000</v>
      </c>
      <c r="M5" s="72">
        <v>9000000</v>
      </c>
      <c r="N5" s="72">
        <v>9420000</v>
      </c>
      <c r="O5" s="72">
        <v>9840000</v>
      </c>
      <c r="P5" s="72">
        <v>10260000</v>
      </c>
      <c r="Q5" s="72">
        <v>10680000</v>
      </c>
    </row>
    <row r="6" spans="1:17" x14ac:dyDescent="0.3">
      <c r="A6" s="48" t="s">
        <v>32</v>
      </c>
      <c r="B6" s="51">
        <v>0.03</v>
      </c>
      <c r="C6" s="3" t="s">
        <v>37</v>
      </c>
      <c r="K6" s="70" t="s">
        <v>42</v>
      </c>
      <c r="L6" s="72">
        <f>L3</f>
        <v>1293747.5977245227</v>
      </c>
      <c r="M6" s="72">
        <f t="dataTable" ref="M6:Q6" dt2D="0" dtr="1" r1="B4" ca="1"/>
        <v>1183305.7296260884</v>
      </c>
      <c r="N6" s="72">
        <v>1238526.6636753052</v>
      </c>
      <c r="O6" s="72">
        <v>1293747.5977245227</v>
      </c>
      <c r="P6" s="72">
        <v>1348968.5317737395</v>
      </c>
      <c r="Q6" s="72">
        <v>1404189.4658229579</v>
      </c>
    </row>
    <row r="7" spans="1:17" x14ac:dyDescent="0.3">
      <c r="A7" s="48" t="s">
        <v>34</v>
      </c>
      <c r="B7" s="15">
        <f>VLOOKUP(B3+2004,'Átlagos nyugdíj tábla'!A1:C106,2,FALSE)/B8</f>
        <v>25237.279646669551</v>
      </c>
      <c r="C7" s="53" t="s">
        <v>35</v>
      </c>
    </row>
    <row r="8" spans="1:17" ht="28.8" x14ac:dyDescent="0.3">
      <c r="A8" s="48" t="s">
        <v>33</v>
      </c>
      <c r="B8" s="52">
        <v>37.4</v>
      </c>
      <c r="C8" s="53" t="s">
        <v>36</v>
      </c>
      <c r="K8" s="70" t="s">
        <v>41</v>
      </c>
      <c r="L8" s="73">
        <f>B8</f>
        <v>37.4</v>
      </c>
      <c r="M8" s="70">
        <v>35.4</v>
      </c>
      <c r="N8" s="70">
        <v>36.4</v>
      </c>
      <c r="O8" s="70">
        <v>37.4</v>
      </c>
      <c r="P8" s="70">
        <v>38.4</v>
      </c>
      <c r="Q8" s="70">
        <v>39.4</v>
      </c>
    </row>
    <row r="9" spans="1:17" x14ac:dyDescent="0.3">
      <c r="K9" s="70" t="s">
        <v>42</v>
      </c>
      <c r="L9" s="72">
        <f>L6</f>
        <v>1293747.5977245227</v>
      </c>
      <c r="M9" s="72">
        <f t="dataTable" ref="M9:Q9" dt2D="0" dtr="1" r1="B8" ca="1"/>
        <v>1366840.6823417274</v>
      </c>
      <c r="N9" s="72">
        <v>1329290.114145526</v>
      </c>
      <c r="O9" s="72">
        <v>1293747.5977245227</v>
      </c>
      <c r="P9" s="72">
        <v>1260056.25403378</v>
      </c>
      <c r="Q9" s="72">
        <v>1228075.1308349532</v>
      </c>
    </row>
    <row r="11" spans="1:17" x14ac:dyDescent="0.3">
      <c r="K11" s="70" t="s">
        <v>32</v>
      </c>
      <c r="L11" s="74">
        <f>B6</f>
        <v>0.03</v>
      </c>
      <c r="M11" s="74">
        <v>0.02</v>
      </c>
      <c r="N11" s="75">
        <v>2.5000000000000001E-2</v>
      </c>
      <c r="O11" s="74">
        <v>0.03</v>
      </c>
      <c r="P11" s="75">
        <v>3.5000000000000003E-2</v>
      </c>
      <c r="Q11" s="74">
        <v>0.04</v>
      </c>
    </row>
    <row r="12" spans="1:17" x14ac:dyDescent="0.3">
      <c r="K12" s="70" t="s">
        <v>42</v>
      </c>
      <c r="L12" s="72">
        <f>L9</f>
        <v>1293747.5977245227</v>
      </c>
      <c r="M12" s="72">
        <f t="dataTable" ref="M12:Q12" dt2D="0" dtr="1" r1="B6"/>
        <v>825933.57506783691</v>
      </c>
      <c r="N12" s="72">
        <v>1034272.6202103685</v>
      </c>
      <c r="O12" s="72">
        <v>1293747.5977245227</v>
      </c>
      <c r="P12" s="72">
        <v>1616565.5162967942</v>
      </c>
      <c r="Q12" s="72">
        <v>2017766.1297886488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79A9-B136-41D6-9708-6FBA0C603A4B}">
  <dimension ref="A1:G13"/>
  <sheetViews>
    <sheetView showGridLines="0" zoomScale="130" zoomScaleNormal="130" workbookViewId="0">
      <selection activeCell="C21" sqref="C21"/>
    </sheetView>
  </sheetViews>
  <sheetFormatPr defaultRowHeight="14.4" x14ac:dyDescent="0.3"/>
  <cols>
    <col min="1" max="1" width="25.77734375" customWidth="1"/>
    <col min="2" max="2" width="22.5546875" customWidth="1"/>
    <col min="3" max="7" width="16.109375" customWidth="1"/>
  </cols>
  <sheetData>
    <row r="1" spans="1:7" x14ac:dyDescent="0.3">
      <c r="A1" s="64" t="s">
        <v>38</v>
      </c>
      <c r="B1" s="65" t="s">
        <v>39</v>
      </c>
      <c r="C1" s="67" t="s">
        <v>40</v>
      </c>
      <c r="D1" s="66"/>
      <c r="E1" s="66"/>
      <c r="F1" s="66"/>
      <c r="G1" s="66"/>
    </row>
    <row r="3" spans="1:7" x14ac:dyDescent="0.3">
      <c r="A3" t="s">
        <v>3</v>
      </c>
      <c r="B3" s="57">
        <f>Eredmények!L2</f>
        <v>67</v>
      </c>
      <c r="C3">
        <f>Eredmények!M2</f>
        <v>65</v>
      </c>
      <c r="D3">
        <f>Eredmények!N2</f>
        <v>66</v>
      </c>
      <c r="E3" s="11">
        <f>Eredmények!O2</f>
        <v>67</v>
      </c>
      <c r="F3">
        <f>Eredmények!P2</f>
        <v>68</v>
      </c>
      <c r="G3">
        <f>Eredmények!Q2</f>
        <v>69</v>
      </c>
    </row>
    <row r="4" spans="1:7" x14ac:dyDescent="0.3">
      <c r="A4" t="s">
        <v>42</v>
      </c>
      <c r="B4" s="58">
        <f>Eredmények!L3</f>
        <v>1293747.5977245227</v>
      </c>
      <c r="C4" s="1">
        <f>Eredmények!M3</f>
        <v>1150241.1650767359</v>
      </c>
      <c r="D4" s="1">
        <f>Eredmények!N3</f>
        <v>1220313.6268963844</v>
      </c>
      <c r="E4" s="17">
        <f>Eredmények!O3</f>
        <v>1293747.5977245227</v>
      </c>
      <c r="F4" s="1">
        <f>Eredmények!P3</f>
        <v>1370967.2742617214</v>
      </c>
      <c r="G4" s="1">
        <f>Eredmények!Q3</f>
        <v>1451735.9469911987</v>
      </c>
    </row>
    <row r="5" spans="1:7" x14ac:dyDescent="0.3">
      <c r="B5" s="10"/>
      <c r="E5" s="11"/>
    </row>
    <row r="6" spans="1:7" x14ac:dyDescent="0.3">
      <c r="A6" t="s">
        <v>43</v>
      </c>
      <c r="B6" s="58">
        <f>Eredmények!L5</f>
        <v>9840000</v>
      </c>
      <c r="C6" s="1">
        <f>Eredmények!M5</f>
        <v>9000000</v>
      </c>
      <c r="D6" s="1">
        <f>Eredmények!N5</f>
        <v>9420000</v>
      </c>
      <c r="E6" s="17">
        <f>Eredmények!O5</f>
        <v>9840000</v>
      </c>
      <c r="F6" s="1">
        <f>Eredmények!P5</f>
        <v>10260000</v>
      </c>
      <c r="G6" s="1">
        <f>Eredmények!Q5</f>
        <v>10680000</v>
      </c>
    </row>
    <row r="7" spans="1:7" x14ac:dyDescent="0.3">
      <c r="A7" t="s">
        <v>42</v>
      </c>
      <c r="B7" s="58">
        <f>Eredmények!L6</f>
        <v>1293747.5977245227</v>
      </c>
      <c r="C7" s="1">
        <f>Eredmények!M6</f>
        <v>1183305.7296260884</v>
      </c>
      <c r="D7" s="1">
        <f>Eredmények!N6</f>
        <v>1238526.6636753052</v>
      </c>
      <c r="E7" s="17">
        <f>Eredmények!O6</f>
        <v>1293747.5977245227</v>
      </c>
      <c r="F7" s="1">
        <f>Eredmények!P6</f>
        <v>1348968.5317737395</v>
      </c>
      <c r="G7" s="1">
        <f>Eredmények!Q6</f>
        <v>1404189.4658229579</v>
      </c>
    </row>
    <row r="8" spans="1:7" x14ac:dyDescent="0.3">
      <c r="B8" s="10"/>
      <c r="E8" s="11"/>
    </row>
    <row r="9" spans="1:7" x14ac:dyDescent="0.3">
      <c r="A9" t="s">
        <v>41</v>
      </c>
      <c r="B9" s="62">
        <f>Eredmények!L8</f>
        <v>37.4</v>
      </c>
      <c r="C9">
        <f>Eredmények!M8</f>
        <v>35.4</v>
      </c>
      <c r="D9">
        <f>Eredmények!N8</f>
        <v>36.4</v>
      </c>
      <c r="E9" s="11">
        <f>Eredmények!O8</f>
        <v>37.4</v>
      </c>
      <c r="F9">
        <f>Eredmények!P8</f>
        <v>38.4</v>
      </c>
      <c r="G9">
        <f>Eredmények!Q8</f>
        <v>39.4</v>
      </c>
    </row>
    <row r="10" spans="1:7" x14ac:dyDescent="0.3">
      <c r="A10" t="s">
        <v>42</v>
      </c>
      <c r="B10" s="58">
        <f>Eredmények!L9</f>
        <v>1293747.5977245227</v>
      </c>
      <c r="C10" s="1">
        <f>Eredmények!M9</f>
        <v>1366840.6823417274</v>
      </c>
      <c r="D10" s="1">
        <f>Eredmények!N9</f>
        <v>1329290.114145526</v>
      </c>
      <c r="E10" s="17">
        <f>Eredmények!O9</f>
        <v>1293747.5977245227</v>
      </c>
      <c r="F10" s="1">
        <f>Eredmények!P9</f>
        <v>1260056.25403378</v>
      </c>
      <c r="G10" s="1">
        <f>Eredmények!Q9</f>
        <v>1228075.1308349532</v>
      </c>
    </row>
    <row r="11" spans="1:7" x14ac:dyDescent="0.3">
      <c r="B11" s="10"/>
      <c r="E11" s="11"/>
    </row>
    <row r="12" spans="1:7" x14ac:dyDescent="0.3">
      <c r="A12" t="s">
        <v>32</v>
      </c>
      <c r="B12" s="59">
        <f>Eredmények!L11</f>
        <v>0.03</v>
      </c>
      <c r="C12" s="60">
        <f>Eredmények!M11</f>
        <v>0.02</v>
      </c>
      <c r="D12" s="61">
        <f>Eredmények!N11</f>
        <v>2.5000000000000001E-2</v>
      </c>
      <c r="E12" s="68">
        <f>Eredmények!O11</f>
        <v>0.03</v>
      </c>
      <c r="F12" s="61">
        <f>Eredmények!P11</f>
        <v>3.5000000000000003E-2</v>
      </c>
      <c r="G12" s="60">
        <f>Eredmények!Q11</f>
        <v>0.04</v>
      </c>
    </row>
    <row r="13" spans="1:7" x14ac:dyDescent="0.3">
      <c r="A13" t="s">
        <v>42</v>
      </c>
      <c r="B13" s="58">
        <f>Eredmények!L12</f>
        <v>1293747.5977245227</v>
      </c>
      <c r="C13" s="1">
        <f>Eredmények!M12</f>
        <v>825933.57506783691</v>
      </c>
      <c r="D13" s="1">
        <f>Eredmények!N12</f>
        <v>1034272.6202103685</v>
      </c>
      <c r="E13" s="17">
        <f>Eredmények!O12</f>
        <v>1293747.5977245227</v>
      </c>
      <c r="F13" s="1">
        <f>Eredmények!P12</f>
        <v>1616565.5162967942</v>
      </c>
      <c r="G13" s="1">
        <f>Eredmények!Q12</f>
        <v>2017766.1297886488</v>
      </c>
    </row>
  </sheetData>
  <mergeCells count="1">
    <mergeCell ref="C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B163-49D9-45D0-B774-E10019E9E851}">
  <dimension ref="A1:K524"/>
  <sheetViews>
    <sheetView workbookViewId="0">
      <selection activeCell="G33" sqref="G33"/>
    </sheetView>
  </sheetViews>
  <sheetFormatPr defaultRowHeight="14.4" x14ac:dyDescent="0.3"/>
  <cols>
    <col min="3" max="3" width="14.88671875" customWidth="1"/>
    <col min="4" max="4" width="13" customWidth="1"/>
    <col min="7" max="7" width="12.109375" customWidth="1"/>
    <col min="8" max="8" width="15.21875" bestFit="1" customWidth="1"/>
  </cols>
  <sheetData>
    <row r="1" spans="1:11" s="3" customFormat="1" ht="29.4" thickBot="1" x14ac:dyDescent="0.35">
      <c r="A1" s="45" t="s">
        <v>7</v>
      </c>
      <c r="B1" s="45" t="s">
        <v>6</v>
      </c>
      <c r="C1" s="45" t="s">
        <v>19</v>
      </c>
      <c r="D1" s="45" t="s">
        <v>18</v>
      </c>
      <c r="E1" s="46" t="s">
        <v>29</v>
      </c>
      <c r="H1" s="47"/>
    </row>
    <row r="2" spans="1:11" ht="15" thickTop="1" x14ac:dyDescent="0.3">
      <c r="A2">
        <f>INT((ROW(A1)-1)/12+2028)</f>
        <v>2028</v>
      </c>
      <c r="B2">
        <v>24</v>
      </c>
      <c r="C2" s="2">
        <f>Eredmények!B4</f>
        <v>9840000</v>
      </c>
      <c r="D2" s="2">
        <f>'Átlagbér tábla'!B70*12</f>
        <v>10364069.587224003</v>
      </c>
      <c r="E2" s="5">
        <f>C2/D2</f>
        <v>0.94943399570859366</v>
      </c>
    </row>
    <row r="3" spans="1:11" x14ac:dyDescent="0.3">
      <c r="A3">
        <f>A2+1</f>
        <v>2029</v>
      </c>
      <c r="B3">
        <f>B2+1</f>
        <v>25</v>
      </c>
      <c r="C3" s="2">
        <f>C2*('Átlagbér tábla'!C69+1%+IF(I3&lt;0.5,-J3/100,K3/100))</f>
        <v>10561829.973289054</v>
      </c>
      <c r="D3" s="2">
        <f>'Átlagbér tábla'!B71*12</f>
        <v>11089554.458329683</v>
      </c>
      <c r="E3" s="5">
        <f>C3/D3</f>
        <v>0.95241247184243361</v>
      </c>
      <c r="I3" s="63">
        <v>0.41289020157959855</v>
      </c>
      <c r="J3" s="63">
        <v>0.66432953974539322</v>
      </c>
      <c r="K3" s="63">
        <v>0.55871135650631099</v>
      </c>
    </row>
    <row r="4" spans="1:11" x14ac:dyDescent="0.3">
      <c r="A4">
        <f t="shared" ref="A4:A27" si="0">A3+1</f>
        <v>2030</v>
      </c>
      <c r="B4">
        <f t="shared" ref="B4:B27" si="1">B3+1</f>
        <v>26</v>
      </c>
      <c r="C4" s="2">
        <f>C3*('Átlagbér tábla'!C70+1%+IF(I4&lt;0.5,-J4/100,K4/100))</f>
        <v>11333624.153839199</v>
      </c>
      <c r="D4" s="2">
        <f>'Átlagbér tábla'!B72*12</f>
        <v>11865823.270412762</v>
      </c>
      <c r="E4" s="5">
        <f>C4/D4</f>
        <v>0.95514857212642024</v>
      </c>
      <c r="I4" s="63">
        <v>0.47645485905044971</v>
      </c>
      <c r="J4" s="63">
        <v>0.69260930632268969</v>
      </c>
      <c r="K4" s="63">
        <v>0.2898169468458951</v>
      </c>
    </row>
    <row r="5" spans="1:11" x14ac:dyDescent="0.3">
      <c r="A5">
        <f t="shared" si="0"/>
        <v>2031</v>
      </c>
      <c r="B5">
        <f t="shared" si="1"/>
        <v>27</v>
      </c>
      <c r="C5" s="2">
        <f>C4*('Átlagbér tábla'!C71+1%+IF(I5&lt;0.5,-J5/100,K5/100))</f>
        <v>12301236.945031835</v>
      </c>
      <c r="D5" s="2">
        <f>'Átlagbér tábla'!B73*12</f>
        <v>12518443.550285464</v>
      </c>
      <c r="E5" s="5">
        <f>C5/D5</f>
        <v>0.98264907259587586</v>
      </c>
      <c r="I5" s="63">
        <v>0.7880662331627043</v>
      </c>
      <c r="J5" s="63">
        <v>0.30836664867390362</v>
      </c>
      <c r="K5" s="63">
        <v>0.5375408435867437</v>
      </c>
    </row>
    <row r="6" spans="1:11" x14ac:dyDescent="0.3">
      <c r="A6">
        <f t="shared" si="0"/>
        <v>2032</v>
      </c>
      <c r="B6">
        <f t="shared" si="1"/>
        <v>28</v>
      </c>
      <c r="C6" s="2">
        <f>C5*('Átlagbér tábla'!C72+1%+IF(I6&lt;0.5,-J6/100,K6/100))</f>
        <v>13166372.017087949</v>
      </c>
      <c r="D6" s="2">
        <f>'Átlagbér tábla'!B74*12</f>
        <v>13206957.945551164</v>
      </c>
      <c r="E6" s="5">
        <f>C6/D6</f>
        <v>0.99692692831835006</v>
      </c>
      <c r="I6" s="63">
        <v>0.32742087145637089</v>
      </c>
      <c r="J6" s="63">
        <v>0.96708879016007354</v>
      </c>
      <c r="K6" s="63">
        <v>0.94168927344739473</v>
      </c>
    </row>
    <row r="7" spans="1:11" x14ac:dyDescent="0.3">
      <c r="A7">
        <f t="shared" si="0"/>
        <v>2033</v>
      </c>
      <c r="B7">
        <f t="shared" si="1"/>
        <v>29</v>
      </c>
      <c r="C7" s="2">
        <f>C6*('Átlagbér tábla'!C73+1%+IF(I7&lt;0.5,-J7/100,K7/100))</f>
        <v>13980669.877099006</v>
      </c>
      <c r="D7" s="2">
        <f>'Átlagbér tábla'!B75*12</f>
        <v>13933340.632556479</v>
      </c>
      <c r="E7" s="5">
        <f>C7/D7</f>
        <v>1.0033968339532255</v>
      </c>
      <c r="I7" s="63">
        <v>0.29965671672806782</v>
      </c>
      <c r="J7" s="63">
        <v>0.31532088752906828</v>
      </c>
      <c r="K7" s="63">
        <v>0.5874191302536097</v>
      </c>
    </row>
    <row r="8" spans="1:11" x14ac:dyDescent="0.3">
      <c r="A8">
        <f t="shared" si="0"/>
        <v>2034</v>
      </c>
      <c r="B8">
        <f t="shared" si="1"/>
        <v>30</v>
      </c>
      <c r="C8" s="2">
        <f>C7*('Átlagbér tábla'!C74+1%+IF(I8&lt;0.5,-J8/100,K8/100))</f>
        <v>14931978.189584356</v>
      </c>
      <c r="D8" s="2">
        <f>'Átlagbér tábla'!B76*12</f>
        <v>14699674.367347084</v>
      </c>
      <c r="E8" s="5">
        <f>C8/D8</f>
        <v>1.0158033311780903</v>
      </c>
      <c r="I8" s="63">
        <v>0.76448529040128932</v>
      </c>
      <c r="J8" s="63">
        <v>0.18714703080562489</v>
      </c>
      <c r="K8" s="63">
        <v>0.3044544420839127</v>
      </c>
    </row>
    <row r="9" spans="1:11" x14ac:dyDescent="0.3">
      <c r="A9">
        <f t="shared" si="0"/>
        <v>2035</v>
      </c>
      <c r="B9">
        <f t="shared" si="1"/>
        <v>31</v>
      </c>
      <c r="C9" s="2">
        <f>C8*('Átlagbér tábla'!C75+1%+IF(I9&lt;0.5,-J9/100,K9/100))</f>
        <v>15910680.211510455</v>
      </c>
      <c r="D9" s="2">
        <f>'Átlagbér tábla'!B77*12</f>
        <v>15508156.457551174</v>
      </c>
      <c r="E9" s="5">
        <f>C9/D9</f>
        <v>1.0259556160051047</v>
      </c>
      <c r="I9" s="63">
        <v>0.86444631394183347</v>
      </c>
      <c r="J9" s="63">
        <v>0.1091051485749488</v>
      </c>
      <c r="K9" s="63">
        <v>5.4402969921190758E-2</v>
      </c>
    </row>
    <row r="10" spans="1:11" x14ac:dyDescent="0.3">
      <c r="A10">
        <f t="shared" si="0"/>
        <v>2036</v>
      </c>
      <c r="B10">
        <f t="shared" si="1"/>
        <v>32</v>
      </c>
      <c r="C10" s="2">
        <f>C9*('Átlagbér tábla'!C76+1%+IF(I10&lt;0.5,-J10/100,K10/100))</f>
        <v>16853359.992671322</v>
      </c>
      <c r="D10" s="2">
        <f>'Átlagbér tábla'!B78*12</f>
        <v>16361105.062716488</v>
      </c>
      <c r="E10" s="5">
        <f>C10/D10</f>
        <v>1.0300868998804109</v>
      </c>
      <c r="I10" s="63">
        <v>0.14498164056849672</v>
      </c>
      <c r="J10" s="63">
        <v>0.57517611673892211</v>
      </c>
      <c r="K10" s="63">
        <v>6.79464305188201E-2</v>
      </c>
    </row>
    <row r="11" spans="1:11" x14ac:dyDescent="0.3">
      <c r="A11">
        <f t="shared" si="0"/>
        <v>2037</v>
      </c>
      <c r="B11">
        <f t="shared" si="1"/>
        <v>33</v>
      </c>
      <c r="C11" s="2">
        <f>C10*('Átlagbér tábla'!C77+1%+IF(I11&lt;0.5,-J11/100,K11/100))</f>
        <v>18103320.892380361</v>
      </c>
      <c r="D11" s="2">
        <f>'Átlagbér tábla'!B79*12</f>
        <v>17260965.841165893</v>
      </c>
      <c r="E11" s="5">
        <f>C11/D11</f>
        <v>1.0488011539427027</v>
      </c>
      <c r="I11" s="63">
        <v>0.95798865254205456</v>
      </c>
      <c r="J11" s="63">
        <v>0.97564994621618317</v>
      </c>
      <c r="K11" s="63">
        <v>0.9166866443995848</v>
      </c>
    </row>
    <row r="12" spans="1:11" x14ac:dyDescent="0.3">
      <c r="A12">
        <f t="shared" si="0"/>
        <v>2038</v>
      </c>
      <c r="B12">
        <f t="shared" si="1"/>
        <v>34</v>
      </c>
      <c r="C12" s="2">
        <f>C11*('Átlagbér tábla'!C78+1%+IF(I12&lt;0.5,-J12/100,K12/100))</f>
        <v>19127489.183676507</v>
      </c>
      <c r="D12" s="2">
        <f>'Átlagbér tábla'!B80*12</f>
        <v>18210318.962430015</v>
      </c>
      <c r="E12" s="5">
        <f>C12/D12</f>
        <v>1.0503654122225272</v>
      </c>
      <c r="I12" s="63">
        <v>0.38018755006965099</v>
      </c>
      <c r="J12" s="63">
        <v>0.84264963105627266</v>
      </c>
      <c r="K12" s="63">
        <v>0.35343356157909678</v>
      </c>
    </row>
    <row r="13" spans="1:11" x14ac:dyDescent="0.3">
      <c r="A13">
        <f t="shared" si="0"/>
        <v>2039</v>
      </c>
      <c r="B13">
        <f t="shared" si="1"/>
        <v>35</v>
      </c>
      <c r="C13" s="2">
        <f>C12*('Átlagbér tábla'!C79+1%+IF(I13&lt;0.5,-J13/100,K13/100))</f>
        <v>20424258.881255556</v>
      </c>
      <c r="D13" s="2">
        <f>'Átlagbér tábla'!B81*12</f>
        <v>19211886.505363666</v>
      </c>
      <c r="E13" s="5">
        <f>C13/D13</f>
        <v>1.063105326775349</v>
      </c>
      <c r="I13" s="63">
        <v>0.58883393768714243</v>
      </c>
      <c r="J13" s="63">
        <v>0.31563213334966922</v>
      </c>
      <c r="K13" s="63">
        <v>0.27961276112348665</v>
      </c>
    </row>
    <row r="14" spans="1:11" x14ac:dyDescent="0.3">
      <c r="A14">
        <f t="shared" si="0"/>
        <v>2040</v>
      </c>
      <c r="B14">
        <f t="shared" si="1"/>
        <v>36</v>
      </c>
      <c r="C14" s="2">
        <f>C13*('Átlagbér tábla'!C80+1%+IF(I14&lt;0.5,-J14/100,K14/100))</f>
        <v>21735307.911157537</v>
      </c>
      <c r="D14" s="2">
        <f>'Átlagbér tábla'!B82*12</f>
        <v>20268540.263158664</v>
      </c>
      <c r="E14" s="5">
        <f>C14/D14</f>
        <v>1.0723667135844488</v>
      </c>
      <c r="I14" s="63">
        <v>0.15628552625705416</v>
      </c>
      <c r="J14" s="63">
        <v>8.0922384874375086E-2</v>
      </c>
      <c r="K14" s="63">
        <v>0.20514961889261762</v>
      </c>
    </row>
    <row r="15" spans="1:11" x14ac:dyDescent="0.3">
      <c r="A15">
        <f t="shared" si="0"/>
        <v>2041</v>
      </c>
      <c r="B15">
        <f t="shared" si="1"/>
        <v>37</v>
      </c>
      <c r="C15" s="2">
        <f>C14*('Átlagbér tábla'!C81+1%+IF(I15&lt;0.5,-J15/100,K15/100))</f>
        <v>23271962.960512757</v>
      </c>
      <c r="D15" s="2">
        <f>'Átlagbér tábla'!B83*12</f>
        <v>21079281.87368501</v>
      </c>
      <c r="E15" s="5">
        <f>C15/D15</f>
        <v>1.1040206729985926</v>
      </c>
      <c r="I15" s="63">
        <v>0.84118000302662865</v>
      </c>
      <c r="J15" s="63">
        <v>0.22943436533611439</v>
      </c>
      <c r="K15" s="63">
        <v>0.56985636291079156</v>
      </c>
    </row>
    <row r="16" spans="1:11" x14ac:dyDescent="0.3">
      <c r="A16">
        <f t="shared" si="0"/>
        <v>2042</v>
      </c>
      <c r="B16">
        <f t="shared" si="1"/>
        <v>38</v>
      </c>
      <c r="C16" s="2">
        <f>C15*('Átlagbér tábla'!C82+1%+IF(I16&lt;0.5,-J16/100,K16/100))</f>
        <v>24561035.410207789</v>
      </c>
      <c r="D16" s="2">
        <f>'Átlagbér tábla'!B84*12</f>
        <v>21922453.148632415</v>
      </c>
      <c r="E16" s="5">
        <f>C16/D16</f>
        <v>1.1203598084432433</v>
      </c>
      <c r="I16" s="63">
        <v>0.28569694946356861</v>
      </c>
      <c r="J16" s="63">
        <v>0.96083490300195917</v>
      </c>
      <c r="K16" s="63">
        <v>0.49842900652995825</v>
      </c>
    </row>
    <row r="17" spans="1:11" x14ac:dyDescent="0.3">
      <c r="A17">
        <f t="shared" si="0"/>
        <v>2043</v>
      </c>
      <c r="B17">
        <f t="shared" si="1"/>
        <v>39</v>
      </c>
      <c r="C17" s="2">
        <f>C16*('Átlagbér tábla'!C83+1%+IF(I17&lt;0.5,-J17/100,K17/100))</f>
        <v>25619965.441391129</v>
      </c>
      <c r="D17" s="2">
        <f>'Átlagbér tábla'!B85*12</f>
        <v>22799351.274577711</v>
      </c>
      <c r="E17" s="5">
        <f>C17/D17</f>
        <v>1.123714667704538</v>
      </c>
      <c r="I17" s="63">
        <v>4.221937836982903E-2</v>
      </c>
      <c r="J17" s="63">
        <v>0.68857740116593003</v>
      </c>
      <c r="K17" s="63">
        <v>5.46841055248104E-2</v>
      </c>
    </row>
    <row r="18" spans="1:11" x14ac:dyDescent="0.3">
      <c r="A18">
        <f t="shared" si="0"/>
        <v>2044</v>
      </c>
      <c r="B18">
        <f t="shared" si="1"/>
        <v>40</v>
      </c>
      <c r="C18" s="2">
        <f>C17*('Átlagbér tábla'!C84+1%+IF(I18&lt;0.5,-J18/100,K18/100))</f>
        <v>26937468.439442299</v>
      </c>
      <c r="D18" s="2">
        <f>'Átlagbér tábla'!B86*12</f>
        <v>23711325.325560819</v>
      </c>
      <c r="E18" s="5">
        <f>C18/D18</f>
        <v>1.1360591645378715</v>
      </c>
      <c r="I18" s="63">
        <v>0.95417157462147117</v>
      </c>
      <c r="J18" s="63">
        <v>0.10829049443307115</v>
      </c>
      <c r="K18" s="63">
        <v>0.14248546144655394</v>
      </c>
    </row>
    <row r="19" spans="1:11" x14ac:dyDescent="0.3">
      <c r="A19">
        <f t="shared" si="0"/>
        <v>2045</v>
      </c>
      <c r="B19">
        <f t="shared" si="1"/>
        <v>41</v>
      </c>
      <c r="C19" s="2">
        <f>C18*('Átlagbér tábla'!C85+1%+IF(I19&lt;0.5,-J19/100,K19/100))</f>
        <v>28478076.318607993</v>
      </c>
      <c r="D19" s="2">
        <f>'Átlagbér tábla'!B87*12</f>
        <v>24659778.338583253</v>
      </c>
      <c r="E19" s="5">
        <f>C19/D19</f>
        <v>1.1548391038880728</v>
      </c>
      <c r="I19" s="63">
        <v>0.56728579004770274</v>
      </c>
      <c r="J19" s="63">
        <v>0.67962493370882859</v>
      </c>
      <c r="K19" s="63">
        <v>0.71920068372093182</v>
      </c>
    </row>
    <row r="20" spans="1:11" x14ac:dyDescent="0.3">
      <c r="A20">
        <f t="shared" si="0"/>
        <v>2046</v>
      </c>
      <c r="B20">
        <f t="shared" si="1"/>
        <v>42</v>
      </c>
      <c r="C20" s="2">
        <f>C19*('Átlagbér tábla'!C86+1%+IF(I20&lt;0.5,-J20/100,K20/100))</f>
        <v>29853683.708030555</v>
      </c>
      <c r="D20" s="2">
        <f>'Átlagbér tábla'!B88*12</f>
        <v>25646169.472126581</v>
      </c>
      <c r="E20" s="5">
        <f>C20/D20</f>
        <v>1.1640601431912432</v>
      </c>
      <c r="I20" s="63">
        <v>0.4197880456585712</v>
      </c>
      <c r="J20" s="63">
        <v>0.16959160431872156</v>
      </c>
      <c r="K20" s="63">
        <v>0.70746898078692455</v>
      </c>
    </row>
    <row r="21" spans="1:11" x14ac:dyDescent="0.3">
      <c r="A21">
        <f t="shared" si="0"/>
        <v>2047</v>
      </c>
      <c r="B21">
        <f t="shared" si="1"/>
        <v>43</v>
      </c>
      <c r="C21" s="2">
        <f>C20*('Átlagbér tábla'!C87+1%+IF(I21&lt;0.5,-J21/100,K21/100))</f>
        <v>31151719.917333171</v>
      </c>
      <c r="D21" s="2">
        <f>'Átlagbér tábla'!B89*12</f>
        <v>26672016.251011647</v>
      </c>
      <c r="E21" s="5">
        <f>C21/D21</f>
        <v>1.1679551940941701</v>
      </c>
      <c r="I21" s="63">
        <v>7.1930797734599983E-2</v>
      </c>
      <c r="J21" s="63">
        <v>0.65200655973504507</v>
      </c>
      <c r="K21" s="63">
        <v>0.70391943894346187</v>
      </c>
    </row>
    <row r="22" spans="1:11" x14ac:dyDescent="0.3">
      <c r="A22">
        <f t="shared" si="0"/>
        <v>2048</v>
      </c>
      <c r="B22">
        <f t="shared" si="1"/>
        <v>44</v>
      </c>
      <c r="C22" s="2">
        <f>C21*('Átlagbér tábla'!C88+1%+IF(I22&lt;0.5,-J22/100,K22/100))</f>
        <v>32700314.54796559</v>
      </c>
      <c r="D22" s="2">
        <f>'Átlagbér tábla'!B90*12</f>
        <v>27738896.901052114</v>
      </c>
      <c r="E22" s="5">
        <f>C22/D22</f>
        <v>1.1788613896439875</v>
      </c>
      <c r="I22" s="63">
        <v>0.41772788011035356</v>
      </c>
      <c r="J22" s="63">
        <v>2.8863142253788943E-2</v>
      </c>
      <c r="K22" s="63">
        <v>0.39213148393058661</v>
      </c>
    </row>
    <row r="23" spans="1:11" x14ac:dyDescent="0.3">
      <c r="A23">
        <f t="shared" si="0"/>
        <v>2049</v>
      </c>
      <c r="B23">
        <f t="shared" si="1"/>
        <v>45</v>
      </c>
      <c r="C23" s="2">
        <f>C22*('Átlagbér tábla'!C89+1%+IF(I23&lt;0.5,-J23/100,K23/100))</f>
        <v>34027633.274289973</v>
      </c>
      <c r="D23" s="2">
        <f>'Átlagbér tábla'!B91*12</f>
        <v>28848452.7770942</v>
      </c>
      <c r="E23" s="5">
        <f>C23/D23</f>
        <v>1.1795306159818757</v>
      </c>
      <c r="I23" s="63">
        <v>6.186049740460331E-3</v>
      </c>
      <c r="J23" s="63">
        <v>0.94096037095471408</v>
      </c>
      <c r="K23" s="63">
        <v>0.43704643646296559</v>
      </c>
    </row>
    <row r="24" spans="1:11" x14ac:dyDescent="0.3">
      <c r="A24">
        <f t="shared" si="0"/>
        <v>2050</v>
      </c>
      <c r="B24">
        <f t="shared" si="1"/>
        <v>46</v>
      </c>
      <c r="C24" s="2">
        <f>C23*('Átlagbér tábla'!C90+1%+IF(I24&lt;0.5,-J24/100,K24/100))</f>
        <v>35938962.870560311</v>
      </c>
      <c r="D24" s="2">
        <f>'Átlagbér tábla'!B92*12</f>
        <v>30002390.888177969</v>
      </c>
      <c r="E24" s="5">
        <f>C24/D24</f>
        <v>1.197869963247548</v>
      </c>
      <c r="I24" s="63">
        <v>0.86291220153745074</v>
      </c>
      <c r="J24" s="63">
        <v>0.63407291773339991</v>
      </c>
      <c r="K24" s="63">
        <v>0.61699246275367703</v>
      </c>
    </row>
    <row r="25" spans="1:11" x14ac:dyDescent="0.3">
      <c r="A25">
        <f t="shared" si="0"/>
        <v>2051</v>
      </c>
      <c r="B25">
        <f t="shared" si="1"/>
        <v>47</v>
      </c>
      <c r="C25" s="2">
        <f>C24*('Átlagbér tábla'!C91+1%+IF(I25&lt;0.5,-J25/100,K25/100))</f>
        <v>37645798.629816443</v>
      </c>
      <c r="D25" s="2">
        <f>'Átlagbér tábla'!B93*12</f>
        <v>31202486.523705088</v>
      </c>
      <c r="E25" s="5">
        <f>C25/D25</f>
        <v>1.2064999563805998</v>
      </c>
      <c r="I25" s="63">
        <v>0.26798539347374328</v>
      </c>
      <c r="J25" s="63">
        <v>0.25073729755765439</v>
      </c>
      <c r="K25" s="63">
        <v>8.3963034206239184E-3</v>
      </c>
    </row>
    <row r="26" spans="1:11" x14ac:dyDescent="0.3">
      <c r="A26">
        <f t="shared" si="0"/>
        <v>2052</v>
      </c>
      <c r="B26">
        <f t="shared" si="1"/>
        <v>48</v>
      </c>
      <c r="C26" s="2">
        <f>C25*('Átlagbér tábla'!C92+1%+IF(I26&lt;0.5,-J26/100,K26/100))</f>
        <v>39384210.372953989</v>
      </c>
      <c r="D26" s="2">
        <f>'Átlagbér tábla'!B94*12</f>
        <v>32450585.984653287</v>
      </c>
      <c r="E26" s="5">
        <f>C26/D26</f>
        <v>1.2136671550886566</v>
      </c>
      <c r="I26" s="63">
        <v>0.25940252949784415</v>
      </c>
      <c r="J26" s="63">
        <v>0.38218923117578085</v>
      </c>
      <c r="K26" s="63">
        <v>0.57630408696005597</v>
      </c>
    </row>
    <row r="27" spans="1:11" x14ac:dyDescent="0.3">
      <c r="A27">
        <f t="shared" si="0"/>
        <v>2053</v>
      </c>
      <c r="B27">
        <f t="shared" si="1"/>
        <v>49</v>
      </c>
      <c r="C27" s="2">
        <f>C26*('Átlagbér tábla'!C93+1%+IF(I27&lt;0.5,-J27/100,K27/100))</f>
        <v>41697613.619779423</v>
      </c>
      <c r="D27" s="2">
        <f>'Átlagbér tábla'!B95*12</f>
        <v>33748609.424039423</v>
      </c>
      <c r="E27" s="5">
        <f>C27/D27</f>
        <v>1.2355357548473644</v>
      </c>
      <c r="I27" s="63">
        <v>0.69085130165311903</v>
      </c>
      <c r="J27" s="63">
        <v>0.69438895025739256</v>
      </c>
      <c r="K27" s="63">
        <v>0.87393583600725866</v>
      </c>
    </row>
    <row r="28" spans="1:11" x14ac:dyDescent="0.3">
      <c r="A28">
        <f>A27+1</f>
        <v>2054</v>
      </c>
      <c r="B28">
        <f>B27+1</f>
        <v>50</v>
      </c>
      <c r="C28" s="2">
        <f>C27*('Átlagbér tábla'!C94+1%+IF(I28&lt;0.5,-J28/100,K28/100))</f>
        <v>43616247.694333814</v>
      </c>
      <c r="D28" s="2">
        <f>'Átlagbér tábla'!B96*12</f>
        <v>35098553.801000997</v>
      </c>
      <c r="E28" s="5">
        <f>C28/D28</f>
        <v>1.242679340625422</v>
      </c>
      <c r="I28" s="63">
        <v>0.23625982897033326</v>
      </c>
      <c r="J28" s="63">
        <v>0.39869573340696884</v>
      </c>
      <c r="K28" s="63">
        <v>0.21209958403472173</v>
      </c>
    </row>
    <row r="29" spans="1:11" x14ac:dyDescent="0.3">
      <c r="A29">
        <f t="shared" ref="A29:A35" si="2">A28+1</f>
        <v>2055</v>
      </c>
      <c r="B29">
        <f t="shared" ref="B29:B35" si="3">B28+1</f>
        <v>51</v>
      </c>
      <c r="C29" s="2">
        <f>C28*('Átlagbér tábla'!C95+1%+IF(I29&lt;0.5,-J29/100,K29/100))</f>
        <v>46122818.149849586</v>
      </c>
      <c r="D29" s="2">
        <f>'Átlagbér tábla'!B97*12</f>
        <v>36502495.953041047</v>
      </c>
      <c r="E29" s="5">
        <f>C29/D29</f>
        <v>1.263552448829381</v>
      </c>
      <c r="I29" s="63">
        <v>0.66542500996075826</v>
      </c>
      <c r="J29" s="63">
        <v>0.34933110894585373</v>
      </c>
      <c r="K29" s="63">
        <v>0.74687321358319481</v>
      </c>
    </row>
    <row r="30" spans="1:11" x14ac:dyDescent="0.3">
      <c r="A30">
        <f t="shared" si="2"/>
        <v>2056</v>
      </c>
      <c r="B30">
        <f t="shared" si="3"/>
        <v>52</v>
      </c>
      <c r="C30" s="2">
        <f>C29*('Átlagbér tábla'!C96+1%+IF(I30&lt;0.5,-J30/100,K30/100))</f>
        <v>48418129.325702578</v>
      </c>
      <c r="D30" s="2">
        <f>'Átlagbér tábla'!B98*12</f>
        <v>37962595.791162692</v>
      </c>
      <c r="E30" s="5">
        <f>C30/D30</f>
        <v>1.2754167178676921</v>
      </c>
      <c r="I30" s="63">
        <v>0.35100345511622189</v>
      </c>
      <c r="J30" s="63">
        <v>2.3480203669052901E-2</v>
      </c>
      <c r="K30" s="63">
        <v>0.47565298080944785</v>
      </c>
    </row>
    <row r="31" spans="1:11" x14ac:dyDescent="0.3">
      <c r="A31">
        <f t="shared" si="2"/>
        <v>2057</v>
      </c>
      <c r="B31">
        <f t="shared" si="3"/>
        <v>53</v>
      </c>
      <c r="C31" s="2">
        <f>C30*('Átlagbér tábla'!C97+1%+IF(I31&lt;0.5,-J31/100,K31/100))</f>
        <v>50637405.082270078</v>
      </c>
      <c r="D31" s="2">
        <f>'Átlagbér tábla'!B99*12</f>
        <v>39481099.622809201</v>
      </c>
      <c r="E31" s="5">
        <f>C31/D31</f>
        <v>1.2825733215651269</v>
      </c>
      <c r="I31" s="63">
        <v>1.624857948220193E-2</v>
      </c>
      <c r="J31" s="63">
        <v>0.41643638968636054</v>
      </c>
      <c r="K31" s="63">
        <v>5.9407450224324698E-4</v>
      </c>
    </row>
    <row r="32" spans="1:11" x14ac:dyDescent="0.3">
      <c r="A32">
        <f t="shared" si="2"/>
        <v>2058</v>
      </c>
      <c r="B32">
        <f t="shared" si="3"/>
        <v>54</v>
      </c>
      <c r="C32" s="2">
        <f>C31*('Átlagbér tábla'!C98+1%+IF(I32&lt;0.5,-J32/100,K32/100))</f>
        <v>52732789.835830316</v>
      </c>
      <c r="D32" s="2">
        <f>'Átlagbér tábla'!B100*12</f>
        <v>41060343.607721567</v>
      </c>
      <c r="E32" s="5">
        <f>C32/D32</f>
        <v>1.2842754152187295</v>
      </c>
      <c r="I32" s="63">
        <v>9.8068269188970381E-2</v>
      </c>
      <c r="J32" s="63">
        <v>0.86198236233495196</v>
      </c>
      <c r="K32" s="63">
        <v>5.5899164515711308E-2</v>
      </c>
    </row>
    <row r="33" spans="1:11" x14ac:dyDescent="0.3">
      <c r="A33">
        <f t="shared" si="2"/>
        <v>2059</v>
      </c>
      <c r="B33">
        <f t="shared" si="3"/>
        <v>55</v>
      </c>
      <c r="C33" s="2">
        <f>C32*('Átlagbér tábla'!C99+1%+IF(I33&lt;0.5,-J33/100,K33/100))</f>
        <v>55719792.089288495</v>
      </c>
      <c r="D33" s="2">
        <f>'Átlagbér tábla'!B101*12</f>
        <v>42702757.352030434</v>
      </c>
      <c r="E33" s="5">
        <f>C33/D33</f>
        <v>1.3048289043714205</v>
      </c>
      <c r="I33" s="63">
        <v>0.52181789645592858</v>
      </c>
      <c r="J33" s="63">
        <v>0.31544443072790174</v>
      </c>
      <c r="K33" s="63">
        <v>0.6644115791283316</v>
      </c>
    </row>
    <row r="34" spans="1:11" x14ac:dyDescent="0.3">
      <c r="A34">
        <f t="shared" si="2"/>
        <v>2060</v>
      </c>
      <c r="B34">
        <f t="shared" si="3"/>
        <v>56</v>
      </c>
      <c r="C34" s="2">
        <f>C33*('Átlagbér tábla'!C100+1%+IF(I34&lt;0.5,-J34/100,K34/100))</f>
        <v>58246695.721168496</v>
      </c>
      <c r="D34" s="2">
        <f>'Átlagbér tábla'!B102*12</f>
        <v>44410867.646111652</v>
      </c>
      <c r="E34" s="5">
        <f>C34/D34</f>
        <v>1.3115414944222155</v>
      </c>
      <c r="I34" s="63">
        <v>0.48997201018991299</v>
      </c>
      <c r="J34" s="63">
        <v>0.46498014954767708</v>
      </c>
      <c r="K34" s="63">
        <v>0.69071860166588772</v>
      </c>
    </row>
    <row r="35" spans="1:11" x14ac:dyDescent="0.3">
      <c r="A35">
        <f t="shared" si="2"/>
        <v>2061</v>
      </c>
      <c r="B35">
        <f t="shared" si="3"/>
        <v>57</v>
      </c>
      <c r="C35" s="2">
        <f>C34*('Átlagbér tábla'!C101+1%+IF(I35&lt;0.5,-J35/100,K35/100))</f>
        <v>61609084.911098652</v>
      </c>
      <c r="D35" s="2">
        <f>'Átlagbér tábla'!B103*12</f>
        <v>46187302.351956122</v>
      </c>
      <c r="E35" s="5">
        <f>C35/D35</f>
        <v>1.3338965857244829</v>
      </c>
      <c r="I35" s="63">
        <v>0.57055686991125165</v>
      </c>
      <c r="J35" s="63">
        <v>0.62702626801876649</v>
      </c>
      <c r="K35" s="63">
        <v>0.77266941634967401</v>
      </c>
    </row>
    <row r="36" spans="1:11" x14ac:dyDescent="0.3">
      <c r="A36">
        <f>A35+1</f>
        <v>2062</v>
      </c>
      <c r="B36">
        <f>B35+1</f>
        <v>58</v>
      </c>
      <c r="C36" s="2">
        <f>C35*('Átlagbér tábla'!C102+1%+IF(I36&lt;0.5,-J36/100,K36/100))</f>
        <v>65033135.723326527</v>
      </c>
      <c r="D36" s="2">
        <f>'Átlagbér tábla'!B104*12</f>
        <v>48034794.446034364</v>
      </c>
      <c r="E36" s="5">
        <f>C36/D36</f>
        <v>1.3538755910861509</v>
      </c>
      <c r="I36" s="63">
        <v>0.73925020184607226</v>
      </c>
      <c r="J36" s="63">
        <v>0.24497917193261887</v>
      </c>
      <c r="K36" s="63">
        <v>0.55770438267140354</v>
      </c>
    </row>
    <row r="37" spans="1:11" x14ac:dyDescent="0.3">
      <c r="A37">
        <f t="shared" ref="A37:A43" si="4">A36+1</f>
        <v>2063</v>
      </c>
      <c r="B37">
        <f t="shared" ref="B37:B43" si="5">B36+1</f>
        <v>59</v>
      </c>
      <c r="C37" s="2">
        <f>C36*('Átlagbér tábla'!C103+1%+IF(I37&lt;0.5,-J37/100,K37/100))</f>
        <v>68029422.023541152</v>
      </c>
      <c r="D37" s="2">
        <f>'Átlagbér tábla'!B105*12</f>
        <v>49956186.223875746</v>
      </c>
      <c r="E37" s="5">
        <f>C37/D37</f>
        <v>1.3617817364734619</v>
      </c>
      <c r="I37" s="63">
        <v>0.26342295442042107</v>
      </c>
      <c r="J37" s="63">
        <v>0.39267749142242703</v>
      </c>
      <c r="K37" s="63">
        <v>0.13584818709053303</v>
      </c>
    </row>
    <row r="38" spans="1:11" x14ac:dyDescent="0.3">
      <c r="A38">
        <f t="shared" si="4"/>
        <v>2064</v>
      </c>
      <c r="B38">
        <f t="shared" si="5"/>
        <v>60</v>
      </c>
      <c r="C38" s="2">
        <f>C37*('Átlagbér tábla'!C104+1%+IF(I38&lt;0.5,-J38/100,K38/100))</f>
        <v>71614050.630204663</v>
      </c>
      <c r="D38" s="2">
        <f>'Átlagbér tábla'!B106*12</f>
        <v>51954433.672830775</v>
      </c>
      <c r="E38" s="5">
        <f>C38/D38</f>
        <v>1.3784011405297014</v>
      </c>
      <c r="I38" s="63">
        <v>0.60248114707938671</v>
      </c>
      <c r="J38" s="63">
        <v>0.15785591175904967</v>
      </c>
      <c r="K38" s="63">
        <v>0.26923278199111977</v>
      </c>
    </row>
    <row r="39" spans="1:11" x14ac:dyDescent="0.3">
      <c r="A39">
        <f t="shared" si="4"/>
        <v>2065</v>
      </c>
      <c r="B39">
        <f t="shared" si="5"/>
        <v>61</v>
      </c>
      <c r="C39" s="2">
        <f>C38*('Átlagbér tábla'!C105+1%+IF(I39&lt;0.5,-J39/100,K39/100))</f>
        <v>74571943.278782219</v>
      </c>
      <c r="D39" s="2">
        <f>'Átlagbér tábla'!B107*12</f>
        <v>54032611.019744009</v>
      </c>
      <c r="E39" s="5">
        <f>C39/D39</f>
        <v>1.380128442275961</v>
      </c>
      <c r="I39" s="63">
        <v>4.481663290193294E-2</v>
      </c>
      <c r="J39" s="63">
        <v>0.86967554195294328</v>
      </c>
      <c r="K39" s="63">
        <v>0.55542208835949736</v>
      </c>
    </row>
    <row r="40" spans="1:11" x14ac:dyDescent="0.3">
      <c r="A40">
        <f t="shared" si="4"/>
        <v>2066</v>
      </c>
      <c r="B40">
        <f t="shared" si="5"/>
        <v>62</v>
      </c>
      <c r="C40" s="2">
        <f>C39*('Átlagbér tábla'!C106+1%+IF(I40&lt;0.5,-J40/100,K40/100))</f>
        <v>79005895.065087438</v>
      </c>
      <c r="D40" s="2">
        <f>'Átlagbér tábla'!B108*12</f>
        <v>56193915.460533768</v>
      </c>
      <c r="E40" s="5">
        <f>C40/D40</f>
        <v>1.4059510610285739</v>
      </c>
      <c r="I40" s="63">
        <v>0.92725308181350286</v>
      </c>
      <c r="J40" s="63">
        <v>0.81941245513926009</v>
      </c>
      <c r="K40" s="63">
        <v>0.94587131748622233</v>
      </c>
    </row>
    <row r="41" spans="1:11" x14ac:dyDescent="0.3">
      <c r="A41">
        <f t="shared" si="4"/>
        <v>2067</v>
      </c>
      <c r="B41">
        <f t="shared" si="5"/>
        <v>63</v>
      </c>
      <c r="C41" s="2">
        <f>C40*('Átlagbér tábla'!C107+1%+IF(I41&lt;0.5,-J41/100,K41/100))</f>
        <v>82676648.233109057</v>
      </c>
      <c r="D41" s="2">
        <f>'Átlagbér tábla'!B109*12</f>
        <v>58441672.078955121</v>
      </c>
      <c r="E41" s="5">
        <f>C41/D41</f>
        <v>1.4146865634065415</v>
      </c>
      <c r="I41" s="63">
        <v>0.43002432621606501</v>
      </c>
      <c r="J41" s="63">
        <v>0.35382370518359907</v>
      </c>
      <c r="K41" s="63">
        <v>0.71808582153227407</v>
      </c>
    </row>
    <row r="42" spans="1:11" x14ac:dyDescent="0.3">
      <c r="A42">
        <f t="shared" si="4"/>
        <v>2068</v>
      </c>
      <c r="B42">
        <f t="shared" si="5"/>
        <v>64</v>
      </c>
      <c r="C42" s="2">
        <f>C41*('Átlagbér tábla'!C108+1%+IF(I42&lt;0.5,-J42/100,K42/100))</f>
        <v>86895907.675554782</v>
      </c>
      <c r="D42" s="2">
        <f>'Átlagbér tábla'!B110*12</f>
        <v>60779338.962113336</v>
      </c>
      <c r="E42" s="5">
        <f>C42/D42</f>
        <v>1.4296948462983639</v>
      </c>
      <c r="I42" s="63">
        <v>0.79103808090701111</v>
      </c>
      <c r="J42" s="63">
        <v>0.80370685252128116</v>
      </c>
      <c r="K42" s="63">
        <v>0.1033266739955585</v>
      </c>
    </row>
    <row r="43" spans="1:11" x14ac:dyDescent="0.3">
      <c r="A43">
        <f t="shared" si="4"/>
        <v>2069</v>
      </c>
      <c r="B43">
        <f t="shared" si="5"/>
        <v>65</v>
      </c>
      <c r="C43" s="2">
        <f>C42*('Átlagbér tábla'!C109+1%+IF(I43&lt;0.5,-J43/100,K43/100))</f>
        <v>91750740.854819342</v>
      </c>
      <c r="D43" s="2">
        <f>'Átlagbér tábla'!B111*12</f>
        <v>63210512.52059786</v>
      </c>
      <c r="E43" s="5">
        <f>C43/D43</f>
        <v>1.4515107882556928</v>
      </c>
      <c r="I43" s="63">
        <v>0.5034346471550416</v>
      </c>
      <c r="J43" s="63">
        <v>0.99692734431735763</v>
      </c>
      <c r="K43" s="63">
        <v>0.58695260701015362</v>
      </c>
    </row>
    <row r="44" spans="1:11" x14ac:dyDescent="0.3">
      <c r="A44" s="54">
        <f>A43+1</f>
        <v>2070</v>
      </c>
      <c r="B44" s="54">
        <f>B43+1</f>
        <v>66</v>
      </c>
      <c r="C44" s="55">
        <f>C43*('Átlagbér tábla'!C110+1%+IF(I44&lt;0.5,-J44/100,K44/100))</f>
        <v>95921884.218507245</v>
      </c>
      <c r="D44" s="55">
        <f>'Átlagbér tábla'!B112*12</f>
        <v>65738933.021421775</v>
      </c>
      <c r="E44" s="56">
        <f>C44/D44</f>
        <v>1.4591335729049635</v>
      </c>
      <c r="I44" s="63">
        <v>5.6685541238008619E-2</v>
      </c>
      <c r="J44" s="63">
        <v>0.45383140797951216</v>
      </c>
      <c r="K44" s="63">
        <v>0.13365170118468928</v>
      </c>
    </row>
    <row r="45" spans="1:11" x14ac:dyDescent="0.3">
      <c r="A45">
        <f t="shared" ref="A45:A46" si="6">A44+1</f>
        <v>2071</v>
      </c>
      <c r="B45">
        <f t="shared" ref="B45:B46" si="7">B44+1</f>
        <v>67</v>
      </c>
      <c r="C45" s="2">
        <f>C44*('Átlagbér tábla'!C111+1%+IF(I45&lt;0.5,-J45/100,K45/100))</f>
        <v>101015826.62974136</v>
      </c>
      <c r="D45" s="2">
        <f>'Átlagbér tábla'!B113*12</f>
        <v>68368490.342278659</v>
      </c>
      <c r="E45" s="5">
        <f t="shared" ref="E45:E46" si="8">C45/D45</f>
        <v>1.4775202161700181</v>
      </c>
      <c r="I45" s="63">
        <v>0.65201812323427255</v>
      </c>
      <c r="J45" s="63">
        <v>0.76362568189412772</v>
      </c>
      <c r="K45" s="63">
        <v>0.3105112068381205</v>
      </c>
    </row>
    <row r="46" spans="1:11" x14ac:dyDescent="0.3">
      <c r="A46">
        <f t="shared" si="6"/>
        <v>2072</v>
      </c>
      <c r="B46">
        <f t="shared" si="7"/>
        <v>68</v>
      </c>
      <c r="C46" s="2">
        <f>C45*('Átlagbér tábla'!C112+1%+IF(I46&lt;0.5,-J46/100,K46/100))</f>
        <v>105269412.85741882</v>
      </c>
      <c r="D46" s="2">
        <f>'Átlagbér tábla'!B114*12</f>
        <v>71103229.955969796</v>
      </c>
      <c r="E46" s="5">
        <f t="shared" si="8"/>
        <v>1.4805152019480157</v>
      </c>
      <c r="I46" s="63">
        <v>0.39647069448250682</v>
      </c>
      <c r="J46" s="63">
        <v>0.78918831870934958</v>
      </c>
      <c r="K46" s="63">
        <v>0.65922164250078219</v>
      </c>
    </row>
    <row r="47" spans="1:11" x14ac:dyDescent="0.3">
      <c r="C47" s="2"/>
      <c r="D47" s="2"/>
      <c r="E47" s="5"/>
    </row>
    <row r="48" spans="1:11" x14ac:dyDescent="0.3">
      <c r="C48" s="2"/>
      <c r="D48" s="2"/>
      <c r="E48" s="5"/>
    </row>
    <row r="49" spans="3:5" x14ac:dyDescent="0.3">
      <c r="C49" s="2"/>
      <c r="D49" s="2"/>
      <c r="E49" s="5"/>
    </row>
    <row r="50" spans="3:5" x14ac:dyDescent="0.3">
      <c r="C50" s="2"/>
      <c r="D50" s="2"/>
      <c r="E50" s="5"/>
    </row>
    <row r="51" spans="3:5" x14ac:dyDescent="0.3">
      <c r="C51" s="2"/>
      <c r="D51" s="2"/>
      <c r="E51" s="5"/>
    </row>
    <row r="52" spans="3:5" x14ac:dyDescent="0.3">
      <c r="C52" s="2"/>
      <c r="D52" s="2"/>
      <c r="E52" s="5"/>
    </row>
    <row r="53" spans="3:5" x14ac:dyDescent="0.3">
      <c r="C53" s="2"/>
      <c r="D53" s="2"/>
      <c r="E53" s="5"/>
    </row>
    <row r="54" spans="3:5" x14ac:dyDescent="0.3">
      <c r="C54" s="2"/>
      <c r="D54" s="2"/>
      <c r="E54" s="5"/>
    </row>
    <row r="55" spans="3:5" x14ac:dyDescent="0.3">
      <c r="C55" s="2"/>
      <c r="D55" s="2"/>
      <c r="E55" s="5"/>
    </row>
    <row r="56" spans="3:5" x14ac:dyDescent="0.3">
      <c r="C56" s="2"/>
      <c r="D56" s="2"/>
      <c r="E56" s="5"/>
    </row>
    <row r="57" spans="3:5" x14ac:dyDescent="0.3">
      <c r="C57" s="2"/>
      <c r="D57" s="2"/>
      <c r="E57" s="5"/>
    </row>
    <row r="58" spans="3:5" x14ac:dyDescent="0.3">
      <c r="C58" s="2"/>
      <c r="D58" s="2"/>
      <c r="E58" s="5"/>
    </row>
    <row r="59" spans="3:5" x14ac:dyDescent="0.3">
      <c r="C59" s="2"/>
      <c r="D59" s="2"/>
      <c r="E59" s="5"/>
    </row>
    <row r="60" spans="3:5" x14ac:dyDescent="0.3">
      <c r="C60" s="2"/>
      <c r="D60" s="2"/>
      <c r="E60" s="5"/>
    </row>
    <row r="61" spans="3:5" x14ac:dyDescent="0.3">
      <c r="C61" s="2"/>
      <c r="D61" s="2"/>
      <c r="E61" s="5"/>
    </row>
    <row r="62" spans="3:5" x14ac:dyDescent="0.3">
      <c r="C62" s="2"/>
      <c r="D62" s="2"/>
      <c r="E62" s="5"/>
    </row>
    <row r="63" spans="3:5" x14ac:dyDescent="0.3">
      <c r="C63" s="2"/>
      <c r="D63" s="2"/>
    </row>
    <row r="64" spans="3:5" x14ac:dyDescent="0.3">
      <c r="C64" s="2"/>
      <c r="D64" s="2"/>
    </row>
    <row r="65" spans="3:4" x14ac:dyDescent="0.3">
      <c r="C65" s="2"/>
      <c r="D65" s="2"/>
    </row>
    <row r="66" spans="3:4" x14ac:dyDescent="0.3">
      <c r="C66" s="2"/>
      <c r="D66" s="2"/>
    </row>
    <row r="67" spans="3:4" x14ac:dyDescent="0.3">
      <c r="C67" s="2"/>
      <c r="D67" s="2"/>
    </row>
    <row r="68" spans="3:4" x14ac:dyDescent="0.3">
      <c r="C68" s="2"/>
      <c r="D68" s="2"/>
    </row>
    <row r="69" spans="3:4" x14ac:dyDescent="0.3">
      <c r="C69" s="2"/>
      <c r="D69" s="2"/>
    </row>
    <row r="70" spans="3:4" x14ac:dyDescent="0.3">
      <c r="C70" s="2"/>
      <c r="D70" s="2"/>
    </row>
    <row r="71" spans="3:4" x14ac:dyDescent="0.3">
      <c r="C71" s="2"/>
      <c r="D71" s="2"/>
    </row>
    <row r="72" spans="3:4" x14ac:dyDescent="0.3">
      <c r="C72" s="2"/>
      <c r="D72" s="2"/>
    </row>
    <row r="73" spans="3:4" x14ac:dyDescent="0.3">
      <c r="C73" s="2"/>
      <c r="D73" s="2"/>
    </row>
    <row r="74" spans="3:4" x14ac:dyDescent="0.3">
      <c r="C74" s="2"/>
      <c r="D74" s="2"/>
    </row>
    <row r="75" spans="3:4" x14ac:dyDescent="0.3">
      <c r="C75" s="2"/>
      <c r="D75" s="2"/>
    </row>
    <row r="76" spans="3:4" x14ac:dyDescent="0.3">
      <c r="C76" s="2"/>
      <c r="D76" s="2"/>
    </row>
    <row r="77" spans="3:4" x14ac:dyDescent="0.3">
      <c r="C77" s="2"/>
      <c r="D77" s="2"/>
    </row>
    <row r="78" spans="3:4" x14ac:dyDescent="0.3">
      <c r="C78" s="2"/>
      <c r="D78" s="2"/>
    </row>
    <row r="79" spans="3:4" x14ac:dyDescent="0.3">
      <c r="C79" s="2"/>
      <c r="D79" s="2"/>
    </row>
    <row r="80" spans="3:4" x14ac:dyDescent="0.3">
      <c r="C80" s="2"/>
      <c r="D80" s="2"/>
    </row>
    <row r="81" spans="3:4" x14ac:dyDescent="0.3">
      <c r="C81" s="2"/>
      <c r="D81" s="2"/>
    </row>
    <row r="82" spans="3:4" x14ac:dyDescent="0.3">
      <c r="C82" s="2"/>
      <c r="D82" s="2"/>
    </row>
    <row r="83" spans="3:4" x14ac:dyDescent="0.3">
      <c r="C83" s="2"/>
      <c r="D83" s="2"/>
    </row>
    <row r="84" spans="3:4" x14ac:dyDescent="0.3">
      <c r="C84" s="2"/>
      <c r="D84" s="2"/>
    </row>
    <row r="85" spans="3:4" x14ac:dyDescent="0.3">
      <c r="C85" s="2"/>
      <c r="D85" s="2"/>
    </row>
    <row r="86" spans="3:4" x14ac:dyDescent="0.3">
      <c r="C86" s="2"/>
      <c r="D86" s="2"/>
    </row>
    <row r="87" spans="3:4" x14ac:dyDescent="0.3">
      <c r="C87" s="2"/>
      <c r="D87" s="2"/>
    </row>
    <row r="88" spans="3:4" x14ac:dyDescent="0.3">
      <c r="C88" s="2"/>
      <c r="D88" s="2"/>
    </row>
    <row r="89" spans="3:4" x14ac:dyDescent="0.3">
      <c r="C89" s="2"/>
      <c r="D89" s="2"/>
    </row>
    <row r="90" spans="3:4" x14ac:dyDescent="0.3">
      <c r="C90" s="2"/>
      <c r="D90" s="2"/>
    </row>
    <row r="91" spans="3:4" x14ac:dyDescent="0.3">
      <c r="C91" s="2"/>
      <c r="D91" s="2"/>
    </row>
    <row r="92" spans="3:4" x14ac:dyDescent="0.3">
      <c r="C92" s="2"/>
      <c r="D92" s="2"/>
    </row>
    <row r="93" spans="3:4" x14ac:dyDescent="0.3">
      <c r="C93" s="2"/>
      <c r="D93" s="2"/>
    </row>
    <row r="94" spans="3:4" x14ac:dyDescent="0.3">
      <c r="C94" s="2"/>
      <c r="D94" s="2"/>
    </row>
    <row r="95" spans="3:4" x14ac:dyDescent="0.3">
      <c r="C95" s="2"/>
      <c r="D95" s="2"/>
    </row>
    <row r="96" spans="3:4" x14ac:dyDescent="0.3">
      <c r="C96" s="2"/>
      <c r="D96" s="2"/>
    </row>
    <row r="97" spans="3:4" x14ac:dyDescent="0.3">
      <c r="C97" s="2"/>
      <c r="D97" s="2"/>
    </row>
    <row r="98" spans="3:4" x14ac:dyDescent="0.3">
      <c r="C98" s="2"/>
      <c r="D98" s="2"/>
    </row>
    <row r="99" spans="3:4" x14ac:dyDescent="0.3">
      <c r="C99" s="2"/>
      <c r="D99" s="2"/>
    </row>
    <row r="100" spans="3:4" x14ac:dyDescent="0.3">
      <c r="C100" s="2"/>
      <c r="D100" s="2"/>
    </row>
    <row r="101" spans="3:4" x14ac:dyDescent="0.3">
      <c r="C101" s="2"/>
      <c r="D101" s="2"/>
    </row>
    <row r="102" spans="3:4" x14ac:dyDescent="0.3">
      <c r="C102" s="2"/>
      <c r="D102" s="2"/>
    </row>
    <row r="103" spans="3:4" x14ac:dyDescent="0.3">
      <c r="C103" s="2"/>
      <c r="D103" s="2"/>
    </row>
    <row r="104" spans="3:4" x14ac:dyDescent="0.3">
      <c r="C104" s="2"/>
      <c r="D104" s="2"/>
    </row>
    <row r="105" spans="3:4" x14ac:dyDescent="0.3">
      <c r="C105" s="2"/>
      <c r="D105" s="2"/>
    </row>
    <row r="106" spans="3:4" x14ac:dyDescent="0.3">
      <c r="C106" s="2"/>
      <c r="D106" s="2"/>
    </row>
    <row r="107" spans="3:4" x14ac:dyDescent="0.3">
      <c r="C107" s="2"/>
      <c r="D107" s="2"/>
    </row>
    <row r="108" spans="3:4" x14ac:dyDescent="0.3">
      <c r="C108" s="2"/>
      <c r="D108" s="2"/>
    </row>
    <row r="109" spans="3:4" x14ac:dyDescent="0.3">
      <c r="C109" s="2"/>
      <c r="D109" s="2"/>
    </row>
    <row r="110" spans="3:4" x14ac:dyDescent="0.3">
      <c r="C110" s="2"/>
      <c r="D110" s="2"/>
    </row>
    <row r="111" spans="3:4" x14ac:dyDescent="0.3">
      <c r="C111" s="2"/>
      <c r="D111" s="2"/>
    </row>
    <row r="112" spans="3:4" x14ac:dyDescent="0.3">
      <c r="C112" s="2"/>
      <c r="D112" s="2"/>
    </row>
    <row r="113" spans="3:4" x14ac:dyDescent="0.3">
      <c r="C113" s="2"/>
      <c r="D113" s="2"/>
    </row>
    <row r="114" spans="3:4" x14ac:dyDescent="0.3">
      <c r="C114" s="2"/>
      <c r="D114" s="2"/>
    </row>
    <row r="115" spans="3:4" x14ac:dyDescent="0.3">
      <c r="C115" s="2"/>
      <c r="D115" s="2"/>
    </row>
    <row r="116" spans="3:4" x14ac:dyDescent="0.3">
      <c r="C116" s="2"/>
      <c r="D116" s="2"/>
    </row>
    <row r="117" spans="3:4" x14ac:dyDescent="0.3">
      <c r="C117" s="2"/>
      <c r="D117" s="2"/>
    </row>
    <row r="118" spans="3:4" x14ac:dyDescent="0.3">
      <c r="C118" s="2"/>
      <c r="D118" s="2"/>
    </row>
    <row r="119" spans="3:4" x14ac:dyDescent="0.3">
      <c r="C119" s="2"/>
      <c r="D119" s="2"/>
    </row>
    <row r="120" spans="3:4" x14ac:dyDescent="0.3">
      <c r="C120" s="2"/>
      <c r="D120" s="2"/>
    </row>
    <row r="121" spans="3:4" x14ac:dyDescent="0.3">
      <c r="C121" s="2"/>
      <c r="D121" s="2"/>
    </row>
    <row r="122" spans="3:4" x14ac:dyDescent="0.3">
      <c r="C122" s="2"/>
      <c r="D122" s="2"/>
    </row>
    <row r="123" spans="3:4" x14ac:dyDescent="0.3">
      <c r="C123" s="2"/>
      <c r="D123" s="2"/>
    </row>
    <row r="124" spans="3:4" x14ac:dyDescent="0.3">
      <c r="C124" s="2"/>
      <c r="D124" s="2"/>
    </row>
    <row r="125" spans="3:4" x14ac:dyDescent="0.3">
      <c r="C125" s="2"/>
      <c r="D125" s="2"/>
    </row>
    <row r="126" spans="3:4" x14ac:dyDescent="0.3">
      <c r="C126" s="2"/>
      <c r="D126" s="2"/>
    </row>
    <row r="127" spans="3:4" x14ac:dyDescent="0.3">
      <c r="C127" s="2"/>
      <c r="D127" s="2"/>
    </row>
    <row r="128" spans="3:4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  <row r="204" spans="3:4" x14ac:dyDescent="0.3">
      <c r="C204" s="2"/>
      <c r="D204" s="2"/>
    </row>
    <row r="205" spans="3:4" x14ac:dyDescent="0.3">
      <c r="C205" s="2"/>
      <c r="D205" s="2"/>
    </row>
    <row r="206" spans="3:4" x14ac:dyDescent="0.3">
      <c r="C206" s="2"/>
      <c r="D206" s="2"/>
    </row>
    <row r="207" spans="3:4" x14ac:dyDescent="0.3">
      <c r="C207" s="2"/>
      <c r="D207" s="2"/>
    </row>
    <row r="208" spans="3:4" x14ac:dyDescent="0.3">
      <c r="C208" s="2"/>
      <c r="D208" s="2"/>
    </row>
    <row r="209" spans="3:4" x14ac:dyDescent="0.3">
      <c r="C209" s="2"/>
      <c r="D209" s="2"/>
    </row>
    <row r="210" spans="3:4" x14ac:dyDescent="0.3">
      <c r="C210" s="2"/>
      <c r="D210" s="2"/>
    </row>
    <row r="211" spans="3:4" x14ac:dyDescent="0.3">
      <c r="C211" s="2"/>
      <c r="D211" s="2"/>
    </row>
    <row r="212" spans="3:4" x14ac:dyDescent="0.3">
      <c r="C212" s="2"/>
      <c r="D212" s="2"/>
    </row>
    <row r="213" spans="3:4" x14ac:dyDescent="0.3">
      <c r="C213" s="2"/>
      <c r="D213" s="2"/>
    </row>
    <row r="214" spans="3:4" x14ac:dyDescent="0.3">
      <c r="C214" s="2"/>
      <c r="D214" s="2"/>
    </row>
    <row r="215" spans="3:4" x14ac:dyDescent="0.3">
      <c r="C215" s="2"/>
      <c r="D215" s="2"/>
    </row>
    <row r="216" spans="3:4" x14ac:dyDescent="0.3">
      <c r="C216" s="2"/>
      <c r="D216" s="2"/>
    </row>
    <row r="217" spans="3:4" x14ac:dyDescent="0.3">
      <c r="C217" s="2"/>
      <c r="D217" s="2"/>
    </row>
    <row r="218" spans="3:4" x14ac:dyDescent="0.3">
      <c r="C218" s="2"/>
      <c r="D218" s="2"/>
    </row>
    <row r="219" spans="3:4" x14ac:dyDescent="0.3">
      <c r="C219" s="2"/>
      <c r="D219" s="2"/>
    </row>
    <row r="220" spans="3:4" x14ac:dyDescent="0.3">
      <c r="C220" s="2"/>
      <c r="D220" s="2"/>
    </row>
    <row r="221" spans="3:4" x14ac:dyDescent="0.3">
      <c r="C221" s="2"/>
      <c r="D221" s="2"/>
    </row>
    <row r="222" spans="3:4" x14ac:dyDescent="0.3">
      <c r="C222" s="2"/>
      <c r="D222" s="2"/>
    </row>
    <row r="223" spans="3:4" x14ac:dyDescent="0.3">
      <c r="C223" s="2"/>
      <c r="D223" s="2"/>
    </row>
    <row r="224" spans="3:4" x14ac:dyDescent="0.3">
      <c r="C224" s="2"/>
      <c r="D224" s="2"/>
    </row>
    <row r="225" spans="3:4" x14ac:dyDescent="0.3">
      <c r="C225" s="2"/>
      <c r="D225" s="2"/>
    </row>
    <row r="226" spans="3:4" x14ac:dyDescent="0.3">
      <c r="C226" s="2"/>
      <c r="D226" s="2"/>
    </row>
    <row r="227" spans="3:4" x14ac:dyDescent="0.3">
      <c r="C227" s="2"/>
      <c r="D227" s="2"/>
    </row>
    <row r="228" spans="3:4" x14ac:dyDescent="0.3">
      <c r="C228" s="2"/>
      <c r="D228" s="2"/>
    </row>
    <row r="229" spans="3:4" x14ac:dyDescent="0.3">
      <c r="C229" s="2"/>
      <c r="D229" s="2"/>
    </row>
    <row r="230" spans="3:4" x14ac:dyDescent="0.3">
      <c r="C230" s="2"/>
      <c r="D230" s="2"/>
    </row>
    <row r="231" spans="3:4" x14ac:dyDescent="0.3">
      <c r="C231" s="2"/>
      <c r="D231" s="2"/>
    </row>
    <row r="232" spans="3:4" x14ac:dyDescent="0.3">
      <c r="C232" s="2"/>
      <c r="D232" s="2"/>
    </row>
    <row r="233" spans="3:4" x14ac:dyDescent="0.3">
      <c r="C233" s="2"/>
      <c r="D233" s="2"/>
    </row>
    <row r="234" spans="3:4" x14ac:dyDescent="0.3">
      <c r="C234" s="2"/>
      <c r="D234" s="2"/>
    </row>
    <row r="235" spans="3:4" x14ac:dyDescent="0.3">
      <c r="C235" s="2"/>
      <c r="D235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39" spans="3:4" x14ac:dyDescent="0.3">
      <c r="C239" s="2"/>
      <c r="D239" s="2"/>
    </row>
    <row r="240" spans="3:4" x14ac:dyDescent="0.3">
      <c r="C240" s="2"/>
      <c r="D240" s="2"/>
    </row>
    <row r="241" spans="3:4" x14ac:dyDescent="0.3">
      <c r="C241" s="2"/>
      <c r="D241" s="2"/>
    </row>
    <row r="242" spans="3:4" x14ac:dyDescent="0.3">
      <c r="C242" s="2"/>
      <c r="D242" s="2"/>
    </row>
    <row r="243" spans="3:4" x14ac:dyDescent="0.3">
      <c r="C243" s="2"/>
      <c r="D243" s="2"/>
    </row>
    <row r="244" spans="3:4" x14ac:dyDescent="0.3">
      <c r="C244" s="2"/>
      <c r="D244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8" spans="3:4" x14ac:dyDescent="0.3">
      <c r="C248" s="2"/>
      <c r="D248" s="2"/>
    </row>
    <row r="249" spans="3:4" x14ac:dyDescent="0.3">
      <c r="C249" s="2"/>
      <c r="D249" s="2"/>
    </row>
    <row r="250" spans="3:4" x14ac:dyDescent="0.3">
      <c r="C250" s="2"/>
      <c r="D250" s="2"/>
    </row>
    <row r="251" spans="3:4" x14ac:dyDescent="0.3">
      <c r="C251" s="2"/>
      <c r="D251" s="2"/>
    </row>
    <row r="252" spans="3:4" x14ac:dyDescent="0.3">
      <c r="C252" s="2"/>
      <c r="D252" s="2"/>
    </row>
    <row r="253" spans="3:4" x14ac:dyDescent="0.3">
      <c r="C253" s="2"/>
      <c r="D253" s="2"/>
    </row>
    <row r="254" spans="3:4" x14ac:dyDescent="0.3">
      <c r="C254" s="2"/>
      <c r="D254" s="2"/>
    </row>
    <row r="255" spans="3:4" x14ac:dyDescent="0.3">
      <c r="C255" s="2"/>
      <c r="D255" s="2"/>
    </row>
    <row r="256" spans="3:4" x14ac:dyDescent="0.3">
      <c r="C256" s="2"/>
      <c r="D256" s="2"/>
    </row>
    <row r="257" spans="3:4" x14ac:dyDescent="0.3">
      <c r="C257" s="2"/>
      <c r="D257" s="2"/>
    </row>
    <row r="258" spans="3:4" x14ac:dyDescent="0.3">
      <c r="C258" s="2"/>
      <c r="D258" s="2"/>
    </row>
    <row r="259" spans="3:4" x14ac:dyDescent="0.3">
      <c r="C259" s="2"/>
      <c r="D259" s="2"/>
    </row>
    <row r="260" spans="3:4" x14ac:dyDescent="0.3">
      <c r="C260" s="2"/>
      <c r="D260" s="2"/>
    </row>
    <row r="261" spans="3:4" x14ac:dyDescent="0.3">
      <c r="C261" s="2"/>
      <c r="D261" s="2"/>
    </row>
    <row r="262" spans="3:4" x14ac:dyDescent="0.3">
      <c r="C262" s="2"/>
      <c r="D262" s="2"/>
    </row>
    <row r="263" spans="3:4" x14ac:dyDescent="0.3">
      <c r="C263" s="2"/>
      <c r="D263" s="2"/>
    </row>
    <row r="264" spans="3:4" x14ac:dyDescent="0.3">
      <c r="C264" s="2"/>
      <c r="D264" s="2"/>
    </row>
    <row r="265" spans="3:4" x14ac:dyDescent="0.3">
      <c r="C265" s="2"/>
      <c r="D265" s="2"/>
    </row>
    <row r="266" spans="3:4" x14ac:dyDescent="0.3">
      <c r="C266" s="2"/>
      <c r="D266" s="2"/>
    </row>
    <row r="267" spans="3:4" x14ac:dyDescent="0.3">
      <c r="C267" s="2"/>
      <c r="D267" s="2"/>
    </row>
    <row r="268" spans="3:4" x14ac:dyDescent="0.3">
      <c r="C268" s="2"/>
      <c r="D268" s="2"/>
    </row>
    <row r="269" spans="3:4" x14ac:dyDescent="0.3">
      <c r="C269" s="2"/>
      <c r="D269" s="2"/>
    </row>
    <row r="270" spans="3:4" x14ac:dyDescent="0.3">
      <c r="C270" s="2"/>
      <c r="D270" s="2"/>
    </row>
    <row r="271" spans="3:4" x14ac:dyDescent="0.3">
      <c r="C271" s="2"/>
      <c r="D271" s="2"/>
    </row>
    <row r="272" spans="3:4" x14ac:dyDescent="0.3">
      <c r="C272" s="2"/>
      <c r="D272" s="2"/>
    </row>
    <row r="273" spans="3:4" x14ac:dyDescent="0.3">
      <c r="C273" s="2"/>
      <c r="D273" s="2"/>
    </row>
    <row r="274" spans="3:4" x14ac:dyDescent="0.3">
      <c r="C274" s="2"/>
      <c r="D274" s="2"/>
    </row>
    <row r="275" spans="3:4" x14ac:dyDescent="0.3">
      <c r="C275" s="2"/>
      <c r="D275" s="2"/>
    </row>
    <row r="276" spans="3:4" x14ac:dyDescent="0.3">
      <c r="C276" s="2"/>
      <c r="D276" s="2"/>
    </row>
    <row r="277" spans="3:4" x14ac:dyDescent="0.3">
      <c r="C277" s="2"/>
      <c r="D277" s="2"/>
    </row>
    <row r="278" spans="3:4" x14ac:dyDescent="0.3">
      <c r="C278" s="2"/>
      <c r="D278" s="2"/>
    </row>
    <row r="279" spans="3:4" x14ac:dyDescent="0.3">
      <c r="C279" s="2"/>
      <c r="D279" s="2"/>
    </row>
    <row r="280" spans="3:4" x14ac:dyDescent="0.3">
      <c r="C280" s="2"/>
      <c r="D280" s="2"/>
    </row>
    <row r="281" spans="3:4" x14ac:dyDescent="0.3">
      <c r="C281" s="2"/>
      <c r="D281" s="2"/>
    </row>
    <row r="282" spans="3:4" x14ac:dyDescent="0.3">
      <c r="C282" s="2"/>
      <c r="D282" s="2"/>
    </row>
    <row r="283" spans="3:4" x14ac:dyDescent="0.3">
      <c r="C283" s="2"/>
      <c r="D283" s="2"/>
    </row>
    <row r="284" spans="3:4" x14ac:dyDescent="0.3">
      <c r="C284" s="2"/>
      <c r="D284" s="2"/>
    </row>
    <row r="285" spans="3:4" x14ac:dyDescent="0.3">
      <c r="C285" s="2"/>
      <c r="D285" s="2"/>
    </row>
    <row r="286" spans="3:4" x14ac:dyDescent="0.3">
      <c r="C286" s="2"/>
      <c r="D286" s="2"/>
    </row>
    <row r="287" spans="3:4" x14ac:dyDescent="0.3">
      <c r="C287" s="2"/>
      <c r="D287" s="2"/>
    </row>
    <row r="288" spans="3:4" x14ac:dyDescent="0.3">
      <c r="C288" s="2"/>
      <c r="D288" s="2"/>
    </row>
    <row r="289" spans="3:4" x14ac:dyDescent="0.3">
      <c r="C289" s="2"/>
      <c r="D289" s="2"/>
    </row>
    <row r="290" spans="3:4" x14ac:dyDescent="0.3">
      <c r="C290" s="2"/>
      <c r="D290" s="2"/>
    </row>
    <row r="291" spans="3:4" x14ac:dyDescent="0.3">
      <c r="C291" s="2"/>
      <c r="D291" s="2"/>
    </row>
    <row r="292" spans="3:4" x14ac:dyDescent="0.3">
      <c r="C292" s="2"/>
      <c r="D292" s="2"/>
    </row>
    <row r="293" spans="3:4" x14ac:dyDescent="0.3">
      <c r="C293" s="2"/>
      <c r="D293" s="2"/>
    </row>
    <row r="294" spans="3:4" x14ac:dyDescent="0.3">
      <c r="C294" s="2"/>
      <c r="D294" s="2"/>
    </row>
    <row r="295" spans="3:4" x14ac:dyDescent="0.3">
      <c r="C295" s="2"/>
      <c r="D295" s="2"/>
    </row>
    <row r="296" spans="3:4" x14ac:dyDescent="0.3">
      <c r="C296" s="2"/>
      <c r="D296" s="2"/>
    </row>
    <row r="297" spans="3:4" x14ac:dyDescent="0.3">
      <c r="C297" s="2"/>
      <c r="D297" s="2"/>
    </row>
    <row r="298" spans="3:4" x14ac:dyDescent="0.3">
      <c r="C298" s="2"/>
      <c r="D298" s="2"/>
    </row>
    <row r="299" spans="3:4" x14ac:dyDescent="0.3">
      <c r="C299" s="2"/>
      <c r="D299" s="2"/>
    </row>
    <row r="300" spans="3:4" x14ac:dyDescent="0.3">
      <c r="C300" s="2"/>
      <c r="D300" s="2"/>
    </row>
    <row r="301" spans="3:4" x14ac:dyDescent="0.3">
      <c r="C301" s="2"/>
      <c r="D301" s="2"/>
    </row>
    <row r="302" spans="3:4" x14ac:dyDescent="0.3">
      <c r="C302" s="2"/>
      <c r="D302" s="2"/>
    </row>
    <row r="303" spans="3:4" x14ac:dyDescent="0.3">
      <c r="C303" s="2"/>
      <c r="D303" s="2"/>
    </row>
    <row r="304" spans="3:4" x14ac:dyDescent="0.3">
      <c r="C304" s="2"/>
      <c r="D304" s="2"/>
    </row>
    <row r="305" spans="3:4" x14ac:dyDescent="0.3">
      <c r="C305" s="2"/>
      <c r="D305" s="2"/>
    </row>
    <row r="306" spans="3:4" x14ac:dyDescent="0.3">
      <c r="C306" s="2"/>
      <c r="D306" s="2"/>
    </row>
    <row r="307" spans="3:4" x14ac:dyDescent="0.3">
      <c r="C307" s="2"/>
      <c r="D307" s="2"/>
    </row>
    <row r="308" spans="3:4" x14ac:dyDescent="0.3">
      <c r="C308" s="2"/>
      <c r="D308" s="2"/>
    </row>
    <row r="309" spans="3:4" x14ac:dyDescent="0.3">
      <c r="C309" s="2"/>
      <c r="D309" s="2"/>
    </row>
    <row r="310" spans="3:4" x14ac:dyDescent="0.3">
      <c r="C310" s="2"/>
      <c r="D310" s="2"/>
    </row>
    <row r="311" spans="3:4" x14ac:dyDescent="0.3">
      <c r="C311" s="2"/>
      <c r="D311" s="2"/>
    </row>
    <row r="312" spans="3:4" x14ac:dyDescent="0.3">
      <c r="C312" s="2"/>
      <c r="D312" s="2"/>
    </row>
    <row r="313" spans="3:4" x14ac:dyDescent="0.3">
      <c r="C313" s="2"/>
      <c r="D313" s="2"/>
    </row>
    <row r="314" spans="3:4" x14ac:dyDescent="0.3">
      <c r="C314" s="2"/>
      <c r="D314" s="2"/>
    </row>
    <row r="315" spans="3:4" x14ac:dyDescent="0.3">
      <c r="C315" s="2"/>
      <c r="D315" s="2"/>
    </row>
    <row r="316" spans="3:4" x14ac:dyDescent="0.3">
      <c r="C316" s="2"/>
      <c r="D316" s="2"/>
    </row>
    <row r="317" spans="3:4" x14ac:dyDescent="0.3">
      <c r="C317" s="2"/>
      <c r="D317" s="2"/>
    </row>
    <row r="318" spans="3:4" x14ac:dyDescent="0.3">
      <c r="C318" s="2"/>
      <c r="D318" s="2"/>
    </row>
    <row r="319" spans="3:4" x14ac:dyDescent="0.3">
      <c r="C319" s="2"/>
      <c r="D319" s="2"/>
    </row>
    <row r="320" spans="3:4" x14ac:dyDescent="0.3">
      <c r="C320" s="2"/>
      <c r="D320" s="2"/>
    </row>
    <row r="321" spans="3:4" x14ac:dyDescent="0.3">
      <c r="C321" s="2"/>
      <c r="D321" s="2"/>
    </row>
    <row r="322" spans="3:4" x14ac:dyDescent="0.3">
      <c r="C322" s="2"/>
      <c r="D322" s="2"/>
    </row>
    <row r="323" spans="3:4" x14ac:dyDescent="0.3">
      <c r="C323" s="2"/>
      <c r="D323" s="2"/>
    </row>
    <row r="324" spans="3:4" x14ac:dyDescent="0.3">
      <c r="C324" s="2"/>
      <c r="D324" s="2"/>
    </row>
    <row r="325" spans="3:4" x14ac:dyDescent="0.3">
      <c r="C325" s="2"/>
      <c r="D325" s="2"/>
    </row>
    <row r="326" spans="3:4" x14ac:dyDescent="0.3">
      <c r="C326" s="2"/>
      <c r="D326" s="2"/>
    </row>
    <row r="327" spans="3:4" x14ac:dyDescent="0.3">
      <c r="C327" s="2"/>
      <c r="D327" s="2"/>
    </row>
    <row r="328" spans="3:4" x14ac:dyDescent="0.3">
      <c r="C328" s="2"/>
      <c r="D328" s="2"/>
    </row>
    <row r="329" spans="3:4" x14ac:dyDescent="0.3">
      <c r="C329" s="2"/>
      <c r="D329" s="2"/>
    </row>
    <row r="330" spans="3:4" x14ac:dyDescent="0.3">
      <c r="C330" s="2"/>
      <c r="D330" s="2"/>
    </row>
    <row r="331" spans="3:4" x14ac:dyDescent="0.3">
      <c r="C331" s="2"/>
      <c r="D331" s="2"/>
    </row>
    <row r="332" spans="3:4" x14ac:dyDescent="0.3">
      <c r="C332" s="2"/>
      <c r="D332" s="2"/>
    </row>
    <row r="333" spans="3:4" x14ac:dyDescent="0.3">
      <c r="C333" s="2"/>
      <c r="D333" s="2"/>
    </row>
    <row r="334" spans="3:4" x14ac:dyDescent="0.3">
      <c r="C334" s="2"/>
      <c r="D334" s="2"/>
    </row>
    <row r="335" spans="3:4" x14ac:dyDescent="0.3">
      <c r="C335" s="2"/>
      <c r="D335" s="2"/>
    </row>
    <row r="336" spans="3:4" x14ac:dyDescent="0.3">
      <c r="C336" s="2"/>
      <c r="D336" s="2"/>
    </row>
    <row r="337" spans="3:4" x14ac:dyDescent="0.3">
      <c r="C337" s="2"/>
      <c r="D337" s="2"/>
    </row>
    <row r="338" spans="3:4" x14ac:dyDescent="0.3">
      <c r="C338" s="2"/>
      <c r="D338" s="2"/>
    </row>
    <row r="339" spans="3:4" x14ac:dyDescent="0.3">
      <c r="C339" s="2"/>
      <c r="D339" s="2"/>
    </row>
    <row r="340" spans="3:4" x14ac:dyDescent="0.3">
      <c r="C340" s="2"/>
      <c r="D340" s="2"/>
    </row>
    <row r="341" spans="3:4" x14ac:dyDescent="0.3">
      <c r="C341" s="2"/>
      <c r="D341" s="2"/>
    </row>
    <row r="342" spans="3:4" x14ac:dyDescent="0.3">
      <c r="C342" s="2"/>
      <c r="D342" s="2"/>
    </row>
    <row r="343" spans="3:4" x14ac:dyDescent="0.3">
      <c r="C343" s="2"/>
      <c r="D343" s="2"/>
    </row>
    <row r="344" spans="3:4" x14ac:dyDescent="0.3">
      <c r="C344" s="2"/>
      <c r="D344" s="2"/>
    </row>
    <row r="345" spans="3:4" x14ac:dyDescent="0.3">
      <c r="C345" s="2"/>
      <c r="D345" s="2"/>
    </row>
    <row r="346" spans="3:4" x14ac:dyDescent="0.3">
      <c r="C346" s="2"/>
      <c r="D346" s="2"/>
    </row>
    <row r="347" spans="3:4" x14ac:dyDescent="0.3">
      <c r="C347" s="2"/>
      <c r="D347" s="2"/>
    </row>
    <row r="348" spans="3:4" x14ac:dyDescent="0.3">
      <c r="C348" s="2"/>
      <c r="D348" s="2"/>
    </row>
    <row r="349" spans="3:4" x14ac:dyDescent="0.3">
      <c r="C349" s="2"/>
      <c r="D349" s="2"/>
    </row>
    <row r="350" spans="3:4" x14ac:dyDescent="0.3">
      <c r="C350" s="2"/>
      <c r="D350" s="2"/>
    </row>
    <row r="351" spans="3:4" x14ac:dyDescent="0.3">
      <c r="C351" s="2"/>
      <c r="D351" s="2"/>
    </row>
    <row r="352" spans="3:4" x14ac:dyDescent="0.3">
      <c r="C352" s="2"/>
      <c r="D352" s="2"/>
    </row>
    <row r="353" spans="3:4" x14ac:dyDescent="0.3">
      <c r="C353" s="2"/>
      <c r="D353" s="2"/>
    </row>
    <row r="354" spans="3:4" x14ac:dyDescent="0.3">
      <c r="C354" s="2"/>
      <c r="D354" s="2"/>
    </row>
    <row r="355" spans="3:4" x14ac:dyDescent="0.3">
      <c r="C355" s="2"/>
      <c r="D355" s="2"/>
    </row>
    <row r="356" spans="3:4" x14ac:dyDescent="0.3">
      <c r="C356" s="2"/>
      <c r="D356" s="2"/>
    </row>
    <row r="357" spans="3:4" x14ac:dyDescent="0.3">
      <c r="C357" s="2"/>
      <c r="D357" s="2"/>
    </row>
    <row r="358" spans="3:4" x14ac:dyDescent="0.3">
      <c r="C358" s="2"/>
      <c r="D358" s="2"/>
    </row>
    <row r="359" spans="3:4" x14ac:dyDescent="0.3">
      <c r="C359" s="2"/>
      <c r="D359" s="2"/>
    </row>
    <row r="360" spans="3:4" x14ac:dyDescent="0.3">
      <c r="C360" s="2"/>
      <c r="D360" s="2"/>
    </row>
    <row r="361" spans="3:4" x14ac:dyDescent="0.3">
      <c r="C361" s="2"/>
      <c r="D361" s="2"/>
    </row>
    <row r="362" spans="3:4" x14ac:dyDescent="0.3">
      <c r="C362" s="2"/>
      <c r="D362" s="2"/>
    </row>
    <row r="363" spans="3:4" x14ac:dyDescent="0.3">
      <c r="C363" s="2"/>
      <c r="D363" s="2"/>
    </row>
    <row r="364" spans="3:4" x14ac:dyDescent="0.3">
      <c r="C364" s="2"/>
      <c r="D364" s="2"/>
    </row>
    <row r="365" spans="3:4" x14ac:dyDescent="0.3">
      <c r="C365" s="2"/>
      <c r="D365" s="2"/>
    </row>
    <row r="366" spans="3:4" x14ac:dyDescent="0.3">
      <c r="C366" s="2"/>
      <c r="D366" s="2"/>
    </row>
    <row r="367" spans="3:4" x14ac:dyDescent="0.3">
      <c r="C367" s="2"/>
      <c r="D367" s="2"/>
    </row>
    <row r="368" spans="3:4" x14ac:dyDescent="0.3">
      <c r="C368" s="2"/>
      <c r="D368" s="2"/>
    </row>
    <row r="369" spans="3:4" x14ac:dyDescent="0.3">
      <c r="C369" s="2"/>
      <c r="D369" s="2"/>
    </row>
    <row r="370" spans="3:4" x14ac:dyDescent="0.3">
      <c r="C370" s="2"/>
      <c r="D370" s="2"/>
    </row>
    <row r="371" spans="3:4" x14ac:dyDescent="0.3">
      <c r="C371" s="2"/>
      <c r="D371" s="2"/>
    </row>
    <row r="372" spans="3:4" x14ac:dyDescent="0.3">
      <c r="C372" s="2"/>
      <c r="D372" s="2"/>
    </row>
    <row r="373" spans="3:4" x14ac:dyDescent="0.3">
      <c r="C373" s="2"/>
      <c r="D373" s="2"/>
    </row>
    <row r="374" spans="3:4" x14ac:dyDescent="0.3">
      <c r="C374" s="2"/>
      <c r="D374" s="2"/>
    </row>
    <row r="375" spans="3:4" x14ac:dyDescent="0.3">
      <c r="C375" s="2"/>
      <c r="D375" s="2"/>
    </row>
    <row r="376" spans="3:4" x14ac:dyDescent="0.3">
      <c r="C376" s="2"/>
      <c r="D376" s="2"/>
    </row>
    <row r="377" spans="3:4" x14ac:dyDescent="0.3">
      <c r="C377" s="2"/>
      <c r="D377" s="2"/>
    </row>
    <row r="378" spans="3:4" x14ac:dyDescent="0.3">
      <c r="C378" s="2"/>
      <c r="D378" s="2"/>
    </row>
    <row r="379" spans="3:4" x14ac:dyDescent="0.3">
      <c r="C379" s="2"/>
      <c r="D379" s="2"/>
    </row>
    <row r="380" spans="3:4" x14ac:dyDescent="0.3">
      <c r="C380" s="2"/>
      <c r="D380" s="2"/>
    </row>
    <row r="381" spans="3:4" x14ac:dyDescent="0.3">
      <c r="C381" s="2"/>
      <c r="D381" s="2"/>
    </row>
    <row r="382" spans="3:4" x14ac:dyDescent="0.3">
      <c r="C382" s="2"/>
      <c r="D382" s="2"/>
    </row>
    <row r="383" spans="3:4" x14ac:dyDescent="0.3">
      <c r="C383" s="2"/>
      <c r="D383" s="2"/>
    </row>
    <row r="384" spans="3:4" x14ac:dyDescent="0.3">
      <c r="C384" s="2"/>
      <c r="D384" s="2"/>
    </row>
    <row r="385" spans="3:4" x14ac:dyDescent="0.3">
      <c r="C385" s="2"/>
      <c r="D385" s="2"/>
    </row>
    <row r="386" spans="3:4" x14ac:dyDescent="0.3">
      <c r="C386" s="2"/>
      <c r="D386" s="2"/>
    </row>
    <row r="387" spans="3:4" x14ac:dyDescent="0.3">
      <c r="C387" s="2"/>
      <c r="D387" s="2"/>
    </row>
    <row r="388" spans="3:4" x14ac:dyDescent="0.3">
      <c r="C388" s="2"/>
      <c r="D388" s="2"/>
    </row>
    <row r="389" spans="3:4" x14ac:dyDescent="0.3">
      <c r="C389" s="2"/>
      <c r="D389" s="2"/>
    </row>
    <row r="390" spans="3:4" x14ac:dyDescent="0.3">
      <c r="C390" s="2"/>
      <c r="D390" s="2"/>
    </row>
    <row r="391" spans="3:4" x14ac:dyDescent="0.3">
      <c r="C391" s="2"/>
      <c r="D391" s="2"/>
    </row>
    <row r="392" spans="3:4" x14ac:dyDescent="0.3">
      <c r="C392" s="2"/>
      <c r="D392" s="2"/>
    </row>
    <row r="393" spans="3:4" x14ac:dyDescent="0.3">
      <c r="C393" s="2"/>
      <c r="D393" s="2"/>
    </row>
    <row r="394" spans="3:4" x14ac:dyDescent="0.3">
      <c r="C394" s="2"/>
      <c r="D394" s="2"/>
    </row>
    <row r="395" spans="3:4" x14ac:dyDescent="0.3">
      <c r="C395" s="2"/>
      <c r="D395" s="2"/>
    </row>
    <row r="396" spans="3:4" x14ac:dyDescent="0.3">
      <c r="C396" s="2"/>
      <c r="D396" s="2"/>
    </row>
    <row r="397" spans="3:4" x14ac:dyDescent="0.3">
      <c r="C397" s="2"/>
      <c r="D397" s="2"/>
    </row>
    <row r="398" spans="3:4" x14ac:dyDescent="0.3">
      <c r="C398" s="2"/>
      <c r="D398" s="2"/>
    </row>
    <row r="399" spans="3:4" x14ac:dyDescent="0.3">
      <c r="C399" s="2"/>
      <c r="D399" s="2"/>
    </row>
    <row r="400" spans="3:4" x14ac:dyDescent="0.3">
      <c r="C400" s="2"/>
      <c r="D400" s="2"/>
    </row>
    <row r="401" spans="3:4" x14ac:dyDescent="0.3">
      <c r="C401" s="2"/>
      <c r="D401" s="2"/>
    </row>
    <row r="402" spans="3:4" x14ac:dyDescent="0.3">
      <c r="C402" s="2"/>
      <c r="D402" s="2"/>
    </row>
    <row r="403" spans="3:4" x14ac:dyDescent="0.3">
      <c r="C403" s="2"/>
      <c r="D403" s="2"/>
    </row>
    <row r="404" spans="3:4" x14ac:dyDescent="0.3">
      <c r="C404" s="2"/>
      <c r="D404" s="2"/>
    </row>
    <row r="405" spans="3:4" x14ac:dyDescent="0.3">
      <c r="C405" s="2"/>
      <c r="D405" s="2"/>
    </row>
    <row r="406" spans="3:4" x14ac:dyDescent="0.3">
      <c r="C406" s="2"/>
      <c r="D406" s="2"/>
    </row>
    <row r="407" spans="3:4" x14ac:dyDescent="0.3">
      <c r="C407" s="2"/>
      <c r="D407" s="2"/>
    </row>
    <row r="408" spans="3:4" x14ac:dyDescent="0.3">
      <c r="C408" s="2"/>
      <c r="D408" s="2"/>
    </row>
    <row r="409" spans="3:4" x14ac:dyDescent="0.3">
      <c r="C409" s="2"/>
      <c r="D409" s="2"/>
    </row>
    <row r="410" spans="3:4" x14ac:dyDescent="0.3">
      <c r="C410" s="2"/>
      <c r="D410" s="2"/>
    </row>
    <row r="411" spans="3:4" x14ac:dyDescent="0.3">
      <c r="C411" s="2"/>
      <c r="D411" s="2"/>
    </row>
    <row r="412" spans="3:4" x14ac:dyDescent="0.3">
      <c r="C412" s="2"/>
      <c r="D412" s="2"/>
    </row>
    <row r="413" spans="3:4" x14ac:dyDescent="0.3">
      <c r="C413" s="2"/>
      <c r="D413" s="2"/>
    </row>
    <row r="414" spans="3:4" x14ac:dyDescent="0.3">
      <c r="C414" s="2"/>
      <c r="D414" s="2"/>
    </row>
    <row r="415" spans="3:4" x14ac:dyDescent="0.3">
      <c r="C415" s="2"/>
      <c r="D415" s="2"/>
    </row>
    <row r="416" spans="3:4" x14ac:dyDescent="0.3">
      <c r="C416" s="2"/>
      <c r="D416" s="2"/>
    </row>
    <row r="417" spans="3:4" x14ac:dyDescent="0.3">
      <c r="C417" s="2"/>
      <c r="D417" s="2"/>
    </row>
    <row r="418" spans="3:4" x14ac:dyDescent="0.3">
      <c r="C418" s="2"/>
      <c r="D418" s="2"/>
    </row>
    <row r="419" spans="3:4" x14ac:dyDescent="0.3">
      <c r="C419" s="2"/>
      <c r="D419" s="2"/>
    </row>
    <row r="420" spans="3:4" x14ac:dyDescent="0.3">
      <c r="C420" s="2"/>
      <c r="D420" s="2"/>
    </row>
    <row r="421" spans="3:4" x14ac:dyDescent="0.3">
      <c r="C421" s="2"/>
      <c r="D421" s="2"/>
    </row>
    <row r="422" spans="3:4" x14ac:dyDescent="0.3">
      <c r="C422" s="2"/>
      <c r="D422" s="2"/>
    </row>
    <row r="423" spans="3:4" x14ac:dyDescent="0.3">
      <c r="C423" s="2"/>
      <c r="D423" s="2"/>
    </row>
    <row r="424" spans="3:4" x14ac:dyDescent="0.3">
      <c r="C424" s="2"/>
      <c r="D424" s="2"/>
    </row>
    <row r="425" spans="3:4" x14ac:dyDescent="0.3">
      <c r="C425" s="2"/>
      <c r="D425" s="2"/>
    </row>
    <row r="426" spans="3:4" x14ac:dyDescent="0.3">
      <c r="C426" s="2"/>
      <c r="D426" s="2"/>
    </row>
    <row r="427" spans="3:4" x14ac:dyDescent="0.3">
      <c r="C427" s="2"/>
      <c r="D427" s="2"/>
    </row>
    <row r="428" spans="3:4" x14ac:dyDescent="0.3">
      <c r="C428" s="2"/>
      <c r="D428" s="2"/>
    </row>
    <row r="429" spans="3:4" x14ac:dyDescent="0.3">
      <c r="C429" s="2"/>
      <c r="D429" s="2"/>
    </row>
    <row r="430" spans="3:4" x14ac:dyDescent="0.3">
      <c r="C430" s="2"/>
      <c r="D430" s="2"/>
    </row>
    <row r="431" spans="3:4" x14ac:dyDescent="0.3">
      <c r="C431" s="2"/>
      <c r="D431" s="2"/>
    </row>
    <row r="432" spans="3:4" x14ac:dyDescent="0.3">
      <c r="C432" s="2"/>
      <c r="D432" s="2"/>
    </row>
    <row r="433" spans="3:4" x14ac:dyDescent="0.3">
      <c r="C433" s="2"/>
      <c r="D433" s="2"/>
    </row>
    <row r="434" spans="3:4" x14ac:dyDescent="0.3">
      <c r="C434" s="2"/>
      <c r="D434" s="2"/>
    </row>
    <row r="435" spans="3:4" x14ac:dyDescent="0.3">
      <c r="C435" s="2"/>
      <c r="D435" s="2"/>
    </row>
    <row r="436" spans="3:4" x14ac:dyDescent="0.3">
      <c r="C436" s="2"/>
      <c r="D436" s="2"/>
    </row>
    <row r="437" spans="3:4" x14ac:dyDescent="0.3">
      <c r="C437" s="2"/>
      <c r="D437" s="2"/>
    </row>
    <row r="438" spans="3:4" x14ac:dyDescent="0.3">
      <c r="C438" s="2"/>
      <c r="D438" s="2"/>
    </row>
    <row r="439" spans="3:4" x14ac:dyDescent="0.3">
      <c r="C439" s="2"/>
      <c r="D439" s="2"/>
    </row>
    <row r="440" spans="3:4" x14ac:dyDescent="0.3">
      <c r="C440" s="2"/>
      <c r="D440" s="2"/>
    </row>
    <row r="441" spans="3:4" x14ac:dyDescent="0.3">
      <c r="C441" s="2"/>
      <c r="D441" s="2"/>
    </row>
    <row r="442" spans="3:4" x14ac:dyDescent="0.3">
      <c r="C442" s="2"/>
      <c r="D442" s="2"/>
    </row>
    <row r="443" spans="3:4" x14ac:dyDescent="0.3">
      <c r="C443" s="2"/>
      <c r="D443" s="2"/>
    </row>
    <row r="444" spans="3:4" x14ac:dyDescent="0.3">
      <c r="C444" s="2"/>
      <c r="D444" s="2"/>
    </row>
    <row r="445" spans="3:4" x14ac:dyDescent="0.3">
      <c r="C445" s="2"/>
      <c r="D445" s="2"/>
    </row>
    <row r="446" spans="3:4" x14ac:dyDescent="0.3">
      <c r="C446" s="2"/>
      <c r="D446" s="2"/>
    </row>
    <row r="447" spans="3:4" x14ac:dyDescent="0.3">
      <c r="C447" s="2"/>
      <c r="D447" s="2"/>
    </row>
    <row r="448" spans="3:4" x14ac:dyDescent="0.3">
      <c r="C448" s="2"/>
      <c r="D448" s="2"/>
    </row>
    <row r="449" spans="3:4" x14ac:dyDescent="0.3">
      <c r="C449" s="2"/>
      <c r="D449" s="2"/>
    </row>
    <row r="450" spans="3:4" x14ac:dyDescent="0.3">
      <c r="C450" s="2"/>
      <c r="D450" s="2"/>
    </row>
    <row r="451" spans="3:4" x14ac:dyDescent="0.3">
      <c r="C451" s="2"/>
      <c r="D451" s="2"/>
    </row>
    <row r="452" spans="3:4" x14ac:dyDescent="0.3">
      <c r="C452" s="2"/>
      <c r="D452" s="2"/>
    </row>
    <row r="453" spans="3:4" x14ac:dyDescent="0.3">
      <c r="C453" s="2"/>
      <c r="D453" s="2"/>
    </row>
    <row r="454" spans="3:4" x14ac:dyDescent="0.3">
      <c r="C454" s="2"/>
      <c r="D454" s="2"/>
    </row>
    <row r="455" spans="3:4" x14ac:dyDescent="0.3">
      <c r="C455" s="2"/>
      <c r="D455" s="2"/>
    </row>
    <row r="456" spans="3:4" x14ac:dyDescent="0.3">
      <c r="C456" s="2"/>
      <c r="D456" s="2"/>
    </row>
    <row r="457" spans="3:4" x14ac:dyDescent="0.3">
      <c r="C457" s="2"/>
      <c r="D457" s="2"/>
    </row>
    <row r="458" spans="3:4" x14ac:dyDescent="0.3">
      <c r="C458" s="2"/>
      <c r="D458" s="2"/>
    </row>
    <row r="459" spans="3:4" x14ac:dyDescent="0.3">
      <c r="C459" s="2"/>
      <c r="D459" s="2"/>
    </row>
    <row r="460" spans="3:4" x14ac:dyDescent="0.3">
      <c r="C460" s="2"/>
      <c r="D460" s="2"/>
    </row>
    <row r="461" spans="3:4" x14ac:dyDescent="0.3">
      <c r="C461" s="2"/>
      <c r="D461" s="2"/>
    </row>
    <row r="462" spans="3:4" x14ac:dyDescent="0.3">
      <c r="C462" s="2"/>
      <c r="D462" s="2"/>
    </row>
    <row r="463" spans="3:4" x14ac:dyDescent="0.3">
      <c r="C463" s="2"/>
      <c r="D463" s="2"/>
    </row>
    <row r="464" spans="3:4" x14ac:dyDescent="0.3">
      <c r="C464" s="2"/>
      <c r="D464" s="2"/>
    </row>
    <row r="465" spans="3:4" x14ac:dyDescent="0.3">
      <c r="C465" s="2"/>
      <c r="D465" s="2"/>
    </row>
    <row r="466" spans="3:4" x14ac:dyDescent="0.3">
      <c r="C466" s="2"/>
      <c r="D466" s="2"/>
    </row>
    <row r="467" spans="3:4" x14ac:dyDescent="0.3">
      <c r="C467" s="2"/>
      <c r="D467" s="2"/>
    </row>
    <row r="468" spans="3:4" x14ac:dyDescent="0.3">
      <c r="C468" s="2"/>
      <c r="D468" s="2"/>
    </row>
    <row r="469" spans="3:4" x14ac:dyDescent="0.3">
      <c r="C469" s="2"/>
      <c r="D469" s="2"/>
    </row>
    <row r="470" spans="3:4" x14ac:dyDescent="0.3">
      <c r="C470" s="2"/>
      <c r="D470" s="2"/>
    </row>
    <row r="471" spans="3:4" x14ac:dyDescent="0.3">
      <c r="C471" s="2"/>
      <c r="D471" s="2"/>
    </row>
    <row r="472" spans="3:4" x14ac:dyDescent="0.3">
      <c r="C472" s="2"/>
      <c r="D472" s="2"/>
    </row>
    <row r="473" spans="3:4" x14ac:dyDescent="0.3">
      <c r="C473" s="2"/>
      <c r="D473" s="2"/>
    </row>
    <row r="474" spans="3:4" x14ac:dyDescent="0.3">
      <c r="C474" s="2"/>
      <c r="D474" s="2"/>
    </row>
    <row r="475" spans="3:4" x14ac:dyDescent="0.3">
      <c r="C475" s="2"/>
      <c r="D475" s="2"/>
    </row>
    <row r="476" spans="3:4" x14ac:dyDescent="0.3">
      <c r="C476" s="2"/>
      <c r="D476" s="2"/>
    </row>
    <row r="477" spans="3:4" x14ac:dyDescent="0.3">
      <c r="C477" s="2"/>
      <c r="D477" s="2"/>
    </row>
    <row r="478" spans="3:4" x14ac:dyDescent="0.3">
      <c r="C478" s="2"/>
      <c r="D478" s="2"/>
    </row>
    <row r="479" spans="3:4" x14ac:dyDescent="0.3">
      <c r="C479" s="2"/>
      <c r="D479" s="2"/>
    </row>
    <row r="480" spans="3:4" x14ac:dyDescent="0.3">
      <c r="C480" s="2"/>
      <c r="D480" s="2"/>
    </row>
    <row r="481" spans="3:4" x14ac:dyDescent="0.3">
      <c r="C481" s="2"/>
      <c r="D481" s="2"/>
    </row>
    <row r="482" spans="3:4" x14ac:dyDescent="0.3">
      <c r="C482" s="2"/>
      <c r="D482" s="2"/>
    </row>
    <row r="483" spans="3:4" x14ac:dyDescent="0.3">
      <c r="C483" s="2"/>
      <c r="D483" s="2"/>
    </row>
    <row r="484" spans="3:4" x14ac:dyDescent="0.3">
      <c r="C484" s="2"/>
      <c r="D484" s="2"/>
    </row>
    <row r="485" spans="3:4" x14ac:dyDescent="0.3">
      <c r="C485" s="2"/>
      <c r="D485" s="2"/>
    </row>
    <row r="486" spans="3:4" x14ac:dyDescent="0.3">
      <c r="C486" s="2"/>
      <c r="D486" s="2"/>
    </row>
    <row r="487" spans="3:4" x14ac:dyDescent="0.3">
      <c r="C487" s="2"/>
      <c r="D487" s="2"/>
    </row>
    <row r="488" spans="3:4" x14ac:dyDescent="0.3">
      <c r="C488" s="2"/>
      <c r="D488" s="2"/>
    </row>
    <row r="489" spans="3:4" x14ac:dyDescent="0.3">
      <c r="C489" s="2"/>
      <c r="D489" s="2"/>
    </row>
    <row r="490" spans="3:4" x14ac:dyDescent="0.3">
      <c r="C490" s="2"/>
      <c r="D490" s="2"/>
    </row>
    <row r="491" spans="3:4" x14ac:dyDescent="0.3">
      <c r="C491" s="2"/>
      <c r="D491" s="2"/>
    </row>
    <row r="492" spans="3:4" x14ac:dyDescent="0.3">
      <c r="C492" s="2"/>
      <c r="D492" s="2"/>
    </row>
    <row r="493" spans="3:4" x14ac:dyDescent="0.3">
      <c r="C493" s="2"/>
      <c r="D493" s="2"/>
    </row>
    <row r="494" spans="3:4" x14ac:dyDescent="0.3">
      <c r="C494" s="2"/>
      <c r="D494" s="2"/>
    </row>
    <row r="495" spans="3:4" x14ac:dyDescent="0.3">
      <c r="C495" s="2"/>
      <c r="D495" s="2"/>
    </row>
    <row r="496" spans="3:4" x14ac:dyDescent="0.3">
      <c r="C496" s="2"/>
      <c r="D496" s="2"/>
    </row>
    <row r="497" spans="3:4" x14ac:dyDescent="0.3">
      <c r="C497" s="2"/>
      <c r="D497" s="2"/>
    </row>
    <row r="498" spans="3:4" x14ac:dyDescent="0.3">
      <c r="C498" s="2"/>
      <c r="D498" s="2"/>
    </row>
    <row r="499" spans="3:4" x14ac:dyDescent="0.3">
      <c r="C499" s="2"/>
      <c r="D499" s="2"/>
    </row>
    <row r="500" spans="3:4" x14ac:dyDescent="0.3">
      <c r="C500" s="2"/>
      <c r="D500" s="2"/>
    </row>
    <row r="501" spans="3:4" x14ac:dyDescent="0.3">
      <c r="C501" s="2"/>
      <c r="D501" s="2"/>
    </row>
    <row r="502" spans="3:4" x14ac:dyDescent="0.3">
      <c r="C502" s="2"/>
      <c r="D502" s="2"/>
    </row>
    <row r="503" spans="3:4" x14ac:dyDescent="0.3">
      <c r="C503" s="2"/>
      <c r="D503" s="2"/>
    </row>
    <row r="504" spans="3:4" x14ac:dyDescent="0.3">
      <c r="C504" s="2"/>
      <c r="D504" s="2"/>
    </row>
    <row r="505" spans="3:4" x14ac:dyDescent="0.3">
      <c r="C505" s="2"/>
      <c r="D505" s="2"/>
    </row>
    <row r="506" spans="3:4" x14ac:dyDescent="0.3">
      <c r="C506" s="2"/>
      <c r="D506" s="2"/>
    </row>
    <row r="507" spans="3:4" x14ac:dyDescent="0.3">
      <c r="C507" s="2"/>
      <c r="D507" s="2"/>
    </row>
    <row r="508" spans="3:4" x14ac:dyDescent="0.3">
      <c r="C508" s="2"/>
      <c r="D508" s="2"/>
    </row>
    <row r="509" spans="3:4" x14ac:dyDescent="0.3">
      <c r="C509" s="2"/>
      <c r="D509" s="2"/>
    </row>
    <row r="510" spans="3:4" x14ac:dyDescent="0.3">
      <c r="C510" s="2"/>
      <c r="D510" s="2"/>
    </row>
    <row r="511" spans="3:4" x14ac:dyDescent="0.3">
      <c r="C511" s="2"/>
      <c r="D511" s="2"/>
    </row>
    <row r="512" spans="3:4" x14ac:dyDescent="0.3">
      <c r="C512" s="2"/>
      <c r="D512" s="2"/>
    </row>
    <row r="513" spans="3:4" x14ac:dyDescent="0.3">
      <c r="C513" s="2"/>
      <c r="D513" s="2"/>
    </row>
    <row r="514" spans="3:4" x14ac:dyDescent="0.3">
      <c r="C514" s="2"/>
      <c r="D514" s="2"/>
    </row>
    <row r="515" spans="3:4" x14ac:dyDescent="0.3">
      <c r="C515" s="2"/>
      <c r="D515" s="2"/>
    </row>
    <row r="516" spans="3:4" x14ac:dyDescent="0.3">
      <c r="C516" s="2"/>
      <c r="D516" s="2"/>
    </row>
    <row r="517" spans="3:4" x14ac:dyDescent="0.3">
      <c r="C517" s="2"/>
      <c r="D517" s="2"/>
    </row>
    <row r="518" spans="3:4" x14ac:dyDescent="0.3">
      <c r="C518" s="2"/>
      <c r="D518" s="2"/>
    </row>
    <row r="519" spans="3:4" x14ac:dyDescent="0.3">
      <c r="C519" s="2"/>
      <c r="D519" s="2"/>
    </row>
    <row r="520" spans="3:4" x14ac:dyDescent="0.3">
      <c r="C520" s="2"/>
      <c r="D520" s="2"/>
    </row>
    <row r="521" spans="3:4" x14ac:dyDescent="0.3">
      <c r="C521" s="2"/>
      <c r="D521" s="2"/>
    </row>
    <row r="522" spans="3:4" x14ac:dyDescent="0.3">
      <c r="C522" s="2"/>
      <c r="D522" s="2"/>
    </row>
    <row r="523" spans="3:4" x14ac:dyDescent="0.3">
      <c r="C523" s="2"/>
      <c r="D523" s="2"/>
    </row>
    <row r="524" spans="3:4" x14ac:dyDescent="0.3">
      <c r="C524" s="2"/>
      <c r="D5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DD26-A859-4086-BB10-10C5BC982325}">
  <dimension ref="A1:K181"/>
  <sheetViews>
    <sheetView topLeftCell="A81" workbookViewId="0">
      <selection activeCell="E82" sqref="E82"/>
    </sheetView>
  </sheetViews>
  <sheetFormatPr defaultRowHeight="14.4" x14ac:dyDescent="0.3"/>
  <cols>
    <col min="1" max="1" width="10.6640625" style="29" customWidth="1"/>
    <col min="2" max="2" width="16.44140625" style="30" customWidth="1"/>
    <col min="3" max="3" width="16.44140625" style="38" customWidth="1"/>
    <col min="5" max="6" width="16.44140625" style="30" customWidth="1"/>
    <col min="7" max="7" width="9.33203125" style="18"/>
  </cols>
  <sheetData>
    <row r="1" spans="1:11" ht="29.4" thickBot="1" x14ac:dyDescent="0.35">
      <c r="A1" s="19" t="s">
        <v>7</v>
      </c>
      <c r="B1" s="20" t="s">
        <v>31</v>
      </c>
      <c r="C1" s="36" t="s">
        <v>22</v>
      </c>
      <c r="E1" s="20" t="s">
        <v>20</v>
      </c>
      <c r="F1" s="20" t="s">
        <v>28</v>
      </c>
    </row>
    <row r="2" spans="1:11" ht="15" thickTop="1" x14ac:dyDescent="0.3">
      <c r="A2" s="21">
        <v>2000</v>
      </c>
      <c r="B2" s="22">
        <v>35931</v>
      </c>
      <c r="C2" s="34">
        <v>1</v>
      </c>
      <c r="E2" s="35">
        <f>GEOMEAN(C3:C27)</f>
        <v>1.0793375840329609</v>
      </c>
      <c r="F2" s="33">
        <f>E2-1</f>
        <v>7.9337584032960873E-2</v>
      </c>
    </row>
    <row r="3" spans="1:11" x14ac:dyDescent="0.3">
      <c r="A3" s="23">
        <v>2001</v>
      </c>
      <c r="B3" s="24">
        <v>41002</v>
      </c>
      <c r="C3" s="37">
        <f>B3/B2</f>
        <v>1.1411316133700704</v>
      </c>
      <c r="E3" s="24"/>
      <c r="F3" s="24"/>
      <c r="I3" s="39">
        <v>2026</v>
      </c>
      <c r="J3" s="39">
        <v>2030</v>
      </c>
      <c r="K3" s="43">
        <v>7.0000000000000007E-2</v>
      </c>
    </row>
    <row r="4" spans="1:11" x14ac:dyDescent="0.3">
      <c r="A4" s="23">
        <v>2002</v>
      </c>
      <c r="B4" s="24">
        <v>47561</v>
      </c>
      <c r="C4" s="37">
        <f t="shared" ref="C4:C67" si="0">B4/B3</f>
        <v>1.159967806448466</v>
      </c>
      <c r="E4" s="18"/>
      <c r="F4" s="24"/>
      <c r="I4" s="39">
        <v>2031</v>
      </c>
      <c r="J4" s="39">
        <v>2040</v>
      </c>
      <c r="K4" s="44">
        <v>5.5E-2</v>
      </c>
    </row>
    <row r="5" spans="1:11" x14ac:dyDescent="0.3">
      <c r="A5" s="23">
        <v>2003</v>
      </c>
      <c r="B5" s="24">
        <v>54905</v>
      </c>
      <c r="C5" s="37">
        <f t="shared" si="0"/>
        <v>1.1544122285065495</v>
      </c>
      <c r="E5" s="24"/>
      <c r="F5" s="24"/>
      <c r="I5" s="39">
        <v>2041</v>
      </c>
      <c r="J5" s="39" cm="1">
        <f t="array" ref="J5">LOOKUP(2,1/(A:A&lt;&gt;""),A:A)</f>
        <v>2104</v>
      </c>
      <c r="K5" s="43">
        <v>0.04</v>
      </c>
    </row>
    <row r="6" spans="1:11" x14ac:dyDescent="0.3">
      <c r="A6" s="23">
        <v>2004</v>
      </c>
      <c r="B6" s="24">
        <v>60962</v>
      </c>
      <c r="C6" s="37">
        <f t="shared" si="0"/>
        <v>1.1103178216920135</v>
      </c>
      <c r="E6" s="18"/>
      <c r="F6" s="18"/>
    </row>
    <row r="7" spans="1:11" x14ac:dyDescent="0.3">
      <c r="A7" s="23">
        <v>2005</v>
      </c>
      <c r="B7" s="24">
        <v>67182</v>
      </c>
      <c r="C7" s="37">
        <f t="shared" si="0"/>
        <v>1.1020307732685934</v>
      </c>
      <c r="E7" s="18"/>
      <c r="F7" s="18"/>
    </row>
    <row r="8" spans="1:11" x14ac:dyDescent="0.3">
      <c r="A8" s="23">
        <v>2006</v>
      </c>
      <c r="B8" s="24">
        <v>72161</v>
      </c>
      <c r="C8" s="37">
        <f t="shared" si="0"/>
        <v>1.0741121133636986</v>
      </c>
      <c r="E8" s="18"/>
      <c r="F8" s="18"/>
    </row>
    <row r="9" spans="1:11" x14ac:dyDescent="0.3">
      <c r="A9" s="23">
        <v>2007</v>
      </c>
      <c r="B9" s="24">
        <v>78577</v>
      </c>
      <c r="C9" s="37">
        <f t="shared" si="0"/>
        <v>1.08891229334405</v>
      </c>
      <c r="E9" s="18"/>
      <c r="F9" s="18"/>
    </row>
    <row r="10" spans="1:11" x14ac:dyDescent="0.3">
      <c r="A10" s="23">
        <v>2008</v>
      </c>
      <c r="B10" s="24">
        <v>87482</v>
      </c>
      <c r="C10" s="37">
        <f t="shared" si="0"/>
        <v>1.1133283276276773</v>
      </c>
      <c r="E10" s="18"/>
      <c r="F10" s="18"/>
    </row>
    <row r="11" spans="1:11" x14ac:dyDescent="0.3">
      <c r="A11" s="23">
        <v>2009</v>
      </c>
      <c r="B11" s="24">
        <v>93256</v>
      </c>
      <c r="C11" s="37">
        <f t="shared" si="0"/>
        <v>1.0660021490135114</v>
      </c>
      <c r="E11" s="24"/>
      <c r="F11" s="24"/>
    </row>
    <row r="12" spans="1:11" x14ac:dyDescent="0.3">
      <c r="A12" s="23">
        <v>2010</v>
      </c>
      <c r="B12" s="25">
        <v>98804</v>
      </c>
      <c r="C12" s="37">
        <f t="shared" si="0"/>
        <v>1.0594921506391011</v>
      </c>
      <c r="E12" s="25"/>
      <c r="F12" s="25"/>
    </row>
    <row r="13" spans="1:11" x14ac:dyDescent="0.3">
      <c r="A13" s="23">
        <v>2011</v>
      </c>
      <c r="B13" s="24">
        <v>104014</v>
      </c>
      <c r="C13" s="37">
        <f t="shared" si="0"/>
        <v>1.0527306586777863</v>
      </c>
      <c r="E13" s="24"/>
      <c r="F13" s="24"/>
    </row>
    <row r="14" spans="1:11" x14ac:dyDescent="0.3">
      <c r="A14" s="23">
        <v>2012</v>
      </c>
      <c r="B14" s="24">
        <v>104610</v>
      </c>
      <c r="C14" s="37">
        <f t="shared" si="0"/>
        <v>1.0057299978849001</v>
      </c>
      <c r="E14" s="24"/>
      <c r="F14" s="24"/>
    </row>
    <row r="15" spans="1:11" x14ac:dyDescent="0.3">
      <c r="A15" s="23">
        <v>2013</v>
      </c>
      <c r="B15" s="24">
        <v>112781</v>
      </c>
      <c r="C15" s="37">
        <f t="shared" si="0"/>
        <v>1.0781091673836154</v>
      </c>
      <c r="E15" s="24"/>
      <c r="F15" s="24"/>
    </row>
    <row r="16" spans="1:11" x14ac:dyDescent="0.3">
      <c r="A16" s="23">
        <v>2014</v>
      </c>
      <c r="B16" s="24">
        <v>115786</v>
      </c>
      <c r="C16" s="37">
        <f t="shared" si="0"/>
        <v>1.0266445589239321</v>
      </c>
      <c r="E16" s="24"/>
      <c r="F16" s="24"/>
    </row>
    <row r="17" spans="1:6" x14ac:dyDescent="0.3">
      <c r="A17" s="23">
        <v>2015</v>
      </c>
      <c r="B17" s="24">
        <v>118439</v>
      </c>
      <c r="C17" s="37">
        <f t="shared" si="0"/>
        <v>1.0229129601160762</v>
      </c>
      <c r="E17" s="24"/>
      <c r="F17" s="24"/>
    </row>
    <row r="18" spans="1:6" x14ac:dyDescent="0.3">
      <c r="A18" s="23">
        <v>2016</v>
      </c>
      <c r="B18" s="24">
        <v>121041</v>
      </c>
      <c r="C18" s="37">
        <f t="shared" si="0"/>
        <v>1.0219691149030303</v>
      </c>
      <c r="E18" s="24"/>
      <c r="F18" s="24"/>
    </row>
    <row r="19" spans="1:6" x14ac:dyDescent="0.3">
      <c r="A19" s="23">
        <v>2017</v>
      </c>
      <c r="B19" s="24">
        <v>123725</v>
      </c>
      <c r="C19" s="37">
        <f t="shared" si="0"/>
        <v>1.0221743045744831</v>
      </c>
      <c r="E19" s="24"/>
      <c r="F19" s="24"/>
    </row>
    <row r="20" spans="1:6" x14ac:dyDescent="0.3">
      <c r="A20" s="23">
        <v>2018</v>
      </c>
      <c r="B20" s="24">
        <v>129637</v>
      </c>
      <c r="C20" s="37">
        <f t="shared" si="0"/>
        <v>1.0477833905839564</v>
      </c>
      <c r="E20" s="24"/>
      <c r="F20" s="24"/>
    </row>
    <row r="21" spans="1:6" x14ac:dyDescent="0.3">
      <c r="A21" s="23">
        <v>2019</v>
      </c>
      <c r="B21" s="24">
        <v>134947</v>
      </c>
      <c r="C21" s="37">
        <f t="shared" si="0"/>
        <v>1.0409605282442513</v>
      </c>
      <c r="E21" s="24"/>
      <c r="F21" s="24"/>
    </row>
    <row r="22" spans="1:6" x14ac:dyDescent="0.3">
      <c r="A22" s="23">
        <v>2020</v>
      </c>
      <c r="B22" s="24">
        <v>142114.39466303078</v>
      </c>
      <c r="C22" s="37">
        <f t="shared" si="0"/>
        <v>1.0531126639571891</v>
      </c>
      <c r="E22" s="24"/>
      <c r="F22" s="24"/>
    </row>
    <row r="23" spans="1:6" x14ac:dyDescent="0.3">
      <c r="A23" s="23">
        <v>2021</v>
      </c>
      <c r="B23" s="24">
        <v>150571</v>
      </c>
      <c r="C23" s="37">
        <f t="shared" si="0"/>
        <v>1.059505621207625</v>
      </c>
      <c r="E23" s="24"/>
      <c r="F23" s="24"/>
    </row>
    <row r="24" spans="1:6" x14ac:dyDescent="0.3">
      <c r="A24" s="23">
        <v>2022</v>
      </c>
      <c r="B24" s="24">
        <v>164102</v>
      </c>
      <c r="C24" s="37">
        <f t="shared" si="0"/>
        <v>1.0898645821572548</v>
      </c>
      <c r="E24" s="24"/>
      <c r="F24" s="24"/>
    </row>
    <row r="25" spans="1:6" x14ac:dyDescent="0.3">
      <c r="A25" s="23">
        <v>2023</v>
      </c>
      <c r="B25" s="24">
        <v>208168</v>
      </c>
      <c r="C25" s="37">
        <f t="shared" si="0"/>
        <v>1.2685281105653801</v>
      </c>
      <c r="E25" s="24"/>
      <c r="F25" s="24"/>
    </row>
    <row r="26" spans="1:6" x14ac:dyDescent="0.3">
      <c r="A26" s="23">
        <v>2024</v>
      </c>
      <c r="B26" s="24">
        <v>230940</v>
      </c>
      <c r="C26" s="37">
        <f t="shared" si="0"/>
        <v>1.1093924138196072</v>
      </c>
      <c r="E26" s="24"/>
      <c r="F26" s="24"/>
    </row>
    <row r="27" spans="1:6" ht="15" thickBot="1" x14ac:dyDescent="0.35">
      <c r="A27" s="31">
        <v>2025</v>
      </c>
      <c r="B27" s="50">
        <v>242327</v>
      </c>
      <c r="C27" s="41">
        <f t="shared" si="0"/>
        <v>1.0493071793539448</v>
      </c>
      <c r="E27" s="24"/>
      <c r="F27" s="24"/>
    </row>
    <row r="28" spans="1:6" ht="15" thickTop="1" x14ac:dyDescent="0.3">
      <c r="A28" s="23">
        <v>2026</v>
      </c>
      <c r="B28" s="24">
        <f>B27*(1+Eredmények!$B$6)</f>
        <v>249596.81</v>
      </c>
      <c r="C28" s="37">
        <f t="shared" si="0"/>
        <v>1.03</v>
      </c>
      <c r="E28" s="24"/>
      <c r="F28" s="24"/>
    </row>
    <row r="29" spans="1:6" x14ac:dyDescent="0.3">
      <c r="A29" s="23">
        <v>2027</v>
      </c>
      <c r="B29" s="24">
        <f>B28*(1+Eredmények!$B$6)</f>
        <v>257084.71429999999</v>
      </c>
      <c r="C29" s="37">
        <f t="shared" si="0"/>
        <v>1.03</v>
      </c>
      <c r="E29" s="24"/>
      <c r="F29" s="24"/>
    </row>
    <row r="30" spans="1:6" x14ac:dyDescent="0.3">
      <c r="A30" s="23">
        <v>2028</v>
      </c>
      <c r="B30" s="24">
        <f>B29*(1+Eredmények!$B$6)</f>
        <v>264797.25572900003</v>
      </c>
      <c r="C30" s="37">
        <f t="shared" si="0"/>
        <v>1.03</v>
      </c>
      <c r="E30" s="25"/>
      <c r="F30" s="25"/>
    </row>
    <row r="31" spans="1:6" x14ac:dyDescent="0.3">
      <c r="A31" s="23">
        <v>2029</v>
      </c>
      <c r="B31" s="24">
        <f>B30*(1+Eredmények!$B$6)</f>
        <v>272741.17340087006</v>
      </c>
      <c r="C31" s="37">
        <f t="shared" si="0"/>
        <v>1.03</v>
      </c>
      <c r="E31" s="24"/>
      <c r="F31" s="24"/>
    </row>
    <row r="32" spans="1:6" x14ac:dyDescent="0.3">
      <c r="A32" s="23">
        <v>2030</v>
      </c>
      <c r="B32" s="24">
        <f>B31*(1+Eredmények!$B$6)</f>
        <v>280923.40860289615</v>
      </c>
      <c r="C32" s="37">
        <f t="shared" si="0"/>
        <v>1.03</v>
      </c>
      <c r="E32" s="24"/>
      <c r="F32" s="24"/>
    </row>
    <row r="33" spans="1:6" x14ac:dyDescent="0.3">
      <c r="A33" s="23">
        <v>2031</v>
      </c>
      <c r="B33" s="24">
        <f>B32*(1+Eredmények!$B$6)</f>
        <v>289351.11086098303</v>
      </c>
      <c r="C33" s="37">
        <f t="shared" si="0"/>
        <v>1.03</v>
      </c>
      <c r="E33" s="24"/>
      <c r="F33" s="24"/>
    </row>
    <row r="34" spans="1:6" x14ac:dyDescent="0.3">
      <c r="A34" s="23">
        <v>2032</v>
      </c>
      <c r="B34" s="24">
        <f>B33*(1+Eredmények!$B$6)</f>
        <v>298031.64418681251</v>
      </c>
      <c r="C34" s="37">
        <f t="shared" si="0"/>
        <v>1.03</v>
      </c>
      <c r="E34" s="24"/>
      <c r="F34" s="24"/>
    </row>
    <row r="35" spans="1:6" x14ac:dyDescent="0.3">
      <c r="A35" s="23">
        <v>2033</v>
      </c>
      <c r="B35" s="24">
        <f>B34*(1+Eredmények!$B$6)</f>
        <v>306972.59351241688</v>
      </c>
      <c r="C35" s="37">
        <f t="shared" si="0"/>
        <v>1.03</v>
      </c>
      <c r="E35" s="24"/>
      <c r="F35" s="24"/>
    </row>
    <row r="36" spans="1:6" x14ac:dyDescent="0.3">
      <c r="A36" s="23">
        <v>2034</v>
      </c>
      <c r="B36" s="24">
        <f>B35*(1+Eredmények!$B$6)</f>
        <v>316181.77131778939</v>
      </c>
      <c r="C36" s="37">
        <f t="shared" si="0"/>
        <v>1.03</v>
      </c>
      <c r="E36" s="24"/>
      <c r="F36" s="24"/>
    </row>
    <row r="37" spans="1:6" x14ac:dyDescent="0.3">
      <c r="A37" s="23">
        <v>2035</v>
      </c>
      <c r="B37" s="24">
        <f>B36*(1+Eredmények!$B$6)</f>
        <v>325667.22445732309</v>
      </c>
      <c r="C37" s="37">
        <f t="shared" si="0"/>
        <v>1.03</v>
      </c>
      <c r="E37" s="24"/>
      <c r="F37" s="24"/>
    </row>
    <row r="38" spans="1:6" x14ac:dyDescent="0.3">
      <c r="A38" s="23">
        <v>2036</v>
      </c>
      <c r="B38" s="24">
        <f>B37*(1+Eredmények!$B$6)</f>
        <v>335437.24119104276</v>
      </c>
      <c r="C38" s="37">
        <f t="shared" si="0"/>
        <v>1.03</v>
      </c>
      <c r="E38" s="24"/>
      <c r="F38" s="24"/>
    </row>
    <row r="39" spans="1:6" x14ac:dyDescent="0.3">
      <c r="A39" s="23">
        <v>2037</v>
      </c>
      <c r="B39" s="24">
        <f>B38*(1+Eredmények!$B$6)</f>
        <v>345500.35842677404</v>
      </c>
      <c r="C39" s="37">
        <f t="shared" si="0"/>
        <v>1.03</v>
      </c>
      <c r="E39" s="24"/>
      <c r="F39" s="24"/>
    </row>
    <row r="40" spans="1:6" x14ac:dyDescent="0.3">
      <c r="A40" s="23">
        <v>2038</v>
      </c>
      <c r="B40" s="24">
        <f>B39*(1+Eredmények!$B$6)</f>
        <v>355865.36917957728</v>
      </c>
      <c r="C40" s="37">
        <f t="shared" si="0"/>
        <v>1.03</v>
      </c>
      <c r="E40" s="24"/>
      <c r="F40" s="24"/>
    </row>
    <row r="41" spans="1:6" x14ac:dyDescent="0.3">
      <c r="A41" s="23">
        <v>2039</v>
      </c>
      <c r="B41" s="24">
        <f>B40*(1+Eredmények!$B$6)</f>
        <v>366541.33025496459</v>
      </c>
      <c r="C41" s="37">
        <f t="shared" si="0"/>
        <v>1.03</v>
      </c>
      <c r="E41" s="24"/>
      <c r="F41" s="24"/>
    </row>
    <row r="42" spans="1:6" x14ac:dyDescent="0.3">
      <c r="A42" s="23">
        <v>2040</v>
      </c>
      <c r="B42" s="24">
        <f>B41*(1+Eredmények!$B$6)</f>
        <v>377537.57016261353</v>
      </c>
      <c r="C42" s="37">
        <f t="shared" si="0"/>
        <v>1.03</v>
      </c>
      <c r="E42" s="24"/>
      <c r="F42" s="24"/>
    </row>
    <row r="43" spans="1:6" x14ac:dyDescent="0.3">
      <c r="A43" s="23">
        <v>2041</v>
      </c>
      <c r="B43" s="24">
        <f>B42*(1+Eredmények!$B$6)</f>
        <v>388863.69726749195</v>
      </c>
      <c r="C43" s="37">
        <f t="shared" si="0"/>
        <v>1.03</v>
      </c>
      <c r="E43" s="24"/>
      <c r="F43" s="24"/>
    </row>
    <row r="44" spans="1:6" x14ac:dyDescent="0.3">
      <c r="A44" s="23">
        <v>2042</v>
      </c>
      <c r="B44" s="24">
        <f>B43*(1+Eredmények!$B$6)</f>
        <v>400529.60818551673</v>
      </c>
      <c r="C44" s="37">
        <f t="shared" si="0"/>
        <v>1.03</v>
      </c>
      <c r="E44" s="24"/>
      <c r="F44" s="24"/>
    </row>
    <row r="45" spans="1:6" x14ac:dyDescent="0.3">
      <c r="A45" s="23">
        <v>2043</v>
      </c>
      <c r="B45" s="24">
        <f>B44*(1+Eredmények!$B$6)</f>
        <v>412545.49643108225</v>
      </c>
      <c r="C45" s="37">
        <f t="shared" si="0"/>
        <v>1.03</v>
      </c>
      <c r="E45" s="24"/>
      <c r="F45" s="24"/>
    </row>
    <row r="46" spans="1:6" x14ac:dyDescent="0.3">
      <c r="A46" s="23">
        <v>2044</v>
      </c>
      <c r="B46" s="24">
        <f>B45*(1+Eredmények!$B$6)</f>
        <v>424921.86132401472</v>
      </c>
      <c r="C46" s="37">
        <f t="shared" si="0"/>
        <v>1.03</v>
      </c>
      <c r="E46" s="24"/>
      <c r="F46" s="24"/>
    </row>
    <row r="47" spans="1:6" x14ac:dyDescent="0.3">
      <c r="A47" s="23">
        <v>2045</v>
      </c>
      <c r="B47" s="24">
        <f>B46*(1+Eredmények!$B$6)</f>
        <v>437669.51716373517</v>
      </c>
      <c r="C47" s="37">
        <f t="shared" si="0"/>
        <v>1.03</v>
      </c>
      <c r="E47" s="26"/>
      <c r="F47" s="26"/>
    </row>
    <row r="48" spans="1:6" x14ac:dyDescent="0.3">
      <c r="A48" s="23">
        <v>2046</v>
      </c>
      <c r="B48" s="24">
        <f>B47*(1+Eredmények!$B$6)</f>
        <v>450799.60267864726</v>
      </c>
      <c r="C48" s="37">
        <f t="shared" si="0"/>
        <v>1.03</v>
      </c>
      <c r="E48" s="26"/>
      <c r="F48" s="26"/>
    </row>
    <row r="49" spans="1:6" x14ac:dyDescent="0.3">
      <c r="A49" s="23">
        <v>2047</v>
      </c>
      <c r="B49" s="24">
        <f>B48*(1+Eredmények!$B$6)</f>
        <v>464323.59075900668</v>
      </c>
      <c r="C49" s="37">
        <f t="shared" si="0"/>
        <v>1.03</v>
      </c>
      <c r="E49" s="27"/>
      <c r="F49" s="27"/>
    </row>
    <row r="50" spans="1:6" x14ac:dyDescent="0.3">
      <c r="A50" s="23">
        <v>2048</v>
      </c>
      <c r="B50" s="24">
        <f>B49*(1+Eredmények!$B$6)</f>
        <v>478253.2984817769</v>
      </c>
      <c r="C50" s="37">
        <f t="shared" si="0"/>
        <v>1.03</v>
      </c>
      <c r="E50" s="26"/>
      <c r="F50" s="26"/>
    </row>
    <row r="51" spans="1:6" x14ac:dyDescent="0.3">
      <c r="A51" s="23">
        <v>2049</v>
      </c>
      <c r="B51" s="24">
        <f>B50*(1+Eredmények!$B$6)</f>
        <v>492600.89743623021</v>
      </c>
      <c r="C51" s="37">
        <f t="shared" si="0"/>
        <v>1.03</v>
      </c>
      <c r="E51" s="26"/>
      <c r="F51" s="26"/>
    </row>
    <row r="52" spans="1:6" x14ac:dyDescent="0.3">
      <c r="A52" s="23">
        <v>2050</v>
      </c>
      <c r="B52" s="24">
        <f>B51*(1+Eredmények!$B$6)</f>
        <v>507378.92435931711</v>
      </c>
      <c r="C52" s="37">
        <f t="shared" si="0"/>
        <v>1.03</v>
      </c>
      <c r="E52" s="26"/>
      <c r="F52" s="26"/>
    </row>
    <row r="53" spans="1:6" x14ac:dyDescent="0.3">
      <c r="A53" s="23">
        <v>2051</v>
      </c>
      <c r="B53" s="24">
        <f>B52*(1+Eredmények!$B$6)</f>
        <v>522600.29209009663</v>
      </c>
      <c r="C53" s="37">
        <f t="shared" si="0"/>
        <v>1.03</v>
      </c>
      <c r="E53" s="26"/>
      <c r="F53" s="26"/>
    </row>
    <row r="54" spans="1:6" x14ac:dyDescent="0.3">
      <c r="A54" s="23">
        <v>2052</v>
      </c>
      <c r="B54" s="24">
        <f>B53*(1+Eredmények!$B$6)</f>
        <v>538278.30085279956</v>
      </c>
      <c r="C54" s="37">
        <f t="shared" si="0"/>
        <v>1.03</v>
      </c>
      <c r="E54" s="26"/>
      <c r="F54" s="26"/>
    </row>
    <row r="55" spans="1:6" x14ac:dyDescent="0.3">
      <c r="A55" s="23">
        <v>2053</v>
      </c>
      <c r="B55" s="24">
        <f>B54*(1+Eredmények!$B$6)</f>
        <v>554426.64987838361</v>
      </c>
      <c r="C55" s="37">
        <f t="shared" si="0"/>
        <v>1.03</v>
      </c>
      <c r="E55" s="26"/>
      <c r="F55" s="26"/>
    </row>
    <row r="56" spans="1:6" x14ac:dyDescent="0.3">
      <c r="A56" s="23">
        <v>2054</v>
      </c>
      <c r="B56" s="24">
        <f>B55*(1+Eredmények!$B$6)</f>
        <v>571059.44937473512</v>
      </c>
      <c r="C56" s="37">
        <f t="shared" si="0"/>
        <v>1.03</v>
      </c>
      <c r="E56" s="26"/>
      <c r="F56" s="26"/>
    </row>
    <row r="57" spans="1:6" x14ac:dyDescent="0.3">
      <c r="A57" s="23">
        <v>2055</v>
      </c>
      <c r="B57" s="24">
        <f>B56*(1+Eredmények!$B$6)</f>
        <v>588191.23285597714</v>
      </c>
      <c r="C57" s="37">
        <f t="shared" si="0"/>
        <v>1.03</v>
      </c>
      <c r="E57" s="28"/>
      <c r="F57" s="28"/>
    </row>
    <row r="58" spans="1:6" x14ac:dyDescent="0.3">
      <c r="A58" s="23">
        <v>2056</v>
      </c>
      <c r="B58" s="24">
        <f>B57*(1+Eredmények!$B$6)</f>
        <v>605836.96984165651</v>
      </c>
      <c r="C58" s="37">
        <f t="shared" si="0"/>
        <v>1.03</v>
      </c>
      <c r="E58" s="22"/>
      <c r="F58" s="22"/>
    </row>
    <row r="59" spans="1:6" x14ac:dyDescent="0.3">
      <c r="A59" s="23">
        <v>2057</v>
      </c>
      <c r="B59" s="24">
        <f>B58*(1+Eredmények!$B$6)</f>
        <v>624012.07893690618</v>
      </c>
      <c r="C59" s="37">
        <f t="shared" si="0"/>
        <v>1.03</v>
      </c>
      <c r="E59" s="22"/>
      <c r="F59" s="22"/>
    </row>
    <row r="60" spans="1:6" x14ac:dyDescent="0.3">
      <c r="A60" s="23">
        <v>2058</v>
      </c>
      <c r="B60" s="24">
        <f>B59*(1+Eredmények!$B$6)</f>
        <v>642732.44130501337</v>
      </c>
      <c r="C60" s="37">
        <f t="shared" si="0"/>
        <v>1.03</v>
      </c>
      <c r="E60" s="22"/>
      <c r="F60" s="22"/>
    </row>
    <row r="61" spans="1:6" x14ac:dyDescent="0.3">
      <c r="A61" s="23">
        <v>2059</v>
      </c>
      <c r="B61" s="24">
        <f>B60*(1+Eredmények!$B$6)</f>
        <v>662014.41454416374</v>
      </c>
      <c r="C61" s="37">
        <f t="shared" si="0"/>
        <v>1.03</v>
      </c>
      <c r="E61" s="22"/>
      <c r="F61" s="22"/>
    </row>
    <row r="62" spans="1:6" x14ac:dyDescent="0.3">
      <c r="A62" s="23">
        <v>2060</v>
      </c>
      <c r="B62" s="24">
        <f>B61*(1+Eredmények!$B$6)</f>
        <v>681874.84698048863</v>
      </c>
      <c r="C62" s="37">
        <f t="shared" si="0"/>
        <v>1.03</v>
      </c>
      <c r="E62" s="22"/>
      <c r="F62" s="22"/>
    </row>
    <row r="63" spans="1:6" x14ac:dyDescent="0.3">
      <c r="A63" s="23">
        <v>2061</v>
      </c>
      <c r="B63" s="24">
        <f>B62*(1+Eredmények!$B$6)</f>
        <v>702331.09238990326</v>
      </c>
      <c r="C63" s="37">
        <f t="shared" si="0"/>
        <v>1.03</v>
      </c>
      <c r="E63" s="22"/>
      <c r="F63" s="22"/>
    </row>
    <row r="64" spans="1:6" x14ac:dyDescent="0.3">
      <c r="A64" s="23">
        <v>2062</v>
      </c>
      <c r="B64" s="24">
        <f>B63*(1+Eredmények!$B$6)</f>
        <v>723401.02516160044</v>
      </c>
      <c r="C64" s="37">
        <f t="shared" si="0"/>
        <v>1.03</v>
      </c>
      <c r="E64" s="22"/>
      <c r="F64" s="22"/>
    </row>
    <row r="65" spans="1:7" x14ac:dyDescent="0.3">
      <c r="A65" s="23">
        <v>2063</v>
      </c>
      <c r="B65" s="24">
        <f>B64*(1+Eredmények!$B$6)</f>
        <v>745103.05591644847</v>
      </c>
      <c r="C65" s="37">
        <f t="shared" si="0"/>
        <v>1.03</v>
      </c>
      <c r="E65" s="22"/>
      <c r="F65" s="22"/>
    </row>
    <row r="66" spans="1:7" x14ac:dyDescent="0.3">
      <c r="A66" s="23">
        <v>2064</v>
      </c>
      <c r="B66" s="24">
        <f>B65*(1+Eredmények!$B$6)</f>
        <v>767456.14759394201</v>
      </c>
      <c r="C66" s="37">
        <f t="shared" si="0"/>
        <v>1.03</v>
      </c>
      <c r="E66" s="22"/>
      <c r="F66" s="22"/>
      <c r="G66" s="40"/>
    </row>
    <row r="67" spans="1:7" x14ac:dyDescent="0.3">
      <c r="A67" s="23">
        <v>2065</v>
      </c>
      <c r="B67" s="24">
        <f>B66*(1+Eredmények!$B$6)</f>
        <v>790479.83202176029</v>
      </c>
      <c r="C67" s="37">
        <f t="shared" si="0"/>
        <v>1.03</v>
      </c>
      <c r="E67" s="22"/>
      <c r="F67" s="22"/>
      <c r="G67" s="40"/>
    </row>
    <row r="68" spans="1:7" x14ac:dyDescent="0.3">
      <c r="A68" s="23">
        <v>2066</v>
      </c>
      <c r="B68" s="24">
        <f>B67*(1+Eredmények!$B$6)</f>
        <v>814194.22698241309</v>
      </c>
      <c r="C68" s="37">
        <f t="shared" ref="C68:C106" si="1">B68/B67</f>
        <v>1.03</v>
      </c>
    </row>
    <row r="69" spans="1:7" x14ac:dyDescent="0.3">
      <c r="A69" s="23">
        <v>2067</v>
      </c>
      <c r="B69" s="24">
        <f>B68*(1+Eredmények!$B$6)</f>
        <v>838620.0537918855</v>
      </c>
      <c r="C69" s="37">
        <f t="shared" si="1"/>
        <v>1.03</v>
      </c>
    </row>
    <row r="70" spans="1:7" x14ac:dyDescent="0.3">
      <c r="A70" s="23">
        <v>2068</v>
      </c>
      <c r="B70" s="24">
        <f>B69*(1+Eredmények!$B$6)</f>
        <v>863778.65540564212</v>
      </c>
      <c r="C70" s="37">
        <f t="shared" si="1"/>
        <v>1.03</v>
      </c>
    </row>
    <row r="71" spans="1:7" x14ac:dyDescent="0.3">
      <c r="A71" s="23">
        <v>2069</v>
      </c>
      <c r="B71" s="24">
        <f>B70*(1+Eredmények!$B$6)</f>
        <v>889692.01506781136</v>
      </c>
      <c r="C71" s="37">
        <f t="shared" si="1"/>
        <v>1.03</v>
      </c>
    </row>
    <row r="72" spans="1:7" ht="15" thickBot="1" x14ac:dyDescent="0.35">
      <c r="A72" s="31">
        <v>2070</v>
      </c>
      <c r="B72" s="50">
        <f>B71*(1+Eredmények!$B$6)</f>
        <v>916382.77551984577</v>
      </c>
      <c r="C72" s="41">
        <f t="shared" si="1"/>
        <v>1.03</v>
      </c>
    </row>
    <row r="73" spans="1:7" ht="15" thickTop="1" x14ac:dyDescent="0.3">
      <c r="A73" s="23">
        <v>2071</v>
      </c>
      <c r="B73" s="24">
        <f>B72*(1+Eredmények!$B$6)</f>
        <v>943874.25878544117</v>
      </c>
      <c r="C73" s="37">
        <f t="shared" si="1"/>
        <v>1.03</v>
      </c>
    </row>
    <row r="74" spans="1:7" x14ac:dyDescent="0.3">
      <c r="A74" s="23">
        <v>2072</v>
      </c>
      <c r="B74" s="24">
        <f>B73*(1+Eredmények!$B$6)</f>
        <v>972190.48654900445</v>
      </c>
      <c r="C74" s="37">
        <f t="shared" si="1"/>
        <v>1.03</v>
      </c>
    </row>
    <row r="75" spans="1:7" x14ac:dyDescent="0.3">
      <c r="A75" s="23">
        <v>2073</v>
      </c>
      <c r="B75" s="24">
        <f>B74*(1+Eredmények!$B$6)</f>
        <v>1001356.2011454746</v>
      </c>
      <c r="C75" s="37">
        <f t="shared" si="1"/>
        <v>1.03</v>
      </c>
    </row>
    <row r="76" spans="1:7" x14ac:dyDescent="0.3">
      <c r="A76" s="23">
        <v>2074</v>
      </c>
      <c r="B76" s="24">
        <f>B75*(1+Eredmények!$B$6)</f>
        <v>1031396.8871798388</v>
      </c>
      <c r="C76" s="37">
        <f t="shared" si="1"/>
        <v>1.03</v>
      </c>
    </row>
    <row r="77" spans="1:7" x14ac:dyDescent="0.3">
      <c r="A77" s="23">
        <v>2075</v>
      </c>
      <c r="B77" s="24">
        <f>B76*(1+Eredmények!$B$6)</f>
        <v>1062338.7937952341</v>
      </c>
      <c r="C77" s="37">
        <f t="shared" si="1"/>
        <v>1.03</v>
      </c>
    </row>
    <row r="78" spans="1:7" x14ac:dyDescent="0.3">
      <c r="A78" s="23">
        <v>2076</v>
      </c>
      <c r="B78" s="24">
        <f>B77*(1+Eredmények!$B$6)</f>
        <v>1094208.9576090912</v>
      </c>
      <c r="C78" s="37">
        <f t="shared" si="1"/>
        <v>1.03</v>
      </c>
    </row>
    <row r="79" spans="1:7" x14ac:dyDescent="0.3">
      <c r="A79" s="23">
        <v>2077</v>
      </c>
      <c r="B79" s="24">
        <f>B78*(1+Eredmények!$B$6)</f>
        <v>1127035.2263373639</v>
      </c>
      <c r="C79" s="37">
        <f t="shared" si="1"/>
        <v>1.03</v>
      </c>
    </row>
    <row r="80" spans="1:7" x14ac:dyDescent="0.3">
      <c r="A80" s="23">
        <v>2078</v>
      </c>
      <c r="B80" s="24">
        <f>B79*(1+Eredmények!$B$6)</f>
        <v>1160846.2831274848</v>
      </c>
      <c r="C80" s="37">
        <f t="shared" si="1"/>
        <v>1.03</v>
      </c>
    </row>
    <row r="81" spans="1:3" x14ac:dyDescent="0.3">
      <c r="A81" s="23">
        <v>2079</v>
      </c>
      <c r="B81" s="24">
        <f>B80*(1+Eredmények!$B$6)</f>
        <v>1195671.6716213094</v>
      </c>
      <c r="C81" s="37">
        <f t="shared" si="1"/>
        <v>1.03</v>
      </c>
    </row>
    <row r="82" spans="1:3" x14ac:dyDescent="0.3">
      <c r="A82" s="23">
        <v>2080</v>
      </c>
      <c r="B82" s="24">
        <f>B81*(1+Eredmények!$B$6)</f>
        <v>1231541.8217699486</v>
      </c>
      <c r="C82" s="37">
        <f t="shared" si="1"/>
        <v>1.03</v>
      </c>
    </row>
    <row r="83" spans="1:3" x14ac:dyDescent="0.3">
      <c r="A83" s="23">
        <v>2081</v>
      </c>
      <c r="B83" s="24">
        <f>B82*(1+Eredmények!$B$6)</f>
        <v>1268488.0764230471</v>
      </c>
      <c r="C83" s="37">
        <f t="shared" si="1"/>
        <v>1.03</v>
      </c>
    </row>
    <row r="84" spans="1:3" x14ac:dyDescent="0.3">
      <c r="A84" s="23">
        <v>2082</v>
      </c>
      <c r="B84" s="24">
        <f>B83*(1+Eredmények!$B$6)</f>
        <v>1306542.7187157385</v>
      </c>
      <c r="C84" s="37">
        <f t="shared" si="1"/>
        <v>1.03</v>
      </c>
    </row>
    <row r="85" spans="1:3" x14ac:dyDescent="0.3">
      <c r="A85" s="23">
        <v>2083</v>
      </c>
      <c r="B85" s="24">
        <f>B84*(1+Eredmények!$B$6)</f>
        <v>1345739.0002772107</v>
      </c>
      <c r="C85" s="37">
        <f t="shared" si="1"/>
        <v>1.03</v>
      </c>
    </row>
    <row r="86" spans="1:3" x14ac:dyDescent="0.3">
      <c r="A86" s="23">
        <v>2084</v>
      </c>
      <c r="B86" s="24">
        <f>B85*(1+Eredmények!$B$6)</f>
        <v>1386111.1702855271</v>
      </c>
      <c r="C86" s="37">
        <f t="shared" si="1"/>
        <v>1.03</v>
      </c>
    </row>
    <row r="87" spans="1:3" x14ac:dyDescent="0.3">
      <c r="A87" s="23">
        <v>2085</v>
      </c>
      <c r="B87" s="24">
        <f>B86*(1+Eredmények!$B$6)</f>
        <v>1427694.505394093</v>
      </c>
      <c r="C87" s="37">
        <f t="shared" si="1"/>
        <v>1.03</v>
      </c>
    </row>
    <row r="88" spans="1:3" x14ac:dyDescent="0.3">
      <c r="A88" s="23">
        <v>2086</v>
      </c>
      <c r="B88" s="24">
        <f>B87*(1+Eredmények!$B$6)</f>
        <v>1470525.3405559158</v>
      </c>
      <c r="C88" s="37">
        <f t="shared" si="1"/>
        <v>1.03</v>
      </c>
    </row>
    <row r="89" spans="1:3" x14ac:dyDescent="0.3">
      <c r="A89" s="23">
        <v>2087</v>
      </c>
      <c r="B89" s="24">
        <f>B88*(1+Eredmények!$B$6)</f>
        <v>1514641.1007725934</v>
      </c>
      <c r="C89" s="37">
        <f t="shared" si="1"/>
        <v>1.03</v>
      </c>
    </row>
    <row r="90" spans="1:3" x14ac:dyDescent="0.3">
      <c r="A90" s="23">
        <v>2088</v>
      </c>
      <c r="B90" s="24">
        <f>B89*(1+Eredmények!$B$6)</f>
        <v>1560080.3337957712</v>
      </c>
      <c r="C90" s="37">
        <f t="shared" si="1"/>
        <v>1.03</v>
      </c>
    </row>
    <row r="91" spans="1:3" x14ac:dyDescent="0.3">
      <c r="A91" s="23">
        <v>2089</v>
      </c>
      <c r="B91" s="24">
        <f>B90*(1+Eredmények!$B$6)</f>
        <v>1606882.7438096444</v>
      </c>
      <c r="C91" s="37">
        <f t="shared" si="1"/>
        <v>1.03</v>
      </c>
    </row>
    <row r="92" spans="1:3" x14ac:dyDescent="0.3">
      <c r="A92" s="23">
        <v>2090</v>
      </c>
      <c r="B92" s="24">
        <f>B91*(1+Eredmények!$B$6)</f>
        <v>1655089.2261239337</v>
      </c>
      <c r="C92" s="37">
        <f t="shared" si="1"/>
        <v>1.03</v>
      </c>
    </row>
    <row r="93" spans="1:3" x14ac:dyDescent="0.3">
      <c r="A93" s="23">
        <v>2091</v>
      </c>
      <c r="B93" s="24">
        <f>B92*(1+Eredmények!$B$6)</f>
        <v>1704741.9029076518</v>
      </c>
      <c r="C93" s="37">
        <f t="shared" si="1"/>
        <v>1.03</v>
      </c>
    </row>
    <row r="94" spans="1:3" x14ac:dyDescent="0.3">
      <c r="A94" s="23">
        <v>2092</v>
      </c>
      <c r="B94" s="24">
        <f>B93*(1+Eredmények!$B$6)</f>
        <v>1755884.1599948814</v>
      </c>
      <c r="C94" s="37">
        <f t="shared" si="1"/>
        <v>1.03</v>
      </c>
    </row>
    <row r="95" spans="1:3" x14ac:dyDescent="0.3">
      <c r="A95" s="23">
        <v>2093</v>
      </c>
      <c r="B95" s="24">
        <f>B94*(1+Eredmények!$B$6)</f>
        <v>1808560.6847947279</v>
      </c>
      <c r="C95" s="37">
        <f t="shared" si="1"/>
        <v>1.03</v>
      </c>
    </row>
    <row r="96" spans="1:3" x14ac:dyDescent="0.3">
      <c r="A96" s="23">
        <v>2094</v>
      </c>
      <c r="B96" s="24">
        <f>B95*(1+Eredmények!$B$6)</f>
        <v>1862817.5053385699</v>
      </c>
      <c r="C96" s="37">
        <f t="shared" si="1"/>
        <v>1.03</v>
      </c>
    </row>
    <row r="97" spans="1:3" x14ac:dyDescent="0.3">
      <c r="A97" s="23">
        <v>2095</v>
      </c>
      <c r="B97" s="24">
        <f>B96*(1+Eredmények!$B$6)</f>
        <v>1918702.030498727</v>
      </c>
      <c r="C97" s="37">
        <f t="shared" si="1"/>
        <v>1.03</v>
      </c>
    </row>
    <row r="98" spans="1:3" x14ac:dyDescent="0.3">
      <c r="A98" s="23">
        <v>2096</v>
      </c>
      <c r="B98" s="24">
        <f>B97*(1+Eredmények!$B$6)</f>
        <v>1976263.0914136888</v>
      </c>
      <c r="C98" s="37">
        <f t="shared" si="1"/>
        <v>1.03</v>
      </c>
    </row>
    <row r="99" spans="1:3" x14ac:dyDescent="0.3">
      <c r="A99" s="23">
        <v>2097</v>
      </c>
      <c r="B99" s="24">
        <f>B98*(1+Eredmények!$B$6)</f>
        <v>2035550.9841560996</v>
      </c>
      <c r="C99" s="37">
        <f t="shared" si="1"/>
        <v>1.03</v>
      </c>
    </row>
    <row r="100" spans="1:3" x14ac:dyDescent="0.3">
      <c r="A100" s="23">
        <v>2098</v>
      </c>
      <c r="B100" s="24">
        <f>B99*(1+Eredmények!$B$6)</f>
        <v>2096617.5136807826</v>
      </c>
      <c r="C100" s="37">
        <f t="shared" si="1"/>
        <v>1.03</v>
      </c>
    </row>
    <row r="101" spans="1:3" x14ac:dyDescent="0.3">
      <c r="A101" s="23">
        <v>2099</v>
      </c>
      <c r="B101" s="24">
        <f>B100*(1+Eredmények!$B$6)</f>
        <v>2159516.0390912062</v>
      </c>
      <c r="C101" s="37">
        <f t="shared" si="1"/>
        <v>1.03</v>
      </c>
    </row>
    <row r="102" spans="1:3" x14ac:dyDescent="0.3">
      <c r="A102" s="23">
        <v>2100</v>
      </c>
      <c r="B102" s="24">
        <f>B101*(1+Eredmények!$B$6)</f>
        <v>2224301.5202639424</v>
      </c>
      <c r="C102" s="37">
        <f t="shared" si="1"/>
        <v>1.03</v>
      </c>
    </row>
    <row r="103" spans="1:3" x14ac:dyDescent="0.3">
      <c r="A103" s="23">
        <v>2101</v>
      </c>
      <c r="B103" s="24">
        <f>B102*(1+Eredmények!$B$6)</f>
        <v>2291030.5658718608</v>
      </c>
      <c r="C103" s="37">
        <f t="shared" si="1"/>
        <v>1.03</v>
      </c>
    </row>
    <row r="104" spans="1:3" x14ac:dyDescent="0.3">
      <c r="A104" s="23">
        <v>2102</v>
      </c>
      <c r="B104" s="24">
        <f>B103*(1+Eredmények!$B$6)</f>
        <v>2359761.4828480165</v>
      </c>
      <c r="C104" s="37">
        <f t="shared" si="1"/>
        <v>1.03</v>
      </c>
    </row>
    <row r="105" spans="1:3" x14ac:dyDescent="0.3">
      <c r="A105" s="23">
        <v>2103</v>
      </c>
      <c r="B105" s="24">
        <f>B104*(1+Eredmények!$B$6)</f>
        <v>2430554.3273334573</v>
      </c>
      <c r="C105" s="37">
        <f t="shared" si="1"/>
        <v>1.03</v>
      </c>
    </row>
    <row r="106" spans="1:3" x14ac:dyDescent="0.3">
      <c r="A106" s="23">
        <v>2104</v>
      </c>
      <c r="B106" s="24">
        <f>B105*(1+Eredmények!$B$6)</f>
        <v>2503470.9571534609</v>
      </c>
      <c r="C106" s="37">
        <f t="shared" si="1"/>
        <v>1.03</v>
      </c>
    </row>
    <row r="107" spans="1:3" x14ac:dyDescent="0.3">
      <c r="A107" s="23"/>
      <c r="B107" s="24"/>
      <c r="C107" s="37"/>
    </row>
    <row r="108" spans="1:3" x14ac:dyDescent="0.3">
      <c r="A108" s="23"/>
      <c r="B108" s="24"/>
      <c r="C108" s="37"/>
    </row>
    <row r="109" spans="1:3" x14ac:dyDescent="0.3">
      <c r="A109" s="23"/>
      <c r="B109" s="24"/>
      <c r="C109" s="37"/>
    </row>
    <row r="110" spans="1:3" x14ac:dyDescent="0.3">
      <c r="A110" s="23"/>
      <c r="B110" s="24"/>
      <c r="C110" s="37"/>
    </row>
    <row r="111" spans="1:3" x14ac:dyDescent="0.3">
      <c r="A111" s="23"/>
      <c r="B111" s="24"/>
      <c r="C111" s="37"/>
    </row>
    <row r="112" spans="1:3" x14ac:dyDescent="0.3">
      <c r="A112" s="23"/>
      <c r="B112" s="24"/>
      <c r="C112" s="37"/>
    </row>
    <row r="113" spans="1:3" x14ac:dyDescent="0.3">
      <c r="A113" s="23"/>
      <c r="B113" s="22"/>
      <c r="C113" s="37"/>
    </row>
    <row r="114" spans="1:3" x14ac:dyDescent="0.3">
      <c r="A114" s="23"/>
      <c r="B114" s="22"/>
      <c r="C114" s="37"/>
    </row>
    <row r="115" spans="1:3" x14ac:dyDescent="0.3">
      <c r="A115" s="23"/>
      <c r="B115" s="22"/>
      <c r="C115" s="37"/>
    </row>
    <row r="116" spans="1:3" x14ac:dyDescent="0.3">
      <c r="A116" s="23"/>
      <c r="B116" s="22"/>
      <c r="C116" s="37"/>
    </row>
    <row r="117" spans="1:3" x14ac:dyDescent="0.3">
      <c r="A117" s="23"/>
      <c r="B117" s="22"/>
      <c r="C117" s="37"/>
    </row>
    <row r="118" spans="1:3" x14ac:dyDescent="0.3">
      <c r="A118" s="23"/>
      <c r="B118" s="22"/>
      <c r="C118" s="37"/>
    </row>
    <row r="119" spans="1:3" x14ac:dyDescent="0.3">
      <c r="A119" s="23"/>
      <c r="B119" s="22"/>
      <c r="C119" s="37"/>
    </row>
    <row r="120" spans="1:3" x14ac:dyDescent="0.3">
      <c r="A120" s="23"/>
      <c r="B120" s="22"/>
      <c r="C120" s="37"/>
    </row>
    <row r="121" spans="1:3" x14ac:dyDescent="0.3">
      <c r="A121" s="23"/>
      <c r="B121" s="22"/>
      <c r="C121" s="37"/>
    </row>
    <row r="122" spans="1:3" x14ac:dyDescent="0.3">
      <c r="A122" s="23"/>
      <c r="B122" s="22"/>
      <c r="C122" s="37"/>
    </row>
    <row r="123" spans="1:3" x14ac:dyDescent="0.3">
      <c r="A123" s="23"/>
      <c r="B123" s="22"/>
      <c r="C123" s="37"/>
    </row>
    <row r="124" spans="1:3" x14ac:dyDescent="0.3">
      <c r="A124" s="23"/>
      <c r="B124" s="22"/>
      <c r="C124" s="37"/>
    </row>
    <row r="125" spans="1:3" x14ac:dyDescent="0.3">
      <c r="A125" s="23"/>
      <c r="B125" s="22"/>
      <c r="C125" s="37"/>
    </row>
    <row r="126" spans="1:3" x14ac:dyDescent="0.3">
      <c r="A126" s="23"/>
      <c r="B126" s="22"/>
      <c r="C126" s="37"/>
    </row>
    <row r="127" spans="1:3" x14ac:dyDescent="0.3">
      <c r="A127" s="23"/>
      <c r="B127" s="22"/>
      <c r="C127" s="37"/>
    </row>
    <row r="128" spans="1:3" x14ac:dyDescent="0.3">
      <c r="A128" s="23"/>
      <c r="B128" s="22"/>
      <c r="C128" s="37"/>
    </row>
    <row r="129" spans="1:3" x14ac:dyDescent="0.3">
      <c r="A129" s="23"/>
      <c r="B129" s="22"/>
      <c r="C129" s="37"/>
    </row>
    <row r="130" spans="1:3" x14ac:dyDescent="0.3">
      <c r="A130" s="23"/>
      <c r="B130" s="22"/>
      <c r="C130" s="37"/>
    </row>
    <row r="131" spans="1:3" x14ac:dyDescent="0.3">
      <c r="A131" s="23"/>
      <c r="B131" s="22"/>
      <c r="C131" s="37"/>
    </row>
    <row r="132" spans="1:3" x14ac:dyDescent="0.3">
      <c r="A132" s="23"/>
      <c r="B132" s="22"/>
      <c r="C132" s="37"/>
    </row>
    <row r="133" spans="1:3" x14ac:dyDescent="0.3">
      <c r="A133" s="23"/>
      <c r="B133" s="22"/>
      <c r="C133" s="37"/>
    </row>
    <row r="134" spans="1:3" x14ac:dyDescent="0.3">
      <c r="A134" s="23"/>
      <c r="B134" s="22"/>
      <c r="C134" s="37"/>
    </row>
    <row r="135" spans="1:3" x14ac:dyDescent="0.3">
      <c r="A135" s="23"/>
      <c r="B135" s="22"/>
      <c r="C135" s="37"/>
    </row>
    <row r="136" spans="1:3" x14ac:dyDescent="0.3">
      <c r="A136" s="23"/>
      <c r="B136" s="22"/>
      <c r="C136" s="37"/>
    </row>
    <row r="137" spans="1:3" x14ac:dyDescent="0.3">
      <c r="A137" s="23"/>
      <c r="B137" s="22"/>
      <c r="C137" s="37"/>
    </row>
    <row r="138" spans="1:3" x14ac:dyDescent="0.3">
      <c r="A138" s="23"/>
      <c r="B138" s="22"/>
      <c r="C138" s="37"/>
    </row>
    <row r="139" spans="1:3" x14ac:dyDescent="0.3">
      <c r="A139" s="23"/>
      <c r="B139" s="22"/>
      <c r="C139" s="37"/>
    </row>
    <row r="140" spans="1:3" x14ac:dyDescent="0.3">
      <c r="A140" s="23"/>
      <c r="B140" s="22"/>
      <c r="C140" s="37"/>
    </row>
    <row r="141" spans="1:3" x14ac:dyDescent="0.3">
      <c r="A141" s="23"/>
      <c r="B141" s="22"/>
      <c r="C141" s="37"/>
    </row>
    <row r="142" spans="1:3" x14ac:dyDescent="0.3">
      <c r="A142" s="23"/>
      <c r="B142" s="22"/>
      <c r="C142" s="37"/>
    </row>
    <row r="143" spans="1:3" x14ac:dyDescent="0.3">
      <c r="A143" s="23"/>
      <c r="B143" s="22"/>
      <c r="C143" s="37"/>
    </row>
    <row r="144" spans="1:3" x14ac:dyDescent="0.3">
      <c r="A144" s="23"/>
      <c r="B144" s="22"/>
      <c r="C144" s="37"/>
    </row>
    <row r="145" spans="1:3" x14ac:dyDescent="0.3">
      <c r="A145" s="23"/>
      <c r="B145" s="22"/>
      <c r="C145" s="37"/>
    </row>
    <row r="146" spans="1:3" x14ac:dyDescent="0.3">
      <c r="A146" s="23"/>
      <c r="B146" s="22"/>
      <c r="C146" s="37"/>
    </row>
    <row r="147" spans="1:3" x14ac:dyDescent="0.3">
      <c r="A147" s="23"/>
    </row>
    <row r="148" spans="1:3" x14ac:dyDescent="0.3">
      <c r="A148" s="23"/>
    </row>
    <row r="149" spans="1:3" x14ac:dyDescent="0.3">
      <c r="A149" s="23"/>
    </row>
    <row r="150" spans="1:3" x14ac:dyDescent="0.3">
      <c r="A150" s="23"/>
    </row>
    <row r="151" spans="1:3" x14ac:dyDescent="0.3">
      <c r="A151" s="23"/>
    </row>
    <row r="152" spans="1:3" x14ac:dyDescent="0.3">
      <c r="A152" s="23"/>
    </row>
    <row r="153" spans="1:3" x14ac:dyDescent="0.3">
      <c r="A153" s="23"/>
    </row>
    <row r="154" spans="1:3" x14ac:dyDescent="0.3">
      <c r="A154" s="23"/>
    </row>
    <row r="155" spans="1:3" x14ac:dyDescent="0.3">
      <c r="A155" s="23"/>
    </row>
    <row r="156" spans="1:3" x14ac:dyDescent="0.3">
      <c r="A156" s="23"/>
    </row>
    <row r="157" spans="1:3" x14ac:dyDescent="0.3">
      <c r="A157" s="23"/>
    </row>
    <row r="158" spans="1:3" x14ac:dyDescent="0.3">
      <c r="A158" s="23"/>
    </row>
    <row r="159" spans="1:3" x14ac:dyDescent="0.3">
      <c r="A159" s="23"/>
    </row>
    <row r="160" spans="1:3" x14ac:dyDescent="0.3">
      <c r="A160" s="23"/>
    </row>
    <row r="161" spans="1:1" x14ac:dyDescent="0.3">
      <c r="A161" s="23"/>
    </row>
    <row r="162" spans="1:1" x14ac:dyDescent="0.3">
      <c r="A162" s="23"/>
    </row>
    <row r="163" spans="1:1" x14ac:dyDescent="0.3">
      <c r="A163" s="23"/>
    </row>
    <row r="164" spans="1:1" x14ac:dyDescent="0.3">
      <c r="A164" s="23"/>
    </row>
    <row r="165" spans="1:1" x14ac:dyDescent="0.3">
      <c r="A165" s="23"/>
    </row>
    <row r="166" spans="1:1" x14ac:dyDescent="0.3">
      <c r="A166" s="23"/>
    </row>
    <row r="167" spans="1:1" x14ac:dyDescent="0.3">
      <c r="A167" s="23"/>
    </row>
    <row r="168" spans="1:1" x14ac:dyDescent="0.3">
      <c r="A168" s="23"/>
    </row>
    <row r="169" spans="1:1" x14ac:dyDescent="0.3">
      <c r="A169" s="23"/>
    </row>
    <row r="170" spans="1:1" x14ac:dyDescent="0.3">
      <c r="A170" s="23"/>
    </row>
    <row r="171" spans="1:1" x14ac:dyDescent="0.3">
      <c r="A171" s="23"/>
    </row>
    <row r="172" spans="1:1" x14ac:dyDescent="0.3">
      <c r="A172" s="23"/>
    </row>
    <row r="173" spans="1:1" x14ac:dyDescent="0.3">
      <c r="A173" s="23"/>
    </row>
    <row r="174" spans="1:1" x14ac:dyDescent="0.3">
      <c r="A174" s="23"/>
    </row>
    <row r="175" spans="1:1" x14ac:dyDescent="0.3">
      <c r="A175" s="23"/>
    </row>
    <row r="176" spans="1:1" x14ac:dyDescent="0.3">
      <c r="A176" s="23"/>
    </row>
    <row r="177" spans="1:1" x14ac:dyDescent="0.3">
      <c r="A177" s="23"/>
    </row>
    <row r="178" spans="1:1" x14ac:dyDescent="0.3">
      <c r="A178" s="23"/>
    </row>
    <row r="179" spans="1:1" x14ac:dyDescent="0.3">
      <c r="A179" s="23"/>
    </row>
    <row r="180" spans="1:1" x14ac:dyDescent="0.3">
      <c r="A180" s="23"/>
    </row>
    <row r="181" spans="1:1" x14ac:dyDescent="0.3">
      <c r="A18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D3F9-014A-456B-8B32-CD609AA42EC6}">
  <dimension ref="A1:M181"/>
  <sheetViews>
    <sheetView tabSelected="1" zoomScaleNormal="100" workbookViewId="0">
      <selection activeCell="C68" sqref="C68"/>
    </sheetView>
  </sheetViews>
  <sheetFormatPr defaultColWidth="9.33203125" defaultRowHeight="13.8" x14ac:dyDescent="0.25"/>
  <cols>
    <col min="1" max="1" width="10.6640625" style="29" customWidth="1"/>
    <col min="2" max="2" width="16.44140625" style="30" customWidth="1"/>
    <col min="3" max="3" width="16.44140625" style="38" customWidth="1"/>
    <col min="4" max="4" width="9.33203125" style="18"/>
    <col min="5" max="6" width="16.44140625" style="30" customWidth="1"/>
    <col min="7" max="7" width="9.33203125" style="18"/>
    <col min="8" max="9" width="16.44140625" style="30" customWidth="1"/>
    <col min="10" max="10" width="9.33203125" style="18"/>
    <col min="11" max="13" width="16.44140625" style="30" customWidth="1"/>
    <col min="14" max="16384" width="9.33203125" style="18"/>
  </cols>
  <sheetData>
    <row r="1" spans="1:13" ht="36" customHeight="1" thickBot="1" x14ac:dyDescent="0.35">
      <c r="A1" s="19" t="s">
        <v>7</v>
      </c>
      <c r="B1" s="20" t="s">
        <v>17</v>
      </c>
      <c r="C1" s="36" t="s">
        <v>22</v>
      </c>
      <c r="E1" s="20" t="s">
        <v>20</v>
      </c>
      <c r="F1" s="20" t="s">
        <v>28</v>
      </c>
      <c r="H1" s="20" t="s">
        <v>21</v>
      </c>
      <c r="I1" s="20" t="s">
        <v>26</v>
      </c>
      <c r="K1" s="42" t="s">
        <v>23</v>
      </c>
      <c r="L1" s="42"/>
      <c r="M1" s="42"/>
    </row>
    <row r="2" spans="1:13" ht="15" thickTop="1" x14ac:dyDescent="0.3">
      <c r="A2" s="21">
        <v>1960</v>
      </c>
      <c r="B2" s="22">
        <v>1575</v>
      </c>
      <c r="C2" s="34">
        <v>1</v>
      </c>
      <c r="E2" s="35">
        <f>GEOMEAN(C3:C67)</f>
        <v>1.0984577094721042</v>
      </c>
      <c r="F2" s="33">
        <f>E2-1</f>
        <v>9.8457709472104193E-2</v>
      </c>
      <c r="H2" s="35">
        <f>GEOMEAN(C43:C67)</f>
        <v>1.0869731685022688</v>
      </c>
      <c r="I2" s="33">
        <f>H2-1</f>
        <v>8.6973168502268772E-2</v>
      </c>
      <c r="K2" s="35" t="s">
        <v>24</v>
      </c>
      <c r="L2" s="33" t="s">
        <v>25</v>
      </c>
      <c r="M2" s="35" t="s">
        <v>27</v>
      </c>
    </row>
    <row r="3" spans="1:13" ht="14.4" x14ac:dyDescent="0.2">
      <c r="A3" s="23">
        <v>1961</v>
      </c>
      <c r="B3" s="24">
        <v>1599</v>
      </c>
      <c r="C3" s="37">
        <f>IF(A3&lt;$K$3,B3/B2,IF(A3&lt;$K$4,1+$M$3,IF(A3&lt;$K$5,1+$M$4,1+$M$5)))</f>
        <v>1.0152380952380953</v>
      </c>
      <c r="E3" s="24"/>
      <c r="F3" s="24"/>
      <c r="H3" s="24"/>
      <c r="I3" s="24"/>
      <c r="K3" s="39">
        <v>2026</v>
      </c>
      <c r="L3" s="39">
        <v>2030</v>
      </c>
      <c r="M3" s="43">
        <v>7.0000000000000007E-2</v>
      </c>
    </row>
    <row r="4" spans="1:13" ht="14.4" x14ac:dyDescent="0.2">
      <c r="A4" s="23">
        <v>1962</v>
      </c>
      <c r="B4" s="24">
        <v>1638</v>
      </c>
      <c r="C4" s="37">
        <f>IF(A4&lt;$K$3,B4/B3,IF(A4&lt;$K$4,1+$M$3,IF(A4&lt;$K$5,1+$M$4,1+$M$5)))</f>
        <v>1.024390243902439</v>
      </c>
      <c r="E4" s="18"/>
      <c r="F4" s="24"/>
      <c r="H4" s="18"/>
      <c r="I4" s="24"/>
      <c r="K4" s="39">
        <v>2031</v>
      </c>
      <c r="L4" s="39">
        <v>2040</v>
      </c>
      <c r="M4" s="44">
        <v>5.5E-2</v>
      </c>
    </row>
    <row r="5" spans="1:13" ht="14.4" x14ac:dyDescent="0.2">
      <c r="A5" s="23">
        <v>1963</v>
      </c>
      <c r="B5" s="24">
        <v>1702</v>
      </c>
      <c r="C5" s="37">
        <f>IF(A5&lt;$K$3,B5/B4,IF(A5&lt;$K$4,1+$M$3,IF(A5&lt;$K$5,1+$M$4,1+$M$5)))</f>
        <v>1.0390720390720392</v>
      </c>
      <c r="E5" s="24"/>
      <c r="F5" s="24"/>
      <c r="H5" s="24"/>
      <c r="I5" s="24"/>
      <c r="K5" s="39">
        <v>2041</v>
      </c>
      <c r="L5" s="39" cm="1">
        <f t="array" ref="L5">LOOKUP(2,1/(A:A&lt;&gt;""),A:A)</f>
        <v>2080</v>
      </c>
      <c r="M5" s="43">
        <v>0.04</v>
      </c>
    </row>
    <row r="6" spans="1:13" ht="14.4" x14ac:dyDescent="0.2">
      <c r="A6" s="23">
        <v>1964</v>
      </c>
      <c r="B6" s="24">
        <v>1757</v>
      </c>
      <c r="C6" s="37">
        <f>IF(A6&lt;$K$3,B6/B5,IF(A6&lt;$K$4,1+$M$3,IF(A6&lt;$K$5,1+$M$4,1+$M$5)))</f>
        <v>1.0323149236192715</v>
      </c>
      <c r="E6" s="18"/>
      <c r="F6" s="18"/>
      <c r="H6" s="24"/>
      <c r="I6" s="24"/>
      <c r="K6" s="24"/>
      <c r="L6" s="24"/>
      <c r="M6" s="24"/>
    </row>
    <row r="7" spans="1:13" ht="14.4" x14ac:dyDescent="0.2">
      <c r="A7" s="23">
        <v>1965</v>
      </c>
      <c r="B7" s="24">
        <v>1766</v>
      </c>
      <c r="C7" s="37">
        <f>IF(A7&lt;$K$3,B7/B6,IF(A7&lt;$K$4,1+$M$3,IF(A7&lt;$K$5,1+$M$4,1+$M$5)))</f>
        <v>1.0051223676721686</v>
      </c>
      <c r="E7" s="18"/>
      <c r="F7" s="18"/>
      <c r="H7" s="24"/>
      <c r="I7" s="24"/>
      <c r="K7" s="24"/>
      <c r="L7" s="24"/>
      <c r="M7" s="24"/>
    </row>
    <row r="8" spans="1:13" ht="14.4" x14ac:dyDescent="0.2">
      <c r="A8" s="23">
        <v>1966</v>
      </c>
      <c r="B8" s="24">
        <v>1856</v>
      </c>
      <c r="C8" s="37">
        <f>IF(A8&lt;$K$3,B8/B7,IF(A8&lt;$K$4,1+$M$3,IF(A8&lt;$K$5,1+$M$4,1+$M$5)))</f>
        <v>1.0509626274065684</v>
      </c>
      <c r="E8" s="18"/>
      <c r="F8" s="18"/>
      <c r="H8" s="24"/>
      <c r="I8" s="24"/>
      <c r="K8" s="24"/>
      <c r="L8" s="24"/>
      <c r="M8" s="24"/>
    </row>
    <row r="9" spans="1:13" ht="14.4" x14ac:dyDescent="0.2">
      <c r="A9" s="23">
        <v>1967</v>
      </c>
      <c r="B9" s="24">
        <v>1915</v>
      </c>
      <c r="C9" s="37">
        <f>IF(A9&lt;$K$3,B9/B8,IF(A9&lt;$K$4,1+$M$3,IF(A9&lt;$K$5,1+$M$4,1+$M$5)))</f>
        <v>1.0317887931034482</v>
      </c>
      <c r="E9" s="18"/>
      <c r="F9" s="18"/>
      <c r="H9" s="24"/>
      <c r="I9" s="24"/>
      <c r="K9" s="24"/>
      <c r="L9" s="24"/>
      <c r="M9" s="24"/>
    </row>
    <row r="10" spans="1:13" ht="14.4" x14ac:dyDescent="0.2">
      <c r="A10" s="23">
        <v>1968</v>
      </c>
      <c r="B10" s="24">
        <v>1928</v>
      </c>
      <c r="C10" s="37">
        <f>IF(A10&lt;$K$3,B10/B9,IF(A10&lt;$K$4,1+$M$3,IF(A10&lt;$K$5,1+$M$4,1+$M$5)))</f>
        <v>1.0067885117493474</v>
      </c>
      <c r="E10" s="18"/>
      <c r="F10" s="18"/>
      <c r="H10" s="24"/>
      <c r="I10" s="24"/>
      <c r="K10" s="24"/>
      <c r="L10" s="24"/>
      <c r="M10" s="24"/>
    </row>
    <row r="11" spans="1:13" ht="14.4" x14ac:dyDescent="0.2">
      <c r="A11" s="23">
        <v>1969</v>
      </c>
      <c r="B11" s="24">
        <v>2012</v>
      </c>
      <c r="C11" s="37">
        <f>IF(A11&lt;$K$3,B11/B10,IF(A11&lt;$K$4,1+$M$3,IF(A11&lt;$K$5,1+$M$4,1+$M$5)))</f>
        <v>1.0435684647302905</v>
      </c>
      <c r="E11" s="24"/>
      <c r="F11" s="24"/>
      <c r="H11" s="24"/>
      <c r="I11" s="24"/>
      <c r="K11" s="24"/>
      <c r="L11" s="24"/>
      <c r="M11" s="24"/>
    </row>
    <row r="12" spans="1:13" ht="14.4" x14ac:dyDescent="0.2">
      <c r="A12" s="23">
        <v>1970</v>
      </c>
      <c r="B12" s="25">
        <v>2222</v>
      </c>
      <c r="C12" s="37">
        <f>IF(A12&lt;$K$3,B12/B11,IF(A12&lt;$K$4,1+$M$3,IF(A12&lt;$K$5,1+$M$4,1+$M$5)))</f>
        <v>1.1043737574552683</v>
      </c>
      <c r="E12" s="25"/>
      <c r="F12" s="25"/>
      <c r="H12" s="25"/>
      <c r="I12" s="25"/>
      <c r="K12" s="25"/>
      <c r="L12" s="25"/>
      <c r="M12" s="25"/>
    </row>
    <row r="13" spans="1:13" ht="14.4" x14ac:dyDescent="0.2">
      <c r="A13" s="23">
        <v>1971</v>
      </c>
      <c r="B13" s="24">
        <v>2325</v>
      </c>
      <c r="C13" s="37">
        <f>IF(A13&lt;$K$3,B13/B12,IF(A13&lt;$K$4,1+$M$3,IF(A13&lt;$K$5,1+$M$4,1+$M$5)))</f>
        <v>1.0463546354635465</v>
      </c>
      <c r="E13" s="24"/>
      <c r="F13" s="24"/>
      <c r="H13" s="24"/>
      <c r="I13" s="24"/>
      <c r="K13" s="24"/>
      <c r="L13" s="24"/>
      <c r="M13" s="24"/>
    </row>
    <row r="14" spans="1:13" ht="14.4" x14ac:dyDescent="0.2">
      <c r="A14" s="23">
        <v>1972</v>
      </c>
      <c r="B14" s="24">
        <v>2450</v>
      </c>
      <c r="C14" s="37">
        <f>IF(A14&lt;$K$3,B14/B13,IF(A14&lt;$K$4,1+$M$3,IF(A14&lt;$K$5,1+$M$4,1+$M$5)))</f>
        <v>1.053763440860215</v>
      </c>
      <c r="E14" s="24"/>
      <c r="F14" s="24"/>
      <c r="H14" s="24"/>
      <c r="I14" s="24"/>
      <c r="K14" s="24"/>
      <c r="L14" s="24"/>
      <c r="M14" s="24"/>
    </row>
    <row r="15" spans="1:13" ht="14.4" x14ac:dyDescent="0.2">
      <c r="A15" s="23">
        <v>1973</v>
      </c>
      <c r="B15" s="24">
        <v>2629</v>
      </c>
      <c r="C15" s="37">
        <f>IF(A15&lt;$K$3,B15/B14,IF(A15&lt;$K$4,1+$M$3,IF(A15&lt;$K$5,1+$M$4,1+$M$5)))</f>
        <v>1.0730612244897959</v>
      </c>
      <c r="E15" s="24"/>
      <c r="F15" s="24"/>
      <c r="H15" s="24"/>
      <c r="I15" s="24"/>
      <c r="K15" s="24"/>
      <c r="L15" s="24"/>
      <c r="M15" s="24"/>
    </row>
    <row r="16" spans="1:13" ht="14.4" x14ac:dyDescent="0.2">
      <c r="A16" s="23">
        <v>1974</v>
      </c>
      <c r="B16" s="24">
        <v>2831</v>
      </c>
      <c r="C16" s="37">
        <f>IF(A16&lt;$K$3,B16/B15,IF(A16&lt;$K$4,1+$M$3,IF(A16&lt;$K$5,1+$M$4,1+$M$5)))</f>
        <v>1.0768352985926208</v>
      </c>
      <c r="E16" s="24"/>
      <c r="F16" s="24"/>
      <c r="H16" s="24"/>
      <c r="I16" s="24"/>
      <c r="K16" s="24"/>
      <c r="L16" s="24"/>
      <c r="M16" s="24"/>
    </row>
    <row r="17" spans="1:13" ht="14.4" x14ac:dyDescent="0.2">
      <c r="A17" s="23">
        <v>1975</v>
      </c>
      <c r="B17" s="24">
        <v>3018</v>
      </c>
      <c r="C17" s="37">
        <f>IF(A17&lt;$K$3,B17/B16,IF(A17&lt;$K$4,1+$M$3,IF(A17&lt;$K$5,1+$M$4,1+$M$5)))</f>
        <v>1.0660543977393147</v>
      </c>
      <c r="E17" s="24"/>
      <c r="F17" s="24"/>
      <c r="H17" s="24"/>
      <c r="I17" s="24"/>
      <c r="K17" s="24"/>
      <c r="L17" s="24"/>
      <c r="M17" s="24"/>
    </row>
    <row r="18" spans="1:13" ht="14.4" x14ac:dyDescent="0.2">
      <c r="A18" s="23">
        <v>1976</v>
      </c>
      <c r="B18" s="24">
        <v>3174</v>
      </c>
      <c r="C18" s="37">
        <f>IF(A18&lt;$K$3,B18/B17,IF(A18&lt;$K$4,1+$M$3,IF(A18&lt;$K$5,1+$M$4,1+$M$5)))</f>
        <v>1.0516898608349901</v>
      </c>
      <c r="E18" s="24"/>
      <c r="F18" s="24"/>
      <c r="H18" s="24"/>
      <c r="I18" s="24"/>
      <c r="K18" s="24"/>
      <c r="L18" s="24"/>
      <c r="M18" s="24"/>
    </row>
    <row r="19" spans="1:13" ht="14.4" x14ac:dyDescent="0.2">
      <c r="A19" s="23">
        <v>1977</v>
      </c>
      <c r="B19" s="24">
        <v>3413</v>
      </c>
      <c r="C19" s="37">
        <f>IF(A19&lt;$K$3,B19/B18,IF(A19&lt;$K$4,1+$M$3,IF(A19&lt;$K$5,1+$M$4,1+$M$5)))</f>
        <v>1.075299306868305</v>
      </c>
      <c r="E19" s="24"/>
      <c r="F19" s="24"/>
      <c r="H19" s="24"/>
      <c r="I19" s="24"/>
      <c r="K19" s="24"/>
      <c r="L19" s="24"/>
      <c r="M19" s="24"/>
    </row>
    <row r="20" spans="1:13" ht="14.4" x14ac:dyDescent="0.2">
      <c r="A20" s="23">
        <v>1978</v>
      </c>
      <c r="B20" s="24">
        <v>3687</v>
      </c>
      <c r="C20" s="37">
        <f>IF(A20&lt;$K$3,B20/B19,IF(A20&lt;$K$4,1+$M$3,IF(A20&lt;$K$5,1+$M$4,1+$M$5)))</f>
        <v>1.0802812774685029</v>
      </c>
      <c r="E20" s="24"/>
      <c r="F20" s="24"/>
      <c r="H20" s="24"/>
      <c r="I20" s="24"/>
      <c r="K20" s="24"/>
      <c r="L20" s="24"/>
      <c r="M20" s="24"/>
    </row>
    <row r="21" spans="1:13" ht="14.4" x14ac:dyDescent="0.2">
      <c r="A21" s="23">
        <v>1979</v>
      </c>
      <c r="B21" s="24">
        <v>3877</v>
      </c>
      <c r="C21" s="37">
        <f>IF(A21&lt;$K$3,B21/B20,IF(A21&lt;$K$4,1+$M$3,IF(A21&lt;$K$5,1+$M$4,1+$M$5)))</f>
        <v>1.0515324111743964</v>
      </c>
      <c r="E21" s="24"/>
      <c r="F21" s="24"/>
      <c r="H21" s="24"/>
      <c r="I21" s="24"/>
      <c r="K21" s="24"/>
      <c r="L21" s="24"/>
      <c r="M21" s="24"/>
    </row>
    <row r="22" spans="1:13" ht="14.4" x14ac:dyDescent="0.2">
      <c r="A22" s="23">
        <v>1980</v>
      </c>
      <c r="B22" s="24">
        <v>4098</v>
      </c>
      <c r="C22" s="37">
        <f>IF(A22&lt;$K$3,B22/B21,IF(A22&lt;$K$4,1+$M$3,IF(A22&lt;$K$5,1+$M$4,1+$M$5)))</f>
        <v>1.0570028372452926</v>
      </c>
      <c r="E22" s="24"/>
      <c r="F22" s="24"/>
      <c r="H22" s="24"/>
      <c r="I22" s="24"/>
      <c r="K22" s="24"/>
      <c r="L22" s="24"/>
      <c r="M22" s="24"/>
    </row>
    <row r="23" spans="1:13" ht="14.4" x14ac:dyDescent="0.2">
      <c r="A23" s="23">
        <v>1981</v>
      </c>
      <c r="B23" s="24">
        <v>4364</v>
      </c>
      <c r="C23" s="37">
        <f>IF(A23&lt;$K$3,B23/B22,IF(A23&lt;$K$4,1+$M$3,IF(A23&lt;$K$5,1+$M$4,1+$M$5)))</f>
        <v>1.0649097120546609</v>
      </c>
      <c r="E23" s="24"/>
      <c r="F23" s="24"/>
      <c r="H23" s="24"/>
      <c r="I23" s="24"/>
      <c r="K23" s="24"/>
      <c r="L23" s="24"/>
      <c r="M23" s="24"/>
    </row>
    <row r="24" spans="1:13" ht="14.4" x14ac:dyDescent="0.2">
      <c r="A24" s="23">
        <v>1982</v>
      </c>
      <c r="B24" s="24">
        <v>4651</v>
      </c>
      <c r="C24" s="37">
        <f>IF(A24&lt;$K$3,B24/B23,IF(A24&lt;$K$4,1+$M$3,IF(A24&lt;$K$5,1+$M$4,1+$M$5)))</f>
        <v>1.0657653528872595</v>
      </c>
      <c r="E24" s="24"/>
      <c r="F24" s="24"/>
      <c r="H24" s="24"/>
      <c r="I24" s="24"/>
      <c r="K24" s="24"/>
      <c r="L24" s="24"/>
      <c r="M24" s="24"/>
    </row>
    <row r="25" spans="1:13" ht="14.4" x14ac:dyDescent="0.2">
      <c r="A25" s="23">
        <v>1983</v>
      </c>
      <c r="B25" s="24">
        <v>4862</v>
      </c>
      <c r="C25" s="37">
        <f>IF(A25&lt;$K$3,B25/B24,IF(A25&lt;$K$4,1+$M$3,IF(A25&lt;$K$5,1+$M$4,1+$M$5)))</f>
        <v>1.045366587830574</v>
      </c>
      <c r="E25" s="24"/>
      <c r="F25" s="24"/>
      <c r="H25" s="24"/>
      <c r="I25" s="24"/>
      <c r="K25" s="24"/>
      <c r="L25" s="24"/>
      <c r="M25" s="24"/>
    </row>
    <row r="26" spans="1:13" ht="14.4" x14ac:dyDescent="0.2">
      <c r="A26" s="23">
        <v>1984</v>
      </c>
      <c r="B26" s="24">
        <v>5452</v>
      </c>
      <c r="C26" s="37">
        <f>IF(A26&lt;$K$3,B26/B25,IF(A26&lt;$K$4,1+$M$3,IF(A26&lt;$K$5,1+$M$4,1+$M$5)))</f>
        <v>1.1213492389962978</v>
      </c>
      <c r="E26" s="24"/>
      <c r="F26" s="24"/>
      <c r="H26" s="24"/>
      <c r="I26" s="24"/>
      <c r="K26" s="24"/>
      <c r="L26" s="24"/>
      <c r="M26" s="24"/>
    </row>
    <row r="27" spans="1:13" ht="14.4" x14ac:dyDescent="0.2">
      <c r="A27" s="23">
        <v>1985</v>
      </c>
      <c r="B27" s="24">
        <v>5961</v>
      </c>
      <c r="C27" s="37">
        <f>IF(A27&lt;$K$3,B27/B26,IF(A27&lt;$K$4,1+$M$3,IF(A27&lt;$K$5,1+$M$4,1+$M$5)))</f>
        <v>1.093360234776229</v>
      </c>
      <c r="E27" s="24"/>
      <c r="F27" s="24"/>
      <c r="H27" s="24"/>
      <c r="I27" s="24"/>
      <c r="K27" s="24"/>
      <c r="L27" s="24"/>
      <c r="M27" s="24"/>
    </row>
    <row r="28" spans="1:13" ht="14.4" x14ac:dyDescent="0.2">
      <c r="A28" s="23">
        <v>1986</v>
      </c>
      <c r="B28" s="24">
        <v>6435</v>
      </c>
      <c r="C28" s="37">
        <f>IF(A28&lt;$K$3,B28/B27,IF(A28&lt;$K$4,1+$M$3,IF(A28&lt;$K$5,1+$M$4,1+$M$5)))</f>
        <v>1.0795168595873175</v>
      </c>
      <c r="E28" s="24"/>
      <c r="F28" s="24"/>
      <c r="H28" s="24"/>
      <c r="I28" s="24"/>
      <c r="K28" s="24"/>
      <c r="L28" s="24"/>
      <c r="M28" s="24"/>
    </row>
    <row r="29" spans="1:13" ht="14.4" x14ac:dyDescent="0.2">
      <c r="A29" s="23">
        <v>1987</v>
      </c>
      <c r="B29" s="24">
        <v>6987</v>
      </c>
      <c r="C29" s="37">
        <f>IF(A29&lt;$K$3,B29/B28,IF(A29&lt;$K$4,1+$M$3,IF(A29&lt;$K$5,1+$M$4,1+$M$5)))</f>
        <v>1.0857808857808857</v>
      </c>
      <c r="E29" s="24"/>
      <c r="F29" s="24"/>
      <c r="H29" s="24"/>
      <c r="I29" s="24"/>
      <c r="K29" s="24"/>
      <c r="L29" s="24"/>
      <c r="M29" s="24"/>
    </row>
    <row r="30" spans="1:13" ht="14.4" x14ac:dyDescent="0.2">
      <c r="A30" s="23">
        <v>1988</v>
      </c>
      <c r="B30" s="25">
        <v>8968</v>
      </c>
      <c r="C30" s="37">
        <f>IF(A30&lt;$K$3,B30/B29,IF(A30&lt;$K$4,1+$M$3,IF(A30&lt;$K$5,1+$M$4,1+$M$5)))</f>
        <v>1.2835265493058536</v>
      </c>
      <c r="E30" s="25"/>
      <c r="F30" s="25"/>
      <c r="H30" s="25"/>
      <c r="I30" s="25"/>
      <c r="K30" s="25"/>
      <c r="L30" s="25"/>
      <c r="M30" s="25"/>
    </row>
    <row r="31" spans="1:13" ht="14.4" x14ac:dyDescent="0.2">
      <c r="A31" s="23">
        <v>1989</v>
      </c>
      <c r="B31" s="24">
        <v>10571</v>
      </c>
      <c r="C31" s="37">
        <f>IF(A31&lt;$K$3,B31/B30,IF(A31&lt;$K$4,1+$M$3,IF(A31&lt;$K$5,1+$M$4,1+$M$5)))</f>
        <v>1.1787466547725245</v>
      </c>
      <c r="E31" s="24"/>
      <c r="F31" s="24"/>
      <c r="H31" s="24"/>
      <c r="I31" s="24"/>
      <c r="K31" s="24"/>
      <c r="L31" s="24"/>
      <c r="M31" s="24"/>
    </row>
    <row r="32" spans="1:13" ht="14.4" x14ac:dyDescent="0.2">
      <c r="A32" s="23">
        <v>1990</v>
      </c>
      <c r="B32" s="24">
        <v>13446</v>
      </c>
      <c r="C32" s="37">
        <f>IF(A32&lt;$K$3,B32/B31,IF(A32&lt;$K$4,1+$M$3,IF(A32&lt;$K$5,1+$M$4,1+$M$5)))</f>
        <v>1.2719704852899443</v>
      </c>
      <c r="E32" s="24"/>
      <c r="F32" s="24"/>
      <c r="H32" s="24"/>
      <c r="I32" s="24"/>
      <c r="K32" s="24"/>
      <c r="L32" s="24"/>
      <c r="M32" s="24"/>
    </row>
    <row r="33" spans="1:13" ht="14.4" x14ac:dyDescent="0.2">
      <c r="A33" s="23">
        <v>1991</v>
      </c>
      <c r="B33" s="24">
        <v>17934</v>
      </c>
      <c r="C33" s="37">
        <f>IF(A33&lt;$K$3,B33/B32,IF(A33&lt;$K$4,1+$M$3,IF(A33&lt;$K$5,1+$M$4,1+$M$5)))</f>
        <v>1.3337795626952254</v>
      </c>
      <c r="E33" s="24"/>
      <c r="F33" s="24"/>
      <c r="H33" s="24"/>
      <c r="I33" s="24"/>
      <c r="K33" s="24"/>
      <c r="L33" s="24"/>
      <c r="M33" s="24"/>
    </row>
    <row r="34" spans="1:13" ht="14.4" x14ac:dyDescent="0.2">
      <c r="A34" s="23">
        <v>1992</v>
      </c>
      <c r="B34" s="24">
        <v>22294</v>
      </c>
      <c r="C34" s="37">
        <f>IF(A34&lt;$K$3,B34/B33,IF(A34&lt;$K$4,1+$M$3,IF(A34&lt;$K$5,1+$M$4,1+$M$5)))</f>
        <v>1.2431136388981823</v>
      </c>
      <c r="E34" s="24"/>
      <c r="F34" s="24"/>
      <c r="H34" s="24"/>
      <c r="I34" s="24"/>
      <c r="K34" s="24"/>
      <c r="L34" s="24"/>
      <c r="M34" s="24"/>
    </row>
    <row r="35" spans="1:13" ht="14.4" x14ac:dyDescent="0.2">
      <c r="A35" s="23">
        <v>1993</v>
      </c>
      <c r="B35" s="24">
        <v>27173</v>
      </c>
      <c r="C35" s="37">
        <f>IF(A35&lt;$K$3,B35/B34,IF(A35&lt;$K$4,1+$M$3,IF(A35&lt;$K$5,1+$M$4,1+$M$5)))</f>
        <v>1.218848120570557</v>
      </c>
      <c r="E35" s="24"/>
      <c r="F35" s="24"/>
      <c r="H35" s="24"/>
      <c r="I35" s="24"/>
      <c r="K35" s="24"/>
      <c r="L35" s="24"/>
      <c r="M35" s="24"/>
    </row>
    <row r="36" spans="1:13" ht="14.4" x14ac:dyDescent="0.2">
      <c r="A36" s="23">
        <v>1994</v>
      </c>
      <c r="B36" s="24">
        <v>33309</v>
      </c>
      <c r="C36" s="37">
        <f>IF(A36&lt;$K$3,B36/B35,IF(A36&lt;$K$4,1+$M$3,IF(A36&lt;$K$5,1+$M$4,1+$M$5)))</f>
        <v>1.2258123872962132</v>
      </c>
      <c r="E36" s="24"/>
      <c r="F36" s="24"/>
      <c r="H36" s="24"/>
      <c r="I36" s="24"/>
      <c r="K36" s="24"/>
      <c r="L36" s="24"/>
      <c r="M36" s="24"/>
    </row>
    <row r="37" spans="1:13" ht="14.4" x14ac:dyDescent="0.2">
      <c r="A37" s="23">
        <v>1995</v>
      </c>
      <c r="B37" s="24">
        <v>38900</v>
      </c>
      <c r="C37" s="37">
        <f>IF(A37&lt;$K$3,B37/B36,IF(A37&lt;$K$4,1+$M$3,IF(A37&lt;$K$5,1+$M$4,1+$M$5)))</f>
        <v>1.1678525323486144</v>
      </c>
      <c r="E37" s="24"/>
      <c r="F37" s="24"/>
      <c r="H37" s="24"/>
      <c r="I37" s="24"/>
      <c r="K37" s="24"/>
      <c r="L37" s="24"/>
      <c r="M37" s="24"/>
    </row>
    <row r="38" spans="1:13" ht="14.4" x14ac:dyDescent="0.2">
      <c r="A38" s="23">
        <v>1996</v>
      </c>
      <c r="B38" s="24">
        <v>46837</v>
      </c>
      <c r="C38" s="37">
        <f>IF(A38&lt;$K$3,B38/B37,IF(A38&lt;$K$4,1+$M$3,IF(A38&lt;$K$5,1+$M$4,1+$M$5)))</f>
        <v>1.2040359897172237</v>
      </c>
      <c r="E38" s="24"/>
      <c r="F38" s="24"/>
      <c r="H38" s="24"/>
      <c r="I38" s="24"/>
      <c r="K38" s="24"/>
      <c r="L38" s="24"/>
      <c r="M38" s="24"/>
    </row>
    <row r="39" spans="1:13" ht="14.4" x14ac:dyDescent="0.2">
      <c r="A39" s="23">
        <v>1997</v>
      </c>
      <c r="B39" s="24">
        <v>57270</v>
      </c>
      <c r="C39" s="37">
        <f>IF(A39&lt;$K$3,B39/B38,IF(A39&lt;$K$4,1+$M$3,IF(A39&lt;$K$5,1+$M$4,1+$M$5)))</f>
        <v>1.2227512436748724</v>
      </c>
      <c r="E39" s="24"/>
      <c r="F39" s="24"/>
      <c r="H39" s="24"/>
      <c r="I39" s="24"/>
      <c r="K39" s="24"/>
      <c r="L39" s="24"/>
      <c r="M39" s="24"/>
    </row>
    <row r="40" spans="1:13" ht="14.4" x14ac:dyDescent="0.2">
      <c r="A40" s="23">
        <v>1998</v>
      </c>
      <c r="B40" s="24">
        <v>67764</v>
      </c>
      <c r="C40" s="37">
        <f>IF(A40&lt;$K$3,B40/B39,IF(A40&lt;$K$4,1+$M$3,IF(A40&lt;$K$5,1+$M$4,1+$M$5)))</f>
        <v>1.1832372970141436</v>
      </c>
      <c r="E40" s="24"/>
      <c r="F40" s="24"/>
      <c r="H40" s="24"/>
      <c r="I40" s="24"/>
      <c r="K40" s="24"/>
      <c r="L40" s="24"/>
      <c r="M40" s="24"/>
    </row>
    <row r="41" spans="1:13" ht="14.4" x14ac:dyDescent="0.2">
      <c r="A41" s="23">
        <v>1999</v>
      </c>
      <c r="B41" s="24">
        <v>77187</v>
      </c>
      <c r="C41" s="37">
        <f>IF(A41&lt;$K$3,B41/B40,IF(A41&lt;$K$4,1+$M$3,IF(A41&lt;$K$5,1+$M$4,1+$M$5)))</f>
        <v>1.1390561360014166</v>
      </c>
      <c r="E41" s="24"/>
      <c r="F41" s="24"/>
      <c r="H41" s="24"/>
      <c r="I41" s="24"/>
      <c r="K41" s="24"/>
      <c r="L41" s="24"/>
      <c r="M41" s="24"/>
    </row>
    <row r="42" spans="1:13" ht="14.4" x14ac:dyDescent="0.2">
      <c r="A42" s="23">
        <v>2000</v>
      </c>
      <c r="B42" s="24">
        <v>87645</v>
      </c>
      <c r="C42" s="37">
        <f>IF(A42&lt;$K$3,B42/B41,IF(A42&lt;$K$4,1+$M$3,IF(A42&lt;$K$5,1+$M$4,1+$M$5)))</f>
        <v>1.1354891367717361</v>
      </c>
      <c r="E42" s="24"/>
      <c r="F42" s="24"/>
      <c r="H42" s="24"/>
      <c r="I42" s="24"/>
      <c r="K42" s="24"/>
      <c r="L42" s="24"/>
      <c r="M42" s="24"/>
    </row>
    <row r="43" spans="1:13" ht="14.4" x14ac:dyDescent="0.2">
      <c r="A43" s="23">
        <v>2001</v>
      </c>
      <c r="B43" s="24">
        <v>103553</v>
      </c>
      <c r="C43" s="37">
        <f>IF(A43&lt;$K$3,B43/B42,IF(A43&lt;$K$4,1+$M$3,IF(A43&lt;$K$5,1+$M$4,1+$M$5)))</f>
        <v>1.1815049346796738</v>
      </c>
      <c r="E43" s="24"/>
      <c r="F43" s="24"/>
      <c r="H43" s="24"/>
      <c r="I43" s="24"/>
      <c r="K43" s="24"/>
      <c r="L43" s="24"/>
      <c r="M43" s="24"/>
    </row>
    <row r="44" spans="1:13" ht="14.4" x14ac:dyDescent="0.2">
      <c r="A44" s="23">
        <v>2002</v>
      </c>
      <c r="B44" s="24">
        <v>122482</v>
      </c>
      <c r="C44" s="37">
        <f>IF(A44&lt;$K$3,B44/B43,IF(A44&lt;$K$4,1+$M$3,IF(A44&lt;$K$5,1+$M$4,1+$M$5)))</f>
        <v>1.1827952835745947</v>
      </c>
      <c r="E44" s="24"/>
      <c r="F44" s="24"/>
      <c r="H44" s="24"/>
      <c r="I44" s="24"/>
      <c r="K44" s="24"/>
      <c r="L44" s="24"/>
      <c r="M44" s="24"/>
    </row>
    <row r="45" spans="1:13" ht="14.4" x14ac:dyDescent="0.2">
      <c r="A45" s="23">
        <v>2003</v>
      </c>
      <c r="B45" s="24">
        <v>137193</v>
      </c>
      <c r="C45" s="37">
        <f>IF(A45&lt;$K$3,B45/B44,IF(A45&lt;$K$4,1+$M$3,IF(A45&lt;$K$5,1+$M$4,1+$M$5)))</f>
        <v>1.1201074443591712</v>
      </c>
      <c r="E45" s="24"/>
      <c r="F45" s="24"/>
      <c r="H45" s="24"/>
      <c r="I45" s="24"/>
      <c r="K45" s="24"/>
      <c r="L45" s="24"/>
      <c r="M45" s="24"/>
    </row>
    <row r="46" spans="1:13" ht="14.4" x14ac:dyDescent="0.2">
      <c r="A46" s="23">
        <v>2004</v>
      </c>
      <c r="B46" s="24">
        <v>145520</v>
      </c>
      <c r="C46" s="37">
        <f>IF(A46&lt;$K$3,B46/B45,IF(A46&lt;$K$4,1+$M$3,IF(A46&lt;$K$5,1+$M$4,1+$M$5)))</f>
        <v>1.0606955165351002</v>
      </c>
      <c r="E46" s="24"/>
      <c r="F46" s="24"/>
      <c r="H46" s="24"/>
      <c r="I46" s="24"/>
      <c r="K46" s="24"/>
      <c r="L46" s="24"/>
      <c r="M46" s="24"/>
    </row>
    <row r="47" spans="1:13" ht="14.4" x14ac:dyDescent="0.2">
      <c r="A47" s="23">
        <v>2005</v>
      </c>
      <c r="B47" s="26">
        <v>158343</v>
      </c>
      <c r="C47" s="37">
        <f>IF(A47&lt;$K$3,B47/B46,IF(A47&lt;$K$4,1+$M$3,IF(A47&lt;$K$5,1+$M$4,1+$M$5)))</f>
        <v>1.0881184716877406</v>
      </c>
      <c r="E47" s="26"/>
      <c r="F47" s="26"/>
      <c r="H47" s="26"/>
      <c r="I47" s="26"/>
      <c r="K47" s="26"/>
      <c r="L47" s="26"/>
      <c r="M47" s="26"/>
    </row>
    <row r="48" spans="1:13" ht="14.4" x14ac:dyDescent="0.2">
      <c r="A48" s="23">
        <v>2006</v>
      </c>
      <c r="B48" s="26">
        <v>171351</v>
      </c>
      <c r="C48" s="37">
        <f>IF(A48&lt;$K$3,B48/B47,IF(A48&lt;$K$4,1+$M$3,IF(A48&lt;$K$5,1+$M$4,1+$M$5)))</f>
        <v>1.0821507739527481</v>
      </c>
      <c r="E48" s="26"/>
      <c r="F48" s="26"/>
      <c r="H48" s="26"/>
      <c r="I48" s="26"/>
      <c r="K48" s="26"/>
      <c r="L48" s="26"/>
      <c r="M48" s="26"/>
    </row>
    <row r="49" spans="1:13" ht="14.4" x14ac:dyDescent="0.2">
      <c r="A49" s="23">
        <v>2007</v>
      </c>
      <c r="B49" s="27">
        <v>185017</v>
      </c>
      <c r="C49" s="37">
        <f>IF(A49&lt;$K$3,B49/B48,IF(A49&lt;$K$4,1+$M$3,IF(A49&lt;$K$5,1+$M$4,1+$M$5)))</f>
        <v>1.0797544222093831</v>
      </c>
      <c r="E49" s="27"/>
      <c r="F49" s="27"/>
      <c r="H49" s="27"/>
      <c r="I49" s="27"/>
      <c r="K49" s="27"/>
      <c r="L49" s="27"/>
      <c r="M49" s="27"/>
    </row>
    <row r="50" spans="1:13" ht="14.4" x14ac:dyDescent="0.2">
      <c r="A50" s="23">
        <v>2008</v>
      </c>
      <c r="B50" s="26">
        <v>198964</v>
      </c>
      <c r="C50" s="37">
        <f>IF(A50&lt;$K$3,B50/B49,IF(A50&lt;$K$4,1+$M$3,IF(A50&lt;$K$5,1+$M$4,1+$M$5)))</f>
        <v>1.0753822621705031</v>
      </c>
      <c r="E50" s="26"/>
      <c r="F50" s="26"/>
      <c r="H50" s="26"/>
      <c r="I50" s="26"/>
      <c r="K50" s="26"/>
      <c r="L50" s="26"/>
      <c r="M50" s="26"/>
    </row>
    <row r="51" spans="1:13" ht="14.4" x14ac:dyDescent="0.2">
      <c r="A51" s="23">
        <v>2009</v>
      </c>
      <c r="B51" s="26">
        <v>199837</v>
      </c>
      <c r="C51" s="37">
        <f>IF(A51&lt;$K$3,B51/B50,IF(A51&lt;$K$4,1+$M$3,IF(A51&lt;$K$5,1+$M$4,1+$M$5)))</f>
        <v>1.0043877284332845</v>
      </c>
      <c r="E51" s="26"/>
      <c r="F51" s="26"/>
      <c r="H51" s="26"/>
      <c r="I51" s="26"/>
      <c r="K51" s="26"/>
      <c r="L51" s="26"/>
      <c r="M51" s="26"/>
    </row>
    <row r="52" spans="1:13" ht="14.4" x14ac:dyDescent="0.2">
      <c r="A52" s="23">
        <v>2010</v>
      </c>
      <c r="B52" s="26">
        <v>202525</v>
      </c>
      <c r="C52" s="37">
        <f>IF(A52&lt;$K$3,B52/B51,IF(A52&lt;$K$4,1+$M$3,IF(A52&lt;$K$5,1+$M$4,1+$M$5)))</f>
        <v>1.0134509625344656</v>
      </c>
      <c r="E52" s="26"/>
      <c r="F52" s="26"/>
      <c r="H52" s="26"/>
      <c r="I52" s="26"/>
      <c r="K52" s="26"/>
      <c r="L52" s="26"/>
      <c r="M52" s="26"/>
    </row>
    <row r="53" spans="1:13" ht="14.4" x14ac:dyDescent="0.2">
      <c r="A53" s="23">
        <v>2011</v>
      </c>
      <c r="B53" s="26">
        <v>213094</v>
      </c>
      <c r="C53" s="37">
        <f>IF(A53&lt;$K$3,B53/B52,IF(A53&lt;$K$4,1+$M$3,IF(A53&lt;$K$5,1+$M$4,1+$M$5)))</f>
        <v>1.0521861498580423</v>
      </c>
      <c r="E53" s="26"/>
      <c r="F53" s="26"/>
      <c r="H53" s="26"/>
      <c r="I53" s="26"/>
      <c r="K53" s="26"/>
      <c r="L53" s="26"/>
      <c r="M53" s="26"/>
    </row>
    <row r="54" spans="1:13" ht="14.4" x14ac:dyDescent="0.2">
      <c r="A54" s="23">
        <v>2012</v>
      </c>
      <c r="B54" s="26">
        <v>223060</v>
      </c>
      <c r="C54" s="37">
        <f>IF(A54&lt;$K$3,B54/B53,IF(A54&lt;$K$4,1+$M$3,IF(A54&lt;$K$5,1+$M$4,1+$M$5)))</f>
        <v>1.0467680929542831</v>
      </c>
      <c r="E54" s="26"/>
      <c r="F54" s="26"/>
      <c r="H54" s="26"/>
      <c r="I54" s="26"/>
      <c r="K54" s="26"/>
      <c r="L54" s="26"/>
      <c r="M54" s="26"/>
    </row>
    <row r="55" spans="1:13" ht="14.4" x14ac:dyDescent="0.2">
      <c r="A55" s="23">
        <v>2013</v>
      </c>
      <c r="B55" s="26">
        <v>230714</v>
      </c>
      <c r="C55" s="37">
        <f>IF(A55&lt;$K$3,B55/B54,IF(A55&lt;$K$4,1+$M$3,IF(A55&lt;$K$5,1+$M$4,1+$M$5)))</f>
        <v>1.0343136375862996</v>
      </c>
      <c r="E55" s="26"/>
      <c r="F55" s="26"/>
      <c r="H55" s="26"/>
      <c r="I55" s="26"/>
      <c r="K55" s="26"/>
      <c r="L55" s="26"/>
      <c r="M55" s="26"/>
    </row>
    <row r="56" spans="1:13" ht="14.4" x14ac:dyDescent="0.2">
      <c r="A56" s="23">
        <v>2014</v>
      </c>
      <c r="B56" s="26">
        <v>237695</v>
      </c>
      <c r="C56" s="37">
        <f>IF(A56&lt;$K$3,B56/B55,IF(A56&lt;$K$4,1+$M$3,IF(A56&lt;$K$5,1+$M$4,1+$M$5)))</f>
        <v>1.0302582418058721</v>
      </c>
      <c r="E56" s="26"/>
      <c r="F56" s="26"/>
      <c r="H56" s="26"/>
      <c r="I56" s="26"/>
      <c r="K56" s="26"/>
      <c r="L56" s="26"/>
      <c r="M56" s="26"/>
    </row>
    <row r="57" spans="1:13" ht="10.199999999999999" customHeight="1" x14ac:dyDescent="0.2">
      <c r="A57" s="23">
        <v>2015</v>
      </c>
      <c r="B57" s="28">
        <v>247924</v>
      </c>
      <c r="C57" s="37">
        <f>IF(A57&lt;$K$3,B57/B56,IF(A57&lt;$K$4,1+$M$3,IF(A57&lt;$K$5,1+$M$4,1+$M$5)))</f>
        <v>1.0430341403899956</v>
      </c>
      <c r="E57" s="28"/>
      <c r="F57" s="28"/>
      <c r="H57" s="28"/>
      <c r="I57" s="28"/>
      <c r="K57" s="28"/>
      <c r="L57" s="28"/>
      <c r="M57" s="28"/>
    </row>
    <row r="58" spans="1:13" ht="14.4" x14ac:dyDescent="0.3">
      <c r="A58" s="21">
        <v>2016</v>
      </c>
      <c r="B58" s="22">
        <v>263171</v>
      </c>
      <c r="C58" s="37">
        <f>IF(A58&lt;$K$3,B58/B57,IF(A58&lt;$K$4,1+$M$3,IF(A58&lt;$K$5,1+$M$4,1+$M$5)))</f>
        <v>1.0614986850809118</v>
      </c>
      <c r="E58" s="22"/>
      <c r="F58" s="22"/>
      <c r="H58" s="22"/>
      <c r="I58" s="22"/>
      <c r="K58" s="22"/>
      <c r="L58" s="22"/>
      <c r="M58" s="22"/>
    </row>
    <row r="59" spans="1:13" ht="14.4" x14ac:dyDescent="0.3">
      <c r="A59" s="21">
        <v>2017</v>
      </c>
      <c r="B59" s="22">
        <v>297017</v>
      </c>
      <c r="C59" s="37">
        <f>IF(A59&lt;$K$3,B59/B58,IF(A59&lt;$K$4,1+$M$3,IF(A59&lt;$K$5,1+$M$4,1+$M$5)))</f>
        <v>1.1286083953019139</v>
      </c>
      <c r="E59" s="22"/>
      <c r="F59" s="22"/>
      <c r="H59" s="22"/>
      <c r="I59" s="22"/>
      <c r="K59" s="22"/>
      <c r="L59" s="22"/>
      <c r="M59" s="22"/>
    </row>
    <row r="60" spans="1:13" ht="14.4" x14ac:dyDescent="0.3">
      <c r="A60" s="21">
        <v>2018</v>
      </c>
      <c r="B60" s="22">
        <v>329943</v>
      </c>
      <c r="C60" s="37">
        <f>IF(A60&lt;$K$3,B60/B59,IF(A60&lt;$K$4,1+$M$3,IF(A60&lt;$K$5,1+$M$4,1+$M$5)))</f>
        <v>1.1108556075914846</v>
      </c>
      <c r="E60" s="22"/>
      <c r="F60" s="22"/>
      <c r="H60" s="22"/>
      <c r="I60" s="22"/>
      <c r="K60" s="22"/>
      <c r="L60" s="22"/>
      <c r="M60" s="22"/>
    </row>
    <row r="61" spans="1:13" ht="14.4" x14ac:dyDescent="0.3">
      <c r="A61" s="21">
        <v>2019</v>
      </c>
      <c r="B61" s="22">
        <v>367833</v>
      </c>
      <c r="C61" s="37">
        <f>IF(A61&lt;$K$3,B61/B60,IF(A61&lt;$K$4,1+$M$3,IF(A61&lt;$K$5,1+$M$4,1+$M$5)))</f>
        <v>1.1148380174757457</v>
      </c>
      <c r="E61" s="22"/>
      <c r="F61" s="22"/>
      <c r="H61" s="22"/>
      <c r="I61" s="22"/>
      <c r="K61" s="22"/>
      <c r="L61" s="22"/>
      <c r="M61" s="22"/>
    </row>
    <row r="62" spans="1:13" ht="14.4" x14ac:dyDescent="0.3">
      <c r="A62" s="21">
        <v>2020</v>
      </c>
      <c r="B62" s="22">
        <v>403616</v>
      </c>
      <c r="C62" s="37">
        <f>IF(A62&lt;$K$3,B62/B61,IF(A62&lt;$K$4,1+$M$3,IF(A62&lt;$K$5,1+$M$4,1+$M$5)))</f>
        <v>1.0972805593842858</v>
      </c>
      <c r="E62" s="22"/>
      <c r="F62" s="22"/>
      <c r="H62" s="22"/>
      <c r="I62" s="22"/>
      <c r="K62" s="22"/>
      <c r="L62" s="22"/>
      <c r="M62" s="22"/>
    </row>
    <row r="63" spans="1:13" ht="14.4" x14ac:dyDescent="0.3">
      <c r="A63" s="23">
        <v>2021</v>
      </c>
      <c r="B63" s="22">
        <v>426144.15987254452</v>
      </c>
      <c r="C63" s="37">
        <f>IF(A63&lt;$K$3,B63/B62,IF(A63&lt;$K$4,1+$M$3,IF(A63&lt;$K$5,1+$M$4,1+$M$5)))</f>
        <v>1.0558158246267355</v>
      </c>
      <c r="E63" s="22"/>
      <c r="F63" s="22"/>
      <c r="H63" s="22"/>
      <c r="I63" s="22"/>
      <c r="K63" s="22"/>
      <c r="L63" s="22"/>
      <c r="M63" s="22"/>
    </row>
    <row r="64" spans="1:13" ht="14.4" x14ac:dyDescent="0.3">
      <c r="A64" s="23">
        <v>2022</v>
      </c>
      <c r="B64" s="22">
        <v>501127.26980927447</v>
      </c>
      <c r="C64" s="37">
        <f>IF(A64&lt;$K$3,B64/B63,IF(A64&lt;$K$4,1+$M$3,IF(A64&lt;$K$5,1+$M$4,1+$M$5)))</f>
        <v>1.1759571454860642</v>
      </c>
      <c r="E64" s="22"/>
      <c r="F64" s="22"/>
      <c r="H64" s="22"/>
      <c r="I64" s="22"/>
      <c r="K64" s="22"/>
      <c r="L64" s="22"/>
      <c r="M64" s="22"/>
    </row>
    <row r="65" spans="1:13" ht="14.4" x14ac:dyDescent="0.3">
      <c r="A65" s="23">
        <v>2023</v>
      </c>
      <c r="B65" s="22">
        <v>571476.71689679509</v>
      </c>
      <c r="C65" s="37">
        <f>IF(A65&lt;$K$3,B65/B64,IF(A65&lt;$K$4,1+$M$3,IF(A65&lt;$K$5,1+$M$4,1+$M$5)))</f>
        <v>1.1403823965003843</v>
      </c>
      <c r="E65" s="22"/>
      <c r="F65" s="22"/>
      <c r="H65" s="22"/>
      <c r="I65" s="22"/>
      <c r="K65" s="22"/>
      <c r="L65" s="22"/>
      <c r="M65" s="22"/>
    </row>
    <row r="66" spans="1:13" ht="14.4" x14ac:dyDescent="0.3">
      <c r="A66" s="23">
        <v>2024</v>
      </c>
      <c r="B66" s="22">
        <v>646635</v>
      </c>
      <c r="C66" s="37">
        <f>IF(A66&lt;$K$3,B66/B65,IF(A66&lt;$K$4,1+$M$3,IF(A66&lt;$K$5,1+$M$4,1+$M$5)))</f>
        <v>1.1315159146138547</v>
      </c>
      <c r="E66" s="22"/>
      <c r="F66" s="22"/>
      <c r="G66" s="40"/>
      <c r="H66" s="22"/>
      <c r="I66" s="22"/>
      <c r="K66" s="22"/>
      <c r="L66" s="22"/>
      <c r="M66" s="22"/>
    </row>
    <row r="67" spans="1:13" ht="15" thickBot="1" x14ac:dyDescent="0.35">
      <c r="A67" s="31">
        <v>2025</v>
      </c>
      <c r="B67" s="32">
        <v>705014</v>
      </c>
      <c r="C67" s="41">
        <f>IF(A67&lt;$K$3,B67/B66,IF(A67&lt;$K$4,1+$M$3,IF(A67&lt;$K$5,1+$M$4,1+$M$5)))</f>
        <v>1.090281225111539</v>
      </c>
      <c r="E67" s="22"/>
      <c r="F67" s="22"/>
      <c r="G67" s="40"/>
      <c r="H67" s="22"/>
      <c r="I67" s="22"/>
      <c r="K67" s="22"/>
      <c r="L67" s="22"/>
      <c r="M67" s="22"/>
    </row>
    <row r="68" spans="1:13" ht="15" thickTop="1" x14ac:dyDescent="0.3">
      <c r="A68" s="23">
        <f>A67+1</f>
        <v>2026</v>
      </c>
      <c r="B68" s="22">
        <f>B67*C68</f>
        <v>754364.9800000001</v>
      </c>
      <c r="C68" s="37">
        <f>IF(A68&lt;$K$3,B68/B67,IF(A68&lt;$K$4,1+$M$3,IF(A68&lt;$K$5,1+$M$4,1+$M$5)))</f>
        <v>1.07</v>
      </c>
    </row>
    <row r="69" spans="1:13" ht="14.4" x14ac:dyDescent="0.3">
      <c r="A69" s="23">
        <f t="shared" ref="A69:A112" si="0">A68+1</f>
        <v>2027</v>
      </c>
      <c r="B69" s="22">
        <f t="shared" ref="B69:B112" si="1">B68*C69</f>
        <v>807170.52860000019</v>
      </c>
      <c r="C69" s="37">
        <f>IF(A69&lt;$K$3,B69/B68,IF(A69&lt;$K$4,1+$M$3,IF(A69&lt;$K$5,1+$M$4,1+$M$5)))</f>
        <v>1.07</v>
      </c>
    </row>
    <row r="70" spans="1:13" ht="14.4" x14ac:dyDescent="0.3">
      <c r="A70" s="23">
        <f t="shared" si="0"/>
        <v>2028</v>
      </c>
      <c r="B70" s="22">
        <f t="shared" si="1"/>
        <v>863672.46560200024</v>
      </c>
      <c r="C70" s="37">
        <f>IF(A70&lt;$K$3,B70/B69,IF(A70&lt;$K$4,1+$M$3,IF(A70&lt;$K$5,1+$M$4,1+$M$5)))</f>
        <v>1.07</v>
      </c>
    </row>
    <row r="71" spans="1:13" ht="14.4" x14ac:dyDescent="0.3">
      <c r="A71" s="23">
        <f t="shared" si="0"/>
        <v>2029</v>
      </c>
      <c r="B71" s="22">
        <f t="shared" si="1"/>
        <v>924129.5381941403</v>
      </c>
      <c r="C71" s="37">
        <f>IF(A71&lt;$K$3,B71/B70,IF(A71&lt;$K$4,1+$M$3,IF(A71&lt;$K$5,1+$M$4,1+$M$5)))</f>
        <v>1.07</v>
      </c>
    </row>
    <row r="72" spans="1:13" ht="14.4" x14ac:dyDescent="0.3">
      <c r="A72" s="23">
        <f t="shared" si="0"/>
        <v>2030</v>
      </c>
      <c r="B72" s="22">
        <f t="shared" si="1"/>
        <v>988818.60586773022</v>
      </c>
      <c r="C72" s="37">
        <f>IF(A72&lt;$K$3,B72/B71,IF(A72&lt;$K$4,1+$M$3,IF(A72&lt;$K$5,1+$M$4,1+$M$5)))</f>
        <v>1.07</v>
      </c>
    </row>
    <row r="73" spans="1:13" ht="14.4" x14ac:dyDescent="0.3">
      <c r="A73" s="23">
        <f t="shared" si="0"/>
        <v>2031</v>
      </c>
      <c r="B73" s="22">
        <f t="shared" si="1"/>
        <v>1043203.6291904553</v>
      </c>
      <c r="C73" s="37">
        <f>IF(A73&lt;$K$3,B73/B72,IF(A73&lt;$K$4,1+$M$3,IF(A73&lt;$K$5,1+$M$4,1+$M$5)))</f>
        <v>1.0549999999999999</v>
      </c>
    </row>
    <row r="74" spans="1:13" ht="14.4" x14ac:dyDescent="0.3">
      <c r="A74" s="23">
        <f t="shared" si="0"/>
        <v>2032</v>
      </c>
      <c r="B74" s="22">
        <f t="shared" si="1"/>
        <v>1100579.8287959304</v>
      </c>
      <c r="C74" s="37">
        <f>IF(A74&lt;$K$3,B74/B73,IF(A74&lt;$K$4,1+$M$3,IF(A74&lt;$K$5,1+$M$4,1+$M$5)))</f>
        <v>1.0549999999999999</v>
      </c>
    </row>
    <row r="75" spans="1:13" ht="14.4" x14ac:dyDescent="0.3">
      <c r="A75" s="23">
        <f t="shared" si="0"/>
        <v>2033</v>
      </c>
      <c r="B75" s="22">
        <f t="shared" si="1"/>
        <v>1161111.7193797065</v>
      </c>
      <c r="C75" s="37">
        <f>IF(A75&lt;$K$3,B75/B74,IF(A75&lt;$K$4,1+$M$3,IF(A75&lt;$K$5,1+$M$4,1+$M$5)))</f>
        <v>1.0549999999999999</v>
      </c>
    </row>
    <row r="76" spans="1:13" ht="14.4" x14ac:dyDescent="0.3">
      <c r="A76" s="23">
        <f t="shared" si="0"/>
        <v>2034</v>
      </c>
      <c r="B76" s="22">
        <f t="shared" si="1"/>
        <v>1224972.8639455903</v>
      </c>
      <c r="C76" s="37">
        <f>IF(A76&lt;$K$3,B76/B75,IF(A76&lt;$K$4,1+$M$3,IF(A76&lt;$K$5,1+$M$4,1+$M$5)))</f>
        <v>1.0549999999999999</v>
      </c>
    </row>
    <row r="77" spans="1:13" ht="14.4" x14ac:dyDescent="0.3">
      <c r="A77" s="23">
        <f t="shared" si="0"/>
        <v>2035</v>
      </c>
      <c r="B77" s="22">
        <f t="shared" si="1"/>
        <v>1292346.3714625977</v>
      </c>
      <c r="C77" s="37">
        <f>IF(A77&lt;$K$3,B77/B76,IF(A77&lt;$K$4,1+$M$3,IF(A77&lt;$K$5,1+$M$4,1+$M$5)))</f>
        <v>1.0549999999999999</v>
      </c>
    </row>
    <row r="78" spans="1:13" ht="14.4" x14ac:dyDescent="0.3">
      <c r="A78" s="23">
        <f t="shared" si="0"/>
        <v>2036</v>
      </c>
      <c r="B78" s="22">
        <f t="shared" si="1"/>
        <v>1363425.4218930406</v>
      </c>
      <c r="C78" s="37">
        <f>IF(A78&lt;$K$3,B78/B77,IF(A78&lt;$K$4,1+$M$3,IF(A78&lt;$K$5,1+$M$4,1+$M$5)))</f>
        <v>1.0549999999999999</v>
      </c>
    </row>
    <row r="79" spans="1:13" ht="14.4" x14ac:dyDescent="0.3">
      <c r="A79" s="23">
        <f t="shared" si="0"/>
        <v>2037</v>
      </c>
      <c r="B79" s="22">
        <f t="shared" si="1"/>
        <v>1438413.8200971577</v>
      </c>
      <c r="C79" s="37">
        <f>IF(A79&lt;$K$3,B79/B78,IF(A79&lt;$K$4,1+$M$3,IF(A79&lt;$K$5,1+$M$4,1+$M$5)))</f>
        <v>1.0549999999999999</v>
      </c>
    </row>
    <row r="80" spans="1:13" ht="14.4" x14ac:dyDescent="0.3">
      <c r="A80" s="23">
        <f t="shared" si="0"/>
        <v>2038</v>
      </c>
      <c r="B80" s="22">
        <f t="shared" si="1"/>
        <v>1517526.5802025013</v>
      </c>
      <c r="C80" s="37">
        <f>IF(A80&lt;$K$3,B80/B79,IF(A80&lt;$K$4,1+$M$3,IF(A80&lt;$K$5,1+$M$4,1+$M$5)))</f>
        <v>1.0549999999999999</v>
      </c>
    </row>
    <row r="81" spans="1:3" ht="14.4" x14ac:dyDescent="0.3">
      <c r="A81" s="23">
        <f t="shared" si="0"/>
        <v>2039</v>
      </c>
      <c r="B81" s="22">
        <f t="shared" si="1"/>
        <v>1600990.5421136387</v>
      </c>
      <c r="C81" s="37">
        <f>IF(A81&lt;$K$3,B81/B80,IF(A81&lt;$K$4,1+$M$3,IF(A81&lt;$K$5,1+$M$4,1+$M$5)))</f>
        <v>1.0549999999999999</v>
      </c>
    </row>
    <row r="82" spans="1:3" ht="14.4" x14ac:dyDescent="0.3">
      <c r="A82" s="23">
        <f t="shared" si="0"/>
        <v>2040</v>
      </c>
      <c r="B82" s="22">
        <f t="shared" si="1"/>
        <v>1689045.0219298888</v>
      </c>
      <c r="C82" s="37">
        <f>IF(A82&lt;$K$3,B82/B81,IF(A82&lt;$K$4,1+$M$3,IF(A82&lt;$K$5,1+$M$4,1+$M$5)))</f>
        <v>1.0549999999999999</v>
      </c>
    </row>
    <row r="83" spans="1:3" ht="14.4" x14ac:dyDescent="0.3">
      <c r="A83" s="23">
        <f t="shared" si="0"/>
        <v>2041</v>
      </c>
      <c r="B83" s="22">
        <f t="shared" si="1"/>
        <v>1756606.8228070843</v>
      </c>
      <c r="C83" s="37">
        <f>IF(A83&lt;$K$3,B83/B82,IF(A83&lt;$K$4,1+$M$3,IF(A83&lt;$K$5,1+$M$4,1+$M$5)))</f>
        <v>1.04</v>
      </c>
    </row>
    <row r="84" spans="1:3" ht="14.4" x14ac:dyDescent="0.3">
      <c r="A84" s="23">
        <f t="shared" si="0"/>
        <v>2042</v>
      </c>
      <c r="B84" s="22">
        <f t="shared" si="1"/>
        <v>1826871.0957193677</v>
      </c>
      <c r="C84" s="37">
        <f>IF(A84&lt;$K$3,B84/B83,IF(A84&lt;$K$4,1+$M$3,IF(A84&lt;$K$5,1+$M$4,1+$M$5)))</f>
        <v>1.04</v>
      </c>
    </row>
    <row r="85" spans="1:3" ht="14.4" x14ac:dyDescent="0.3">
      <c r="A85" s="23">
        <f t="shared" si="0"/>
        <v>2043</v>
      </c>
      <c r="B85" s="22">
        <f t="shared" si="1"/>
        <v>1899945.9395481425</v>
      </c>
      <c r="C85" s="37">
        <f>IF(A85&lt;$K$3,B85/B84,IF(A85&lt;$K$4,1+$M$3,IF(A85&lt;$K$5,1+$M$4,1+$M$5)))</f>
        <v>1.04</v>
      </c>
    </row>
    <row r="86" spans="1:3" ht="14.4" x14ac:dyDescent="0.3">
      <c r="A86" s="23">
        <f t="shared" si="0"/>
        <v>2044</v>
      </c>
      <c r="B86" s="22">
        <f t="shared" si="1"/>
        <v>1975943.7771300683</v>
      </c>
      <c r="C86" s="37">
        <f>IF(A86&lt;$K$3,B86/B85,IF(A86&lt;$K$4,1+$M$3,IF(A86&lt;$K$5,1+$M$4,1+$M$5)))</f>
        <v>1.04</v>
      </c>
    </row>
    <row r="87" spans="1:3" ht="14.4" x14ac:dyDescent="0.3">
      <c r="A87" s="23">
        <f t="shared" si="0"/>
        <v>2045</v>
      </c>
      <c r="B87" s="22">
        <f t="shared" si="1"/>
        <v>2054981.5282152712</v>
      </c>
      <c r="C87" s="37">
        <f>IF(A87&lt;$K$3,B87/B86,IF(A87&lt;$K$4,1+$M$3,IF(A87&lt;$K$5,1+$M$4,1+$M$5)))</f>
        <v>1.04</v>
      </c>
    </row>
    <row r="88" spans="1:3" ht="14.4" x14ac:dyDescent="0.3">
      <c r="A88" s="23">
        <f t="shared" si="0"/>
        <v>2046</v>
      </c>
      <c r="B88" s="22">
        <f t="shared" si="1"/>
        <v>2137180.7893438819</v>
      </c>
      <c r="C88" s="37">
        <f>IF(A88&lt;$K$3,B88/B87,IF(A88&lt;$K$4,1+$M$3,IF(A88&lt;$K$5,1+$M$4,1+$M$5)))</f>
        <v>1.04</v>
      </c>
    </row>
    <row r="89" spans="1:3" ht="14.4" x14ac:dyDescent="0.3">
      <c r="A89" s="23">
        <f t="shared" si="0"/>
        <v>2047</v>
      </c>
      <c r="B89" s="22">
        <f t="shared" si="1"/>
        <v>2222668.0209176373</v>
      </c>
      <c r="C89" s="37">
        <f>IF(A89&lt;$K$3,B89/B88,IF(A89&lt;$K$4,1+$M$3,IF(A89&lt;$K$5,1+$M$4,1+$M$5)))</f>
        <v>1.04</v>
      </c>
    </row>
    <row r="90" spans="1:3" ht="14.4" x14ac:dyDescent="0.3">
      <c r="A90" s="23">
        <f t="shared" si="0"/>
        <v>2048</v>
      </c>
      <c r="B90" s="22">
        <f t="shared" si="1"/>
        <v>2311574.7417543428</v>
      </c>
      <c r="C90" s="37">
        <f>IF(A90&lt;$K$3,B90/B89,IF(A90&lt;$K$4,1+$M$3,IF(A90&lt;$K$5,1+$M$4,1+$M$5)))</f>
        <v>1.04</v>
      </c>
    </row>
    <row r="91" spans="1:3" ht="14.4" x14ac:dyDescent="0.3">
      <c r="A91" s="23">
        <f t="shared" si="0"/>
        <v>2049</v>
      </c>
      <c r="B91" s="22">
        <f t="shared" si="1"/>
        <v>2404037.7314245165</v>
      </c>
      <c r="C91" s="37">
        <f>IF(A91&lt;$K$3,B91/B90,IF(A91&lt;$K$4,1+$M$3,IF(A91&lt;$K$5,1+$M$4,1+$M$5)))</f>
        <v>1.04</v>
      </c>
    </row>
    <row r="92" spans="1:3" ht="14.4" x14ac:dyDescent="0.3">
      <c r="A92" s="23">
        <f t="shared" si="0"/>
        <v>2050</v>
      </c>
      <c r="B92" s="22">
        <f t="shared" si="1"/>
        <v>2500199.2406814974</v>
      </c>
      <c r="C92" s="37">
        <f>IF(A92&lt;$K$3,B92/B91,IF(A92&lt;$K$4,1+$M$3,IF(A92&lt;$K$5,1+$M$4,1+$M$5)))</f>
        <v>1.04</v>
      </c>
    </row>
    <row r="93" spans="1:3" ht="14.4" x14ac:dyDescent="0.3">
      <c r="A93" s="23">
        <f t="shared" si="0"/>
        <v>2051</v>
      </c>
      <c r="B93" s="22">
        <f t="shared" si="1"/>
        <v>2600207.2103087571</v>
      </c>
      <c r="C93" s="37">
        <f>IF(A93&lt;$K$3,B93/B92,IF(A93&lt;$K$4,1+$M$3,IF(A93&lt;$K$5,1+$M$4,1+$M$5)))</f>
        <v>1.04</v>
      </c>
    </row>
    <row r="94" spans="1:3" ht="14.4" x14ac:dyDescent="0.3">
      <c r="A94" s="23">
        <f t="shared" si="0"/>
        <v>2052</v>
      </c>
      <c r="B94" s="22">
        <f t="shared" si="1"/>
        <v>2704215.4987211074</v>
      </c>
      <c r="C94" s="37">
        <f>IF(A94&lt;$K$3,B94/B93,IF(A94&lt;$K$4,1+$M$3,IF(A94&lt;$K$5,1+$M$4,1+$M$5)))</f>
        <v>1.04</v>
      </c>
    </row>
    <row r="95" spans="1:3" ht="14.4" x14ac:dyDescent="0.3">
      <c r="A95" s="23">
        <f t="shared" si="0"/>
        <v>2053</v>
      </c>
      <c r="B95" s="22">
        <f t="shared" si="1"/>
        <v>2812384.1186699518</v>
      </c>
      <c r="C95" s="37">
        <f>IF(A95&lt;$K$3,B95/B94,IF(A95&lt;$K$4,1+$M$3,IF(A95&lt;$K$5,1+$M$4,1+$M$5)))</f>
        <v>1.04</v>
      </c>
    </row>
    <row r="96" spans="1:3" ht="14.4" x14ac:dyDescent="0.3">
      <c r="A96" s="23">
        <f t="shared" si="0"/>
        <v>2054</v>
      </c>
      <c r="B96" s="22">
        <f t="shared" si="1"/>
        <v>2924879.4834167501</v>
      </c>
      <c r="C96" s="37">
        <f>IF(A96&lt;$K$3,B96/B95,IF(A96&lt;$K$4,1+$M$3,IF(A96&lt;$K$5,1+$M$4,1+$M$5)))</f>
        <v>1.04</v>
      </c>
    </row>
    <row r="97" spans="1:3" ht="14.4" x14ac:dyDescent="0.3">
      <c r="A97" s="23">
        <f t="shared" si="0"/>
        <v>2055</v>
      </c>
      <c r="B97" s="22">
        <f t="shared" si="1"/>
        <v>3041874.6627534204</v>
      </c>
      <c r="C97" s="37">
        <f>IF(A97&lt;$K$3,B97/B96,IF(A97&lt;$K$4,1+$M$3,IF(A97&lt;$K$5,1+$M$4,1+$M$5)))</f>
        <v>1.04</v>
      </c>
    </row>
    <row r="98" spans="1:3" ht="14.4" x14ac:dyDescent="0.3">
      <c r="A98" s="23">
        <f t="shared" si="0"/>
        <v>2056</v>
      </c>
      <c r="B98" s="22">
        <f t="shared" si="1"/>
        <v>3163549.6492635575</v>
      </c>
      <c r="C98" s="37">
        <f>IF(A98&lt;$K$3,B98/B97,IF(A98&lt;$K$4,1+$M$3,IF(A98&lt;$K$5,1+$M$4,1+$M$5)))</f>
        <v>1.04</v>
      </c>
    </row>
    <row r="99" spans="1:3" ht="14.4" x14ac:dyDescent="0.3">
      <c r="A99" s="23">
        <f t="shared" si="0"/>
        <v>2057</v>
      </c>
      <c r="B99" s="22">
        <f t="shared" si="1"/>
        <v>3290091.6352340998</v>
      </c>
      <c r="C99" s="37">
        <f>IF(A99&lt;$K$3,B99/B98,IF(A99&lt;$K$4,1+$M$3,IF(A99&lt;$K$5,1+$M$4,1+$M$5)))</f>
        <v>1.04</v>
      </c>
    </row>
    <row r="100" spans="1:3" ht="14.4" x14ac:dyDescent="0.3">
      <c r="A100" s="23">
        <f t="shared" si="0"/>
        <v>2058</v>
      </c>
      <c r="B100" s="22">
        <f t="shared" si="1"/>
        <v>3421695.3006434641</v>
      </c>
      <c r="C100" s="37">
        <f>IF(A100&lt;$K$3,B100/B99,IF(A100&lt;$K$4,1+$M$3,IF(A100&lt;$K$5,1+$M$4,1+$M$5)))</f>
        <v>1.04</v>
      </c>
    </row>
    <row r="101" spans="1:3" ht="14.4" x14ac:dyDescent="0.3">
      <c r="A101" s="23">
        <f t="shared" si="0"/>
        <v>2059</v>
      </c>
      <c r="B101" s="22">
        <f t="shared" si="1"/>
        <v>3558563.112669203</v>
      </c>
      <c r="C101" s="37">
        <f>IF(A101&lt;$K$3,B101/B100,IF(A101&lt;$K$4,1+$M$3,IF(A101&lt;$K$5,1+$M$4,1+$M$5)))</f>
        <v>1.04</v>
      </c>
    </row>
    <row r="102" spans="1:3" ht="14.4" x14ac:dyDescent="0.3">
      <c r="A102" s="23">
        <f t="shared" si="0"/>
        <v>2060</v>
      </c>
      <c r="B102" s="22">
        <f t="shared" si="1"/>
        <v>3700905.6371759712</v>
      </c>
      <c r="C102" s="37">
        <f>IF(A102&lt;$K$3,B102/B101,IF(A102&lt;$K$4,1+$M$3,IF(A102&lt;$K$5,1+$M$4,1+$M$5)))</f>
        <v>1.04</v>
      </c>
    </row>
    <row r="103" spans="1:3" ht="14.4" x14ac:dyDescent="0.3">
      <c r="A103" s="23">
        <f t="shared" si="0"/>
        <v>2061</v>
      </c>
      <c r="B103" s="22">
        <f t="shared" si="1"/>
        <v>3848941.8626630101</v>
      </c>
      <c r="C103" s="37">
        <f>IF(A103&lt;$K$3,B103/B102,IF(A103&lt;$K$4,1+$M$3,IF(A103&lt;$K$5,1+$M$4,1+$M$5)))</f>
        <v>1.04</v>
      </c>
    </row>
    <row r="104" spans="1:3" ht="14.4" x14ac:dyDescent="0.3">
      <c r="A104" s="23">
        <f t="shared" si="0"/>
        <v>2062</v>
      </c>
      <c r="B104" s="22">
        <f t="shared" si="1"/>
        <v>4002899.5371695305</v>
      </c>
      <c r="C104" s="37">
        <f>IF(A104&lt;$K$3,B104/B103,IF(A104&lt;$K$4,1+$M$3,IF(A104&lt;$K$5,1+$M$4,1+$M$5)))</f>
        <v>1.04</v>
      </c>
    </row>
    <row r="105" spans="1:3" ht="14.4" x14ac:dyDescent="0.3">
      <c r="A105" s="23">
        <f t="shared" si="0"/>
        <v>2063</v>
      </c>
      <c r="B105" s="22">
        <f t="shared" si="1"/>
        <v>4163015.518656312</v>
      </c>
      <c r="C105" s="37">
        <f>IF(A105&lt;$K$3,B105/B104,IF(A105&lt;$K$4,1+$M$3,IF(A105&lt;$K$5,1+$M$4,1+$M$5)))</f>
        <v>1.04</v>
      </c>
    </row>
    <row r="106" spans="1:3" ht="14.4" x14ac:dyDescent="0.3">
      <c r="A106" s="23">
        <f t="shared" si="0"/>
        <v>2064</v>
      </c>
      <c r="B106" s="22">
        <f t="shared" si="1"/>
        <v>4329536.1394025646</v>
      </c>
      <c r="C106" s="37">
        <f>IF(A106&lt;$K$3,B106/B105,IF(A106&lt;$K$4,1+$M$3,IF(A106&lt;$K$5,1+$M$4,1+$M$5)))</f>
        <v>1.04</v>
      </c>
    </row>
    <row r="107" spans="1:3" ht="14.4" x14ac:dyDescent="0.3">
      <c r="A107" s="23">
        <f t="shared" si="0"/>
        <v>2065</v>
      </c>
      <c r="B107" s="22">
        <f t="shared" si="1"/>
        <v>4502717.5849786671</v>
      </c>
      <c r="C107" s="37">
        <f>IF(A107&lt;$K$3,B107/B106,IF(A107&lt;$K$4,1+$M$3,IF(A107&lt;$K$5,1+$M$4,1+$M$5)))</f>
        <v>1.04</v>
      </c>
    </row>
    <row r="108" spans="1:3" ht="14.4" x14ac:dyDescent="0.3">
      <c r="A108" s="23">
        <f t="shared" si="0"/>
        <v>2066</v>
      </c>
      <c r="B108" s="22">
        <f t="shared" si="1"/>
        <v>4682826.288377814</v>
      </c>
      <c r="C108" s="37">
        <f>IF(A108&lt;$K$3,B108/B107,IF(A108&lt;$K$4,1+$M$3,IF(A108&lt;$K$5,1+$M$4,1+$M$5)))</f>
        <v>1.04</v>
      </c>
    </row>
    <row r="109" spans="1:3" ht="14.4" x14ac:dyDescent="0.3">
      <c r="A109" s="23">
        <f t="shared" si="0"/>
        <v>2067</v>
      </c>
      <c r="B109" s="22">
        <f t="shared" si="1"/>
        <v>4870139.3399129268</v>
      </c>
      <c r="C109" s="37">
        <f>IF(A109&lt;$K$3,B109/B108,IF(A109&lt;$K$4,1+$M$3,IF(A109&lt;$K$5,1+$M$4,1+$M$5)))</f>
        <v>1.04</v>
      </c>
    </row>
    <row r="110" spans="1:3" ht="14.4" x14ac:dyDescent="0.3">
      <c r="A110" s="23">
        <f t="shared" si="0"/>
        <v>2068</v>
      </c>
      <c r="B110" s="22">
        <f t="shared" si="1"/>
        <v>5064944.9135094443</v>
      </c>
      <c r="C110" s="37">
        <f>IF(A110&lt;$K$3,B110/B109,IF(A110&lt;$K$4,1+$M$3,IF(A110&lt;$K$5,1+$M$4,1+$M$5)))</f>
        <v>1.04</v>
      </c>
    </row>
    <row r="111" spans="1:3" ht="14.4" x14ac:dyDescent="0.3">
      <c r="A111" s="23">
        <f t="shared" si="0"/>
        <v>2069</v>
      </c>
      <c r="B111" s="22">
        <f t="shared" si="1"/>
        <v>5267542.710049822</v>
      </c>
      <c r="C111" s="37">
        <f>IF(A111&lt;$K$3,B111/B110,IF(A111&lt;$K$4,1+$M$3,IF(A111&lt;$K$5,1+$M$4,1+$M$5)))</f>
        <v>1.04</v>
      </c>
    </row>
    <row r="112" spans="1:3" ht="14.4" x14ac:dyDescent="0.3">
      <c r="A112" s="23">
        <f t="shared" si="0"/>
        <v>2070</v>
      </c>
      <c r="B112" s="22">
        <f t="shared" si="1"/>
        <v>5478244.4184518149</v>
      </c>
      <c r="C112" s="37">
        <f>IF(A112&lt;$K$3,B112/B111,IF(A112&lt;$K$4,1+$M$3,IF(A112&lt;$K$5,1+$M$4,1+$M$5)))</f>
        <v>1.04</v>
      </c>
    </row>
    <row r="113" spans="1:3" ht="14.4" x14ac:dyDescent="0.3">
      <c r="A113" s="23">
        <f t="shared" ref="A113:A117" si="2">A112+1</f>
        <v>2071</v>
      </c>
      <c r="B113" s="22">
        <f t="shared" ref="B113:B117" si="3">B112*C113</f>
        <v>5697374.1951898877</v>
      </c>
      <c r="C113" s="37">
        <f t="shared" ref="C113:C115" si="4">IF(A113&lt;$K$3,B113/B112,IF(A113&lt;$K$4,1+$M$3,IF(A113&lt;$K$5,1+$M$4,1+$M$5)))</f>
        <v>1.04</v>
      </c>
    </row>
    <row r="114" spans="1:3" ht="14.4" x14ac:dyDescent="0.3">
      <c r="A114" s="23">
        <f t="shared" si="2"/>
        <v>2072</v>
      </c>
      <c r="B114" s="22">
        <f t="shared" si="3"/>
        <v>5925269.1629974833</v>
      </c>
      <c r="C114" s="37">
        <f t="shared" si="4"/>
        <v>1.04</v>
      </c>
    </row>
    <row r="115" spans="1:3" ht="14.4" x14ac:dyDescent="0.3">
      <c r="A115" s="23">
        <f t="shared" si="2"/>
        <v>2073</v>
      </c>
      <c r="B115" s="22">
        <f t="shared" si="3"/>
        <v>6162279.9295173828</v>
      </c>
      <c r="C115" s="37">
        <f t="shared" si="4"/>
        <v>1.04</v>
      </c>
    </row>
    <row r="116" spans="1:3" ht="14.4" x14ac:dyDescent="0.3">
      <c r="A116" s="23">
        <f t="shared" si="2"/>
        <v>2074</v>
      </c>
      <c r="B116" s="22">
        <f t="shared" si="3"/>
        <v>6408771.1266980786</v>
      </c>
      <c r="C116" s="37">
        <f>IF(A116&lt;$K$3,B116/B115,IF(A116&lt;$K$4,1+$M$3,IF(A116&lt;$K$5,1+$M$4,1+$M$5)))</f>
        <v>1.04</v>
      </c>
    </row>
    <row r="117" spans="1:3" ht="14.4" x14ac:dyDescent="0.3">
      <c r="A117" s="23">
        <f t="shared" si="2"/>
        <v>2075</v>
      </c>
      <c r="B117" s="22">
        <f t="shared" si="3"/>
        <v>6665121.9717660015</v>
      </c>
      <c r="C117" s="37">
        <f>IF(A117&lt;$K$3,B117/B116,IF(A117&lt;$K$4,1+$M$3,IF(A117&lt;$K$5,1+$M$4,1+$M$5)))</f>
        <v>1.04</v>
      </c>
    </row>
    <row r="118" spans="1:3" ht="14.4" x14ac:dyDescent="0.3">
      <c r="A118" s="23">
        <f t="shared" ref="A118:A122" si="5">A117+1</f>
        <v>2076</v>
      </c>
      <c r="B118" s="22">
        <f t="shared" ref="B118:B122" si="6">B117*C118</f>
        <v>6931726.8506366415</v>
      </c>
      <c r="C118" s="37">
        <f t="shared" ref="C118:C120" si="7">IF(A118&lt;$K$3,B118/B117,IF(A118&lt;$K$4,1+$M$3,IF(A118&lt;$K$5,1+$M$4,1+$M$5)))</f>
        <v>1.04</v>
      </c>
    </row>
    <row r="119" spans="1:3" ht="14.4" x14ac:dyDescent="0.3">
      <c r="A119" s="23">
        <f t="shared" si="5"/>
        <v>2077</v>
      </c>
      <c r="B119" s="22">
        <f t="shared" si="6"/>
        <v>7208995.9246621076</v>
      </c>
      <c r="C119" s="37">
        <f t="shared" si="7"/>
        <v>1.04</v>
      </c>
    </row>
    <row r="120" spans="1:3" ht="14.4" x14ac:dyDescent="0.3">
      <c r="A120" s="23">
        <f t="shared" si="5"/>
        <v>2078</v>
      </c>
      <c r="B120" s="22">
        <f t="shared" si="6"/>
        <v>7497355.7616485925</v>
      </c>
      <c r="C120" s="37">
        <f t="shared" si="7"/>
        <v>1.04</v>
      </c>
    </row>
    <row r="121" spans="1:3" ht="14.4" x14ac:dyDescent="0.3">
      <c r="A121" s="23">
        <f t="shared" si="5"/>
        <v>2079</v>
      </c>
      <c r="B121" s="22">
        <f t="shared" si="6"/>
        <v>7797249.9921145365</v>
      </c>
      <c r="C121" s="37">
        <f>IF(A121&lt;$K$3,B121/B120,IF(A121&lt;$K$4,1+$M$3,IF(A121&lt;$K$5,1+$M$4,1+$M$5)))</f>
        <v>1.04</v>
      </c>
    </row>
    <row r="122" spans="1:3" ht="14.4" x14ac:dyDescent="0.3">
      <c r="A122" s="23">
        <f t="shared" si="5"/>
        <v>2080</v>
      </c>
      <c r="B122" s="22">
        <f t="shared" si="6"/>
        <v>8109139.991799118</v>
      </c>
      <c r="C122" s="37">
        <f>IF(A122&lt;$K$3,B122/B121,IF(A122&lt;$K$4,1+$M$3,IF(A122&lt;$K$5,1+$M$4,1+$M$5)))</f>
        <v>1.04</v>
      </c>
    </row>
    <row r="123" spans="1:3" ht="14.4" x14ac:dyDescent="0.3">
      <c r="A123" s="23"/>
      <c r="B123" s="22"/>
      <c r="C123" s="37"/>
    </row>
    <row r="124" spans="1:3" ht="14.4" x14ac:dyDescent="0.3">
      <c r="A124" s="23"/>
      <c r="B124" s="22"/>
      <c r="C124" s="37"/>
    </row>
    <row r="125" spans="1:3" ht="14.4" x14ac:dyDescent="0.3">
      <c r="A125" s="23"/>
      <c r="B125" s="22"/>
      <c r="C125" s="37"/>
    </row>
    <row r="126" spans="1:3" ht="14.4" x14ac:dyDescent="0.3">
      <c r="A126" s="23"/>
      <c r="B126" s="22"/>
      <c r="C126" s="37"/>
    </row>
    <row r="127" spans="1:3" ht="14.4" x14ac:dyDescent="0.3">
      <c r="A127" s="23"/>
      <c r="B127" s="22"/>
      <c r="C127" s="37"/>
    </row>
    <row r="128" spans="1:3" ht="14.4" x14ac:dyDescent="0.3">
      <c r="A128" s="23"/>
      <c r="B128" s="22"/>
      <c r="C128" s="37"/>
    </row>
    <row r="129" spans="1:3" ht="14.4" x14ac:dyDescent="0.3">
      <c r="A129" s="23"/>
      <c r="B129" s="22"/>
      <c r="C129" s="37"/>
    </row>
    <row r="130" spans="1:3" ht="14.4" x14ac:dyDescent="0.3">
      <c r="A130" s="23"/>
      <c r="B130" s="22"/>
      <c r="C130" s="37"/>
    </row>
    <row r="131" spans="1:3" ht="14.4" x14ac:dyDescent="0.3">
      <c r="A131" s="23"/>
      <c r="B131" s="22"/>
      <c r="C131" s="37"/>
    </row>
    <row r="132" spans="1:3" ht="14.4" x14ac:dyDescent="0.3">
      <c r="A132" s="23"/>
      <c r="B132" s="22"/>
      <c r="C132" s="37"/>
    </row>
    <row r="133" spans="1:3" ht="14.4" x14ac:dyDescent="0.3">
      <c r="A133" s="23"/>
      <c r="B133" s="22"/>
      <c r="C133" s="37"/>
    </row>
    <row r="134" spans="1:3" ht="14.4" x14ac:dyDescent="0.3">
      <c r="A134" s="23"/>
      <c r="B134" s="22"/>
      <c r="C134" s="37"/>
    </row>
    <row r="135" spans="1:3" ht="14.4" x14ac:dyDescent="0.3">
      <c r="A135" s="23"/>
      <c r="B135" s="22"/>
      <c r="C135" s="37"/>
    </row>
    <row r="136" spans="1:3" ht="14.4" x14ac:dyDescent="0.3">
      <c r="A136" s="23"/>
      <c r="B136" s="22"/>
      <c r="C136" s="37"/>
    </row>
    <row r="137" spans="1:3" ht="14.4" x14ac:dyDescent="0.3">
      <c r="A137" s="23"/>
      <c r="B137" s="22"/>
      <c r="C137" s="37"/>
    </row>
    <row r="138" spans="1:3" ht="14.4" x14ac:dyDescent="0.3">
      <c r="A138" s="23"/>
      <c r="B138" s="22"/>
      <c r="C138" s="37"/>
    </row>
    <row r="139" spans="1:3" ht="14.4" x14ac:dyDescent="0.3">
      <c r="A139" s="23"/>
      <c r="B139" s="22"/>
      <c r="C139" s="37"/>
    </row>
    <row r="140" spans="1:3" ht="14.4" x14ac:dyDescent="0.3">
      <c r="A140" s="23"/>
      <c r="B140" s="22"/>
      <c r="C140" s="37"/>
    </row>
    <row r="141" spans="1:3" ht="14.4" x14ac:dyDescent="0.3">
      <c r="A141" s="23"/>
      <c r="B141" s="22"/>
      <c r="C141" s="37"/>
    </row>
    <row r="142" spans="1:3" ht="14.4" x14ac:dyDescent="0.3">
      <c r="A142" s="23"/>
      <c r="B142" s="22"/>
      <c r="C142" s="37"/>
    </row>
    <row r="143" spans="1:3" ht="14.4" x14ac:dyDescent="0.3">
      <c r="A143" s="23"/>
      <c r="B143" s="22"/>
      <c r="C143" s="37"/>
    </row>
    <row r="144" spans="1:3" ht="14.4" x14ac:dyDescent="0.3">
      <c r="A144" s="23"/>
      <c r="B144" s="22"/>
      <c r="C144" s="37"/>
    </row>
    <row r="145" spans="1:3" ht="14.4" x14ac:dyDescent="0.3">
      <c r="A145" s="23"/>
      <c r="B145" s="22"/>
      <c r="C145" s="37"/>
    </row>
    <row r="146" spans="1:3" ht="14.4" x14ac:dyDescent="0.3">
      <c r="A146" s="23"/>
      <c r="B146" s="22"/>
      <c r="C146" s="37"/>
    </row>
    <row r="147" spans="1:3" ht="14.4" x14ac:dyDescent="0.25">
      <c r="A147" s="23"/>
    </row>
    <row r="148" spans="1:3" ht="14.4" x14ac:dyDescent="0.25">
      <c r="A148" s="23"/>
    </row>
    <row r="149" spans="1:3" ht="14.4" x14ac:dyDescent="0.25">
      <c r="A149" s="23"/>
    </row>
    <row r="150" spans="1:3" ht="14.4" x14ac:dyDescent="0.25">
      <c r="A150" s="23"/>
    </row>
    <row r="151" spans="1:3" ht="14.4" x14ac:dyDescent="0.25">
      <c r="A151" s="23"/>
    </row>
    <row r="152" spans="1:3" ht="14.4" x14ac:dyDescent="0.25">
      <c r="A152" s="23"/>
    </row>
    <row r="153" spans="1:3" ht="14.4" x14ac:dyDescent="0.25">
      <c r="A153" s="23"/>
    </row>
    <row r="154" spans="1:3" ht="14.4" x14ac:dyDescent="0.25">
      <c r="A154" s="23"/>
    </row>
    <row r="155" spans="1:3" ht="14.4" x14ac:dyDescent="0.25">
      <c r="A155" s="23"/>
    </row>
    <row r="156" spans="1:3" ht="14.4" x14ac:dyDescent="0.25">
      <c r="A156" s="23"/>
    </row>
    <row r="157" spans="1:3" ht="14.4" x14ac:dyDescent="0.25">
      <c r="A157" s="23"/>
    </row>
    <row r="158" spans="1:3" ht="14.4" x14ac:dyDescent="0.25">
      <c r="A158" s="23"/>
    </row>
    <row r="159" spans="1:3" ht="14.4" x14ac:dyDescent="0.25">
      <c r="A159" s="23"/>
    </row>
    <row r="160" spans="1:3" ht="14.4" x14ac:dyDescent="0.25">
      <c r="A160" s="23"/>
    </row>
    <row r="161" spans="1:1" ht="14.4" x14ac:dyDescent="0.25">
      <c r="A161" s="23"/>
    </row>
    <row r="162" spans="1:1" ht="14.4" x14ac:dyDescent="0.25">
      <c r="A162" s="23"/>
    </row>
    <row r="163" spans="1:1" ht="14.4" x14ac:dyDescent="0.25">
      <c r="A163" s="23"/>
    </row>
    <row r="164" spans="1:1" ht="14.4" x14ac:dyDescent="0.25">
      <c r="A164" s="23"/>
    </row>
    <row r="165" spans="1:1" ht="14.4" x14ac:dyDescent="0.25">
      <c r="A165" s="23"/>
    </row>
    <row r="166" spans="1:1" ht="14.4" x14ac:dyDescent="0.25">
      <c r="A166" s="23"/>
    </row>
    <row r="167" spans="1:1" ht="14.4" x14ac:dyDescent="0.25">
      <c r="A167" s="23"/>
    </row>
    <row r="168" spans="1:1" ht="14.4" x14ac:dyDescent="0.25">
      <c r="A168" s="23"/>
    </row>
    <row r="169" spans="1:1" ht="14.4" x14ac:dyDescent="0.25">
      <c r="A169" s="23"/>
    </row>
    <row r="170" spans="1:1" ht="14.4" x14ac:dyDescent="0.25">
      <c r="A170" s="23"/>
    </row>
    <row r="171" spans="1:1" ht="14.4" x14ac:dyDescent="0.25">
      <c r="A171" s="23"/>
    </row>
    <row r="172" spans="1:1" ht="14.4" x14ac:dyDescent="0.25">
      <c r="A172" s="23"/>
    </row>
    <row r="173" spans="1:1" ht="14.4" x14ac:dyDescent="0.25">
      <c r="A173" s="23"/>
    </row>
    <row r="174" spans="1:1" ht="14.4" x14ac:dyDescent="0.25">
      <c r="A174" s="23"/>
    </row>
    <row r="175" spans="1:1" ht="14.4" x14ac:dyDescent="0.25">
      <c r="A175" s="23"/>
    </row>
    <row r="176" spans="1:1" ht="14.4" x14ac:dyDescent="0.25">
      <c r="A176" s="23"/>
    </row>
    <row r="177" spans="1:1" ht="14.4" x14ac:dyDescent="0.25">
      <c r="A177" s="23"/>
    </row>
    <row r="178" spans="1:1" ht="14.4" x14ac:dyDescent="0.25">
      <c r="A178" s="23"/>
    </row>
    <row r="179" spans="1:1" ht="14.4" x14ac:dyDescent="0.25">
      <c r="A179" s="23"/>
    </row>
    <row r="180" spans="1:1" ht="14.4" x14ac:dyDescent="0.25">
      <c r="A180" s="23"/>
    </row>
    <row r="181" spans="1:1" ht="14.4" x14ac:dyDescent="0.25">
      <c r="A181" s="23"/>
    </row>
  </sheetData>
  <mergeCells count="1">
    <mergeCell ref="K1:M1"/>
  </mergeCells>
  <pageMargins left="0.74803149606299213" right="0.74803149606299213" top="0.62992125984251968" bottom="0.86614173228346458" header="0.51181102362204722" footer="0.5905511811023622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Eredmények</vt:lpstr>
      <vt:lpstr>Érzékenység vizsgálat</vt:lpstr>
      <vt:lpstr>Éves számolás</vt:lpstr>
      <vt:lpstr>Átlagos nyugdíj tábla</vt:lpstr>
      <vt:lpstr>Átlagbér tábla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Szirák Szabolcs</dc:creator>
  <cp:lastModifiedBy>Szirák Szabolcs</cp:lastModifiedBy>
  <dcterms:created xsi:type="dcterms:W3CDTF">2026-04-03T17:19:32Z</dcterms:created>
  <dcterms:modified xsi:type="dcterms:W3CDTF">2026-04-08T20:59:52Z</dcterms:modified>
</cp:coreProperties>
</file>